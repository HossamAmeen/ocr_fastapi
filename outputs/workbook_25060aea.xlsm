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drawings/drawing4.xml" ContentType="application/vnd.openxmlformats-officedocument.drawing+xml"/>
  <Override PartName="/xl/worksheets/sheet6.xml" ContentType="application/vnd.openxmlformats-officedocument.spreadsheetml.worksheet+xml"/>
  <Override PartName="/xl/drawings/drawing5.xml" ContentType="application/vnd.openxmlformats-officedocument.drawing+xml"/>
  <Override PartName="/xl/worksheets/sheet7.xml" ContentType="application/vnd.openxmlformats-officedocument.spreadsheetml.worksheet+xml"/>
  <Override PartName="/xl/drawings/drawing6.xml" ContentType="application/vnd.openxmlformats-officedocument.drawing+xml"/>
  <Override PartName="/xl/worksheets/sheet8.xml" ContentType="application/vnd.openxmlformats-officedocument.spreadsheetml.worksheet+xml"/>
  <Override PartName="/xl/drawings/drawing7.xml" ContentType="application/vnd.openxmlformats-officedocument.drawing+xml"/>
  <Override PartName="/xl/worksheets/sheet9.xml" ContentType="application/vnd.openxmlformats-officedocument.spreadsheetml.worksheet+xml"/>
  <Override PartName="/xl/drawings/drawing8.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drawings/drawing9.xml" ContentType="application/vnd.openxmlformats-officedocument.drawing+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80.xml" ContentType="application/vnd.openxmlformats-officedocument.spreadsheetml.externalLink+xml"/>
  <Override PartName="/xl/externalLinks/externalLink181.xml" ContentType="application/vnd.openxmlformats-officedocument.spreadsheetml.externalLink+xml"/>
  <Override PartName="/xl/externalLinks/externalLink182.xml" ContentType="application/vnd.openxmlformats-officedocument.spreadsheetml.externalLink+xml"/>
  <Override PartName="/xl/externalLinks/externalLink183.xml" ContentType="application/vnd.openxmlformats-officedocument.spreadsheetml.externalLink+xml"/>
  <Override PartName="/xl/externalLinks/externalLink184.xml" ContentType="application/vnd.openxmlformats-officedocument.spreadsheetml.externalLink+xml"/>
  <Override PartName="/xl/externalLinks/externalLink185.xml" ContentType="application/vnd.openxmlformats-officedocument.spreadsheetml.externalLink+xml"/>
  <Override PartName="/xl/externalLinks/externalLink186.xml" ContentType="application/vnd.openxmlformats-officedocument.spreadsheetml.externalLink+xml"/>
  <Override PartName="/xl/externalLinks/externalLink187.xml" ContentType="application/vnd.openxmlformats-officedocument.spreadsheetml.externalLink+xml"/>
  <Override PartName="/xl/externalLinks/externalLink188.xml" ContentType="application/vnd.openxmlformats-officedocument.spreadsheetml.externalLink+xml"/>
  <Override PartName="/xl/externalLinks/externalLink189.xml" ContentType="application/vnd.openxmlformats-officedocument.spreadsheetml.externalLink+xml"/>
  <Override PartName="/xl/externalLinks/externalLink190.xml" ContentType="application/vnd.openxmlformats-officedocument.spreadsheetml.externalLink+xml"/>
  <Override PartName="/xl/externalLinks/externalLink191.xml" ContentType="application/vnd.openxmlformats-officedocument.spreadsheetml.externalLink+xml"/>
  <Override PartName="/xl/externalLinks/externalLink192.xml" ContentType="application/vnd.openxmlformats-officedocument.spreadsheetml.externalLink+xml"/>
  <Override PartName="/xl/externalLinks/externalLink193.xml" ContentType="application/vnd.openxmlformats-officedocument.spreadsheetml.externalLink+xml"/>
  <Override PartName="/xl/externalLinks/externalLink19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2" autoFilterDateGrouping="1"/>
  </bookViews>
  <sheets>
    <sheet name="MS2" sheetId="1" state="visible" r:id="rId1"/>
    <sheet name="Master Data" sheetId="2" state="visible" r:id="rId2"/>
    <sheet name="SOE" sheetId="3" state="visible" r:id="rId3"/>
    <sheet name="Proforma" sheetId="4" state="visible" r:id="rId4"/>
    <sheet name="ADNOC KPI" sheetId="5" state="visible" r:id="rId5"/>
    <sheet name="FSQS" sheetId="6" state="visible" r:id="rId6"/>
    <sheet name="Timesheet" sheetId="7" state="visible" r:id="rId7"/>
    <sheet name="Backload" sheetId="8" state="visible" r:id="rId8"/>
    <sheet name="COVER PAGE " sheetId="9" state="visible" r:id="rId9"/>
    <sheet name="JOB ORDER " sheetId="10" state="visible" r:id="rId10"/>
    <sheet name="FINAL TALLY" sheetId="11" state="visible" r:id="rId11"/>
    <sheet name="Tally" sheetId="12" state="visible" r:id="rId12"/>
    <sheet name="Drawing" sheetId="13" state="visible"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 r:id="rId207"/>
  </externalReferences>
  <definedNames>
    <definedName name="a" hidden="0" function="0" vbProcedure="0">#ref!</definedName>
    <definedName name="aa" hidden="0" function="0" vbProcedure="0">!#ref!</definedName>
    <definedName name="aa.macro111" hidden="0" function="0" vbProcedure="0">[48]!Prev.Macro111</definedName>
    <definedName name="AAA" hidden="0" function="0" vbProcedure="0">#ref!</definedName>
    <definedName name="aaaa" hidden="0" function="0" vbProcedure="0">[49]!Macro59</definedName>
    <definedName name="Aandelen" hidden="0" function="0" vbProcedure="0">#ref!</definedName>
    <definedName name="ABC" hidden="0" function="0" vbProcedure="0">#ref!</definedName>
    <definedName name="Aboveballdb" hidden="0" function="0" vbProcedure="0">#ref!</definedName>
    <definedName name="Aboveballslb" hidden="0" function="0" vbProcedure="0">#ref!</definedName>
    <definedName name="Aboveballstring" hidden="0" function="0" vbProcedure="0">#ref!</definedName>
    <definedName name="Absexternalstring" hidden="0" function="0" vbProcedure="0">#ref!</definedName>
    <definedName name="Absinternalstring" hidden="0" function="0" vbProcedure="0">#ref!</definedName>
    <definedName name="Absoluteexternaldb" hidden="0" function="0" vbProcedure="0">#ref!</definedName>
    <definedName name="Absoluteexternalslb" hidden="0" function="0" vbProcedure="0">#ref!</definedName>
    <definedName name="Absoluteinternaldb" hidden="0" function="0" vbProcedure="0">#ref!</definedName>
    <definedName name="Absoluteinternalslb" hidden="0" function="0" vbProcedure="0">#ref!</definedName>
    <definedName name="ABSOLUTE_TIMES" hidden="1" function="0" vbProcedure="0">"TEST_ITEM"</definedName>
    <definedName name="ABX" hidden="1" function="0" vbProcedure="0">[1]Run!$B$18:$B$512</definedName>
    <definedName name="AccessDatabase" hidden="1" function="0" vbProcedure="0">"C:\WINNT35\Personal\PRESENCE.mdb"</definedName>
    <definedName name="acid" hidden="0" function="0" vbProcedure="0">#ref!</definedName>
    <definedName name="acidizejob" hidden="0" function="0" vbProcedure="0">#ref!</definedName>
    <definedName name="acidpump1" hidden="0" function="0" vbProcedure="0">'[2]8 Acid Pumping Schedule(s)'!$B$6:$S$52</definedName>
    <definedName name="actpitvol" hidden="0" function="0" vbProcedure="0">#ref!</definedName>
    <definedName name="Act_MD" hidden="0" function="0" vbProcedure="0">OFFSET(#ref!,1,0,#ref!)</definedName>
    <definedName name="Act_PU" hidden="0" function="0" vbProcedure="0">OFFSET(#ref!,1,0,#ref!)</definedName>
    <definedName name="Act_Rot" hidden="0" function="0" vbProcedure="0">OFFSET(#ref!,1,0,#ref!)</definedName>
    <definedName name="Act_RPM" hidden="0" function="0" vbProcedure="0">OFFSET(#ref!,1,0,#ref!)</definedName>
    <definedName name="Act_SO" hidden="0" function="0" vbProcedure="0">OFFSET(#ref!,1,0,#ref!)</definedName>
    <definedName name="Act_Toff" hidden="0" function="0" vbProcedure="0">OFFSET(#ref!,1,0,#ref!)</definedName>
    <definedName name="Act_Ton" hidden="0" function="0" vbProcedure="0">OFFSET(#ref!,1,0,#ref!)</definedName>
    <definedName name="Act_WOB" hidden="0" function="0" vbProcedure="0">OFFSET(#ref!,1,0,#ref!)</definedName>
    <definedName name="ad" hidden="0" function="0" vbProcedure="0">#ref!</definedName>
    <definedName name="Add.Comp" hidden="0" function="0" vbProcedure="0">'[3]DWS Wells'!$L$1:$L$1048576</definedName>
    <definedName name="Add.Req." hidden="0" function="0" vbProcedure="0">'[3]DWS Wells'!$K$1:$K$1048576</definedName>
    <definedName name="AddCtrl" hidden="0" function="0" vbProcedure="0">#ref!</definedName>
    <definedName name="Additionaltools" hidden="0" function="0" vbProcedure="0">#ref!</definedName>
    <definedName name="Address" hidden="0" function="0" vbProcedure="0">#ref!</definedName>
    <definedName name="addresstwo" hidden="0" function="0" vbProcedure="0">#ref!</definedName>
    <definedName name="ADDSTAB" hidden="0" function="0" vbProcedure="0">[55]!ADDSTAB</definedName>
    <definedName name="AddWeight" hidden="0" function="0" vbProcedure="0">#ref!</definedName>
    <definedName name="ade" hidden="0" function="0" vbProcedure="0">#ref!</definedName>
    <definedName name="adf" hidden="0" function="0" vbProcedure="0">[56]!Macro60</definedName>
    <definedName name="adfadf" hidden="1" function="0" vbProcedure="0">#ref!</definedName>
    <definedName name="ADHDHDJKK" hidden="0" function="0" vbProcedure="0">#ref!</definedName>
    <definedName name="ADNOC" hidden="0" function="0" vbProcedure="0">#ref!</definedName>
    <definedName name="Advies" hidden="0" function="0" vbProcedure="0">#ref!</definedName>
    <definedName name="ae" hidden="0" function="0" vbProcedure="0">#ref!</definedName>
    <definedName name="AFASTfotobj" hidden="0" function="0" vbProcedure="0">#ref!</definedName>
    <definedName name="AFASTobj" hidden="0" function="0" vbProcedure="0">#ref!</definedName>
    <definedName name="AFASTtieonobj" hidden="0" function="0" vbProcedure="0">#ref!</definedName>
    <definedName name="AFE19R"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hmed" hidden="0" function="0" vbProcedure="0">#ref!</definedName>
    <definedName name="Ai" hidden="0" function="0" vbProcedure="0">#ref!</definedName>
    <definedName name="AirHW" hidden="0" function="0" vbProcedure="0">#ref!</definedName>
    <definedName name="AIR_WEIGHT" hidden="0" function="0" vbProcedure="0">#ref!</definedName>
    <definedName name="AJ" hidden="0" function="0" vbProcedure="0">#ref!</definedName>
    <definedName name="ALL" hidden="0" function="0" vbProcedure="0">#ref!,#ref!,#ref!,#ref!,#ref!,#ref!,#ref!,#ref!</definedName>
    <definedName name="All_formations" hidden="0" function="0" vbProcedure="0">[4]Data!$W$2:$W$65</definedName>
    <definedName name="ALT" hidden="0" function="0" vbProcedure="0">#ref!</definedName>
    <definedName name="Altered" hidden="0" function="0" vbProcedure="0">[60]auf_screen!#ref!</definedName>
    <definedName name="Altered_by" hidden="0" function="0" vbProcedure="0">[60]auf_screen!#ref!</definedName>
    <definedName name="alwyn1" hidden="0" function="0" vbProcedure="0">#ref!</definedName>
    <definedName name="AMACRO.n2foam" hidden="0" function="0" vbProcedure="0">#N/A</definedName>
    <definedName name="Ambient_temp" hidden="0" function="0" vbProcedure="0">#ref!</definedName>
    <definedName name="Ambient_temp_1" hidden="0" function="0" vbProcedure="0">'[6]#ref'!#ref!</definedName>
    <definedName name="Ambient_temp_10" hidden="0" function="0" vbProcedure="0">'[6]#ref'!#ref!</definedName>
    <definedName name="Ambient_temp_11" hidden="0" function="0" vbProcedure="0">'[6]#ref'!#ref!</definedName>
    <definedName name="Ambient_temp_2" hidden="0" function="0" vbProcedure="0">'[6]#ref'!#ref!</definedName>
    <definedName name="Ambient_temp_3" hidden="0" function="0" vbProcedure="0">'[6]#ref'!#ref!</definedName>
    <definedName name="Ambient_temp_4" hidden="0" function="0" vbProcedure="0">'[6]#ref'!#ref!</definedName>
    <definedName name="Ambient_temp_5" hidden="0" function="0" vbProcedure="0">'[6]#ref'!#ref!</definedName>
    <definedName name="Ambient_temp_6" hidden="0" function="0" vbProcedure="0">'[6]#ref'!#ref!</definedName>
    <definedName name="Ambient_temp_7" hidden="0" function="0" vbProcedure="0">'[6]#ref'!#ref!</definedName>
    <definedName name="Ambient_temp_8" hidden="0" function="0" vbProcedure="0">'[6]#ref'!#ref!</definedName>
    <definedName name="Ambient_temp_9" hidden="0" function="0" vbProcedure="0">'[6]#ref'!#ref!</definedName>
    <definedName name="amis" hidden="0" function="0" vbProcedure="0">#ref!</definedName>
    <definedName name="amountplaced" hidden="0" function="0" vbProcedure="0">[5]WTR!$G$114</definedName>
    <definedName name="ANA" hidden="0" function="0" vbProcedure="0">#ref!</definedName>
    <definedName name="ANALYSIS_LAB_OH" hidden="0" function="0" vbProcedure="0">#ref!</definedName>
    <definedName name="Anc" hidden="0" function="0" vbProcedure="0">[18]sheet1!#ref!</definedName>
    <definedName name="Anchor" hidden="0" function="0" vbProcedure="0">[6]Sheet1!$D$1:$D$7</definedName>
    <definedName name="Anchor_Cell" hidden="0" function="0" vbProcedure="0">[60]auf_screen!#ref!</definedName>
    <definedName name="Anchor_Type" hidden="0" function="0" vbProcedure="0">'[7]Drop-Down Items'!$C$4:$C$20</definedName>
    <definedName name="ANDERGAUGE" hidden="0" function="0" vbProcedure="0">[55]!ANDERGAUGE</definedName>
    <definedName name="ANGLEA" hidden="0" function="0" vbProcedure="0">#ref!</definedName>
    <definedName name="ANGLEB" hidden="0" function="0" vbProcedure="0">#ref!</definedName>
    <definedName name="ANGLEF" hidden="0" function="0" vbProcedure="0">#ref!</definedName>
    <definedName name="ANGLEG" hidden="0" function="0" vbProcedure="0">#ref!</definedName>
    <definedName name="ANN" hidden="0" function="0" vbProcedure="0">[8]Macro2!$A$1</definedName>
    <definedName name="AnnFBot1" hidden="0" function="0" vbProcedure="0">#ref!</definedName>
    <definedName name="AnnFBot2" hidden="0" function="0" vbProcedure="0">#ref!</definedName>
    <definedName name="AnnFBot3" hidden="0" function="0" vbProcedure="0">#ref!</definedName>
    <definedName name="AnnFBot4" hidden="0" function="0" vbProcedure="0">#ref!</definedName>
    <definedName name="AnnFTop1" hidden="0" function="0" vbProcedure="0">#ref!</definedName>
    <definedName name="AnnFTop2" hidden="0" function="0" vbProcedure="0">#ref!</definedName>
    <definedName name="AnnFTop3" hidden="0" function="0" vbProcedure="0">#ref!</definedName>
    <definedName name="AnnFTop4" hidden="0" function="0" vbProcedure="0">#ref!</definedName>
    <definedName name="AnnFW1" hidden="0" function="0" vbProcedure="0">#ref!</definedName>
    <definedName name="AnnFW2" hidden="0" function="0" vbProcedure="0">#ref!</definedName>
    <definedName name="AnnFW3" hidden="0" function="0" vbProcedure="0">#ref!</definedName>
    <definedName name="AnnFW4" hidden="0" function="0" vbProcedure="0">#ref!</definedName>
    <definedName name="AnnularVol" hidden="0" function="0" vbProcedure="0">#ref!</definedName>
    <definedName name="annvol1" hidden="0" function="0" vbProcedure="0">#ref!</definedName>
    <definedName name="annvol2" hidden="0" function="0" vbProcedure="0">#ref!</definedName>
    <definedName name="Ann_Above_Liner" hidden="0" function="0" vbProcedure="0">#ref!</definedName>
    <definedName name="AnsBalans" hidden="0" function="0" vbProcedure="0">#ref!</definedName>
    <definedName name="Ao" hidden="0" function="0" vbProcedure="0">#ref!</definedName>
    <definedName name="Ap" hidden="0" function="0" vbProcedure="0">#ref!</definedName>
    <definedName name="APC" hidden="0" function="0" vbProcedure="0">'[9]Bid Summary'!$K$6</definedName>
    <definedName name="API_Number" hidden="0" function="0" vbProcedure="0">#ref!</definedName>
    <definedName name="ApplEnvironment" hidden="0" function="0" vbProcedure="0">#ref!</definedName>
    <definedName name="Approval_Page" hidden="0" function="0" vbProcedure="0">'[2]Data Go-To-Sheet'!$B$5:$B$95</definedName>
    <definedName name="Approval_Signatures" hidden="0" function="0" vbProcedure="0">'[2]Data Go-To-Sheet'!$D$33:$D$51</definedName>
    <definedName name="approved_by" hidden="0" function="0" vbProcedure="0">'[10]data sheet'!$G$2:$G$6</definedName>
    <definedName name="Approver_Objectives" hidden="0" function="0" vbProcedure="0">#ref!</definedName>
    <definedName name="Approver_Well_Plan" hidden="0" function="0" vbProcedure="0">#ref!</definedName>
    <definedName name="apptable" hidden="0" function="0" vbProcedure="0">#ref!</definedName>
    <definedName name="APRILANALSCP" hidden="0" function="0" vbProcedure="0">#ref!</definedName>
    <definedName name="APRILANALSSWE" hidden="0" function="0" vbProcedure="0">#ref!</definedName>
    <definedName name="APRILSUMSCP" hidden="0" function="0" vbProcedure="0">#ref!</definedName>
    <definedName name="APRILSUMSSWE" hidden="0" function="0" vbProcedure="0">#ref!</definedName>
    <definedName name="Arab_Zones_A_B___C" hidden="0" function="0" vbProcedure="0">#ref!</definedName>
    <definedName name="Arab_Zone_D" hidden="0" function="0" vbProcedure="0">#ref!</definedName>
    <definedName name="Araej" hidden="0" function="0" vbProcedure="0">#ref!</definedName>
    <definedName name="area" hidden="0" function="0" vbProcedure="0">'[7]Drop-Down Items'!$W$7:$W$8</definedName>
    <definedName name="ARM" hidden="0" function="0" vbProcedure="0">#ref!</definedName>
    <definedName name="As" hidden="0" function="0" vbProcedure="0">#ref!</definedName>
    <definedName name="asasasa" hidden="0" function="0" vbProcedure="0">#ref!</definedName>
    <definedName name="asd" hidden="1" function="0" vbProcedure="0">#ref!</definedName>
    <definedName name="ASDA" hidden="0" function="0" vbProcedure="0">[71]!Calculate_Pipe</definedName>
    <definedName name="asdasda" hidden="0" function="0" vbProcedure="0">#ref!</definedName>
    <definedName name="ASDF" hidden="0" function="0" vbProcedure="0">#ref!</definedName>
    <definedName name="ASDFF" hidden="0" function="0" vbProcedure="0">#ref!</definedName>
    <definedName name="asdftyh" hidden="0" function="0" vbProcedure="0">#ref!</definedName>
    <definedName name="AsRunTotalPages" hidden="0" function="0" vbProcedure="0">1</definedName>
    <definedName name="ASS" hidden="0" function="0" vbProcedure="0">[72]!JointNumber</definedName>
    <definedName name="assadasdasdas" hidden="0" function="0" vbProcedure="0">#ref!</definedName>
    <definedName name="Assembly1" hidden="0" function="0" vbProcedure="0">[72]!Calculate_Pipe</definedName>
    <definedName name="Assy" hidden="0" function="0" vbProcedure="0">#ref!</definedName>
    <definedName name="assy.3" hidden="0" function="0" vbProcedure="0">[73]!Calculate_Pipe</definedName>
    <definedName name="assy.4" hidden="0" function="0" vbProcedure="0">#N/A</definedName>
    <definedName name="ASSY.6" hidden="0" function="0" vbProcedure="0">[72]!Calculate_Pipe</definedName>
    <definedName name="ASSY2312" hidden="0" function="0" vbProcedure="0">[16]!Macro1</definedName>
    <definedName name="ASSY7" hidden="0" function="0" vbProcedure="0">[40]!Calculate_Pipe</definedName>
    <definedName name="ASSYBY" hidden="0" function="0" vbProcedure="0">#ref!</definedName>
    <definedName name="ASSY_098" hidden="0" function="0" vbProcedure="0">[72]!JointNumber</definedName>
    <definedName name="ASSY_122" hidden="0" function="0" vbProcedure="0">[16]!Macro1</definedName>
    <definedName name="ASSY_123" hidden="0" function="0" vbProcedure="0">[72]!JointNumber</definedName>
    <definedName name="ASSY_2111" hidden="0" function="0" vbProcedure="0">[16]!Macro1</definedName>
    <definedName name="ASSY_231" hidden="0" function="0" vbProcedure="0">[16]!Macro1</definedName>
    <definedName name="ASSY_342" hidden="0" function="0" vbProcedure="0">[16]!Macro1</definedName>
    <definedName name="ASSY_36" hidden="0" function="0" vbProcedure="0">[16]!Macro1</definedName>
    <definedName name="ASSY_4" hidden="0" function="0" vbProcedure="0">[16]!Macro1</definedName>
    <definedName name="ASSY_432" hidden="0" function="0" vbProcedure="0">[16]!Macro1</definedName>
    <definedName name="assy_5" hidden="0" function="0" vbProcedure="0">[72]!JointNumber</definedName>
    <definedName name="assy_543" hidden="0" function="0" vbProcedure="0">[72]!JointNumber</definedName>
    <definedName name="Assy_765" hidden="0" function="0" vbProcedure="0">[72]!Calculate_Pipe</definedName>
    <definedName name="Assy_Batch" hidden="0" function="0" vbProcedure="0">#ref!</definedName>
    <definedName name="ASSy_blast" hidden="0" function="0" vbProcedure="0">[72]!Calculate_Pipe</definedName>
    <definedName name="ASSY_W2" hidden="0" function="0" vbProcedure="0">[72]!Calculate_Pipe</definedName>
    <definedName name="AS_PER_TABLE_I" hidden="0" function="0" vbProcedure="0">#ref!</definedName>
    <definedName name="AS_PER_TABLE_II" hidden="0" function="0" vbProcedure="0">#ref!</definedName>
    <definedName name="AS_PER_TABLE_III" hidden="0" function="0" vbProcedure="0">#ref!</definedName>
    <definedName name="AS_PER_TABLE_IV" hidden="0" function="0" vbProcedure="0">#ref!</definedName>
    <definedName name="ATAN2fotobj" hidden="0" function="0" vbProcedure="0">#ref!</definedName>
    <definedName name="ATAN2tieonobj" hidden="0" function="0" vbProcedure="0">#ref!</definedName>
    <definedName name="ATARGET" hidden="0" function="0" vbProcedure="0">#ref!</definedName>
    <definedName name="aug" hidden="0" function="0" vbProcedure="0">#ref!</definedName>
    <definedName name="AutoCAD" hidden="0" function="0" vbProcedure="0">#ref!</definedName>
    <definedName name="AutoCAD_1" hidden="0" function="0" vbProcedure="0">[74]!AutoCAD</definedName>
    <definedName name="AutoCAD_10" hidden="0" function="0" vbProcedure="0">[74]!AutoCAD</definedName>
    <definedName name="AutoCAD_11" hidden="0" function="0" vbProcedure="0">[74]!AutoCAD</definedName>
    <definedName name="AutoCAD_2" hidden="0" function="0" vbProcedure="0">[74]!AutoCAD</definedName>
    <definedName name="AutoCAD_3" hidden="0" function="0" vbProcedure="0">[74]!AutoCAD</definedName>
    <definedName name="AutoCAD_4" hidden="0" function="0" vbProcedure="0">[74]!AutoCAD</definedName>
    <definedName name="AutoCAD_5" hidden="0" function="0" vbProcedure="0">[74]!AutoCAD</definedName>
    <definedName name="AutoCAD_6" hidden="0" function="0" vbProcedure="0">[74]!AutoCAD</definedName>
    <definedName name="AutoCAD_7" hidden="0" function="0" vbProcedure="0">[74]!AutoCAD</definedName>
    <definedName name="AutoCAD_8" hidden="0" function="0" vbProcedure="0">[74]!AutoCAD</definedName>
    <definedName name="AutoCAD_9" hidden="0" function="0" vbProcedure="0">[74]!AutoCAD</definedName>
    <definedName name="Aux_BHA_ID" hidden="0" function="0" vbProcedure="0">#ref!</definedName>
    <definedName name="Aux_BHA_OD" hidden="0" function="0" vbProcedure="0">#ref!</definedName>
    <definedName name="AvgJoint" hidden="0" function="0" vbProcedure="0">[11]DATA!$BO$2:$BO$9</definedName>
    <definedName name="AvgLength" hidden="0" function="0" vbProcedure="0">#ref!</definedName>
    <definedName name="axj" hidden="1" function="0" vbProcedure="0">{#N/A,#N/A,FALSE,"Sheet1"}</definedName>
    <definedName name="AZCLDfoto" hidden="0" function="0" vbProcedure="0">#ref!</definedName>
    <definedName name="AZCLDproj" hidden="0" function="0" vbProcedure="0">#ref!</definedName>
    <definedName name="AZcldtieon" hidden="0" function="0" vbProcedure="0">#ref!</definedName>
    <definedName name="AZfoto" hidden="0" function="0" vbProcedure="0">#ref!</definedName>
    <definedName name="AZfotobj" hidden="0" function="0" vbProcedure="0">#ref!</definedName>
    <definedName name="AZfotoLD" hidden="0" function="0" vbProcedure="0">#ref!</definedName>
    <definedName name="AZfotoLE" hidden="0" function="0" vbProcedure="0">#ref!</definedName>
    <definedName name="AzimColumn" hidden="0" function="0" vbProcedure="0">!#ref!</definedName>
    <definedName name="AzimUnit" hidden="0" function="0" vbProcedure="0">#ref!</definedName>
    <definedName name="Azimuth" hidden="0" function="0" vbProcedure="0">#ref!</definedName>
    <definedName name="Azimuth_In" hidden="0" function="0" vbProcedure="0">#ref!</definedName>
    <definedName name="Azimuth_Out" hidden="0" function="0" vbProcedure="0">#ref!</definedName>
    <definedName name="AZM" hidden="0" function="0" vbProcedure="0">#ref!</definedName>
    <definedName name="AZMAHEAD" hidden="0" function="0" vbProcedure="0">#ref!</definedName>
    <definedName name="AZMBOH" hidden="0" function="0" vbProcedure="0">#ref!</definedName>
    <definedName name="AZnobj" hidden="0" function="0" vbProcedure="0">#ref!</definedName>
    <definedName name="AZobj" hidden="0" function="0" vbProcedure="0">#ref!</definedName>
    <definedName name="AZproj" hidden="0" function="0" vbProcedure="0">#ref!</definedName>
    <definedName name="AZtieon" hidden="0" function="0" vbProcedure="0">#ref!</definedName>
    <definedName name="a_1" hidden="0" function="0" vbProcedure="0">NA()</definedName>
    <definedName name="a_10" hidden="0" function="0" vbProcedure="0">NA()</definedName>
    <definedName name="a_11" hidden="0" function="0" vbProcedure="0">NA()</definedName>
    <definedName name="a_2" hidden="0" function="0" vbProcedure="0">NA()</definedName>
    <definedName name="a_3" hidden="0" function="0" vbProcedure="0">NA()</definedName>
    <definedName name="a_4" hidden="0" function="0" vbProcedure="0">NA()</definedName>
    <definedName name="a_5" hidden="0" function="0" vbProcedure="0">NA()</definedName>
    <definedName name="a_6" hidden="0" function="0" vbProcedure="0">NA()</definedName>
    <definedName name="a_7" hidden="0" function="0" vbProcedure="0">NA()</definedName>
    <definedName name="a_8" hidden="0" function="0" vbProcedure="0">NA()</definedName>
    <definedName name="a_9" hidden="0" function="0" vbProcedure="0">NA()</definedName>
    <definedName name="A_L" hidden="0" function="0" vbProcedure="0">#ref!</definedName>
    <definedName name="b" hidden="0" function="0" vbProcedure="0">#ref!</definedName>
    <definedName name="Bab_Member" hidden="0" function="0" vbProcedure="0">#ref!</definedName>
    <definedName name="back" hidden="0" function="0" vbProcedure="0">#N/A</definedName>
    <definedName name="backish" hidden="0" function="0" vbProcedure="0">#ref!</definedName>
    <definedName name="BACKLOAD" hidden="0" function="0" vbProcedure="0">[18]sheet1!#ref!</definedName>
    <definedName name="BackReamingDistanceFromBitUnit" hidden="0" function="0" vbProcedure="0">#ref!</definedName>
    <definedName name="BackReamingMDUnit" hidden="0" function="0" vbProcedure="0">#ref!</definedName>
    <definedName name="BackreamingStressTable" hidden="0" function="0" vbProcedure="0">#ref!</definedName>
    <definedName name="Backup" hidden="0" function="0" vbProcedure="0">#ref!</definedName>
    <definedName name="bakerpill1" hidden="0" function="0" vbProcedure="0">#ref!</definedName>
    <definedName name="bakerpill2" hidden="0" function="0" vbProcedure="0">#ref!</definedName>
    <definedName name="bakerpill3" hidden="0" function="0" vbProcedure="0">#ref!</definedName>
    <definedName name="BallMaterial" hidden="0" function="0" vbProcedure="0">#ref!</definedName>
    <definedName name="Ballooning_Area" hidden="0" function="0" vbProcedure="0">#ref!</definedName>
    <definedName name="BallPurpose" hidden="0" function="0" vbProcedure="0">#ref!</definedName>
    <definedName name="Ballseat" hidden="0" function="0" vbProcedure="0">#ref!</definedName>
    <definedName name="BallSize" hidden="0" function="0" vbProcedure="0">#ref!</definedName>
    <definedName name="Base" hidden="0" function="0" vbProcedure="0">#ref!</definedName>
    <definedName name="basicok" hidden="0" function="0" vbProcedure="0">#N/A</definedName>
    <definedName name="BATCH" hidden="0" function="0" vbProcedure="0">#ref!</definedName>
    <definedName name="Batch_Set_End_Date" hidden="0" function="0" vbProcedure="0">#ref!</definedName>
    <definedName name="Batch_Set_Start_Date" hidden="0" function="0" vbProcedure="0">#ref!</definedName>
    <definedName name="Battery_1" hidden="0" function="0" vbProcedure="0">'[12]JCSI 12'!$AN$26</definedName>
    <definedName name="Battery_2" hidden="0" function="0" vbProcedure="0">'[12]JCSI 12'!$AO$26</definedName>
    <definedName name="Battery_3" hidden="0" function="0" vbProcedure="0">'[12]JCSI 12'!$AP$26</definedName>
    <definedName name="Battery_4" hidden="0" function="0" vbProcedure="0">'[12]JCSI 12'!$AQ$26</definedName>
    <definedName name="Battery_5" hidden="0" function="0" vbProcedure="0">'[12]JCSI 12'!$AR$26</definedName>
    <definedName name="Battery_Type" hidden="0" function="0" vbProcedure="0">'[12]JCSI 12'!$AN$29:$AN$42</definedName>
    <definedName name="Bat_Source" hidden="0" function="0" vbProcedure="0">'[12]JCSI 12'!$AS$29:$AS$42</definedName>
    <definedName name="bb" hidden="0" function="0" vbProcedure="0">#ref!</definedName>
    <definedName name="bbb" hidden="1" function="0" vbProcedure="0">{#N/A,#N/A,FALSE,"Sheet1"}</definedName>
    <definedName name="BBBB" hidden="0" function="0" vbProcedure="0">#ref!</definedName>
    <definedName name="bbbbb" hidden="0" function="0" vbProcedure="0">[79]!Macro61</definedName>
    <definedName name="bbbbbbbbbbbbbb" hidden="1" function="0" vbProcedure="0">#ref!</definedName>
    <definedName name="bbg" hidden="0" function="0" vbProcedure="0">#ref!</definedName>
    <definedName name="bbhgrthf" hidden="0" function="0" vbProcedure="0">#ref!</definedName>
    <definedName name="bbllm3" hidden="0" function="0" vbProcedure="0">'[11]Metric Conversions'!$B$69</definedName>
    <definedName name="bblstk" hidden="0" function="0" vbProcedure="0">'[11]Displacement Cal.'!$B$7</definedName>
    <definedName name="BD" hidden="0" function="0" vbProcedure="0">INDEX([13]DRAW!$A$2:$B$12,MATCH(#ref!,[13]DRAW!$A$2:$A$12,0),2)</definedName>
    <definedName name="BD_SC" hidden="0" function="0" vbProcedure="0">INDEX([13]DRAW!$A$2:$B$12,MATCH(#ref!,[13]DRAW!$A$2:$A$12,0),2)</definedName>
    <definedName name="BD_TB" hidden="0" function="0" vbProcedure="0">INDEX([13]DRAW!$A$2:$B$12,MATCH(#ref!,[13]DRAW!$A$2:$A$12,0),2)</definedName>
    <definedName name="Bellows_1" hidden="0" function="0" vbProcedure="0">'[12]JCSI 12'!$AI$26</definedName>
    <definedName name="Bellows_2" hidden="0" function="0" vbProcedure="0">'[12]JCSI 12'!$AJ$26</definedName>
    <definedName name="Bellows_3" hidden="0" function="0" vbProcedure="0">'[12]JCSI 12'!$AK$26</definedName>
    <definedName name="Bellows_4" hidden="0" function="0" vbProcedure="0">'[12]JCSI 12'!$AL$26</definedName>
    <definedName name="Bellows_Type" hidden="0" function="0" vbProcedure="0">'[12]JCSI 12'!$AI$29:$AI$42</definedName>
    <definedName name="Belowballdb" hidden="0" function="0" vbProcedure="0">#ref!</definedName>
    <definedName name="Belowballslb" hidden="0" function="0" vbProcedure="0">#ref!</definedName>
    <definedName name="Belowballstring" hidden="0" function="0" vbProcedure="0">#ref!</definedName>
    <definedName name="BendInformation" hidden="0" function="0" vbProcedure="0">#ref!</definedName>
    <definedName name="BendingStressUnit" hidden="0" function="0" vbProcedure="0">#ref!</definedName>
    <definedName name="Besa_Sales" hidden="0" function="0" vbProcedure="0">#ref!</definedName>
    <definedName name="Beurswinst" hidden="0" function="0" vbProcedure="0">#ref!</definedName>
    <definedName name="bgn" hidden="1" function="0" vbProcedure="0">{#N/A,#N/A,FALSE,"Sheet1"}</definedName>
    <definedName name="bha" hidden="0" function="0" vbProcedure="0">#ref!</definedName>
    <definedName name="BHAA" hidden="0" function="0" vbProcedure="0">#ref!</definedName>
    <definedName name="BhaComments" hidden="0" function="0" vbProcedure="0">#ref!</definedName>
    <definedName name="BHALength" hidden="0" function="0" vbProcedure="0">#ref!</definedName>
    <definedName name="BhaName" hidden="0" function="0" vbProcedure="0">#ref!</definedName>
    <definedName name="BhaSchematic" hidden="0" function="0" vbProcedure="0">#ref!</definedName>
    <definedName name="Bha_Range" hidden="0" function="0" vbProcedure="0">#ref!</definedName>
    <definedName name="bhfp" hidden="0" function="0" vbProcedure="0">[5]Data!$F$3</definedName>
    <definedName name="bhipic" hidden="0" function="0" vbProcedure="0">"Bild 3"</definedName>
    <definedName name="BHLEW" hidden="0" function="0" vbProcedure="0">#ref!</definedName>
    <definedName name="BHLNS" hidden="0" function="0" vbProcedure="0">#ref!</definedName>
    <definedName name="BHLTVD" hidden="0" function="0" vbProcedure="0">#ref!</definedName>
    <definedName name="BHP" hidden="0" function="0" vbProcedure="0">#ref!</definedName>
    <definedName name="bhr" hidden="0" function="0" vbProcedure="0">#ref!</definedName>
    <definedName name="BHRR" hidden="0" function="0" vbProcedure="0">#ref!</definedName>
    <definedName name="BHServRep" hidden="0" function="0" vbProcedure="0">#ref!</definedName>
    <definedName name="BHT" hidden="0" function="0" vbProcedure="0">#ref!</definedName>
    <definedName name="BHTFlow" hidden="0" function="0" vbProcedure="0">#ref!</definedName>
    <definedName name="BHTStatic" hidden="0" function="0" vbProcedure="0">#ref!</definedName>
    <definedName name="bhy" hidden="0" function="0" vbProcedure="0">'[84]run sheet'!#ref!</definedName>
    <definedName name="bhya" hidden="0" function="0" vbProcedure="0">#ref!</definedName>
    <definedName name="BillingAdd" hidden="0" function="0" vbProcedure="0">#ref!</definedName>
    <definedName name="BillingAddres" hidden="0" function="0" vbProcedure="0">#ref!</definedName>
    <definedName name="BillingAddress" hidden="0" function="0" vbProcedure="0">#ref!</definedName>
    <definedName name="BillingCity" hidden="0" function="0" vbProcedure="0">#ref!</definedName>
    <definedName name="BillingState" hidden="0" function="0" vbProcedure="0">#ref!</definedName>
    <definedName name="BillingZip" hidden="0" function="0" vbProcedure="0">#ref!</definedName>
    <definedName name="billprob" hidden="0" function="0" vbProcedure="0">#ref!</definedName>
    <definedName name="BIT" hidden="0" function="0" vbProcedure="0">#ref!</definedName>
    <definedName name="BitDia" hidden="0" function="0" vbProcedure="0">#ref!</definedName>
    <definedName name="BitMillTypes" hidden="0" function="0" vbProcedure="0">#ref!</definedName>
    <definedName name="BitNozzles" hidden="0" function="0" vbProcedure="0">#ref!</definedName>
    <definedName name="BitNozzleTFA" hidden="0" function="0" vbProcedure="0">#ref!</definedName>
    <definedName name="BitNozzleTFAUnits" hidden="0" function="0" vbProcedure="0">#ref!</definedName>
    <definedName name="BitNozzleUnit" hidden="0" function="0" vbProcedure="0">#ref!</definedName>
    <definedName name="Bitsize" hidden="0" function="0" vbProcedure="0">#ref!</definedName>
    <definedName name="Bits_12.25in" hidden="0" function="0" vbProcedure="0">[14]Data!$K$2:$K$17</definedName>
    <definedName name="Bits_17.5in" hidden="0" function="0" vbProcedure="0">[14]Data!$I$2:$I$17</definedName>
    <definedName name="Bits_26in" hidden="0" function="0" vbProcedure="0">[14]Data!$H$2:$H$7</definedName>
    <definedName name="Bits_6in" hidden="0" function="0" vbProcedure="0">[14]Data!$M$2:$M$14</definedName>
    <definedName name="Bits_8.5in" hidden="0" function="0" vbProcedure="0">[14]Data!$L$2:$L$15</definedName>
    <definedName name="Bit_Companies" hidden="0" function="0" vbProcedure="0">[14]Data!$G$2:$G$8</definedName>
    <definedName name="BJUIHJBH" hidden="0" function="0" vbProcedure="0">#ref!</definedName>
    <definedName name="bj_stroke" hidden="0" function="0" vbProcedure="0">'[11]Metric Conversions'!$B$35</definedName>
    <definedName name="bj_strokez" hidden="0" function="0" vbProcedure="0">'[11]Metric Conversions'!$C$35</definedName>
    <definedName name="BJ_Tens" hidden="0" function="0" vbProcedure="0">#ref!</definedName>
    <definedName name="blank" hidden="0" function="0" vbProcedure="0">#ref!</definedName>
    <definedName name="BlankCell" hidden="0" function="0" vbProcedure="0">#ref!</definedName>
    <definedName name="BlankCheck" hidden="0" function="0" vbProcedure="0">#ref!</definedName>
    <definedName name="blankcovered" hidden="0" function="0" vbProcedure="0">[5]WTR!$I$130</definedName>
    <definedName name="blankcovered2" hidden="0" function="0" vbProcedure="0">#ref!</definedName>
    <definedName name="blanklength" hidden="0" function="0" vbProcedure="0">#ref!</definedName>
    <definedName name="blankod" hidden="0" function="0" vbProcedure="0">#ref!</definedName>
    <definedName name="blanks" hidden="0" function="0" vbProcedure="0">#N/A</definedName>
    <definedName name="BLANK_COVERED_NV" hidden="0" function="0" vbProcedure="0">#ref!</definedName>
    <definedName name="BLANK_LENGTH" hidden="0" function="0" vbProcedure="0">#ref!</definedName>
    <definedName name="BLANK_OD" hidden="0" function="0" vbProcedure="0">#ref!</definedName>
    <definedName name="BlFl" hidden="0" function="0" vbProcedure="0">#ref!</definedName>
    <definedName name="blnk2" hidden="0" function="0" vbProcedure="0">#ref!,#ref!,#ref!,#ref!,#ref!,#ref!,#ref!,#ref!,#ref!,#ref!,#ref!,#ref!</definedName>
    <definedName name="Block" hidden="0" function="0" vbProcedure="0">#ref!</definedName>
    <definedName name="BlockWeight" hidden="0" function="0" vbProcedure="0">#ref!</definedName>
    <definedName name="BlockWeightUnitInTripPlot" hidden="0" function="0" vbProcedure="0">#ref!</definedName>
    <definedName name="Block_Field" hidden="0" function="0" vbProcedure="0">#ref!</definedName>
    <definedName name="BLock_TD_Wt" hidden="0" function="0" vbProcedure="0">#ref!</definedName>
    <definedName name="Block_Wt" hidden="0" function="0" vbProcedure="0">#ref!</definedName>
    <definedName name="bloque" hidden="0" function="0" vbProcedure="0">#ref!</definedName>
    <definedName name="bOB" hidden="0" function="0" vbProcedure="0">#ref!</definedName>
    <definedName name="Body" hidden="0" function="0" vbProcedure="0">#ref!</definedName>
    <definedName name="bohrmeter" hidden="0" function="0" vbProcedure="0">#ref!</definedName>
    <definedName name="bonusticket" hidden="0" function="0" vbProcedure="0">'[88]k factor'!#ref!</definedName>
    <definedName name="BONUSVALUES" hidden="0" function="0" vbProcedure="0">#ref!</definedName>
    <definedName name="BOPDepth" hidden="0" function="0" vbProcedure="0">#ref!</definedName>
    <definedName name="BOPRams" hidden="0" function="0" vbProcedure="0">#ref!</definedName>
    <definedName name="Borehole" hidden="0" function="0" vbProcedure="0">#ref!</definedName>
    <definedName name="BoreholeName" hidden="0" function="0" vbProcedure="0">#ref!</definedName>
    <definedName name="BOT" hidden="0" function="0" vbProcedure="0">#ref!</definedName>
    <definedName name="Bottom" hidden="0" function="0" vbProcedure="0">#ref!,#ref!,#ref!</definedName>
    <definedName name="bottomdepthstring" hidden="0" function="0" vbProcedure="0">#ref!</definedName>
    <definedName name="BottomHoleTemp" hidden="0" function="0" vbProcedure="0">#ref!</definedName>
    <definedName name="bottomPinBoxdb" hidden="0" function="0" vbProcedure="0">#ref!</definedName>
    <definedName name="bottompinboxslb" hidden="0" function="0" vbProcedure="0">#ref!</definedName>
    <definedName name="bottomthreadstring" hidden="0" function="0" vbProcedure="0">#ref!</definedName>
    <definedName name="BottomTop" hidden="0" function="0" vbProcedure="0">#ref!</definedName>
    <definedName name="bottomTypedb" hidden="0" function="0" vbProcedure="0">#ref!</definedName>
    <definedName name="bottomtypeslb" hidden="0" function="0" vbProcedure="0">#ref!</definedName>
    <definedName name="BottomUpStrokes" hidden="0" function="0" vbProcedure="0">#ref!</definedName>
    <definedName name="Bottom_Hole_Temp." hidden="0" function="0" vbProcedure="0">#ref!</definedName>
    <definedName name="Bottom_Perforation" hidden="0" function="0" vbProcedure="0">#ref!</definedName>
    <definedName name="Bottom_Shot" hidden="0" function="0" vbProcedure="0">#ref!</definedName>
    <definedName name="BOX" hidden="0" function="0" vbProcedure="0">'[15]Margin Summary'!$E$22</definedName>
    <definedName name="BPLimit" hidden="0" function="0" vbProcedure="0">#ref!</definedName>
    <definedName name="BPRNo" hidden="0" function="0" vbProcedure="0">#ref!</definedName>
    <definedName name="BRAKAH_____CASING_RUNNING_LIST" hidden="0" function="0" vbProcedure="0">[90]tbgtally!#ref!</definedName>
    <definedName name="BranchPlant" hidden="0" function="0" vbProcedure="0">#ref!</definedName>
    <definedName name="breakerconc1" hidden="0" function="0" vbProcedure="0">#ref!</definedName>
    <definedName name="breakerconc2" hidden="0" function="0" vbProcedure="0">#ref!</definedName>
    <definedName name="breakerconc3" hidden="0" function="0" vbProcedure="0">#ref!</definedName>
    <definedName name="breakertype1" hidden="0" function="0" vbProcedure="0">#ref!</definedName>
    <definedName name="breakertype2" hidden="0" function="0" vbProcedure="0">#ref!</definedName>
    <definedName name="breakertype3" hidden="0" function="0" vbProcedure="0">#ref!</definedName>
    <definedName name="breakerused1" hidden="0" function="0" vbProcedure="0">#ref!</definedName>
    <definedName name="breakerused2" hidden="0" function="0" vbProcedure="0">#ref!</definedName>
    <definedName name="breakerused3" hidden="0" function="0" vbProcedure="0">#ref!</definedName>
    <definedName name="Break_Bolt_Value" hidden="0" function="0" vbProcedure="0">'[7]Drop-Down Items'!$A$14:$A$22</definedName>
    <definedName name="BR_Column" hidden="0" function="0" vbProcedure="0">null</definedName>
    <definedName name="BR_Unit" hidden="0" function="0" vbProcedure="0">null</definedName>
    <definedName name="bs" hidden="0" function="0" vbProcedure="0">'[16]Max-Torq'!$Q$79</definedName>
    <definedName name="bsw" hidden="0" function="0" vbProcedure="0">'[94]well test sheet'!#ref!</definedName>
    <definedName name="BTARGET" hidden="0" function="0" vbProcedure="0">#ref!</definedName>
    <definedName name="btos" hidden="0" function="0" vbProcedure="0">#ref!</definedName>
    <definedName name="Budget_owner" hidden="0" function="0" vbProcedure="0">#ref!</definedName>
    <definedName name="Buoyancy" hidden="0" function="0" vbProcedure="0">#ref!</definedName>
    <definedName name="BuoyantWeightBelowJar" hidden="0" function="0" vbProcedure="0">#ref!</definedName>
    <definedName name="BuoyantWeightBelowJarUnits" hidden="0" function="0" vbProcedure="0">#ref!</definedName>
    <definedName name="Buoy_Factor" hidden="0" function="0" vbProcedure="0">#ref!</definedName>
    <definedName name="BUR" hidden="0" function="0" vbProcedure="0">#ref!</definedName>
    <definedName name="BURAHEAD" hidden="0" function="0" vbProcedure="0">#ref!</definedName>
    <definedName name="BURBOH" hidden="0" function="0" vbProcedure="0">#ref!</definedName>
    <definedName name="BURBTMAHEAD" hidden="0" function="0" vbProcedure="0">#ref!</definedName>
    <definedName name="BURBTMBOH" hidden="0" function="0" vbProcedure="0">#ref!</definedName>
    <definedName name="BURMIDAHEAD" hidden="0" function="0" vbProcedure="0">#ref!</definedName>
    <definedName name="BURMIDBOH" hidden="0" function="0" vbProcedure="0">#ref!</definedName>
    <definedName name="Burstdb" hidden="0" function="0" vbProcedure="0">#ref!</definedName>
    <definedName name="Burstslb" hidden="0" function="0" vbProcedure="0">#ref!</definedName>
    <definedName name="burststring" hidden="0" function="0" vbProcedure="0">#ref!</definedName>
    <definedName name="BURTOPAHEAD" hidden="0" function="0" vbProcedure="0">#ref!</definedName>
    <definedName name="BURTOPBOH" hidden="0" function="0" vbProcedure="0">#ref!</definedName>
    <definedName name="BUTT" hidden="0" function="0" vbProcedure="0">#ref!</definedName>
    <definedName name="bxf" hidden="0" function="0" vbProcedure="0">'[16]Max-Torq'!$P$62</definedName>
    <definedName name="BypassRate" hidden="0" function="0" vbProcedure="0">#ref!</definedName>
    <definedName name="Bypass_Set" hidden="0" function="0" vbProcedure="0">#ref!</definedName>
    <definedName name="Bypass_Unset" hidden="0" function="0" vbProcedure="0">#ref!</definedName>
    <definedName name="Bypass_valve" hidden="0" function="0" vbProcedure="0">'[7]Drop-Down Items'!$E$56:$E$59</definedName>
    <definedName name="B_AMOUNT" hidden="0" function="0" vbProcedure="0">'[58]7-30-04'!#ref!</definedName>
    <definedName name="B_VALUE" hidden="0" function="0" vbProcedure="0">'[58]7-30-04'!#ref!</definedName>
    <definedName name="Ca" hidden="1" function="0" vbProcedure="0">{#N/A,#N/A,FALSE,"Drlg Param Run 1-1";#N/A,#N/A,FALSE,"DDR (3)";#N/A,#N/A,FALSE,"BHA AT (1)";#N/A,#N/A,FALSE,"Downlinkbha";#N/A,#N/A,FALSE,"Job Status Report"}</definedName>
    <definedName name="CABLE2_1" hidden="0" function="0" vbProcedure="0">INDEX([17]DRAW!$L$52:$M$54,MATCH([17]AUTO_DHWS!$AY$8,[17]DRAW!$L$52:$L$54,0),2)</definedName>
    <definedName name="CABLE2_2" hidden="0" function="0" vbProcedure="0">INDEX([17]DRAW!$L$52:$M$56,MATCH([17]AUTO_DHWS!$AY$9,[17]DRAW!$L$52:$L$56,0),2)</definedName>
    <definedName name="CABLE_1" hidden="0" function="0" vbProcedure="0">INDEX([13]DRAW!$L$51:$M$52,MATCH([13]DRAW!$B$40,[13]DRAW!$L$51:$L$52,0),2)</definedName>
    <definedName name="CABLE_2" hidden="0" function="0" vbProcedure="0">INDEX([13]DRAW!$L$51:$M$53,MATCH([13]DRAW!$B$41,[13]DRAW!$L$51:$L$53,0),2)</definedName>
    <definedName name="CABLE_3" hidden="0" function="0" vbProcedure="0">INDEX([13]DRAW!$M$54:$N$55,MATCH([13]DRAW!$B$42,[13]DRAW!$M$54:$M$55,0),2)</definedName>
    <definedName name="Calcs" hidden="0" function="0" vbProcedure="0">#ref!,#ref!</definedName>
    <definedName name="CalculatePipe" hidden="0" function="0" vbProcedure="0">[72]!Calculate_Pipe</definedName>
    <definedName name="Calculate_Pipe" hidden="0" function="0" vbProcedure="0">#N/A</definedName>
    <definedName name="Cancel" hidden="0" function="0" vbProcedure="0">[97]!Cancel</definedName>
    <definedName name="CAP" hidden="0" function="0" vbProcedure="0">#ref!</definedName>
    <definedName name="Capacities" hidden="0" function="0" vbProcedure="0">#ref!,#ref!,#ref!,#ref!,#ref!,#ref!,#ref!,#ref!,#ref!</definedName>
    <definedName name="CAPH" hidden="0" function="0" vbProcedure="0">#ref!</definedName>
    <definedName name="CAP_XO_PORT" hidden="0" function="0" vbProcedure="0">#ref!</definedName>
    <definedName name="CarrierName" hidden="0" function="0" vbProcedure="0">#ref!</definedName>
    <definedName name="CARRIER_FL_WT" hidden="0" function="0" vbProcedure="0">#ref!</definedName>
    <definedName name="Carrier_Index" hidden="0" function="0" vbProcedure="0">'[12]JCSI 12'!$AF$26</definedName>
    <definedName name="Carrier_Location" hidden="0" function="0" vbProcedure="0">'[12]JCSI 12'!$AG$29:$AG$42</definedName>
    <definedName name="Carrier_Loc_Index" hidden="0" function="0" vbProcedure="0">'[12]JCSI 12'!$AG$26</definedName>
    <definedName name="CARR_FL_VISCOSITY" hidden="0" function="0" vbProcedure="0">#ref!</definedName>
    <definedName name="CARR_FL_VOL_PREPACK" hidden="0" function="0" vbProcedure="0">#ref!</definedName>
    <definedName name="Carr_fl_wt_prepack" hidden="0" function="0" vbProcedure="0">#ref!</definedName>
    <definedName name="Case_Impact" hidden="0" function="0" vbProcedure="0">[18]Criteria!$F$2:$F$6</definedName>
    <definedName name="CasFluidInput" hidden="0" function="0" vbProcedure="0">#ref!</definedName>
    <definedName name="CASHFLOW_REPORT" hidden="0" function="0" vbProcedure="0">#ref!</definedName>
    <definedName name="casidstring" hidden="0" function="0" vbProcedure="0">#ref!</definedName>
    <definedName name="casinfr" hidden="0" function="0" vbProcedure="0">#ref!</definedName>
    <definedName name="casing" hidden="0" function="0" vbProcedure="0">#ref!</definedName>
    <definedName name="casingbreakerconc" hidden="0" function="0" vbProcedure="0">#ref!</definedName>
    <definedName name="casingbreakertype" hidden="0" function="0" vbProcedure="0">#ref!</definedName>
    <definedName name="casingcarrierconc" hidden="0" function="0" vbProcedure="0">#ref!</definedName>
    <definedName name="casingcarriertype" hidden="0" function="0" vbProcedure="0">#ref!</definedName>
    <definedName name="casingcarriervis" hidden="0" function="0" vbProcedure="0">#ref!</definedName>
    <definedName name="casingcarriervol" hidden="0" function="0" vbProcedure="0">#ref!</definedName>
    <definedName name="casingcarrierwt" hidden="0" function="0" vbProcedure="0">#ref!</definedName>
    <definedName name="casingcolumn" hidden="0" function="0" vbProcedure="0">[19]Data!$J$17</definedName>
    <definedName name="CasingDesign" hidden="0" function="0" vbProcedure="0">'[3]DWS Wells'!$I$1:$I$1048576</definedName>
    <definedName name="CASINGDRIFTS" hidden="0" function="0" vbProcedure="0">#ref!</definedName>
    <definedName name="casinggel" hidden="0" function="0" vbProcedure="0">#ref!</definedName>
    <definedName name="casingid" hidden="0" function="0" vbProcedure="0">#ref!</definedName>
    <definedName name="casingidref" hidden="0" function="0" vbProcedure="0">[19]Data!$GC$1</definedName>
    <definedName name="casinginfuserate" hidden="0" function="0" vbProcedure="0">#ref!</definedName>
    <definedName name="casingliner" hidden="0" function="0" vbProcedure="0">[19]Data!$E$45</definedName>
    <definedName name="casingmixratio" hidden="0" function="0" vbProcedure="0">#ref!</definedName>
    <definedName name="casingod" hidden="0" function="0" vbProcedure="0">#ref!</definedName>
    <definedName name="casingpadfluid" hidden="0" function="0" vbProcedure="0">#ref!</definedName>
    <definedName name="casingpadvol" hidden="0" function="0" vbProcedure="0">#ref!</definedName>
    <definedName name="casingprelbs" hidden="0" function="0" vbProcedure="0">#ref!</definedName>
    <definedName name="casingpumppress" hidden="0" function="0" vbProcedure="0">#ref!</definedName>
    <definedName name="casingpumprate" hidden="0" function="0" vbProcedure="0">#ref!</definedName>
    <definedName name="casingrevout" hidden="0" function="0" vbProcedure="0">#ref!</definedName>
    <definedName name="CasingSize" hidden="0" function="0" vbProcedure="0">#ref!</definedName>
    <definedName name="CASINGSIZES" hidden="0" function="0" vbProcedure="0">#ref!</definedName>
    <definedName name="CasingSizeWeight" hidden="0" function="0" vbProcedure="0">#ref!</definedName>
    <definedName name="casingslurrydens" hidden="0" function="0" vbProcedure="0">#ref!</definedName>
    <definedName name="casingstage" hidden="0" function="0" vbProcedure="0">#ref!</definedName>
    <definedName name="Casingthread" hidden="0" function="0" vbProcedure="0">#ref!</definedName>
    <definedName name="casingtotalsand" hidden="0" function="0" vbProcedure="0">#ref!</definedName>
    <definedName name="casingtotslurryvol" hidden="0" function="0" vbProcedure="0">#ref!</definedName>
    <definedName name="CasingWeight" hidden="0" function="0" vbProcedure="0">#ref!</definedName>
    <definedName name="CASINGWEIGHTS" hidden="0" function="0" vbProcedure="0">#ref!</definedName>
    <definedName name="CasingWt" hidden="0" function="0" vbProcedure="0">#ref!</definedName>
    <definedName name="Casing_Collapsez" hidden="0" function="0" vbProcedure="0">'[11]Liner Job Info'!$J$14</definedName>
    <definedName name="Casing_Connections" hidden="0" function="0" vbProcedure="0">[20]Data!$AB$2:$AB$5</definedName>
    <definedName name="Casing_Grades" hidden="0" function="0" vbProcedure="0">[20]Data!$AA$2:$AA$4</definedName>
    <definedName name="Casing_Head_Housing" hidden="0" function="0" vbProcedure="0">[21]Data!$AK$2:$AK$5</definedName>
    <definedName name="Casing_I.D." hidden="0" function="0" vbProcedure="0">#ref!</definedName>
    <definedName name="Casing_ID_13.375" hidden="0" function="0" vbProcedure="0">#ref!</definedName>
    <definedName name="Casing_ID_9.625" hidden="0" function="0" vbProcedure="0">#ref!</definedName>
    <definedName name="Casing_Liner" hidden="0" function="0" vbProcedure="0">#ref!</definedName>
    <definedName name="casing_seat" hidden="0" function="0" vbProcedure="0">#ref!</definedName>
    <definedName name="Casing_Size" hidden="0" function="0" vbProcedure="0">#ref!</definedName>
    <definedName name="Casing_Size_Weight" hidden="0" function="0" vbProcedure="0">#ref!</definedName>
    <definedName name="Casing_Weight" hidden="0" function="0" vbProcedure="0">#ref!</definedName>
    <definedName name="Casing_weights" hidden="0" function="0" vbProcedure="0">[20]Data!$Z$2:$Z$9</definedName>
    <definedName name="CasTestInput" hidden="0" function="0" vbProcedure="0">#ref!</definedName>
    <definedName name="CasTestOutPut" hidden="0" function="0" vbProcedure="0">#ref!</definedName>
    <definedName name="CAS_BLNK_ANNULUS" hidden="0" function="0" vbProcedure="0">#ref!</definedName>
    <definedName name="CAS_BLNK_VOL" hidden="0" function="0" vbProcedure="0">#ref!</definedName>
    <definedName name="CAS_BLNK_VOL_1" hidden="0" function="0" vbProcedure="0">'[6]#ref'!#ref!</definedName>
    <definedName name="CAS_BLNK_VOL_10" hidden="0" function="0" vbProcedure="0">'[6]#ref'!#ref!</definedName>
    <definedName name="CAS_BLNK_VOL_11" hidden="0" function="0" vbProcedure="0">'[6]#ref'!#ref!</definedName>
    <definedName name="CAS_BLNK_VOL_2" hidden="0" function="0" vbProcedure="0">'[6]#ref'!#ref!</definedName>
    <definedName name="CAS_BLNK_VOL_3" hidden="0" function="0" vbProcedure="0">'[6]#ref'!#ref!</definedName>
    <definedName name="CAS_BLNK_VOL_4" hidden="0" function="0" vbProcedure="0">'[6]#ref'!#ref!</definedName>
    <definedName name="CAS_BLNK_VOL_5" hidden="0" function="0" vbProcedure="0">'[6]#ref'!#ref!</definedName>
    <definedName name="CAS_BLNK_VOL_6" hidden="0" function="0" vbProcedure="0">'[6]#ref'!#ref!</definedName>
    <definedName name="CAS_BLNK_VOL_7" hidden="0" function="0" vbProcedure="0">'[6]#ref'!#ref!</definedName>
    <definedName name="CAS_BLNK_VOL_8" hidden="0" function="0" vbProcedure="0">'[6]#ref'!#ref!</definedName>
    <definedName name="CAS_BLNK_VOL_9" hidden="0" function="0" vbProcedure="0">'[6]#ref'!#ref!</definedName>
    <definedName name="CAS_EXT_VOL" hidden="0" function="0" vbProcedure="0">#ref!</definedName>
    <definedName name="CAS_EXT_VOL_1" hidden="0" function="0" vbProcedure="0">'[6]#ref'!#ref!</definedName>
    <definedName name="CAS_EXT_VOL_10" hidden="0" function="0" vbProcedure="0">'[6]#ref'!#ref!</definedName>
    <definedName name="CAS_EXT_VOL_11" hidden="0" function="0" vbProcedure="0">'[6]#ref'!#ref!</definedName>
    <definedName name="CAS_EXT_VOL_2" hidden="0" function="0" vbProcedure="0">'[6]#ref'!#ref!</definedName>
    <definedName name="CAS_EXT_VOL_3" hidden="0" function="0" vbProcedure="0">'[6]#ref'!#ref!</definedName>
    <definedName name="CAS_EXT_VOL_4" hidden="0" function="0" vbProcedure="0">'[6]#ref'!#ref!</definedName>
    <definedName name="CAS_EXT_VOL_5" hidden="0" function="0" vbProcedure="0">'[6]#ref'!#ref!</definedName>
    <definedName name="CAS_EXT_VOL_6" hidden="0" function="0" vbProcedure="0">'[6]#ref'!#ref!</definedName>
    <definedName name="CAS_EXT_VOL_7" hidden="0" function="0" vbProcedure="0">'[6]#ref'!#ref!</definedName>
    <definedName name="CAS_EXT_VOL_8" hidden="0" function="0" vbProcedure="0">'[6]#ref'!#ref!</definedName>
    <definedName name="CAS_EXT_VOL_9" hidden="0" function="0" vbProcedure="0">'[6]#ref'!#ref!</definedName>
    <definedName name="CAS_ID" hidden="0" function="0" vbProcedure="0">#ref!</definedName>
    <definedName name="CAS_OD" hidden="0" function="0" vbProcedure="0">#ref!</definedName>
    <definedName name="CAS_SCR_VOL" hidden="0" function="0" vbProcedure="0">#ref!</definedName>
    <definedName name="CAS_SCR_VOL_1" hidden="0" function="0" vbProcedure="0">'[6]#ref'!#ref!</definedName>
    <definedName name="CAS_SCR_VOL_10" hidden="0" function="0" vbProcedure="0">'[6]#ref'!#ref!</definedName>
    <definedName name="CAS_SCR_VOL_11" hidden="0" function="0" vbProcedure="0">'[6]#ref'!#ref!</definedName>
    <definedName name="CAS_SCR_VOL_2" hidden="0" function="0" vbProcedure="0">'[6]#ref'!#ref!</definedName>
    <definedName name="CAS_SCR_VOL_3" hidden="0" function="0" vbProcedure="0">'[6]#ref'!#ref!</definedName>
    <definedName name="CAS_SCR_VOL_4" hidden="0" function="0" vbProcedure="0">'[6]#ref'!#ref!</definedName>
    <definedName name="CAS_SCR_VOL_5" hidden="0" function="0" vbProcedure="0">'[6]#ref'!#ref!</definedName>
    <definedName name="CAS_SCR_VOL_6" hidden="0" function="0" vbProcedure="0">'[6]#ref'!#ref!</definedName>
    <definedName name="CAS_SCR_VOL_7" hidden="0" function="0" vbProcedure="0">'[6]#ref'!#ref!</definedName>
    <definedName name="CAS_SCR_VOL_8" hidden="0" function="0" vbProcedure="0">'[6]#ref'!#ref!</definedName>
    <definedName name="CAS_SCR_VOL_9" hidden="0" function="0" vbProcedure="0">'[6]#ref'!#ref!</definedName>
    <definedName name="CAS_WT" hidden="0" function="0" vbProcedure="0">#ref!</definedName>
    <definedName name="Categories" hidden="0" function="0" vbProcedure="0">#ref!</definedName>
    <definedName name="category" hidden="0" function="0" vbProcedure="0">[22]Sheet2!$A$70:$A$73</definedName>
    <definedName name="cc" hidden="0" function="0" vbProcedure="0">#ref!</definedName>
    <definedName name="ccc" hidden="0" function="0" vbProcedure="0">#ref!</definedName>
    <definedName name="ccccc" hidden="0" function="0" vbProcedure="0">[79]!Macro59</definedName>
    <definedName name="cccccccccccc" hidden="1" function="0" vbProcedure="0">#ref!</definedName>
    <definedName name="cdr" hidden="0" function="0" vbProcedure="0">'[94]well test sheet'!#ref!</definedName>
    <definedName name="CDWimdbase" hidden="0" function="0" vbProcedure="0">'[23]CD''s'!$A$2:$G$374</definedName>
    <definedName name="CellCheck" hidden="0" function="0" vbProcedure="0">#ref!</definedName>
    <definedName name="Celldb" hidden="0" function="0" vbProcedure="0">#ref!</definedName>
    <definedName name="CellLoco" hidden="0" function="0" vbProcedure="0">#ref!</definedName>
    <definedName name="CELLPHONE" hidden="0" function="0" vbProcedure="0">#ref!</definedName>
    <definedName name="Cellslb" hidden="0" function="0" vbProcedure="0">#ref!</definedName>
    <definedName name="Cement" hidden="0" function="0" vbProcedure="0">#ref!</definedName>
    <definedName name="CementCompany" hidden="0" function="0" vbProcedure="0">#ref!</definedName>
    <definedName name="CENG" hidden="0" function="0" vbProcedure="0">[24]Reference!$A$2:$A$4</definedName>
    <definedName name="Cent" hidden="0" function="0" vbProcedure="0">[25]Data!$Q$3:$Q$12</definedName>
    <definedName name="Centralizers" hidden="0" function="0" vbProcedure="0">#ref!</definedName>
    <definedName name="cf" hidden="1" function="0" vbProcedure="0">{#N/A,#N/A,FALSE,"Sheet1"}</definedName>
    <definedName name="CHANGEA" hidden="0" function="0" vbProcedure="0">#ref!</definedName>
    <definedName name="CHANGEB" hidden="0" function="0" vbProcedure="0">#ref!</definedName>
    <definedName name="CHANGEC" hidden="0" function="0" vbProcedure="0">#ref!</definedName>
    <definedName name="CHANGED" hidden="0" function="0" vbProcedure="0">#ref!</definedName>
    <definedName name="CHANGEE" hidden="0" function="0" vbProcedure="0">#ref!</definedName>
    <definedName name="CHANGEF" hidden="0" function="0" vbProcedure="0">#ref!</definedName>
    <definedName name="CHANGEG" hidden="0" function="0" vbProcedure="0">#ref!</definedName>
    <definedName name="CHANGEH" hidden="0" function="0" vbProcedure="0">#ref!</definedName>
    <definedName name="CHANGEI" hidden="0" function="0" vbProcedure="0">#ref!</definedName>
    <definedName name="Chart" hidden="1" function="0" vbProcedure="0">{#N/A,#N/A,FALSE,"Sheet1"}</definedName>
    <definedName name="chart1" hidden="1" function="0" vbProcedure="0">{#N/A,#N/A,FALSE,"Sheet1"}</definedName>
    <definedName name="Chemmac" hidden="0" function="0" vbProcedure="0">#N/A</definedName>
    <definedName name="Chevron" hidden="0" function="0" vbProcedure="0">#ref!</definedName>
    <definedName name="Choice" hidden="0" function="0" vbProcedure="0">[26]Lists!$A$1:$A$3</definedName>
    <definedName name="choice2" hidden="0" function="0" vbProcedure="0">INDIRECT(#ref!)</definedName>
    <definedName name="choose" hidden="0" function="0" vbProcedure="0">#ref!</definedName>
    <definedName name="Chris_Kuyken" hidden="0" function="0" vbProcedure="0">#ref!</definedName>
    <definedName name="cim" hidden="0" function="0" vbProcedure="0">[112]!Calculate_Pipe</definedName>
    <definedName name="CIPMACRO.n2foam" hidden="0" function="0" vbProcedure="0">#N/A</definedName>
    <definedName name="circpress1" hidden="0" function="0" vbProcedure="0">#ref!</definedName>
    <definedName name="circpress10" hidden="0" function="0" vbProcedure="0">#ref!</definedName>
    <definedName name="circpress2" hidden="0" function="0" vbProcedure="0">#ref!</definedName>
    <definedName name="circpress3" hidden="0" function="0" vbProcedure="0">#ref!</definedName>
    <definedName name="circpress4" hidden="0" function="0" vbProcedure="0">#ref!</definedName>
    <definedName name="circpress5" hidden="0" function="0" vbProcedure="0">#ref!</definedName>
    <definedName name="circpress6" hidden="0" function="0" vbProcedure="0">#ref!</definedName>
    <definedName name="circpress7" hidden="0" function="0" vbProcedure="0">#ref!</definedName>
    <definedName name="circpress8" hidden="0" function="0" vbProcedure="0">#ref!</definedName>
    <definedName name="circpress9" hidden="0" function="0" vbProcedure="0">#ref!</definedName>
    <definedName name="circrate1" hidden="0" function="0" vbProcedure="0">#ref!</definedName>
    <definedName name="circrate10" hidden="0" function="0" vbProcedure="0">#ref!</definedName>
    <definedName name="circrate2" hidden="0" function="0" vbProcedure="0">#ref!</definedName>
    <definedName name="circrate3" hidden="0" function="0" vbProcedure="0">#ref!</definedName>
    <definedName name="circrate4" hidden="0" function="0" vbProcedure="0">#ref!</definedName>
    <definedName name="circrate5" hidden="0" function="0" vbProcedure="0">#ref!</definedName>
    <definedName name="circrate6" hidden="0" function="0" vbProcedure="0">#ref!</definedName>
    <definedName name="circrate7" hidden="0" function="0" vbProcedure="0">#ref!</definedName>
    <definedName name="circrate8" hidden="0" function="0" vbProcedure="0">#ref!</definedName>
    <definedName name="circrate9" hidden="0" function="0" vbProcedure="0">#ref!</definedName>
    <definedName name="circsqz" hidden="0" function="0" vbProcedure="0">#ref!</definedName>
    <definedName name="CIR_RATE_RESTRESS" hidden="0" function="0" vbProcedure="0">#ref!</definedName>
    <definedName name="City" hidden="0" function="0" vbProcedure="0">#ref!</definedName>
    <definedName name="CIV" hidden="0" function="0" vbProcedure="0">INDEX([17]DRAW!$A$2:$B$13,MATCH([17]AUTO_DHWS!$AV$10,[17]DRAW!$A$2:$A$13,0),2)</definedName>
    <definedName name="CIV_2" hidden="0" function="0" vbProcedure="0">INDEX([17]DRAW!$A$2:$B$14,MATCH([17]AUTO_DHWS!$AV$14,[17]DRAW!$A$2:$A$13,0),2)</definedName>
    <definedName name="CIV_PDHG" hidden="0" function="0" vbProcedure="0">INDEX([13]DRAW!$A$2:$B$12,MATCH([13]DRAW!$B$32,[13]DRAW!$A$2:$A$12,0),2)</definedName>
    <definedName name="CLAMPON" hidden="0" function="0" vbProcedure="0">[55]!CLAMPON</definedName>
    <definedName name="Class" hidden="0" function="0" vbProcedure="0">'[27]Name Range'!$L$2:$L$7</definedName>
    <definedName name="CLDfoto" hidden="0" function="0" vbProcedure="0">#ref!</definedName>
    <definedName name="CLDproj" hidden="0" function="0" vbProcedure="0">#ref!</definedName>
    <definedName name="CLDtieon" hidden="0" function="0" vbProcedure="0">#ref!</definedName>
    <definedName name="CLEARCONTENTS" hidden="0" function="0" vbProcedure="0">[115]!CLEARCONTENTS</definedName>
    <definedName name="CLFluid1" hidden="0" function="0" vbProcedure="0">#ref!</definedName>
    <definedName name="CLFluid10" hidden="0" function="0" vbProcedure="0">#ref!</definedName>
    <definedName name="CLFluid11" hidden="0" function="0" vbProcedure="0">#ref!</definedName>
    <definedName name="CLFluid12" hidden="0" function="0" vbProcedure="0">#ref!</definedName>
    <definedName name="CLFluid13" hidden="0" function="0" vbProcedure="0">#ref!</definedName>
    <definedName name="CLFluid14" hidden="0" function="0" vbProcedure="0">#ref!</definedName>
    <definedName name="CLFluid15" hidden="0" function="0" vbProcedure="0">#ref!</definedName>
    <definedName name="CLFluid2" hidden="0" function="0" vbProcedure="0">#ref!</definedName>
    <definedName name="CLFluid3" hidden="0" function="0" vbProcedure="0">#ref!</definedName>
    <definedName name="CLFluid4" hidden="0" function="0" vbProcedure="0">#ref!</definedName>
    <definedName name="CLFluid5" hidden="0" function="0" vbProcedure="0">#ref!</definedName>
    <definedName name="CLFluid6" hidden="0" function="0" vbProcedure="0">#ref!</definedName>
    <definedName name="CLFluid7" hidden="0" function="0" vbProcedure="0">#ref!</definedName>
    <definedName name="CLFluid8" hidden="0" function="0" vbProcedure="0">#ref!</definedName>
    <definedName name="CLFluid9" hidden="0" function="0" vbProcedure="0">#ref!</definedName>
    <definedName name="Client" hidden="0" function="0" vbProcedure="0">#ref!</definedName>
    <definedName name="Cliente" hidden="0" function="0" vbProcedure="0">#ref!</definedName>
    <definedName name="ClientFd" hidden="0" function="0" vbProcedure="0">#ref!</definedName>
    <definedName name="ClientName" hidden="0" function="0" vbProcedure="0">#ref!</definedName>
    <definedName name="Clist" hidden="0" function="0" vbProcedure="0">OFFSET(INDIRECT(ADDRESS(MATCH(CL_Wt,Objects,0)+1,2,,,"Casing Info")),0,1,COUNTIF(Objects,CL_Wt),1)</definedName>
    <definedName name="CL_Wt" hidden="0" function="0" vbProcedure="0">'[11]Database Pg1'!$E$28</definedName>
    <definedName name="Objects" hidden="0" function="0" vbProcedure="0">#ref!</definedName>
    <definedName name="Clist2" hidden="0" function="0" vbProcedure="0">OFFSET(INDIRECT(ADDRESS(MATCH(Hsize2,Objects,0)+1,2,,,"Casing Info")),0,1,COUNTIF(Objects,Hsize2),1)</definedName>
    <definedName name="Hsize2" hidden="0" function="0" vbProcedure="0">'[11]Database Pg1'!$G$81</definedName>
    <definedName name="Clist3" hidden="0" function="0" vbProcedure="0">OFFSET(INDIRECT(ADDRESS(MATCH(Hsize3,Objects,0)+1,2,,,"Casing Info")),0,1,COUNTIF(Objects,Hsize3),1)</definedName>
    <definedName name="Hsize3" hidden="0" function="0" vbProcedure="0">'[11]Database Pg1'!$G$83</definedName>
    <definedName name="Closure" hidden="0" function="0" vbProcedure="0">#ref!</definedName>
    <definedName name="ClosureAzimColumn" hidden="0" function="0" vbProcedure="0">#ref!</definedName>
    <definedName name="ClosureAzimUnit" hidden="0" function="0" vbProcedure="0">#ref!</definedName>
    <definedName name="ClosureColumn" hidden="0" function="0" vbProcedure="0">#ref!</definedName>
    <definedName name="ClosureUnit" hidden="0" function="0" vbProcedure="0">#ref!</definedName>
    <definedName name="Clrmess" hidden="0" function="0" vbProcedure="0">[115]!Clrmess</definedName>
    <definedName name="CM" hidden="0" function="0" vbProcedure="0">#ref!</definedName>
    <definedName name="CMT" hidden="0" function="0" vbProcedure="0">'[28]Ref. data2'!$C$7:$C$10</definedName>
    <definedName name="CMTshade" hidden="0" function="0" vbProcedure="0">#ref!,#ref!,#ref!,#ref!</definedName>
    <definedName name="CO2_" hidden="0" function="0" vbProcedure="0">#ref!</definedName>
    <definedName name="Code" hidden="0" function="0" vbProcedure="0">#ref!</definedName>
    <definedName name="codelist" hidden="0" function="0" vbProcedure="0">#ref!</definedName>
    <definedName name="CODETAB" hidden="0" function="0" vbProcedure="0">'[29]CODE SIN'!$C$3:$AD$240</definedName>
    <definedName name="coections" hidden="0" function="0" vbProcedure="0">[26]!coections</definedName>
    <definedName name="CoilSizes" hidden="0" function="0" vbProcedure="0">#ref!</definedName>
    <definedName name="Col10_Name" hidden="0" function="0" vbProcedure="0">#ref!</definedName>
    <definedName name="Col10_Stat" hidden="0" function="0" vbProcedure="0">#ref!</definedName>
    <definedName name="Col10_Stat_Name" hidden="0" function="0" vbProcedure="0">#ref!</definedName>
    <definedName name="Col10_Unit" hidden="0" function="0" vbProcedure="0">#ref!</definedName>
    <definedName name="Col11_Name" hidden="0" function="0" vbProcedure="0">#ref!</definedName>
    <definedName name="Col11_Stat" hidden="0" function="0" vbProcedure="0">#ref!</definedName>
    <definedName name="Col11_Stat_Name" hidden="0" function="0" vbProcedure="0">#ref!</definedName>
    <definedName name="Col11_Unit" hidden="0" function="0" vbProcedure="0">#ref!</definedName>
    <definedName name="Col12_Name" hidden="0" function="0" vbProcedure="0">#ref!</definedName>
    <definedName name="Col12_Stat" hidden="0" function="0" vbProcedure="0">#ref!</definedName>
    <definedName name="Col12_Stat_Name" hidden="0" function="0" vbProcedure="0">#ref!</definedName>
    <definedName name="Col12_Unit" hidden="0" function="0" vbProcedure="0">#ref!</definedName>
    <definedName name="Col12_Unti" hidden="0" function="0" vbProcedure="0">#ref!</definedName>
    <definedName name="Col13_Name" hidden="0" function="0" vbProcedure="0">#ref!</definedName>
    <definedName name="Col13_Stat" hidden="0" function="0" vbProcedure="0">#ref!</definedName>
    <definedName name="Col13_Stat_Name" hidden="0" function="0" vbProcedure="0">#ref!</definedName>
    <definedName name="Col13_Unit" hidden="0" function="0" vbProcedure="0">#ref!</definedName>
    <definedName name="Col14_Name" hidden="0" function="0" vbProcedure="0">#ref!</definedName>
    <definedName name="Col14_Stat" hidden="0" function="0" vbProcedure="0">#ref!</definedName>
    <definedName name="Col14_Stat_Name" hidden="0" function="0" vbProcedure="0">#ref!</definedName>
    <definedName name="Col14_Unit" hidden="0" function="0" vbProcedure="0">#ref!</definedName>
    <definedName name="Col15_Name" hidden="0" function="0" vbProcedure="0">#ref!</definedName>
    <definedName name="Col15_Stat" hidden="0" function="0" vbProcedure="0">#ref!</definedName>
    <definedName name="Col15_Stat_Name" hidden="0" function="0" vbProcedure="0">#ref!</definedName>
    <definedName name="Col15_Unit" hidden="0" function="0" vbProcedure="0">#ref!</definedName>
    <definedName name="Col16_Name" hidden="0" function="0" vbProcedure="0">#ref!</definedName>
    <definedName name="Col16_Stat" hidden="0" function="0" vbProcedure="0">#ref!</definedName>
    <definedName name="Col16_Stat_Name" hidden="0" function="0" vbProcedure="0">#ref!</definedName>
    <definedName name="Col16_Unit" hidden="0" function="0" vbProcedure="0">#ref!</definedName>
    <definedName name="Col17_Name" hidden="0" function="0" vbProcedure="0">#ref!</definedName>
    <definedName name="Col17_Stat" hidden="0" function="0" vbProcedure="0">#ref!</definedName>
    <definedName name="Col17_Stat_Name" hidden="0" function="0" vbProcedure="0">#ref!</definedName>
    <definedName name="Col17_Unit" hidden="0" function="0" vbProcedure="0">#ref!</definedName>
    <definedName name="Col18_Name" hidden="0" function="0" vbProcedure="0">#ref!</definedName>
    <definedName name="Col18_Stat" hidden="0" function="0" vbProcedure="0">#ref!</definedName>
    <definedName name="Col18_Stat_Name" hidden="0" function="0" vbProcedure="0">#ref!</definedName>
    <definedName name="Col18_Unit" hidden="0" function="0" vbProcedure="0">#ref!</definedName>
    <definedName name="Col19_Name" hidden="0" function="0" vbProcedure="0">#ref!</definedName>
    <definedName name="Col19_Stat" hidden="0" function="0" vbProcedure="0">#ref!</definedName>
    <definedName name="Col19_Stat_Name" hidden="0" function="0" vbProcedure="0">#ref!</definedName>
    <definedName name="Col19_Unit" hidden="0" function="0" vbProcedure="0">#ref!</definedName>
    <definedName name="Col1_Name" hidden="0" function="0" vbProcedure="0">#ref!</definedName>
    <definedName name="Col1_Stat_Name" hidden="0" function="0" vbProcedure="0">#ref!</definedName>
    <definedName name="Col1_Unit" hidden="0" function="0" vbProcedure="0">#ref!</definedName>
    <definedName name="Col20_Name" hidden="0" function="0" vbProcedure="0">#ref!</definedName>
    <definedName name="Col20_Stat" hidden="0" function="0" vbProcedure="0">#ref!</definedName>
    <definedName name="Col20_Stat_Name" hidden="0" function="0" vbProcedure="0">#ref!</definedName>
    <definedName name="Col20_Unit" hidden="0" function="0" vbProcedure="0">#ref!</definedName>
    <definedName name="Col21_Name" hidden="0" function="0" vbProcedure="0">#ref!</definedName>
    <definedName name="Col21_Stat" hidden="0" function="0" vbProcedure="0">#ref!</definedName>
    <definedName name="Col21_Stat_Name" hidden="0" function="0" vbProcedure="0">#ref!</definedName>
    <definedName name="Col21_Unit" hidden="0" function="0" vbProcedure="0">#ref!</definedName>
    <definedName name="Col22_Name" hidden="0" function="0" vbProcedure="0">#ref!</definedName>
    <definedName name="Col22_Stat" hidden="0" function="0" vbProcedure="0">#ref!</definedName>
    <definedName name="Col22_Stat_Name" hidden="0" function="0" vbProcedure="0">#ref!</definedName>
    <definedName name="Col22_Unit" hidden="0" function="0" vbProcedure="0">#ref!</definedName>
    <definedName name="Col23_Name" hidden="0" function="0" vbProcedure="0">#ref!</definedName>
    <definedName name="Col23_Stat" hidden="0" function="0" vbProcedure="0">#ref!</definedName>
    <definedName name="Col23_Stat_Name" hidden="0" function="0" vbProcedure="0">#ref!</definedName>
    <definedName name="Col23_Unit" hidden="0" function="0" vbProcedure="0">#ref!</definedName>
    <definedName name="Col24_Name" hidden="0" function="0" vbProcedure="0">#ref!</definedName>
    <definedName name="Col24_Stat" hidden="0" function="0" vbProcedure="0">#ref!</definedName>
    <definedName name="Col24_Stat_Name" hidden="0" function="0" vbProcedure="0">#ref!</definedName>
    <definedName name="Col24_Unit" hidden="0" function="0" vbProcedure="0">#ref!</definedName>
    <definedName name="Col25_Name" hidden="0" function="0" vbProcedure="0">#ref!</definedName>
    <definedName name="Col25_Stat" hidden="0" function="0" vbProcedure="0">#ref!</definedName>
    <definedName name="Col25_Stat_Name" hidden="0" function="0" vbProcedure="0">#ref!</definedName>
    <definedName name="Col25_Unit" hidden="0" function="0" vbProcedure="0">#ref!</definedName>
    <definedName name="Col26_Name" hidden="0" function="0" vbProcedure="0">#ref!</definedName>
    <definedName name="Col26_Stat" hidden="0" function="0" vbProcedure="0">#ref!</definedName>
    <definedName name="Col26_Stat_Name" hidden="0" function="0" vbProcedure="0">#ref!</definedName>
    <definedName name="Col26_Unit" hidden="0" function="0" vbProcedure="0">#ref!</definedName>
    <definedName name="Col27_Name" hidden="0" function="0" vbProcedure="0">#ref!</definedName>
    <definedName name="Col27_Stat" hidden="0" function="0" vbProcedure="0">#ref!</definedName>
    <definedName name="Col27_Stat_Name" hidden="0" function="0" vbProcedure="0">#ref!</definedName>
    <definedName name="Col27_Unit" hidden="0" function="0" vbProcedure="0">#ref!</definedName>
    <definedName name="Col28_Name" hidden="0" function="0" vbProcedure="0">#ref!</definedName>
    <definedName name="Col28_Stat" hidden="0" function="0" vbProcedure="0">#ref!</definedName>
    <definedName name="Col28_Stat_Name" hidden="0" function="0" vbProcedure="0">#ref!</definedName>
    <definedName name="Col28_Unit" hidden="0" function="0" vbProcedure="0">#ref!</definedName>
    <definedName name="Col29_Name" hidden="0" function="0" vbProcedure="0">#ref!</definedName>
    <definedName name="Col29_Stat" hidden="0" function="0" vbProcedure="0">#ref!</definedName>
    <definedName name="Col29_Stat_Name" hidden="0" function="0" vbProcedure="0">#ref!</definedName>
    <definedName name="Col29_Unit" hidden="0" function="0" vbProcedure="0">#ref!</definedName>
    <definedName name="Col2_Name" hidden="0" function="0" vbProcedure="0">#ref!</definedName>
    <definedName name="Col2_Stat" hidden="0" function="0" vbProcedure="0">#ref!</definedName>
    <definedName name="Col2_Stat_Name" hidden="0" function="0" vbProcedure="0">#ref!</definedName>
    <definedName name="Col2_Unit" hidden="0" function="0" vbProcedure="0">#ref!</definedName>
    <definedName name="Col30_Name" hidden="0" function="0" vbProcedure="0">#ref!</definedName>
    <definedName name="Col30_Stat" hidden="0" function="0" vbProcedure="0">#ref!</definedName>
    <definedName name="Col30_Stat_Name" hidden="0" function="0" vbProcedure="0">#ref!</definedName>
    <definedName name="Col30_Unit" hidden="0" function="0" vbProcedure="0">#ref!</definedName>
    <definedName name="Col3_Name" hidden="0" function="0" vbProcedure="0">#ref!</definedName>
    <definedName name="Col3_Stat" hidden="0" function="0" vbProcedure="0">#ref!</definedName>
    <definedName name="Col3_Stat_Name" hidden="0" function="0" vbProcedure="0">#ref!</definedName>
    <definedName name="Col3_Unit" hidden="0" function="0" vbProcedure="0">#ref!</definedName>
    <definedName name="Col4_Name" hidden="0" function="0" vbProcedure="0">#ref!</definedName>
    <definedName name="Col4_Stat" hidden="0" function="0" vbProcedure="0">#ref!</definedName>
    <definedName name="Col4_Stat_Name" hidden="0" function="0" vbProcedure="0">#ref!</definedName>
    <definedName name="Col4_Unit" hidden="0" function="0" vbProcedure="0">#ref!</definedName>
    <definedName name="Col5_Name" hidden="0" function="0" vbProcedure="0">#ref!</definedName>
    <definedName name="Col5_Stat" hidden="0" function="0" vbProcedure="0">#ref!</definedName>
    <definedName name="Col5_Stat_Name" hidden="0" function="0" vbProcedure="0">#ref!</definedName>
    <definedName name="Col5_Unit" hidden="0" function="0" vbProcedure="0">#ref!</definedName>
    <definedName name="Col6_Name" hidden="0" function="0" vbProcedure="0">#ref!</definedName>
    <definedName name="Col6_Stat" hidden="0" function="0" vbProcedure="0">#ref!</definedName>
    <definedName name="Col6_Stat_Name" hidden="0" function="0" vbProcedure="0">#ref!</definedName>
    <definedName name="Col6_Unit" hidden="0" function="0" vbProcedure="0">#ref!</definedName>
    <definedName name="Col7_Name" hidden="0" function="0" vbProcedure="0">#ref!</definedName>
    <definedName name="Col7_Stat" hidden="0" function="0" vbProcedure="0">#ref!</definedName>
    <definedName name="Col7_Stat_Name" hidden="0" function="0" vbProcedure="0">#ref!</definedName>
    <definedName name="Col7_Unit" hidden="0" function="0" vbProcedure="0">#ref!</definedName>
    <definedName name="Col8_Name" hidden="0" function="0" vbProcedure="0">#ref!</definedName>
    <definedName name="Col8_Stat" hidden="0" function="0" vbProcedure="0">#ref!</definedName>
    <definedName name="Col8_Stat_Name" hidden="0" function="0" vbProcedure="0">#ref!</definedName>
    <definedName name="Col8_Unit" hidden="0" function="0" vbProcedure="0">#ref!</definedName>
    <definedName name="Col9_Name" hidden="0" function="0" vbProcedure="0">#ref!</definedName>
    <definedName name="Col9_Stat" hidden="0" function="0" vbProcedure="0">#ref!</definedName>
    <definedName name="Col9_Stat_Name" hidden="0" function="0" vbProcedure="0">#ref!</definedName>
    <definedName name="Col9_Unit" hidden="0" function="0" vbProcedure="0">#ref!</definedName>
    <definedName name="Collapsedb" hidden="0" function="0" vbProcedure="0">#ref!</definedName>
    <definedName name="Collapseslb" hidden="0" function="0" vbProcedure="0">#ref!</definedName>
    <definedName name="Collapsestring" hidden="0" function="0" vbProcedure="0">#ref!</definedName>
    <definedName name="Colordb" hidden="0" function="0" vbProcedure="0">#ref!</definedName>
    <definedName name="Colorslb" hidden="0" function="0" vbProcedure="0">#ref!</definedName>
    <definedName name="Col_16" hidden="0" function="0" vbProcedure="0">#ref!</definedName>
    <definedName name="ComDetails" hidden="0" function="0" vbProcedure="0">#ref!</definedName>
    <definedName name="ComLOg" hidden="0" function="0" vbProcedure="0">#ref!</definedName>
    <definedName name="Comment" hidden="0" function="0" vbProcedure="0">'[27]Name Range'!$J$2:$J$6</definedName>
    <definedName name="CommentColumn" hidden="0" function="0" vbProcedure="0">!#ref!</definedName>
    <definedName name="CommSchemes" hidden="0" function="0" vbProcedure="0">#ref!</definedName>
    <definedName name="COMP" hidden="1" function="0" vbProcedure="0">{#N/A,#N/A,FALSE,"Volume"}</definedName>
    <definedName name="Companies" hidden="0" function="0" vbProcedure="0">#ref!</definedName>
    <definedName name="Company" hidden="0" function="0" vbProcedure="0">#ref!</definedName>
    <definedName name="CompanyMan" hidden="0" function="0" vbProcedure="0">'[30]Liner Job Info'!$E$7</definedName>
    <definedName name="CompanyName" hidden="0" function="0" vbProcedure="0">'[30]Liner Job Info'!$E$4</definedName>
    <definedName name="Companyy" hidden="0" function="0" vbProcedure="0">#ref!</definedName>
    <definedName name="Company_Man" hidden="0" function="0" vbProcedure="0">#ref!</definedName>
    <definedName name="Company_Name" hidden="0" function="0" vbProcedure="0">#ref!</definedName>
    <definedName name="compfluidtype" hidden="0" function="0" vbProcedure="0">#ref!</definedName>
    <definedName name="compfluidwt" hidden="0" function="0" vbProcedure="0">#ref!</definedName>
    <definedName name="Compl._Fluid_Type" hidden="0" function="0" vbProcedure="0">#ref!</definedName>
    <definedName name="Compl._Fluid_Wt." hidden="0" function="0" vbProcedure="0">#ref!</definedName>
    <definedName name="Complete" hidden="0" function="0" vbProcedure="0">[60]auf_screen!#ref!</definedName>
    <definedName name="CompletionCode" hidden="0" function="0" vbProcedure="0">#ref!</definedName>
    <definedName name="Completion_Code" hidden="0" function="0" vbProcedure="0">[20]Data!$AE$2:$AE$126</definedName>
    <definedName name="Completion_End_Date" hidden="0" function="0" vbProcedure="0">#ref!</definedName>
    <definedName name="Completion_Start_Date" hidden="0" function="0" vbProcedure="0">#ref!</definedName>
    <definedName name="Completion_Tally_Sheet" hidden="0" function="0" vbProcedure="0">'[31]Tally - Upper Completion'!$A$16:$AC$596</definedName>
    <definedName name="Completion_Tubing_Size" hidden="0" function="0" vbProcedure="0">[20]Data!$AF$2:$AF$8</definedName>
    <definedName name="COMPL_FL_VOL" hidden="0" function="0" vbProcedure="0">#ref!</definedName>
    <definedName name="COMPL_FL_WT" hidden="0" function="0" vbProcedure="0">#ref!</definedName>
    <definedName name="Components" hidden="0" function="0" vbProcedure="0">#ref!</definedName>
    <definedName name="ComponentTable" hidden="0" function="0" vbProcedure="0">#ref!</definedName>
    <definedName name="ComponentTableHeader" hidden="0" function="0" vbProcedure="0">#ref!</definedName>
    <definedName name="compres" hidden="0" function="0" vbProcedure="0">'[7]Drop-Down Items'!$G$5:$G$9</definedName>
    <definedName name="Compressionaldb" hidden="0" function="0" vbProcedure="0">#ref!</definedName>
    <definedName name="Compressionalslb" hidden="0" function="0" vbProcedure="0">#ref!</definedName>
    <definedName name="Compressionstring" hidden="0" function="0" vbProcedure="0">#ref!</definedName>
    <definedName name="comptype" hidden="0" function="0" vbProcedure="0">[5]WTR!$G$27</definedName>
    <definedName name="Conduc._Size" hidden="0" function="0" vbProcedure="0">#ref!</definedName>
    <definedName name="Cone" hidden="0" function="0" vbProcedure="0">#ref!</definedName>
    <definedName name="conections" hidden="0" function="0" vbProcedure="0">[26]!conections</definedName>
    <definedName name="Conflict1" hidden="1" function="0" vbProcedure="0">{#N/A,#N/A,FALSE,"Drlg Param Run 1-1";#N/A,#N/A,FALSE,"DDR (3)";#N/A,#N/A,FALSE,"BHA AT (1)";#N/A,#N/A,FALSE,"Downlinkbha";#N/A,#N/A,FALSE,"Job Status Report"}</definedName>
    <definedName name="conical" hidden="0" function="0" vbProcedure="0">#ref!</definedName>
    <definedName name="ConnAll" hidden="0" function="0" vbProcedure="0">#ref!</definedName>
    <definedName name="ConnDn" hidden="0" function="0" vbProcedure="0">#ref!</definedName>
    <definedName name="Connect" hidden="0" function="0" vbProcedure="0">#ref!</definedName>
    <definedName name="CONNECTION" hidden="0" function="0" vbProcedure="0">#ref!</definedName>
    <definedName name="ConnectionHeader" hidden="0" function="0" vbProcedure="0">#ref!</definedName>
    <definedName name="ConnectionUnits" hidden="0" function="0" vbProcedure="0">#ref!</definedName>
    <definedName name="ConnUp" hidden="0" function="0" vbProcedure="0">#ref!</definedName>
    <definedName name="conn_cost" hidden="0" function="0" vbProcedure="0">#ref!</definedName>
    <definedName name="conref" hidden="0" function="0" vbProcedure="0">#ref!</definedName>
    <definedName name="consequence" hidden="0" function="0" vbProcedure="0">#ref!</definedName>
    <definedName name="Consolidation" hidden="0" function="0" vbProcedure="0">[60]auf_screen!#ref!,[60]auf_screen!#ref!,[60]auf_screen!#ref!,[60]auf_screen!#ref!,[60]auf_screen!#ref!,[60]auf_screen!#ref!,[60]auf_screen!#ref!,[60]auf_screen!#ref!,[60]auf_screen!#ref!</definedName>
    <definedName name="Consolisdation" hidden="0" function="0" vbProcedure="0">[60]auf_screen!#ref!,[60]auf_screen!#ref!,[60]auf_screen!#ref!,[60]auf_screen!#ref!,[60]auf_screen!#ref!,[60]auf_screen!#ref!,[60]auf_screen!#ref!,[60]auf_screen!#ref!,[60]auf_screen!#ref!,[60]auf_screen!#ref!</definedName>
    <definedName name="CONT" hidden="0" function="0" vbProcedure="0">#ref!</definedName>
    <definedName name="Contact" hidden="0" function="0" vbProcedure="0">[32]Mapping!$C$2:$C$10</definedName>
    <definedName name="Contact1" hidden="0" function="0" vbProcedure="0">[33]Mapping!$C$2:$C$10</definedName>
    <definedName name="Contacts" hidden="0" function="0" vbProcedure="0">#ref!</definedName>
    <definedName name="Contingency" hidden="0" function="0" vbProcedure="0">#ref!</definedName>
    <definedName name="contract" hidden="0" function="0" vbProcedure="0">'[34]Call Sheet'!$E$3</definedName>
    <definedName name="Contracting_entities" hidden="0" function="0" vbProcedure="0">'[35]drop downs'!$C$3:$C$11</definedName>
    <definedName name="Contraction" hidden="0" function="0" vbProcedure="0">#ref!</definedName>
    <definedName name="contractnum" hidden="0" function="0" vbProcedure="0">#ref!</definedName>
    <definedName name="contractor" hidden="0" function="0" vbProcedure="0">'[34]Call Sheet'!$E$6</definedName>
    <definedName name="Conv" hidden="0" function="0" vbProcedure="0">#ref!</definedName>
    <definedName name="CoordinateReference" hidden="0" function="0" vbProcedure="0">#ref!</definedName>
    <definedName name="CoordinateSystem" hidden="0" function="0" vbProcedure="0">#ref!</definedName>
    <definedName name="Coordinator" hidden="0" function="0" vbProcedure="0">#ref!</definedName>
    <definedName name="COPL" hidden="0" function="0" vbProcedure="0">#ref!</definedName>
    <definedName name="COPYDESGN" hidden="0" function="0" vbProcedure="0">[55]!COPYDESGN</definedName>
    <definedName name="copy_these" hidden="0" function="0" vbProcedure="0">#ref!</definedName>
    <definedName name="Corebarrel_type" hidden="0" function="0" vbProcedure="0">[20]Data!$V$2:$V$10</definedName>
    <definedName name="COREP" hidden="0" function="0" vbProcedure="0">#ref!</definedName>
    <definedName name="corrdriftlist" hidden="0" function="0" vbProcedure="0">#N/A</definedName>
    <definedName name="corrdriftlist2" hidden="0" function="0" vbProcedure="0">#N/A</definedName>
    <definedName name="corrdriftlist3" hidden="0" function="0" vbProcedure="0">#N/A</definedName>
    <definedName name="corrdriftlista" hidden="0" function="0" vbProcedure="0">#N/A</definedName>
    <definedName name="corridlist" hidden="0" function="0" vbProcedure="0">#N/A</definedName>
    <definedName name="corridlist2" hidden="0" function="0" vbProcedure="0">#N/A</definedName>
    <definedName name="corridlist3" hidden="0" function="0" vbProcedure="0">#N/A</definedName>
    <definedName name="corrlist" hidden="0" function="0" vbProcedure="0">#N/A</definedName>
    <definedName name="corrlist2" hidden="0" function="0" vbProcedure="0">#N/A</definedName>
    <definedName name="corrlist3" hidden="0" function="0" vbProcedure="0">#N/A</definedName>
    <definedName name="corrlist4" hidden="0" function="0" vbProcedure="0">#N/A</definedName>
    <definedName name="COSAF" hidden="0" function="0" vbProcedure="0">#ref!</definedName>
    <definedName name="COSAJK" hidden="0" function="0" vbProcedure="0">#ref!</definedName>
    <definedName name="COSBF" hidden="0" function="0" vbProcedure="0">#ref!</definedName>
    <definedName name="COSBJK" hidden="0" function="0" vbProcedure="0">#ref!</definedName>
    <definedName name="cosssnuk" hidden="0" function="0" vbProcedure="0">#ref!</definedName>
    <definedName name="Cost" hidden="0" function="0" vbProcedure="0">#ref!</definedName>
    <definedName name="COSTF" hidden="0" function="0" vbProcedure="0">#ref!</definedName>
    <definedName name="COSTJK" hidden="0" function="0" vbProcedure="0">#ref!</definedName>
    <definedName name="Costs" hidden="0" function="0" vbProcedure="0">#ref!</definedName>
    <definedName name="Cotry" hidden="0" function="0" vbProcedure="0">'[11]Liner Job Info'!$E$10</definedName>
    <definedName name="Countries" hidden="0" function="0" vbProcedure="0">[11]DATA!$BR$1:$BR$196</definedName>
    <definedName name="Country" hidden="0" function="0" vbProcedure="0">#ref!</definedName>
    <definedName name="Country1" hidden="0" function="0" vbProcedure="0">#ref!</definedName>
    <definedName name="County" hidden="0" function="0" vbProcedure="0">#ref!</definedName>
    <definedName name="Coupling" hidden="0" function="0" vbProcedure="0">#ref!</definedName>
    <definedName name="Coupls" hidden="0" function="0" vbProcedure="0">#ref!</definedName>
    <definedName name="CQ" hidden="0" function="0" vbProcedure="0">#ref!</definedName>
    <definedName name="Crack_DH" hidden="0" function="0" vbProcedure="0">#ref!</definedName>
    <definedName name="Crack_Press" hidden="0" function="0" vbProcedure="0">#ref!</definedName>
    <definedName name="Created" hidden="0" function="0" vbProcedure="0">[60]auf_screen!#ref!</definedName>
    <definedName name="CreateDate" hidden="0" function="0" vbProcedure="0">#ref!</definedName>
    <definedName name="CreatedBy" hidden="0" function="0" vbProcedure="0">#ref!</definedName>
    <definedName name="Created_By" hidden="0" function="0" vbProcedure="0">[60]auf_screen!#ref!</definedName>
    <definedName name="Crew" hidden="0" function="0" vbProcedure="0">[36]Personnel!$A$3:$D$37</definedName>
    <definedName name="crew0" hidden="0" function="0" vbProcedure="0">#ref!</definedName>
    <definedName name="crew1" hidden="0" function="0" vbProcedure="0">#ref!</definedName>
    <definedName name="crew2" hidden="0" function="0" vbProcedure="0">#ref!</definedName>
    <definedName name="crew3" hidden="0" function="0" vbProcedure="0">#ref!</definedName>
    <definedName name="crews" hidden="0" function="0" vbProcedure="0">[36]Personnel!$A$3:$D$37</definedName>
    <definedName name="Critical" hidden="0" function="0" vbProcedure="0">#N/A</definedName>
    <definedName name="crs" hidden="0" function="0" vbProcedure="0">[37]RSS!$E$199:$E$205</definedName>
    <definedName name="CRS_FLOAT_VALVE" hidden="0" function="0" vbProcedure="0">[38]RSS!$O$177:$O$180</definedName>
    <definedName name="CRS_FLOW_KIT" hidden="0" function="0" vbProcedure="0">[38]RSS!$E$181:$E$184</definedName>
    <definedName name="CRS_STAB" hidden="0" function="0" vbProcedure="0">[38]RSS!$E$191:$E$197</definedName>
    <definedName name="Cs" hidden="0" function="0" vbProcedure="0">0.25</definedName>
    <definedName name="csg" hidden="0" function="0" vbProcedure="0">#ref!</definedName>
    <definedName name="Csg1a" hidden="0" function="0" vbProcedure="0">#ref!</definedName>
    <definedName name="CSG20_Volume" hidden="0" function="0" vbProcedure="0">#ref!</definedName>
    <definedName name="Csg2a" hidden="0" function="0" vbProcedure="0">#ref!</definedName>
    <definedName name="Csg3a" hidden="0" function="0" vbProcedure="0">#ref!</definedName>
    <definedName name="CsgDr" hidden="0" function="0" vbProcedure="0">[6]Sheet1!$H$14:$H$19</definedName>
    <definedName name="CsgDrift1" hidden="0" function="0" vbProcedure="0">#ref!</definedName>
    <definedName name="CsgDrift2" hidden="0" function="0" vbProcedure="0">#ref!</definedName>
    <definedName name="CsgDrift3" hidden="0" function="0" vbProcedure="0">#ref!</definedName>
    <definedName name="CsgDrift4" hidden="0" function="0" vbProcedure="0">#ref!</definedName>
    <definedName name="CsgGr" hidden="0" function="0" vbProcedure="0">[6]Sheet1!$I$1:$I$8</definedName>
    <definedName name="CsgGrade" hidden="0" function="0" vbProcedure="0">#ref!</definedName>
    <definedName name="CsgGrd1" hidden="0" function="0" vbProcedure="0">#ref!</definedName>
    <definedName name="CsgGrd2" hidden="0" function="0" vbProcedure="0">#ref!</definedName>
    <definedName name="CsgGrd3" hidden="0" function="0" vbProcedure="0">#ref!</definedName>
    <definedName name="CsgGrd4" hidden="0" function="0" vbProcedure="0">#ref!</definedName>
    <definedName name="CsgID" hidden="0" function="0" vbProcedure="0">#ref!</definedName>
    <definedName name="CsgID1" hidden="0" function="0" vbProcedure="0">#ref!</definedName>
    <definedName name="CsgID2" hidden="0" function="0" vbProcedure="0">#ref!</definedName>
    <definedName name="CsgID3" hidden="0" function="0" vbProcedure="0">#ref!</definedName>
    <definedName name="CsgID4" hidden="0" function="0" vbProcedure="0">#ref!</definedName>
    <definedName name="CsgInternalYeild" hidden="0" function="0" vbProcedure="0">#ref!</definedName>
    <definedName name="CsgPt" hidden="0" function="0" vbProcedure="0">#ref!</definedName>
    <definedName name="CsgSelect" hidden="0" function="0" vbProcedure="0">#ref!</definedName>
    <definedName name="CsgShoe" hidden="0" function="0" vbProcedure="0">#ref!</definedName>
    <definedName name="CsgShoeLeakoff" hidden="0" function="0" vbProcedure="0">#ref!</definedName>
    <definedName name="CsgSz1" hidden="0" function="0" vbProcedure="0">#ref!</definedName>
    <definedName name="CsgSz2" hidden="0" function="0" vbProcedure="0">#ref!</definedName>
    <definedName name="CsgSz3" hidden="0" function="0" vbProcedure="0">#ref!</definedName>
    <definedName name="CsgSz4" hidden="0" function="0" vbProcedure="0">#ref!</definedName>
    <definedName name="CsgTally" hidden="0" function="0" vbProcedure="0">#ref!</definedName>
    <definedName name="CsgThd1" hidden="0" function="0" vbProcedure="0">#ref!</definedName>
    <definedName name="CsgThd2" hidden="0" function="0" vbProcedure="0">#ref!</definedName>
    <definedName name="CsgThd3" hidden="0" function="0" vbProcedure="0">#ref!</definedName>
    <definedName name="CsgThd4" hidden="0" function="0" vbProcedure="0">#ref!</definedName>
    <definedName name="CSGWT" hidden="0" function="0" vbProcedure="0">#ref!</definedName>
    <definedName name="CsgWt1" hidden="0" function="0" vbProcedure="0">#ref!</definedName>
    <definedName name="CsgWt2" hidden="0" function="0" vbProcedure="0">#ref!</definedName>
    <definedName name="CsgWt3" hidden="0" function="0" vbProcedure="0">#ref!</definedName>
    <definedName name="CsgWt4" hidden="0" function="0" vbProcedure="0">#ref!</definedName>
    <definedName name="Csg_Bst" hidden="0" function="0" vbProcedure="0">#ref!</definedName>
    <definedName name="Csg_Burst" hidden="0" function="0" vbProcedure="0">#ref!</definedName>
    <definedName name="Csg_Burstz" hidden="0" function="0" vbProcedure="0">'[11]Liner Job Info'!$H$14</definedName>
    <definedName name="Csg_Dft" hidden="0" function="0" vbProcedure="0">#ref!</definedName>
    <definedName name="CSG_DPTH" hidden="0" function="0" vbProcedure="0">#ref!</definedName>
    <definedName name="CSG_DPTHz" hidden="0" function="0" vbProcedure="0">'[11]Liner Job Info'!$P$14</definedName>
    <definedName name="CSG_Grd" hidden="0" function="0" vbProcedure="0">#ref!</definedName>
    <definedName name="CSG_ID" hidden="0" function="0" vbProcedure="0">#ref!</definedName>
    <definedName name="CSG_ID_Area" hidden="0" function="0" vbProcedure="0">#ref!</definedName>
    <definedName name="CSG_MYS" hidden="0" function="0" vbProcedure="0">#ref!</definedName>
    <definedName name="CSG_OD" hidden="0" function="0" vbProcedure="0">#ref!</definedName>
    <definedName name="CSG_shoe" hidden="0" function="0" vbProcedure="0">#ref!,#ref!,#ref!,#ref!</definedName>
    <definedName name="CSG_SHOE_DEPTH_13.375" hidden="0" function="0" vbProcedure="0">#ref!</definedName>
    <definedName name="CSG_SHOE_DEPTH_9.625" hidden="0" function="0" vbProcedure="0">#ref!</definedName>
    <definedName name="Csg_Size" hidden="0" function="0" vbProcedure="0">[25]Data!$B$3:$B$30</definedName>
    <definedName name="CSG_Thread" hidden="0" function="0" vbProcedure="0">#ref!</definedName>
    <definedName name="Csg_Wt" hidden="0" function="0" vbProcedure="0">#ref!</definedName>
    <definedName name="cslipjoint" hidden="0" function="0" vbProcedure="0">#ref!</definedName>
    <definedName name="CSR" hidden="0" function="0" vbProcedure="0">#ref!</definedName>
    <definedName name="CsShoeDepth" hidden="0" function="0" vbProcedure="0">#ref!</definedName>
    <definedName name="CS_10" hidden="0" function="0" vbProcedure="0">#ref!</definedName>
    <definedName name="CS_100" hidden="0" function="0" vbProcedure="0">#ref!</definedName>
    <definedName name="CS_10S" hidden="0" function="0" vbProcedure="0">#ref!</definedName>
    <definedName name="CS_120" hidden="0" function="0" vbProcedure="0">#ref!</definedName>
    <definedName name="CS_140" hidden="0" function="0" vbProcedure="0">#ref!</definedName>
    <definedName name="CS_160" hidden="0" function="0" vbProcedure="0">#ref!</definedName>
    <definedName name="CS_20" hidden="0" function="0" vbProcedure="0">#ref!</definedName>
    <definedName name="CS_30" hidden="0" function="0" vbProcedure="0">#ref!</definedName>
    <definedName name="CS_40" hidden="0" function="0" vbProcedure="0">#ref!</definedName>
    <definedName name="CS_40S" hidden="0" function="0" vbProcedure="0">#ref!</definedName>
    <definedName name="CS_5S" hidden="0" function="0" vbProcedure="0">#ref!</definedName>
    <definedName name="CS_60" hidden="0" function="0" vbProcedure="0">#ref!</definedName>
    <definedName name="CS_80" hidden="0" function="0" vbProcedure="0">#ref!</definedName>
    <definedName name="CS_80S" hidden="0" function="0" vbProcedure="0">#ref!</definedName>
    <definedName name="CS_STD" hidden="0" function="0" vbProcedure="0">#ref!</definedName>
    <definedName name="CS_XS" hidden="0" function="0" vbProcedure="0">#ref!</definedName>
    <definedName name="CS_XXS" hidden="0" function="0" vbProcedure="0">#ref!</definedName>
    <definedName name="Cthree" hidden="0" function="0" vbProcedure="0">#ref!</definedName>
    <definedName name="Ctwo" hidden="0" function="0" vbProcedure="0">#ref!</definedName>
    <definedName name="CU.FT." hidden="0" function="0" vbProcedure="0">#ref!</definedName>
    <definedName name="cubicfootperfoot" hidden="0" function="0" vbProcedure="0">#ref!</definedName>
    <definedName name="Cum" hidden="0" function="0" vbProcedure="0">#ref!</definedName>
    <definedName name="CumCost" hidden="0" function="0" vbProcedure="0">#ref!</definedName>
    <definedName name="CumLengthUnits" hidden="0" function="0" vbProcedure="0">#ref!</definedName>
    <definedName name="CumP1a" hidden="0" function="0" vbProcedure="0">#ref!</definedName>
    <definedName name="CumP1b" hidden="0" function="0" vbProcedure="0">#ref!</definedName>
    <definedName name="CumP1c" hidden="0" function="0" vbProcedure="0">#ref!</definedName>
    <definedName name="CumP1d" hidden="0" function="0" vbProcedure="0">#ref!</definedName>
    <definedName name="CumP1e" hidden="0" function="0" vbProcedure="0">#ref!</definedName>
    <definedName name="CumS1a" hidden="0" function="0" vbProcedure="0">#ref!</definedName>
    <definedName name="CumS1b" hidden="0" function="0" vbProcedure="0">#ref!</definedName>
    <definedName name="CumS1c" hidden="0" function="0" vbProcedure="0">#ref!</definedName>
    <definedName name="CumS1d" hidden="0" function="0" vbProcedure="0">#ref!</definedName>
    <definedName name="CumS1e" hidden="0" function="0" vbProcedure="0">#ref!</definedName>
    <definedName name="CumWeightUnits" hidden="0" function="0" vbProcedure="0">#ref!</definedName>
    <definedName name="currency" hidden="0" function="0" vbProcedure="0">#ref!</definedName>
    <definedName name="curves" hidden="0" function="0" vbProcedure="0">[39]UNCFLAM8!$AJ$10:$AJ$25</definedName>
    <definedName name="CusCV" hidden="0" function="0" vbProcedure="0">#ref!</definedName>
    <definedName name="CusFBot1" hidden="0" function="0" vbProcedure="0">#ref!</definedName>
    <definedName name="CusFBot2" hidden="0" function="0" vbProcedure="0">#ref!</definedName>
    <definedName name="CusFBot3" hidden="0" function="0" vbProcedure="0">#ref!</definedName>
    <definedName name="CusFBot4" hidden="0" function="0" vbProcedure="0">#ref!</definedName>
    <definedName name="CusFTop1" hidden="0" function="0" vbProcedure="0">#ref!</definedName>
    <definedName name="CusFTop2" hidden="0" function="0" vbProcedure="0">#ref!</definedName>
    <definedName name="CusFTop3" hidden="0" function="0" vbProcedure="0">#ref!</definedName>
    <definedName name="CusFTop4" hidden="0" function="0" vbProcedure="0">#ref!</definedName>
    <definedName name="CusFW1" hidden="0" function="0" vbProcedure="0">#ref!</definedName>
    <definedName name="CusFW2" hidden="0" function="0" vbProcedure="0">#ref!</definedName>
    <definedName name="CusFW3" hidden="0" function="0" vbProcedure="0">#ref!</definedName>
    <definedName name="CusFW4" hidden="0" function="0" vbProcedure="0">#ref!</definedName>
    <definedName name="CushionHW" hidden="0" function="0" vbProcedure="0">#ref!</definedName>
    <definedName name="CusJar" hidden="0" function="0" vbProcedure="0">#ref!</definedName>
    <definedName name="CusPsk" hidden="0" function="0" vbProcedure="0">#ref!</definedName>
    <definedName name="CusPTV" hidden="0" function="0" vbProcedure="0">#ref!</definedName>
    <definedName name="CusRT" hidden="0" function="0" vbProcedure="0">#ref!</definedName>
    <definedName name="CusRV" hidden="0" function="0" vbProcedure="0">#ref!</definedName>
    <definedName name="CusSLPJ" hidden="0" function="0" vbProcedure="0">#ref!</definedName>
    <definedName name="Cust" hidden="0" function="0" vbProcedure="0">#ref!</definedName>
    <definedName name="Customer" hidden="0" function="0" vbProcedure="0">#ref!</definedName>
    <definedName name="customer1" hidden="0" function="0" vbProcedure="0">#N/A</definedName>
    <definedName name="Customer2" hidden="0" function="0" vbProcedure="0">#N/A</definedName>
    <definedName name="customerid" hidden="0" function="0" vbProcedure="0">#ref!</definedName>
    <definedName name="CustomerName" hidden="0" function="0" vbProcedure="0">#ref!</definedName>
    <definedName name="CustomerNo" hidden="0" function="0" vbProcedure="0">#ref!</definedName>
    <definedName name="CustomerNumber" hidden="0" function="0" vbProcedure="0">#ref!</definedName>
    <definedName name="CustomerRefNumber" hidden="0" function="0" vbProcedure="0">#ref!</definedName>
    <definedName name="customerrep" hidden="0" function="0" vbProcedure="0">#ref!</definedName>
    <definedName name="Customers" hidden="0" function="0" vbProcedure="0">#ref!</definedName>
    <definedName name="CusTV" hidden="0" function="0" vbProcedure="0">#ref!</definedName>
    <definedName name="Cust_Index" hidden="0" function="0" vbProcedure="0">'[12]JCSI 12'!$V$26</definedName>
    <definedName name="cv" hidden="0" function="0" vbProcedure="0">#ref!</definedName>
    <definedName name="CVA" hidden="0" function="0" vbProcedure="0">#ref!</definedName>
    <definedName name="CVDepth" hidden="0" function="0" vbProcedure="0">#ref!</definedName>
    <definedName name="CX" hidden="0" function="0" vbProcedure="0">#ref!</definedName>
    <definedName name="Cyl_Yield" hidden="0" function="0" vbProcedure="0">#ref!</definedName>
    <definedName name="C_" hidden="0" function="0" vbProcedure="0">#ref!</definedName>
    <definedName name="d" hidden="0" function="0" vbProcedure="0">#ref!</definedName>
    <definedName name="DA" hidden="0" function="0" vbProcedure="0">[139]tonmiles!#ref!</definedName>
    <definedName name="DAADA" hidden="0" function="0" vbProcedure="0">[112]!Calculate_Pipe</definedName>
    <definedName name="DAD" hidden="0" function="0" vbProcedure="0">#ref!</definedName>
    <definedName name="DADAA" hidden="0" function="0" vbProcedure="0">#ref!</definedName>
    <definedName name="DAEFF" hidden="0" function="0" vbProcedure="0">#ref!</definedName>
    <definedName name="Daily_Rate" hidden="0" function="0" vbProcedure="0">#ref!</definedName>
    <definedName name="Dammam" hidden="0" function="0" vbProcedure="0">#ref!</definedName>
    <definedName name="Dammam_B._Shale" hidden="0" function="0" vbProcedure="0">#ref!</definedName>
    <definedName name="DAPage" hidden="0" function="0" vbProcedure="0">#ref!</definedName>
    <definedName name="DAR" hidden="0" function="0" vbProcedure="0">'[30]calculo de gas total'!#ref!</definedName>
    <definedName name="DAS_Specialist" hidden="0" function="0" vbProcedure="0">'[27]Name Range'!$M$2:$M$4</definedName>
    <definedName name="data" hidden="0" function="0" vbProcedure="0">#ref!</definedName>
    <definedName name="data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BaseName" hidden="0" function="0" vbProcedure="0">#ref!</definedName>
    <definedName name="DataPipe" hidden="0" function="0" vbProcedure="0">#ref!</definedName>
    <definedName name="Dataq1" hidden="0" function="0" vbProcedure="0">#ref!</definedName>
    <definedName name="DataRowCenterAlignDark" hidden="0" function="0" vbProcedure="0">#ref!</definedName>
    <definedName name="DataRowCenterAlignDarkItalics" hidden="0" function="0" vbProcedure="0">#ref!</definedName>
    <definedName name="DataRowCenterAlignLight" hidden="0" function="0" vbProcedure="0">#ref!</definedName>
    <definedName name="DataRowCenterAlignLightItalics" hidden="0" function="0" vbProcedure="0">#ref!</definedName>
    <definedName name="DataRowCrossCenterLight" hidden="0" function="0" vbProcedure="0">#ref!</definedName>
    <definedName name="DataRowLeftAlignDark" hidden="0" function="0" vbProcedure="0">#ref!</definedName>
    <definedName name="DataRowLeftAlignDarkItalics" hidden="0" function="0" vbProcedure="0">#ref!</definedName>
    <definedName name="DataRowLeftAlignLight" hidden="0" function="0" vbProcedure="0">#ref!</definedName>
    <definedName name="DataRowLeftAlignLightItalics" hidden="0" function="0" vbProcedure="0">#ref!</definedName>
    <definedName name="DataRowRightAlignDark" hidden="0" function="0" vbProcedure="0">#ref!</definedName>
    <definedName name="DataRowRightAlignDark0" hidden="0" function="0" vbProcedure="0">#ref!</definedName>
    <definedName name="DataRowRightAlignDark1" hidden="0" function="0" vbProcedure="0">#ref!</definedName>
    <definedName name="DataRowRightAlignDark10" hidden="0" function="0" vbProcedure="0">#ref!</definedName>
    <definedName name="DataRowRightAlignDark2" hidden="0" function="0" vbProcedure="0">#ref!</definedName>
    <definedName name="DataRowRightAlignDark3" hidden="0" function="0" vbProcedure="0">#ref!</definedName>
    <definedName name="DataRowRightAlignDark4" hidden="0" function="0" vbProcedure="0">#ref!</definedName>
    <definedName name="DataRowRightAlignDark5" hidden="0" function="0" vbProcedure="0">#ref!</definedName>
    <definedName name="DataRowRightAlignDark6" hidden="0" function="0" vbProcedure="0">#ref!</definedName>
    <definedName name="DataRowRightAlignDark7" hidden="0" function="0" vbProcedure="0">#ref!</definedName>
    <definedName name="DataRowRightAlignDark8" hidden="0" function="0" vbProcedure="0">#ref!</definedName>
    <definedName name="DataRowRightAlignDark9" hidden="0" function="0" vbProcedure="0">#ref!</definedName>
    <definedName name="DataRowRightAlignDarkItalics" hidden="0" function="0" vbProcedure="0">#ref!</definedName>
    <definedName name="DataRowRightAlignDarkItalics0" hidden="0" function="0" vbProcedure="0">#ref!</definedName>
    <definedName name="DataRowRightAlignDarkItalics1" hidden="0" function="0" vbProcedure="0">#ref!</definedName>
    <definedName name="DataRowRightAlignDarkItalics10" hidden="0" function="0" vbProcedure="0">#ref!</definedName>
    <definedName name="DataRowRightAlignDarkItalics2" hidden="0" function="0" vbProcedure="0">#ref!</definedName>
    <definedName name="DataRowRightAlignDarkItalics3" hidden="0" function="0" vbProcedure="0">#ref!</definedName>
    <definedName name="DataRowRightAlignDarkItalics4" hidden="0" function="0" vbProcedure="0">#ref!</definedName>
    <definedName name="DataRowRightAlignDarkItalics5" hidden="0" function="0" vbProcedure="0">#ref!</definedName>
    <definedName name="DataRowRightAlignDarkItalics6" hidden="0" function="0" vbProcedure="0">#ref!</definedName>
    <definedName name="DataRowRightAlignDarkItalics7" hidden="0" function="0" vbProcedure="0">#ref!</definedName>
    <definedName name="DataRowRightAlignDarkItalics8" hidden="0" function="0" vbProcedure="0">#ref!</definedName>
    <definedName name="DataRowRightAlignDarkItalics9" hidden="0" function="0" vbProcedure="0">#ref!</definedName>
    <definedName name="DataRowRightAlignLight" hidden="0" function="0" vbProcedure="0">#ref!</definedName>
    <definedName name="DataRowRightAlignLight0" hidden="0" function="0" vbProcedure="0">#ref!</definedName>
    <definedName name="DataRowRightAlignLight1" hidden="0" function="0" vbProcedure="0">#ref!</definedName>
    <definedName name="DataRowRightAlignLight10" hidden="0" function="0" vbProcedure="0">#ref!</definedName>
    <definedName name="DataRowRightAlignLight2" hidden="0" function="0" vbProcedure="0">#ref!</definedName>
    <definedName name="DataRowRightAlignLight3" hidden="0" function="0" vbProcedure="0">#ref!</definedName>
    <definedName name="DataRowRightAlignLight4" hidden="0" function="0" vbProcedure="0">#ref!</definedName>
    <definedName name="DataRowRightAlignLight5" hidden="0" function="0" vbProcedure="0">#ref!</definedName>
    <definedName name="DataRowRightAlignLight6" hidden="0" function="0" vbProcedure="0">#ref!</definedName>
    <definedName name="DataRowRightAlignLight7" hidden="0" function="0" vbProcedure="0">#ref!</definedName>
    <definedName name="DataRowRightAlignLight8" hidden="0" function="0" vbProcedure="0">#ref!</definedName>
    <definedName name="DataRowRightAlignLight9" hidden="0" function="0" vbProcedure="0">#ref!</definedName>
    <definedName name="DataRowRightAlignLightItalics" hidden="0" function="0" vbProcedure="0">#ref!</definedName>
    <definedName name="DataRowRightAlignLightItalics0" hidden="0" function="0" vbProcedure="0">#ref!</definedName>
    <definedName name="DataRowRightAlignLightItalics1" hidden="0" function="0" vbProcedure="0">#ref!</definedName>
    <definedName name="DataRowRightAlignLightItalics10" hidden="0" function="0" vbProcedure="0">#ref!</definedName>
    <definedName name="DataRowRightAlignLightItalics2" hidden="0" function="0" vbProcedure="0">#ref!</definedName>
    <definedName name="DataRowRightAlignLightItalics3" hidden="0" function="0" vbProcedure="0">#ref!</definedName>
    <definedName name="DataRowRightAlignLightItalics4" hidden="0" function="0" vbProcedure="0">#ref!</definedName>
    <definedName name="DataRowRightAlignLightItalics5" hidden="0" function="0" vbProcedure="0">#ref!</definedName>
    <definedName name="DataRowRightAlignLightItalics6" hidden="0" function="0" vbProcedure="0">#ref!</definedName>
    <definedName name="DataRowRightAlignLightItalics7" hidden="0" function="0" vbProcedure="0">#ref!</definedName>
    <definedName name="DataRowRightAlignLightItalics8" hidden="0" function="0" vbProcedure="0">#ref!</definedName>
    <definedName name="DataRowRightAlignLightItalics9" hidden="0" function="0" vbProcedure="0">#ref!</definedName>
    <definedName name="DataStart" hidden="0" function="0" vbProcedure="0">!#ref!</definedName>
    <definedName name="datatable" hidden="0" function="0" vbProcedure="0">#ref!</definedName>
    <definedName name="datatabledb" hidden="0" function="0" vbProcedure="0">#ref!</definedName>
    <definedName name="datatableslb" hidden="0" function="0" vbProcedure="0">#ref!</definedName>
    <definedName name="Data_Formyy__h_mmPM_Red__" hidden="0" function="0" vbProcedure="0">#ref!</definedName>
    <definedName name="Data_Ranges" hidden="0" function="0" vbProcedure="0">[60]auf_screen!#ref!</definedName>
    <definedName name="data_sort" hidden="0" function="0" vbProcedure="0">#ref!</definedName>
    <definedName name="Data_Table" hidden="0" function="0" vbProcedure="0">#ref!</definedName>
    <definedName name="date" hidden="0" function="0" vbProcedure="0">#ref!</definedName>
    <definedName name="DATEASSY" hidden="0" function="0" vbProcedure="0">#ref!</definedName>
    <definedName name="DateFd" hidden="0" function="0" vbProcedure="0">#ref!</definedName>
    <definedName name="dateonloc" hidden="0" function="0" vbProcedure="0">'[40]Job Summ.'!$X$31</definedName>
    <definedName name="datepostbriefed" hidden="0" function="0" vbProcedure="0">#ref!</definedName>
    <definedName name="dateprebriefed" hidden="0" function="0" vbProcedure="0">#ref!</definedName>
    <definedName name="datesded" hidden="0" function="0" vbProcedure="0">#ref!</definedName>
    <definedName name="DateTimeArrive" hidden="0" function="0" vbProcedure="0">#ref!</definedName>
    <definedName name="date_ref" hidden="0" function="0" vbProcedure="0">#ref!</definedName>
    <definedName name="DAVCO" hidden="0" function="0" vbProcedure="0">#ref!</definedName>
    <definedName name="daysoff" hidden="0" function="0" vbProcedure="0">#ref!</definedName>
    <definedName name="dc" hidden="0" function="0" vbProcedure="0">#ref!</definedName>
    <definedName name="dcicbbls" hidden="0" function="0" vbProcedure="0">#ref!</definedName>
    <definedName name="dcohbbls" hidden="0" function="0" vbProcedure="0">#ref!</definedName>
    <definedName name="dcohft" hidden="0" function="0" vbProcedure="0">#ref!</definedName>
    <definedName name="DCSCo" hidden="0" function="0" vbProcedure="0">#ref!</definedName>
    <definedName name="DCSt" hidden="0" function="0" vbProcedure="0">#ref!</definedName>
    <definedName name="DC_4" hidden="0" function="0" vbProcedure="0">#ref!</definedName>
    <definedName name="DC_6" hidden="0" function="0" vbProcedure="0">#ref!</definedName>
    <definedName name="DC_8" hidden="0" function="0" vbProcedure="0">#ref!</definedName>
    <definedName name="DC_9" hidden="0" function="0" vbProcedure="0">#ref!</definedName>
    <definedName name="dd" hidden="0" function="0" vbProcedure="0">#ref!</definedName>
    <definedName name="Dd1_Name" hidden="0" function="0" vbProcedure="0">#ref!</definedName>
    <definedName name="Dd2_Name" hidden="0" function="0" vbProcedure="0">#ref!</definedName>
    <definedName name="dddd" hidden="0" function="0" vbProcedure="0">#ref!</definedName>
    <definedName name="dddddddddddddd" hidden="1" function="0" vbProcedure="0">#ref!</definedName>
    <definedName name="DD_2" hidden="0" function="0" vbProcedure="0">'[41]Dropdown List'!$B$2:$B$6</definedName>
    <definedName name="DD_3" hidden="0" function="0" vbProcedure="0">'[41]Dropdown List'!$C$2:$C$4</definedName>
    <definedName name="DD_5" hidden="0" function="0" vbProcedure="0">'[41]Dropdown List'!$F$2:$F$4</definedName>
    <definedName name="DECANALSCP" hidden="0" function="0" vbProcedure="0">#ref!</definedName>
    <definedName name="DECANALSSWE" hidden="0" function="0" vbProcedure="0">#ref!</definedName>
    <definedName name="decdhm" hidden="0" function="0" vbProcedure="0">#ref!</definedName>
    <definedName name="decdlr" hidden="0" function="0" vbProcedure="0">#ref!</definedName>
    <definedName name="decfrc" hidden="0" function="0" vbProcedure="0">#ref!</definedName>
    <definedName name="deck1034" hidden="0" function="0" vbProcedure="0">'[144]blank casing deck tally'!#ref!</definedName>
    <definedName name="DECK_TALLY" hidden="0" function="0" vbProcedure="0">#ref!</definedName>
    <definedName name="decpnd" hidden="0" function="0" vbProcedure="0">#ref!</definedName>
    <definedName name="decrl" hidden="0" function="0" vbProcedure="0">#ref!</definedName>
    <definedName name="decrup" hidden="0" function="0" vbProcedure="0">#ref!</definedName>
    <definedName name="decrupees" hidden="0" function="0" vbProcedure="0">#ref!</definedName>
    <definedName name="DECSUMSCP" hidden="0" function="0" vbProcedure="0">#ref!</definedName>
    <definedName name="DECSUMSSWE" hidden="0" function="0" vbProcedure="0">#ref!</definedName>
    <definedName name="DEFAULT_INTERVALS" hidden="1" function="0" vbProcedure="0">"OVERALL REDUCTION,1s,5s,10s,30s,1m,2m,5m,10m,30m,1H,2H,4H,8H,1D,7D,30D"</definedName>
    <definedName name="deg" hidden="0" function="0" vbProcedure="0">#ref!</definedName>
    <definedName name="Delay" hidden="0" function="0" vbProcedure="0">#ref!</definedName>
    <definedName name="DelayDual1" hidden="0" function="0" vbProcedure="0">#ref!</definedName>
    <definedName name="DelayDual2" hidden="0" function="0" vbProcedure="0">#ref!</definedName>
    <definedName name="deliveredto" hidden="0" function="0" vbProcedure="0">#ref!</definedName>
    <definedName name="deliverto" hidden="0" function="0" vbProcedure="0">#ref!</definedName>
    <definedName name="Delivery" hidden="0" function="0" vbProcedure="0">#ref!</definedName>
    <definedName name="DeliveryTicket" hidden="0" function="0" vbProcedure="0">#ref!</definedName>
    <definedName name="delma" hidden="0" function="0" vbProcedure="0">[145]!JointNumber</definedName>
    <definedName name="DEM" hidden="0" function="0" vbProcedure="0">[42]Reference!$F$2:$F$3</definedName>
    <definedName name="DENG" hidden="0" function="0" vbProcedure="0">[24]Reference!$B$2:$B$9</definedName>
    <definedName name="Dense_A" hidden="0" function="0" vbProcedure="0">#ref!</definedName>
    <definedName name="Dense_B" hidden="0" function="0" vbProcedure="0">#ref!</definedName>
    <definedName name="Dense_C" hidden="0" function="0" vbProcedure="0">#ref!</definedName>
    <definedName name="Dense_D" hidden="0" function="0" vbProcedure="0">#ref!</definedName>
    <definedName name="Dense_E" hidden="0" function="0" vbProcedure="0">#ref!</definedName>
    <definedName name="Dense_F" hidden="0" function="0" vbProcedure="0">#ref!</definedName>
    <definedName name="Dense_G" hidden="0" function="0" vbProcedure="0">#ref!</definedName>
    <definedName name="Dense_H" hidden="0" function="0" vbProcedure="0">#ref!</definedName>
    <definedName name="Dense_Habshan_1" hidden="0" function="0" vbProcedure="0">#ref!</definedName>
    <definedName name="Dense_Habshan_2" hidden="0" function="0" vbProcedure="0">#ref!</definedName>
    <definedName name="Dense_Habshan_3" hidden="0" function="0" vbProcedure="0">#ref!</definedName>
    <definedName name="Dense_Habshan_4" hidden="0" function="0" vbProcedure="0">#ref!</definedName>
    <definedName name="Dense_Habshan_4A" hidden="0" function="0" vbProcedure="0">#ref!</definedName>
    <definedName name="Dense_Habshan_5" hidden="0" function="0" vbProcedure="0">#ref!</definedName>
    <definedName name="Dense_Unit_11" hidden="0" function="0" vbProcedure="0">#ref!</definedName>
    <definedName name="Dense_Unit_12" hidden="0" function="0" vbProcedure="0">#ref!</definedName>
    <definedName name="Dense_Unit_13" hidden="0" function="0" vbProcedure="0">#ref!</definedName>
    <definedName name="Dense_Unit_14" hidden="0" function="0" vbProcedure="0">#ref!</definedName>
    <definedName name="Dense_Unit_15" hidden="0" function="0" vbProcedure="0">#ref!</definedName>
    <definedName name="Dense_Unit_17" hidden="0" function="0" vbProcedure="0">#ref!</definedName>
    <definedName name="Dense_Unit_18" hidden="0" function="0" vbProcedure="0">#ref!</definedName>
    <definedName name="Dense_Unit_6" hidden="0" function="0" vbProcedure="0">#ref!</definedName>
    <definedName name="Dense_Unit_7" hidden="0" function="0" vbProcedure="0">#ref!</definedName>
    <definedName name="Dense_Unit_8" hidden="0" function="0" vbProcedure="0">#ref!</definedName>
    <definedName name="Dense_Unit_9" hidden="0" function="0" vbProcedure="0">#ref!</definedName>
    <definedName name="DENSITY" hidden="0" function="0" vbProcedure="0">#ref!</definedName>
    <definedName name="DEP" hidden="0" function="0" vbProcedure="0">#ref!</definedName>
    <definedName name="department" hidden="0" function="0" vbProcedure="0">'[40]Job Summ.'!$X$6</definedName>
    <definedName name="DEPH" hidden="0" function="0" vbProcedure="0">#ref!</definedName>
    <definedName name="dept1" hidden="0" function="0" vbProcedure="0">#ref!</definedName>
    <definedName name="DEPTH" hidden="0" function="0" vbProcedure="0">#ref!</definedName>
    <definedName name="DepthIn" hidden="0" function="0" vbProcedure="0">#ref!</definedName>
    <definedName name="DepthIncremental" hidden="0" function="0" vbProcedure="0">#ref!</definedName>
    <definedName name="DepthInput" hidden="0" function="0" vbProcedure="0">#ref!</definedName>
    <definedName name="DepthInUnits" hidden="0" function="0" vbProcedure="0">#ref!</definedName>
    <definedName name="depthlblstring" hidden="0" function="0" vbProcedure="0">#ref!</definedName>
    <definedName name="DepthOut" hidden="0" function="0" vbProcedure="0">#ref!</definedName>
    <definedName name="DepthOutUnits" hidden="0" function="0" vbProcedure="0">#ref!</definedName>
    <definedName name="DepthRefString" hidden="0" function="0" vbProcedure="0">#ref!</definedName>
    <definedName name="DepthTable" hidden="0" function="0" vbProcedure="0">#ref!</definedName>
    <definedName name="DepthUnit" hidden="0" function="0" vbProcedure="0">#ref!</definedName>
    <definedName name="Depth_In" hidden="0" function="0" vbProcedure="0">#ref!</definedName>
    <definedName name="Depth_Out" hidden="0" function="0" vbProcedure="0">#ref!</definedName>
    <definedName name="DEPTH_TAGGED_PREPACK" hidden="0" function="0" vbProcedure="0">#ref!</definedName>
    <definedName name="Dept_Index" hidden="0" function="0" vbProcedure="0">'[12]JCSI 12'!$Y$26</definedName>
    <definedName name="DEQ" hidden="0" function="0" vbProcedure="0">#ref!</definedName>
    <definedName name="der" hidden="0" function="0" vbProcedure="0">#ref!</definedName>
    <definedName name="description" hidden="0" function="0" vbProcedure="0">#ref!</definedName>
    <definedName name="Description1" hidden="0" function="0" vbProcedure="0">#ref!</definedName>
    <definedName name="Description10" hidden="0" function="0" vbProcedure="0">#ref!</definedName>
    <definedName name="Description11" hidden="0" function="0" vbProcedure="0">#ref!</definedName>
    <definedName name="Description12" hidden="0" function="0" vbProcedure="0">#ref!</definedName>
    <definedName name="Description13" hidden="0" function="0" vbProcedure="0">#ref!</definedName>
    <definedName name="Description14" hidden="0" function="0" vbProcedure="0">#ref!</definedName>
    <definedName name="Description15" hidden="0" function="0" vbProcedure="0">#ref!</definedName>
    <definedName name="Description16" hidden="0" function="0" vbProcedure="0">#ref!</definedName>
    <definedName name="Description17" hidden="0" function="0" vbProcedure="0">#ref!</definedName>
    <definedName name="Description18" hidden="0" function="0" vbProcedure="0">#ref!</definedName>
    <definedName name="Description19" hidden="0" function="0" vbProcedure="0">#ref!</definedName>
    <definedName name="Description1db" hidden="0" function="0" vbProcedure="0">#ref!</definedName>
    <definedName name="Description1slb" hidden="0" function="0" vbProcedure="0">#ref!</definedName>
    <definedName name="Description2" hidden="0" function="0" vbProcedure="0">#ref!</definedName>
    <definedName name="Description20" hidden="0" function="0" vbProcedure="0">#ref!</definedName>
    <definedName name="Description2db" hidden="0" function="0" vbProcedure="0">#ref!</definedName>
    <definedName name="Description2slb" hidden="0" function="0" vbProcedure="0">#ref!</definedName>
    <definedName name="Description3" hidden="0" function="0" vbProcedure="0">#ref!</definedName>
    <definedName name="Description4" hidden="0" function="0" vbProcedure="0">#ref!</definedName>
    <definedName name="Description5" hidden="0" function="0" vbProcedure="0">#ref!</definedName>
    <definedName name="Description6" hidden="0" function="0" vbProcedure="0">#ref!</definedName>
    <definedName name="Description7" hidden="0" function="0" vbProcedure="0">#ref!</definedName>
    <definedName name="Description8" hidden="0" function="0" vbProcedure="0">#ref!</definedName>
    <definedName name="Description9" hidden="0" function="0" vbProcedure="0">#ref!</definedName>
    <definedName name="descriptionstring" hidden="0" function="0" vbProcedure="0">#ref!</definedName>
    <definedName name="DESCRIPT_TABLE" hidden="0" function="0" vbProcedure="0">#ref!</definedName>
    <definedName name="designpressurelimitsstringlbl" hidden="0" function="0" vbProcedure="0">#ref!</definedName>
    <definedName name="designtempstringlbl" hidden="0" function="0" vbProcedure="0">#ref!</definedName>
    <definedName name="designtensilelimitsstringlbl" hidden="0" function="0" vbProcedure="0">#ref!</definedName>
    <definedName name="Desired_Set_Down" hidden="0" function="0" vbProcedure="0">#ref!</definedName>
    <definedName name="details1" hidden="0" function="0" vbProcedure="0">#ref!</definedName>
    <definedName name="details2" hidden="0" function="0" vbProcedure="0">#ref!</definedName>
    <definedName name="Dev" hidden="0" function="0" vbProcedure="0">#ref!</definedName>
    <definedName name="DevFd" hidden="0" function="0" vbProcedure="0">#ref!</definedName>
    <definedName name="Deviation" hidden="0" function="0" vbProcedure="0">#ref!</definedName>
    <definedName name="DeviationFd" hidden="0" function="0" vbProcedure="0">#ref!</definedName>
    <definedName name="df" hidden="0" function="0" vbProcedure="0">#ref!</definedName>
    <definedName name="dfg" hidden="0" function="0" vbProcedure="0">#ref!</definedName>
    <definedName name="dfr" hidden="0" function="0" vbProcedure="0">#ref!</definedName>
    <definedName name="dftg" hidden="0" function="0" vbProcedure="0">#ref!</definedName>
    <definedName name="dg" hidden="0" function="0" vbProcedure="0">#ref!</definedName>
    <definedName name="dgr" hidden="0" function="0" vbProcedure="0">#ref!</definedName>
    <definedName name="DH" hidden="1" function="0" vbProcedure="0">#ref!</definedName>
    <definedName name="DHT" hidden="0" function="0" vbProcedure="0">#ref!</definedName>
    <definedName name="DHWS" hidden="1" function="0" vbProcedure="0">#ref!</definedName>
    <definedName name="DHWS1" hidden="0" function="0" vbProcedure="0">'[148]run sheet'!#ref!</definedName>
    <definedName name="DHWS_BB1373" hidden="1" function="0" vbProcedure="0">#ref!</definedName>
    <definedName name="DHWS_DY332" hidden="1" function="0" vbProcedure="0">#ref!</definedName>
    <definedName name="DIAGRAM" hidden="0" function="0" vbProcedure="0">#ref!</definedName>
    <definedName name="DiameterConversion" hidden="0" function="0" vbProcedure="0">#ref!</definedName>
    <definedName name="diameterUnit" hidden="0" function="0" vbProcedure="0">'[43]Metric Conversions'!$C$160</definedName>
    <definedName name="DiamUnit" hidden="0" function="0" vbProcedure="0">#ref!</definedName>
    <definedName name="DIESEL" hidden="0" function="0" vbProcedure="0">#ref!</definedName>
    <definedName name="Diff_Across_Ball" hidden="0" function="0" vbProcedure="0">#ref!</definedName>
    <definedName name="DIF_T_U_" hidden="0" function="0" vbProcedure="0">'[58]7-30-04'!#ref!</definedName>
    <definedName name="DigitNumber" hidden="0" function="0" vbProcedure="0">#ref!</definedName>
    <definedName name="Digit_Time" hidden="0" function="0" vbProcedure="0">#ref!</definedName>
    <definedName name="Dip" hidden="0" function="0" vbProcedure="0">#ref!</definedName>
    <definedName name="DipAngle" hidden="0" function="0" vbProcedure="0">#ref!</definedName>
    <definedName name="DIRCNG" hidden="0" function="0" vbProcedure="0">#ref!</definedName>
    <definedName name="Directional" hidden="0" function="0" vbProcedure="0">#ref!</definedName>
    <definedName name="DIRfoto" hidden="0" function="0" vbProcedure="0">#ref!</definedName>
    <definedName name="DIRobj" hidden="0" function="0" vbProcedure="0">#ref!</definedName>
    <definedName name="DIRtieon" hidden="0" function="0" vbProcedure="0">#ref!</definedName>
    <definedName name="DISC" hidden="0" function="0" vbProcedure="0">'[44]7-30-04'!$GO$7457</definedName>
    <definedName name="Discription" hidden="0" function="0" vbProcedure="0">#ref!</definedName>
    <definedName name="Discrition1" hidden="0" function="0" vbProcedure="0">#ref!</definedName>
    <definedName name="Disp._Fluid_Type" hidden="0" function="0" vbProcedure="0">#ref!</definedName>
    <definedName name="Disp._Fluid_Weight" hidden="0" function="0" vbProcedure="0">#ref!</definedName>
    <definedName name="Displacement" hidden="0" function="0" vbProcedure="0">#ref!</definedName>
    <definedName name="DisplacementMethod" hidden="0" function="0" vbProcedure="0">#ref!</definedName>
    <definedName name="DisplayFormat" hidden="0" function="0" vbProcedure="0">#ref!</definedName>
    <definedName name="DispP1a" hidden="0" function="0" vbProcedure="0">#ref!</definedName>
    <definedName name="DispP1b" hidden="0" function="0" vbProcedure="0">#ref!</definedName>
    <definedName name="DispP1c" hidden="0" function="0" vbProcedure="0">#ref!</definedName>
    <definedName name="DispP1d" hidden="0" function="0" vbProcedure="0">#ref!</definedName>
    <definedName name="DispP1e" hidden="0" function="0" vbProcedure="0">#ref!</definedName>
    <definedName name="DispS1a" hidden="0" function="0" vbProcedure="0">#ref!</definedName>
    <definedName name="DispS1b" hidden="0" function="0" vbProcedure="0">#ref!</definedName>
    <definedName name="DispS1c" hidden="0" function="0" vbProcedure="0">#ref!</definedName>
    <definedName name="DispS1d" hidden="0" function="0" vbProcedure="0">#ref!</definedName>
    <definedName name="DispS1e" hidden="0" function="0" vbProcedure="0">#ref!</definedName>
    <definedName name="Disp_Fluid_Wt" hidden="0" function="0" vbProcedure="0">#ref!</definedName>
    <definedName name="DISTfotobj" hidden="0" function="0" vbProcedure="0">#ref!</definedName>
    <definedName name="District" hidden="0" function="0" vbProcedure="0">#ref!</definedName>
    <definedName name="DistrictPh" hidden="0" function="0" vbProcedure="0">#ref!</definedName>
    <definedName name="Districts" hidden="0" function="0" vbProcedure="0">#ref!</definedName>
    <definedName name="Dist_Orient_Mode_1" hidden="0" function="0" vbProcedure="0">#ref!</definedName>
    <definedName name="Dist_Orient_Mode_1_Name" hidden="0" function="0" vbProcedure="0">#ref!</definedName>
    <definedName name="Dist_Orient_Mode_2" hidden="0" function="0" vbProcedure="0">#ref!</definedName>
    <definedName name="Dist_Orient_Mode_2_Name" hidden="0" function="0" vbProcedure="0">#ref!</definedName>
    <definedName name="Dist_Rotating" hidden="0" function="0" vbProcedure="0">#ref!</definedName>
    <definedName name="Dist_Steering" hidden="0" function="0" vbProcedure="0">#ref!</definedName>
    <definedName name="diverterbreakerconc" hidden="0" function="0" vbProcedure="0">#ref!</definedName>
    <definedName name="diverterbreakertype" hidden="0" function="0" vbProcedure="0">#ref!</definedName>
    <definedName name="divertercarriervis" hidden="0" function="0" vbProcedure="0">#ref!</definedName>
    <definedName name="divertercarrierwt" hidden="0" function="0" vbProcedure="0">#ref!</definedName>
    <definedName name="diverterfiltered" hidden="0" function="0" vbProcedure="0">#ref!</definedName>
    <definedName name="diverterlbs" hidden="0" function="0" vbProcedure="0">#ref!</definedName>
    <definedName name="divertermixratio" hidden="0" function="0" vbProcedure="0">#ref!</definedName>
    <definedName name="divertersheared" hidden="0" function="0" vbProcedure="0">#ref!</definedName>
    <definedName name="divertertype" hidden="0" function="0" vbProcedure="0">#ref!</definedName>
    <definedName name="divertervol" hidden="0" function="0" vbProcedure="0">#ref!</definedName>
    <definedName name="diviation" hidden="0" function="0" vbProcedure="0">#ref!</definedName>
    <definedName name="DIV_MIX_RATIO" hidden="0" function="0" vbProcedure="0">#ref!</definedName>
    <definedName name="djoko" hidden="1" function="0" vbProcedure="0">#ref!</definedName>
    <definedName name="dk" hidden="1" function="0" vbProcedure="0">#ref!</definedName>
    <definedName name="DL" hidden="0" function="0" vbProcedure="0">#ref!</definedName>
    <definedName name="Dlead" hidden="0" function="0" vbProcedure="0">#ref!</definedName>
    <definedName name="DLR" hidden="0" function="0" vbProcedure="0">#ref!</definedName>
    <definedName name="dlr_pnd" hidden="0" function="0" vbProcedure="0">#ref!</definedName>
    <definedName name="DLS" hidden="0" function="0" vbProcedure="0">#ref!</definedName>
    <definedName name="DLSAHEAD" hidden="0" function="0" vbProcedure="0">#ref!</definedName>
    <definedName name="DLSBOH" hidden="0" function="0" vbProcedure="0">#ref!</definedName>
    <definedName name="DLS_Column" hidden="0" function="0" vbProcedure="0">!#ref!</definedName>
    <definedName name="DLS_CompMethod" hidden="0" function="0" vbProcedure="0">#ref!</definedName>
    <definedName name="DLS_Unit" hidden="0" function="0" vbProcedure="0">#ref!</definedName>
    <definedName name="DM" hidden="0" function="0" vbProcedure="0">'[10]data sheet'!$J$2:$J$3</definedName>
    <definedName name="DMO" hidden="0" function="0" vbProcedure="0">#ref!</definedName>
    <definedName name="Dmsl" hidden="0" function="0" vbProcedure="0">#ref!</definedName>
    <definedName name="do" hidden="0" function="0" vbProcedure="0">[145]!JointNumber</definedName>
    <definedName name="DocNum" hidden="0" function="0" vbProcedure="0">#ref!</definedName>
    <definedName name="DocRev" hidden="0" function="0" vbProcedure="0">#ref!</definedName>
    <definedName name="docs" hidden="0" function="0" vbProcedure="0">#ref!</definedName>
    <definedName name="DocTitle" hidden="0" function="0" vbProcedure="0">#ref!</definedName>
    <definedName name="Doc_Rev" hidden="0" function="0" vbProcedure="0">#ref!</definedName>
    <definedName name="Dogleg" hidden="0" function="0" vbProcedure="0">#ref!</definedName>
    <definedName name="DOUG" hidden="0" function="0" vbProcedure="0">#ref!</definedName>
    <definedName name="dp" hidden="0" function="0" vbProcedure="0">#ref!</definedName>
    <definedName name="DP1_Cap" hidden="0" function="0" vbProcedure="0">#ref!</definedName>
    <definedName name="dp1_conn" hidden="0" function="0" vbProcedure="0">#ref!</definedName>
    <definedName name="DP1_Cross_Sect" hidden="0" function="0" vbProcedure="0">#ref!</definedName>
    <definedName name="DP1_Grd" hidden="0" function="0" vbProcedure="0">#ref!</definedName>
    <definedName name="DP1_ID" hidden="0" function="0" vbProcedure="0">#ref!</definedName>
    <definedName name="DP1_Leng" hidden="0" function="0" vbProcedure="0">#ref!</definedName>
    <definedName name="DP1_Lengz" hidden="0" function="0" vbProcedure="0">'[11]Liner Job Info'!$I$22</definedName>
    <definedName name="DP1_MYS" hidden="0" function="0" vbProcedure="0">#ref!</definedName>
    <definedName name="DP1_OD" hidden="0" function="0" vbProcedure="0">#ref!</definedName>
    <definedName name="DP1_Tens" hidden="0" function="0" vbProcedure="0">#ref!</definedName>
    <definedName name="DP1_Vol" hidden="0" function="0" vbProcedure="0">#ref!</definedName>
    <definedName name="DP1_Volz" hidden="0" function="0" vbProcedure="0">'[11]Metric Conversions'!$C$70</definedName>
    <definedName name="DP1_Wt_inmud" hidden="0" function="0" vbProcedure="0">#ref!</definedName>
    <definedName name="DP1_Wt_Per_Ft" hidden="0" function="0" vbProcedure="0">#ref!</definedName>
    <definedName name="DP1_X_Csg_Vol" hidden="0" function="0" vbProcedure="0">#ref!</definedName>
    <definedName name="DP1_X_Csg_Volz" hidden="0" function="0" vbProcedure="0">'[11]Metric Conversions'!$C$85</definedName>
    <definedName name="DP2_Cap" hidden="0" function="0" vbProcedure="0">#ref!</definedName>
    <definedName name="dp2_conn" hidden="0" function="0" vbProcedure="0">#ref!</definedName>
    <definedName name="DP2_Cross_Sect" hidden="0" function="0" vbProcedure="0">#ref!</definedName>
    <definedName name="DP2_Grd" hidden="0" function="0" vbProcedure="0">#ref!</definedName>
    <definedName name="DP2_ID" hidden="0" function="0" vbProcedure="0">#ref!</definedName>
    <definedName name="DP2_Leng" hidden="0" function="0" vbProcedure="0">#ref!</definedName>
    <definedName name="DP2_Lengz" hidden="0" function="0" vbProcedure="0">'[11]Liner Job Info'!$I$23</definedName>
    <definedName name="DP2_MYS" hidden="0" function="0" vbProcedure="0">#ref!</definedName>
    <definedName name="DP2_OD" hidden="0" function="0" vbProcedure="0">#ref!</definedName>
    <definedName name="DP2_Tens" hidden="0" function="0" vbProcedure="0">#ref!</definedName>
    <definedName name="DP2_Vol" hidden="0" function="0" vbProcedure="0">#ref!</definedName>
    <definedName name="DP2_Volz" hidden="0" function="0" vbProcedure="0">'[11]Metric Conversions'!$C$71</definedName>
    <definedName name="DP2_Wt_inmud" hidden="0" function="0" vbProcedure="0">#ref!</definedName>
    <definedName name="DP2_Wt_Per_Ft" hidden="0" function="0" vbProcedure="0">#ref!</definedName>
    <definedName name="DP2_X_Csg_Vol" hidden="0" function="0" vbProcedure="0">#ref!</definedName>
    <definedName name="DP2_X_Csg_Volz" hidden="0" function="0" vbProcedure="0">'[11]Metric Conversions'!$C$86</definedName>
    <definedName name="DP3_bbl_per_ft" hidden="0" function="0" vbProcedure="0">#ref!</definedName>
    <definedName name="DP3_Cap" hidden="0" function="0" vbProcedure="0">#ref!</definedName>
    <definedName name="dp3_conn" hidden="0" function="0" vbProcedure="0">#ref!</definedName>
    <definedName name="DP3_Grd" hidden="0" function="0" vbProcedure="0">#ref!</definedName>
    <definedName name="DP3_ID" hidden="0" function="0" vbProcedure="0">#ref!</definedName>
    <definedName name="DP3_Leng" hidden="0" function="0" vbProcedure="0">#ref!</definedName>
    <definedName name="DP3_Lengz" hidden="0" function="0" vbProcedure="0">'[11]Liner Job Info'!$I$24</definedName>
    <definedName name="DP3_MYS" hidden="0" function="0" vbProcedure="0">#ref!</definedName>
    <definedName name="DP3_OD" hidden="0" function="0" vbProcedure="0">#ref!</definedName>
    <definedName name="DP3_Tens" hidden="0" function="0" vbProcedure="0">#ref!</definedName>
    <definedName name="DP3_Vol" hidden="0" function="0" vbProcedure="0">#ref!</definedName>
    <definedName name="DP3_Volz" hidden="0" function="0" vbProcedure="0">'[11]Metric Conversions'!$C$72</definedName>
    <definedName name="DP3_Wt_inmud" hidden="0" function="0" vbProcedure="0">#ref!</definedName>
    <definedName name="DP3_Wt_Per_Ft" hidden="0" function="0" vbProcedure="0">#ref!</definedName>
    <definedName name="DP3_X_Csg_Vol" hidden="0" function="0" vbProcedure="0">#ref!</definedName>
    <definedName name="DP3_X_Csg_Volz" hidden="0" function="0" vbProcedure="0">'[11]Metric Conversions'!$C$87</definedName>
    <definedName name="DP4_Cap" hidden="0" function="0" vbProcedure="0">#ref!</definedName>
    <definedName name="dp4_conn" hidden="0" function="0" vbProcedure="0">#ref!</definedName>
    <definedName name="DP4_Cross_Sect" hidden="0" function="0" vbProcedure="0">#ref!</definedName>
    <definedName name="DP4_Grd" hidden="0" function="0" vbProcedure="0">#ref!</definedName>
    <definedName name="DP4_ID" hidden="0" function="0" vbProcedure="0">#ref!</definedName>
    <definedName name="DP4_Leng" hidden="0" function="0" vbProcedure="0">#ref!</definedName>
    <definedName name="DP4_Lengz" hidden="0" function="0" vbProcedure="0">'[11]Liner Job Info'!$I$25</definedName>
    <definedName name="DP4_MYS" hidden="0" function="0" vbProcedure="0">#ref!</definedName>
    <definedName name="DP4_OD" hidden="0" function="0" vbProcedure="0">#ref!</definedName>
    <definedName name="DP4_Tens" hidden="0" function="0" vbProcedure="0">#ref!</definedName>
    <definedName name="DP4_Vol" hidden="0" function="0" vbProcedure="0">#ref!</definedName>
    <definedName name="DP4_Volz" hidden="0" function="0" vbProcedure="0">'[11]Metric Conversions'!$C$73</definedName>
    <definedName name="DP4_Wt_inmud" hidden="0" function="0" vbProcedure="0">#ref!</definedName>
    <definedName name="DP4_Wt_Per_Ft" hidden="0" function="0" vbProcedure="0">#ref!</definedName>
    <definedName name="DP4_X_Csg_Vol" hidden="0" function="0" vbProcedure="0">#ref!</definedName>
    <definedName name="DP4_X_Csg_Volz" hidden="0" function="0" vbProcedure="0">'[11]Metric Conversions'!$C$88</definedName>
    <definedName name="DP5_bbl_per_ft" hidden="0" function="0" vbProcedure="0">#ref!</definedName>
    <definedName name="DP5_Cap" hidden="0" function="0" vbProcedure="0">#ref!</definedName>
    <definedName name="dp5_conn" hidden="0" function="0" vbProcedure="0">#ref!</definedName>
    <definedName name="DP5_Cross_Sect" hidden="0" function="0" vbProcedure="0">#ref!</definedName>
    <definedName name="DP5_Grd" hidden="0" function="0" vbProcedure="0">#ref!</definedName>
    <definedName name="DP5_ID" hidden="0" function="0" vbProcedure="0">#ref!</definedName>
    <definedName name="DP5_Leng" hidden="0" function="0" vbProcedure="0">#ref!</definedName>
    <definedName name="DP5_Lengz" hidden="0" function="0" vbProcedure="0">'[11]Liner Job Info'!$I$26</definedName>
    <definedName name="DP5_MYS" hidden="0" function="0" vbProcedure="0">#ref!</definedName>
    <definedName name="DP5_OD" hidden="0" function="0" vbProcedure="0">#ref!</definedName>
    <definedName name="DP5_Tens" hidden="0" function="0" vbProcedure="0">#ref!</definedName>
    <definedName name="DP5_Vol" hidden="0" function="0" vbProcedure="0">#ref!</definedName>
    <definedName name="DP5_Volz" hidden="0" function="0" vbProcedure="0">'[11]Metric Conversions'!$C$74</definedName>
    <definedName name="DP5_Wt_inmud" hidden="0" function="0" vbProcedure="0">#ref!</definedName>
    <definedName name="DP5_Wt_Per_Ft" hidden="0" function="0" vbProcedure="0">#ref!</definedName>
    <definedName name="DP5_X_Csg_Vol" hidden="0" function="0" vbProcedure="0">#ref!</definedName>
    <definedName name="DP5_X_Csg_Volz" hidden="0" function="0" vbProcedure="0">'[11]Metric Conversions'!$C$89</definedName>
    <definedName name="dpdt" hidden="0" function="0" vbProcedure="0">'[45]WCT-Ft'!$Q$4:$X$18</definedName>
    <definedName name="DPi" hidden="0" function="0" vbProcedure="0">#ref!</definedName>
    <definedName name="DPia" hidden="0" function="0" vbProcedure="0">#ref!</definedName>
    <definedName name="dpicbbls" hidden="0" function="0" vbProcedure="0">#ref!</definedName>
    <definedName name="DPIDColumn" hidden="0" function="0" vbProcedure="0">#ref!</definedName>
    <definedName name="DPNumber_35" hidden="0" function="0" vbProcedure="0">'[46]DP Length'!$B$3:$B$1000</definedName>
    <definedName name="DPNumber_5" hidden="0" function="0" vbProcedure="0">'[46]DP Length'!$D$3:$D$1000</definedName>
    <definedName name="DPo" hidden="0" function="0" vbProcedure="0">#ref!</definedName>
    <definedName name="DPoa" hidden="0" function="0" vbProcedure="0">#ref!</definedName>
    <definedName name="dpohbbls" hidden="0" function="0" vbProcedure="0">#ref!</definedName>
    <definedName name="dpohft" hidden="0" function="0" vbProcedure="0">#ref!</definedName>
    <definedName name="DPSCo" hidden="0" function="0" vbProcedure="0">#ref!</definedName>
    <definedName name="DPSizeColumn" hidden="0" function="0" vbProcedure="0">#ref!</definedName>
    <definedName name="DPSizes" hidden="0" function="0" vbProcedure="0">#ref!</definedName>
    <definedName name="DPSizeStart" hidden="0" function="0" vbProcedure="0">#ref!</definedName>
    <definedName name="DPSt" hidden="0" function="0" vbProcedure="0">#ref!</definedName>
    <definedName name="DPThread" hidden="0" function="0" vbProcedure="0">[11]DATA!$AA$44:$AA$94</definedName>
    <definedName name="DPTTL_HYD_LENTH" hidden="0" function="0" vbProcedure="0">#ref!</definedName>
    <definedName name="DPWeightColumn" hidden="0" function="0" vbProcedure="0">#ref!</definedName>
    <definedName name="DpWt" hidden="0" function="0" vbProcedure="0">#ref!</definedName>
    <definedName name="DP_2_Wt_Per_Ft" hidden="0" function="0" vbProcedure="0">#ref!</definedName>
    <definedName name="DP_Differential_Area" hidden="0" function="0" vbProcedure="0">#ref!</definedName>
    <definedName name="DP_ID_Area" hidden="0" function="0" vbProcedure="0">#ref!</definedName>
    <definedName name="DP_MYS" hidden="0" function="0" vbProcedure="0">[11]DATA!$AB$2:$AB$6</definedName>
    <definedName name="DP_Plus_Block" hidden="0" function="0" vbProcedure="0">#ref!</definedName>
    <definedName name="DP_PSI" hidden="0" function="0" vbProcedure="0">#ref!</definedName>
    <definedName name="DP_PSIz" hidden="0" function="0" vbProcedure="0">'[11]Liner Job Info'!$D$35</definedName>
    <definedName name="DP_SF" hidden="0" function="0" vbProcedure="0">#ref!</definedName>
    <definedName name="DP_Size" hidden="0" function="0" vbProcedure="0">[25]Data!$H$3:$H$30</definedName>
    <definedName name="DP_Wt" hidden="0" function="0" vbProcedure="0">[25]Data!$I$3:$I$30</definedName>
    <definedName name="DRAFT" hidden="0" function="0" vbProcedure="0">'[1]run sheet'!#ref!</definedName>
    <definedName name="draw" hidden="0" function="0" vbProcedure="0">#N/A</definedName>
    <definedName name="drawblanks" hidden="0" function="0" vbProcedure="0">#N/A</definedName>
    <definedName name="DrawingTotalPages" hidden="0" function="0" vbProcedure="0">2</definedName>
    <definedName name="drawlinerfirst" hidden="0" function="0" vbProcedure="0">#N/A</definedName>
    <definedName name="drawlinersecond" hidden="0" function="0" vbProcedure="0">#N/A</definedName>
    <definedName name="drawmiscellaneous" hidden="0" function="0" vbProcedure="0">#N/A</definedName>
    <definedName name="drawproductionfirst" hidden="0" function="0" vbProcedure="0">#N/A</definedName>
    <definedName name="drawproductionsecond" hidden="0" function="0" vbProcedure="0">#N/A</definedName>
    <definedName name="drawquantum" hidden="0" function="0" vbProcedure="0">#N/A</definedName>
    <definedName name="drawscreens" hidden="0" function="0" vbProcedure="0">#N/A</definedName>
    <definedName name="drawshearsubs" hidden="0" function="0" vbProcedure="0">#N/A</definedName>
    <definedName name="drawsump" hidden="0" function="0" vbProcedure="0">#N/A</definedName>
    <definedName name="draw_blanks" hidden="0" function="0" vbProcedure="0">#N/A</definedName>
    <definedName name="draw_linerfirst" hidden="0" function="0" vbProcedure="0">#N/A</definedName>
    <definedName name="draw_linersecond" hidden="0" function="0" vbProcedure="0">#N/A</definedName>
    <definedName name="draw_miscellaneous" hidden="0" function="0" vbProcedure="0">#N/A</definedName>
    <definedName name="draw_productionfirst" hidden="0" function="0" vbProcedure="0">#N/A</definedName>
    <definedName name="draw_productionsecond" hidden="0" function="0" vbProcedure="0">#N/A</definedName>
    <definedName name="draw_quantum" hidden="0" function="0" vbProcedure="0">#N/A</definedName>
    <definedName name="draw_screens" hidden="0" function="0" vbProcedure="0">#N/A</definedName>
    <definedName name="draw_shearsubs" hidden="0" function="0" vbProcedure="0">#N/A</definedName>
    <definedName name="draw_sump" hidden="0" function="0" vbProcedure="0">#N/A</definedName>
    <definedName name="Dress_Dull" hidden="0" function="0" vbProcedure="0">'[7]Drop-Down Items'!$E$74:$E$79</definedName>
    <definedName name="DriftColumn" hidden="0" function="0" vbProcedure="0">#ref!</definedName>
    <definedName name="DrillCollarID" hidden="0" function="0" vbProcedure="0">#ref!</definedName>
    <definedName name="DrillCollarOD" hidden="0" function="0" vbProcedure="0">#ref!</definedName>
    <definedName name="DrillCollarWt" hidden="0" function="0" vbProcedure="0">#ref!</definedName>
    <definedName name="DRILLER" hidden="0" function="0" vbProcedure="0">[16]!Macro1</definedName>
    <definedName name="DRILLER2" hidden="0" function="0" vbProcedure="0">[155]!Calculate_Pipe</definedName>
    <definedName name="DrillingDepthRange" hidden="0" function="0" vbProcedure="0">#ref!</definedName>
    <definedName name="DrillingPumpPress" hidden="0" function="0" vbProcedure="0">#ref!</definedName>
    <definedName name="Drilling_End_Date" hidden="0" function="0" vbProcedure="0">#ref!</definedName>
    <definedName name="Drilling_Start_Date" hidden="0" function="0" vbProcedure="0">#ref!</definedName>
    <definedName name="DrillPipeID" hidden="0" function="0" vbProcedure="0">#ref!</definedName>
    <definedName name="DrillPipeOD" hidden="0" function="0" vbProcedure="0">#ref!</definedName>
    <definedName name="Drillpipesize" hidden="0" function="0" vbProcedure="0">#ref!</definedName>
    <definedName name="Drillpipethread" hidden="0" function="0" vbProcedure="0">#ref!</definedName>
    <definedName name="Drillpipetype" hidden="0" function="0" vbProcedure="0">#ref!</definedName>
    <definedName name="Drillpipeweight" hidden="0" function="0" vbProcedure="0">#ref!</definedName>
    <definedName name="DrillSiteOrWellPad" hidden="0" function="0" vbProcedure="0">#ref!</definedName>
    <definedName name="DrillstringVol" hidden="0" function="0" vbProcedure="0">#ref!</definedName>
    <definedName name="Druckbereich_MI" hidden="0" function="0" vbProcedure="0">'[47]Dev-Baker'!$A$1:$J$46</definedName>
    <definedName name="Druckbereich_S3" hidden="0" function="0" vbProcedure="0">#ref!</definedName>
    <definedName name="DRYBUDG" hidden="0" function="0" vbProcedure="0">'[48]Exec Summ'!$W$74</definedName>
    <definedName name="DS" hidden="0" function="0" vbProcedure="0">#ref!</definedName>
    <definedName name="Dshoe" hidden="0" function="0" vbProcedure="0">#ref!</definedName>
    <definedName name="DST" hidden="0" function="0" vbProcedure="0">#ref!</definedName>
    <definedName name="dstrcap1" hidden="0" function="0" vbProcedure="0">#ref!</definedName>
    <definedName name="dstrcap2" hidden="0" function="0" vbProcedure="0">#ref!</definedName>
    <definedName name="DSTWeight" hidden="0" function="0" vbProcedure="0">#ref!</definedName>
    <definedName name="DST_Specialist" hidden="0" function="0" vbProcedure="0">'[27]Name Range'!$O$2:$O$7</definedName>
    <definedName name="Dtail" hidden="0" function="0" vbProcedure="0">#ref!</definedName>
    <definedName name="DTNumber" hidden="0" function="0" vbProcedure="0">#ref!</definedName>
    <definedName name="dtr" hidden="0" function="0" vbProcedure="0">'[16]Max-Torq'!$P$77</definedName>
    <definedName name="DTS" hidden="0" function="0" vbProcedure="0">'[6]#ref'!#ref!</definedName>
    <definedName name="DTS_1" hidden="0" function="0" vbProcedure="0">'[6]#ref'!#ref!</definedName>
    <definedName name="DTS_10" hidden="0" function="0" vbProcedure="0">'[6]#ref'!#ref!</definedName>
    <definedName name="DTS_11" hidden="0" function="0" vbProcedure="0">'[6]#ref'!#ref!</definedName>
    <definedName name="DTS_2" hidden="0" function="0" vbProcedure="0">'[6]#ref'!#ref!</definedName>
    <definedName name="DTS_3" hidden="0" function="0" vbProcedure="0">'[6]#ref'!#ref!</definedName>
    <definedName name="DTS_4" hidden="0" function="0" vbProcedure="0">'[6]#ref'!#ref!</definedName>
    <definedName name="DTS_5" hidden="0" function="0" vbProcedure="0">'[6]#ref'!#ref!</definedName>
    <definedName name="DTS_6" hidden="0" function="0" vbProcedure="0">'[6]#ref'!#ref!</definedName>
    <definedName name="DTS_7" hidden="0" function="0" vbProcedure="0">'[6]#ref'!#ref!</definedName>
    <definedName name="DTS_8" hidden="0" function="0" vbProcedure="0">'[6]#ref'!#ref!</definedName>
    <definedName name="DTS_9" hidden="0" function="0" vbProcedure="0">'[6]#ref'!#ref!</definedName>
    <definedName name="DU" hidden="0" function="0" vbProcedure="0">#ref!</definedName>
    <definedName name="DualTally" hidden="0" function="0" vbProcedure="0">#ref!</definedName>
    <definedName name="DUCF" hidden="0" function="0" vbProcedure="0">#ref!</definedName>
    <definedName name="dummy" hidden="0" function="0" vbProcedure="0">#ref!</definedName>
    <definedName name="DwgRel" hidden="0" function="0" vbProcedure="0">#ref!</definedName>
    <definedName name="DwgRel3" hidden="0" function="0" vbProcedure="0">#ref!</definedName>
    <definedName name="DWS" hidden="0" function="0" vbProcedure="0">'[13]DWS2023'!$A$4:$AD$257</definedName>
    <definedName name="D_I" hidden="0" function="0" vbProcedure="0">#ref!</definedName>
    <definedName name="D_t" hidden="0" function="0" vbProcedure="0">#ref!</definedName>
    <definedName name="D_t_pt" hidden="0" function="0" vbProcedure="0">#ref!</definedName>
    <definedName name="D_t_te" hidden="0" function="0" vbProcedure="0">#ref!</definedName>
    <definedName name="D_t_yp" hidden="0" function="0" vbProcedure="0">#ref!</definedName>
    <definedName name="E" hidden="0" function="0" vbProcedure="0">#ref!</definedName>
    <definedName name="EAST5" hidden="0" function="0" vbProcedure="0">#ref!</definedName>
    <definedName name="EAST7" hidden="0" function="0" vbProcedure="0">#ref!</definedName>
    <definedName name="EAST8" hidden="0" function="0" vbProcedure="0">#ref!</definedName>
    <definedName name="EastingColumn" hidden="0" function="0" vbProcedure="0">!#ref!</definedName>
    <definedName name="EastingUnit" hidden="0" function="0" vbProcedure="0">#ref!</definedName>
    <definedName name="ECP" hidden="0" function="0" vbProcedure="0">[90]tbgtally!#ref!</definedName>
    <definedName name="ECTPROJ" hidden="0" function="0" vbProcedure="0">#ref!</definedName>
    <definedName name="ED" hidden="0" function="0" vbProcedure="0">[72]!Calculate_Pipe</definedName>
    <definedName name="edd" hidden="0" function="0" vbProcedure="0">[160]!Calculate_Pipe</definedName>
    <definedName name="EDIT1" hidden="0" function="0" vbProcedure="0">#ref!</definedName>
    <definedName name="EDIT2" hidden="0" function="0" vbProcedure="0">#ref!</definedName>
    <definedName name="ee" hidden="0" function="0" vbProcedure="0">#ref!</definedName>
    <definedName name="eeeeeeeeeeeeeee" hidden="1" function="0" vbProcedure="0">#ref!</definedName>
    <definedName name="EffDate" hidden="0" function="0" vbProcedure="0">[49]Revision_History!$G$8&amp;" "&amp;TEXT([49]Revision_History!$H$8, "DD-MMM-YYYY")</definedName>
    <definedName name="EffectiveAxialStressUnit" hidden="0" function="0" vbProcedure="0">#ref!</definedName>
    <definedName name="Eff_Area_Pipe" hidden="0" function="0" vbProcedure="0">[50]Selector!$C$23</definedName>
    <definedName name="Eff_Date" hidden="0" function="0" vbProcedure="0">#ref!</definedName>
    <definedName name="efwrf" hidden="0" function="0" vbProcedure="0">#ref!</definedName>
    <definedName name="EG" hidden="0" function="0" vbProcedure="0">#ref!</definedName>
    <definedName name="EIDT2" hidden="0" function="0" vbProcedure="0">#ref!</definedName>
    <definedName name="EJYETYJEJ" hidden="0" function="0" vbProcedure="0">#ref!</definedName>
    <definedName name="EKIKO2" hidden="0" function="0" vbProcedure="0">#ref!</definedName>
    <definedName name="Elaines" hidden="0" function="0" vbProcedure="0">#ref!</definedName>
    <definedName name="Element_Rating" hidden="0" function="0" vbProcedure="0">#ref!</definedName>
    <definedName name="Element_Ratingz" hidden="0" function="0" vbProcedure="0">'[11]Liner Job Info'!$P$41</definedName>
    <definedName name="Elevation" hidden="0" function="0" vbProcedure="0">#ref!</definedName>
    <definedName name="ElevationReference" hidden="0" function="0" vbProcedure="0">#ref!</definedName>
    <definedName name="emilia" hidden="0" function="0" vbProcedure="0">'[28]calculo de gas total'!#ref!</definedName>
    <definedName name="emplnum" hidden="0" function="0" vbProcedure="0">'[40]Job Summ.'!$A$6</definedName>
    <definedName name="Empty" hidden="0" function="0" vbProcedure="0">[60]auf_screen!#ref!</definedName>
    <definedName name="EmptyRow" hidden="0" function="0" vbProcedure="0">#ref!</definedName>
    <definedName name="END" hidden="0" function="0" vbProcedure="0">'[58]7-30-04'!#ref!</definedName>
    <definedName name="EndDepthMulti" hidden="0" function="0" vbProcedure="0">#ref!</definedName>
    <definedName name="end_1" hidden="0" function="0" vbProcedure="0">'[51]2003 SSWE LINE ITEMS'!$W$304</definedName>
    <definedName name="EngineerName" hidden="0" function="0" vbProcedure="0">#ref!</definedName>
    <definedName name="English" hidden="0" function="0" vbProcedure="0">#ref!</definedName>
    <definedName name="Entity" hidden="0" function="0" vbProcedure="0">[123]!Table6[contracting/sourcing entity]</definedName>
    <definedName name="EOBcp" hidden="0" function="0" vbProcedure="0">#ref!</definedName>
    <definedName name="EOBm" hidden="0" function="0" vbProcedure="0">#ref!</definedName>
    <definedName name="EOBv" hidden="0" function="0" vbProcedure="0">#ref!</definedName>
    <definedName name="epm" hidden="0" function="0" vbProcedure="0">[17]scope!#ref!</definedName>
    <definedName name="Equip" hidden="0" function="0" vbProcedure="0">'[52]#REF'!$B$12</definedName>
    <definedName name="Equipmentrunin" hidden="0" function="0" vbProcedure="0">#ref!</definedName>
    <definedName name="equipmenttype" hidden="0" function="0" vbProcedure="0">#ref!</definedName>
    <definedName name="EQ_2" hidden="0" function="0" vbProcedure="0">'[15]Margin Summary'!$E$14</definedName>
    <definedName name="erg" hidden="0" function="0" vbProcedure="0">#ref!</definedName>
    <definedName name="error" hidden="0" function="0" vbProcedure="0">[19]Data!$F$10</definedName>
    <definedName name="ertert" hidden="0" function="0" vbProcedure="0">#ref!</definedName>
    <definedName name="erttt" hidden="0" function="0" vbProcedure="0">#ref!</definedName>
    <definedName name="ESTPSjobs" hidden="0" function="0" vbProcedure="0">[60]auf_screen!#ref!</definedName>
    <definedName name="ES_Jobs" hidden="0" function="0" vbProcedure="0">[60]auf_screen!#ref!,[60]auf_screen!#ref!,[60]auf_screen!#ref!,[60]auf_screen!#ref!,[60]auf_screen!#ref!,[60]auf_screen!#ref!,[60]auf_screen!#ref!,[60]auf_screen!#ref!,[60]auf_screen!#ref!</definedName>
    <definedName name="ES_pricelist" hidden="0" function="0" vbProcedure="0">#ref!</definedName>
    <definedName name="EW" hidden="0" function="0" vbProcedure="0">#ref!</definedName>
    <definedName name="EWAHEAD" hidden="0" function="0" vbProcedure="0">#ref!</definedName>
    <definedName name="EWBOH" hidden="0" function="0" vbProcedure="0">#ref!</definedName>
    <definedName name="EWDIFF" hidden="0" function="0" vbProcedure="0">#ref!</definedName>
    <definedName name="EWfoto" hidden="0" function="0" vbProcedure="0">#ref!</definedName>
    <definedName name="EWnobj" hidden="0" function="0" vbProcedure="0">#ref!</definedName>
    <definedName name="EWobj" hidden="0" function="0" vbProcedure="0">#ref!</definedName>
    <definedName name="EWproj" hidden="0" function="0" vbProcedure="0">#ref!</definedName>
    <definedName name="EWtieon" hidden="0" function="0" vbProcedure="0">#ref!</definedName>
    <definedName name="EW_Column" hidden="0" function="0" vbProcedure="0">!#ref!</definedName>
    <definedName name="EW_Unit" hidden="0" function="0" vbProcedure="0">#ref!</definedName>
    <definedName name="ex" hidden="0" function="0" vbProcedure="0">[145]!JointNumber</definedName>
    <definedName name="exceedlimit" hidden="0" function="0" vbProcedure="0">#ref!</definedName>
    <definedName name="Excel_BuiltIn_Print_Area" hidden="0" function="0" vbProcedure="0">NA()</definedName>
    <definedName name="Excel_BuiltIn_Print_Area_16" hidden="0" function="0" vbProcedure="0">#ref!</definedName>
    <definedName name="Excel_BuiltIn_Print_Area_16_1" hidden="0" function="0" vbProcedure="0">#ref!</definedName>
    <definedName name="Excel_BuiltIn_Print_Titles" hidden="0" function="0" vbProcedure="0">NA()</definedName>
    <definedName name="EXCHANGE" hidden="0" function="0" vbProcedure="0">#N/A</definedName>
    <definedName name="Exempt" hidden="0" function="0" vbProcedure="0">#ref!</definedName>
    <definedName name="Existing_Liner_Top" hidden="0" function="0" vbProcedure="0">#ref!</definedName>
    <definedName name="Existing_Liner_Top_Depth" hidden="0" function="0" vbProcedure="0">#ref!</definedName>
    <definedName name="EXIT" hidden="0" function="0" vbProcedure="0">#ref!</definedName>
    <definedName name="Expansion" hidden="0" function="0" vbProcedure="0">#ref!</definedName>
    <definedName name="Expected_Job_Date" hidden="0" function="0" vbProcedure="0">#ref!</definedName>
    <definedName name="ExpJobDesig" hidden="0" function="0" vbProcedure="0">#ref!</definedName>
    <definedName name="ExplosiveData" hidden="0" function="0" vbProcedure="0">#ref!</definedName>
    <definedName name="ExplosiveData1to2" hidden="0" function="0" vbProcedure="0">#ref!</definedName>
    <definedName name="ExplosiveType" hidden="0" function="0" vbProcedure="0">#ref!</definedName>
    <definedName name="Explosive_Type" hidden="0" function="0" vbProcedure="0">#ref!</definedName>
    <definedName name="EXP_1" hidden="0" function="0" vbProcedure="0">INDEX([13]DRAW!$A$2:$B$12,MATCH(#ref!,[13]DRAW!$A$2:$A$12,0),2)</definedName>
    <definedName name="ExternalSales" hidden="0" function="0" vbProcedure="0">[18]Criteria!$D$2:$D$6</definedName>
    <definedName name="Externalvolstring" hidden="0" function="0" vbProcedure="0">#ref!</definedName>
    <definedName name="Extra" hidden="0" function="0" vbProcedure="0">#ref!</definedName>
    <definedName name="ExtraPressure" hidden="0" function="0" vbProcedure="0">#ref!</definedName>
    <definedName name="EXT_LENGTH" hidden="0" function="0" vbProcedure="0">#ref!</definedName>
    <definedName name="EXT_LENGTH_1" hidden="0" function="0" vbProcedure="0">'[6]#ref'!#ref!</definedName>
    <definedName name="EXT_LENGTH_10" hidden="0" function="0" vbProcedure="0">'[6]#ref'!#ref!</definedName>
    <definedName name="EXT_LENGTH_11" hidden="0" function="0" vbProcedure="0">'[6]#ref'!#ref!</definedName>
    <definedName name="EXT_LENGTH_2" hidden="0" function="0" vbProcedure="0">'[6]#ref'!#ref!</definedName>
    <definedName name="EXT_LENGTH_3" hidden="0" function="0" vbProcedure="0">'[6]#ref'!#ref!</definedName>
    <definedName name="EXT_LENGTH_4" hidden="0" function="0" vbProcedure="0">'[6]#ref'!#ref!</definedName>
    <definedName name="EXT_LENGTH_5" hidden="0" function="0" vbProcedure="0">'[6]#ref'!#ref!</definedName>
    <definedName name="EXT_LENGTH_6" hidden="0" function="0" vbProcedure="0">'[6]#ref'!#ref!</definedName>
    <definedName name="EXT_LENGTH_7" hidden="0" function="0" vbProcedure="0">'[6]#ref'!#ref!</definedName>
    <definedName name="EXT_LENGTH_8" hidden="0" function="0" vbProcedure="0">'[6]#ref'!#ref!</definedName>
    <definedName name="EXT_LENGTH_9" hidden="0" function="0" vbProcedure="0">'[6]#ref'!#ref!</definedName>
    <definedName name="F" hidden="0" function="0" vbProcedure="0">#ref!</definedName>
    <definedName name="factor" hidden="0" function="0" vbProcedure="0">#ref!</definedName>
    <definedName name="fasc" hidden="0" function="0" vbProcedure="0">#ref!</definedName>
    <definedName name="Fault_Tolerance" hidden="0" function="0" vbProcedure="0">'[169]qte bom'!#ref!</definedName>
    <definedName name="FAX" hidden="0" function="0" vbProcedure="0">#ref!</definedName>
    <definedName name="FB" hidden="0" function="0" vbProcedure="0">[170]!Calculate_Pipe</definedName>
    <definedName name="FCP" hidden="0" function="0" vbProcedure="0">#ref!</definedName>
    <definedName name="fd" hidden="0" function="0" vbProcedure="0">#N/A</definedName>
    <definedName name="fde" hidden="0" function="0" vbProcedure="0">#ref!</definedName>
    <definedName name="FDF" hidden="0" function="0" vbProcedure="0">IF(ISBLANK(#ref!),IF(#ref! #ref! =#ref!,OFFSET([171]!ValidationList2[[#all],[main categories]],1,,COUNTA([171]!ValidationList2[main categories])),OFFSET([171]!ValidationList2[#data],0,MATCH(#ref!, [171]!ValidationList2[#headers],0)-1,COUNTA(OFFSET([171]!ValidationList2[#data],,MATCH(#ref!, [171]!ValidationList2[#headers],0)-1,,1)),1)))</definedName>
    <definedName name="fdg" hidden="0" function="0" vbProcedure="0">#ref!</definedName>
    <definedName name="FE" hidden="0" function="0" vbProcedure="0">[25]Data!$O$3:$O$12</definedName>
    <definedName name="FEBANAL" hidden="0" function="0" vbProcedure="0">#ref!</definedName>
    <definedName name="FEBMANAL" hidden="0" function="0" vbProcedure="0">#ref!</definedName>
    <definedName name="FEBMARGANAL" hidden="0" function="0" vbProcedure="0">#ref!</definedName>
    <definedName name="FEBMARGSCP" hidden="0" function="0" vbProcedure="0">#ref!</definedName>
    <definedName name="februpees" hidden="0" function="0" vbProcedure="0">#ref!</definedName>
    <definedName name="fe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hidden="0" function="0" vbProcedure="0">#ref!</definedName>
    <definedName name="FF" hidden="0" function="0" vbProcedure="0">#ref!</definedName>
    <definedName name="FFAPPCOLNAME5_1" hidden="0" function="0" vbProcedure="0">[53]CRITERIA1!$F$5</definedName>
    <definedName name="FFAPPCOLNAME6_1" hidden="0" function="0" vbProcedure="0">[53]CRITERIA1!$F$6</definedName>
    <definedName name="FFAPPCOLNAME7_1" hidden="0" function="0" vbProcedure="0">[53]CRITERIA1!$F$7</definedName>
    <definedName name="FFAPPCOLNAME8_1" hidden="0" function="0" vbProcedure="0">[53]CRITERIA1!$F$8</definedName>
    <definedName name="fff" hidden="0" function="0" vbProcedure="0">#ref!</definedName>
    <definedName name="ffff" hidden="0" function="0" vbProcedure="0">[174]!Prev.Macro113</definedName>
    <definedName name="fffff" hidden="0" function="0" vbProcedure="0">[54]Data!$W$2:$W$65</definedName>
    <definedName name="ffffffffffffff" hidden="1" function="0" vbProcedure="0">#ref!</definedName>
    <definedName name="FFSEGMENT1_1" hidden="0" function="0" vbProcedure="0">[53]CRITERIA1!$D$1</definedName>
    <definedName name="FFSEGMENT2_1" hidden="0" function="0" vbProcedure="0">[53]CRITERIA1!$D$2</definedName>
    <definedName name="FFSEGMENT3_1" hidden="0" function="0" vbProcedure="0">[53]CRITERIA1!$D$3</definedName>
    <definedName name="FFSEGMENT5_1" hidden="0" function="0" vbProcedure="0">[53]CRITERIA1!$D$5</definedName>
    <definedName name="FFSEGMENT6_1" hidden="0" function="0" vbProcedure="0">[53]CRITERIA1!$D$6</definedName>
    <definedName name="FFSEGMENT7_1" hidden="0" function="0" vbProcedure="0">[53]CRITERIA1!$D$7</definedName>
    <definedName name="FFSEGMENT8_1" hidden="0" function="0" vbProcedure="0">[53]CRITERIA1!$D$8</definedName>
    <definedName name="FFSEGSEPARATOR1" hidden="0" function="0" vbProcedure="0">[53]CRITERIA1!$B$17</definedName>
    <definedName name="FG" hidden="0" function="0" vbProcedure="0">#ref!</definedName>
    <definedName name="fg5ytr" hidden="0" function="0" vbProcedure="0">#ref!</definedName>
    <definedName name="fgb" hidden="0" function="0" vbProcedure="0">#ref!</definedName>
    <definedName name="fgm" hidden="0" function="0" vbProcedure="0">#ref!</definedName>
    <definedName name="FHSelected" hidden="0" function="0" vbProcedure="0">#ref!</definedName>
    <definedName name="FHSen3" hidden="0" function="0" vbProcedure="0">#ref!</definedName>
    <definedName name="Field" hidden="0" function="0" vbProcedure="0">#ref!</definedName>
    <definedName name="FieldFd" hidden="0" function="0" vbProcedure="0">#ref!</definedName>
    <definedName name="FieldName" hidden="0" function="0" vbProcedure="0">#ref!</definedName>
    <definedName name="FIELDNAMEROW1" hidden="0" function="0" vbProcedure="0">[53]CRITERIA1!$B$25</definedName>
    <definedName name="FIelds" hidden="0" function="0" vbProcedure="0">#ref!</definedName>
    <definedName name="FieldStrength" hidden="0" function="0" vbProcedure="0">#ref!</definedName>
    <definedName name="Field_Index" hidden="0" function="0" vbProcedure="0">'[12]JCSI 12'!$W$26</definedName>
    <definedName name="Filename" hidden="0" function="0" vbProcedure="0">[60]auf_screen!#ref!</definedName>
    <definedName name="filtered" hidden="0" function="0" vbProcedure="0">#ref!</definedName>
    <definedName name="final" hidden="0" function="0" vbProcedure="0">[145]!JointNumber</definedName>
    <definedName name="Finalcp" hidden="0" function="0" vbProcedure="0">#ref!</definedName>
    <definedName name="finalstimpress" hidden="0" function="0" vbProcedure="0">#ref!</definedName>
    <definedName name="finalstimrate" hidden="0" function="0" vbProcedure="0">#ref!</definedName>
    <definedName name="Fiqa" hidden="0" function="0" vbProcedure="0">#ref!</definedName>
    <definedName name="FIRSTDATAROW1" hidden="0" function="0" vbProcedure="0">[53]CRITERIA1!$B$27</definedName>
    <definedName name="First_Header" hidden="0" function="0" vbProcedure="0">#ref!</definedName>
    <definedName name="FISHNECKSIZE" hidden="0" function="0" vbProcedure="0">#ref!</definedName>
    <definedName name="FishNeckUnits" hidden="0" function="0" vbProcedure="0">#ref!</definedName>
    <definedName name="FJNDEF" hidden="0" function="0" vbProcedure="0">#ref!</definedName>
    <definedName name="Floatequipment" hidden="0" function="0" vbProcedure="0">#ref!</definedName>
    <definedName name="FloatingStart" hidden="0" function="0" vbProcedure="0">#ref!</definedName>
    <definedName name="Float_Collar_13.375" hidden="0" function="0" vbProcedure="0">#ref!</definedName>
    <definedName name="Float_Collar_7" hidden="0" function="0" vbProcedure="0">#ref!</definedName>
    <definedName name="Float_Collar_9.625" hidden="0" function="0" vbProcedure="0">#ref!</definedName>
    <definedName name="Float_Shoe_at_13.375" hidden="0" function="0" vbProcedure="0">#ref!</definedName>
    <definedName name="Flow" hidden="0" function="0" vbProcedure="0">#ref!</definedName>
    <definedName name="flow1" hidden="0" function="0" vbProcedure="0">'[7]Drop-Down Items'!$E$132:$E$135</definedName>
    <definedName name="FlowRegime" hidden="0" function="0" vbProcedure="0">#ref!</definedName>
    <definedName name="fluid" hidden="0" function="0" vbProcedure="0">#ref!</definedName>
    <definedName name="Fluids" hidden="0" function="0" vbProcedure="0">'[2]Data Go-To-Sheet'!$F$13:$F$71</definedName>
    <definedName name="FluidType" hidden="0" function="0" vbProcedure="0">#ref!</definedName>
    <definedName name="FluidTypes" hidden="0" function="0" vbProcedure="0">#ref!</definedName>
    <definedName name="FluidWeight" hidden="0" function="0" vbProcedure="0">#ref!</definedName>
    <definedName name="FluidWt" hidden="0" function="0" vbProcedure="0">#ref!</definedName>
    <definedName name="fluid_vel" hidden="0" function="0" vbProcedure="0">'[7]Drop-Down Items'!$P$7:$P$10</definedName>
    <definedName name="fluid_vol" hidden="0" function="0" vbProcedure="0">'[7]Drop-Down Items'!$Q$7:$Q$11</definedName>
    <definedName name="fm_prop" hidden="0" function="0" vbProcedure="0">'[7]Drop-Down Items'!$F$5:$F$12</definedName>
    <definedName name="FNDNAM1" hidden="0" function="0" vbProcedure="0">[53]CRITERIA1!$B$12</definedName>
    <definedName name="FNDUSERID1" hidden="0" function="0" vbProcedure="0">[53]CRITERIA1!$B$15</definedName>
    <definedName name="Follow_Dress_Dull" hidden="0" function="0" vbProcedure="0">'[7]Drop-Down Items'!$E$74:$E$78</definedName>
    <definedName name="Fondsen_Alle" hidden="0" function="0" vbProcedure="0">#ref!</definedName>
    <definedName name="FOOTAGE" hidden="0" function="0" vbProcedure="0">'[58]7-30-04'!#ref!</definedName>
    <definedName name="Footer" hidden="0" function="0" vbProcedure="0">#ref!</definedName>
    <definedName name="FORECAST" hidden="1" function="0" vbProcedure="0">#ref!</definedName>
    <definedName name="FORM" hidden="0" function="0" vbProcedure="0">#ref!</definedName>
    <definedName name="Form._Pressure" hidden="0" function="0" vbProcedure="0">#ref!</definedName>
    <definedName name="formation" hidden="0" function="0" vbProcedure="0">#ref!</definedName>
    <definedName name="Formations_Below_Nahr_Umr" hidden="0" function="0" vbProcedure="0">[20]Data!$X$2:$X$18</definedName>
    <definedName name="Formation_Remarks" hidden="0" function="0" vbProcedure="0">#ref!</definedName>
    <definedName name="Formation_Type" hidden="0" function="0" vbProcedure="0">'[7]Drop-Down Items'!$E$4:$E$27</definedName>
    <definedName name="FORMULAS" hidden="0" function="0" vbProcedure="0">'[44]7-30-04'!$GO$7457</definedName>
    <definedName name="fpm" hidden="0" function="0" vbProcedure="0">#ref!</definedName>
    <definedName name="fracgrad" hidden="0" function="0" vbProcedure="0">#ref!</definedName>
    <definedName name="fracmw" hidden="0" function="0" vbProcedure="0">#ref!</definedName>
    <definedName name="fracpress" hidden="0" function="0" vbProcedure="0">#ref!</definedName>
    <definedName name="Frequencies" hidden="0" function="0" vbProcedure="0">#ref!</definedName>
    <definedName name="FRG" hidden="0" function="0" vbProcedure="0">'[15]Margin Summary'!$E$23</definedName>
    <definedName name="frictionpressure" hidden="0" function="0" vbProcedure="0">[19]Data!$F$8</definedName>
    <definedName name="FRONT" hidden="0" function="0" vbProcedure="0">#ref!</definedName>
    <definedName name="fsm" hidden="0" function="0" vbProcedure="0">[55]Worksheet!$H$10</definedName>
    <definedName name="FT" hidden="0" function="0" vbProcedure="0">#ref!</definedName>
    <definedName name="ftg" hidden="0" function="0" vbProcedure="0">#ref!</definedName>
    <definedName name="ftmtrs" hidden="0" function="0" vbProcedure="0">#ref!</definedName>
    <definedName name="ftormeters" hidden="0" function="0" vbProcedure="0">'[11]Metric Conversions'!$B$14</definedName>
    <definedName name="FT_AVAL" hidden="0" function="0" vbProcedure="0">'[58]7-30-04'!#ref!</definedName>
    <definedName name="FT_HLDG" hidden="0" function="0" vbProcedure="0">'[58]7-30-04'!#ref!</definedName>
    <definedName name="FULL_COST_CALC" hidden="0" function="0" vbProcedure="0">#ref!</definedName>
    <definedName name="functioned" hidden="0" function="0" vbProcedure="0">#ref!</definedName>
    <definedName name="FUTOPBUDG" hidden="0" function="0" vbProcedure="0">'[48]Exec Summ'!$AA$74</definedName>
    <definedName name="fuv" hidden="0" function="0" vbProcedure="0">#ref!</definedName>
    <definedName name="F_COLLAR" hidden="0" function="0" vbProcedure="0">[90]tbgtally!#ref!</definedName>
    <definedName name="g" hidden="0" function="0" vbProcedure="0">#ref!</definedName>
    <definedName name="Gamal_Youssef_Salem" hidden="0" function="0" vbProcedure="0">'[179]distribution list'!#ref!</definedName>
    <definedName name="Gamma_Quadrant" hidden="0" function="0" vbProcedure="0">[38]RSS!$N$139:$N$144</definedName>
    <definedName name="GAS" hidden="0" function="0" vbProcedure="0">#ref!</definedName>
    <definedName name="GasQualities" hidden="0" function="0" vbProcedure="0">#ref!</definedName>
    <definedName name="gasrate" hidden="0" function="0" vbProcedure="0">'[94]well test sheet'!#ref!</definedName>
    <definedName name="GasTypes" hidden="0" function="0" vbProcedure="0">#ref!</definedName>
    <definedName name="gas_cumm" hidden="0" function="0" vbProcedure="0">'[94]well test sheet'!#ref!</definedName>
    <definedName name="GAUGE" hidden="0" function="0" vbProcedure="0">#ref!</definedName>
    <definedName name="gaugeb" hidden="0" function="0" vbProcedure="0">#N/A</definedName>
    <definedName name="Gaugecancel" hidden="0" function="0" vbProcedure="0">#N/A</definedName>
    <definedName name="gaugeconok" hidden="0" function="0" vbProcedure="0">#N/A</definedName>
    <definedName name="gaugeconok2" hidden="0" function="0" vbProcedure="0">#N/A</definedName>
    <definedName name="gaugeok" hidden="0" function="0" vbProcedure="0">#N/A</definedName>
    <definedName name="gaugeok2" hidden="0" function="0" vbProcedure="0">#N/A</definedName>
    <definedName name="GAUGES" hidden="0" function="0" vbProcedure="0">#ref!</definedName>
    <definedName name="gaugeselect" hidden="0" function="0" vbProcedure="0">#N/A</definedName>
    <definedName name="gaugeselect2" hidden="0" function="0" vbProcedure="0">#N/A</definedName>
    <definedName name="Gauge_Carrier" hidden="0" function="0" vbProcedure="0">'[12]JCSI 12'!$AF$29:$AF$42</definedName>
    <definedName name="Gauge_Index" hidden="0" function="0" vbProcedure="0">'[12]JCSI 12'!$AD$26</definedName>
    <definedName name="Gauge_Type" hidden="0" function="0" vbProcedure="0">'[12]JCSI 12'!$AD$29:$AD$42</definedName>
    <definedName name="GC" hidden="0" function="0" vbProcedure="0">#ref!</definedName>
    <definedName name="GCS" hidden="0" function="0" vbProcedure="0">#ref!</definedName>
    <definedName name="gdsg" hidden="1" function="0" vbProcedure="0">[56]Run!$C$16:$C$512</definedName>
    <definedName name="GEES" hidden="0" function="0" vbProcedure="0">#ref!</definedName>
    <definedName name="gel" hidden="0" function="0" vbProcedure="0">#ref!</definedName>
    <definedName name="GenderHeader" hidden="0" function="0" vbProcedure="0">#ref!</definedName>
    <definedName name="General" hidden="0" function="0" vbProcedure="0">#ref!,#ref!,#ref!,#ref!</definedName>
    <definedName name="genn" hidden="0" function="0" vbProcedure="0">'[181]1pcbud'!#ref!</definedName>
    <definedName name="GeodeticLocation" hidden="0" function="0" vbProcedure="0">#ref!</definedName>
    <definedName name="GeomagInfoFirstRow" hidden="0" function="0" vbProcedure="0">#ref!</definedName>
    <definedName name="Geometry" hidden="0" function="0" vbProcedure="0">#ref!</definedName>
    <definedName name="GFTTC" hidden="0" function="0" vbProcedure="0">[145]!JointNumber</definedName>
    <definedName name="GG" hidden="0" function="0" vbProcedure="0">#ref!</definedName>
    <definedName name="GGGR" hidden="0" function="0" vbProcedure="0">#ref!</definedName>
    <definedName name="gh" hidden="0" function="0" vbProcedure="0">#ref!</definedName>
    <definedName name="ghy" hidden="0" function="0" vbProcedure="0">#ref!</definedName>
    <definedName name="giu" hidden="0" function="0" vbProcedure="0">'[181]1pcbud'!#ref!</definedName>
    <definedName name="GL" hidden="0" function="0" vbProcedure="0">#ref!</definedName>
    <definedName name="GLM" hidden="0" function="0" vbProcedure="0">[72]!Calculate_Pipe</definedName>
    <definedName name="GLMs" hidden="0" function="0" vbProcedure="0">'[2]Equipment Go-To Sheet'!$F$201:$F$225</definedName>
    <definedName name="GLM_1" hidden="0" function="0" vbProcedure="0">INDEX([13]DRAW!$A$2:$B$12,MATCH(#ref!,[13]DRAW!$A$2:$A$12,0),2)</definedName>
    <definedName name="GLM_2" hidden="0" function="0" vbProcedure="0">INDEX([13]DRAW!$A$2:$B$12,MATCH(#ref!,[13]DRAW!$A$2:$A$12,0),2)</definedName>
    <definedName name="GLM_3" hidden="0" function="0" vbProcedure="0">INDEX([13]DRAW!$A$2:$B$12,MATCH(#ref!,[13]DRAW!$A$2:$A$12,0),2)</definedName>
    <definedName name="GLM_4" hidden="0" function="0" vbProcedure="0">INDEX([13]DRAW!$A$2:$B$12,MATCH(#ref!,[13]DRAW!$A$2:$A$12,0),2)</definedName>
    <definedName name="GLVs" hidden="0" function="0" vbProcedure="0">'[2]Equipment Go-To Sheet'!$F$223:$F$232</definedName>
    <definedName name="GM" hidden="0" function="0" vbProcedure="0">#ref!</definedName>
    <definedName name="Gmh" hidden="1" function="0" vbProcedure="0">{#N/A,#N/A,FALSE,"Sheet1"}</definedName>
    <definedName name="gor" hidden="0" function="0" vbProcedure="0">'[94]well test sheet'!#ref!</definedName>
    <definedName name="Goto_End_Ranges" hidden="0" function="0" vbProcedure="0">[60]auf_screen!#ref!</definedName>
    <definedName name="Goto_Home_Ranges" hidden="0" function="0" vbProcedure="0">[60]auf_screen!#ref!</definedName>
    <definedName name="Goto_Ranges" hidden="0" function="0" vbProcedure="0">[60]auf_screen!#ref!</definedName>
    <definedName name="GP" hidden="0" function="0" vbProcedure="0">#ref!</definedName>
    <definedName name="gpbreakerconc" hidden="0" function="0" vbProcedure="0">#ref!</definedName>
    <definedName name="gpbreakertype" hidden="0" function="0" vbProcedure="0">#ref!</definedName>
    <definedName name="gpcarriertype" hidden="0" function="0" vbProcedure="0">#ref!</definedName>
    <definedName name="gpcarriervis" hidden="0" function="0" vbProcedure="0">#ref!</definedName>
    <definedName name="gpcarriervol" hidden="0" function="0" vbProcedure="0">#ref!</definedName>
    <definedName name="gpcarrierwt" hidden="0" function="0" vbProcedure="0">#ref!</definedName>
    <definedName name="gpextlength" hidden="0" function="0" vbProcedure="0">#ref!</definedName>
    <definedName name="gpextod" hidden="0" function="0" vbProcedure="0">#ref!</definedName>
    <definedName name="gpgel" hidden="0" function="0" vbProcedure="0">#ref!</definedName>
    <definedName name="gpinfuserate" hidden="0" function="0" vbProcedure="0">#ref!</definedName>
    <definedName name="gplbs" hidden="0" function="0" vbProcedure="0">#ref!</definedName>
    <definedName name="gpleakoff" hidden="0" function="0" vbProcedure="0">#ref!</definedName>
    <definedName name="gpmixratio" hidden="0" function="0" vbProcedure="0">#ref!</definedName>
    <definedName name="gppadfluid" hidden="0" function="0" vbProcedure="0">#ref!</definedName>
    <definedName name="gppadvol" hidden="0" function="0" vbProcedure="0">#ref!</definedName>
    <definedName name="gppumprate" hidden="0" function="0" vbProcedure="0">#ref!</definedName>
    <definedName name="gpreturnrate" hidden="0" function="0" vbProcedure="0">[5]WTR!$M$87</definedName>
    <definedName name="gpsandoutpress" hidden="0" function="0" vbProcedure="0">#ref!</definedName>
    <definedName name="gpsandoutrate" hidden="0" function="0" vbProcedure="0">#ref!</definedName>
    <definedName name="gpslurrydens" hidden="0" function="0" vbProcedure="0">#ref!</definedName>
    <definedName name="gptotalslurryvol" hidden="0" function="0" vbProcedure="0">#ref!</definedName>
    <definedName name="gptotalslurryvol_1" hidden="0" function="0" vbProcedure="0">'[6]#ref'!#ref!</definedName>
    <definedName name="gptotalslurryvol_10" hidden="0" function="0" vbProcedure="0">'[6]#ref'!#ref!</definedName>
    <definedName name="gptotalslurryvol_11" hidden="0" function="0" vbProcedure="0">'[6]#ref'!#ref!</definedName>
    <definedName name="gptotalslurryvol_2" hidden="0" function="0" vbProcedure="0">'[6]#ref'!#ref!</definedName>
    <definedName name="gptotalslurryvol_3" hidden="0" function="0" vbProcedure="0">'[6]#ref'!#ref!</definedName>
    <definedName name="gptotalslurryvol_4" hidden="0" function="0" vbProcedure="0">'[6]#ref'!#ref!</definedName>
    <definedName name="gptotalslurryvol_5" hidden="0" function="0" vbProcedure="0">'[6]#ref'!#ref!</definedName>
    <definedName name="gptotalslurryvol_6" hidden="0" function="0" vbProcedure="0">'[6]#ref'!#ref!</definedName>
    <definedName name="gptotalslurryvol_7" hidden="0" function="0" vbProcedure="0">'[6]#ref'!#ref!</definedName>
    <definedName name="gptotalslurryvol_8" hidden="0" function="0" vbProcedure="0">'[6]#ref'!#ref!</definedName>
    <definedName name="gptotalslurryvol_9" hidden="0" function="0" vbProcedure="0">'[6]#ref'!#ref!</definedName>
    <definedName name="GP_EXT_OD" hidden="0" function="0" vbProcedure="0">#ref!</definedName>
    <definedName name="GP_MIX_RATIO" hidden="0" function="0" vbProcedure="0">#ref!</definedName>
    <definedName name="GP_SLURRY_VOL" hidden="0" function="0" vbProcedure="0">#ref!</definedName>
    <definedName name="GQGQ" hidden="0" function="0" vbProcedure="0">#ref!</definedName>
    <definedName name="GQQ" hidden="0" function="0" vbProcedure="0">#ref!</definedName>
    <definedName name="GR" hidden="0" function="0" vbProcedure="0">#ref!</definedName>
    <definedName name="grade" hidden="0" function="0" vbProcedure="0">#ref!</definedName>
    <definedName name="GRADEPIPE" hidden="0" function="0" vbProcedure="0">#ref!</definedName>
    <definedName name="Grade_DP" hidden="0" function="0" vbProcedure="0">[25]Data!$J$3:$J$30</definedName>
    <definedName name="grapgb" hidden="1" function="0" vbProcedure="0">#ref!</definedName>
    <definedName name="GrapHSVOverkill" hidden="0" function="0" vbProcedure="0">#ref!</definedName>
    <definedName name="GrapLSV" hidden="0" function="0" vbProcedure="0">#ref!</definedName>
    <definedName name="GrapOverkillExtra" hidden="0" function="0" vbProcedure="0">#ref!</definedName>
    <definedName name="GrapUBPres" hidden="0" function="0" vbProcedure="0">#ref!</definedName>
    <definedName name="GrapUBPress" hidden="0" function="0" vbProcedure="0">#ref!</definedName>
    <definedName name="gravelincasing" hidden="0" function="0" vbProcedure="0">#ref!</definedName>
    <definedName name="gravelinperfs" hidden="0" function="0" vbProcedure="0">[5]WTR!$G$101</definedName>
    <definedName name="gravelonblank" hidden="0" function="0" vbProcedure="0">[5]WTR!$I$155</definedName>
    <definedName name="gravelonscreen" hidden="0" function="0" vbProcedure="0">[5]WTR!$I$154</definedName>
    <definedName name="gravelsize" hidden="0" function="0" vbProcedure="0">#ref!</definedName>
    <definedName name="GRAVEL_IN_CSG." hidden="0" function="0" vbProcedure="0">#ref!</definedName>
    <definedName name="GridConvergence" hidden="0" function="0" vbProcedure="0">#ref!</definedName>
    <definedName name="GridLocation" hidden="0" function="0" vbProcedure="0">#ref!</definedName>
    <definedName name="grinhhhhhh" hidden="0" function="0" vbProcedure="0">#ref!</definedName>
    <definedName name="GROSS_COST_DATA" hidden="0" function="0" vbProcedure="0">#ref!</definedName>
    <definedName name="GroundLevelElevation" hidden="0" function="0" vbProcedure="0">#ref!</definedName>
    <definedName name="Groupdb" hidden="0" function="0" vbProcedure="0">#ref!</definedName>
    <definedName name="GroupID" hidden="0" function="0" vbProcedure="0">[11]DATA!$Q$2:$Q$268</definedName>
    <definedName name="Groupslb" hidden="0" function="0" vbProcedure="0">#ref!</definedName>
    <definedName name="Group_ID" hidden="0" function="0" vbProcedure="0">[57]DATA!$Q$2:$Q$268</definedName>
    <definedName name="GRQ" hidden="0" function="0" vbProcedure="0">#ref!</definedName>
    <definedName name="gsa" hidden="1" function="0" vbProcedure="0">#ref!</definedName>
    <definedName name="GUB24SECWELL" hidden="1" function="0" vbProcedure="0">#ref!</definedName>
    <definedName name="GUCF" hidden="0" function="0" vbProcedure="0">#ref!</definedName>
    <definedName name="GudCont" hidden="0" function="0" vbProcedure="0">#ref!</definedName>
    <definedName name="Gun" hidden="0" function="0" vbProcedure="0">#ref!</definedName>
    <definedName name="GunDatabase" hidden="0" function="0" vbProcedure="0">#ref!</definedName>
    <definedName name="GunLength" hidden="0" function="0" vbProcedure="0">#ref!</definedName>
    <definedName name="GunSize" hidden="0" function="0" vbProcedure="0">#ref!</definedName>
    <definedName name="GunSPF" hidden="0" function="0" vbProcedure="0">#ref!</definedName>
    <definedName name="GunsWeight" hidden="0" function="0" vbProcedure="0">#ref!</definedName>
    <definedName name="GunSystem" hidden="0" function="0" vbProcedure="0">#ref!</definedName>
    <definedName name="gunticket" hidden="0" function="0" vbProcedure="0">#ref!</definedName>
    <definedName name="Gun_Size" hidden="0" function="0" vbProcedure="0">#ref!</definedName>
    <definedName name="GWS" hidden="0" function="0" vbProcedure="0">#ref!</definedName>
    <definedName name="h" hidden="0" function="0" vbProcedure="0">#ref!</definedName>
    <definedName name="H2S" hidden="0" function="0" vbProcedure="0">#ref!</definedName>
    <definedName name="Habshan" hidden="0" function="0" vbProcedure="0">#ref!</definedName>
    <definedName name="Habshan_Zone_1" hidden="0" function="0" vbProcedure="0">#ref!</definedName>
    <definedName name="Habshan_Zone_2" hidden="0" function="0" vbProcedure="0">#ref!</definedName>
    <definedName name="Habshan_Zone_3" hidden="0" function="0" vbProcedure="0">#ref!</definedName>
    <definedName name="Habshan_Zone_4" hidden="0" function="0" vbProcedure="0">#ref!</definedName>
    <definedName name="Habshan_Zone_4A" hidden="0" function="0" vbProcedure="0">#ref!</definedName>
    <definedName name="Habshan_Zone_5" hidden="0" function="0" vbProcedure="0">#ref!</definedName>
    <definedName name="Halul" hidden="0" function="0" vbProcedure="0">#ref!</definedName>
    <definedName name="Halul___Laffan" hidden="0" function="0" vbProcedure="0">#ref!</definedName>
    <definedName name="HANGER" hidden="0" function="0" vbProcedure="0">#ref!</definedName>
    <definedName name="Hangerfunction" hidden="0" function="0" vbProcedure="0">#ref!</definedName>
    <definedName name="Hanger_Burst" hidden="0" function="0" vbProcedure="0">#ref!</definedName>
    <definedName name="Hanger_size" hidden="0" function="0" vbProcedure="0">#ref!</definedName>
    <definedName name="HangSelect" hidden="0" function="0" vbProcedure="0">#ref!</definedName>
    <definedName name="Hanifa" hidden="0" function="0" vbProcedure="0">#ref!</definedName>
    <definedName name="Hardware" hidden="0" function="0" vbProcedure="0">[141]summary!#ref!</definedName>
    <definedName name="Hassan" hidden="0" function="0" vbProcedure="0">[185]!Macro1</definedName>
    <definedName name="HAUL_Thread" hidden="0" function="0" vbProcedure="0">[11]DATA!$BM$22:$BM$114</definedName>
    <definedName name="HazCat" hidden="0" function="0" vbProcedure="0">[58]HARC_Upload!$B$3:$V$3</definedName>
    <definedName name="HDFDepth" hidden="0" function="0" vbProcedure="0">#ref!</definedName>
    <definedName name="HEAD" hidden="0" function="0" vbProcedure="0">#ref!</definedName>
    <definedName name="HelBucklingUnit" hidden="0" function="0" vbProcedure="0">#ref!</definedName>
    <definedName name="Help" hidden="0" function="0" vbProcedure="0">#ref!</definedName>
    <definedName name="hesfluid" hidden="0" function="0" vbProcedure="0">#ref!</definedName>
    <definedName name="hfmSBBCopyBBRange" hidden="0" function="0" vbProcedure="0">#ref!</definedName>
    <definedName name="hfmSBBSetFormula" hidden="0" function="0" vbProcedure="0">#ref!</definedName>
    <definedName name="hfmSBBSetValueRange" hidden="0" function="0" vbProcedure="0">#ref!</definedName>
    <definedName name="HGG" hidden="0" function="0" vbProcedure="0">[139]tonmiles!#ref!</definedName>
    <definedName name="hgh" hidden="1" function="0" vbProcedure="0">[1]Run!$D$15:$D$512</definedName>
    <definedName name="hgr" hidden="0" function="0" vbProcedure="0">#ref!</definedName>
    <definedName name="HgrMaterial" hidden="0" function="0" vbProcedure="0">#ref!</definedName>
    <definedName name="HGR_OL_Packoff_In" hidden="0" function="0" vbProcedure="0">#ref!</definedName>
    <definedName name="hh" hidden="0" function="0" vbProcedure="0">#ref!</definedName>
    <definedName name="hhd" hidden="0" function="0" vbProcedure="0">#ref!</definedName>
    <definedName name="HHHH" hidden="0" function="0" vbProcedure="0">#ref!</definedName>
    <definedName name="hhp" hidden="0" function="0" vbProcedure="0">'[94]well test sheet'!#ref!</definedName>
    <definedName name="hideahead" hidden="0" function="0" vbProcedure="0">#ref!</definedName>
    <definedName name="hideboh" hidden="0" function="0" vbProcedure="0">#ref!</definedName>
    <definedName name="hidebtoincl" hidden="0" function="0" vbProcedure="0">#ref!</definedName>
    <definedName name="hidebur2" hidden="0" function="0" vbProcedure="0">#ref!</definedName>
    <definedName name="hidesvy" hidden="0" function="0" vbProcedure="0">#ref!</definedName>
    <definedName name="Hith_Anhydrite" hidden="0" function="0" vbProcedure="0">#ref!</definedName>
    <definedName name="hj" hidden="0" function="0" vbProcedure="0">#ref!</definedName>
    <definedName name="HKWT" hidden="0" function="0" vbProcedure="0">#ref!</definedName>
    <definedName name="HLDG_CUST" hidden="0" function="0" vbProcedure="0">'[58]7-30-04'!#ref!</definedName>
    <definedName name="HLDG_QTY" hidden="0" function="0" vbProcedure="0">'[58]7-30-04'!#ref!</definedName>
    <definedName name="Hngr_Body_OD" hidden="0" function="0" vbProcedure="0">#ref!</definedName>
    <definedName name="Hngr_Body_yield" hidden="0" function="0" vbProcedure="0">#ref!</definedName>
    <definedName name="Hngr_Bst" hidden="0" function="0" vbProcedure="0">#ref!</definedName>
    <definedName name="Hngr_Bstz" hidden="0" function="0" vbProcedure="0">'[11]Liner Job Info'!$D$39</definedName>
    <definedName name="Hngr_Coll" hidden="0" function="0" vbProcedure="0">#ref!</definedName>
    <definedName name="Hngr_ID" hidden="0" function="0" vbProcedure="0">#ref!</definedName>
    <definedName name="Hngr_Model" hidden="0" function="0" vbProcedure="0">#ref!</definedName>
    <definedName name="HNGR_OL_PO_Out" hidden="0" function="0" vbProcedure="0">#ref!</definedName>
    <definedName name="Hngr_Overload_Cmt_Setup" hidden="0" function="0" vbProcedure="0">#ref!</definedName>
    <definedName name="Hngr_Shear" hidden="0" function="0" vbProcedure="0">#ref!</definedName>
    <definedName name="Hngr_Tens" hidden="0" function="0" vbProcedure="0">#ref!</definedName>
    <definedName name="Hng_Cap" hidden="0" function="0" vbProcedure="0">#ref!</definedName>
    <definedName name="HOLEmud" hidden="0" function="0" vbProcedure="0">#ref!,#ref!,#ref!</definedName>
    <definedName name="HoleSize" hidden="0" function="0" vbProcedure="0">#ref!</definedName>
    <definedName name="HoleSizeUnits" hidden="0" function="0" vbProcedure="0">#ref!</definedName>
    <definedName name="holevol" hidden="0" function="0" vbProcedure="0">#N/A</definedName>
    <definedName name="hole_csg_size" hidden="0" function="0" vbProcedure="0">'[7]Drop-Down Items'!$K$7:$K$8</definedName>
    <definedName name="Hole_depth" hidden="0" function="0" vbProcedure="0">#ref!</definedName>
    <definedName name="Hole_Size_12.25_9.625" hidden="0" function="0" vbProcedure="0">#ref!</definedName>
    <definedName name="Hole_Size_8.5_7" hidden="0" function="0" vbProcedure="0">#ref!</definedName>
    <definedName name="HookloadUnit" hidden="0" function="0" vbProcedure="0">#ref!</definedName>
    <definedName name="HoursMax" hidden="0" function="0" vbProcedure="0">#ref!</definedName>
    <definedName name="hpb" hidden="0" function="0" vbProcedure="0">'[94]well test sheet'!#ref!</definedName>
    <definedName name="HRS" hidden="0" function="0" vbProcedure="0">'[189]amberjack a32ream'!#ref!</definedName>
    <definedName name="hrt" hidden="0" function="0" vbProcedure="0">#ref!</definedName>
    <definedName name="HR_Turns" hidden="0" function="0" vbProcedure="0">#ref!</definedName>
    <definedName name="HSDT3" hidden="0" function="0" vbProcedure="0">#ref!</definedName>
    <definedName name="hslipjoint" hidden="0" function="0" vbProcedure="0">#ref!</definedName>
    <definedName name="HSVOverkill" hidden="0" function="0" vbProcedure="0">#ref!</definedName>
    <definedName name="HTML_CodePage" hidden="1" function="0" vbProcedure="0">1252</definedName>
    <definedName name="HTML_Control" hidden="1" function="0" vbProcedure="0">{"'Operator &amp; Well Info.'!$A$1:$F$16"}</definedName>
    <definedName name="HTML_Description" hidden="1" function="0" vbProcedure="0">""</definedName>
    <definedName name="HTML_Email" hidden="1" function="0" vbProcedure="0">""</definedName>
    <definedName name="HTML_Header" hidden="1" function="0" vbProcedure="0">"Operator &amp; Well Info."</definedName>
    <definedName name="HTML_LastUpdate" hidden="1" function="0" vbProcedure="0">"3/17/00"</definedName>
    <definedName name="HTML_LineAfter" hidden="1" function="0" vbProcedure="0">FALSE()</definedName>
    <definedName name="HTML_LineBefore" hidden="1" function="0" vbProcedure="0">FALSE()</definedName>
    <definedName name="HTML_Name" hidden="1" function="0" vbProcedure="0">"Greg Whiteley"</definedName>
    <definedName name="HTML_OBDlg2" hidden="1" function="0" vbProcedure="0">TRUE()</definedName>
    <definedName name="HTML_OBDlg4" hidden="1" function="0" vbProcedure="0">TRUE()</definedName>
    <definedName name="HTML_OS" hidden="1" function="0" vbProcedure="0">0</definedName>
    <definedName name="HTML_PathFile" hidden="1" function="0" vbProcedure="0">"C:\My Documents\MyHTML.htm"</definedName>
    <definedName name="HTML_Title" hidden="1" function="0" vbProcedure="0">"Book2"</definedName>
    <definedName name="HWDP" hidden="0" function="0" vbProcedure="0">#ref!</definedName>
    <definedName name="hwdpdt" hidden="0" function="0" vbProcedure="0">'[45]WCT-Ft'!$Q$19:$X$24</definedName>
    <definedName name="HWDP_s" hidden="0" function="0" vbProcedure="0">#ref!</definedName>
    <definedName name="HWDrillPipeID" hidden="0" function="0" vbProcedure="0">#ref!</definedName>
    <definedName name="HWDrillPipeLength" hidden="0" function="0" vbProcedure="0">#ref!</definedName>
    <definedName name="HWDrillPipeOD" hidden="0" function="0" vbProcedure="0">#ref!</definedName>
    <definedName name="HWDrillPipeWt" hidden="0" function="0" vbProcedure="0">#ref!</definedName>
    <definedName name="HWSCo" hidden="0" function="0" vbProcedure="0">#ref!</definedName>
    <definedName name="HWSt" hidden="0" function="0" vbProcedure="0">#ref!</definedName>
    <definedName name="hy" hidden="0" function="0" vbProcedure="0">[49]!Prev.Macro106</definedName>
    <definedName name="Hyd._Pressure" hidden="0" function="0" vbProcedure="0">#ref!</definedName>
    <definedName name="Hyd_at_TV" hidden="0" function="0" vbProcedure="0">#ref!</definedName>
    <definedName name="Hyd_Effect_Force" hidden="0" function="0" vbProcedure="0">#ref!</definedName>
    <definedName name="Hyd_force_element" hidden="0" function="0" vbProcedure="0">#ref!</definedName>
    <definedName name="HyfloSeatID" hidden="0" function="0" vbProcedure="0">#ref!</definedName>
    <definedName name="HyfloSeatNumber" hidden="0" function="0" vbProcedure="0">#ref!</definedName>
    <definedName name="HyfloSupplier" hidden="0" function="0" vbProcedure="0">#ref!</definedName>
    <definedName name="i" hidden="0" function="0" vbProcedure="0">#ref!</definedName>
    <definedName name="ICMS" hidden="0" function="0" vbProcedure="0">#ref!</definedName>
    <definedName name="ICP" hidden="0" function="0" vbProcedure="0">#ref!</definedName>
    <definedName name="ID" hidden="0" function="0" vbProcedure="0">#ref!</definedName>
    <definedName name="IDColumn" hidden="0" function="0" vbProcedure="0">#ref!</definedName>
    <definedName name="IDdb" hidden="0" function="0" vbProcedure="0">#ref!</definedName>
    <definedName name="IDDP" hidden="0" function="0" vbProcedure="0">#ref!</definedName>
    <definedName name="idlist" hidden="0" function="0" vbProcedure="0">[19]Data!$GD$2:$GE$237</definedName>
    <definedName name="idslb" hidden="0" function="0" vbProcedure="0">#ref!</definedName>
    <definedName name="idstring" hidden="0" function="0" vbProcedure="0">#ref!</definedName>
    <definedName name="IDUnit" hidden="0" function="0" vbProcedure="0">#ref!</definedName>
    <definedName name="IGLD_Tally_Depths" hidden="0" function="0" vbProcedure="0">'[2]5 GLV Design'!$B$2:$K$23</definedName>
    <definedName name="IGLD_Target_Depths" hidden="0" function="0" vbProcedure="0">'[2]5 GLV Design'!$B$26:$K$47</definedName>
    <definedName name="iiiiiiiiiiiiikkk" hidden="0" function="0" vbProcedure="0">#ref!</definedName>
    <definedName name="ik" hidden="0" function="0" vbProcedure="0">#ref!,#ref!</definedName>
    <definedName name="Imagedb" hidden="0" function="0" vbProcedure="0">#ref!</definedName>
    <definedName name="Imageslb" hidden="0" function="0" vbProcedure="0">#ref!</definedName>
    <definedName name="imagestring" hidden="0" function="0" vbProcedure="0">#ref!</definedName>
    <definedName name="impdwg" hidden="0" function="0" vbProcedure="0">#ref!</definedName>
    <definedName name="impdwg_1" hidden="0" function="0" vbProcedure="0">impdwg</definedName>
    <definedName name="impdwg_10" hidden="0" function="0" vbProcedure="0">impdwg</definedName>
    <definedName name="impdwg_11" hidden="0" function="0" vbProcedure="0">impdwg</definedName>
    <definedName name="impdwg_2" hidden="0" function="0" vbProcedure="0">impdwg</definedName>
    <definedName name="impdwg_3" hidden="0" function="0" vbProcedure="0">impdwg</definedName>
    <definedName name="impdwg_4" hidden="0" function="0" vbProcedure="0">impdwg</definedName>
    <definedName name="impdwg_5" hidden="0" function="0" vbProcedure="0">impdwg</definedName>
    <definedName name="impdwg_6" hidden="0" function="0" vbProcedure="0">impdwg</definedName>
    <definedName name="impdwg_7" hidden="0" function="0" vbProcedure="0">impdwg</definedName>
    <definedName name="impdwg_8" hidden="0" function="0" vbProcedure="0">impdwg</definedName>
    <definedName name="impdwg_9" hidden="0" function="0" vbProcedure="0">impdwg</definedName>
    <definedName name="ImpExpStringLb" hidden="0" function="0" vbProcedure="0">#ref!</definedName>
    <definedName name="IMPflow" hidden="0" function="0" vbProcedure="0">#ref!</definedName>
    <definedName name="in" hidden="0" function="0" vbProcedure="0">#ref!</definedName>
    <definedName name="Inc" hidden="0" function="0" vbProcedure="0">#ref!</definedName>
    <definedName name="inch" hidden="0" function="0" vbProcedure="0">#ref!</definedName>
    <definedName name="Incl" hidden="0" function="0" vbProcedure="0">#ref!</definedName>
    <definedName name="INCLAHEAD" hidden="0" function="0" vbProcedure="0">#ref!</definedName>
    <definedName name="INCLBOH" hidden="0" function="0" vbProcedure="0">#ref!</definedName>
    <definedName name="InclColumn" hidden="0" function="0" vbProcedure="0">!#ref!</definedName>
    <definedName name="INCLfoto" hidden="0" function="0" vbProcedure="0">#ref!</definedName>
    <definedName name="INCLfotobj" hidden="0" function="0" vbProcedure="0">#ref!</definedName>
    <definedName name="Inclination" hidden="0" function="0" vbProcedure="0">#ref!</definedName>
    <definedName name="InclinationData" hidden="0" function="0" vbProcedure="0">OFFSET([191]!Inclination,2,0,COUNT(#ref!),1)</definedName>
    <definedName name="Inclination_In" hidden="0" function="0" vbProcedure="0">#ref!</definedName>
    <definedName name="Inclination_Out" hidden="0" function="0" vbProcedure="0">#ref!</definedName>
    <definedName name="INCLnobj" hidden="0" function="0" vbProcedure="0">#ref!</definedName>
    <definedName name="INCLproj" hidden="0" function="0" vbProcedure="0">#ref!</definedName>
    <definedName name="INCLtieon" hidden="0" function="0" vbProcedure="0">#ref!</definedName>
    <definedName name="InclUnit" hidden="0" function="0" vbProcedure="0">#ref!</definedName>
    <definedName name="incrementa"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hidden="0" function="0" vbProcedure="0">#ref!</definedName>
    <definedName name="INFL" hidden="0" function="0" vbProcedure="0">#ref!</definedName>
    <definedName name="Infl." hidden="0" function="0" vbProcedure="0">#ref!</definedName>
    <definedName name="InfoInput" hidden="0" function="0" vbProcedure="0">#ref!</definedName>
    <definedName name="Information" hidden="0" function="0" vbProcedure="0">[60]auf_screen!#ref!</definedName>
    <definedName name="Information_Range" hidden="0" function="0" vbProcedure="0">[60]auf_screen!#ref!</definedName>
    <definedName name="INFUSER_RATE" hidden="0" function="0" vbProcedure="0">#ref!</definedName>
    <definedName name="INFUSER_RATE_PREPACK" hidden="0" function="0" vbProcedure="0">#ref!</definedName>
    <definedName name="Initialcp" hidden="0" function="0" vbProcedure="0">#ref!</definedName>
    <definedName name="InitialName" hidden="0" function="0" vbProcedure="0">#ref!</definedName>
    <definedName name="injectiona" hidden="0" function="0" vbProcedure="0">#ref!</definedName>
    <definedName name="injectionb" hidden="0" function="0" vbProcedure="0">#ref!</definedName>
    <definedName name="injectionc" hidden="0" function="0" vbProcedure="0">#ref!</definedName>
    <definedName name="injectiond" hidden="0" function="0" vbProcedure="0">#ref!</definedName>
    <definedName name="injectione" hidden="0" function="0" vbProcedure="0">#ref!</definedName>
    <definedName name="injectionf" hidden="0" function="0" vbProcedure="0">#ref!</definedName>
    <definedName name="injectiong" hidden="0" function="0" vbProcedure="0">#ref!</definedName>
    <definedName name="injectionh" hidden="0" function="0" vbProcedure="0">#ref!</definedName>
    <definedName name="injectioni" hidden="0" function="0" vbProcedure="0">#ref!</definedName>
    <definedName name="injectionj" hidden="0" function="0" vbProcedure="0">#ref!</definedName>
    <definedName name="InLineConn" hidden="0" function="0" vbProcedure="0">#ref!</definedName>
    <definedName name="INPUT" hidden="0" function="0" vbProcedure="0">'[4]cumulative temp diff'!#ref!</definedName>
    <definedName name="Insert" hidden="0" function="0" vbProcedure="0">#ref!</definedName>
    <definedName name="INSERT1" hidden="0" function="0" vbProcedure="0">#ref!</definedName>
    <definedName name="INSERT2" hidden="0" function="0" vbProcedure="0">#ref!</definedName>
    <definedName name="INSERT3" hidden="0" function="0" vbProcedure="0">#ref!</definedName>
    <definedName name="INSERT5" hidden="0" function="0" vbProcedure="0">#ref!</definedName>
    <definedName name="InsertPoint" hidden="0" function="0" vbProcedure="0">#ref!</definedName>
    <definedName name="Insert_New_Page" hidden="0" function="0" vbProcedure="0">#ref!</definedName>
    <definedName name="Insert_New_Page_1" hidden="0" function="0" vbProcedure="0">[74]!Insert_New_Page</definedName>
    <definedName name="Insert_New_Page_10" hidden="0" function="0" vbProcedure="0">[74]!Insert_New_Page</definedName>
    <definedName name="Insert_New_Page_11" hidden="0" function="0" vbProcedure="0">[74]!Insert_New_Page</definedName>
    <definedName name="Insert_New_Page_2" hidden="0" function="0" vbProcedure="0">[74]!Insert_New_Page</definedName>
    <definedName name="Insert_New_Page_3" hidden="0" function="0" vbProcedure="0">[74]!Insert_New_Page</definedName>
    <definedName name="Insert_New_Page_4" hidden="0" function="0" vbProcedure="0">[74]!Insert_New_Page</definedName>
    <definedName name="Insert_New_Page_5" hidden="0" function="0" vbProcedure="0">[74]!Insert_New_Page</definedName>
    <definedName name="Insert_New_Page_6" hidden="0" function="0" vbProcedure="0">[74]!Insert_New_Page</definedName>
    <definedName name="Insert_New_Page_7" hidden="0" function="0" vbProcedure="0">[74]!Insert_New_Page</definedName>
    <definedName name="Insert_New_Page_8" hidden="0" function="0" vbProcedure="0">[74]!Insert_New_Page</definedName>
    <definedName name="Insert_New_Page_9" hidden="0" function="0" vbProcedure="0">[74]!Insert_New_Page</definedName>
    <definedName name="Inside_Info" hidden="0" function="0" vbProcedure="0">#ref!</definedName>
    <definedName name="INSTRUCTIONS" hidden="0" function="0" vbProcedure="0">#ref!</definedName>
    <definedName name="Insurance" hidden="0" function="0" vbProcedure="0">#ref!</definedName>
    <definedName name="Internalvolstring" hidden="0" function="0" vbProcedure="0">#ref!</definedName>
    <definedName name="IntervalFd" hidden="0" function="0" vbProcedure="0">#ref!</definedName>
    <definedName name="IntFd" hidden="0" function="0" vbProcedure="0">#ref!</definedName>
    <definedName name="inv" hidden="0" function="0" vbProcedure="0">#ref!</definedName>
    <definedName name="INVENT2" hidden="0" function="0" vbProcedure="0">#ref!</definedName>
    <definedName name="Inverse_Balloon_Area" hidden="0" function="0" vbProcedure="0">#ref!</definedName>
    <definedName name="invoice" hidden="0" function="0" vbProcedure="0">#ref!</definedName>
    <definedName name="Involvement" hidden="0" function="0" vbProcedure="0">#ref!</definedName>
    <definedName name="InvRefNum" hidden="0" function="0" vbProcedure="0">#ref!</definedName>
    <definedName name="ipad_form" hidden="0" function="0" vbProcedure="0">'[7]Drop-Down Items'!$AE$7:$AE$8</definedName>
    <definedName name="IPI" hidden="0" function="0" vbProcedure="0">#ref!</definedName>
    <definedName name="IR" hidden="0" function="0" vbProcedure="0">#ref!</definedName>
    <definedName name="iris" hidden="0" function="0" vbProcedure="0">#ref!</definedName>
    <definedName name="isip" hidden="0" function="0" vbProcedure="0">#ref!</definedName>
    <definedName name="Issue" hidden="0" function="0" vbProcedure="0">#ref!</definedName>
    <definedName name="Item1" hidden="0" function="0" vbProcedure="0">INDEX(#ref!,0,MATCH('[59]ENG Input'!$A$12,Categories,0))</definedName>
    <definedName name="Item10" hidden="0" function="0" vbProcedure="0">INDEX(#ref!,0,MATCH('[59]ENG Input'!$A$128,Categories,0))</definedName>
    <definedName name="Item11" hidden="0" function="0" vbProcedure="0">INDEX(#ref!,0,MATCH('[59]ENG Input'!$A$139,Categories,0))</definedName>
    <definedName name="Item12" hidden="0" function="0" vbProcedure="0">INDEX(#ref!,0,MATCH('[59]ENG Input'!$A$155,Categories,0))</definedName>
    <definedName name="Item13" hidden="0" function="0" vbProcedure="0">INDEX(#ref!,0,MATCH('[59]ENG Input'!$A$171,Categories,0))</definedName>
    <definedName name="Item14" hidden="0" function="0" vbProcedure="0">INDEX(#ref!,0,MATCH('[59]ENG Input'!$A$182,Categories,0))</definedName>
    <definedName name="Item15" hidden="0" function="0" vbProcedure="0">INDEX(#ref!,0,MATCH('[59]ENG Input'!$A$193,Categories,0))</definedName>
    <definedName name="Item16" hidden="0" function="0" vbProcedure="0">INDEX(#ref!,0,MATCH('[59]ENG Input'!$A$204,Categories,0))</definedName>
    <definedName name="Item17" hidden="0" function="0" vbProcedure="0">INDEX(#ref!,0,MATCH('[59]ENG Input'!$A$215,Categories,0))</definedName>
    <definedName name="Item18" hidden="0" function="0" vbProcedure="0">INDEX(#ref!,0,MATCH('[59]ENG Input'!$A$226,Categories,0))</definedName>
    <definedName name="Item19" hidden="0" function="0" vbProcedure="0">INDEX(#ref!,0,MATCH('[59]ENG Input'!$A$237,Categories,0))</definedName>
    <definedName name="Item2" hidden="0" function="0" vbProcedure="0">INDEX(#ref!,0,MATCH('[59]ENG Input'!$A$32,Categories,0))</definedName>
    <definedName name="Item20" hidden="0" function="0" vbProcedure="0">INDEX(#ref!,0,MATCH('[59]ENG Input'!$A$248,Categories,0))</definedName>
    <definedName name="Item3" hidden="0" function="0" vbProcedure="0">INDEX(#ref!,0,MATCH('[59]ENG Input'!$A$48,Categories,0))</definedName>
    <definedName name="Item4" hidden="0" function="0" vbProcedure="0">INDEX(#ref!,0,MATCH('[59]ENG Input'!$A$59,Categories,0))</definedName>
    <definedName name="Item5" hidden="0" function="0" vbProcedure="0">INDEX(#ref!,0,MATCH('[59]ENG Input'!$A$73,Categories,0))</definedName>
    <definedName name="Item6" hidden="0" function="0" vbProcedure="0">INDEX(#ref!,0,MATCH('[59]ENG Input'!$A$84,Categories,0))</definedName>
    <definedName name="Item7" hidden="0" function="0" vbProcedure="0">INDEX(#ref!,0,MATCH('[59]ENG Input'!$A$95,Categories,0))</definedName>
    <definedName name="Item8" hidden="0" function="0" vbProcedure="0">INDEX(#ref!,0,MATCH('[59]ENG Input'!$A$106,Categories,0))</definedName>
    <definedName name="Item9" hidden="0" function="0" vbProcedure="0">INDEX(#ref!,0,MATCH('[59]ENG Input'!$A$117,Categories,0))</definedName>
    <definedName name="itemnumberstring" hidden="0" function="0" vbProcedure="0">#ref!</definedName>
    <definedName name="itemnumberstring2" hidden="0" function="0" vbProcedure="0">#ref!</definedName>
    <definedName name="iuuyyyt" hidden="1" function="0" vbProcedure="0">#ref!</definedName>
    <definedName name="j" hidden="0" function="0" vbProcedure="0">#ref!</definedName>
    <definedName name="JANANALSCP" hidden="0" function="0" vbProcedure="0">#ref!</definedName>
    <definedName name="JANANALSSWE" hidden="0" function="0" vbProcedure="0">#ref!</definedName>
    <definedName name="janrupees" hidden="0" function="0" vbProcedure="0">#ref!</definedName>
    <definedName name="JAR" hidden="0" function="0" vbProcedure="0">#ref!</definedName>
    <definedName name="JARDepth" hidden="0" function="0" vbProcedure="0">#ref!</definedName>
    <definedName name="JE" hidden="0" function="0" vbProcedure="0">#ref!</definedName>
    <definedName name="jena_9" hidden="0" function="0" vbProcedure="0">#ref!</definedName>
    <definedName name="JEYJD" hidden="0" function="0" vbProcedure="0">#ref!</definedName>
    <definedName name="Jim" hidden="0" function="0" vbProcedure="0">#ref!</definedName>
    <definedName name="JimG" hidden="0" function="0" vbProcedure="0">#ref!</definedName>
    <definedName name="jj" hidden="1" function="0" vbProcedure="0">#ref!</definedName>
    <definedName name="JK" hidden="0" function="0" vbProcedure="0">#ref!</definedName>
    <definedName name="Job" hidden="0" function="0" vbProcedure="0">#ref!</definedName>
    <definedName name="JobCenterID" hidden="0" function="0" vbProcedure="0">#ref!</definedName>
    <definedName name="JobCode" hidden="0" function="0" vbProcedure="0">#ref!</definedName>
    <definedName name="JobDate" hidden="0" function="0" vbProcedure="0">'[30]Liner Job Info'!$O$11</definedName>
    <definedName name="JobEndDate" hidden="0" function="0" vbProcedure="0">#ref!</definedName>
    <definedName name="JobFd" hidden="0" function="0" vbProcedure="0">#ref!</definedName>
    <definedName name="JobLogCustSig" hidden="0" function="0" vbProcedure="0">#ref!</definedName>
    <definedName name="jobno" hidden="0" function="0" vbProcedure="0">[5]WTR!$I$3</definedName>
    <definedName name="JobNumber" hidden="0" function="0" vbProcedure="0">#ref!</definedName>
    <definedName name="jobpurpose1" hidden="0" function="0" vbProcedure="0">#N/A</definedName>
    <definedName name="JobQuest" hidden="0" function="0" vbProcedure="0">#ref!</definedName>
    <definedName name="JobRefFd" hidden="0" function="0" vbProcedure="0">#ref!</definedName>
    <definedName name="JobStartDate" hidden="0" function="0" vbProcedure="0">#ref!</definedName>
    <definedName name="JobType" hidden="0" function="0" vbProcedure="0">#ref!</definedName>
    <definedName name="Jobtype1" hidden="0" function="0" vbProcedure="0">#N/A</definedName>
    <definedName name="jobtypeandcat" hidden="0" function="0" vbProcedure="0">#ref!</definedName>
    <definedName name="jobtypelabel" hidden="0" function="0" vbProcedure="0">#ref!</definedName>
    <definedName name="Job_date" hidden="0" function="0" vbProcedure="0">#ref!</definedName>
    <definedName name="Job_Name" hidden="0" function="0" vbProcedure="0">#ref!</definedName>
    <definedName name="Job_Number" hidden="0" function="0" vbProcedure="0">#ref!</definedName>
    <definedName name="Job_Quality" hidden="0" function="0" vbProcedure="0">[60]auf_screen!#ref!</definedName>
    <definedName name="Job_Type" hidden="0" function="0" vbProcedure="0">#ref!</definedName>
    <definedName name="Job_Type_Index" hidden="0" function="0" vbProcedure="0">'[12]JCSI 12'!$AB$26</definedName>
    <definedName name="JointNumber" hidden="0" function="0" vbProcedure="0">#N/A</definedName>
    <definedName name="JOINTNUMBER23" hidden="0" function="0" vbProcedure="0">[72]!JointNumber</definedName>
    <definedName name="JOINTNYMBER4" hidden="0" function="0" vbProcedure="0">[72]!JointNumber</definedName>
    <definedName name="joints" hidden="0" function="0" vbProcedure="0">#ref!</definedName>
    <definedName name="joints1" hidden="0" function="0" vbProcedure="0">#ref!</definedName>
    <definedName name="JOINT_NO." hidden="0" function="0" vbProcedure="0">[90]tbgtally!#ref!</definedName>
    <definedName name="Journal_Entries_Foglio1_Elenca" hidden="0" function="0" vbProcedure="0">#ref!</definedName>
    <definedName name="JOYCE" hidden="1" function="0" vbProcedure="0">#ref!</definedName>
    <definedName name="JR" hidden="0" function="0" vbProcedure="0">#ref!</definedName>
    <definedName name="JRJTRJT" hidden="0" function="0" vbProcedure="0">#ref!</definedName>
    <definedName name="JSA" hidden="0" function="0" vbProcedure="0">#ref!</definedName>
    <definedName name="JT" hidden="0" function="0" vbProcedure="0">[197]!JointNumber</definedName>
    <definedName name="JtCount" hidden="0" function="0" vbProcedure="0">#ref!</definedName>
    <definedName name="JTNFN" hidden="0" function="0" vbProcedure="0">#ref!</definedName>
    <definedName name="Jt_No" hidden="0" function="0" vbProcedure="0">#ref!</definedName>
    <definedName name="Jubaila" hidden="0" function="0" vbProcedure="0">#ref!</definedName>
    <definedName name="jun" hidden="1" function="0" vbProcedure="0">{#N/A,#N/A,FALSE,"Sheet1"}</definedName>
    <definedName name="June" hidden="1" function="0" vbProcedure="0">{#N/A,#N/A,FALSE,"Sheet1"}</definedName>
    <definedName name="June1" hidden="1" function="0" vbProcedure="0">{#N/A,#N/A,FALSE,"Sheet1"}</definedName>
    <definedName name="junk" hidden="1" function="0" vbProcedure="0">{#N/A,#N/A,FALSE,"Volume"}</definedName>
    <definedName name="junk1" hidden="1" function="0" vbProcedure="0">{#N/A,#N/A,FALSE,"Volume"}</definedName>
    <definedName name="junk2" hidden="1" function="0" vbProcedure="0">{#N/A,#N/A,FALSE,"Volume"}</definedName>
    <definedName name="junk3" hidden="1" function="0" vbProcedure="0">{#N/A,#N/A,FALSE,"Volume"}</definedName>
    <definedName name="junk4" hidden="1" function="0" vbProcedure="0">{#N/A,#N/A,FALSE,"Volume"}</definedName>
    <definedName name="k" hidden="0" function="0" vbProcedure="0">#ref!</definedName>
    <definedName name="KB" hidden="0" function="0" vbProcedure="0">#ref!</definedName>
    <definedName name="KD" hidden="0" function="0" vbProcedure="0">#ref!</definedName>
    <definedName name="Kelly_Dwn" hidden="0" function="0" vbProcedure="0">#ref!</definedName>
    <definedName name="KFactor" hidden="0" function="0" vbProcedure="0">#ref!</definedName>
    <definedName name="KillSheet" hidden="0" function="0" vbProcedure="0">#ref!</definedName>
    <definedName name="Kill_Fluid_Type" hidden="0" function="0" vbProcedure="0">#ref!</definedName>
    <definedName name="Kill_Fluid_Wt" hidden="0" function="0" vbProcedure="0">#ref!</definedName>
    <definedName name="KK" hidden="0" function="0" vbProcedure="0">[74]!Macro1</definedName>
    <definedName name="kkkkkkkk" hidden="0" function="0" vbProcedure="0">#ref!</definedName>
    <definedName name="KL" hidden="0" function="0" vbProcedure="0">#ref!</definedName>
    <definedName name="KO" hidden="0" function="0" vbProcedure="0">#ref!</definedName>
    <definedName name="KOP" hidden="0" function="0" vbProcedure="0">#ref!</definedName>
    <definedName name="KOPANG" hidden="0" function="0" vbProcedure="0">#ref!</definedName>
    <definedName name="KOPcp" hidden="0" function="0" vbProcedure="0">#ref!</definedName>
    <definedName name="KOPDIR" hidden="0" function="0" vbProcedure="0">#ref!</definedName>
    <definedName name="KOPEW" hidden="0" function="0" vbProcedure="0">#ref!</definedName>
    <definedName name="KOPm" hidden="0" function="0" vbProcedure="0">#ref!</definedName>
    <definedName name="KOPNS" hidden="0" function="0" vbProcedure="0">#ref!</definedName>
    <definedName name="KOPTVD" hidden="0" function="0" vbProcedure="0">#ref!</definedName>
    <definedName name="KOPv" hidden="0" function="0" vbProcedure="0">#ref!</definedName>
    <definedName name="kriteria" hidden="0" function="0" vbProcedure="0">[198]events!#ref!</definedName>
    <definedName name="KRR" hidden="0" function="0" vbProcedure="0">#ref!</definedName>
    <definedName name="KUYUKR" hidden="0" function="0" vbProcedure="0">#ref!</definedName>
    <definedName name="KWM" hidden="0" function="0" vbProcedure="0">#ref!</definedName>
    <definedName name="K_1" hidden="0" function="0" vbProcedure="0">#ref!</definedName>
    <definedName name="K_2" hidden="0" function="0" vbProcedure="0">#ref!</definedName>
    <definedName name="K_Dual" hidden="0" function="0" vbProcedure="0">#ref!</definedName>
    <definedName name="L" hidden="0" function="0" vbProcedure="0">#ref!</definedName>
    <definedName name="L1o" hidden="0" function="0" vbProcedure="0">#ref!</definedName>
    <definedName name="L2u" hidden="0" function="0" vbProcedure="0">#ref!</definedName>
    <definedName name="LABEL" hidden="0" function="0" vbProcedure="0">'[44]7-30-04'!$GO$7457</definedName>
    <definedName name="LABELTEXTROW1" hidden="0" function="0" vbProcedure="0">[53]CRITERIA1!$B$23</definedName>
    <definedName name="Laffan" hidden="0" function="0" vbProcedure="0">#ref!</definedName>
    <definedName name="Landing_Strings" hidden="0" function="0" vbProcedure="0">'[2]Equipment Go-To Sheet'!$F$303:$F$309</definedName>
    <definedName name="landoffshore" hidden="0" function="0" vbProcedure="0">#ref!</definedName>
    <definedName name="LastCsgString" hidden="0" function="0" vbProcedure="0">#ref!</definedName>
    <definedName name="lastrow" hidden="0" function="0" vbProcedure="0">#ref!</definedName>
    <definedName name="Latch_in_Collar_7" hidden="0" function="0" vbProcedure="0">#ref!</definedName>
    <definedName name="LatColumn" hidden="0" function="0" vbProcedure="0">!#ref!</definedName>
    <definedName name="Lateral_A_Directional" hidden="0" function="0" vbProcedure="0">'[60]A3a Well Path (Lateral A)'!$B$9:$O$621</definedName>
    <definedName name="Lateral_B_Directional" hidden="0" function="0" vbProcedure="0">'[60]A3b Well Path (Lateral B)'!$B$10:$P$500</definedName>
    <definedName name="Lateral_Lower_Directional" hidden="0" function="0" vbProcedure="0">'[2]3A Well Path (lower lateral)'!$B$10:$P$420</definedName>
    <definedName name="latlong" hidden="0" function="0" vbProcedure="0">'[34]Call Sheet'!$P$7</definedName>
    <definedName name="Lay" hidden="0" function="0" vbProcedure="0">'[52]#REF'!$B$12</definedName>
    <definedName name="LBS_FT" hidden="0" function="0" vbProcedure="0">'[58]7-30-04'!#ref!</definedName>
    <definedName name="lb_ft" hidden="0" function="0" vbProcedure="0">#ref!</definedName>
    <definedName name="lb_gal" hidden="0" function="0" vbProcedure="0">#ref!</definedName>
    <definedName name="LC" hidden="0" function="0" vbProcedure="0">INDEX([13]DRAW!$J$12:$K$21,MATCH(#ref!,[13]DRAW!$J$12:$J$21,0),2)</definedName>
    <definedName name="LCJobType" hidden="0" function="0" vbProcedure="0">#ref!</definedName>
    <definedName name="LC_TYPE" hidden="0" function="0" vbProcedure="0">INDEX([13]DRAW!$P$60:$Q$62,MATCH([13]DRAW!$Q$59,[13]DRAW!$P$60:$P$62,0),2)</definedName>
    <definedName name="Lead_Cmt_Wt" hidden="0" function="0" vbProcedure="0">#ref!</definedName>
    <definedName name="Lead_Mill_Dull_Char" hidden="0" function="0" vbProcedure="0">'[7]Drop-Down Items'!$B$75:$B$94</definedName>
    <definedName name="Lead_Mill_Dull_Location" hidden="0" function="0" vbProcedure="0">'[7]Drop-Down Items'!$A$88:$A$106</definedName>
    <definedName name="Lead_Slurry_in_12.25__OH" hidden="0" function="0" vbProcedure="0">'[61]Cmt Csg'!$C$6</definedName>
    <definedName name="Leak_Off_Press" hidden="0" function="0" vbProcedure="0">#ref!</definedName>
    <definedName name="Leak_Off_Test_Press." hidden="0" function="0" vbProcedure="0">#ref!</definedName>
    <definedName name="Lease" hidden="0" function="0" vbProcedure="0">#ref!</definedName>
    <definedName name="Lease1" hidden="0" function="0" vbProcedure="0">#ref!</definedName>
    <definedName name="LEFT_BORDER" hidden="0" function="0" vbProcedure="0">#ref!</definedName>
    <definedName name="Legal" hidden="0" function="0" vbProcedure="0">#ref!</definedName>
    <definedName name="Leg_Index" hidden="0" function="0" vbProcedure="0">'[12]JCSI 12'!$Z$26</definedName>
    <definedName name="length" hidden="0" function="0" vbProcedure="0">#ref!</definedName>
    <definedName name="Lengthdb" hidden="0" function="0" vbProcedure="0">#ref!</definedName>
    <definedName name="Lengthlong" hidden="0" function="0" vbProcedure="0">#ref!</definedName>
    <definedName name="Lengths" hidden="0" function="0" vbProcedure="0">#ref!,#ref!,#ref!,#ref!,#ref!,#ref!,#ref!,#ref!,#ref!,#ref!,#ref!,#ref!,#ref!,#ref!</definedName>
    <definedName name="lengthslb" hidden="0" function="0" vbProcedure="0">#ref!</definedName>
    <definedName name="Lengthsmall" hidden="0" function="0" vbProcedure="0">#ref!</definedName>
    <definedName name="lengthstring" hidden="0" function="0" vbProcedure="0">#ref!</definedName>
    <definedName name="LengthUnit" hidden="0" function="0" vbProcedure="0">#ref!</definedName>
    <definedName name="LengthUnits" hidden="0" function="0" vbProcedure="0">#ref!</definedName>
    <definedName name="Length_long" hidden="0" function="0" vbProcedure="0">#ref!</definedName>
    <definedName name="Length_small" hidden="0" function="0" vbProcedure="0">#ref!</definedName>
    <definedName name="Level_2_BOMS" hidden="0" function="0" vbProcedure="0">#ref!</definedName>
    <definedName name="LFTS" hidden="0" function="0" vbProcedure="0">#ref!</definedName>
    <definedName name="LIFTSUB" hidden="0" function="0" vbProcedure="0">#ref!</definedName>
    <definedName name="LIFTSUB1" hidden="0" function="0" vbProcedure="0">#ref!</definedName>
    <definedName name="Likelihood" hidden="0" function="0" vbProcedure="0">#ref!</definedName>
    <definedName name="Liner1_Burst" hidden="0" function="0" vbProcedure="0">#ref!</definedName>
    <definedName name="Liner1_Burstz" hidden="0" function="0" vbProcedure="0">'[11]Liner Job Info'!$J$17</definedName>
    <definedName name="Liner1_Cap" hidden="0" function="0" vbProcedure="0">#ref!</definedName>
    <definedName name="Liner1_Collapse" hidden="0" function="0" vbProcedure="0">#ref!</definedName>
    <definedName name="Liner1_Collapsez" hidden="0" function="0" vbProcedure="0">'[11]Liner Job Info'!$L$17</definedName>
    <definedName name="Liner1_Drift" hidden="0" function="0" vbProcedure="0">#ref!</definedName>
    <definedName name="Liner1_ID" hidden="0" function="0" vbProcedure="0">#ref!</definedName>
    <definedName name="Liner1_Length" hidden="0" function="0" vbProcedure="0">#ref!</definedName>
    <definedName name="Liner1_Lengthz" hidden="0" function="0" vbProcedure="0">'[11]Liner Job Info'!$R$17</definedName>
    <definedName name="Liner1_OD" hidden="0" function="0" vbProcedure="0">#ref!</definedName>
    <definedName name="Liner1_Tensile" hidden="0" function="0" vbProcedure="0">#ref!</definedName>
    <definedName name="Liner1_Thread" hidden="0" function="0" vbProcedure="0">#ref!</definedName>
    <definedName name="Liner1_Wt_in_Mud" hidden="0" function="0" vbProcedure="0">#ref!</definedName>
    <definedName name="Liner1_Wt_Per_Ft" hidden="0" function="0" vbProcedure="0">#ref!</definedName>
    <definedName name="Liner2_Burst" hidden="0" function="0" vbProcedure="0">#ref!</definedName>
    <definedName name="Liner2_Burstz" hidden="0" function="0" vbProcedure="0">'[11]Liner Job Info'!$J$18</definedName>
    <definedName name="Liner2_Cap" hidden="0" function="0" vbProcedure="0">#ref!</definedName>
    <definedName name="Liner2_Collapse" hidden="0" function="0" vbProcedure="0">#ref!</definedName>
    <definedName name="Liner2_Collapsez" hidden="0" function="0" vbProcedure="0">'[11]Liner Job Info'!$L$18</definedName>
    <definedName name="Liner2_Drift" hidden="0" function="0" vbProcedure="0">#ref!</definedName>
    <definedName name="Liner2_ID" hidden="0" function="0" vbProcedure="0">#ref!</definedName>
    <definedName name="Liner2_Length" hidden="0" function="0" vbProcedure="0">#ref!</definedName>
    <definedName name="Liner2_Lengthz" hidden="0" function="0" vbProcedure="0">'[11]Liner Job Info'!$R$18</definedName>
    <definedName name="Liner2_OD" hidden="0" function="0" vbProcedure="0">#ref!</definedName>
    <definedName name="Liner2_Tensile" hidden="0" function="0" vbProcedure="0">#ref!</definedName>
    <definedName name="Liner2_Thread" hidden="0" function="0" vbProcedure="0">#ref!</definedName>
    <definedName name="Liner2_Wt_in_Mud" hidden="0" function="0" vbProcedure="0">#ref!</definedName>
    <definedName name="Liner2_Wt_Per_FT" hidden="0" function="0" vbProcedure="0">#ref!</definedName>
    <definedName name="LinerGrade" hidden="0" function="0" vbProcedure="0">#ref!</definedName>
    <definedName name="LinerHanger" hidden="0" function="0" vbProcedure="0">#ref!</definedName>
    <definedName name="LinerID" hidden="0" function="0" vbProcedure="0">#ref!</definedName>
    <definedName name="LinerLength" hidden="0" function="0" vbProcedure="0">#ref!</definedName>
    <definedName name="linerod" hidden="0" function="0" vbProcedure="0">#ref!</definedName>
    <definedName name="Liners" hidden="0" function="0" vbProcedure="0">'[2]Equipment Go-To Sheet'!$F$111:$F$118</definedName>
    <definedName name="linersize" hidden="0" function="0" vbProcedure="0">#ref!</definedName>
    <definedName name="LinerTopPackerRequired1" hidden="0" function="0" vbProcedure="0">#ref!</definedName>
    <definedName name="LinerTopPackerRequired2" hidden="0" function="0" vbProcedure="0">#ref!</definedName>
    <definedName name="Linertype" hidden="0" function="0" vbProcedure="0">#ref!</definedName>
    <definedName name="LinerWeight" hidden="0" function="0" vbProcedure="0">#ref!</definedName>
    <definedName name="linerwt" hidden="0" function="0" vbProcedure="0">#ref!</definedName>
    <definedName name="Liner_I.D." hidden="0" function="0" vbProcedure="0">#ref!</definedName>
    <definedName name="LINER_ID_7" hidden="0" function="0" vbProcedure="0">#ref!</definedName>
    <definedName name="Liner_ID_Area" hidden="0" function="0" vbProcedure="0">#ref!</definedName>
    <definedName name="LINER_OD_7" hidden="0" function="0" vbProcedure="0">#ref!</definedName>
    <definedName name="LINER_SHOE_DEPTH_7" hidden="0" function="0" vbProcedure="0">#ref!</definedName>
    <definedName name="Liner_Size" hidden="0" function="0" vbProcedure="0">#ref!</definedName>
    <definedName name="Liner_Top__MD" hidden="0" function="0" vbProcedure="0">#ref!</definedName>
    <definedName name="Liner_Weight" hidden="0" function="0" vbProcedure="0">#ref!</definedName>
    <definedName name="LIST" hidden="0" function="0" vbProcedure="0">#ref!</definedName>
    <definedName name="listcode" hidden="0" function="0" vbProcedure="0">#ref!</definedName>
    <definedName name="LIST_PRC" hidden="0" function="0" vbProcedure="0">'[44]7-30-04'!$GO$7457</definedName>
    <definedName name="Lithology" hidden="0" function="0" vbProcedure="0">#N/A</definedName>
    <definedName name="lkj" hidden="1" function="0" vbProcedure="0">[56]Run!$B$18:$B$512</definedName>
    <definedName name="ll" hidden="0" function="0" vbProcedure="0">#ref!</definedName>
    <definedName name="LNR16_volume" hidden="0" function="0" vbProcedure="0">#ref!</definedName>
    <definedName name="Lnr1_Burst" hidden="0" function="0" vbProcedure="0">#ref!</definedName>
    <definedName name="Lnr1_Collapse" hidden="0" function="0" vbProcedure="0">#ref!</definedName>
    <definedName name="Lnr1_Grade" hidden="0" function="0" vbProcedure="0">#ref!</definedName>
    <definedName name="Lnr1_to_LC_Vol" hidden="0" function="0" vbProcedure="0">#ref!</definedName>
    <definedName name="Lnr1_Vol" hidden="0" function="0" vbProcedure="0">#ref!</definedName>
    <definedName name="Lnr1_Volz" hidden="0" function="0" vbProcedure="0">'[11]Metric Conversions'!$C$77</definedName>
    <definedName name="Lnr1_X_OH_Vol" hidden="0" function="0" vbProcedure="0">#ref!</definedName>
    <definedName name="Lnr1_X_OH_Volz" hidden="0" function="0" vbProcedure="0">'[11]Metric Conversions'!$C$82</definedName>
    <definedName name="Lnr2_Burst" hidden="0" function="0" vbProcedure="0">#ref!</definedName>
    <definedName name="Lnr2_Collapse" hidden="0" function="0" vbProcedure="0">#ref!</definedName>
    <definedName name="Lnr2_Grade" hidden="0" function="0" vbProcedure="0">#ref!</definedName>
    <definedName name="Lnr2_Vol" hidden="0" function="0" vbProcedure="0">#ref!</definedName>
    <definedName name="Lnr2_Volz" hidden="0" function="0" vbProcedure="0">'[11]Metric Conversions'!$C$78</definedName>
    <definedName name="Lnr2_X_OH_Vol" hidden="0" function="0" vbProcedure="0">#ref!</definedName>
    <definedName name="Lnr2_X_OH_Volz" hidden="0" function="0" vbProcedure="0">'[11]Metric Conversions'!$C$83</definedName>
    <definedName name="LnrDrift1" hidden="0" function="0" vbProcedure="0">#ref!</definedName>
    <definedName name="LnrDrift2" hidden="0" function="0" vbProcedure="0">#ref!</definedName>
    <definedName name="LnrGrd1" hidden="0" function="0" vbProcedure="0">#ref!</definedName>
    <definedName name="LnrGrd2" hidden="0" function="0" vbProcedure="0">#ref!</definedName>
    <definedName name="LnrID1" hidden="0" function="0" vbProcedure="0">#ref!</definedName>
    <definedName name="LnrID2" hidden="0" function="0" vbProcedure="0">#ref!</definedName>
    <definedName name="LnrSz1" hidden="0" function="0" vbProcedure="0">#ref!</definedName>
    <definedName name="LnrSz2" hidden="0" function="0" vbProcedure="0">#ref!</definedName>
    <definedName name="LnrThd1" hidden="0" function="0" vbProcedure="0">#ref!</definedName>
    <definedName name="LnrThd2" hidden="0" function="0" vbProcedure="0">#ref!</definedName>
    <definedName name="LnrWt1" hidden="0" function="0" vbProcedure="0">#ref!</definedName>
    <definedName name="LnrWt2" hidden="0" function="0" vbProcedure="0">#ref!</definedName>
    <definedName name="LNR_L80" hidden="0" function="0" vbProcedure="0">"Freeform 8,Freeform 9,SHOE_1"</definedName>
    <definedName name="Lnr_Shoe_Depth" hidden="0" function="0" vbProcedure="0">#ref!</definedName>
    <definedName name="Lnr_Shoe_Depthz" hidden="0" function="0" vbProcedure="0">'[62]Liner Job Info'!$R$19</definedName>
    <definedName name="Lnr_Size" hidden="0" function="0" vbProcedure="0">[25]Data!$D$3:$D$30</definedName>
    <definedName name="Lnr_Type" hidden="0" function="0" vbProcedure="0">[25]Data!$L$3:$L$12</definedName>
    <definedName name="Lnr_Wt" hidden="0" function="0" vbProcedure="0">[25]Data!$E$3:$E$159</definedName>
    <definedName name="Loaded" hidden="0" function="0" vbProcedure="0">#ref!</definedName>
    <definedName name="Location" hidden="0" function="0" vbProcedure="0">#ref!</definedName>
    <definedName name="Location1" hidden="0" function="0" vbProcedure="0">#ref!</definedName>
    <definedName name="Locations" hidden="0" function="0" vbProcedure="0">#ref!</definedName>
    <definedName name="location_oo" hidden="0" function="0" vbProcedure="0">'[7]Drop-Down Items'!$AD$7:$AD$8</definedName>
    <definedName name="location_rig" hidden="0" function="0" vbProcedure="0">#ref!</definedName>
    <definedName name="Loc_Index" hidden="0" function="0" vbProcedure="0">'[12]JCSI 12'!$W$26</definedName>
    <definedName name="LODO" hidden="0" function="0" vbProcedure="0">#ref!</definedName>
    <definedName name="LodSheet" hidden="0" function="0" vbProcedure="0">#ref!</definedName>
    <definedName name="LOGGER" hidden="0" function="0" vbProcedure="0">[203]!Calculate_Pipe</definedName>
    <definedName name="Logo" hidden="0" function="0" vbProcedure="0">#ref!</definedName>
    <definedName name="Logoo" hidden="0" function="0" vbProcedure="0">#ref!</definedName>
    <definedName name="Log_suites" hidden="0" function="0" vbProcedure="0">[20]Data!$F$2:$F$13</definedName>
    <definedName name="LongColumn" hidden="0" function="0" vbProcedure="0">!#ref!</definedName>
    <definedName name="lop" hidden="0" function="0" vbProcedure="0">#ref!</definedName>
    <definedName name="lossafter1" hidden="0" function="0" vbProcedure="0">#ref!</definedName>
    <definedName name="lossafter2" hidden="0" function="0" vbProcedure="0">#ref!</definedName>
    <definedName name="lossafter3" hidden="0" function="0" vbProcedure="0">#ref!</definedName>
    <definedName name="lossbefore1" hidden="0" function="0" vbProcedure="0">#ref!</definedName>
    <definedName name="lossbefore2" hidden="0" function="0" vbProcedure="0">#ref!</definedName>
    <definedName name="lossbefore3" hidden="0" function="0" vbProcedure="0">#ref!</definedName>
    <definedName name="LossCat" hidden="0" function="0" vbProcedure="0">[58]HARC_Upload!$B$4:$Y$4</definedName>
    <definedName name="LostTime" hidden="0" function="0" vbProcedure="0">#ref!</definedName>
    <definedName name="lotd" hidden="0" function="0" vbProcedure="0">#ref!</definedName>
    <definedName name="lotmw" hidden="0" function="0" vbProcedure="0">#ref!</definedName>
    <definedName name="lotp" hidden="0" function="0" vbProcedure="0">#ref!</definedName>
    <definedName name="loudout" hidden="1" function="0" vbProcedure="0">[63]Run!$D$15:$D$512</definedName>
    <definedName name="LRG_PROJ" hidden="0" function="0" vbProcedure="0">#ref!</definedName>
    <definedName name="LR_HS" hidden="0" function="0" vbProcedure="0">'[7]Drop-Down Items'!$F$34:$F$35</definedName>
    <definedName name="LS" hidden="0" function="0" vbProcedure="0">#ref!</definedName>
    <definedName name="LSA" hidden="0" function="0" vbProcedure="0">[207]!Calculate_Pipe</definedName>
    <definedName name="LSD" hidden="0" function="0" vbProcedure="0">#ref!</definedName>
    <definedName name="LStringW" hidden="0" function="0" vbProcedure="0">#ref!</definedName>
    <definedName name="LSV" hidden="0" function="0" vbProcedure="0">#ref!</definedName>
    <definedName name="LT" hidden="0" function="0" vbProcedure="0">'[58]7-30-04'!#ref!</definedName>
    <definedName name="LTP" hidden="0" function="0" vbProcedure="0">INDEX([13]DRAW!$D$13:$E$14,MATCH(#ref!,[13]DRAW!$D$13:$D$14,0),2)</definedName>
    <definedName name="LTV" hidden="0" function="0" vbProcedure="0">#ref!</definedName>
    <definedName name="LTVCor" hidden="0" function="0" vbProcedure="0">#ref!</definedName>
    <definedName name="LU" hidden="0" function="0" vbProcedure="0">#ref!</definedName>
    <definedName name="LUCF" hidden="0" function="0" vbProcedure="0">#ref!</definedName>
    <definedName name="LWD" hidden="0" function="0" vbProcedure="0">#ref!</definedName>
    <definedName name="LWD_Conns" hidden="0" function="0" vbProcedure="0">#ref!</definedName>
    <definedName name="LWD_Sizes" hidden="0" function="0" vbProcedure="0">#ref!</definedName>
    <definedName name="LWPsys" hidden="0" function="0" vbProcedure="0">#ref!</definedName>
    <definedName name="lyc" hidden="0" function="0" vbProcedure="0">#ref!</definedName>
    <definedName name="L_bhaA" hidden="0" function="0" vbProcedure="0">[139]tonmiles!#ref!</definedName>
    <definedName name="m" hidden="0" function="0" vbProcedure="0">#ref!</definedName>
    <definedName name="MA" hidden="0" function="0" vbProcedure="0">[139]tonmiles!#ref!</definedName>
    <definedName name="Macro1" hidden="0" function="0" vbProcedure="0">#ref!</definedName>
    <definedName name="Macro112" hidden="0" function="0" vbProcedure="0">[56]!Macro59</definedName>
    <definedName name="Macro2" hidden="0" function="0" vbProcedure="0">#ref!</definedName>
    <definedName name="Macro22" hidden="0" function="0" vbProcedure="0">#ref!</definedName>
    <definedName name="Macro22_1" hidden="0" function="0" vbProcedure="0">Macro22</definedName>
    <definedName name="Macro22_10" hidden="0" function="0" vbProcedure="0">Macro22</definedName>
    <definedName name="Macro22_11" hidden="0" function="0" vbProcedure="0">Macro22</definedName>
    <definedName name="Macro22_2" hidden="0" function="0" vbProcedure="0">Macro22</definedName>
    <definedName name="Macro22_3" hidden="0" function="0" vbProcedure="0">Macro22</definedName>
    <definedName name="Macro22_4" hidden="0" function="0" vbProcedure="0">Macro22</definedName>
    <definedName name="Macro22_5" hidden="0" function="0" vbProcedure="0">Macro22</definedName>
    <definedName name="Macro22_6" hidden="0" function="0" vbProcedure="0">Macro22</definedName>
    <definedName name="Macro22_7" hidden="0" function="0" vbProcedure="0">Macro22</definedName>
    <definedName name="Macro22_8" hidden="0" function="0" vbProcedure="0">Macro22</definedName>
    <definedName name="Macro22_9" hidden="0" function="0" vbProcedure="0">Macro22</definedName>
    <definedName name="Macro233" hidden="0" function="0" vbProcedure="0">[16]!Macro1</definedName>
    <definedName name="Macro2_1" hidden="0" function="0" vbProcedure="0">#N/A</definedName>
    <definedName name="Macro2_10" hidden="0" function="0" vbProcedure="0">#N/A</definedName>
    <definedName name="Macro2_11" hidden="0" function="0" vbProcedure="0">#N/A</definedName>
    <definedName name="Macro2_2" hidden="0" function="0" vbProcedure="0">#N/A</definedName>
    <definedName name="Macro2_3" hidden="0" function="0" vbProcedure="0">#N/A</definedName>
    <definedName name="Macro2_4" hidden="0" function="0" vbProcedure="0">#N/A</definedName>
    <definedName name="Macro2_5" hidden="0" function="0" vbProcedure="0">#N/A</definedName>
    <definedName name="Macro2_6" hidden="0" function="0" vbProcedure="0">#N/A</definedName>
    <definedName name="Macro2_7" hidden="0" function="0" vbProcedure="0">#N/A</definedName>
    <definedName name="Macro2_8" hidden="0" function="0" vbProcedure="0">#N/A</definedName>
    <definedName name="Macro2_9" hidden="0" function="0" vbProcedure="0">#N/A</definedName>
    <definedName name="Macro3" hidden="0" function="0" vbProcedure="0">#ref!</definedName>
    <definedName name="Macro3_1" hidden="0" function="0" vbProcedure="0">Macro3</definedName>
    <definedName name="Macro3_10" hidden="0" function="0" vbProcedure="0">Macro3</definedName>
    <definedName name="Macro3_11" hidden="0" function="0" vbProcedure="0">Macro3</definedName>
    <definedName name="Macro3_2" hidden="0" function="0" vbProcedure="0">Macro3</definedName>
    <definedName name="Macro3_3" hidden="0" function="0" vbProcedure="0">Macro3</definedName>
    <definedName name="Macro3_4" hidden="0" function="0" vbProcedure="0">Macro3</definedName>
    <definedName name="Macro3_5" hidden="0" function="0" vbProcedure="0">Macro3</definedName>
    <definedName name="Macro3_6" hidden="0" function="0" vbProcedure="0">Macro3</definedName>
    <definedName name="Macro3_7" hidden="0" function="0" vbProcedure="0">Macro3</definedName>
    <definedName name="Macro3_8" hidden="0" function="0" vbProcedure="0">Macro3</definedName>
    <definedName name="Macro3_9" hidden="0" function="0" vbProcedure="0">Macro3</definedName>
    <definedName name="Macro46" hidden="0" function="0" vbProcedure="0">[26]!Macro46</definedName>
    <definedName name="Macro59" hidden="0" function="0" vbProcedure="0">[26]!Macro59</definedName>
    <definedName name="Macro60" hidden="0" function="0" vbProcedure="0">[26]!Macro60</definedName>
    <definedName name="Macro61" hidden="0" function="0" vbProcedure="0">[26]!Macro61</definedName>
    <definedName name="mag" hidden="0" function="0" vbProcedure="0">'[181]1pcbud'!#ref!</definedName>
    <definedName name="MagDec" hidden="0" function="0" vbProcedure="0">#ref!</definedName>
    <definedName name="MagDip" hidden="0" function="0" vbProcedure="0">#ref!</definedName>
    <definedName name="MagneticDeclDate" hidden="0" function="0" vbProcedure="0">#ref!</definedName>
    <definedName name="MagneticDeclination" hidden="0" function="0" vbProcedure="0">#ref!</definedName>
    <definedName name="MagneticDeclModel" hidden="0" function="0" vbProcedure="0">#ref!</definedName>
    <definedName name="MakeupLoss" hidden="0" function="0" vbProcedure="0">#ref!</definedName>
    <definedName name="Make_up" hidden="0" function="0" vbProcedure="0">#ref!</definedName>
    <definedName name="Make_Up_Torque_Of_Weak_Link" hidden="0" function="0" vbProcedure="0">#ref!</definedName>
    <definedName name="Man" hidden="0" function="0" vbProcedure="0">#ref!</definedName>
    <definedName name="Manifa___Hith" hidden="0" function="0" vbProcedure="0">#ref!</definedName>
    <definedName name="MaPSDensity" hidden="0" function="0" vbProcedure="0">#ref!</definedName>
    <definedName name="MaPSDiameter" hidden="0" function="0" vbProcedure="0">#ref!</definedName>
    <definedName name="MaPSFlowRate" hidden="0" function="0" vbProcedure="0">#ref!</definedName>
    <definedName name="MaPSLength" hidden="0" function="0" vbProcedure="0">#ref!</definedName>
    <definedName name="MaPSMass" hidden="0" function="0" vbProcedure="0">#ref!</definedName>
    <definedName name="MaPSPressure" hidden="0" function="0" vbProcedure="0">#ref!</definedName>
    <definedName name="MaPSTemp" hidden="0" function="0" vbProcedure="0">#ref!</definedName>
    <definedName name="MaPSWeight" hidden="0" function="0" vbProcedure="0">#ref!</definedName>
    <definedName name="mar" hidden="0" function="0" vbProcedure="0">'[181]1pcbud'!#ref!</definedName>
    <definedName name="MARANALSCP" hidden="0" function="0" vbProcedure="0">#ref!</definedName>
    <definedName name="MARANALSSWE" hidden="0" function="0" vbProcedure="0">#ref!</definedName>
    <definedName name="MARCH_3_1995." hidden="0" function="0" vbProcedure="0">[90]tbgtally!#ref!</definedName>
    <definedName name="Margin" hidden="0" function="0" vbProcedure="0">#ref!</definedName>
    <definedName name="margin_pcent" hidden="0" function="0" vbProcedure="0">#ref!</definedName>
    <definedName name="Margin_Sheet" hidden="0" function="0" vbProcedure="0">#ref!</definedName>
    <definedName name="mark" hidden="0" function="0" vbProcedure="0">#ref!</definedName>
    <definedName name="mark1" hidden="0" function="0" vbProcedure="0">#ref!</definedName>
    <definedName name="mark2" hidden="0" function="0" vbProcedure="0">#ref!</definedName>
    <definedName name="marrupees" hidden="0" function="0" vbProcedure="0">#ref!</definedName>
    <definedName name="masp" hidden="0" function="0" vbProcedure="0">#ref!</definedName>
    <definedName name="MassUnit" hidden="0" function="0" vbProcedure="0">'[43]Metric Conversions'!$C$221</definedName>
    <definedName name="Material" hidden="0" function="0" vbProcedure="0">#ref!</definedName>
    <definedName name="Material_list" hidden="0" function="0" vbProcedure="0">'[2]Data Go-To-Sheet'!$H$4:$H$26</definedName>
    <definedName name="MatMoveTotalPages" hidden="0" function="0" vbProcedure="0">1</definedName>
    <definedName name="Mauddud" hidden="0" function="0" vbProcedure="0">#ref!</definedName>
    <definedName name="Max" hidden="0" function="0" vbProcedure="0">#ref!</definedName>
    <definedName name="Max._Deviation" hidden="0" function="0" vbProcedure="0">#ref!</definedName>
    <definedName name="MaxDev" hidden="0" function="0" vbProcedure="0">#ref!</definedName>
    <definedName name="MaxDeviationFd" hidden="0" function="0" vbProcedure="0">#ref!</definedName>
    <definedName name="MaxDHole" hidden="0" function="0" vbProcedure="0">#ref!</definedName>
    <definedName name="MAXDLS" hidden="0" function="0" vbProcedure="0">#ref!</definedName>
    <definedName name="MaxOdUnits" hidden="0" function="0" vbProcedure="0">#ref!</definedName>
    <definedName name="MaxSurface" hidden="0" function="0" vbProcedure="0">#ref!</definedName>
    <definedName name="MaxTempdb" hidden="0" function="0" vbProcedure="0">#ref!</definedName>
    <definedName name="MaxTempslb" hidden="0" function="0" vbProcedure="0">#ref!</definedName>
    <definedName name="maxtempstring" hidden="0" function="0" vbProcedure="0">#ref!</definedName>
    <definedName name="Max_Bump_psi" hidden="0" function="0" vbProcedure="0">#ref!</definedName>
    <definedName name="Max_Bump_psiz" hidden="0" function="0" vbProcedure="0">'[11]Metric Conversions'!$C$59</definedName>
    <definedName name="Max_Test_Cmt_Setup" hidden="0" function="0" vbProcedure="0">#ref!</definedName>
    <definedName name="Max_Test_Cmt_Setupz" hidden="0" function="0" vbProcedure="0">'[11]Metric Conversions'!$C$62</definedName>
    <definedName name="Max_Test_Seals_In" hidden="0" function="0" vbProcedure="0">#ref!</definedName>
    <definedName name="Max_Test_Seals_Inz" hidden="0" function="0" vbProcedure="0">'[11]Metric Conversions'!$C$61</definedName>
    <definedName name="Max_test_seals_out" hidden="0" function="0" vbProcedure="0">#ref!</definedName>
    <definedName name="Max_test_seals_outz" hidden="0" function="0" vbProcedure="0">'[11]Metric Conversions'!$C$60</definedName>
    <definedName name="Max_Turns" hidden="0" function="0" vbProcedure="0">#ref!</definedName>
    <definedName name="MAYANALSCP" hidden="0" function="0" vbProcedure="0">#ref!</definedName>
    <definedName name="MAYANALSSWE" hidden="0" function="0" vbProcedure="0">#ref!</definedName>
    <definedName name="MB" hidden="0" function="0" vbProcedure="0">[139]tonmiles!#ref!</definedName>
    <definedName name="MBK" hidden="0" function="0" vbProcedure="0">[139]tonmiles!#ref!</definedName>
    <definedName name="mccv" hidden="0" function="0" vbProcedure="0">#ref!</definedName>
    <definedName name="MD" hidden="0" function="0" vbProcedure="0">#ref!</definedName>
    <definedName name="MDAHEAD" hidden="0" function="0" vbProcedure="0">#ref!</definedName>
    <definedName name="MDBOH" hidden="0" function="0" vbProcedure="0">#ref!</definedName>
    <definedName name="MDData" hidden="0" function="0" vbProcedure="0">OFFSET([191]!MDForInclination,2,0,COUNT(#ref!),1)</definedName>
    <definedName name="MDForInclination" hidden="0" function="0" vbProcedure="0">#ref!</definedName>
    <definedName name="MD_Column" hidden="0" function="0" vbProcedure="0">!#ref!</definedName>
    <definedName name="MD_Unit" hidden="0" function="0" vbProcedure="0">#ref!</definedName>
    <definedName name="ME" hidden="0" function="0" vbProcedure="0">'[9]Bid Summary'!$K$5</definedName>
    <definedName name="MEA_Countries" hidden="0" function="0" vbProcedure="0">'[35]drop downs'!$A$3:$A$16</definedName>
    <definedName name="MEMORYSTICK" hidden="0" function="0" vbProcedure="0">#ref!</definedName>
    <definedName name="MENU" hidden="0" function="0" vbProcedure="0">#ref!</definedName>
    <definedName name="MeteringTime" hidden="0" function="0" vbProcedure="0">#ref!</definedName>
    <definedName name="Metric" hidden="0" function="0" vbProcedure="0">#ref!</definedName>
    <definedName name="MFS" hidden="0" function="0" vbProcedure="0">#ref!</definedName>
    <definedName name="MH" hidden="0" function="0" vbProcedure="0">#ref!</definedName>
    <definedName name="midlife" hidden="0" function="0" vbProcedure="0">#ref!</definedName>
    <definedName name="Mill" hidden="0" function="0" vbProcedure="0">[6]Sheet1!$G$4:$G$8</definedName>
    <definedName name="MillType" hidden="0" function="0" vbProcedure="0">[6]Sheet1!$A$18:$A$21</definedName>
    <definedName name="Mill_Type" hidden="0" function="0" vbProcedure="0">'[7]Drop-Down Items'!$A$34:$A$70</definedName>
    <definedName name="Min" hidden="0" function="0" vbProcedure="0">#ref!</definedName>
    <definedName name="Min._Ten_Sett_Tool_Assy" hidden="0" function="0" vbProcedure="0">#ref!</definedName>
    <definedName name="Mind" hidden="0" function="0" vbProcedure="0">#ref!</definedName>
    <definedName name="MinDHole" hidden="0" function="0" vbProcedure="0">#ref!</definedName>
    <definedName name="MinDownhole" hidden="0" function="0" vbProcedure="0">#ref!</definedName>
    <definedName name="MinE" hidden="0" function="0" vbProcedure="0">#ref!</definedName>
    <definedName name="MinSurface" hidden="0" function="0" vbProcedure="0">#ref!</definedName>
    <definedName name="Min_DP_Tens" hidden="0" function="0" vbProcedure="0">#ref!</definedName>
    <definedName name="Min_Ft_Release_RH" hidden="0" function="0" vbProcedure="0">'[11]Metric Conversions'!$B$39</definedName>
    <definedName name="Min_Ft_Release_RHz" hidden="0" function="0" vbProcedure="0">'[11]Metric Conversions'!$C$39</definedName>
    <definedName name="MissRuns" hidden="0" function="0" vbProcedure="0">#ref!</definedName>
    <definedName name="MiStringW" hidden="0" function="0" vbProcedure="0">#ref!</definedName>
    <definedName name="MJ" hidden="0" function="0" vbProcedure="0">'[64]#REF'!$B$12</definedName>
    <definedName name="mju" hidden="0" function="0" vbProcedure="0">#ref!</definedName>
    <definedName name="mmm" hidden="0" function="0" vbProcedure="0">[53]CRITERIA1!$B$32</definedName>
    <definedName name="MN" hidden="0" function="0" vbProcedure="0">#ref!</definedName>
    <definedName name="mnh" hidden="0" function="0" vbProcedure="0">#ref!</definedName>
    <definedName name="mobile" hidden="0" function="0" vbProcedure="0">'[34]Call Sheet'!$R$5</definedName>
    <definedName name="Module1.draw_productionfirst" hidden="0" function="0" vbProcedure="0">#N/A</definedName>
    <definedName name="Module1.draw_productionsecond" hidden="0" function="0" vbProcedure="0">#N/A</definedName>
    <definedName name="Module1.impdwg" hidden="0" function="0" vbProcedure="0">#ref!</definedName>
    <definedName name="Module1.impdwg_1" hidden="0" function="0" vbProcedure="0">Module1.impdwg</definedName>
    <definedName name="Module1.impdwg_10" hidden="0" function="0" vbProcedure="0">Module1.impdwg</definedName>
    <definedName name="Module1.impdwg_11" hidden="0" function="0" vbProcedure="0">Module1.impdwg</definedName>
    <definedName name="Module1.impdwg_2" hidden="0" function="0" vbProcedure="0">Module1.impdwg</definedName>
    <definedName name="Module1.impdwg_3" hidden="0" function="0" vbProcedure="0">Module1.impdwg</definedName>
    <definedName name="Module1.impdwg_4" hidden="0" function="0" vbProcedure="0">Module1.impdwg</definedName>
    <definedName name="Module1.impdwg_5" hidden="0" function="0" vbProcedure="0">Module1.impdwg</definedName>
    <definedName name="Module1.impdwg_6" hidden="0" function="0" vbProcedure="0">Module1.impdwg</definedName>
    <definedName name="Module1.impdwg_7" hidden="0" function="0" vbProcedure="0">Module1.impdwg</definedName>
    <definedName name="Module1.impdwg_8" hidden="0" function="0" vbProcedure="0">Module1.impdwg</definedName>
    <definedName name="Module1.impdwg_9" hidden="0" function="0" vbProcedure="0">Module1.impdwg</definedName>
    <definedName name="Module4.drawblanks" hidden="0" function="0" vbProcedure="0">#N/A</definedName>
    <definedName name="Module4.drawlinerfirst" hidden="0" function="0" vbProcedure="0">#N/A</definedName>
    <definedName name="Module4.drawlinersecond" hidden="0" function="0" vbProcedure="0">#N/A</definedName>
    <definedName name="Module4.drawmiscellaneous" hidden="0" function="0" vbProcedure="0">#N/A</definedName>
    <definedName name="Module4.drawproductionfirst" hidden="0" function="0" vbProcedure="0">#N/A</definedName>
    <definedName name="Module4.drawproductionsecond" hidden="0" function="0" vbProcedure="0">#N/A</definedName>
    <definedName name="Module4.drawquantum" hidden="0" function="0" vbProcedure="0">#N/A</definedName>
    <definedName name="Module4.drawscreens" hidden="0" function="0" vbProcedure="0">#N/A</definedName>
    <definedName name="Module4.drawshearsubs" hidden="0" function="0" vbProcedure="0">#N/A</definedName>
    <definedName name="Module4.drawsump" hidden="0" function="0" vbProcedure="0">#N/A</definedName>
    <definedName name="Module4.textfive" hidden="0" function="0" vbProcedure="0">#N/A</definedName>
    <definedName name="Module4.textfivehalf" hidden="0" function="0" vbProcedure="0">#N/A</definedName>
    <definedName name="Module4.textninefiveeightfourfirst" hidden="0" function="0" vbProcedure="0">#N/A</definedName>
    <definedName name="Module4.textninefiveeightfoursecond" hidden="0" function="0" vbProcedure="0">#N/A</definedName>
    <definedName name="Module4.textninefiveeightsixfirst" hidden="0" function="0" vbProcedure="0">#N/A</definedName>
    <definedName name="Module4.textninefiveeightsixsecond" hidden="0" function="0" vbProcedure="0">#N/A</definedName>
    <definedName name="Module4.textsevenfiveeightfour" hidden="0" function="0" vbProcedure="0">#N/A</definedName>
    <definedName name="Module4.textsevenfiveeightthree" hidden="0" function="0" vbProcedure="0">#N/A</definedName>
    <definedName name="Module4.textsevenfour" hidden="0" function="0" vbProcedure="0">#N/A</definedName>
    <definedName name="Module4.textseventhree" hidden="0" function="0" vbProcedure="0">#N/A</definedName>
    <definedName name="MOE" hidden="0" function="0" vbProcedure="0">#ref!</definedName>
    <definedName name="month" hidden="0" function="0" vbProcedure="0">#ref!</definedName>
    <definedName name="Monthly_Production_Summary" hidden="0" function="0" vbProcedure="0">#ref!</definedName>
    <definedName name="monthref" hidden="0" function="0" vbProcedure="0">[65]References!$H$1:$I$12</definedName>
    <definedName name="Months" hidden="0" function="0" vbProcedure="0">#ref!</definedName>
    <definedName name="MorningReport" hidden="0" function="0" vbProcedure="0">'[212]morning report'!#ref!</definedName>
    <definedName name="MotorFits" hidden="0" function="0" vbProcedure="0">#ref!</definedName>
    <definedName name="MotorSizes" hidden="0" function="0" vbProcedure="0">#ref!</definedName>
    <definedName name="Motors_for_12.1_4in" hidden="0" function="0" vbProcedure="0">[20]Data!$R$2:$R$24</definedName>
    <definedName name="Motors_for_17.1_2_or_16in" hidden="0" function="0" vbProcedure="0">[14]Data!$Q$2:$Q$13</definedName>
    <definedName name="Motors_for_26in" hidden="0" function="0" vbProcedure="0">[14]Data!$P$2:$P$10</definedName>
    <definedName name="Motors_for_6in" hidden="0" function="0" vbProcedure="0">[20]Data!$T$2:$T$21</definedName>
    <definedName name="Motors_for_8.1_2in" hidden="0" function="0" vbProcedure="0">[14]Data!$S$2:$S$20</definedName>
    <definedName name="MotorType" hidden="0" function="0" vbProcedure="0">#ref!</definedName>
    <definedName name="MotorYN" hidden="0" function="0" vbProcedure="0">#ref!</definedName>
    <definedName name="Motor_Company" hidden="0" function="0" vbProcedure="0">[20]Data!$U$2:$U$6</definedName>
    <definedName name="MOTOR_LENGTH" hidden="0" function="0" vbProcedure="0">#ref!</definedName>
    <definedName name="MOTOR_WEIGHT" hidden="0" function="0" vbProcedure="0">#ref!</definedName>
    <definedName name="MPC" hidden="0" function="0" vbProcedure="0">'[9]Bid Summary'!$K$4</definedName>
    <definedName name="mr" hidden="1" function="0" vbProcedure="0">{#N/A,#N/A,FALSE,"Sheet1"}</definedName>
    <definedName name="mrjanstring" hidden="0" function="0" vbProcedure="0">#ref!</definedName>
    <definedName name="ms5b" hidden="0" function="0" vbProcedure="0">[17]milestone!#ref!</definedName>
    <definedName name="MStringW" hidden="0" function="0" vbProcedure="0">#ref!</definedName>
    <definedName name="Mud" hidden="0" function="0" vbProcedure="0">#ref!</definedName>
    <definedName name="MudFunnelViscosity" hidden="0" function="0" vbProcedure="0">#ref!</definedName>
    <definedName name="MudFunnelViscosityUnits" hidden="0" function="0" vbProcedure="0">#ref!</definedName>
    <definedName name="MudHW" hidden="0" function="0" vbProcedure="0">#ref!</definedName>
    <definedName name="MudPV" hidden="0" function="0" vbProcedure="0">#ref!</definedName>
    <definedName name="MudPVUnits" hidden="0" function="0" vbProcedure="0">#ref!</definedName>
    <definedName name="MudType" hidden="0" function="0" vbProcedure="0">#ref!</definedName>
    <definedName name="MudTypeFd" hidden="0" function="0" vbProcedure="0">#ref!</definedName>
    <definedName name="MudTypes" hidden="0" function="0" vbProcedure="0">#ref!</definedName>
    <definedName name="MudUnit" hidden="0" function="0" vbProcedure="0">#ref!</definedName>
    <definedName name="MudWeight" hidden="0" function="0" vbProcedure="0">#ref!</definedName>
    <definedName name="MudWeightUnits" hidden="0" function="0" vbProcedure="0">#ref!</definedName>
    <definedName name="MudWt" hidden="0" function="0" vbProcedure="0">#ref!</definedName>
    <definedName name="MudYP" hidden="0" function="0" vbProcedure="0">#ref!</definedName>
    <definedName name="MudYPUnits" hidden="0" function="0" vbProcedure="0">#ref!</definedName>
    <definedName name="Mud_Type" hidden="0" function="0" vbProcedure="0">#ref!</definedName>
    <definedName name="mud_weight" hidden="0" function="0" vbProcedure="0">'[7]Drop-Down Items'!$O$7:$O$11</definedName>
    <definedName name="Mud_Wt" hidden="0" function="0" vbProcedure="0">#ref!</definedName>
    <definedName name="Mud_Wtz" hidden="0" function="0" vbProcedure="0">'[11]Liner Job Info'!$D$31</definedName>
    <definedName name="MULE_SHOE_DEPTH" hidden="0" function="0" vbProcedure="0">#ref!</definedName>
    <definedName name="mush" hidden="0" function="0" vbProcedure="0">#ref!</definedName>
    <definedName name="Mustang" hidden="0" function="0" vbProcedure="0">'[66]Items Listings'!$A$10:$AI$821</definedName>
    <definedName name="mv" hidden="0" function="0" vbProcedure="0">#ref!</definedName>
    <definedName name="MW" hidden="0" function="0" vbProcedure="0">#ref!</definedName>
    <definedName name="MWD" hidden="0" function="0" vbProcedure="0">[55]!MWD</definedName>
    <definedName name="MWD_Bottom_Conn" hidden="0" function="0" vbProcedure="0">#ref!</definedName>
    <definedName name="MWD_Flows" hidden="0" function="0" vbProcedure="0">#ref!</definedName>
    <definedName name="MWD_Sizes" hidden="0" function="0" vbProcedure="0">#ref!</definedName>
    <definedName name="MWD_Top_Conn" hidden="0" function="0" vbProcedure="0">#ref!</definedName>
    <definedName name="my" hidden="0" function="0" vbProcedure="0">[145]!JointNumber</definedName>
    <definedName name="myData" hidden="0" function="0" vbProcedure="0">#ref!</definedName>
    <definedName name="m_choke" hidden="0" function="0" vbProcedure="0">'[94]well test sheet'!#ref!</definedName>
    <definedName name="M_Dual" hidden="0" function="0" vbProcedure="0">#ref!</definedName>
    <definedName name="M_TONS" hidden="0" function="0" vbProcedure="0">'[58]7-30-04'!#ref!</definedName>
    <definedName name="M___Malabo" hidden="0" function="0" vbProcedure="0">#ref!</definedName>
    <definedName name="n" hidden="0" function="0" vbProcedure="0">#ref!</definedName>
    <definedName name="N2_Precharge" hidden="0" function="0" vbProcedure="0">#ref!</definedName>
    <definedName name="N2_Press_DH" hidden="0" function="0" vbProcedure="0">#ref!</definedName>
    <definedName name="N2_Stroke" hidden="0" function="0" vbProcedure="0">#ref!</definedName>
    <definedName name="N2_Temp_DH" hidden="0" function="0" vbProcedure="0">#ref!</definedName>
    <definedName name="N2_Temp_Surf" hidden="0" function="0" vbProcedure="0">#ref!</definedName>
    <definedName name="N2_Vol_DH" hidden="0" function="0" vbProcedure="0">#ref!</definedName>
    <definedName name="N2_Vol_Surf" hidden="0" function="0" vbProcedure="0">#ref!</definedName>
    <definedName name="Nahr_Umr" hidden="0" function="0" vbProcedure="0">#ref!</definedName>
    <definedName name="NAKAMI" hidden="0" function="0" vbProcedure="0">'[44]7-30-04'!$GO$7457</definedName>
    <definedName name="name" hidden="0" function="0" vbProcedure="0">#ref!</definedName>
    <definedName name="NAME1" hidden="0" function="0" vbProcedure="0">'[28]Ref. data2'!$B$7:$B$10</definedName>
    <definedName name="NAME4" hidden="0" function="0" vbProcedure="0">'[28]Ref. data2'!$B$19:$B$21</definedName>
    <definedName name="NAME5" hidden="0" function="0" vbProcedure="0">'[28]Ref. data2'!$B$22:$B$26</definedName>
    <definedName name="NAME6" hidden="0" function="0" vbProcedure="0">'[28]Ref. data2'!$B$27:$B$29</definedName>
    <definedName name="NAME7" hidden="0" function="0" vbProcedure="0">'[28]Ref. data2'!$B$30:$B$31</definedName>
    <definedName name="NAME9" hidden="0" function="0" vbProcedure="0">'[28]Ref. data2'!$B$34:$B$36</definedName>
    <definedName name="namelookupdp" hidden="0" function="0" vbProcedure="0">#ref!</definedName>
    <definedName name="namelookupliner" hidden="0" function="0" vbProcedure="0">#ref!</definedName>
    <definedName name="namelookupmeasure" hidden="0" function="0" vbProcedure="0">#ref!</definedName>
    <definedName name="namelookuptemp" hidden="0" function="0" vbProcedure="0">#ref!</definedName>
    <definedName name="NAMEPHONE" hidden="0" function="0" vbProcedure="0">#ref!</definedName>
    <definedName name="names" hidden="0" function="0" vbProcedure="0">'[10]data sheet'!$A$2:$A$8</definedName>
    <definedName name="nb" hidden="0" function="0" vbProcedure="0">#ref!</definedName>
    <definedName name="nbv" hidden="0" function="0" vbProcedure="0">#ref!</definedName>
    <definedName name="NCRP2" hidden="0" function="0" vbProcedure="0">#ref!</definedName>
    <definedName name="NEBRIGS" hidden="0" function="0" vbProcedure="0">[65]References!$D$1:$D$16</definedName>
    <definedName name="Neck" hidden="0" function="0" vbProcedure="0">#ref!</definedName>
    <definedName name="netperf" hidden="0" function="0" vbProcedure="0">#ref!</definedName>
    <definedName name="Net_Margin" hidden="0" function="0" vbProcedure="0">#ref!</definedName>
    <definedName name="NET_PERFS" hidden="0" function="0" vbProcedure="0">#ref!</definedName>
    <definedName name="New" hidden="0" function="0" vbProcedure="0">[67]MAIN!$B$12</definedName>
    <definedName name="NewData" hidden="0" function="0" vbProcedure="0">#N/A</definedName>
    <definedName name="NewDes" hidden="0" function="0" vbProcedure="0">#N/A</definedName>
    <definedName name="NEWMD" hidden="0" function="0" vbProcedure="0">#ref!</definedName>
    <definedName name="newrisk" hidden="0" function="0" vbProcedure="0">#ref!</definedName>
    <definedName name="NewSheet" hidden="0" function="0" vbProcedure="0">#ref!</definedName>
    <definedName name="NewSurv" hidden="0" function="0" vbProcedure="0">[68]Tally!$F$3</definedName>
    <definedName name="NextTD" hidden="0" function="0" vbProcedure="0">'[69]Lookahd EA'!$E$1:$N$3</definedName>
    <definedName name="ng"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hidden="0" function="0" vbProcedure="0">#ref!</definedName>
    <definedName name="NH4CL_1" hidden="0" function="0" vbProcedure="0">'[6]#ref'!#ref!</definedName>
    <definedName name="NH4CL_10" hidden="0" function="0" vbProcedure="0">'[6]#ref'!#ref!</definedName>
    <definedName name="NH4CL_11" hidden="0" function="0" vbProcedure="0">'[6]#ref'!#ref!</definedName>
    <definedName name="NH4CL_2" hidden="0" function="0" vbProcedure="0">'[6]#ref'!#ref!</definedName>
    <definedName name="NH4CL_3" hidden="0" function="0" vbProcedure="0">'[6]#ref'!#ref!</definedName>
    <definedName name="NH4CL_4" hidden="0" function="0" vbProcedure="0">'[6]#ref'!#ref!</definedName>
    <definedName name="NH4CL_5" hidden="0" function="0" vbProcedure="0">'[6]#ref'!#ref!</definedName>
    <definedName name="NH4CL_6" hidden="0" function="0" vbProcedure="0">'[6]#ref'!#ref!</definedName>
    <definedName name="NH4CL_7" hidden="0" function="0" vbProcedure="0">'[6]#ref'!#ref!</definedName>
    <definedName name="NH4CL_8" hidden="0" function="0" vbProcedure="0">'[6]#ref'!#ref!</definedName>
    <definedName name="NH4CL_9" hidden="0" function="0" vbProcedure="0">'[6]#ref'!#ref!</definedName>
    <definedName name="NIPPLELIST" hidden="0" function="0" vbProcedure="0">#ref!</definedName>
    <definedName name="NIPPLEOLD" hidden="0" function="0" vbProcedure="0">#ref!</definedName>
    <definedName name="Nipples" hidden="0" function="0" vbProcedure="0">#ref!</definedName>
    <definedName name="NIPPLESAP" hidden="0" function="0" vbProcedure="0">#ref!</definedName>
    <definedName name="Nipples_Plugs_WEGs" hidden="0" function="0" vbProcedure="0">'[2]Equipment Go-To Sheet'!$F$244:$F$302</definedName>
    <definedName name="NIS" hidden="0" function="0" vbProcedure="0">#ref!</definedName>
    <definedName name="nitrogen" hidden="0" function="0" vbProcedure="0">#ref!</definedName>
    <definedName name="nju" hidden="0" function="0" vbProcedure="0">#ref!</definedName>
    <definedName name="nkl" hidden="0" function="0" vbProcedure="0">#ref!</definedName>
    <definedName name="NM" hidden="0" function="0" vbProcedure="0">[16]!Macro1</definedName>
    <definedName name="NM_pcent" hidden="0" function="0" vbProcedure="0">#ref!</definedName>
    <definedName name="nn" hidden="1" function="0" vbProcedure="0">#ref!</definedName>
    <definedName name="NNomLength" hidden="0" function="0" vbProcedure="0">#ref!</definedName>
    <definedName name="NO" hidden="0" function="0" vbProcedure="0">#ref!</definedName>
    <definedName name="No." hidden="0" function="0" vbProcedure="0">#ref!</definedName>
    <definedName name="NOOFFFSEGMENTS1" hidden="0" function="0" vbProcedure="0">[53]CRITERIA1!$B$18</definedName>
    <definedName name="NOofTools" hidden="0" function="0" vbProcedure="0">[11]DATA!$BP$2:$BP$12</definedName>
    <definedName name="norman" hidden="0" function="0" vbProcedure="0">#ref!</definedName>
    <definedName name="NORTH5" hidden="0" function="0" vbProcedure="0">#ref!</definedName>
    <definedName name="NORTH7" hidden="0" function="0" vbProcedure="0">#ref!</definedName>
    <definedName name="NORTH8" hidden="0" function="0" vbProcedure="0">#ref!</definedName>
    <definedName name="NorthingColumn" hidden="0" function="0" vbProcedure="0">!#ref!</definedName>
    <definedName name="NorthingUnit" hidden="0" function="0" vbProcedure="0">#ref!</definedName>
    <definedName name="NorthReference" hidden="0" function="0" vbProcedure="0">#ref!</definedName>
    <definedName name="NOS" hidden="0" function="0" vbProcedure="0">#ref!</definedName>
    <definedName name="NosOfTubing" hidden="0" function="0" vbProcedure="0">#ref!</definedName>
    <definedName name="NoSystem" hidden="0" function="0" vbProcedure="0">#ref!,#ref!</definedName>
    <definedName name="NOT_REQUIRED" hidden="0" function="0" vbProcedure="0">#ref!</definedName>
    <definedName name="NOVANALSCP" hidden="0" function="0" vbProcedure="0">#ref!</definedName>
    <definedName name="NOVANALSSWE" hidden="0" function="0" vbProcedure="0">#ref!</definedName>
    <definedName name="NOVSUM" hidden="0" function="0" vbProcedure="0">#ref!</definedName>
    <definedName name="NOVSUMSCP" hidden="0" function="0" vbProcedure="0">#ref!</definedName>
    <definedName name="noz_5" hidden="0" function="0" vbProcedure="0">#ref!</definedName>
    <definedName name="noz_6" hidden="0" function="0" vbProcedure="0">#ref!</definedName>
    <definedName name="NS" hidden="0" function="0" vbProcedure="0">#ref!</definedName>
    <definedName name="NSAHEAD" hidden="0" function="0" vbProcedure="0">#ref!</definedName>
    <definedName name="NSBOH" hidden="0" function="0" vbProcedure="0">#ref!</definedName>
    <definedName name="NSDIFF" hidden="0" function="0" vbProcedure="0">#ref!</definedName>
    <definedName name="NSfoto" hidden="0" function="0" vbProcedure="0">#ref!</definedName>
    <definedName name="NSnobj" hidden="0" function="0" vbProcedure="0">#ref!</definedName>
    <definedName name="NSobj" hidden="0" function="0" vbProcedure="0">#ref!</definedName>
    <definedName name="NSproj" hidden="0" function="0" vbProcedure="0">#ref!</definedName>
    <definedName name="NStieon" hidden="0" function="0" vbProcedure="0">#ref!</definedName>
    <definedName name="NS_Column" hidden="0" function="0" vbProcedure="0">!#ref!</definedName>
    <definedName name="NS_Unit" hidden="0" function="0" vbProcedure="0">#ref!</definedName>
    <definedName name="NuclearTools" hidden="0" function="0" vbProcedure="0">#ref!</definedName>
    <definedName name="NUMBEROFDETAILFIELDS1" hidden="0" function="0" vbProcedure="0">[53]CRITERIA1!$B$29</definedName>
    <definedName name="NUMBEROFHEADERFIELDS1" hidden="0" function="0" vbProcedure="0">[53]CRITERIA1!$B$28</definedName>
    <definedName name="Numenu" hidden="0" function="0" vbProcedure="0">[220]page1!#ref!</definedName>
    <definedName name="o" hidden="0" function="0" vbProcedure="0">#ref!</definedName>
    <definedName name="objective" hidden="0" function="0" vbProcedure="0">#ref!</definedName>
    <definedName name="Objectives" hidden="0" function="0" vbProcedure="0">'[70]DWS Wells'!$M$1:$M$1048576</definedName>
    <definedName name="OCSG" hidden="0" function="0" vbProcedure="0">#ref!</definedName>
    <definedName name="OCTG" hidden="0" function="0" vbProcedure="0">#ref!</definedName>
    <definedName name="OCTG1" hidden="0" function="0" vbProcedure="0">#ref!</definedName>
    <definedName name="OD" hidden="0" function="0" vbProcedure="0">#ref!</definedName>
    <definedName name="OD1_Rotating_Name" hidden="0" function="0" vbProcedure="0">#ref!</definedName>
    <definedName name="OD2_Rotating_Name" hidden="0" function="0" vbProcedure="0">#ref!</definedName>
    <definedName name="odcasing" hidden="0" function="0" vbProcedure="0">[19]Data!$J$16</definedName>
    <definedName name="ODdb" hidden="0" function="0" vbProcedure="0">#ref!</definedName>
    <definedName name="ODDP" hidden="0" function="0" vbProcedure="0">#ref!</definedName>
    <definedName name="OdIdUnits" hidden="0" function="0" vbProcedure="0">#ref!</definedName>
    <definedName name="ODSizes" hidden="0" function="0" vbProcedure="0">#ref!</definedName>
    <definedName name="odslb" hidden="0" function="0" vbProcedure="0">#ref!</definedName>
    <definedName name="odstring" hidden="0" function="0" vbProcedure="0">#ref!</definedName>
    <definedName name="ODUnit" hidden="0" function="0" vbProcedure="0">#ref!</definedName>
    <definedName name="odworkstring" hidden="0" function="0" vbProcedure="0">[19]Data!$W$18</definedName>
    <definedName name="OffBottomSet1InUnit" hidden="0" function="0" vbProcedure="0">#ref!</definedName>
    <definedName name="OffBottomSet2InUnit" hidden="0" function="0" vbProcedure="0">#ref!</definedName>
    <definedName name="OffBottomSet3InUnit" hidden="0" function="0" vbProcedure="0">#ref!</definedName>
    <definedName name="OffBottomSet4InUnit" hidden="0" function="0" vbProcedure="0">#ref!</definedName>
    <definedName name="OffBottomTorqueOutputDepth" hidden="0" function="0" vbProcedure="0">#ref!</definedName>
    <definedName name="OFFER" hidden="0" function="0" vbProcedure="0">'[58]7-30-04'!#ref!</definedName>
    <definedName name="office" hidden="0" function="0" vbProcedure="0">'[34]Call Sheet'!$AH$5</definedName>
    <definedName name="Offsets" hidden="0" function="0" vbProcedure="0">[60]auf_screen!#ref!</definedName>
    <definedName name="Offshore_Block" hidden="0" function="0" vbProcedure="0">#ref!</definedName>
    <definedName name="OFR_AMOUNT" hidden="0" function="0" vbProcedure="0">'[58]7-30-04'!#ref!</definedName>
    <definedName name="ogr" hidden="0" function="0" vbProcedure="0">'[71]Test Data'!$T$8:$T$16,'[71]Test Data'!$T$18:$T$122,'[71]Test Data'!$T$132:$T$247</definedName>
    <definedName name="OHoleID" hidden="0" function="0" vbProcedure="0">#ref!</definedName>
    <definedName name="OHoleLength" hidden="0" function="0" vbProcedure="0">#ref!</definedName>
    <definedName name="OH_1" hidden="0" function="0" vbProcedure="0">[72]References!$V$1:$V$4</definedName>
    <definedName name="OH_Dia" hidden="0" function="0" vbProcedure="0">#ref!</definedName>
    <definedName name="OIL" hidden="0" function="0" vbProcedure="0">#ref!</definedName>
    <definedName name="oilgraph" hidden="1" function="0" vbProcedure="0">#ref!</definedName>
    <definedName name="oilM" hidden="0" function="0" vbProcedure="0">#ref!</definedName>
    <definedName name="oilrate" hidden="0" function="0" vbProcedure="0">'[94]well test sheet'!#ref!</definedName>
    <definedName name="oilT" hidden="0" function="0" vbProcedure="0">[226]oilt!#ref!</definedName>
    <definedName name="oil_cumm" hidden="0" function="0" vbProcedure="0">'[94]well test sheet'!#ref!</definedName>
    <definedName name="Okill" hidden="0" function="0" vbProcedure="0">#ref!</definedName>
    <definedName name="ol" hidden="0" function="0" vbProcedure="0">#ref!</definedName>
    <definedName name="Old" hidden="0" function="0" vbProcedure="0">#ref!</definedName>
    <definedName name="Oldready" hidden="0" function="0" vbProcedure="0">#ref!</definedName>
    <definedName name="olo" hidden="1" function="0" vbProcedure="0">#ref!</definedName>
    <definedName name="omdo"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W" hidden="0" function="0" vbProcedure="0">#ref!</definedName>
    <definedName name="OM_Type" hidden="0" function="0" vbProcedure="0">[18]Criteria!$E$2:$E$15</definedName>
    <definedName name="ONBOARD" hidden="0" function="0" vbProcedure="0">'[73]Initial Tally'!$G$4</definedName>
    <definedName name="onefive" hidden="0" function="0" vbProcedure="0">#ref!</definedName>
    <definedName name="ONLYUS" hidden="0" function="0" vbProcedure="0">#ref!</definedName>
    <definedName name="ooooooooo" hidden="0" function="0" vbProcedure="0">#ref!</definedName>
    <definedName name="oooooooooooooooooooooo" hidden="0" function="0" vbProcedure="0">[53]CRITERIA1!$B$33</definedName>
    <definedName name="OPBUDG" hidden="0" function="0" vbProcedure="0">'[48]Exec Summ'!$Y$74</definedName>
    <definedName name="OpenEndString" hidden="0" function="0" vbProcedure="0">#ref!</definedName>
    <definedName name="OperationTypes" hidden="0" function="0" vbProcedure="0">#ref!</definedName>
    <definedName name="operator" hidden="0" function="0" vbProcedure="0">'[40]CPS Call Sheet'!$R$58</definedName>
    <definedName name="OpNo" hidden="0" function="0" vbProcedure="0">[74]SO!$B$23,[74]SO!$B$32,[74]SO!$B$41,[74]SO!$G$23,[74]SO!$G$32,[74]SO!$G$41,[74]SO!$L$23,[74]SO!$L$32,[74]SO!$L$41,[74]SO!$A$51:$A$58</definedName>
    <definedName name="OPTexponents" hidden="0" function="0" vbProcedure="0">"0 3 6"</definedName>
    <definedName name="OptimumTorquedb" hidden="0" function="0" vbProcedure="0">#ref!</definedName>
    <definedName name="OptimumTorqueslb" hidden="0" function="0" vbProcedure="0">#ref!</definedName>
    <definedName name="OptimumTorqueString" hidden="0" function="0" vbProcedure="0">#ref!</definedName>
    <definedName name="OptimumTorqueUntdb" hidden="0" function="0" vbProcedure="0">#ref!</definedName>
    <definedName name="OptimumTorqueUntslb" hidden="0" function="0" vbProcedure="0">#ref!</definedName>
    <definedName name="OPTvec" hidden="0" function="0" vbProcedure="0">"1 1 1 4 1 0 0 1 1 0 0 2 8 0 19 30 1 1 3 0 1 0 1 0 1 0 0 0 0 0 1 1 100 100 0 0 0 0 14 0 0 0 0"</definedName>
    <definedName name="OP_1" hidden="0" function="0" vbProcedure="0">[75]Data!$F$1:$F$3</definedName>
    <definedName name="OP_17" hidden="0" function="0" vbProcedure="0">#ref!</definedName>
    <definedName name="OP_26" hidden="0" function="0" vbProcedure="0">#ref!</definedName>
    <definedName name="OP_36" hidden="0" function="0" vbProcedure="0">#ref!</definedName>
    <definedName name="OP_LWD6_12" hidden="0" function="0" vbProcedure="0">#ref!</definedName>
    <definedName name="OP_LWD8_12" hidden="0" function="0" vbProcedure="0">#ref!</definedName>
    <definedName name="Order" hidden="0" function="0" vbProcedure="0">#ref!</definedName>
    <definedName name="OrderedBy" hidden="0" function="0" vbProcedure="0">#ref!</definedName>
    <definedName name="OrderedLength" hidden="0" function="0" vbProcedure="0">#ref!</definedName>
    <definedName name="Orders_Ex_FX" hidden="0" function="0" vbProcedure="0">'[233]lex input 1st pass'!#ref!</definedName>
    <definedName name="Orders_PYDollars" hidden="0" function="0" vbProcedure="0">'[233]lex input 1st pass'!#ref!</definedName>
    <definedName name="Orders_USD_2001" hidden="0" function="0" vbProcedure="0">'[233]lex input 1st pass'!#ref!</definedName>
    <definedName name="Orientation" hidden="0" function="0" vbProcedure="0">[60]auf_screen!#ref!</definedName>
    <definedName name="OrificieCal" hidden="0" function="0" vbProcedure="0">#ref!</definedName>
    <definedName name="oslipjoint" hidden="0" function="0" vbProcedure="0">#ref!</definedName>
    <definedName name="Other" hidden="0" function="0" vbProcedure="0">#ref!</definedName>
    <definedName name="Other1" hidden="0" function="0" vbProcedure="0">#ref!</definedName>
    <definedName name="Other2" hidden="0" function="0" vbProcedure="0">#ref!</definedName>
    <definedName name="Overbalance" hidden="0" function="0" vbProcedure="0">#ref!</definedName>
    <definedName name="Overlap" hidden="0" function="0" vbProcedure="0">#ref!</definedName>
    <definedName name="Overlapz" hidden="0" function="0" vbProcedure="0">'[11]Liner Job Info'!$R$14</definedName>
    <definedName name="Overlap_Vol" hidden="0" function="0" vbProcedure="0">#ref!</definedName>
    <definedName name="Overlap_Volz" hidden="0" function="0" vbProcedure="0">'[11]Metric Conversions'!$C$84</definedName>
    <definedName name="Override_Figures" hidden="0" function="0" vbProcedure="0">[60]auf_screen!#ref!</definedName>
    <definedName name="P" hidden="1" function="0" vbProcedure="0">{#N/A,#N/A,FALSE,"Drlg Param Run 1-1";#N/A,#N/A,FALSE,"DDR (3)";#N/A,#N/A,FALSE,"BHA AT (1)";#N/A,#N/A,FALSE,"Downlinkbha";#N/A,#N/A,FALSE,"Job Status Report"}</definedName>
    <definedName name="Packer" hidden="0" function="0" vbProcedure="0">#ref!</definedName>
    <definedName name="PackerDepth" hidden="0" function="0" vbProcedure="0">#ref!</definedName>
    <definedName name="Packers" hidden="0" function="0" vbProcedure="0">'[2]Equipment Go-To Sheet'!$F$171:$F$200</definedName>
    <definedName name="PACKER_2" hidden="0" function="0" vbProcedure="0">INDEX([13]DRAW!$D$12:$E$13,MATCH(#ref!,[13]DRAW!$D$12:$D$13,0),2)</definedName>
    <definedName name="Packer_Body_Burst" hidden="0" function="0" vbProcedure="0">#ref!</definedName>
    <definedName name="Packer_Element_Rating" hidden="0" function="0" vbProcedure="0">#ref!</definedName>
    <definedName name="Packer_Retrieval" hidden="0" function="0" vbProcedure="0">'[2]Equipment Go-To Sheet'!$F$314:$F$318</definedName>
    <definedName name="Packer_Rotation" hidden="0" function="0" vbProcedure="0">#ref!</definedName>
    <definedName name="Packer_Set_In" hidden="0" function="0" vbProcedure="0">#ref!</definedName>
    <definedName name="Packer_Supplier" hidden="0" function="0" vbProcedure="0">#ref!</definedName>
    <definedName name="Packoff" hidden="0" function="0" vbProcedure="0">#ref!</definedName>
    <definedName name="Packofftype" hidden="0" function="0" vbProcedure="0">#ref!</definedName>
    <definedName name="PackoffXDP1_Pist_Area" hidden="0" function="0" vbProcedure="0">#ref!</definedName>
    <definedName name="PackoffXDP2_Pist_Area" hidden="0" function="0" vbProcedure="0">#ref!</definedName>
    <definedName name="PackoffXDP3_Pist_Area" hidden="0" function="0" vbProcedure="0">#ref!</definedName>
    <definedName name="PackoffXDP4_Pist_Area" hidden="0" function="0" vbProcedure="0">#ref!</definedName>
    <definedName name="PackoffXDP5_Pist_Area" hidden="0" function="0" vbProcedure="0">#ref!</definedName>
    <definedName name="Packoff_Area" hidden="0" function="0" vbProcedure="0">#ref!</definedName>
    <definedName name="Packoff_Pist_Area" hidden="0" function="0" vbProcedure="0">#ref!</definedName>
    <definedName name="Packoff_Stinger_OD" hidden="0" function="0" vbProcedure="0">#ref!</definedName>
    <definedName name="PAdd" hidden="0" function="0" vbProcedure="0">#ref!</definedName>
    <definedName name="PAdd1" hidden="0" function="0" vbProcedure="0">#ref!</definedName>
    <definedName name="PAGE13" hidden="0" function="0" vbProcedure="0">'[4]cumulative temp diff'!#ref!</definedName>
    <definedName name="PAGE14" hidden="0" function="0" vbProcedure="0">'[4]cumulative temp diff'!#ref!</definedName>
    <definedName name="PAGE15" hidden="0" function="0" vbProcedure="0">'[4]cumulative temp diff'!#ref!</definedName>
    <definedName name="pageoffset" hidden="0" function="0" vbProcedure="0">#ref!</definedName>
    <definedName name="pageoffset_1" hidden="0" function="0" vbProcedure="0">#ref!</definedName>
    <definedName name="pageoffset_10" hidden="0" function="0" vbProcedure="0">#ref!</definedName>
    <definedName name="pageoffset_11" hidden="0" function="0" vbProcedure="0">#ref!</definedName>
    <definedName name="pageoffset_12" hidden="0" function="0" vbProcedure="0">#ref!</definedName>
    <definedName name="pageoffset_2" hidden="0" function="0" vbProcedure="0">#ref!</definedName>
    <definedName name="pageoffset_3" hidden="0" function="0" vbProcedure="0">#ref!</definedName>
    <definedName name="pageoffset_4" hidden="0" function="0" vbProcedure="0">#ref!</definedName>
    <definedName name="pageoffset_5" hidden="0" function="0" vbProcedure="0">#ref!</definedName>
    <definedName name="pageoffset_6" hidden="0" function="0" vbProcedure="0">#ref!</definedName>
    <definedName name="pageoffset_7" hidden="0" function="0" vbProcedure="0">#ref!</definedName>
    <definedName name="pageoffset_8" hidden="0" function="0" vbProcedure="0">#ref!</definedName>
    <definedName name="pageoffset_9" hidden="0" function="0" vbProcedure="0">#ref!</definedName>
    <definedName name="PageTop3" hidden="0" function="0" vbProcedure="0">#ref!</definedName>
    <definedName name="PageTop4" hidden="0" function="0" vbProcedure="0">#ref!</definedName>
    <definedName name="Papel" hidden="0" function="0" vbProcedure="0">#ref!</definedName>
    <definedName name="PAR" hidden="0" function="0" vbProcedure="0">#ref!</definedName>
    <definedName name="Para3" hidden="1" function="0" vbProcedure="0">{#N/A,#N/A,FALSE,"Drlg Param Run 1-1";#N/A,#N/A,FALSE,"DDR (3)";#N/A,#N/A,FALSE,"BHA AT (1)";#N/A,#N/A,FALSE,"Downlinkbha";#N/A,#N/A,FALSE,"Job Status Report"}</definedName>
    <definedName name="Parameters" hidden="0" function="0" vbProcedure="0">#ref!,#ref!</definedName>
    <definedName name="Parish" hidden="0" function="0" vbProcedure="0">#ref!</definedName>
    <definedName name="Parish_County" hidden="0" function="0" vbProcedure="0">#ref!</definedName>
    <definedName name="Part1" hidden="0" function="0" vbProcedure="0">#ref!</definedName>
    <definedName name="Part10" hidden="0" function="0" vbProcedure="0">#ref!</definedName>
    <definedName name="Part11" hidden="0" function="0" vbProcedure="0">#ref!</definedName>
    <definedName name="Part12" hidden="0" function="0" vbProcedure="0">#ref!</definedName>
    <definedName name="Part13" hidden="0" function="0" vbProcedure="0">#ref!</definedName>
    <definedName name="Part14" hidden="0" function="0" vbProcedure="0">#ref!</definedName>
    <definedName name="Part15" hidden="0" function="0" vbProcedure="0">#ref!</definedName>
    <definedName name="Part16" hidden="0" function="0" vbProcedure="0">#ref!</definedName>
    <definedName name="Part17" hidden="0" function="0" vbProcedure="0">#ref!</definedName>
    <definedName name="Part18" hidden="0" function="0" vbProcedure="0">#ref!</definedName>
    <definedName name="Part19" hidden="0" function="0" vbProcedure="0">#ref!</definedName>
    <definedName name="Part2" hidden="0" function="0" vbProcedure="0">#ref!</definedName>
    <definedName name="Part20" hidden="0" function="0" vbProcedure="0">#ref!</definedName>
    <definedName name="Part3" hidden="0" function="0" vbProcedure="0">#ref!</definedName>
    <definedName name="Part4" hidden="0" function="0" vbProcedure="0">#ref!</definedName>
    <definedName name="Part5" hidden="0" function="0" vbProcedure="0">#ref!</definedName>
    <definedName name="Part6" hidden="0" function="0" vbProcedure="0">#ref!</definedName>
    <definedName name="Part7" hidden="0" function="0" vbProcedure="0">#ref!</definedName>
    <definedName name="Part8" hidden="0" function="0" vbProcedure="0">#ref!</definedName>
    <definedName name="Part9" hidden="0" function="0" vbProcedure="0">#ref!</definedName>
    <definedName name="Parts" hidden="0" function="0" vbProcedure="0">#ref!</definedName>
    <definedName name="Pavg3" hidden="0" function="0" vbProcedure="0">#ref!</definedName>
    <definedName name="PaycheckDate" hidden="0" function="0" vbProcedure="0">#ref!</definedName>
    <definedName name="PAYMENTS_CASHFL" hidden="0" function="0" vbProcedure="0">#ref!</definedName>
    <definedName name="PAYS" hidden="0" function="0" vbProcedure="0">#ref!</definedName>
    <definedName name="PB" hidden="0" function="0" vbProcedure="0">'[36]Price Book'!$A$3:$K$135</definedName>
    <definedName name="PBTD" hidden="0" function="0" vbProcedure="0">#ref!</definedName>
    <definedName name="PC" hidden="0" function="0" vbProcedure="0">#ref!</definedName>
    <definedName name="Pckr_Body_Bst" hidden="0" function="0" vbProcedure="0">#ref!</definedName>
    <definedName name="Pckr_Body_Bstz" hidden="0" function="0" vbProcedure="0">'[11]Liner Job Info'!$P$32</definedName>
    <definedName name="Pckr_Body_Coll" hidden="0" function="0" vbProcedure="0">#ref!</definedName>
    <definedName name="Pckr_Body_Collz" hidden="0" function="0" vbProcedure="0">'[11]Liner Job Info'!$P$33</definedName>
    <definedName name="Pckr_Body_Tens" hidden="0" function="0" vbProcedure="0">#ref!</definedName>
    <definedName name="Pckr_Body_Yield" hidden="0" function="0" vbProcedure="0">#ref!</definedName>
    <definedName name="Pckr_ID" hidden="0" function="0" vbProcedure="0">#ref!</definedName>
    <definedName name="Pckr_Max_OD" hidden="0" function="0" vbProcedure="0">#ref!</definedName>
    <definedName name="Pckr_Model" hidden="0" function="0" vbProcedure="0">#ref!</definedName>
    <definedName name="Pckr_Seal_Surf_OD" hidden="0" function="0" vbProcedure="0">#ref!</definedName>
    <definedName name="Pckr_Sett_Force" hidden="0" function="0" vbProcedure="0">#ref!</definedName>
    <definedName name="pct" hidden="0" function="0" vbProcedure="0">#ref!</definedName>
    <definedName name="PCTDepth" hidden="0" function="0" vbProcedure="0">#ref!</definedName>
    <definedName name="pcthoop" hidden="0" function="0" vbProcedure="0">#ref!</definedName>
    <definedName name="PDDD" hidden="0" function="0" vbProcedure="0">'[28]Ref. data1'!$F$18:$F$23</definedName>
    <definedName name="PDDDD" hidden="0" function="0" vbProcedure="0">'[28]Ref. data1'!$G$18:$G$23</definedName>
    <definedName name="PDFlowRestrictor" hidden="0" function="0" vbProcedure="0">#ref!</definedName>
    <definedName name="PDFlowRestrictorUnit" hidden="0" function="0" vbProcedure="0">#ref!</definedName>
    <definedName name="PDHG_2" hidden="0" function="0" vbProcedure="0">INDEX([13]DRAW!$A$2:$B$12,MATCH(#ref!,[13]DRAW!$A$2:$A$12,0),2)</definedName>
    <definedName name="Pdiff" hidden="0" function="0" vbProcedure="0">#ref!</definedName>
    <definedName name="PDM" hidden="0" function="0" vbProcedure="0">#ref!</definedName>
    <definedName name="PDM_PNO_40901" hidden="0" function="0" vbProcedure="0">#ref!</definedName>
    <definedName name="PD_PUP" hidden="0" function="0" vbProcedure="0">#ref!</definedName>
    <definedName name="PD_SOFTWARE" hidden="0" function="0" vbProcedure="0">[38]RSS!$J$148:$J$152</definedName>
    <definedName name="PD_STAB" hidden="0" function="0" vbProcedure="0">[38]RSS!$R$131:$R$160</definedName>
    <definedName name="Pe" hidden="0" function="0" vbProcedure="0">#ref!</definedName>
    <definedName name="PEIGHT_TOTAL" hidden="0" function="0" vbProcedure="0">#ref!</definedName>
    <definedName name="Percent40" hidden="0" function="0" vbProcedure="0">#ref!</definedName>
    <definedName name="PercentGas" hidden="0" function="0" vbProcedure="0">#ref!</definedName>
    <definedName name="PercentShort" hidden="0" function="0" vbProcedure="0">#ref!</definedName>
    <definedName name="Perf._Interval" hidden="0" function="0" vbProcedure="0">#ref!</definedName>
    <definedName name="Perf._Interval_2" hidden="0" function="0" vbProcedure="0">#ref!</definedName>
    <definedName name="perfbottom" hidden="0" function="0" vbProcedure="0">#ref!</definedName>
    <definedName name="PerfDepth" hidden="0" function="0" vbProcedure="0">#ref!</definedName>
    <definedName name="perffilling" hidden="0" function="0" vbProcedure="0">[5]WTR!$G$157</definedName>
    <definedName name="perftop" hidden="0" function="0" vbProcedure="0">#ref!</definedName>
    <definedName name="PERF_1" hidden="0" function="0" vbProcedure="0">"Group 2730,PERF"</definedName>
    <definedName name="PERF_BOTTOM" hidden="0" function="0" vbProcedure="0">#ref!</definedName>
    <definedName name="PERF_SLURRY" hidden="0" function="0" vbProcedure="0">#ref!</definedName>
    <definedName name="PERF_TOP" hidden="0" function="0" vbProcedure="0">#ref!</definedName>
    <definedName name="PERF_VOL" hidden="0" function="0" vbProcedure="0">#ref!</definedName>
    <definedName name="PERIODSETNAME1" hidden="0" function="0" vbProcedure="0">[53]CRITERIA1!$B$4</definedName>
    <definedName name="perm" hidden="0" function="0" vbProcedure="0">[19]Data!$G$56</definedName>
    <definedName name="perm1" hidden="0" function="0" vbProcedure="0">[19]Data!$G$57</definedName>
    <definedName name="Permanent" hidden="0" function="0" vbProcedure="0">[6]Sheet1!$D$10:$D$11</definedName>
    <definedName name="PERSONEL" hidden="0" function="0" vbProcedure="0">#ref!</definedName>
    <definedName name="Personnel1" hidden="0" function="0" vbProcedure="0">#N/A</definedName>
    <definedName name="PERSONNEL_12" hidden="0" function="0" vbProcedure="0">#ref!</definedName>
    <definedName name="PERSONNEL_17" hidden="0" function="0" vbProcedure="0">#ref!</definedName>
    <definedName name="Perv.Macro140" hidden="0" function="0" vbProcedure="0">[49]!Prev.Macro102</definedName>
    <definedName name="Per_Dist_Orient_Mode_1" hidden="0" function="0" vbProcedure="0">#ref!</definedName>
    <definedName name="Per_Dist_Orient_Mode_1_Name" hidden="0" function="0" vbProcedure="0">#ref!</definedName>
    <definedName name="Per_Dist_Orient_Mode_2" hidden="0" function="0" vbProcedure="0">#ref!</definedName>
    <definedName name="Per_Dist_Orient_Mode_2_Name" hidden="0" function="0" vbProcedure="0">#ref!</definedName>
    <definedName name="Per_Dist_Rotating" hidden="0" function="0" vbProcedure="0">#ref!</definedName>
    <definedName name="Per_Dist_Steering" hidden="0" function="0" vbProcedure="0">#ref!</definedName>
    <definedName name="Per_Rot_OD1" hidden="0" function="0" vbProcedure="0">#ref!</definedName>
    <definedName name="Per_Rot_OD1_Name" hidden="0" function="0" vbProcedure="0">#ref!</definedName>
    <definedName name="Per_Rot_OD2" hidden="0" function="0" vbProcedure="0">#ref!</definedName>
    <definedName name="Per_Rot_OD2_Name" hidden="0" function="0" vbProcedure="0">#ref!</definedName>
    <definedName name="Per_Time_Rot" hidden="0" function="0" vbProcedure="0">#ref!</definedName>
    <definedName name="Per_Time_Rot_Name" hidden="0" function="0" vbProcedure="0">#ref!</definedName>
    <definedName name="Per_Time_Steering" hidden="0" function="0" vbProcedure="0">#ref!</definedName>
    <definedName name="Per_Time_Steering_Name" hidden="0" function="0" vbProcedure="0">#ref!</definedName>
    <definedName name="Pf" hidden="0" function="0" vbProcedure="0">#ref!</definedName>
    <definedName name="PFF" hidden="0" function="0" vbProcedure="0">#ref!</definedName>
    <definedName name="PFIVE_TOTAL" hidden="0" function="0" vbProcedure="0">#ref!</definedName>
    <definedName name="PFOUR_TOTAL" hidden="0" function="0" vbProcedure="0">#ref!</definedName>
    <definedName name="PgDn_Ranges" hidden="0" function="0" vbProcedure="0">[60]auf_screen!#ref!</definedName>
    <definedName name="PgUp_Ranges" hidden="0" function="0" vbProcedure="0">[60]auf_screen!#ref!</definedName>
    <definedName name="Ph" hidden="0" function="0" vbProcedure="0">#ref!</definedName>
    <definedName name="Phase" hidden="0" function="0" vbProcedure="0">#ref!,#ref!,#ref!,#ref!</definedName>
    <definedName name="Phasing" hidden="0" function="0" vbProcedure="0">#ref!</definedName>
    <definedName name="PhCV" hidden="0" function="0" vbProcedure="0">#ref!</definedName>
    <definedName name="PhFH" hidden="0" function="0" vbProcedure="0">#ref!</definedName>
    <definedName name="PhJAR" hidden="0" function="0" vbProcedure="0">#ref!</definedName>
    <definedName name="Phone" hidden="0" function="0" vbProcedure="0">#ref!</definedName>
    <definedName name="PhOutput" hidden="0" function="0" vbProcedure="0">#ref!</definedName>
    <definedName name="PhPsk" hidden="0" function="0" vbProcedure="0">#ref!</definedName>
    <definedName name="PhPTV" hidden="0" function="0" vbProcedure="0">#ref!</definedName>
    <definedName name="PhRT" hidden="0" function="0" vbProcedure="0">#ref!</definedName>
    <definedName name="PhRV" hidden="0" function="0" vbProcedure="0">#ref!</definedName>
    <definedName name="PhSLPJ" hidden="0" function="0" vbProcedure="0">#ref!</definedName>
    <definedName name="PhTV" hidden="0" function="0" vbProcedure="0">#ref!</definedName>
    <definedName name="pi" hidden="0" function="0" vbProcedure="0">3.14159265</definedName>
    <definedName name="Piano_de_Conti" hidden="0" function="0" vbProcedure="0">#ref!</definedName>
    <definedName name="pick1_958x475_system" hidden="0" function="0" vbProcedure="0">#N/A</definedName>
    <definedName name="pick1_958x6_system" hidden="0" function="0" vbProcedure="0">#N/A</definedName>
    <definedName name="pick1_production" hidden="0" function="0" vbProcedure="0">#N/A</definedName>
    <definedName name="pick2_958x475_system" hidden="0" function="0" vbProcedure="0">#N/A</definedName>
    <definedName name="pick2_958x6_system" hidden="0" function="0" vbProcedure="0">#N/A</definedName>
    <definedName name="pick2_production" hidden="0" function="0" vbProcedure="0">#N/A</definedName>
    <definedName name="pickle" hidden="0" function="0" vbProcedure="0">#ref!</definedName>
    <definedName name="pick_512_system" hidden="0" function="0" vbProcedure="0">#N/A</definedName>
    <definedName name="pick_5_system" hidden="0" function="0" vbProcedure="0">#N/A</definedName>
    <definedName name="pick_758x314_system" hidden="0" function="0" vbProcedure="0">#N/A</definedName>
    <definedName name="pick_758x4_system" hidden="0" function="0" vbProcedure="0">#N/A</definedName>
    <definedName name="pick_7x314_system" hidden="0" function="0" vbProcedure="0">#N/A</definedName>
    <definedName name="pick_7x4_system" hidden="0" function="0" vbProcedure="0">#N/A</definedName>
    <definedName name="pick_blanks" hidden="0" function="0" vbProcedure="0">#N/A</definedName>
    <definedName name="pick_liner" hidden="0" function="0" vbProcedure="0">#N/A</definedName>
    <definedName name="pick_liner2" hidden="0" function="0" vbProcedure="0">#N/A</definedName>
    <definedName name="pick_miscellaneous" hidden="0" function="0" vbProcedure="0">#N/A</definedName>
    <definedName name="pick_quantum" hidden="0" function="0" vbProcedure="0">#N/A</definedName>
    <definedName name="pick_screens" hidden="0" function="0" vbProcedure="0">#N/A</definedName>
    <definedName name="pick_shearsubs" hidden="0" function="0" vbProcedure="0">#N/A</definedName>
    <definedName name="pick_sump" hidden="0" function="0" vbProcedure="0">#N/A</definedName>
    <definedName name="Picture_Axial_Load" hidden="0" function="0" vbProcedure="0">#ref!</definedName>
    <definedName name="Picture_BucklingAxialLoad" hidden="0" function="0" vbProcedure="0">#ref!</definedName>
    <definedName name="Picture_BucklingMargin" hidden="0" function="0" vbProcedure="0">#ref!</definedName>
    <definedName name="Picture_Displacement" hidden="0" function="0" vbProcedure="0">#ref!</definedName>
    <definedName name="Picture_GroupRotate" hidden="0" function="0" vbProcedure="0">#ref!</definedName>
    <definedName name="Picture_GroupSlide" hidden="0" function="0" vbProcedure="0">#ref!</definedName>
    <definedName name="Picture_HookLoad" hidden="0" function="0" vbProcedure="0">#ref!</definedName>
    <definedName name="Picture_SideForces" hidden="0" function="0" vbProcedure="0">#ref!</definedName>
    <definedName name="Picture_Stresses" hidden="0" function="0" vbProcedure="0">#ref!</definedName>
    <definedName name="Picture_SurfaceTorque" hidden="0" function="0" vbProcedure="0">#ref!</definedName>
    <definedName name="Picture_Torque" hidden="0" function="0" vbProcedure="0">#ref!</definedName>
    <definedName name="pilltype1" hidden="0" function="0" vbProcedure="0">#ref!</definedName>
    <definedName name="pilltype2" hidden="0" function="0" vbProcedure="0">#ref!</definedName>
    <definedName name="pilltype3" hidden="0" function="0" vbProcedure="0">#ref!</definedName>
    <definedName name="Pilot" hidden="0" function="0" vbProcedure="0">[235]!'[module4 formula].macro1'</definedName>
    <definedName name="Pin" hidden="0" function="0" vbProcedure="0">#ref!</definedName>
    <definedName name="Pipe" hidden="0" function="0" vbProcedure="0">#ref!</definedName>
    <definedName name="Pipe1" hidden="0" function="0" vbProcedure="0">#ref!</definedName>
    <definedName name="PipeChart" hidden="0" function="0" vbProcedure="0">#ref!</definedName>
    <definedName name="PipeList" hidden="0" function="0" vbProcedure="0">#ref!</definedName>
    <definedName name="Pipe_Cost" hidden="0" function="0" vbProcedure="0">#ref!</definedName>
    <definedName name="Pipe_table" hidden="0" function="0" vbProcedure="0">#ref!</definedName>
    <definedName name="pird" hidden="0" function="0" vbProcedure="0">3.14159265/180</definedName>
    <definedName name="PistArea_Packoff_to_DP_OD" hidden="0" function="0" vbProcedure="0">#ref!</definedName>
    <definedName name="Piston_Disp" hidden="0" function="0" vbProcedure="0">#ref!</definedName>
    <definedName name="Pist_Area_Csg_ID_to_DP1_OD" hidden="0" function="0" vbProcedure="0">#ref!</definedName>
    <definedName name="Pist_Area_Csg_ID_to_DP2_OD" hidden="0" function="0" vbProcedure="0">#ref!</definedName>
    <definedName name="Pist_Area_Csg_ID_to_DP3_OD" hidden="0" function="0" vbProcedure="0">#ref!</definedName>
    <definedName name="Pist_Area_Csg_ID_to_DP4_OD" hidden="0" function="0" vbProcedure="0">#ref!</definedName>
    <definedName name="Pist_Area_Csg_ID_to_DP5_OD" hidden="0" function="0" vbProcedure="0">#ref!</definedName>
    <definedName name="Pist_Area_from_CsgID_to_Packoff_OD" hidden="0" function="0" vbProcedure="0">#ref!</definedName>
    <definedName name="Pist_Area_PackoffOD_DP2_OD" hidden="0" function="0" vbProcedure="0">#ref!</definedName>
    <definedName name="Pist_Area_PackoffOD_DP4_OD" hidden="0" function="0" vbProcedure="0">#ref!</definedName>
    <definedName name="Pist_Area_PackoffOD_DP5_OD" hidden="0" function="0" vbProcedure="0">#ref!</definedName>
    <definedName name="Pist_Area_PackoffOD_to_DP1_OD" hidden="0" function="0" vbProcedure="0">#ref!</definedName>
    <definedName name="Pist_Area_PackoffOD_to_DP3_OD" hidden="0" function="0" vbProcedure="0">#ref!</definedName>
    <definedName name="PitGain" hidden="0" function="0" vbProcedure="0">#ref!</definedName>
    <definedName name="PKFactor" hidden="0" function="0" vbProcedure="0">#ref!</definedName>
    <definedName name="PKRIMG" hidden="0" function="0" vbProcedure="0">INDEX([76]PKR!$A$2:$B$15,MATCH([76]INPUT!$H$38,[76]PKR!$A$2:$A$15,0),2)</definedName>
    <definedName name="Pkrs" hidden="0" function="0" vbProcedure="0">#ref!</definedName>
    <definedName name="Pkr_ID" hidden="0" function="0" vbProcedure="0">#ref!</definedName>
    <definedName name="Platform" hidden="0" function="0" vbProcedure="0">'[35]drop downs'!$I$3:$I$7</definedName>
    <definedName name="plotm" hidden="0" function="0" vbProcedure="0">#N/A</definedName>
    <definedName name="PlugMethod" hidden="0" function="0" vbProcedure="0">#ref!</definedName>
    <definedName name="Plugs" hidden="0" function="0" vbProcedure="0">#ref!</definedName>
    <definedName name="PlugSize" hidden="0" function="0" vbProcedure="0">#ref!</definedName>
    <definedName name="Plug_Bmp_Hngr_Ovr_Ld" hidden="0" function="0" vbProcedure="0">#ref!</definedName>
    <definedName name="Plug_Bmp_psi_wo_DP" hidden="0" function="0" vbProcedure="0">#ref!</definedName>
    <definedName name="Plug_Bmp_psi_w_DP" hidden="0" function="0" vbProcedure="0">#ref!</definedName>
    <definedName name="Plug_Press_Rating" hidden="0" function="0" vbProcedure="0">#ref!</definedName>
    <definedName name="Plug_Press_Ratingz" hidden="0" function="0" vbProcedure="0">'[11]Liner Job Info'!$D$43</definedName>
    <definedName name="Plug_Temp_Rating" hidden="0" function="0" vbProcedure="0">#ref!</definedName>
    <definedName name="PMfoto" hidden="0" function="0" vbProcedure="0">#ref!</definedName>
    <definedName name="PMnobj" hidden="0" function="0" vbProcedure="0">#ref!</definedName>
    <definedName name="pmp1blstk" hidden="0" function="0" vbProcedure="0">#ref!</definedName>
    <definedName name="pmp2blstk" hidden="0" function="0" vbProcedure="0">#ref!</definedName>
    <definedName name="PMproj" hidden="0" function="0" vbProcedure="0">#ref!</definedName>
    <definedName name="PMS" hidden="0" function="0" vbProcedure="0">'[35]drop downs'!$G$3:$G$10</definedName>
    <definedName name="PMtieon" hidden="0" function="0" vbProcedure="0">#ref!</definedName>
    <definedName name="PNINE_TOTAL" hidden="0" function="0" vbProcedure="0">#ref!</definedName>
    <definedName name="PNumber" hidden="0" function="0" vbProcedure="0">#ref!</definedName>
    <definedName name="PO" hidden="0" function="0" vbProcedure="0">#ref!</definedName>
    <definedName name="PoinFromBit" hidden="0" function="0" vbProcedure="0">#ref!</definedName>
    <definedName name="PONumber" hidden="0" function="0" vbProcedure="0">#ref!</definedName>
    <definedName name="port" hidden="0" function="0" vbProcedure="0">#ref!</definedName>
    <definedName name="Ported_Sub" hidden="0" function="0" vbProcedure="0">#ref!</definedName>
    <definedName name="POSITION" hidden="0" function="0" vbProcedure="0">#ref!</definedName>
    <definedName name="postbriefer" hidden="0" function="0" vbProcedure="0">#ref!</definedName>
    <definedName name="POSTERRORSTOSUSP1" hidden="0" function="0" vbProcedure="0">[53]CRITERIA1!$B$34</definedName>
    <definedName name="postgpstim" hidden="0" function="0" vbProcedure="0">#ref!</definedName>
    <definedName name="PostJob" hidden="0" function="0" vbProcedure="0">#ref!</definedName>
    <definedName name="postvriefer" hidden="0" function="0" vbProcedure="0">#ref!</definedName>
    <definedName name="Pos_of_Ball" hidden="0" function="0" vbProcedure="0">#ref!</definedName>
    <definedName name="POTENTIAL_PROBLEMS" hidden="0" function="0" vbProcedure="0">#ref!</definedName>
    <definedName name="PoundConversion" hidden="0" function="0" vbProcedure="0">#ref!</definedName>
    <definedName name="POWERV_TO" hidden="0" function="0" vbProcedure="0">[38]RSS!$A$206</definedName>
    <definedName name="Pozo" hidden="0" function="0" vbProcedure="0">#ref!</definedName>
    <definedName name="Pp" hidden="0" function="0" vbProcedure="0">#ref!</definedName>
    <definedName name="ppacidfiltered" hidden="0" function="0" vbProcedure="0">#ref!</definedName>
    <definedName name="ppacidfluid" hidden="0" function="0" vbProcedure="0">#ref!</definedName>
    <definedName name="ppacidfluid2" hidden="0" function="0" vbProcedure="0">#ref!</definedName>
    <definedName name="ppacidfluid3" hidden="0" function="0" vbProcedure="0">#ref!</definedName>
    <definedName name="ppacidfluid4" hidden="0" function="0" vbProcedure="0">#ref!</definedName>
    <definedName name="ppacidstages" hidden="0" function="0" vbProcedure="0">#ref!</definedName>
    <definedName name="ppacidtype" hidden="0" function="0" vbProcedure="0">#ref!</definedName>
    <definedName name="ppacidtype2" hidden="0" function="0" vbProcedure="0">#ref!</definedName>
    <definedName name="ppacidtype3" hidden="0" function="0" vbProcedure="0">#ref!</definedName>
    <definedName name="ppacidtype4" hidden="0" function="0" vbProcedure="0">#ref!</definedName>
    <definedName name="ppacidvolume" hidden="0" function="0" vbProcedure="0">#ref!</definedName>
    <definedName name="ppacidweight" hidden="0" function="0" vbProcedure="0">#ref!</definedName>
    <definedName name="ppacidweight2" hidden="0" function="0" vbProcedure="0">#ref!</definedName>
    <definedName name="ppacidweight3" hidden="0" function="0" vbProcedure="0">#ref!</definedName>
    <definedName name="ppacidweight4" hidden="0" function="0" vbProcedure="0">#ref!</definedName>
    <definedName name="PPF" hidden="0" function="0" vbProcedure="0">#ref!</definedName>
    <definedName name="ppgelfiltered" hidden="0" function="0" vbProcedure="0">#ref!</definedName>
    <definedName name="ppgelloading" hidden="0" function="0" vbProcedure="0">#ref!</definedName>
    <definedName name="ppgelsheared" hidden="0" function="0" vbProcedure="0">#ref!</definedName>
    <definedName name="ppgelvis" hidden="0" function="0" vbProcedure="0">#ref!</definedName>
    <definedName name="ppgelvolume" hidden="0" function="0" vbProcedure="0">#ref!</definedName>
    <definedName name="ppgsggcc" hidden="0" function="0" vbProcedure="0">'[11]Metric Conversions'!$B$65</definedName>
    <definedName name="pph" hidden="0" function="0" vbProcedure="0">[40]!Calculate_Pipe</definedName>
    <definedName name="pphours1" hidden="0" function="0" vbProcedure="0">#ref!</definedName>
    <definedName name="pphours2" hidden="0" function="0" vbProcedure="0">#ref!</definedName>
    <definedName name="pphours3" hidden="0" function="0" vbProcedure="0">#ref!</definedName>
    <definedName name="pphours4" hidden="0" function="0" vbProcedure="0">#ref!</definedName>
    <definedName name="ppp" hidden="0" function="0" vbProcedure="0">#ref!</definedName>
    <definedName name="ppppacidtype3" hidden="0" function="0" vbProcedure="0">#ref!</definedName>
    <definedName name="ppppppppppppppppppppppppppp" hidden="0" function="0" vbProcedure="0">[53]CRITERIA1!$B$34</definedName>
    <definedName name="ppsandoutpress" hidden="0" function="0" vbProcedure="0">#ref!</definedName>
    <definedName name="ppsandoutrate" hidden="0" function="0" vbProcedure="0">#ref!</definedName>
    <definedName name="ppstage1" hidden="0" function="0" vbProcedure="0">#ref!</definedName>
    <definedName name="ppstage2" hidden="0" function="0" vbProcedure="0">#ref!</definedName>
    <definedName name="ppstage3" hidden="0" function="0" vbProcedure="0">#ref!</definedName>
    <definedName name="ppstage4" hidden="0" function="0" vbProcedure="0">#ref!</definedName>
    <definedName name="PPTVDtd" hidden="0" function="0" vbProcedure="0">#ref!</definedName>
    <definedName name="PrDelay" hidden="0" function="0" vbProcedure="0">#ref!</definedName>
    <definedName name="pre.Macro220" hidden="0" function="0" vbProcedure="0">[49]!Prev.Macro110</definedName>
    <definedName name="prebriefer" hidden="0" function="0" vbProcedure="0">#ref!</definedName>
    <definedName name="PrecentTieback" hidden="0" function="0" vbProcedure="0">#ref!</definedName>
    <definedName name="pregpstim" hidden="0" function="0" vbProcedure="0">#ref!</definedName>
    <definedName name="PreJob" hidden="0" function="0" vbProcedure="0">#ref!</definedName>
    <definedName name="PREPACK_MIX_RATIO" hidden="0" function="0" vbProcedure="0">#ref!</definedName>
    <definedName name="Pres1a" hidden="0" function="0" vbProcedure="0">#ref!</definedName>
    <definedName name="Pres1b" hidden="0" function="0" vbProcedure="0">#ref!</definedName>
    <definedName name="Pres1c" hidden="0" function="0" vbProcedure="0">#ref!</definedName>
    <definedName name="Pres1d" hidden="0" function="0" vbProcedure="0">#ref!</definedName>
    <definedName name="Pres1e" hidden="0" function="0" vbProcedure="0">#ref!</definedName>
    <definedName name="PRESENCE_November_Liste" hidden="0" function="0" vbProcedure="0">#ref!</definedName>
    <definedName name="presmw" hidden="0" function="0" vbProcedure="0">#ref!</definedName>
    <definedName name="Pressure" hidden="0" function="0" vbProcedure="0">#ref!</definedName>
    <definedName name="pressure1" hidden="0" function="0" vbProcedure="0">[19]Data!$C$2</definedName>
    <definedName name="pressure10" hidden="0" function="0" vbProcedure="0">[19]Data!$C$11</definedName>
    <definedName name="pressure2" hidden="0" function="0" vbProcedure="0">[19]Data!$C$3</definedName>
    <definedName name="pressure3" hidden="0" function="0" vbProcedure="0">[19]Data!$C$4</definedName>
    <definedName name="pressure4" hidden="0" function="0" vbProcedure="0">[19]Data!$C$5</definedName>
    <definedName name="pressure5" hidden="0" function="0" vbProcedure="0">[19]Data!$C$6</definedName>
    <definedName name="pressure6" hidden="0" function="0" vbProcedure="0">[19]Data!$C$7</definedName>
    <definedName name="pressure7" hidden="0" function="0" vbProcedure="0">[19]Data!$C$8</definedName>
    <definedName name="pressure8" hidden="0" function="0" vbProcedure="0">[19]Data!$C$9</definedName>
    <definedName name="pressure9" hidden="0" function="0" vbProcedure="0">[19]Data!$C$10</definedName>
    <definedName name="pressurea" hidden="0" function="0" vbProcedure="0">[19]Data!$D$2</definedName>
    <definedName name="pressureb" hidden="0" function="0" vbProcedure="0">[19]Data!$D$3</definedName>
    <definedName name="pressurec" hidden="0" function="0" vbProcedure="0">[19]Data!$D$4</definedName>
    <definedName name="pressured" hidden="0" function="0" vbProcedure="0">[19]Data!$D$5</definedName>
    <definedName name="pressuree" hidden="0" function="0" vbProcedure="0">[19]Data!$D$6</definedName>
    <definedName name="pressuref" hidden="0" function="0" vbProcedure="0">[19]Data!$D$7</definedName>
    <definedName name="pressureg" hidden="0" function="0" vbProcedure="0">[19]Data!$D$8</definedName>
    <definedName name="pressureh" hidden="0" function="0" vbProcedure="0">[19]Data!$D$9</definedName>
    <definedName name="pressurei" hidden="0" function="0" vbProcedure="0">[19]Data!$D$10</definedName>
    <definedName name="pressurej" hidden="0" function="0" vbProcedure="0">[19]Data!$D$11</definedName>
    <definedName name="Pressures" hidden="0" function="0" vbProcedure="0">#ref!,#ref!,#ref!</definedName>
    <definedName name="PressureUnit" hidden="0" function="0" vbProcedure="0">#ref!</definedName>
    <definedName name="Pressure_1" hidden="0" function="0" vbProcedure="0">#ref!</definedName>
    <definedName name="Pressure_2" hidden="0" function="0" vbProcedure="0">#ref!</definedName>
    <definedName name="Pressure_Chart" hidden="0" function="0" vbProcedure="0">#ref!</definedName>
    <definedName name="press_weight" hidden="0" function="0" vbProcedure="0">'[7]Drop-Down Items'!$AC$7:$AC$8</definedName>
    <definedName name="PresUnit" hidden="0" function="0" vbProcedure="0">#ref!</definedName>
    <definedName name="Prev.Macro101" hidden="0" function="0" vbProcedure="0">[26]!Prev.Macro101</definedName>
    <definedName name="Prev.Macro102" hidden="0" function="0" vbProcedure="0">[26]!Prev.Macro102</definedName>
    <definedName name="Prev.Macro103" hidden="0" function="0" vbProcedure="0">[26]!Prev.Macro103</definedName>
    <definedName name="Prev.Macro104" hidden="0" function="0" vbProcedure="0">[26]!Prev.Macro104</definedName>
    <definedName name="Prev.Macro105" hidden="0" function="0" vbProcedure="0">[26]!Prev.Macro105</definedName>
    <definedName name="Prev.Macro106" hidden="0" function="0" vbProcedure="0">[26]!Prev.Macro106</definedName>
    <definedName name="Prev.Macro107" hidden="0" function="0" vbProcedure="0">[26]!Prev.Macro107</definedName>
    <definedName name="Prev.Macro108" hidden="0" function="0" vbProcedure="0">[26]!Prev.Macro108</definedName>
    <definedName name="Prev.Macro109" hidden="0" function="0" vbProcedure="0">[26]!Prev.Macro109</definedName>
    <definedName name="Prev.Macro110" hidden="0" function="0" vbProcedure="0">[26]!Prev.Macro110</definedName>
    <definedName name="Prev.Macro111" hidden="0" function="0" vbProcedure="0">[26]!Prev.Macro111</definedName>
    <definedName name="Prev.Macro112" hidden="0" function="0" vbProcedure="0">[26]!Prev.Macro112</definedName>
    <definedName name="Prev.Macro113" hidden="0" function="0" vbProcedure="0">[26]!Prev.Macro113</definedName>
    <definedName name="Prev.Macro114" hidden="0" function="0" vbProcedure="0">[26]!Prev.Macro114</definedName>
    <definedName name="Prev.Macro115" hidden="0" function="0" vbProcedure="0">[26]!Prev.Macro115</definedName>
    <definedName name="Prev.Macro116" hidden="0" function="0" vbProcedure="0">[26]!Prev.Macro116</definedName>
    <definedName name="Prev.Macro117" hidden="0" function="0" vbProcedure="0">[26]!Prev.Macro117</definedName>
    <definedName name="Prev.Macro118" hidden="0" function="0" vbProcedure="0">[26]!Prev.Macro118</definedName>
    <definedName name="Prev.Macro120" hidden="0" function="0" vbProcedure="0">[26]!Prev.Macro120</definedName>
    <definedName name="Prev.Macro121" hidden="0" function="0" vbProcedure="0">[26]!Prev.Macro121</definedName>
    <definedName name="Prev.Macro122" hidden="0" function="0" vbProcedure="0">[26]!Prev.Macro122</definedName>
    <definedName name="Prev.Macro123" hidden="0" function="0" vbProcedure="0">[26]!Prev.Macro123</definedName>
    <definedName name="Prev.Macro124" hidden="0" function="0" vbProcedure="0">[26]!Prev.Macro124</definedName>
    <definedName name="Prev.Macro125" hidden="0" function="0" vbProcedure="0">[26]!Prev.Macro125</definedName>
    <definedName name="Prev.Macro126" hidden="0" function="0" vbProcedure="0">[26]!Prev.Macro126</definedName>
    <definedName name="Prev.Macro127" hidden="0" function="0" vbProcedure="0">[26]!Prev.Macro127</definedName>
    <definedName name="Prev.Macro128" hidden="0" function="0" vbProcedure="0">[26]!Prev.Macro128</definedName>
    <definedName name="Prev.Macro129" hidden="0" function="0" vbProcedure="0">[26]!Prev.Macro129</definedName>
    <definedName name="Prev.Macro130" hidden="0" function="0" vbProcedure="0">[26]!Prev.Macro130</definedName>
    <definedName name="Prev.Macro131" hidden="0" function="0" vbProcedure="0">[26]!Prev.Macro131</definedName>
    <definedName name="prev.macro131." hidden="0" function="0" vbProcedure="0">[26]!prev.macro131.</definedName>
    <definedName name="Prev.Macro132" hidden="0" function="0" vbProcedure="0">[26]!Prev.Macro132</definedName>
    <definedName name="Prev.Macro133" hidden="0" function="0" vbProcedure="0">[26]!Prev.Macro133</definedName>
    <definedName name="Prev.Macro134" hidden="0" function="0" vbProcedure="0">[26]!Prev.Macro134</definedName>
    <definedName name="Prev.Macro135" hidden="0" function="0" vbProcedure="0">[26]!Prev.Macro135</definedName>
    <definedName name="Prev.Macro136" hidden="0" function="0" vbProcedure="0">[26]!Prev.Macro136</definedName>
    <definedName name="Prev.Macro137" hidden="0" function="0" vbProcedure="0">[26]!Prev.Macro137</definedName>
    <definedName name="Prev.Macro138" hidden="0" function="0" vbProcedure="0">[26]!Prev.Macro138</definedName>
    <definedName name="Prev.Macro139" hidden="0" function="0" vbProcedure="0">[26]!Prev.Macro139</definedName>
    <definedName name="Prev.Macro140" hidden="0" function="0" vbProcedure="0">[26]!Prev.Macro140</definedName>
    <definedName name="Prev.Macro141" hidden="0" function="0" vbProcedure="0">[26]!Prev.Macro141</definedName>
    <definedName name="Prev.Macro142" hidden="0" function="0" vbProcedure="0">[26]!Prev.Macro142</definedName>
    <definedName name="Prev.Macro143" hidden="0" function="0" vbProcedure="0">[26]!Prev.Macro143</definedName>
    <definedName name="Prev.Macro144" hidden="0" function="0" vbProcedure="0">[26]!Prev.Macro144</definedName>
    <definedName name="Prev.Macro145" hidden="0" function="0" vbProcedure="0">[26]!Prev.Macro145</definedName>
    <definedName name="Prev.Macro146" hidden="0" function="0" vbProcedure="0">[26]!Prev.Macro146</definedName>
    <definedName name="Prev.Macro147" hidden="0" function="0" vbProcedure="0">[26]!Prev.Macro147</definedName>
    <definedName name="Prev.Macro149" hidden="0" function="0" vbProcedure="0">[26]!Prev.Macro149</definedName>
    <definedName name="prev.Macro150" hidden="0" function="0" vbProcedure="0">[49]!Prev.Macro122</definedName>
    <definedName name="prev.Macro200" hidden="0" function="0" vbProcedure="0">[49]!Prev.Macro128</definedName>
    <definedName name="Prev.Macro242" hidden="0" function="0" vbProcedure="0">[49]!Prev.Macro106</definedName>
    <definedName name="Prev_Period" hidden="0" function="0" vbProcedure="0">#ref!</definedName>
    <definedName name="pricelist" hidden="0" function="0" vbProcedure="0">#ref!</definedName>
    <definedName name="priceref" hidden="0" function="0" vbProcedure="0">#ref!</definedName>
    <definedName name="PRINT" hidden="0" function="0" vbProcedure="0">#ref!</definedName>
    <definedName name="print1" hidden="0" function="0" vbProcedure="0">#ref!,#ref!</definedName>
    <definedName name="PRINTER" hidden="0" function="0" vbProcedure="0">#ref!</definedName>
    <definedName name="Print_Area_MI" hidden="0" function="0" vbProcedure="0">#ref!</definedName>
    <definedName name="Print_Area___.___mPM_Red__" hidden="0" function="0" vbProcedure="0">#ref!</definedName>
    <definedName name="Print_Area_______mPM_Red__" hidden="0" function="0" vbProcedure="0">#ref!</definedName>
    <definedName name="print_DJT" hidden="0" function="0" vbProcedure="0">#ref!</definedName>
    <definedName name="print_DTM" hidden="0" function="0" vbProcedure="0">#ref!</definedName>
    <definedName name="Print_This" hidden="0" function="0" vbProcedure="0">#ref!</definedName>
    <definedName name="Print_Titles_MI" hidden="0" function="0" vbProcedure="0">#ref!</definedName>
    <definedName name="Probability" hidden="0" function="0" vbProcedure="0">[18]Criteria!$G$2:$G$6</definedName>
    <definedName name="prod" hidden="0" function="0" vbProcedure="0">[77]Products!$A$4:$F$144</definedName>
    <definedName name="PRODPKR" hidden="0" function="0" vbProcedure="0">INDEX([78]PKR!$A$2:$B$15,MATCH([78]INPUT!$H$37,[78]PKR!$A$2:$A$15,0),2)</definedName>
    <definedName name="prodtype" hidden="0" function="0" vbProcedure="0">[5]Data!$F$9</definedName>
    <definedName name="ProductGroupUnique" hidden="0" function="0" vbProcedure="0">'[59]AE Database'!$B$305:INDEX('[59]AE Database'!$B$305:$B$400,'[59]AE Database'!$B$303)</definedName>
    <definedName name="production" hidden="0" function="0" vbProcedure="0">#ref!</definedName>
    <definedName name="Production_History_by_Well" hidden="0" function="0" vbProcedure="0">#ref!</definedName>
    <definedName name="Production_History_NG_Field" hidden="0" function="0" vbProcedure="0">#ref!</definedName>
    <definedName name="PRODUCT_DES" hidden="0" function="0" vbProcedure="0">#ref!</definedName>
    <definedName name="profitcntr1" hidden="0" function="0" vbProcedure="0">#N/A</definedName>
    <definedName name="Prog" hidden="0" function="0" vbProcedure="0">[65]References!$E$1:$E$4</definedName>
    <definedName name="PROJAZI" hidden="0" function="0" vbProcedure="0">#ref!</definedName>
    <definedName name="Project" hidden="0" function="0" vbProcedure="0">#ref!</definedName>
    <definedName name="Project_Start" hidden="0" function="0" vbProcedure="0">#ref!</definedName>
    <definedName name="PROP" hidden="0" function="0" vbProcedure="0">#ref!</definedName>
    <definedName name="ProppantName" hidden="0" function="0" vbProcedure="0">#ref!</definedName>
    <definedName name="Pro_DT" hidden="0" function="0" vbProcedure="0">OFFSET(#ref!,1,0,#ref!)</definedName>
    <definedName name="Pro_MD" hidden="0" function="0" vbProcedure="0">OFFSET(#ref!,1,0,#ref!)</definedName>
    <definedName name="Pro_PUF1" hidden="0" function="0" vbProcedure="0">OFFSET(#ref!,1,0,#ref!)</definedName>
    <definedName name="Pro_PUF2" hidden="0" function="0" vbProcedure="0">OFFSET(#ref!,1,0,#ref!)</definedName>
    <definedName name="Pro_ROT" hidden="0" function="0" vbProcedure="0">OFFSET(#ref!,1,0,#ref!)</definedName>
    <definedName name="Pro_SOF1" hidden="0" function="0" vbProcedure="0">OFFSET(#ref!,1,0,#ref!)</definedName>
    <definedName name="Pro_SOF2" hidden="0" function="0" vbProcedure="0">OFFSET(#ref!,1,0,#ref!)</definedName>
    <definedName name="Pro_Tn" hidden="0" function="0" vbProcedure="0">OFFSET(#ref!,1,0,#ref!)</definedName>
    <definedName name="Pro_Toff" hidden="0" function="0" vbProcedure="0">OFFSET(#ref!,1,0,#ref!)</definedName>
    <definedName name="Pro_WOB" hidden="0" function="0" vbProcedure="0">OFFSET(#ref!,1,0,#ref!)</definedName>
    <definedName name="PS" hidden="0" function="0" vbProcedure="0">[141]summary!#ref!</definedName>
    <definedName name="PSEVEN_TOTAL" hidden="0" function="0" vbProcedure="0">#ref!</definedName>
    <definedName name="PSI" hidden="0" function="0" vbProcedure="0">#ref!</definedName>
    <definedName name="psia_array" hidden="0" function="0" vbProcedure="0">{"HMR","HMR-GT","ZI Probe","Spartek","Omega SP"}</definedName>
    <definedName name="psibarkpa" hidden="0" function="0" vbProcedure="0">'[11]Metric Conversions'!$B$42</definedName>
    <definedName name="psig_array" hidden="0" function="0" vbProcedure="0">{"RPG-3","RPG-4"}</definedName>
    <definedName name="PSIX_TOTAL" hidden="0" function="0" vbProcedure="0">#ref!</definedName>
    <definedName name="PSK" hidden="0" function="0" vbProcedure="0">#ref!</definedName>
    <definedName name="PskDepth" hidden="0" function="0" vbProcedure="0">#ref!</definedName>
    <definedName name="psl" hidden="0" function="0" vbProcedure="0">#ref!</definedName>
    <definedName name="Pstn_Force_Actual" hidden="0" function="0" vbProcedure="0">#ref!</definedName>
    <definedName name="PS_pricelist" hidden="0" function="0" vbProcedure="0">#ref!</definedName>
    <definedName name="Pt" hidden="0" function="0" vbProcedure="0">#ref!</definedName>
    <definedName name="ptdtr" hidden="0" function="0" vbProcedure="0">'[16]Max-Torq'!$P$71</definedName>
    <definedName name="PTHREE_TOTAL" hidden="0" function="0" vbProcedure="0">#ref!</definedName>
    <definedName name="ptsv" hidden="0" function="0" vbProcedure="0">#ref!</definedName>
    <definedName name="PTV" hidden="0" function="0" vbProcedure="0">#ref!</definedName>
    <definedName name="PTVDepth" hidden="0" function="0" vbProcedure="0">#ref!</definedName>
    <definedName name="PTWO_TOTAL" hidden="0" function="0" vbProcedure="0">#ref!</definedName>
    <definedName name="PU" hidden="0" function="0" vbProcedure="0">#ref!</definedName>
    <definedName name="PUCF" hidden="0" function="0" vbProcedure="0">#ref!</definedName>
    <definedName name="PumpInput" hidden="0" function="0" vbProcedure="0">#ref!</definedName>
    <definedName name="PumpOutput" hidden="0" function="0" vbProcedure="0">#ref!</definedName>
    <definedName name="pumpq" hidden="0" function="0" vbProcedure="0">'[7]Drop-Down Items'!$AA$7:$AA$10</definedName>
    <definedName name="Pups" hidden="0" function="0" vbProcedure="0">#ref!</definedName>
    <definedName name="PUP_B" hidden="0" function="0" vbProcedure="0">[90]tbgtally!#ref!</definedName>
    <definedName name="purchasing" hidden="0" function="0" vbProcedure="0">'[79]Summary P+L'!$B$17</definedName>
    <definedName name="purpose" hidden="0" function="0" vbProcedure="0">#ref!</definedName>
    <definedName name="pushpilltype" hidden="0" function="0" vbProcedure="0">#ref!</definedName>
    <definedName name="PU_Dogs" hidden="0" function="0" vbProcedure="0">#ref!</definedName>
    <definedName name="PU_Dogsz" hidden="0" function="0" vbProcedure="0">'[11]Liner Job Info'!$P$47</definedName>
    <definedName name="PU_Packoff" hidden="0" function="0" vbProcedure="0">#ref!</definedName>
    <definedName name="PU_Packoffz" hidden="0" function="0" vbProcedure="0">'[11]Liner Job Info'!$P$48</definedName>
    <definedName name="PV" hidden="0" function="0" vbProcedure="0">#ref!</definedName>
    <definedName name="PVfoto" hidden="0" function="0" vbProcedure="0">#ref!</definedName>
    <definedName name="PVobj" hidden="0" function="0" vbProcedure="0">#ref!</definedName>
    <definedName name="PVproj" hidden="0" function="0" vbProcedure="0">#ref!</definedName>
    <definedName name="PVtieon" hidden="0" function="0" vbProcedure="0">#ref!</definedName>
    <definedName name="PWD_Ranges" hidden="0" function="0" vbProcedure="0">#ref!</definedName>
    <definedName name="PWD_Ratings" hidden="0" function="0" vbProcedure="0">#ref!</definedName>
    <definedName name="Pyp" hidden="0" function="0" vbProcedure="0">#ref!</definedName>
    <definedName name="q" hidden="0" function="0" vbProcedure="0">#ref!</definedName>
    <definedName name="qeeeeeeeeeee" hidden="0" function="0" vbProcedure="0">#ref!</definedName>
    <definedName name="qewadc" hidden="0" function="0" vbProcedure="0">[246]!Calculate_Pipe</definedName>
    <definedName name="QPNum" hidden="0" function="0" vbProcedure="0">#ref!</definedName>
    <definedName name="QQQ" hidden="0" function="0" vbProcedure="0">#ref!</definedName>
    <definedName name="qqqqqqqqqqqq" hidden="0" function="0" vbProcedure="0">#ref!</definedName>
    <definedName name="QTY" hidden="0" function="0" vbProcedure="0">'[44]7-30-04'!$A$1:$XFD$7457</definedName>
    <definedName name="quantum" hidden="0" function="0" vbProcedure="0">#ref!</definedName>
    <definedName name="Quarter" hidden="0" function="0" vbProcedure="0">[80]Criteria!$E$2:$E$7</definedName>
    <definedName name="Query11" hidden="0" function="0" vbProcedure="0">#ref!</definedName>
    <definedName name="QUIT" hidden="0" function="0" vbProcedure="0">#ref!</definedName>
    <definedName name="quoteprob" hidden="0" function="0" vbProcedure="0">#ref!</definedName>
    <definedName name="Quotes_Contacts" hidden="0" function="0" vbProcedure="0">'[248]quote master data sheet'!#ref!</definedName>
    <definedName name="qw" hidden="0" function="0" vbProcedure="0">#ref!</definedName>
    <definedName name="QW182Tally" hidden="0" function="0" vbProcedure="0">#ref!</definedName>
    <definedName name="QW182Tally2" hidden="0" function="0" vbProcedure="0">#ref!</definedName>
    <definedName name="qwe" hidden="0" function="0" vbProcedure="0">#ref!</definedName>
    <definedName name="R.DLR" hidden="0" function="0" vbProcedure="0">#ref!</definedName>
    <definedName name="ra" hidden="0" function="0" vbProcedure="0">#ref!</definedName>
    <definedName name="rad" hidden="0" function="0" vbProcedure="0">#ref!</definedName>
    <definedName name="RAIOalvo" hidden="0" function="0" vbProcedure="0">#ref!</definedName>
    <definedName name="rami" hidden="0" function="0" vbProcedure="0">#ref!</definedName>
    <definedName name="Range" hidden="0" function="0" vbProcedure="0">#ref!</definedName>
    <definedName name="Range1" hidden="0" function="0" vbProcedure="0">OFFSET(#ref!, 1, 0,#ref!,1)</definedName>
    <definedName name="Range2" hidden="0" function="0" vbProcedure="0">#ref!</definedName>
    <definedName name="rate" hidden="0" function="0" vbProcedure="0">[19]Data!$F$7</definedName>
    <definedName name="rate1" hidden="0" function="0" vbProcedure="0">[19]Data!$A$2</definedName>
    <definedName name="rate10" hidden="0" function="0" vbProcedure="0">[19]Data!$A$11</definedName>
    <definedName name="rate2" hidden="0" function="0" vbProcedure="0">[19]Data!$A$3</definedName>
    <definedName name="rate3" hidden="0" function="0" vbProcedure="0">[19]Data!$A$4</definedName>
    <definedName name="rate4" hidden="0" function="0" vbProcedure="0">[19]Data!$A$5</definedName>
    <definedName name="rate5" hidden="0" function="0" vbProcedure="0">[19]Data!$A$6</definedName>
    <definedName name="rate6" hidden="0" function="0" vbProcedure="0">[19]Data!$A$7</definedName>
    <definedName name="rate7" hidden="0" function="0" vbProcedure="0">[19]Data!$A$8</definedName>
    <definedName name="rate8" hidden="0" function="0" vbProcedure="0">[19]Data!$A$9</definedName>
    <definedName name="rate9" hidden="0" function="0" vbProcedure="0">[19]Data!$A$10</definedName>
    <definedName name="ratea" hidden="0" function="0" vbProcedure="0">#ref!</definedName>
    <definedName name="rateb" hidden="0" function="0" vbProcedure="0">#ref!</definedName>
    <definedName name="ratec" hidden="0" function="0" vbProcedure="0">#ref!</definedName>
    <definedName name="rated" hidden="0" function="0" vbProcedure="0">#ref!</definedName>
    <definedName name="ratee" hidden="0" function="0" vbProcedure="0">#ref!</definedName>
    <definedName name="ratef" hidden="0" function="0" vbProcedure="0">#ref!</definedName>
    <definedName name="rateg" hidden="0" function="0" vbProcedure="0">#ref!</definedName>
    <definedName name="rateh" hidden="0" function="0" vbProcedure="0">#ref!</definedName>
    <definedName name="ratei" hidden="0" function="0" vbProcedure="0">#ref!</definedName>
    <definedName name="ratej" hidden="0" function="0" vbProcedure="0">#ref!</definedName>
    <definedName name="Rat_Hole_12.25" hidden="0" function="0" vbProcedure="0">#ref!</definedName>
    <definedName name="Rat_Hole_16" hidden="0" function="0" vbProcedure="0">#ref!</definedName>
    <definedName name="Rat_Hole_8.5" hidden="0" function="0" vbProcedure="0">#ref!</definedName>
    <definedName name="Raw_Infl." hidden="0" function="0" vbProcedure="0">#ref!</definedName>
    <definedName name="raw_tally_lower" hidden="0" function="0" vbProcedure="0">#N/A</definedName>
    <definedName name="raw_tally_upper" hidden="0" function="0" vbProcedure="0">#N/A</definedName>
    <definedName name="RA_Tag_in_Screens" hidden="0" function="0" vbProcedure="0">#ref!</definedName>
    <definedName name="rb" hidden="0" function="0" vbProcedure="0">#ref!</definedName>
    <definedName name="Rch" hidden="0" function="0" vbProcedure="0">#ref!</definedName>
    <definedName name="Rcv" hidden="0" function="0" vbProcedure="0">#ref!</definedName>
    <definedName name="RC_DROPR2" hidden="0" function="0" vbProcedure="0">#ref!</definedName>
    <definedName name="rd" hidden="0" function="0" vbProcedure="0">#ref!</definedName>
    <definedName name="rdn" hidden="0" function="0" vbProcedure="0">#ref!</definedName>
    <definedName name="RE" hidden="0" function="0" vbProcedure="0">'[252]calculo de gas total'!#ref!</definedName>
    <definedName name="reading" hidden="0" function="0" vbProcedure="0">#ref!</definedName>
    <definedName name="Ready" hidden="0" function="0" vbProcedure="0">[253]master!#ref!</definedName>
    <definedName name="Ready1" hidden="0" function="0" vbProcedure="0">#ref!</definedName>
    <definedName name="ReamerNozzles" hidden="0" function="0" vbProcedure="0">#ref!</definedName>
    <definedName name="ReamerNozzleTFA" hidden="0" function="0" vbProcedure="0">#ref!</definedName>
    <definedName name="ReamerNozzleUnit" hidden="0" function="0" vbProcedure="0">#ref!</definedName>
    <definedName name="ReamerTFAUnits" hidden="0" function="0" vbProcedure="0">#ref!</definedName>
    <definedName name="Reasons" hidden="0" function="0" vbProcedure="0">#ref!</definedName>
    <definedName name="Reason_Pulled" hidden="0" function="0" vbProcedure="0">'[7]Drop-Down Items'!$C$34:$C$61</definedName>
    <definedName name="Recalc" hidden="0" function="0" vbProcedure="0">[115]!Recalc</definedName>
    <definedName name="RECEIPTS___PAYS" hidden="0" function="0" vbProcedure="0">#ref!</definedName>
    <definedName name="Recorddb" hidden="0" function="0" vbProcedure="0">#ref!</definedName>
    <definedName name="Recorder_______mPM" hidden="1" function="0" vbProcedure="0">#ref!</definedName>
    <definedName name="Recordslb" hidden="0" function="0" vbProcedure="0">#ref!</definedName>
    <definedName name="REDBASKET" hidden="0" function="0" vbProcedure="0">#ref!</definedName>
    <definedName name="REF" hidden="0" function="0" vbProcedure="0">'[58]7-30-04'!#ref!</definedName>
    <definedName name="REF.2" hidden="0" function="0" vbProcedure="0">'[58]7-30-04'!#ref!</definedName>
    <definedName name="REF.3" hidden="0" function="0" vbProcedure="0">'[58]7-30-04'!#ref!</definedName>
    <definedName name="REF.NO" hidden="0" function="0" vbProcedure="0">'[44]7-30-04'!$GO$7457</definedName>
    <definedName name="refr_test" hidden="0" function="0" vbProcedure="0">#ref!</definedName>
    <definedName name="REF_1" hidden="0" function="0" vbProcedure="0">'[58]7-30-04'!#ref!</definedName>
    <definedName name="Region" hidden="0" function="0" vbProcedure="0">#ref!</definedName>
    <definedName name="Regions" hidden="0" function="0" vbProcedure="0">#ref!</definedName>
    <definedName name="ReleaseDate" hidden="0" function="0" vbProcedure="0">#ref!</definedName>
    <definedName name="ReloadChk" hidden="0" function="0" vbProcedure="0">#ref!</definedName>
    <definedName name="REMARKS" hidden="0" function="0" vbProcedure="0">'[58]7-30-04'!#ref!</definedName>
    <definedName name="Rem_DP1_Tens" hidden="0" function="0" vbProcedure="0">#ref!</definedName>
    <definedName name="Rem_DP2_Tens" hidden="0" function="0" vbProcedure="0">#ref!</definedName>
    <definedName name="Rem_DP3_Tens" hidden="0" function="0" vbProcedure="0">#ref!</definedName>
    <definedName name="Rem_DP4_Tens" hidden="0" function="0" vbProcedure="0">#ref!</definedName>
    <definedName name="Rem_DP5_Tens" hidden="0" function="0" vbProcedure="0">#ref!</definedName>
    <definedName name="Rentalequipment" hidden="0" function="0" vbProcedure="0">#ref!</definedName>
    <definedName name="Rentalm1" hidden="0" function="0" vbProcedure="0">[17]scope!#ref!</definedName>
    <definedName name="rental_array" hidden="0" function="0" vbProcedure="0">#ref!</definedName>
    <definedName name="Rental_Tool_ID" hidden="0" function="0" vbProcedure="0">[11]DATA!$S$2:$S$79</definedName>
    <definedName name="repname" hidden="0" function="0" vbProcedure="0">[5]WTR!$D$5</definedName>
    <definedName name="REPORT" hidden="0" function="0" vbProcedure="0">#ref!</definedName>
    <definedName name="REPORT3" hidden="0" function="0" vbProcedure="0">'[1]run sheet'!#ref!</definedName>
    <definedName name="ReportApprovedBy" hidden="0" function="0" vbProcedure="0">#ref!</definedName>
    <definedName name="ReportDate" hidden="0" function="0" vbProcedure="0">#ref!</definedName>
    <definedName name="ReportDesignedBy" hidden="0" function="0" vbProcedure="0">#ref!</definedName>
    <definedName name="ReportTitle" hidden="0" function="0" vbProcedure="0">#ref!</definedName>
    <definedName name="Report_Title" hidden="0" function="0" vbProcedure="0">#ref!</definedName>
    <definedName name="rere" hidden="0" function="0" vbProcedure="0">#ref!</definedName>
    <definedName name="RESE" hidden="0" function="0" vbProcedure="0">#ref!</definedName>
    <definedName name="RESERVOIR" hidden="0" function="0" vbProcedure="0">#ref!</definedName>
    <definedName name="reservoir15" hidden="0" function="0" vbProcedure="0">#ref!</definedName>
    <definedName name="reservoir16" hidden="0" function="0" vbProcedure="0">#ref!</definedName>
    <definedName name="reservoir17" hidden="0" function="0" vbProcedure="0">#ref!</definedName>
    <definedName name="reservoir18" hidden="0" function="0" vbProcedure="0">#ref!</definedName>
    <definedName name="reservoir19" hidden="0" function="0" vbProcedure="0">#ref!</definedName>
    <definedName name="reservoir20" hidden="0" function="0" vbProcedure="0">#ref!</definedName>
    <definedName name="reservoir21" hidden="0" function="0" vbProcedure="0">#ref!</definedName>
    <definedName name="reservoir22" hidden="0" function="0" vbProcedure="0">#ref!</definedName>
    <definedName name="reservoir23" hidden="0" function="0" vbProcedure="0">#ref!</definedName>
    <definedName name="reservoir24" hidden="0" function="0" vbProcedure="0">#ref!</definedName>
    <definedName name="reservoir25" hidden="0" function="0" vbProcedure="0">#ref!</definedName>
    <definedName name="reservoir26" hidden="0" function="0" vbProcedure="0">#ref!</definedName>
    <definedName name="reservoir27" hidden="0" function="0" vbProcedure="0">#ref!</definedName>
    <definedName name="reservoir28" hidden="0" function="0" vbProcedure="0">#ref!</definedName>
    <definedName name="reservoir29" hidden="0" function="0" vbProcedure="0">#ref!</definedName>
    <definedName name="Reservoir_Pressure" hidden="0" function="0" vbProcedure="0">'[2]Data Go-To-Sheet'!$F$5:$F$12</definedName>
    <definedName name="RESET" hidden="0" function="0" vbProcedure="0">#ref!</definedName>
    <definedName name="RESPONSIBILITYAPPLICATIONID1" hidden="0" function="0" vbProcedure="0">[53]CRITERIA1!$B$7</definedName>
    <definedName name="RESPONSIBILITYID1" hidden="0" function="0" vbProcedure="0">[53]CRITERIA1!$B$8</definedName>
    <definedName name="resrevoir09" hidden="0" function="0" vbProcedure="0">#ref!</definedName>
    <definedName name="resrevoir10" hidden="0" function="0" vbProcedure="0">#ref!</definedName>
    <definedName name="resrevoir12" hidden="0" function="0" vbProcedure="0">#ref!</definedName>
    <definedName name="resrevoir13" hidden="0" function="0" vbProcedure="0">#ref!</definedName>
    <definedName name="resrevoir14" hidden="0" function="0" vbProcedure="0">#ref!</definedName>
    <definedName name="ret" hidden="0" function="0" vbProcedure="0">#ref!</definedName>
    <definedName name="Retour" hidden="0" function="0" vbProcedure="0">#ref!</definedName>
    <definedName name="Return_to_seabed" hidden="0" function="0" vbProcedure="0">#ref!</definedName>
    <definedName name="RevDate" hidden="0" function="0" vbProcedure="0">#ref!</definedName>
    <definedName name="ReviseDesign" hidden="0" function="0" vbProcedure="0">#ref!</definedName>
    <definedName name="RevNb" hidden="0" function="0" vbProcedure="0">#ref!</definedName>
    <definedName name="RevNum" hidden="0" function="0" vbProcedure="0">[49]Revision_History!$G$7&amp;" "&amp;[49]Revision_History!$H$7</definedName>
    <definedName name="Rev_XX" hidden="0" function="0" vbProcedure="0">#ref!</definedName>
    <definedName name="RGER" hidden="0" function="0" vbProcedure="0">'[254]sap serv 06-02'!#ref!</definedName>
    <definedName name="rho_ahead_cement" hidden="0" function="0" vbProcedure="0">#ref!</definedName>
    <definedName name="rho_chase" hidden="0" function="0" vbProcedure="0">#ref!</definedName>
    <definedName name="rho_lead" hidden="0" function="0" vbProcedure="0">#ref!</definedName>
    <definedName name="rho_tail" hidden="0" function="0" vbProcedure="0">#ref!</definedName>
    <definedName name="rhstretchz" hidden="0" function="0" vbProcedure="0">'[11]Metric Conversions'!$C$38</definedName>
    <definedName name="RH_SHEAR" hidden="0" function="0" vbProcedure="0">#ref!</definedName>
    <definedName name="RH_SHEAR_LNGTH" hidden="0" function="0" vbProcedure="0">#ref!</definedName>
    <definedName name="RH_SHEAR_LNGTHz" hidden="0" function="0" vbProcedure="0">'[11]Metric Conversions'!$C$37</definedName>
    <definedName name="Rig" hidden="0" function="0" vbProcedure="0">#ref!</definedName>
    <definedName name="rigcontractor1" hidden="0" function="0" vbProcedure="0">#N/A</definedName>
    <definedName name="RigFd" hidden="0" function="0" vbProcedure="0">#ref!</definedName>
    <definedName name="RigName" hidden="0" function="0" vbProcedure="0">#ref!</definedName>
    <definedName name="Rigname1" hidden="0" function="0" vbProcedure="0">#N/A</definedName>
    <definedName name="RigPh" hidden="0" function="0" vbProcedure="0">#ref!</definedName>
    <definedName name="Rigs" hidden="0" function="0" vbProcedure="0">[81]Sheet1!$G$2:$I$21</definedName>
    <definedName name="Rig_Name" hidden="0" function="0" vbProcedure="0">#ref!</definedName>
    <definedName name="Rig_Output" hidden="0" function="0" vbProcedure="0">#ref!</definedName>
    <definedName name="RiseID" hidden="0" function="0" vbProcedure="0">#ref!</definedName>
    <definedName name="Riser_Volume" hidden="0" function="0" vbProcedure="0">#ref!</definedName>
    <definedName name="RiskAfterRecalcMacro" hidden="1" function="0" vbProcedure="0">""</definedName>
    <definedName name="RiskAfterSimMacro" hidden="1" function="0" vbProcedure="0">""</definedName>
    <definedName name="RiskBeforeRecalcMacro" hidden="1" function="0" vbProcedure="0">""</definedName>
    <definedName name="RiskBeforeSimMacro" hidden="1" function="0" vbProcedure="0">""</definedName>
    <definedName name="RiskCollectDistributionSamples" hidden="1" function="0" vbProcedure="0">2</definedName>
    <definedName name="RiskFixedSeed" hidden="1" function="0" vbProcedure="0">1</definedName>
    <definedName name="RiskHasSettings" hidden="1" function="0" vbProcedure="0">5</definedName>
    <definedName name="RiskMatrix" hidden="0" function="0" vbProcedure="0">#ref!</definedName>
    <definedName name="RiskMinimizeOnStart" hidden="1" function="0" vbProcedure="0">FALSE()</definedName>
    <definedName name="RiskMonitorConvergence" hidden="1" function="0" vbProcedure="0">FALSE()</definedName>
    <definedName name="RiskMultipleCPUSupportEnabled" hidden="1" function="0" vbProcedure="0">TRUE()</definedName>
    <definedName name="RiskNumIterations" hidden="1" function="0" vbProcedure="0">500</definedName>
    <definedName name="RiskNumSimulations" hidden="1" function="0" vbProcedure="0">1</definedName>
    <definedName name="RiskPauseOnError" hidden="1" function="0" vbProcedure="0">FALSE()</definedName>
    <definedName name="RiskRunAfterRecalcMacro" hidden="1" function="0" vbProcedure="0">FALSE()</definedName>
    <definedName name="RiskRunAfterSimMacro" hidden="1" function="0" vbProcedure="0">FALSE()</definedName>
    <definedName name="RiskRunBeforeRecalcMacro" hidden="1" function="0" vbProcedure="0">FALSE()</definedName>
    <definedName name="RiskRunBeforeSimMacro" hidden="1" function="0" vbProcedure="0">FALSE()</definedName>
    <definedName name="RiskSamplingType" hidden="1" function="0" vbProcedure="0">3</definedName>
    <definedName name="RiskStandardRecalc" hidden="1" function="0" vbProcedure="0">1</definedName>
    <definedName name="RiskUpdateDisplay" hidden="1" function="0" vbProcedure="0">FALSE()</definedName>
    <definedName name="RiskUseDifferentSeedForEachSim" hidden="1" function="0" vbProcedure="0">FALSE()</definedName>
    <definedName name="RiskUseFixedSeed" hidden="1" function="0" vbProcedure="0">FALSE()</definedName>
    <definedName name="RiskUseMultipleCPUs" hidden="1" function="0" vbProcedure="0">TRUE()</definedName>
    <definedName name="RI_LC_Z2_ANSWERS_SCPacker1" hidden="0" function="0" vbProcedure="0">#ref!</definedName>
    <definedName name="RI_LC_Z3_ANSWERS_SCPacker1" hidden="0" function="0" vbProcedure="0">#ref!</definedName>
    <definedName name="RI_LC_Z4_ANSWERS_SCPacker1" hidden="0" function="0" vbProcedure="0">#ref!</definedName>
    <definedName name="RI_LC_Z5_ANSWERS_SCPacker1" hidden="0" function="0" vbProcedure="0">#ref!</definedName>
    <definedName name="RKB" hidden="0" function="0" vbProcedure="0">#ref!</definedName>
    <definedName name="RKB_TOP_LINER_7" hidden="0" function="0" vbProcedure="0">#ref!</definedName>
    <definedName name="ROC" hidden="0" function="0" vbProcedure="0">#ref!</definedName>
    <definedName name="Rollover" hidden="0" function="0" vbProcedure="0">[60]auf_screen!#ref!</definedName>
    <definedName name="ROMR" hidden="0" function="0" vbProcedure="0">[65]References!$A$1:$A$3</definedName>
    <definedName name="rop" hidden="0" function="0" vbProcedure="0">'[7]Drop-Down Items'!$V$7:$V$10</definedName>
    <definedName name="Rop_Orient_Mode_1" hidden="0" function="0" vbProcedure="0">#ref!</definedName>
    <definedName name="Rop_Orient_Mode_1_Name" hidden="0" function="0" vbProcedure="0">#ref!</definedName>
    <definedName name="Rop_Orient_Mode_2" hidden="0" function="0" vbProcedure="0">#ref!</definedName>
    <definedName name="Rop_Orient_Mode_2_Name" hidden="0" function="0" vbProcedure="0">#ref!</definedName>
    <definedName name="ROP_Survey" hidden="0" function="0" vbProcedure="0">#ref!</definedName>
    <definedName name="Rotary" hidden="0" function="0" vbProcedure="0">#ref!</definedName>
    <definedName name="Rotary_Table_To_Landing_Point_13.375" hidden="0" function="0" vbProcedure="0">#ref!</definedName>
    <definedName name="Rotary_Table_To_Landing_Point_9.625" hidden="0" function="0" vbProcedure="0">#ref!</definedName>
    <definedName name="Rotary_Table_to_Liner_Top" hidden="0" function="0" vbProcedure="0">#ref!</definedName>
    <definedName name="RotateOffBottomUnit" hidden="0" function="0" vbProcedure="0">#ref!</definedName>
    <definedName name="Rotation" hidden="0" function="0" vbProcedure="0">#ref!</definedName>
    <definedName name="RotorByPassNozzleTFA" hidden="0" function="0" vbProcedure="0">#ref!</definedName>
    <definedName name="RotorByPassNozzleTFAUnits" hidden="0" function="0" vbProcedure="0">#ref!</definedName>
    <definedName name="RowCount" hidden="0" function="0" vbProcedure="0">#ref!</definedName>
    <definedName name="RowPage" hidden="0" function="0" vbProcedure="0">#ref!</definedName>
    <definedName name="rowq" hidden="0" function="0" vbProcedure="0">#ref!</definedName>
    <definedName name="ROWSTOUPLOAD1" hidden="0" function="0" vbProcedure="0">[53]CRITERIA1!$B$20</definedName>
    <definedName name="RPM" hidden="0" function="0" vbProcedure="0">#ref!</definedName>
    <definedName name="Rpt_Activity_Data" hidden="0" function="0" vbProcedure="0">#ref!</definedName>
    <definedName name="Rpt_Annu_AnnulusData" hidden="0" function="0" vbProcedure="0">#ref!</definedName>
    <definedName name="Rpt_Annu_AnnulusOD_Unit" hidden="0" function="0" vbProcedure="0">#ref!</definedName>
    <definedName name="Rpt_Annu_BHA_Data" hidden="0" function="0" vbProcedure="0">#ref!</definedName>
    <definedName name="Rpt_Annu_CTR_Unit" hidden="0" function="0" vbProcedure="0">#ref!</definedName>
    <definedName name="Rpt_Annu_Date" hidden="0" function="0" vbProcedure="0">#ref!</definedName>
    <definedName name="Rpt_Annu_Flowrate" hidden="0" function="0" vbProcedure="0">#ref!</definedName>
    <definedName name="Rpt_Annu_Flowrate_Unit" hidden="0" function="0" vbProcedure="0">#ref!</definedName>
    <definedName name="Rpt_Annu_Flow_Unit" hidden="0" function="0" vbProcedure="0">#ref!</definedName>
    <definedName name="Rpt_Annu_HCI_Unit" hidden="0" function="0" vbProcedure="0">#ref!</definedName>
    <definedName name="Rpt_Annu_Incl_Unit" hidden="0" function="0" vbProcedure="0">#ref!</definedName>
    <definedName name="Rpt_Annu_Length_Unit" hidden="0" function="0" vbProcedure="0">#ref!</definedName>
    <definedName name="Rpt_Annu_MD_Unit" hidden="0" function="0" vbProcedure="0">#ref!</definedName>
    <definedName name="Rpt_Annu_StringOD_Unit" hidden="0" function="0" vbProcedure="0">#ref!</definedName>
    <definedName name="Rpt_Annu_Survey_Data" hidden="0" function="0" vbProcedure="0">#ref!</definedName>
    <definedName name="Rpt_Annu_TVD_Unit" hidden="0" function="0" vbProcedure="0">#ref!</definedName>
    <definedName name="Rpt_Annu_Velocity_Unit" hidden="0" function="0" vbProcedure="0">#ref!</definedName>
    <definedName name="Rpt_Annu_Wellbore_Data" hidden="0" function="0" vbProcedure="0">#ref!</definedName>
    <definedName name="Rpt_Ann_Back_Pres" hidden="0" function="0" vbProcedure="0">#ref!</definedName>
    <definedName name="Rpt_Ann_Back_Pres_Unit" hidden="0" function="0" vbProcedure="0">#ref!</definedName>
    <definedName name="Rpt_API_Number" hidden="0" function="0" vbProcedure="0">#ref!</definedName>
    <definedName name="Rpt_Average_Header1" hidden="0" function="0" vbProcedure="0">'[257]slide sheet'!#ref!</definedName>
    <definedName name="Rpt_Average_Header2" hidden="0" function="0" vbProcedure="0">'[257]slide sheet'!#ref!</definedName>
    <definedName name="Rpt_AzimIn" hidden="0" function="0" vbProcedure="0">#ref!</definedName>
    <definedName name="Rpt_AzimIn_Header" hidden="0" function="0" vbProcedure="0">#ref!</definedName>
    <definedName name="Rpt_AzimOut" hidden="0" function="0" vbProcedure="0">#ref!</definedName>
    <definedName name="Rpt_AzimOut_Header" hidden="0" function="0" vbProcedure="0">#ref!</definedName>
    <definedName name="Rpt_BHARun" hidden="0" function="0" vbProcedure="0">#ref!</definedName>
    <definedName name="Rpt_BHA_CumLen_Unit" hidden="0" function="0" vbProcedure="0">#ref!</definedName>
    <definedName name="Rpt_BHA_Data" hidden="0" function="0" vbProcedure="0">#ref!</definedName>
    <definedName name="Rpt_BHA_Desc_Data" hidden="0" function="0" vbProcedure="0">#ref!</definedName>
    <definedName name="Rpt_BHA_ID_Unit" hidden="0" function="0" vbProcedure="0">#ref!</definedName>
    <definedName name="Rpt_BHA_Length_Unit" hidden="0" function="0" vbProcedure="0">#ref!</definedName>
    <definedName name="Rpt_BHA_OD_Unit" hidden="0" function="0" vbProcedure="0">#ref!</definedName>
    <definedName name="Rpt_BHA_Picture_Start" hidden="0" function="0" vbProcedure="0">#ref!</definedName>
    <definedName name="Rpt_BHA_PressDrop_Unit" hidden="0" function="0" vbProcedure="0">#ref!</definedName>
    <definedName name="Rpt_BitBearingsIN" hidden="0" function="0" vbProcedure="0">#ref!</definedName>
    <definedName name="Rpt_BitBearingsOut" hidden="0" function="0" vbProcedure="0">#ref!</definedName>
    <definedName name="Rpt_BitDullCharIN" hidden="0" function="0" vbProcedure="0">#ref!</definedName>
    <definedName name="Rpt_BitDullCharOut" hidden="0" function="0" vbProcedure="0">#ref!</definedName>
    <definedName name="Rpt_BitGaugeIN" hidden="0" function="0" vbProcedure="0">#ref!</definedName>
    <definedName name="Rpt_BitGaugeOut" hidden="0" function="0" vbProcedure="0">#ref!</definedName>
    <definedName name="Rpt_BitIADC" hidden="0" function="0" vbProcedure="0">#ref!</definedName>
    <definedName name="Rpt_BitInRowIN" hidden="0" function="0" vbProcedure="0">#ref!</definedName>
    <definedName name="Rpt_BitLocationIN" hidden="0" function="0" vbProcedure="0">#ref!</definedName>
    <definedName name="Rpt_BitLocationOut" hidden="0" function="0" vbProcedure="0">#ref!</definedName>
    <definedName name="Rpt_BitOtherIN" hidden="0" function="0" vbProcedure="0">#ref!</definedName>
    <definedName name="Rpt_BitOtherOut" hidden="0" function="0" vbProcedure="0">#ref!</definedName>
    <definedName name="Rpt_BitOutRowIN" hidden="0" function="0" vbProcedure="0">#ref!</definedName>
    <definedName name="Rpt_BitOutRowOut" hidden="0" function="0" vbProcedure="0">#ref!</definedName>
    <definedName name="Rpt_BitReasonIN" hidden="0" function="0" vbProcedure="0">#ref!</definedName>
    <definedName name="Rpt_BitReasonOUT" hidden="0" function="0" vbProcedure="0">#ref!</definedName>
    <definedName name="Rpt_BitRun" hidden="0" function="0" vbProcedure="0">#ref!</definedName>
    <definedName name="Rpt_BitSN" hidden="0" function="0" vbProcedure="0">#ref!</definedName>
    <definedName name="Rpt_BitTFA" hidden="0" function="0" vbProcedure="0">#ref!</definedName>
    <definedName name="Rpt_BitTFA_Header" hidden="0" function="0" vbProcedure="0">#ref!</definedName>
    <definedName name="Rpt_BitTYPE" hidden="0" function="0" vbProcedure="0">#ref!</definedName>
    <definedName name="Rpt_Bit_Dia" hidden="0" function="0" vbProcedure="0">#ref!</definedName>
    <definedName name="Rpt_Bit_Dia_Unit" hidden="0" function="0" vbProcedure="0">#ref!</definedName>
    <definedName name="Rpt_Bit_FlowRate" hidden="0" function="0" vbProcedure="0">#ref!</definedName>
    <definedName name="Rpt_Bit_FlowRate_Unit" hidden="0" function="0" vbProcedure="0">#ref!</definedName>
    <definedName name="Rpt_Bit_HSI" hidden="0" function="0" vbProcedure="0">#ref!</definedName>
    <definedName name="Rpt_Bit_HSI_Unit" hidden="0" function="0" vbProcedure="0">#ref!</definedName>
    <definedName name="Rpt_Bit_Hyd_Pow" hidden="0" function="0" vbProcedure="0">#ref!</definedName>
    <definedName name="Rpt_Bit_Hyd_Pow_Unit" hidden="0" function="0" vbProcedure="0">#ref!</definedName>
    <definedName name="Rpt_Bit_JetVelocity" hidden="0" function="0" vbProcedure="0">#ref!</definedName>
    <definedName name="Rpt_Bit_JetVelocity_Unit" hidden="0" function="0" vbProcedure="0">#ref!</definedName>
    <definedName name="Rpt_Bit_Jet_Imp_Force" hidden="0" function="0" vbProcedure="0">#ref!</definedName>
    <definedName name="Rpt_Bit_Jet_Imp_Force_Unit" hidden="0" function="0" vbProcedure="0">#ref!</definedName>
    <definedName name="Rpt_Bit_Name" hidden="0" function="0" vbProcedure="0">#ref!</definedName>
    <definedName name="Rpt_Bit_Name_Duplicated" hidden="0" function="0" vbProcedure="0">#ref!</definedName>
    <definedName name="Rpt_Bit_PressureDrop" hidden="0" function="0" vbProcedure="0">#ref!</definedName>
    <definedName name="Rpt_Bit_Pressure_Drop_Unit" hidden="0" function="0" vbProcedure="0">#ref!</definedName>
    <definedName name="Rpt_Bit_TFA" hidden="0" function="0" vbProcedure="0">#ref!</definedName>
    <definedName name="Rpt_Bit_TFA_Unit" hidden="0" function="0" vbProcedure="0">#ref!</definedName>
    <definedName name="Rpt_Bit_Type" hidden="0" function="0" vbProcedure="0">#ref!</definedName>
    <definedName name="Rpt_Borehole" hidden="0" function="0" vbProcedure="0">#ref!</definedName>
    <definedName name="Rpt_BoreholeName" hidden="0" function="0" vbProcedure="0">#ref!</definedName>
    <definedName name="Rpt_Borehole_CumLen_Unit" hidden="0" function="0" vbProcedure="0">#ref!</definedName>
    <definedName name="Rpt_BoreHole_Desc_Data" hidden="0" function="0" vbProcedure="0">#ref!</definedName>
    <definedName name="Rpt_Borehole_ID_Unit" hidden="0" function="0" vbProcedure="0">#ref!</definedName>
    <definedName name="Rpt_Borehole_Length_Unit" hidden="0" function="0" vbProcedure="0">#ref!</definedName>
    <definedName name="Rpt_BRTHours" hidden="0" function="0" vbProcedure="0">#ref!</definedName>
    <definedName name="Rpt_CasingShoe" hidden="0" function="0" vbProcedure="0">#ref!</definedName>
    <definedName name="Rpt_CasingShoe_Header" hidden="0" function="0" vbProcedure="0">#ref!</definedName>
    <definedName name="Rpt_CasingSize" hidden="0" function="0" vbProcedure="0">#ref!</definedName>
    <definedName name="Rpt_CasingSize_Header" hidden="0" function="0" vbProcedure="0">#ref!</definedName>
    <definedName name="Rpt_CasingWT" hidden="0" function="0" vbProcedure="0">#ref!</definedName>
    <definedName name="Rpt_CasingWT_Header" hidden="0" function="0" vbProcedure="0">#ref!</definedName>
    <definedName name="Rpt_Client" hidden="0" function="0" vbProcedure="0">#ref!</definedName>
    <definedName name="Rpt_ClientName" hidden="0" function="0" vbProcedure="0">#ref!</definedName>
    <definedName name="Rpt_ClientRep1" hidden="0" function="0" vbProcedure="0">#ref!</definedName>
    <definedName name="Rpt_ClientRep2" hidden="0" function="0" vbProcedure="0">#ref!</definedName>
    <definedName name="Rpt_Comments" hidden="0" function="0" vbProcedure="0">'[257]slide sheet'!#ref!</definedName>
    <definedName name="Rpt_Company_Name" hidden="0" function="0" vbProcedure="0">#ref!</definedName>
    <definedName name="Rpt_CoordinateReference" hidden="0" function="0" vbProcedure="0">#ref!</definedName>
    <definedName name="Rpt_CoordinateSystem" hidden="0" function="0" vbProcedure="0">#ref!</definedName>
    <definedName name="Rpt_Cuttings_Bit_ECD_Increase" hidden="0" function="0" vbProcedure="0">#ref!</definedName>
    <definedName name="Rpt_Cuttings_Bit_ECD_Increase_Unit" hidden="0" function="0" vbProcedure="0">#ref!</definedName>
    <definedName name="Rpt_Cuttings_Concentration" hidden="0" function="0" vbProcedure="0">#ref!</definedName>
    <definedName name="Rpt_Cuttings_Density" hidden="0" function="0" vbProcedure="0">#ref!</definedName>
    <definedName name="Rpt_Cuttings_Dia" hidden="0" function="0" vbProcedure="0">#ref!</definedName>
    <definedName name="Rpt_Cuttings_Dia_Unit" hidden="0" function="0" vbProcedure="0">#ref!</definedName>
    <definedName name="Rpt_Cuttings_ROP" hidden="0" function="0" vbProcedure="0">#ref!</definedName>
    <definedName name="Rpt_Cuttings_ROP_Unit" hidden="0" function="0" vbProcedure="0">#ref!</definedName>
    <definedName name="Rpt_Cuttings_Weight" hidden="0" function="0" vbProcedure="0">#ref!</definedName>
    <definedName name="Rpt_Cuttings_Weight_Unit" hidden="0" function="0" vbProcedure="0">#ref!</definedName>
    <definedName name="Rpt_Date" hidden="0" function="0" vbProcedure="0">#ref!</definedName>
    <definedName name="Rpt_DateTD" hidden="0" function="0" vbProcedure="0">#ref!</definedName>
    <definedName name="Rpt_DepthIn" hidden="0" function="0" vbProcedure="0">#ref!</definedName>
    <definedName name="Rpt_DepthIn_Header" hidden="0" function="0" vbProcedure="0">#ref!</definedName>
    <definedName name="Rpt_DepthOut" hidden="0" function="0" vbProcedure="0">#ref!</definedName>
    <definedName name="Rpt_DepthOut_Header" hidden="0" function="0" vbProcedure="0">#ref!</definedName>
    <definedName name="Rpt_Detail_Annulus_Desc_Data" hidden="0" function="0" vbProcedure="0">#ref!</definedName>
    <definedName name="Rpt_Detail_Annulus_Strokes" hidden="0" function="0" vbProcedure="0">#ref!</definedName>
    <definedName name="Rpt_Detail_Annulus_Time" hidden="0" function="0" vbProcedure="0">#ref!</definedName>
    <definedName name="Rpt_Detail_Annulus_Volume" hidden="0" function="0" vbProcedure="0">#ref!</definedName>
    <definedName name="Rpt_Detail_Ann_Annulus_OD_Unit" hidden="0" function="0" vbProcedure="0">#ref!</definedName>
    <definedName name="Rpt_Detail_Ann_CumLen_Unit" hidden="0" function="0" vbProcedure="0">#ref!</definedName>
    <definedName name="Rpt_Detail_Ann_Length_Unit" hidden="0" function="0" vbProcedure="0">#ref!</definedName>
    <definedName name="Rpt_Detail_Ann_PressDrop_Unit" hidden="0" function="0" vbProcedure="0">#ref!</definedName>
    <definedName name="Rpt_Detail_Ann_String_OD_Unit" hidden="0" function="0" vbProcedure="0">#ref!</definedName>
    <definedName name="Rpt_Detail_Ann_Velocity_Unit" hidden="0" function="0" vbProcedure="0">#ref!</definedName>
    <definedName name="Rpt_Detail_BHA_CumLen_Unit" hidden="0" function="0" vbProcedure="0">#ref!</definedName>
    <definedName name="Rpt_Detail_BHA_Data" hidden="0" function="0" vbProcedure="0">#ref!</definedName>
    <definedName name="Rpt_Detail_BHA_Desc_Data" hidden="0" function="0" vbProcedure="0">#ref!</definedName>
    <definedName name="Rpt_Detail_BHA_ID_Unit" hidden="0" function="0" vbProcedure="0">#ref!</definedName>
    <definedName name="Rpt_Detail_BHA_Length_Unit" hidden="0" function="0" vbProcedure="0">#ref!</definedName>
    <definedName name="Rpt_Detail_BHA_PD_Unit" hidden="0" function="0" vbProcedure="0">#ref!</definedName>
    <definedName name="Rpt_Detail_BHA_Velocity_Unit" hidden="0" function="0" vbProcedure="0">#ref!</definedName>
    <definedName name="Rpt_Detail_BitNozzle_PDrop" hidden="0" function="0" vbProcedure="0">#ref!</definedName>
    <definedName name="Rpt_Detail_BitNozzle_PDrop_Unit" hidden="0" function="0" vbProcedure="0">#ref!</definedName>
    <definedName name="Rpt_Detail_BitShoe_Strokes" hidden="0" function="0" vbProcedure="0">#ref!</definedName>
    <definedName name="Rpt_Detail_BitShoe_Time" hidden="0" function="0" vbProcedure="0">#ref!</definedName>
    <definedName name="Rpt_Detail_BitShoe_Volume" hidden="0" function="0" vbProcedure="0">#ref!</definedName>
    <definedName name="Rpt_Detail_Borehole_Desc_Data" hidden="0" function="0" vbProcedure="0">#ref!</definedName>
    <definedName name="Rpt_Detail_Borehole_ID_Unit" hidden="0" function="0" vbProcedure="0">#ref!</definedName>
    <definedName name="Rpt_Detail_Borehole_Length_Unit" hidden="0" function="0" vbProcedure="0">#ref!</definedName>
    <definedName name="Rpt_Detail_Borehole_MD_Unit" hidden="0" function="0" vbProcedure="0">#ref!</definedName>
    <definedName name="Rpt_Detail_Borehole_PD_Unit" hidden="0" function="0" vbProcedure="0">#ref!</definedName>
    <definedName name="Rpt_Detail_Circulation_Strokes" hidden="0" function="0" vbProcedure="0">#ref!</definedName>
    <definedName name="Rpt_Detail_Circulation_Time" hidden="0" function="0" vbProcedure="0">#ref!</definedName>
    <definedName name="Rpt_Detail_Circulation_Volume" hidden="0" function="0" vbProcedure="0">#ref!</definedName>
    <definedName name="Rpt_Detail_Cuttings_Concentration" hidden="0" function="0" vbProcedure="0">#ref!</definedName>
    <definedName name="Rpt_Detail_Cuttings_Density" hidden="0" function="0" vbProcedure="0">#ref!</definedName>
    <definedName name="Rpt_Detail_Cuttings_Weight" hidden="0" function="0" vbProcedure="0">#ref!</definedName>
    <definedName name="Rpt_Detail_Cuttings_Weight_Unit" hidden="0" function="0" vbProcedure="0">#ref!</definedName>
    <definedName name="Rpt_Detail_Date" hidden="0" function="0" vbProcedure="0">#ref!</definedName>
    <definedName name="Rpt_Detail_DrillString_Strokes" hidden="0" function="0" vbProcedure="0">#ref!</definedName>
    <definedName name="Rpt_Detail_DrillString_Time" hidden="0" function="0" vbProcedure="0">#ref!</definedName>
    <definedName name="Rpt_Detail_DrillString_Volume" hidden="0" function="0" vbProcedure="0">#ref!</definedName>
    <definedName name="Rpt_Detail_Flowrate" hidden="0" function="0" vbProcedure="0">#ref!</definedName>
    <definedName name="Rpt_Detail_Flowrate_Unit" hidden="0" function="0" vbProcedure="0">#ref!</definedName>
    <definedName name="Rpt_Detail_FlowRestrictor_PDrop" hidden="0" function="0" vbProcedure="0">#ref!</definedName>
    <definedName name="Rpt_Detail_FlowRestrictor_PDrop_Unit" hidden="0" function="0" vbProcedure="0">#ref!</definedName>
    <definedName name="Rpt_Detail_Motor_PDrop" hidden="0" function="0" vbProcedure="0">#ref!</definedName>
    <definedName name="Rpt_Detail_Motor_PDrop_Unit" hidden="0" function="0" vbProcedure="0">#ref!</definedName>
    <definedName name="Rpt_Detail_PPower" hidden="0" function="0" vbProcedure="0">#ref!</definedName>
    <definedName name="Rpt_Detail_PPower_Unit" hidden="0" function="0" vbProcedure="0">#ref!</definedName>
    <definedName name="Rpt_Detail_Press_Drop_Header" hidden="0" function="0" vbProcedure="0">#ref!</definedName>
    <definedName name="Rpt_Detail_PSVolume" hidden="0" function="0" vbProcedure="0">#ref!</definedName>
    <definedName name="Rpt_Detail_PSVolume_Unit" hidden="0" function="0" vbProcedure="0">#ref!</definedName>
    <definedName name="Rpt_Detail_ShoeSurface_Strokes" hidden="0" function="0" vbProcedure="0">#ref!</definedName>
    <definedName name="Rpt_Detail_ShoeSurface_Time" hidden="0" function="0" vbProcedure="0">#ref!</definedName>
    <definedName name="Rpt_Detail_ShoeSurface_Volume" hidden="0" function="0" vbProcedure="0">#ref!</definedName>
    <definedName name="Rpt_Detail_SubTotal_PDrop" hidden="0" function="0" vbProcedure="0">#ref!</definedName>
    <definedName name="Rpt_Detail_SubTotal_PDrop_Unit" hidden="0" function="0" vbProcedure="0">#ref!</definedName>
    <definedName name="Rpt_Detail_Survey_Data" hidden="0" function="0" vbProcedure="0">#ref!</definedName>
    <definedName name="Rpt_Detail_Time_Unit" hidden="0" function="0" vbProcedure="0">#ref!</definedName>
    <definedName name="Rpt_Detail_TJ_Ann_PD" hidden="0" function="0" vbProcedure="0">#ref!</definedName>
    <definedName name="Rpt_Detail_TJ_Percentage" hidden="0" function="0" vbProcedure="0">#ref!</definedName>
    <definedName name="Rpt_Detail_ToolJoint_PDrop" hidden="0" function="0" vbProcedure="0">#ref!</definedName>
    <definedName name="Rpt_Detail_ToolJoint_PDrop_Unit" hidden="0" function="0" vbProcedure="0">#ref!</definedName>
    <definedName name="Rpt_Detail_Tools_PDrop" hidden="0" function="0" vbProcedure="0">#ref!</definedName>
    <definedName name="Rpt_Detail_Tools_PDrop_Unit" hidden="0" function="0" vbProcedure="0">#ref!</definedName>
    <definedName name="Rpt_Detail_Total_Ann_PD" hidden="0" function="0" vbProcedure="0">#ref!</definedName>
    <definedName name="Rpt_Detail_Total_PDrop" hidden="0" function="0" vbProcedure="0">#ref!</definedName>
    <definedName name="Rpt_Detail_Total_PDrop_Unit" hidden="0" function="0" vbProcedure="0">#ref!</definedName>
    <definedName name="Rpt_Detail_Tubular_PDrop" hidden="0" function="0" vbProcedure="0">#ref!</definedName>
    <definedName name="Rpt_Detail_Tubular_PDrop_Unit" hidden="0" function="0" vbProcedure="0">#ref!</definedName>
    <definedName name="Rpt_Detail_Volume_Unit" hidden="0" function="0" vbProcedure="0">#ref!</definedName>
    <definedName name="Rpt_Detail_Wellbore_Data" hidden="0" function="0" vbProcedure="0">#ref!</definedName>
    <definedName name="Rpt_DipAngle" hidden="0" function="0" vbProcedure="0">#ref!</definedName>
    <definedName name="Rpt_District" hidden="0" function="0" vbProcedure="0">#ref!</definedName>
    <definedName name="Rpt_DrillingHours" hidden="0" function="0" vbProcedure="0">#ref!</definedName>
    <definedName name="Rpt_Drillsheet_Data_Date" hidden="0" function="0" vbProcedure="0">#ref!</definedName>
    <definedName name="Rpt_Drillsheet_Header1_Date" hidden="0" function="0" vbProcedure="0">#ref!</definedName>
    <definedName name="Rpt_Drillsheet_Header2_Date" hidden="0" function="0" vbProcedure="0">#ref!</definedName>
    <definedName name="Rpt_DrillSiteOrWellPad" hidden="0" function="0" vbProcedure="0">#ref!</definedName>
    <definedName name="Rpt_ECD_Depth_Title" hidden="0" function="0" vbProcedure="0">#ref!</definedName>
    <definedName name="Rpt_Elevation" hidden="0" function="0" vbProcedure="0">#ref!</definedName>
    <definedName name="Rpt_ElevationReference" hidden="0" function="0" vbProcedure="0">#ref!</definedName>
    <definedName name="Rpt_EndMW" hidden="0" function="0" vbProcedure="0">#ref!</definedName>
    <definedName name="Rpt_EndMW_Header" hidden="0" function="0" vbProcedure="0">#ref!</definedName>
    <definedName name="Rpt_Fann100" hidden="0" function="0" vbProcedure="0">#ref!</definedName>
    <definedName name="Rpt_Fann100_Unit" hidden="0" function="0" vbProcedure="0">#ref!</definedName>
    <definedName name="Rpt_Fann200" hidden="0" function="0" vbProcedure="0">#ref!</definedName>
    <definedName name="Rpt_Fann200_Unit" hidden="0" function="0" vbProcedure="0">#ref!</definedName>
    <definedName name="Rpt_Fann3" hidden="0" function="0" vbProcedure="0">#ref!</definedName>
    <definedName name="Rpt_Fann300" hidden="0" function="0" vbProcedure="0">#ref!</definedName>
    <definedName name="Rpt_Fann300_Unit" hidden="0" function="0" vbProcedure="0">#ref!</definedName>
    <definedName name="Rpt_Fann3_Unit" hidden="0" function="0" vbProcedure="0">#ref!</definedName>
    <definedName name="Rpt_Fann6" hidden="0" function="0" vbProcedure="0">#ref!</definedName>
    <definedName name="Rpt_Fann600" hidden="0" function="0" vbProcedure="0">#ref!</definedName>
    <definedName name="Rpt_Fann600_Unit" hidden="0" function="0" vbProcedure="0">#ref!</definedName>
    <definedName name="Rpt_Fann6_Unit" hidden="0" function="0" vbProcedure="0">#ref!</definedName>
    <definedName name="Rpt_Field" hidden="0" function="0" vbProcedure="0">#ref!</definedName>
    <definedName name="Rpt_FieldName" hidden="0" function="0" vbProcedure="0">#ref!</definedName>
    <definedName name="Rpt_FieldStrength" hidden="0" function="0" vbProcedure="0">#ref!</definedName>
    <definedName name="Rpt_FirstDD" hidden="0" function="0" vbProcedure="0">#ref!</definedName>
    <definedName name="Rpt_Flowrate" hidden="0" function="0" vbProcedure="0">#ref!</definedName>
    <definedName name="Rpt_Flowrate_Unit" hidden="0" function="0" vbProcedure="0">#ref!</definedName>
    <definedName name="Rpt_FR_Bit_ECD" hidden="0" function="0" vbProcedure="0">#ref!</definedName>
    <definedName name="Rpt_FR_Bit_ECD_Unit" hidden="0" function="0" vbProcedure="0">#ref!</definedName>
    <definedName name="Rpt_FR_Bit_MD" hidden="0" function="0" vbProcedure="0">#ref!</definedName>
    <definedName name="Rpt_FR_Bit_MD_Unit" hidden="0" function="0" vbProcedure="0">#ref!</definedName>
    <definedName name="Rpt_FR_Bit_TVD" hidden="0" function="0" vbProcedure="0">#ref!</definedName>
    <definedName name="Rpt_FR_Bit_TVD_Unit" hidden="0" function="0" vbProcedure="0">#ref!</definedName>
    <definedName name="Rpt_FR_CasingShoe_MD" hidden="0" function="0" vbProcedure="0">#ref!</definedName>
    <definedName name="Rpt_FR_CasingShoe_MD_Unit" hidden="0" function="0" vbProcedure="0">#ref!</definedName>
    <definedName name="Rpt_FR_Depth_ECD" hidden="0" function="0" vbProcedure="0">#ref!</definedName>
    <definedName name="Rpt_FR_Depth_ECD_Unit" hidden="0" function="0" vbProcedure="0">#ref!</definedName>
    <definedName name="Rpt_FR_Depth_In" hidden="0" function="0" vbProcedure="0">#ref!</definedName>
    <definedName name="Rpt_FR_Depth_In_Unit" hidden="0" function="0" vbProcedure="0">#ref!</definedName>
    <definedName name="Rpt_FR_Depth_Out" hidden="0" function="0" vbProcedure="0">#ref!</definedName>
    <definedName name="Rpt_FR_Depth_Out_Unit" hidden="0" function="0" vbProcedure="0">#ref!</definedName>
    <definedName name="Rpt_FR_ShoeECD" hidden="0" function="0" vbProcedure="0">#ref!</definedName>
    <definedName name="Rpt_FR_ShoeECD_Unit" hidden="0" function="0" vbProcedure="0">#ref!</definedName>
    <definedName name="Rpt_GeodeticLocation" hidden="0" function="0" vbProcedure="0">#ref!</definedName>
    <definedName name="Rpt_Gravity" hidden="0" function="0" vbProcedure="0">#ref!</definedName>
    <definedName name="Rpt_GravityModel" hidden="0" function="0" vbProcedure="0">#ref!</definedName>
    <definedName name="Rpt_GridConvergence" hidden="0" function="0" vbProcedure="0">#ref!</definedName>
    <definedName name="Rpt_GridCorrection" hidden="0" function="0" vbProcedure="0">#ref!</definedName>
    <definedName name="Rpt_GridLocation" hidden="0" function="0" vbProcedure="0">#ref!</definedName>
    <definedName name="Rpt_GroundLevelElevation" hidden="0" function="0" vbProcedure="0">#ref!</definedName>
    <definedName name="Rpt_HBYS" hidden="0" function="0" vbProcedure="0">#ref!</definedName>
    <definedName name="Rpt_HBYS_Unit" hidden="0" function="0" vbProcedure="0">#ref!</definedName>
    <definedName name="Rpt_HC_Annular_Flow" hidden="0" function="0" vbProcedure="0">#ref!</definedName>
    <definedName name="Rpt_HC_Annular_Flow_Unit" hidden="0" function="0" vbProcedure="0">#ref!</definedName>
    <definedName name="Rpt_HC_Critical_MD" hidden="0" function="0" vbProcedure="0">#ref!</definedName>
    <definedName name="Rpt_HC_Critical_MD_Unit" hidden="0" function="0" vbProcedure="0">#ref!</definedName>
    <definedName name="Rpt_HC_Critical_Rate" hidden="0" function="0" vbProcedure="0">#ref!</definedName>
    <definedName name="Rpt_HC_Critical_Rate_Flag" hidden="0" function="0" vbProcedure="0">#ref!</definedName>
    <definedName name="Rpt_HC_Critical_Rate_Unit" hidden="0" function="0" vbProcedure="0">#ref!</definedName>
    <definedName name="Rpt_HC_Hole_Inclination" hidden="0" function="0" vbProcedure="0">#ref!</definedName>
    <definedName name="Rpt_HC_Hole_Inclination_Unit" hidden="0" function="0" vbProcedure="0">#ref!</definedName>
    <definedName name="Rpt_HC_Riser_Boost_Flow" hidden="0" function="0" vbProcedure="0">#ref!</definedName>
    <definedName name="Rpt_HC_Riser_Boost_Flow_Unit" hidden="0" function="0" vbProcedure="0">#ref!</definedName>
    <definedName name="Rpt_HC_RPM" hidden="0" function="0" vbProcedure="0">#ref!</definedName>
    <definedName name="Rpt_HoleSize" hidden="0" function="0" vbProcedure="0">#ref!</definedName>
    <definedName name="Rpt_HoleSize_Header" hidden="0" function="0" vbProcedure="0">#ref!</definedName>
    <definedName name="Rpt_InclIn" hidden="0" function="0" vbProcedure="0">#ref!</definedName>
    <definedName name="Rpt_InclIn_Header" hidden="0" function="0" vbProcedure="0">#ref!</definedName>
    <definedName name="Rpt_InclOut" hidden="0" function="0" vbProcedure="0">#ref!</definedName>
    <definedName name="Rpt_InclOut_Header" hidden="0" function="0" vbProcedure="0">#ref!</definedName>
    <definedName name="Rpt_InRowOut" hidden="0" function="0" vbProcedure="0">#ref!</definedName>
    <definedName name="Rpt_Jets" hidden="0" function="0" vbProcedure="0">#ref!</definedName>
    <definedName name="Rpt_Jets_Header" hidden="0" function="0" vbProcedure="0">#ref!</definedName>
    <definedName name="Rpt_K" hidden="0" function="0" vbProcedure="0">#ref!</definedName>
    <definedName name="Rpt_K_Unit" hidden="0" function="0" vbProcedure="0">#ref!</definedName>
    <definedName name="Rpt_LeftLogo" hidden="0" function="0" vbProcedure="0">#ref!</definedName>
    <definedName name="Rpt_Location" hidden="0" function="0" vbProcedure="0">#ref!</definedName>
    <definedName name="Rpt_LocationName" hidden="0" function="0" vbProcedure="0">#ref!</definedName>
    <definedName name="Rpt_Logo_Left" hidden="0" function="0" vbProcedure="0">'[257]slide sheet'!#ref!</definedName>
    <definedName name="Rpt_Logo_Right" hidden="0" function="0" vbProcedure="0">'[257]slide sheet'!#ref!</definedName>
    <definedName name="Rpt_MagneticDeclDate" hidden="0" function="0" vbProcedure="0">#ref!</definedName>
    <definedName name="Rpt_MagneticDeclination" hidden="0" function="0" vbProcedure="0">#ref!</definedName>
    <definedName name="Rpt_MagneticDeclModel" hidden="0" function="0" vbProcedure="0">#ref!</definedName>
    <definedName name="Rpt_Manuf" hidden="0" function="0" vbProcedure="0">#ref!</definedName>
    <definedName name="Rpt_Max_WOB" hidden="0" function="0" vbProcedure="0">#ref!</definedName>
    <definedName name="Rpt_Max_WOB_Unit" hidden="0" function="0" vbProcedure="0">#ref!</definedName>
    <definedName name="Rpt_Model" hidden="0" function="0" vbProcedure="0">#ref!</definedName>
    <definedName name="Rpt_Motor_Bearing_Comment" hidden="0" function="0" vbProcedure="0">#ref!</definedName>
    <definedName name="Rpt_Motor_Bearing_Flow" hidden="0" function="0" vbProcedure="0">#ref!</definedName>
    <definedName name="Rpt_Motor_Bearing_FlowPercent" hidden="0" function="0" vbProcedure="0">#ref!</definedName>
    <definedName name="Rpt_Motor_Bearing_Flow_Unit" hidden="0" function="0" vbProcedure="0">#ref!</definedName>
    <definedName name="Rpt_Motor_Bearing_PDrop" hidden="0" function="0" vbProcedure="0">#ref!</definedName>
    <definedName name="Rpt_Motor_Bearing_PDrop_Unit" hidden="0" function="0" vbProcedure="0">#ref!</definedName>
    <definedName name="Rpt_Motor_BHA_Data" hidden="0" function="0" vbProcedure="0">#ref!</definedName>
    <definedName name="Rpt_Motor_Date" hidden="0" function="0" vbProcedure="0">#ref!</definedName>
    <definedName name="Rpt_Motor_Flow_Max" hidden="0" function="0" vbProcedure="0">#ref!</definedName>
    <definedName name="Rpt_Motor_Flow_Max_Unit" hidden="0" function="0" vbProcedure="0">#ref!</definedName>
    <definedName name="Rpt_Motor_Flow_Min" hidden="0" function="0" vbProcedure="0">#ref!</definedName>
    <definedName name="Rpt_Motor_Flow_Min_Unit" hidden="0" function="0" vbProcedure="0">#ref!</definedName>
    <definedName name="Rpt_Motor_Flow_Nozzle" hidden="0" function="0" vbProcedure="0">#ref!</definedName>
    <definedName name="Rpt_Motor_Flow_Nozzle_Unit" hidden="0" function="0" vbProcedure="0">#ref!</definedName>
    <definedName name="Rpt_Motor_Flow_Power" hidden="0" function="0" vbProcedure="0">#ref!</definedName>
    <definedName name="Rpt_Motor_Flow_Power_Unit" hidden="0" function="0" vbProcedure="0">#ref!</definedName>
    <definedName name="Rpt_Motor_MaxEff" hidden="0" function="0" vbProcedure="0">#ref!</definedName>
    <definedName name="Rpt_Motor_MaxEff_DiffP" hidden="0" function="0" vbProcedure="0">#ref!</definedName>
    <definedName name="Rpt_Motor_MaxEff_DiffP_Unit" hidden="0" function="0" vbProcedure="0">#ref!</definedName>
    <definedName name="Rpt_Motor_MaxHP" hidden="0" function="0" vbProcedure="0">#ref!</definedName>
    <definedName name="Rpt_Motor_MaxHP_DiffP" hidden="0" function="0" vbProcedure="0">#ref!</definedName>
    <definedName name="Rpt_Motor_MaxHP_DiffP_Unit" hidden="0" function="0" vbProcedure="0">#ref!</definedName>
    <definedName name="Rpt_Motor_MaxHP_Unit" hidden="0" function="0" vbProcedure="0">#ref!</definedName>
    <definedName name="Rpt_Motor_Max_Title" hidden="0" function="0" vbProcedure="0">#ref!</definedName>
    <definedName name="Rpt_Motor_ModelName" hidden="0" function="0" vbProcedure="0">#ref!</definedName>
    <definedName name="Rpt_Motor_MotorWear" hidden="0" function="0" vbProcedure="0">#ref!</definedName>
    <definedName name="Rpt_Motor_NozzleDiameter" hidden="0" function="0" vbProcedure="0">#ref!</definedName>
    <definedName name="Rpt_Motor_NozzleDiameter_Unit" hidden="0" function="0" vbProcedure="0">#ref!</definedName>
    <definedName name="Rpt_Motor_OffBottom_NozzleFlow" hidden="0" function="0" vbProcedure="0">#ref!</definedName>
    <definedName name="Rpt_Motor_OffBottom_NozzleFlow_Unit" hidden="0" function="0" vbProcedure="0">#ref!</definedName>
    <definedName name="Rpt_Motor_OffBottom_PDrop" hidden="0" function="0" vbProcedure="0">#ref!</definedName>
    <definedName name="Rpt_Motor_OffBottom_PDrop_Unit" hidden="0" function="0" vbProcedure="0">#ref!</definedName>
    <definedName name="Rpt_Motor_OffBottom_PowerFlow" hidden="0" function="0" vbProcedure="0">#ref!</definedName>
    <definedName name="Rpt_Motor_OffBottom_PowerFlow_Unit" hidden="0" function="0" vbProcedure="0">#ref!</definedName>
    <definedName name="Rpt_Motor_OffBottom_RPM" hidden="0" function="0" vbProcedure="0">#ref!</definedName>
    <definedName name="Rpt_Motor_OnBottom_Capacity" hidden="0" function="0" vbProcedure="0">#ref!</definedName>
    <definedName name="Rpt_Motor_OnBottom_Capacity_Unit" hidden="0" function="0" vbProcedure="0">#ref!</definedName>
    <definedName name="Rpt_Motor_OnBottom_DiffP" hidden="0" function="0" vbProcedure="0">#ref!</definedName>
    <definedName name="Rpt_Motor_OnBottom_DiffP_Unit" hidden="0" function="0" vbProcedure="0">#ref!</definedName>
    <definedName name="Rpt_Motor_OnBottom_DTOR" hidden="0" function="0" vbProcedure="0">#ref!</definedName>
    <definedName name="Rpt_Motor_OnBottom_DTOR_Unit" hidden="0" function="0" vbProcedure="0">#ref!</definedName>
    <definedName name="Rpt_Motor_OnBottom_Efficiency" hidden="0" function="0" vbProcedure="0">#ref!</definedName>
    <definedName name="Rpt_Motor_OnBottom_HydHP" hidden="0" function="0" vbProcedure="0">#ref!</definedName>
    <definedName name="Rpt_Motor_OnBottom_HydHP_Unit" hidden="0" function="0" vbProcedure="0">#ref!</definedName>
    <definedName name="Rpt_Motor_OnBottom_MaxOverpull" hidden="0" function="0" vbProcedure="0">#ref!</definedName>
    <definedName name="Rpt_Motor_OnBottom_MaxOverpull_Unit" hidden="0" function="0" vbProcedure="0">#ref!</definedName>
    <definedName name="Rpt_Motor_OnBottom_MaxWOB" hidden="0" function="0" vbProcedure="0">#ref!</definedName>
    <definedName name="Rpt_Motor_OnBottom_MaxWOB_Unit" hidden="0" function="0" vbProcedure="0">#ref!</definedName>
    <definedName name="Rpt_Motor_OnBottom_MechHP" hidden="0" function="0" vbProcedure="0">#ref!</definedName>
    <definedName name="Rpt_Motor_OnBottom_MechHP_Unit" hidden="0" function="0" vbProcedure="0">#ref!</definedName>
    <definedName name="Rpt_Motor_OnBottom_PDrop" hidden="0" function="0" vbProcedure="0">#ref!</definedName>
    <definedName name="Rpt_Motor_OnBottom_PDrop_Unit" hidden="0" function="0" vbProcedure="0">#ref!</definedName>
    <definedName name="Rpt_Motor_OnBottom_RPM" hidden="0" function="0" vbProcedure="0">#ref!</definedName>
    <definedName name="Rpt_Motor_OnBottom_Thrust" hidden="0" function="0" vbProcedure="0">#ref!</definedName>
    <definedName name="Rpt_Motor_OnBottom_Thrust_Unit" hidden="0" function="0" vbProcedure="0">#ref!</definedName>
    <definedName name="Rpt_Motor_OnBottom_WOB" hidden="0" function="0" vbProcedure="0">#ref!</definedName>
    <definedName name="Rpt_Motor_OnBottom_WOB_Unit" hidden="0" function="0" vbProcedure="0">#ref!</definedName>
    <definedName name="Rpt_Motor_PumpFlowrate" hidden="0" function="0" vbProcedure="0">#ref!</definedName>
    <definedName name="Rpt_Motor_PumpFlowrate_Unit" hidden="0" function="0" vbProcedure="0">#ref!</definedName>
    <definedName name="Rpt_Motor_Stall_DiffP" hidden="0" function="0" vbProcedure="0">#ref!</definedName>
    <definedName name="Rpt_Motor_Stall_DiffP_Unit" hidden="0" function="0" vbProcedure="0">#ref!</definedName>
    <definedName name="Rpt_Motor_Stall_DTOR" hidden="0" function="0" vbProcedure="0">#ref!</definedName>
    <definedName name="Rpt_Motor_Stall_DTOR_Unit" hidden="0" function="0" vbProcedure="0">#ref!</definedName>
    <definedName name="Rpt_Motor_Stall_MaxDiffP" hidden="0" function="0" vbProcedure="0">#ref!</definedName>
    <definedName name="Rpt_Motor_Stall_MaxDiffP_Unit" hidden="0" function="0" vbProcedure="0">#ref!</definedName>
    <definedName name="Rpt_Motor_Stall_MaxTitle" hidden="0" function="0" vbProcedure="0">#ref!</definedName>
    <definedName name="Rpt_Motor_Stall_MinDiffP" hidden="0" function="0" vbProcedure="0">#ref!</definedName>
    <definedName name="Rpt_Motor_Stall_MinDiffP_Unit" hidden="0" function="0" vbProcedure="0">#ref!</definedName>
    <definedName name="Rpt_Motor_Stall_MinTitle" hidden="0" function="0" vbProcedure="0">#ref!</definedName>
    <definedName name="Rpt_Motor_Stall_NozzleFlow" hidden="0" function="0" vbProcedure="0">#ref!</definedName>
    <definedName name="Rpt_Motor_Stall_NozzleFlow_Unit" hidden="0" function="0" vbProcedure="0">#ref!</definedName>
    <definedName name="Rpt_Motor_Stall_PowerFlow" hidden="0" function="0" vbProcedure="0">#ref!</definedName>
    <definedName name="Rpt_Motor_Stall_PowerFlow_Unit" hidden="0" function="0" vbProcedure="0">#ref!</definedName>
    <definedName name="Rpt_Motor_Stall_WOB" hidden="0" function="0" vbProcedure="0">#ref!</definedName>
    <definedName name="Rpt_Motor_Stall_WOB_Unit" hidden="0" function="0" vbProcedure="0">#ref!</definedName>
    <definedName name="Rpt_Motor_Survey_Data" hidden="0" function="0" vbProcedure="0">#ref!</definedName>
    <definedName name="Rpt_Motor_Wellbore_Data" hidden="0" function="0" vbProcedure="0">#ref!</definedName>
    <definedName name="Rpt_Mot_Bearing_FR" hidden="0" function="0" vbProcedure="0">#ref!</definedName>
    <definedName name="Rpt_Mot_Bearing_FR_Unit" hidden="0" function="0" vbProcedure="0">#ref!</definedName>
    <definedName name="Rpt_Mot_DeltaP" hidden="0" function="0" vbProcedure="0">#ref!</definedName>
    <definedName name="Rpt_Mot_DeltaP_Unit" hidden="0" function="0" vbProcedure="0">#ref!</definedName>
    <definedName name="Rpt_Mot_DTOR" hidden="0" function="0" vbProcedure="0">#ref!</definedName>
    <definedName name="Rpt_Mot_DTOR_Unit" hidden="0" function="0" vbProcedure="0">#ref!</definedName>
    <definedName name="Rpt_Mot_FR" hidden="0" function="0" vbProcedure="0">#ref!</definedName>
    <definedName name="Rpt_Mot_FR_Unit" hidden="0" function="0" vbProcedure="0">#ref!</definedName>
    <definedName name="Rpt_Mot_Max_Overpull" hidden="0" function="0" vbProcedure="0">#ref!</definedName>
    <definedName name="Rpt_Mot_Max_Overpull_Unit" hidden="0" function="0" vbProcedure="0">#ref!</definedName>
    <definedName name="Rpt_Mot_Name" hidden="0" function="0" vbProcedure="0">#ref!</definedName>
    <definedName name="Rpt_Mot_Nozzle_FR" hidden="0" function="0" vbProcedure="0">#ref!</definedName>
    <definedName name="Rpt_Mot_Nozzle_FR_Unit" hidden="0" function="0" vbProcedure="0">#ref!</definedName>
    <definedName name="Rpt_Mot_OnBottom_RPM" hidden="0" function="0" vbProcedure="0">#ref!</definedName>
    <definedName name="Rpt_Mot_RSS_Act_Flow" hidden="0" function="0" vbProcedure="0">#ref!</definedName>
    <definedName name="Rpt_Mot_RSS_FR" hidden="0" function="0" vbProcedure="0">#ref!</definedName>
    <definedName name="Rpt_Mot_RSS_FR_Size" hidden="0" function="0" vbProcedure="0">#ref!</definedName>
    <definedName name="Rpt_Mot_RSS_FR_Size_Unit" hidden="0" function="0" vbProcedure="0">#ref!</definedName>
    <definedName name="Rpt_Mot_RSS_FR_Unit" hidden="0" function="0" vbProcedure="0">#ref!</definedName>
    <definedName name="Rpt_Mot_RSS_Pad_PD" hidden="0" function="0" vbProcedure="0">#ref!</definedName>
    <definedName name="Rpt_Mot_RSS_Pad_PD_Unit" hidden="0" function="0" vbProcedure="0">#ref!</definedName>
    <definedName name="Rpt_Mot_WOM" hidden="0" function="0" vbProcedure="0">#ref!</definedName>
    <definedName name="Rpt_Mot_WOM_Unit" hidden="0" function="0" vbProcedure="0">#ref!</definedName>
    <definedName name="Rpt_MudType" hidden="0" function="0" vbProcedure="0">#ref!</definedName>
    <definedName name="Rpt_Mud_Type" hidden="0" function="0" vbProcedure="0">#ref!</definedName>
    <definedName name="Rpt_Mud_wt" hidden="0" function="0" vbProcedure="0">#ref!</definedName>
    <definedName name="Rpt_Mud_Wt_Unit" hidden="0" function="0" vbProcedure="0">#ref!</definedName>
    <definedName name="Rpt_Multi_BHA_Data" hidden="0" function="0" vbProcedure="0">#ref!</definedName>
    <definedName name="Rpt_Multi_Date" hidden="0" function="0" vbProcedure="0">#ref!</definedName>
    <definedName name="Rpt_Multi_Survey_Data" hidden="0" function="0" vbProcedure="0">#ref!</definedName>
    <definedName name="Rpt_Multi_Table1A_Depth_Unit" hidden="0" function="0" vbProcedure="0">#ref!</definedName>
    <definedName name="Rpt_Multi_Table1A_FR1" hidden="0" function="0" vbProcedure="0">#ref!</definedName>
    <definedName name="Rpt_Multi_Table1A_FR1_Unit" hidden="0" function="0" vbProcedure="0">#ref!</definedName>
    <definedName name="Rpt_Multi_Table1A_FR2" hidden="0" function="0" vbProcedure="0">#ref!</definedName>
    <definedName name="Rpt_Multi_Table1A_FR2_Unit" hidden="0" function="0" vbProcedure="0">#ref!</definedName>
    <definedName name="Rpt_Multi_Table1A_FR3" hidden="0" function="0" vbProcedure="0">#ref!</definedName>
    <definedName name="Rpt_Multi_Table1A_FR3_Unit" hidden="0" function="0" vbProcedure="0">#ref!</definedName>
    <definedName name="Rpt_Multi_Table1A_FR4" hidden="0" function="0" vbProcedure="0">#ref!</definedName>
    <definedName name="Rpt_Multi_Table1A_FR4_Unit" hidden="0" function="0" vbProcedure="0">#ref!</definedName>
    <definedName name="Rpt_Multi_Table1A_FR5" hidden="0" function="0" vbProcedure="0">#ref!</definedName>
    <definedName name="Rpt_Multi_Table1A_FR5_Unit" hidden="0" function="0" vbProcedure="0">#ref!</definedName>
    <definedName name="Rpt_Multi_Table1A_FR6" hidden="0" function="0" vbProcedure="0">#ref!</definedName>
    <definedName name="Rpt_Multi_Table1A_FR6_Unit" hidden="0" function="0" vbProcedure="0">#ref!</definedName>
    <definedName name="Rpt_Multi_Table1A_Title" hidden="0" function="0" vbProcedure="0">#ref!</definedName>
    <definedName name="Rpt_Multi_Table1B_Depth_Unit" hidden="0" function="0" vbProcedure="0">#ref!</definedName>
    <definedName name="Rpt_Multi_Table1B_FR1" hidden="0" function="0" vbProcedure="0">#ref!</definedName>
    <definedName name="Rpt_Multi_Table1B_FR1_Unit" hidden="0" function="0" vbProcedure="0">#ref!</definedName>
    <definedName name="Rpt_Multi_Table1B_FR2" hidden="0" function="0" vbProcedure="0">#ref!</definedName>
    <definedName name="Rpt_Multi_Table1B_FR2_Unit" hidden="0" function="0" vbProcedure="0">#ref!</definedName>
    <definedName name="Rpt_Multi_Table1B_FR3" hidden="0" function="0" vbProcedure="0">#ref!</definedName>
    <definedName name="Rpt_Multi_Table1B_FR3_Unit" hidden="0" function="0" vbProcedure="0">#ref!</definedName>
    <definedName name="Rpt_Multi_Table1B_FR4" hidden="0" function="0" vbProcedure="0">#ref!</definedName>
    <definedName name="Rpt_Multi_Table1B_FR4_Unit" hidden="0" function="0" vbProcedure="0">#ref!</definedName>
    <definedName name="Rpt_Multi_Table1B_FR5" hidden="0" function="0" vbProcedure="0">#ref!</definedName>
    <definedName name="Rpt_Multi_Table1B_FR5_Unit" hidden="0" function="0" vbProcedure="0">#ref!</definedName>
    <definedName name="Rpt_Multi_Table1B_FR6" hidden="0" function="0" vbProcedure="0">#ref!</definedName>
    <definedName name="Rpt_Multi_Table1B_FR6_Unit" hidden="0" function="0" vbProcedure="0">#ref!</definedName>
    <definedName name="Rpt_Multi_Table1B_Title" hidden="0" function="0" vbProcedure="0">#ref!</definedName>
    <definedName name="Rpt_Multi_Table1Data" hidden="0" function="0" vbProcedure="0">#ref!</definedName>
    <definedName name="Rpt_Multi_Table2A_Depth_Unit" hidden="0" function="0" vbProcedure="0">#ref!</definedName>
    <definedName name="Rpt_Multi_Table2A_FR1" hidden="0" function="0" vbProcedure="0">#ref!</definedName>
    <definedName name="Rpt_Multi_Table2A_FR1_Unit" hidden="0" function="0" vbProcedure="0">#ref!</definedName>
    <definedName name="Rpt_Multi_Table2A_FR2" hidden="0" function="0" vbProcedure="0">#ref!</definedName>
    <definedName name="Rpt_Multi_Table2A_FR2_Unit" hidden="0" function="0" vbProcedure="0">#ref!</definedName>
    <definedName name="Rpt_Multi_Table2A_FR3" hidden="0" function="0" vbProcedure="0">#ref!</definedName>
    <definedName name="Rpt_Multi_Table2A_FR3_Unit" hidden="0" function="0" vbProcedure="0">#ref!</definedName>
    <definedName name="Rpt_Multi_Table2A_FR4" hidden="0" function="0" vbProcedure="0">#ref!</definedName>
    <definedName name="Rpt_Multi_Table2A_FR4_Unit" hidden="0" function="0" vbProcedure="0">#ref!</definedName>
    <definedName name="Rpt_Multi_Table2A_FR5" hidden="0" function="0" vbProcedure="0">#ref!</definedName>
    <definedName name="Rpt_Multi_Table2A_FR5_Unit" hidden="0" function="0" vbProcedure="0">#ref!</definedName>
    <definedName name="Rpt_Multi_Table2A_FR6" hidden="0" function="0" vbProcedure="0">#ref!</definedName>
    <definedName name="Rpt_Multi_Table2A_FR6_Unit" hidden="0" function="0" vbProcedure="0">#ref!</definedName>
    <definedName name="Rpt_Multi_Table2A_Title" hidden="0" function="0" vbProcedure="0">#ref!</definedName>
    <definedName name="Rpt_Multi_Table2B_Depth_Unit" hidden="0" function="0" vbProcedure="0">#ref!</definedName>
    <definedName name="Rpt_Multi_Table2B_FR1" hidden="0" function="0" vbProcedure="0">#ref!</definedName>
    <definedName name="Rpt_Multi_Table2B_FR1_Unit" hidden="0" function="0" vbProcedure="0">#ref!</definedName>
    <definedName name="Rpt_Multi_Table2B_FR2" hidden="0" function="0" vbProcedure="0">#ref!</definedName>
    <definedName name="Rpt_Multi_Table2B_FR2_Unit" hidden="0" function="0" vbProcedure="0">#ref!</definedName>
    <definedName name="Rpt_Multi_Table2B_FR3" hidden="0" function="0" vbProcedure="0">#ref!</definedName>
    <definedName name="Rpt_Multi_Table2B_FR3_Unit" hidden="0" function="0" vbProcedure="0">#ref!</definedName>
    <definedName name="Rpt_Multi_Table2B_FR4" hidden="0" function="0" vbProcedure="0">#ref!</definedName>
    <definedName name="Rpt_Multi_Table2B_FR4_Unit" hidden="0" function="0" vbProcedure="0">#ref!</definedName>
    <definedName name="Rpt_Multi_Table2B_FR5" hidden="0" function="0" vbProcedure="0">#ref!</definedName>
    <definedName name="Rpt_Multi_Table2B_FR5_Unit" hidden="0" function="0" vbProcedure="0">#ref!</definedName>
    <definedName name="Rpt_Multi_Table2B_FR6" hidden="0" function="0" vbProcedure="0">#ref!</definedName>
    <definedName name="Rpt_Multi_Table2B_FR6_Unit" hidden="0" function="0" vbProcedure="0">#ref!</definedName>
    <definedName name="Rpt_Multi_Table2B_Title" hidden="0" function="0" vbProcedure="0">#ref!</definedName>
    <definedName name="Rpt_Multi_Table2Data" hidden="0" function="0" vbProcedure="0">#ref!</definedName>
    <definedName name="Rpt_Multi_Wellbore_Data" hidden="0" function="0" vbProcedure="0">#ref!</definedName>
    <definedName name="Rpt_n" hidden="0" function="0" vbProcedure="0">#ref!</definedName>
    <definedName name="Rpt_NorthReference" hidden="0" function="0" vbProcedure="0">#ref!</definedName>
    <definedName name="Rpt_NoteCTR" hidden="0" function="0" vbProcedure="0">#ref!</definedName>
    <definedName name="Rpt_NoteECD" hidden="0" function="0" vbProcedure="0">#ref!</definedName>
    <definedName name="Rpt_NoteESDECD" hidden="0" function="0" vbProcedure="0">#ref!</definedName>
    <definedName name="Rpt_NoteHCI" hidden="0" function="0" vbProcedure="0">#ref!</definedName>
    <definedName name="Rpt_NoteNozzleOptimization" hidden="0" function="0" vbProcedure="0">#ref!</definedName>
    <definedName name="Rpt_NotePressureDrop" hidden="0" function="0" vbProcedure="0">#ref!</definedName>
    <definedName name="Rpt_NotePTMD" hidden="0" function="0" vbProcedure="0">#ref!</definedName>
    <definedName name="Rpt_NoteRheology" hidden="0" function="0" vbProcedure="0">#ref!</definedName>
    <definedName name="Rpt_Nozzle_Data" hidden="0" function="0" vbProcedure="0">#ref!</definedName>
    <definedName name="Rpt_Operator" hidden="0" function="0" vbProcedure="0">#ref!</definedName>
    <definedName name="RPT_Pres_Annulus" hidden="0" function="0" vbProcedure="0">#ref!</definedName>
    <definedName name="RPT_Pres_Annulus_Unit" hidden="0" function="0" vbProcedure="0">#ref!</definedName>
    <definedName name="Rpt_Pres_Bit_Nozzle" hidden="0" function="0" vbProcedure="0">#ref!</definedName>
    <definedName name="Rpt_Pres_Bit_Nozzle_Unit" hidden="0" function="0" vbProcedure="0">#ref!</definedName>
    <definedName name="Rpt_Pres_Chokeline" hidden="0" function="0" vbProcedure="0">#ref!</definedName>
    <definedName name="Rpt_Pres_Chokeline_Unit" hidden="0" function="0" vbProcedure="0">#ref!</definedName>
    <definedName name="Rpt_Pres_Flow_Restrictor" hidden="0" function="0" vbProcedure="0">#ref!</definedName>
    <definedName name="Rpt_Pres_Flow_Restrictor_Unit" hidden="0" function="0" vbProcedure="0">#ref!</definedName>
    <definedName name="Rpt_Pres_High_Imbalance" hidden="0" function="0" vbProcedure="0">#ref!</definedName>
    <definedName name="Rpt_Pres_High_Imbalance_Unit" hidden="0" function="0" vbProcedure="0">#ref!</definedName>
    <definedName name="Rpt_Pres_Inside_DrillStr" hidden="0" function="0" vbProcedure="0">#ref!</definedName>
    <definedName name="Rpt_Pres_Inside_DrillStr_Unit" hidden="0" function="0" vbProcedure="0">#ref!</definedName>
    <definedName name="Rpt_Pres_Motor" hidden="0" function="0" vbProcedure="0">#ref!</definedName>
    <definedName name="Rpt_Pres_Motor_Unit" hidden="0" function="0" vbProcedure="0">#ref!</definedName>
    <definedName name="Rpt_Pres_RSS" hidden="0" function="0" vbProcedure="0">#ref!</definedName>
    <definedName name="Rpt_Pres_RSS_Unit" hidden="0" function="0" vbProcedure="0">#ref!</definedName>
    <definedName name="Rpt_Pres_Surf_Eqpt" hidden="0" function="0" vbProcedure="0">#ref!</definedName>
    <definedName name="Rpt_Pres_Surf_Eqpt_Unit" hidden="0" function="0" vbProcedure="0">#ref!</definedName>
    <definedName name="Rpt_Pres_Tools" hidden="0" function="0" vbProcedure="0">#ref!</definedName>
    <definedName name="Rpt_Pres_Tools_Unit" hidden="0" function="0" vbProcedure="0">#ref!</definedName>
    <definedName name="Rpt_Pres_Total" hidden="0" function="0" vbProcedure="0">#ref!</definedName>
    <definedName name="RPT_Pres_Total_Flag" hidden="0" function="0" vbProcedure="0">#ref!</definedName>
    <definedName name="Rpt_Pres_Total_Unit" hidden="0" function="0" vbProcedure="0">#ref!</definedName>
    <definedName name="Rpt_PT" hidden="0" function="0" vbProcedure="0">#ref!</definedName>
    <definedName name="Rpt_PT_Actual_API_PV_Unit" hidden="0" function="0" vbProcedure="0">#ref!</definedName>
    <definedName name="Rpt_PT_Actual_API_YP_Unit" hidden="0" function="0" vbProcedure="0">#ref!</definedName>
    <definedName name="Rpt_PT_Actual_Fann100_Unit" hidden="0" function="0" vbProcedure="0">#ref!</definedName>
    <definedName name="Rpt_PT_Actual_Fann200_Unit" hidden="0" function="0" vbProcedure="0">#ref!</definedName>
    <definedName name="Rpt_PT_Actual_Fann300_Unit" hidden="0" function="0" vbProcedure="0">#ref!</definedName>
    <definedName name="Rpt_PT_Actual_Fann3_Unit" hidden="0" function="0" vbProcedure="0">#ref!</definedName>
    <definedName name="Rpt_PT_Actual_Fann600_Unit" hidden="0" function="0" vbProcedure="0">#ref!</definedName>
    <definedName name="Rpt_PT_Actual_Fann6_Unit" hidden="0" function="0" vbProcedure="0">#ref!</definedName>
    <definedName name="Rpt_PT_Actual_HBYS_Label" hidden="0" function="0" vbProcedure="0">#ref!</definedName>
    <definedName name="Rpt_PT_Actual_HBYS_Unit" hidden="0" function="0" vbProcedure="0">#ref!</definedName>
    <definedName name="Rpt_PT_Actual_K_Label" hidden="0" function="0" vbProcedure="0">#ref!</definedName>
    <definedName name="Rpt_PT_Actual_n_Label" hidden="0" function="0" vbProcedure="0">#ref!</definedName>
    <definedName name="Rpt_PT_Actual_Ref_Pres_Unit" hidden="0" function="0" vbProcedure="0">#ref!</definedName>
    <definedName name="Rpt_PT_Actual_Ref_Temp_Unit" hidden="0" function="0" vbProcedure="0">#ref!</definedName>
    <definedName name="Rpt_PT_API_PV" hidden="0" function="0" vbProcedure="0">#ref!</definedName>
    <definedName name="Rpt_PT_API_PV_Unit" hidden="0" function="0" vbProcedure="0">#ref!</definedName>
    <definedName name="Rpt_PT_API_YP" hidden="0" function="0" vbProcedure="0">#ref!</definedName>
    <definedName name="Rpt_PT_API_YP_Unit" hidden="0" function="0" vbProcedure="0">#ref!</definedName>
    <definedName name="Rpt_PT_Fann100" hidden="0" function="0" vbProcedure="0">#ref!</definedName>
    <definedName name="Rpt_PT_Fann100_Unit" hidden="0" function="0" vbProcedure="0">#ref!</definedName>
    <definedName name="Rpt_PT_Fann200" hidden="0" function="0" vbProcedure="0">#ref!</definedName>
    <definedName name="Rpt_PT_Fann200_Unit" hidden="0" function="0" vbProcedure="0">#ref!</definedName>
    <definedName name="Rpt_PT_Fann3" hidden="0" function="0" vbProcedure="0">#ref!</definedName>
    <definedName name="Rpt_PT_Fann300" hidden="0" function="0" vbProcedure="0">#ref!</definedName>
    <definedName name="Rpt_PT_Fann300_Unit" hidden="0" function="0" vbProcedure="0">#ref!</definedName>
    <definedName name="Rpt_PT_Fann3_Unit" hidden="0" function="0" vbProcedure="0">#ref!</definedName>
    <definedName name="Rpt_PT_Fann6" hidden="0" function="0" vbProcedure="0">#ref!</definedName>
    <definedName name="Rpt_PT_Fann600" hidden="0" function="0" vbProcedure="0">#ref!</definedName>
    <definedName name="Rpt_PT_Fann600_Unit" hidden="0" function="0" vbProcedure="0">#ref!</definedName>
    <definedName name="Rpt_PT_Fann6_Unit" hidden="0" function="0" vbProcedure="0">#ref!</definedName>
    <definedName name="Rpt_PT_Formation_Temp_Data" hidden="0" function="0" vbProcedure="0">#ref!</definedName>
    <definedName name="Rpt_PT_Formation_Temp_Unit" hidden="0" function="0" vbProcedure="0">#ref!</definedName>
    <definedName name="Rpt_PT_Geothermal_Gradient" hidden="0" function="0" vbProcedure="0">#ref!</definedName>
    <definedName name="Rpt_PT_Geothermal_Gradient_Unit" hidden="0" function="0" vbProcedure="0">#ref!</definedName>
    <definedName name="Rpt_PT_HBYS_Label" hidden="0" function="0" vbProcedure="0">#ref!</definedName>
    <definedName name="Rpt_PT_HB_YS" hidden="0" function="0" vbProcedure="0">#ref!</definedName>
    <definedName name="Rpt_PT_HB_YS_Unit" hidden="0" function="0" vbProcedure="0">#ref!</definedName>
    <definedName name="Rpt_PT_K" hidden="0" function="0" vbProcedure="0">#ref!</definedName>
    <definedName name="Rpt_PT_K_Label" hidden="0" function="0" vbProcedure="0">#ref!</definedName>
    <definedName name="Rpt_PT_Model_Type" hidden="0" function="0" vbProcedure="0">#ref!</definedName>
    <definedName name="Rpt_PT_Mud_Temp" hidden="0" function="0" vbProcedure="0">#ref!</definedName>
    <definedName name="Rpt_PT_Mud_Temp_Unit" hidden="0" function="0" vbProcedure="0">#ref!</definedName>
    <definedName name="Rpt_PT_Mud_Type" hidden="0" function="0" vbProcedure="0">#ref!</definedName>
    <definedName name="Rpt_PT_Mud_Weight" hidden="0" function="0" vbProcedure="0">#ref!</definedName>
    <definedName name="Rpt_PT_Mud_Weight_Unit" hidden="0" function="0" vbProcedure="0">#ref!</definedName>
    <definedName name="Rpt_PT_n" hidden="0" function="0" vbProcedure="0">#ref!</definedName>
    <definedName name="Rpt_PT_n_Label" hidden="0" function="0" vbProcedure="0">#ref!</definedName>
    <definedName name="Rpt_PT_Oil_Water_Ratio" hidden="0" function="0" vbProcedure="0">#ref!</definedName>
    <definedName name="Rpt_PT_PT_Type" hidden="0" function="0" vbProcedure="0">#ref!</definedName>
    <definedName name="Rpt_PT_Raw_Data_Label" hidden="0" function="0" vbProcedure="0">#ref!</definedName>
    <definedName name="Rpt_PT_Raw_PV" hidden="0" function="0" vbProcedure="0">#ref!</definedName>
    <definedName name="Rpt_PT_Raw_YP" hidden="0" function="0" vbProcedure="0">#ref!</definedName>
    <definedName name="Rpt_PT_Ref_Pres" hidden="0" function="0" vbProcedure="0">#ref!</definedName>
    <definedName name="Rpt_PT_Ref_Pres_Unit" hidden="0" function="0" vbProcedure="0">#ref!</definedName>
    <definedName name="Rpt_PT_Ref_Temp" hidden="0" function="0" vbProcedure="0">#ref!</definedName>
    <definedName name="Rpt_PT_Ref_Temp_Unit" hidden="0" function="0" vbProcedure="0">#ref!</definedName>
    <definedName name="Rpt_PT_Rheo_Data" hidden="0" function="0" vbProcedure="0">#ref!</definedName>
    <definedName name="Rpt_PT_Rheo_Model" hidden="0" function="0" vbProcedure="0">#ref!</definedName>
    <definedName name="Rpt_PT_Rheo_Model_Index" hidden="0" function="0" vbProcedure="0">#ref!</definedName>
    <definedName name="Rpt_PT_Rheo_Table_Title" hidden="0" function="0" vbProcedure="0">#ref!</definedName>
    <definedName name="Rpt_PT_Seafloor_Temp" hidden="0" function="0" vbProcedure="0">#ref!</definedName>
    <definedName name="Rpt_PT_Seafloor_Temp_Unit" hidden="0" function="0" vbProcedure="0">#ref!</definedName>
    <definedName name="Rpt_PT_Surface_Ambient" hidden="0" function="0" vbProcedure="0">#ref!</definedName>
    <definedName name="Rpt_PT_Surface_Ambient_Unit" hidden="0" function="0" vbProcedure="0">#ref!</definedName>
    <definedName name="Rpt_PT_Temp_Type" hidden="0" function="0" vbProcedure="0">#ref!</definedName>
    <definedName name="Rpt_PT_Thermocline_Depth" hidden="0" function="0" vbProcedure="0">#ref!</definedName>
    <definedName name="Rpt_PT_Thermocline_Depth_Unit" hidden="0" function="0" vbProcedure="0">#ref!</definedName>
    <definedName name="Rpt_PT_Thermocline_Temp" hidden="0" function="0" vbProcedure="0">#ref!</definedName>
    <definedName name="Rpt_PT_Thermocline_Temp_Unit" hidden="0" function="0" vbProcedure="0">#ref!</definedName>
    <definedName name="Rpt_PT_TVD_Unit" hidden="0" function="0" vbProcedure="0">#ref!</definedName>
    <definedName name="Rpt_PumpingHours" hidden="0" function="0" vbProcedure="0">#ref!</definedName>
    <definedName name="Rpt_PV" hidden="0" function="0" vbProcedure="0">#ref!</definedName>
    <definedName name="Rpt_PV_Unit" hidden="0" function="0" vbProcedure="0">#ref!</definedName>
    <definedName name="Rpt_Reamer0_Dia" hidden="0" function="0" vbProcedure="0">#ref!</definedName>
    <definedName name="Rpt_Reamer0_Flowrate" hidden="0" function="0" vbProcedure="0">#ref!</definedName>
    <definedName name="Rpt_Reamer0_HSI" hidden="0" function="0" vbProcedure="0">#ref!</definedName>
    <definedName name="Rpt_Reamer0_Hyd_Pow" hidden="0" function="0" vbProcedure="0">#ref!</definedName>
    <definedName name="Rpt_Reamer0_JetVelocity" hidden="0" function="0" vbProcedure="0">#ref!</definedName>
    <definedName name="Rpt_Reamer0_Jet_Imp_Force" hidden="0" function="0" vbProcedure="0">#ref!</definedName>
    <definedName name="Rpt_Reamer0_Name" hidden="0" function="0" vbProcedure="0">#ref!</definedName>
    <definedName name="Rpt_Reamer0_Name_Duplicated" hidden="0" function="0" vbProcedure="0">#ref!</definedName>
    <definedName name="Rpt_Reamer0_PressureDrop" hidden="0" function="0" vbProcedure="0">#ref!</definedName>
    <definedName name="Rpt_Reamer0_TFA" hidden="0" function="0" vbProcedure="0">#ref!</definedName>
    <definedName name="Rpt_Reamer0_Type" hidden="0" function="0" vbProcedure="0">#ref!</definedName>
    <definedName name="Rpt_Reamer1_Dia" hidden="0" function="0" vbProcedure="0">#ref!</definedName>
    <definedName name="Rpt_Reamer1_Flowrate" hidden="0" function="0" vbProcedure="0">#ref!</definedName>
    <definedName name="Rpt_Reamer1_HSI" hidden="0" function="0" vbProcedure="0">#ref!</definedName>
    <definedName name="Rpt_Reamer1_Hyd_Pow" hidden="0" function="0" vbProcedure="0">#ref!</definedName>
    <definedName name="Rpt_Reamer1_JetVelocity" hidden="0" function="0" vbProcedure="0">#ref!</definedName>
    <definedName name="Rpt_Reamer1_Jet_Imp_Force" hidden="0" function="0" vbProcedure="0">#ref!</definedName>
    <definedName name="Rpt_Reamer1_Name" hidden="0" function="0" vbProcedure="0">#ref!</definedName>
    <definedName name="Rpt_Reamer1_Name_Duplicated" hidden="0" function="0" vbProcedure="0">#ref!</definedName>
    <definedName name="Rpt_Reamer1_PressureDrop" hidden="0" function="0" vbProcedure="0">#ref!</definedName>
    <definedName name="Rpt_Reamer1_TFA" hidden="0" function="0" vbProcedure="0">#ref!</definedName>
    <definedName name="Rpt_Reamer1_Type" hidden="0" function="0" vbProcedure="0">#ref!</definedName>
    <definedName name="Rpt_Reamer2_Dia" hidden="0" function="0" vbProcedure="0">#ref!</definedName>
    <definedName name="Rpt_Reamer2_Flowrate" hidden="0" function="0" vbProcedure="0">#ref!</definedName>
    <definedName name="Rpt_Reamer2_HSI" hidden="0" function="0" vbProcedure="0">#ref!</definedName>
    <definedName name="Rpt_Reamer2_Hyd_Pow" hidden="0" function="0" vbProcedure="0">#ref!</definedName>
    <definedName name="Rpt_Reamer2_JetVelocity" hidden="0" function="0" vbProcedure="0">#ref!</definedName>
    <definedName name="Rpt_Reamer2_Jet_Imp_Force" hidden="0" function="0" vbProcedure="0">#ref!</definedName>
    <definedName name="Rpt_Reamer2_Name" hidden="0" function="0" vbProcedure="0">#ref!</definedName>
    <definedName name="Rpt_Reamer2_Name_Duplicated" hidden="0" function="0" vbProcedure="0">#ref!</definedName>
    <definedName name="Rpt_Reamer2_PressureDrop" hidden="0" function="0" vbProcedure="0">#ref!</definedName>
    <definedName name="Rpt_Reamer2_TFA" hidden="0" function="0" vbProcedure="0">#ref!</definedName>
    <definedName name="Rpt_Reamer2_Type" hidden="0" function="0" vbProcedure="0">#ref!</definedName>
    <definedName name="Rpt_Rheo_API_PV_Unit" hidden="0" function="0" vbProcedure="0">#ref!</definedName>
    <definedName name="Rpt_Rheo_API_YP_Unit" hidden="0" function="0" vbProcedure="0">#ref!</definedName>
    <definedName name="Rpt_Rheo_BHA_Data" hidden="0" function="0" vbProcedure="0">#ref!</definedName>
    <definedName name="Rpt_Rheo_Date" hidden="0" function="0" vbProcedure="0">#ref!</definedName>
    <definedName name="Rpt_Rheo_ECD_Unit" hidden="0" function="0" vbProcedure="0">#ref!</definedName>
    <definedName name="Rpt_Rheo_ESD_Unit" hidden="0" function="0" vbProcedure="0">#ref!</definedName>
    <definedName name="Rpt_Rheo_Flowrate" hidden="0" function="0" vbProcedure="0">#ref!</definedName>
    <definedName name="Rpt_Rheo_Flowrate_Unit" hidden="0" function="0" vbProcedure="0">#ref!</definedName>
    <definedName name="Rpt_Rheo_HBYS_Unit" hidden="0" function="0" vbProcedure="0">#ref!</definedName>
    <definedName name="Rpt_Rheo_Index_Unit" hidden="0" function="0" vbProcedure="0">#ref!</definedName>
    <definedName name="Rpt_Rheo_K_Unit" hidden="0" function="0" vbProcedure="0">#ref!</definedName>
    <definedName name="Rpt_Rheo_MD_Unit" hidden="0" function="0" vbProcedure="0">#ref!</definedName>
    <definedName name="Rpt_Rheo_MudWeight_Unit" hidden="0" function="0" vbProcedure="0">#ref!</definedName>
    <definedName name="Rpt_Rheo_N_Unit" hidden="0" function="0" vbProcedure="0">#ref!</definedName>
    <definedName name="Rpt_Rheo_Pressure_Unit" hidden="0" function="0" vbProcedure="0">#ref!</definedName>
    <definedName name="Rpt_Rheo_RheologyData_Ann" hidden="0" function="0" vbProcedure="0">#ref!</definedName>
    <definedName name="Rpt_Rheo_RheologyData_BHA" hidden="0" function="0" vbProcedure="0">#ref!</definedName>
    <definedName name="Rpt_Rheo_Survey_Data" hidden="0" function="0" vbProcedure="0">#ref!</definedName>
    <definedName name="Rpt_Rheo_Temperature_Unit" hidden="0" function="0" vbProcedure="0">#ref!</definedName>
    <definedName name="Rpt_Rheo_Wellbore_Data" hidden="0" function="0" vbProcedure="0">#ref!</definedName>
    <definedName name="Rpt_RightLogo" hidden="0" function="0" vbProcedure="0">#ref!</definedName>
    <definedName name="Rpt_RigName" hidden="0" function="0" vbProcedure="0">#ref!</definedName>
    <definedName name="Rpt_RSS_Name" hidden="0" function="0" vbProcedure="0">#ref!</definedName>
    <definedName name="Rpt_ScaleFactor" hidden="0" function="0" vbProcedure="0">#ref!</definedName>
    <definedName name="Rpt_SecondDD" hidden="0" function="0" vbProcedure="0">#ref!</definedName>
    <definedName name="Rpt_Sens_ActualHSI_BO0" hidden="0" function="0" vbProcedure="0">#ref!</definedName>
    <definedName name="Rpt_Sens_ActualHSI_BO1" hidden="0" function="0" vbProcedure="0">#ref!</definedName>
    <definedName name="Rpt_Sens_ActualHSI_BO10" hidden="0" function="0" vbProcedure="0">#ref!</definedName>
    <definedName name="Rpt_Sens_ActualHSI_BO2" hidden="0" function="0" vbProcedure="0">#ref!</definedName>
    <definedName name="Rpt_Sens_ActualHSI_BO3" hidden="0" function="0" vbProcedure="0">#ref!</definedName>
    <definedName name="Rpt_Sens_ActualHSI_BO4" hidden="0" function="0" vbProcedure="0">#ref!</definedName>
    <definedName name="Rpt_Sens_ActualHSI_BO5" hidden="0" function="0" vbProcedure="0">#ref!</definedName>
    <definedName name="Rpt_Sens_ActualHSI_BO6" hidden="0" function="0" vbProcedure="0">#ref!</definedName>
    <definedName name="Rpt_Sens_ActualHSI_BO7" hidden="0" function="0" vbProcedure="0">#ref!</definedName>
    <definedName name="Rpt_Sens_ActualHSI_BO8" hidden="0" function="0" vbProcedure="0">#ref!</definedName>
    <definedName name="Rpt_Sens_ActualHSI_BO9" hidden="0" function="0" vbProcedure="0">#ref!</definedName>
    <definedName name="Rpt_Sens_ActualHSI_BO_Current" hidden="0" function="0" vbProcedure="0">#ref!</definedName>
    <definedName name="Rpt_Sens_ActualHSI_BO_Unit" hidden="0" function="0" vbProcedure="0">#ref!</definedName>
    <definedName name="Rpt_Sens_ActualJIF_BO0" hidden="0" function="0" vbProcedure="0">#ref!</definedName>
    <definedName name="Rpt_Sens_ActualJIF_BO1" hidden="0" function="0" vbProcedure="0">#ref!</definedName>
    <definedName name="Rpt_Sens_ActualJIF_BO10" hidden="0" function="0" vbProcedure="0">#ref!</definedName>
    <definedName name="Rpt_Sens_ActualJIF_BO2" hidden="0" function="0" vbProcedure="0">#ref!</definedName>
    <definedName name="Rpt_Sens_ActualJIF_BO3" hidden="0" function="0" vbProcedure="0">#ref!</definedName>
    <definedName name="Rpt_Sens_ActualJIF_BO4" hidden="0" function="0" vbProcedure="0">#ref!</definedName>
    <definedName name="Rpt_Sens_ActualJIF_BO5" hidden="0" function="0" vbProcedure="0">#ref!</definedName>
    <definedName name="Rpt_Sens_ActualJIF_BO6" hidden="0" function="0" vbProcedure="0">#ref!</definedName>
    <definedName name="Rpt_Sens_ActualJIF_BO7" hidden="0" function="0" vbProcedure="0">#ref!</definedName>
    <definedName name="Rpt_Sens_ActualJIF_BO8" hidden="0" function="0" vbProcedure="0">#ref!</definedName>
    <definedName name="Rpt_Sens_ActualJIF_BO9" hidden="0" function="0" vbProcedure="0">#ref!</definedName>
    <definedName name="Rpt_Sens_ActualJIF_BO_Current" hidden="0" function="0" vbProcedure="0">#ref!</definedName>
    <definedName name="Rpt_Sens_ActualJIF_BO_Unit" hidden="0" function="0" vbProcedure="0">#ref!</definedName>
    <definedName name="Rpt_Sens_Annulus_PDrop0" hidden="0" function="0" vbProcedure="0">#ref!</definedName>
    <definedName name="Rpt_Sens_Annulus_PDrop1" hidden="0" function="0" vbProcedure="0">#ref!</definedName>
    <definedName name="Rpt_Sens_Annulus_PDrop10" hidden="0" function="0" vbProcedure="0">#ref!</definedName>
    <definedName name="Rpt_Sens_Annulus_PDrop2" hidden="0" function="0" vbProcedure="0">#ref!</definedName>
    <definedName name="Rpt_Sens_Annulus_PDrop3" hidden="0" function="0" vbProcedure="0">#ref!</definedName>
    <definedName name="Rpt_Sens_Annulus_PDrop4" hidden="0" function="0" vbProcedure="0">#ref!</definedName>
    <definedName name="Rpt_Sens_Annulus_PDrop5" hidden="0" function="0" vbProcedure="0">#ref!</definedName>
    <definedName name="Rpt_Sens_Annulus_PDrop6" hidden="0" function="0" vbProcedure="0">#ref!</definedName>
    <definedName name="Rpt_Sens_Annulus_PDrop7" hidden="0" function="0" vbProcedure="0">#ref!</definedName>
    <definedName name="Rpt_Sens_Annulus_PDrop8" hidden="0" function="0" vbProcedure="0">#ref!</definedName>
    <definedName name="Rpt_Sens_Annulus_PDrop9" hidden="0" function="0" vbProcedure="0">#ref!</definedName>
    <definedName name="Rpt_Sens_Annulus_PDrop_Current" hidden="0" function="0" vbProcedure="0">#ref!</definedName>
    <definedName name="Rpt_Sens_Annulus_PDrop_Unit" hidden="0" function="0" vbProcedure="0">#ref!</definedName>
    <definedName name="Rpt_Sens_BHA_Data" hidden="0" function="0" vbProcedure="0">#ref!</definedName>
    <definedName name="Rpt_Sens_BitFlowRes_PDrop0" hidden="0" function="0" vbProcedure="0">#ref!</definedName>
    <definedName name="Rpt_Sens_BitFlowRes_PDrop1" hidden="0" function="0" vbProcedure="0">#ref!</definedName>
    <definedName name="Rpt_Sens_BitFlowRes_PDrop10" hidden="0" function="0" vbProcedure="0">#ref!</definedName>
    <definedName name="Rpt_Sens_BitFlowRes_PDrop2" hidden="0" function="0" vbProcedure="0">#ref!</definedName>
    <definedName name="Rpt_Sens_BitFlowRes_PDrop3" hidden="0" function="0" vbProcedure="0">#ref!</definedName>
    <definedName name="Rpt_Sens_BitFlowRes_PDrop4" hidden="0" function="0" vbProcedure="0">#ref!</definedName>
    <definedName name="Rpt_Sens_BitFlowRes_PDrop5" hidden="0" function="0" vbProcedure="0">#ref!</definedName>
    <definedName name="Rpt_Sens_BitFlowRes_PDrop6" hidden="0" function="0" vbProcedure="0">#ref!</definedName>
    <definedName name="Rpt_Sens_BitFlowRes_PDrop7" hidden="0" function="0" vbProcedure="0">#ref!</definedName>
    <definedName name="Rpt_Sens_BitFlowRes_PDrop8" hidden="0" function="0" vbProcedure="0">#ref!</definedName>
    <definedName name="Rpt_Sens_BitFlowRes_PDrop9" hidden="0" function="0" vbProcedure="0">#ref!</definedName>
    <definedName name="Rpt_Sens_BitFlowRes_PDrop_Current" hidden="0" function="0" vbProcedure="0">#ref!</definedName>
    <definedName name="Rpt_Sens_BitFlowRes_PDrop_Unit" hidden="0" function="0" vbProcedure="0">#ref!</definedName>
    <definedName name="Rpt_Sens_BitNozzle_PDrop0" hidden="0" function="0" vbProcedure="0">#ref!</definedName>
    <definedName name="Rpt_Sens_BitNozzle_PDrop1" hidden="0" function="0" vbProcedure="0">#ref!</definedName>
    <definedName name="Rpt_Sens_BitNozzle_PDrop10" hidden="0" function="0" vbProcedure="0">#ref!</definedName>
    <definedName name="Rpt_Sens_BitNozzle_PDrop2" hidden="0" function="0" vbProcedure="0">#ref!</definedName>
    <definedName name="Rpt_Sens_BitNozzle_PDrop3" hidden="0" function="0" vbProcedure="0">#ref!</definedName>
    <definedName name="Rpt_Sens_BitNozzle_PDrop4" hidden="0" function="0" vbProcedure="0">#ref!</definedName>
    <definedName name="Rpt_Sens_BitNozzle_PDrop5" hidden="0" function="0" vbProcedure="0">#ref!</definedName>
    <definedName name="Rpt_Sens_BitNozzle_PDrop6" hidden="0" function="0" vbProcedure="0">#ref!</definedName>
    <definedName name="Rpt_Sens_BitNozzle_PDrop7" hidden="0" function="0" vbProcedure="0">#ref!</definedName>
    <definedName name="Rpt_Sens_BitNozzle_PDrop8" hidden="0" function="0" vbProcedure="0">#ref!</definedName>
    <definedName name="Rpt_Sens_BitNozzle_PDrop9" hidden="0" function="0" vbProcedure="0">#ref!</definedName>
    <definedName name="Rpt_Sens_BitNozzle_PDrop_Current" hidden="0" function="0" vbProcedure="0">#ref!</definedName>
    <definedName name="Rpt_Sens_BitNozzle_PDrop_Unit" hidden="0" function="0" vbProcedure="0">#ref!</definedName>
    <definedName name="Rpt_Sens_Bit_ECD0" hidden="0" function="0" vbProcedure="0">#ref!</definedName>
    <definedName name="Rpt_Sens_Bit_ECD1" hidden="0" function="0" vbProcedure="0">#ref!</definedName>
    <definedName name="Rpt_Sens_Bit_ECD10" hidden="0" function="0" vbProcedure="0">#ref!</definedName>
    <definedName name="Rpt_Sens_Bit_ECD2" hidden="0" function="0" vbProcedure="0">#ref!</definedName>
    <definedName name="Rpt_Sens_Bit_ECD3" hidden="0" function="0" vbProcedure="0">#ref!</definedName>
    <definedName name="Rpt_Sens_Bit_ECD4" hidden="0" function="0" vbProcedure="0">#ref!</definedName>
    <definedName name="Rpt_Sens_Bit_ECD5" hidden="0" function="0" vbProcedure="0">#ref!</definedName>
    <definedName name="Rpt_Sens_Bit_ECD6" hidden="0" function="0" vbProcedure="0">#ref!</definedName>
    <definedName name="Rpt_Sens_Bit_ECD7" hidden="0" function="0" vbProcedure="0">#ref!</definedName>
    <definedName name="Rpt_Sens_Bit_ECD8" hidden="0" function="0" vbProcedure="0">#ref!</definedName>
    <definedName name="Rpt_Sens_Bit_ECD9" hidden="0" function="0" vbProcedure="0">#ref!</definedName>
    <definedName name="Rpt_Sens_Bit_ECD_Current" hidden="0" function="0" vbProcedure="0">#ref!</definedName>
    <definedName name="Rpt_Sens_Bit_ECD_Unit" hidden="0" function="0" vbProcedure="0">#ref!</definedName>
    <definedName name="Rpt_Sens_Bit_Flowrate0" hidden="0" function="0" vbProcedure="0">#ref!</definedName>
    <definedName name="Rpt_Sens_Bit_Flowrate1" hidden="0" function="0" vbProcedure="0">#ref!</definedName>
    <definedName name="Rpt_Sens_Bit_Flowrate10" hidden="0" function="0" vbProcedure="0">#ref!</definedName>
    <definedName name="Rpt_Sens_Bit_Flowrate2" hidden="0" function="0" vbProcedure="0">#ref!</definedName>
    <definedName name="Rpt_Sens_Bit_Flowrate3" hidden="0" function="0" vbProcedure="0">#ref!</definedName>
    <definedName name="Rpt_Sens_Bit_Flowrate4" hidden="0" function="0" vbProcedure="0">#ref!</definedName>
    <definedName name="Rpt_Sens_Bit_Flowrate5" hidden="0" function="0" vbProcedure="0">#ref!</definedName>
    <definedName name="Rpt_Sens_Bit_Flowrate6" hidden="0" function="0" vbProcedure="0">#ref!</definedName>
    <definedName name="Rpt_Sens_Bit_Flowrate7" hidden="0" function="0" vbProcedure="0">#ref!</definedName>
    <definedName name="Rpt_Sens_Bit_Flowrate8" hidden="0" function="0" vbProcedure="0">#ref!</definedName>
    <definedName name="Rpt_Sens_Bit_Flowrate9" hidden="0" function="0" vbProcedure="0">#ref!</definedName>
    <definedName name="Rpt_Sens_Bit_Flowrate_Current" hidden="0" function="0" vbProcedure="0">#ref!</definedName>
    <definedName name="Rpt_Sens_Bit_Flowrate_Unit" hidden="0" function="0" vbProcedure="0">#ref!</definedName>
    <definedName name="Rpt_Sens_Chokeline_PDrop0" hidden="0" function="0" vbProcedure="0">#ref!</definedName>
    <definedName name="Rpt_Sens_Chokeline_PDrop1" hidden="0" function="0" vbProcedure="0">#ref!</definedName>
    <definedName name="Rpt_Sens_Chokeline_PDrop10" hidden="0" function="0" vbProcedure="0">#ref!</definedName>
    <definedName name="Rpt_Sens_Chokeline_PDrop2" hidden="0" function="0" vbProcedure="0">#ref!</definedName>
    <definedName name="Rpt_Sens_Chokeline_PDrop3" hidden="0" function="0" vbProcedure="0">#ref!</definedName>
    <definedName name="Rpt_Sens_Chokeline_PDrop4" hidden="0" function="0" vbProcedure="0">#ref!</definedName>
    <definedName name="Rpt_Sens_Chokeline_PDrop5" hidden="0" function="0" vbProcedure="0">#ref!</definedName>
    <definedName name="Rpt_Sens_Chokeline_PDrop6" hidden="0" function="0" vbProcedure="0">#ref!</definedName>
    <definedName name="Rpt_Sens_Chokeline_PDrop7" hidden="0" function="0" vbProcedure="0">#ref!</definedName>
    <definedName name="Rpt_Sens_Chokeline_PDrop8" hidden="0" function="0" vbProcedure="0">#ref!</definedName>
    <definedName name="Rpt_Sens_Chokeline_PDrop9" hidden="0" function="0" vbProcedure="0">#ref!</definedName>
    <definedName name="Rpt_Sens_Chokeline_PDrop_Current" hidden="0" function="0" vbProcedure="0">#ref!</definedName>
    <definedName name="Rpt_Sens_Chokeline_PDrop_Unit" hidden="0" function="0" vbProcedure="0">#ref!</definedName>
    <definedName name="Rpt_Sens_Date" hidden="0" function="0" vbProcedure="0">#ref!</definedName>
    <definedName name="Rpt_Sens_Depth_ECD0" hidden="0" function="0" vbProcedure="0">#ref!</definedName>
    <definedName name="Rpt_Sens_Depth_ECD1" hidden="0" function="0" vbProcedure="0">#ref!</definedName>
    <definedName name="Rpt_Sens_Depth_ECD10" hidden="0" function="0" vbProcedure="0">#ref!</definedName>
    <definedName name="Rpt_Sens_Depth_ECD2" hidden="0" function="0" vbProcedure="0">#ref!</definedName>
    <definedName name="Rpt_Sens_Depth_ECD3" hidden="0" function="0" vbProcedure="0">#ref!</definedName>
    <definedName name="Rpt_Sens_Depth_ECD4" hidden="0" function="0" vbProcedure="0">#ref!</definedName>
    <definedName name="Rpt_Sens_Depth_ECD5" hidden="0" function="0" vbProcedure="0">#ref!</definedName>
    <definedName name="Rpt_Sens_Depth_ECD6" hidden="0" function="0" vbProcedure="0">#ref!</definedName>
    <definedName name="Rpt_Sens_Depth_ECD7" hidden="0" function="0" vbProcedure="0">#ref!</definedName>
    <definedName name="Rpt_Sens_Depth_ECD8" hidden="0" function="0" vbProcedure="0">#ref!</definedName>
    <definedName name="Rpt_Sens_Depth_ECD9" hidden="0" function="0" vbProcedure="0">#ref!</definedName>
    <definedName name="Rpt_Sens_Depth_ECD_Current" hidden="0" function="0" vbProcedure="0">#ref!</definedName>
    <definedName name="Rpt_Sens_Depth_ECD_Label" hidden="0" function="0" vbProcedure="0">#ref!</definedName>
    <definedName name="Rpt_Sens_Depth_ECD_Unit" hidden="0" function="0" vbProcedure="0">#ref!</definedName>
    <definedName name="Rpt_Sens_DrillString_PDrop0" hidden="0" function="0" vbProcedure="0">#ref!</definedName>
    <definedName name="Rpt_Sens_DrillString_PDrop1" hidden="0" function="0" vbProcedure="0">#ref!</definedName>
    <definedName name="Rpt_Sens_DrillString_PDrop10" hidden="0" function="0" vbProcedure="0">#ref!</definedName>
    <definedName name="Rpt_Sens_DrillString_PDrop2" hidden="0" function="0" vbProcedure="0">#ref!</definedName>
    <definedName name="Rpt_Sens_DrillString_PDrop3" hidden="0" function="0" vbProcedure="0">#ref!</definedName>
    <definedName name="Rpt_Sens_DrillString_PDrop4" hidden="0" function="0" vbProcedure="0">#ref!</definedName>
    <definedName name="Rpt_Sens_DrillString_PDrop5" hidden="0" function="0" vbProcedure="0">#ref!</definedName>
    <definedName name="Rpt_Sens_DrillString_PDrop6" hidden="0" function="0" vbProcedure="0">#ref!</definedName>
    <definedName name="Rpt_Sens_DrillString_PDrop7" hidden="0" function="0" vbProcedure="0">#ref!</definedName>
    <definedName name="Rpt_Sens_DrillString_PDrop8" hidden="0" function="0" vbProcedure="0">#ref!</definedName>
    <definedName name="Rpt_Sens_DrillString_PDrop9" hidden="0" function="0" vbProcedure="0">#ref!</definedName>
    <definedName name="Rpt_Sens_DrillString_PDrop_Current" hidden="0" function="0" vbProcedure="0">#ref!</definedName>
    <definedName name="Rpt_Sens_DrillString_PDrop_Unit" hidden="0" function="0" vbProcedure="0">#ref!</definedName>
    <definedName name="Rpt_Sens_FlowPerc_Reamer0" hidden="0" function="0" vbProcedure="0">#ref!</definedName>
    <definedName name="Rpt_Sens_FlowPerc_Reamer1" hidden="0" function="0" vbProcedure="0">#ref!</definedName>
    <definedName name="Rpt_Sens_FlowPerc_Reamer10" hidden="0" function="0" vbProcedure="0">#ref!</definedName>
    <definedName name="Rpt_Sens_FlowPerc_Reamer2" hidden="0" function="0" vbProcedure="0">#ref!</definedName>
    <definedName name="Rpt_Sens_FlowPerc_Reamer3" hidden="0" function="0" vbProcedure="0">#ref!</definedName>
    <definedName name="Rpt_Sens_FlowPerc_Reamer4" hidden="0" function="0" vbProcedure="0">#ref!</definedName>
    <definedName name="Rpt_Sens_FlowPerc_Reamer5" hidden="0" function="0" vbProcedure="0">#ref!</definedName>
    <definedName name="Rpt_Sens_FlowPerc_Reamer6" hidden="0" function="0" vbProcedure="0">#ref!</definedName>
    <definedName name="Rpt_Sens_FlowPerc_Reamer7" hidden="0" function="0" vbProcedure="0">#ref!</definedName>
    <definedName name="Rpt_Sens_FlowPerc_Reamer8" hidden="0" function="0" vbProcedure="0">#ref!</definedName>
    <definedName name="Rpt_Sens_FlowPerc_Reamer9" hidden="0" function="0" vbProcedure="0">#ref!</definedName>
    <definedName name="Rpt_Sens_FlowPerc_Reamer_Current" hidden="0" function="0" vbProcedure="0">#ref!</definedName>
    <definedName name="Rpt_Sens_Flowrate_BO0" hidden="0" function="0" vbProcedure="0">#ref!</definedName>
    <definedName name="Rpt_Sens_Flowrate_BO1" hidden="0" function="0" vbProcedure="0">#ref!</definedName>
    <definedName name="Rpt_Sens_Flowrate_BO10" hidden="0" function="0" vbProcedure="0">#ref!</definedName>
    <definedName name="Rpt_Sens_Flowrate_BO2" hidden="0" function="0" vbProcedure="0">#ref!</definedName>
    <definedName name="Rpt_Sens_Flowrate_BO3" hidden="0" function="0" vbProcedure="0">#ref!</definedName>
    <definedName name="Rpt_Sens_Flowrate_BO4" hidden="0" function="0" vbProcedure="0">#ref!</definedName>
    <definedName name="Rpt_Sens_Flowrate_BO5" hidden="0" function="0" vbProcedure="0">#ref!</definedName>
    <definedName name="Rpt_Sens_Flowrate_BO6" hidden="0" function="0" vbProcedure="0">#ref!</definedName>
    <definedName name="Rpt_Sens_Flowrate_BO7" hidden="0" function="0" vbProcedure="0">#ref!</definedName>
    <definedName name="Rpt_Sens_Flowrate_BO8" hidden="0" function="0" vbProcedure="0">#ref!</definedName>
    <definedName name="Rpt_Sens_Flowrate_BO9" hidden="0" function="0" vbProcedure="0">#ref!</definedName>
    <definedName name="Rpt_Sens_Flowrate_BO_Current" hidden="0" function="0" vbProcedure="0">#ref!</definedName>
    <definedName name="Rpt_Sens_Flowrate_BO_Unit" hidden="0" function="0" vbProcedure="0">#ref!</definedName>
    <definedName name="Rpt_Sens_Flowrate_Reamer0" hidden="0" function="0" vbProcedure="0">#ref!</definedName>
    <definedName name="Rpt_Sens_Flowrate_Reamer1" hidden="0" function="0" vbProcedure="0">#ref!</definedName>
    <definedName name="Rpt_Sens_Flowrate_Reamer10" hidden="0" function="0" vbProcedure="0">#ref!</definedName>
    <definedName name="Rpt_Sens_Flowrate_Reamer2" hidden="0" function="0" vbProcedure="0">#ref!</definedName>
    <definedName name="Rpt_Sens_Flowrate_Reamer3" hidden="0" function="0" vbProcedure="0">#ref!</definedName>
    <definedName name="Rpt_Sens_Flowrate_Reamer4" hidden="0" function="0" vbProcedure="0">#ref!</definedName>
    <definedName name="Rpt_Sens_Flowrate_Reamer5" hidden="0" function="0" vbProcedure="0">#ref!</definedName>
    <definedName name="Rpt_Sens_Flowrate_Reamer6" hidden="0" function="0" vbProcedure="0">#ref!</definedName>
    <definedName name="Rpt_Sens_Flowrate_Reamer7" hidden="0" function="0" vbProcedure="0">#ref!</definedName>
    <definedName name="Rpt_Sens_Flowrate_Reamer8" hidden="0" function="0" vbProcedure="0">#ref!</definedName>
    <definedName name="Rpt_Sens_Flowrate_Reamer9" hidden="0" function="0" vbProcedure="0">#ref!</definedName>
    <definedName name="Rpt_Sens_Flowrate_Reamer_Current" hidden="0" function="0" vbProcedure="0">#ref!</definedName>
    <definedName name="Rpt_Sens_Flowrate_Reamer_Unit" hidden="0" function="0" vbProcedure="0">#ref!</definedName>
    <definedName name="Rpt_Sens_FlowRes_PDrop0" hidden="0" function="0" vbProcedure="0">#ref!</definedName>
    <definedName name="Rpt_Sens_FlowRes_PDrop1" hidden="0" function="0" vbProcedure="0">#ref!</definedName>
    <definedName name="Rpt_Sens_FlowRes_PDrop10" hidden="0" function="0" vbProcedure="0">#ref!</definedName>
    <definedName name="Rpt_Sens_FlowRes_PDrop2" hidden="0" function="0" vbProcedure="0">#ref!</definedName>
    <definedName name="Rpt_Sens_FlowRes_PDrop3" hidden="0" function="0" vbProcedure="0">#ref!</definedName>
    <definedName name="Rpt_Sens_FlowRes_PDrop4" hidden="0" function="0" vbProcedure="0">#ref!</definedName>
    <definedName name="Rpt_Sens_FlowRes_PDrop5" hidden="0" function="0" vbProcedure="0">#ref!</definedName>
    <definedName name="Rpt_Sens_FlowRes_PDrop6" hidden="0" function="0" vbProcedure="0">#ref!</definedName>
    <definedName name="Rpt_Sens_FlowRes_PDrop7" hidden="0" function="0" vbProcedure="0">#ref!</definedName>
    <definedName name="Rpt_Sens_FlowRes_PDrop8" hidden="0" function="0" vbProcedure="0">#ref!</definedName>
    <definedName name="Rpt_Sens_FlowRes_PDrop9" hidden="0" function="0" vbProcedure="0">#ref!</definedName>
    <definedName name="Rpt_Sens_FlowRes_PDrop_Current" hidden="0" function="0" vbProcedure="0">#ref!</definedName>
    <definedName name="Rpt_Sens_FlowRes_PDrop_Unit" hidden="0" function="0" vbProcedure="0">#ref!</definedName>
    <definedName name="Rpt_Sens_HPSI_BO0" hidden="0" function="0" vbProcedure="0">#ref!</definedName>
    <definedName name="Rpt_Sens_HPSI_BO1" hidden="0" function="0" vbProcedure="0">#ref!</definedName>
    <definedName name="Rpt_Sens_HPSI_BO10" hidden="0" function="0" vbProcedure="0">#ref!</definedName>
    <definedName name="Rpt_Sens_HPSI_BO2" hidden="0" function="0" vbProcedure="0">#ref!</definedName>
    <definedName name="Rpt_Sens_HPSI_BO3" hidden="0" function="0" vbProcedure="0">#ref!</definedName>
    <definedName name="Rpt_Sens_HPSI_BO4" hidden="0" function="0" vbProcedure="0">#ref!</definedName>
    <definedName name="Rpt_Sens_HPSI_BO5" hidden="0" function="0" vbProcedure="0">#ref!</definedName>
    <definedName name="Rpt_Sens_HPSI_BO6" hidden="0" function="0" vbProcedure="0">#ref!</definedName>
    <definedName name="Rpt_Sens_HPSI_BO7" hidden="0" function="0" vbProcedure="0">#ref!</definedName>
    <definedName name="Rpt_Sens_HPSI_BO8" hidden="0" function="0" vbProcedure="0">#ref!</definedName>
    <definedName name="Rpt_Sens_HPSI_BO9" hidden="0" function="0" vbProcedure="0">#ref!</definedName>
    <definedName name="Rpt_Sens_HPSI_BO_Current" hidden="0" function="0" vbProcedure="0">#ref!</definedName>
    <definedName name="Rpt_Sens_HPSI_BO_Unit" hidden="0" function="0" vbProcedure="0">#ref!</definedName>
    <definedName name="Rpt_Sens_HydPow_BO0" hidden="0" function="0" vbProcedure="0">#ref!</definedName>
    <definedName name="Rpt_Sens_HydPow_BO1" hidden="0" function="0" vbProcedure="0">#ref!</definedName>
    <definedName name="Rpt_Sens_HydPow_BO10" hidden="0" function="0" vbProcedure="0">#ref!</definedName>
    <definedName name="Rpt_Sens_HydPow_BO2" hidden="0" function="0" vbProcedure="0">#ref!</definedName>
    <definedName name="Rpt_Sens_HydPow_BO3" hidden="0" function="0" vbProcedure="0">#ref!</definedName>
    <definedName name="Rpt_Sens_HydPow_BO4" hidden="0" function="0" vbProcedure="0">#ref!</definedName>
    <definedName name="Rpt_Sens_HydPow_BO5" hidden="0" function="0" vbProcedure="0">#ref!</definedName>
    <definedName name="Rpt_Sens_HydPow_BO6" hidden="0" function="0" vbProcedure="0">#ref!</definedName>
    <definedName name="Rpt_Sens_HydPow_BO7" hidden="0" function="0" vbProcedure="0">#ref!</definedName>
    <definedName name="Rpt_Sens_HydPow_BO8" hidden="0" function="0" vbProcedure="0">#ref!</definedName>
    <definedName name="Rpt_Sens_HydPow_BO9" hidden="0" function="0" vbProcedure="0">#ref!</definedName>
    <definedName name="Rpt_Sens_HydPow_BO_Current" hidden="0" function="0" vbProcedure="0">#ref!</definedName>
    <definedName name="Rpt_Sens_HydPow_BO_Unit" hidden="0" function="0" vbProcedure="0">#ref!</definedName>
    <definedName name="Rpt_Sens_HydPow_Reamer0" hidden="0" function="0" vbProcedure="0">#ref!</definedName>
    <definedName name="Rpt_Sens_HydPow_Reamer1" hidden="0" function="0" vbProcedure="0">#ref!</definedName>
    <definedName name="Rpt_Sens_HydPow_Reamer10" hidden="0" function="0" vbProcedure="0">#ref!</definedName>
    <definedName name="Rpt_Sens_HydPow_Reamer2" hidden="0" function="0" vbProcedure="0">#ref!</definedName>
    <definedName name="Rpt_Sens_HydPow_Reamer3" hidden="0" function="0" vbProcedure="0">#ref!</definedName>
    <definedName name="Rpt_Sens_HydPow_Reamer4" hidden="0" function="0" vbProcedure="0">#ref!</definedName>
    <definedName name="Rpt_Sens_HydPow_Reamer5" hidden="0" function="0" vbProcedure="0">#ref!</definedName>
    <definedName name="Rpt_Sens_HydPow_Reamer6" hidden="0" function="0" vbProcedure="0">#ref!</definedName>
    <definedName name="Rpt_Sens_HydPow_Reamer7" hidden="0" function="0" vbProcedure="0">#ref!</definedName>
    <definedName name="Rpt_Sens_HydPow_Reamer8" hidden="0" function="0" vbProcedure="0">#ref!</definedName>
    <definedName name="Rpt_Sens_HydPow_Reamer9" hidden="0" function="0" vbProcedure="0">#ref!</definedName>
    <definedName name="Rpt_Sens_HydPow_Reamer_Current" hidden="0" function="0" vbProcedure="0">#ref!</definedName>
    <definedName name="Rpt_Sens_HydPow_Reamer_Unit" hidden="0" function="0" vbProcedure="0">#ref!</definedName>
    <definedName name="Rpt_Sens_Imbalance_PDrop0" hidden="0" function="0" vbProcedure="0">#ref!</definedName>
    <definedName name="Rpt_Sens_Imbalance_PDrop1" hidden="0" function="0" vbProcedure="0">#ref!</definedName>
    <definedName name="Rpt_Sens_Imbalance_PDrop10" hidden="0" function="0" vbProcedure="0">#ref!</definedName>
    <definedName name="Rpt_Sens_Imbalance_PDrop2" hidden="0" function="0" vbProcedure="0">#ref!</definedName>
    <definedName name="Rpt_Sens_Imbalance_PDrop3" hidden="0" function="0" vbProcedure="0">#ref!</definedName>
    <definedName name="Rpt_Sens_Imbalance_PDrop4" hidden="0" function="0" vbProcedure="0">#ref!</definedName>
    <definedName name="Rpt_Sens_Imbalance_PDrop5" hidden="0" function="0" vbProcedure="0">#ref!</definedName>
    <definedName name="Rpt_Sens_Imbalance_PDrop6" hidden="0" function="0" vbProcedure="0">#ref!</definedName>
    <definedName name="Rpt_Sens_Imbalance_PDrop7" hidden="0" function="0" vbProcedure="0">#ref!</definedName>
    <definedName name="Rpt_Sens_Imbalance_PDrop8" hidden="0" function="0" vbProcedure="0">#ref!</definedName>
    <definedName name="Rpt_Sens_Imbalance_PDrop9" hidden="0" function="0" vbProcedure="0">#ref!</definedName>
    <definedName name="Rpt_Sens_Imbalance_PDrop_Current" hidden="0" function="0" vbProcedure="0">#ref!</definedName>
    <definedName name="Rpt_Sens_Imbalance_PDrop_Unit" hidden="0" function="0" vbProcedure="0">#ref!</definedName>
    <definedName name="Rpt_Sens_JetVelocity_BO0" hidden="0" function="0" vbProcedure="0">#ref!</definedName>
    <definedName name="Rpt_Sens_JetVelocity_BO1" hidden="0" function="0" vbProcedure="0">#ref!</definedName>
    <definedName name="Rpt_Sens_JetVelocity_BO10" hidden="0" function="0" vbProcedure="0">#ref!</definedName>
    <definedName name="Rpt_Sens_JetVelocity_BO2" hidden="0" function="0" vbProcedure="0">#ref!</definedName>
    <definedName name="Rpt_Sens_JetVelocity_BO3" hidden="0" function="0" vbProcedure="0">#ref!</definedName>
    <definedName name="Rpt_Sens_JetVelocity_BO4" hidden="0" function="0" vbProcedure="0">#ref!</definedName>
    <definedName name="Rpt_Sens_JetVelocity_BO5" hidden="0" function="0" vbProcedure="0">#ref!</definedName>
    <definedName name="Rpt_Sens_JetVelocity_BO6" hidden="0" function="0" vbProcedure="0">#ref!</definedName>
    <definedName name="Rpt_Sens_JetVelocity_BO7" hidden="0" function="0" vbProcedure="0">#ref!</definedName>
    <definedName name="Rpt_Sens_JetVelocity_BO8" hidden="0" function="0" vbProcedure="0">#ref!</definedName>
    <definedName name="Rpt_Sens_JetVelocity_BO9" hidden="0" function="0" vbProcedure="0">#ref!</definedName>
    <definedName name="Rpt_Sens_JetVelocity_BO_Current" hidden="0" function="0" vbProcedure="0">#ref!</definedName>
    <definedName name="Rpt_Sens_JetVelocity_BO_Unit" hidden="0" function="0" vbProcedure="0">#ref!</definedName>
    <definedName name="Rpt_Sens_JetVelocity_Reamer0" hidden="0" function="0" vbProcedure="0">#ref!</definedName>
    <definedName name="Rpt_Sens_JetVelocity_Reamer1" hidden="0" function="0" vbProcedure="0">#ref!</definedName>
    <definedName name="Rpt_Sens_JetVelocity_Reamer10" hidden="0" function="0" vbProcedure="0">#ref!</definedName>
    <definedName name="Rpt_Sens_JetVelocity_Reamer2" hidden="0" function="0" vbProcedure="0">#ref!</definedName>
    <definedName name="Rpt_Sens_JetVelocity_Reamer3" hidden="0" function="0" vbProcedure="0">#ref!</definedName>
    <definedName name="Rpt_Sens_JetVelocity_Reamer4" hidden="0" function="0" vbProcedure="0">#ref!</definedName>
    <definedName name="Rpt_Sens_JetVelocity_Reamer5" hidden="0" function="0" vbProcedure="0">#ref!</definedName>
    <definedName name="Rpt_Sens_JetVelocity_Reamer6" hidden="0" function="0" vbProcedure="0">#ref!</definedName>
    <definedName name="Rpt_Sens_JetVelocity_Reamer7" hidden="0" function="0" vbProcedure="0">#ref!</definedName>
    <definedName name="Rpt_Sens_JetVelocity_Reamer8" hidden="0" function="0" vbProcedure="0">#ref!</definedName>
    <definedName name="Rpt_Sens_JetVelocity_Reamer9" hidden="0" function="0" vbProcedure="0">#ref!</definedName>
    <definedName name="Rpt_Sens_JetVelocity_Reamer_Current" hidden="0" function="0" vbProcedure="0">#ref!</definedName>
    <definedName name="Rpt_Sens_JetVelocity_Reamer_Unit" hidden="0" function="0" vbProcedure="0">#ref!</definedName>
    <definedName name="Rpt_Sens_JIF_BO0" hidden="0" function="0" vbProcedure="0">#ref!</definedName>
    <definedName name="Rpt_Sens_JIF_BO1" hidden="0" function="0" vbProcedure="0">#ref!</definedName>
    <definedName name="Rpt_Sens_JIF_BO10" hidden="0" function="0" vbProcedure="0">#ref!</definedName>
    <definedName name="Rpt_Sens_JIF_BO2" hidden="0" function="0" vbProcedure="0">#ref!</definedName>
    <definedName name="Rpt_Sens_JIF_BO3" hidden="0" function="0" vbProcedure="0">#ref!</definedName>
    <definedName name="Rpt_Sens_JIF_BO4" hidden="0" function="0" vbProcedure="0">#ref!</definedName>
    <definedName name="Rpt_Sens_JIF_BO5" hidden="0" function="0" vbProcedure="0">#ref!</definedName>
    <definedName name="Rpt_Sens_JIF_BO6" hidden="0" function="0" vbProcedure="0">#ref!</definedName>
    <definedName name="Rpt_Sens_JIF_BO7" hidden="0" function="0" vbProcedure="0">#ref!</definedName>
    <definedName name="Rpt_Sens_JIF_BO8" hidden="0" function="0" vbProcedure="0">#ref!</definedName>
    <definedName name="Rpt_Sens_JIF_BO9" hidden="0" function="0" vbProcedure="0">#ref!</definedName>
    <definedName name="Rpt_Sens_JIF_BO_Current" hidden="0" function="0" vbProcedure="0">#ref!</definedName>
    <definedName name="Rpt_Sens_JIF_BO_Unit" hidden="0" function="0" vbProcedure="0">#ref!</definedName>
    <definedName name="Rpt_Sens_MotorBearing_Flowrate0" hidden="0" function="0" vbProcedure="0">#ref!</definedName>
    <definedName name="Rpt_Sens_MotorBearing_Flowrate1" hidden="0" function="0" vbProcedure="0">#ref!</definedName>
    <definedName name="Rpt_Sens_MotorBearing_Flowrate10" hidden="0" function="0" vbProcedure="0">#ref!</definedName>
    <definedName name="Rpt_Sens_MotorBearing_Flowrate2" hidden="0" function="0" vbProcedure="0">#ref!</definedName>
    <definedName name="Rpt_Sens_MotorBearing_Flowrate3" hidden="0" function="0" vbProcedure="0">#ref!</definedName>
    <definedName name="Rpt_Sens_MotorBearing_Flowrate4" hidden="0" function="0" vbProcedure="0">#ref!</definedName>
    <definedName name="Rpt_Sens_MotorBearing_Flowrate5" hidden="0" function="0" vbProcedure="0">#ref!</definedName>
    <definedName name="Rpt_Sens_MotorBearing_Flowrate6" hidden="0" function="0" vbProcedure="0">#ref!</definedName>
    <definedName name="Rpt_Sens_MotorBearing_Flowrate7" hidden="0" function="0" vbProcedure="0">#ref!</definedName>
    <definedName name="Rpt_Sens_MotorBearing_Flowrate8" hidden="0" function="0" vbProcedure="0">#ref!</definedName>
    <definedName name="Rpt_Sens_MotorBearing_Flowrate9" hidden="0" function="0" vbProcedure="0">#ref!</definedName>
    <definedName name="Rpt_Sens_MotorBearing_Flowrate_Current" hidden="0" function="0" vbProcedure="0">#ref!</definedName>
    <definedName name="Rpt_Sens_MotorBearing_Flowrate_Unit" hidden="0" function="0" vbProcedure="0">#ref!</definedName>
    <definedName name="Rpt_Sens_MotorPower_Flowrate0" hidden="0" function="0" vbProcedure="0">#ref!</definedName>
    <definedName name="Rpt_Sens_MotorPower_Flowrate1" hidden="0" function="0" vbProcedure="0">#ref!</definedName>
    <definedName name="Rpt_Sens_MotorPower_Flowrate10" hidden="0" function="0" vbProcedure="0">#ref!</definedName>
    <definedName name="Rpt_Sens_MotorPower_Flowrate2" hidden="0" function="0" vbProcedure="0">#ref!</definedName>
    <definedName name="Rpt_Sens_MotorPower_Flowrate3" hidden="0" function="0" vbProcedure="0">#ref!</definedName>
    <definedName name="Rpt_Sens_MotorPower_Flowrate4" hidden="0" function="0" vbProcedure="0">#ref!</definedName>
    <definedName name="Rpt_Sens_MotorPower_Flowrate5" hidden="0" function="0" vbProcedure="0">#ref!</definedName>
    <definedName name="Rpt_Sens_MotorPower_Flowrate6" hidden="0" function="0" vbProcedure="0">#ref!</definedName>
    <definedName name="Rpt_Sens_MotorPower_Flowrate7" hidden="0" function="0" vbProcedure="0">#ref!</definedName>
    <definedName name="Rpt_Sens_MotorPower_Flowrate8" hidden="0" function="0" vbProcedure="0">#ref!</definedName>
    <definedName name="Rpt_Sens_MotorPower_Flowrate9" hidden="0" function="0" vbProcedure="0">#ref!</definedName>
    <definedName name="Rpt_Sens_MotorPower_Flowrate_Current" hidden="0" function="0" vbProcedure="0">#ref!</definedName>
    <definedName name="Rpt_Sens_MotorPower_Flowrate_Unit" hidden="0" function="0" vbProcedure="0">#ref!</definedName>
    <definedName name="Rpt_Sens_MotorRSS_PDrop0" hidden="0" function="0" vbProcedure="0">#ref!</definedName>
    <definedName name="Rpt_Sens_MotorRSS_PDrop1" hidden="0" function="0" vbProcedure="0">#ref!</definedName>
    <definedName name="Rpt_Sens_MotorRSS_PDrop10" hidden="0" function="0" vbProcedure="0">#ref!</definedName>
    <definedName name="Rpt_Sens_MotorRSS_PDrop2" hidden="0" function="0" vbProcedure="0">#ref!</definedName>
    <definedName name="Rpt_Sens_MotorRSS_PDrop3" hidden="0" function="0" vbProcedure="0">#ref!</definedName>
    <definedName name="Rpt_Sens_MotorRSS_PDrop4" hidden="0" function="0" vbProcedure="0">#ref!</definedName>
    <definedName name="Rpt_Sens_MotorRSS_PDrop5" hidden="0" function="0" vbProcedure="0">#ref!</definedName>
    <definedName name="Rpt_Sens_MotorRSS_PDrop6" hidden="0" function="0" vbProcedure="0">#ref!</definedName>
    <definedName name="Rpt_Sens_MotorRSS_PDrop7" hidden="0" function="0" vbProcedure="0">#ref!</definedName>
    <definedName name="Rpt_Sens_MotorRSS_PDrop8" hidden="0" function="0" vbProcedure="0">#ref!</definedName>
    <definedName name="Rpt_Sens_MotorRSS_PDrop9" hidden="0" function="0" vbProcedure="0">#ref!</definedName>
    <definedName name="Rpt_Sens_MotorRSS_PDrop_Current" hidden="0" function="0" vbProcedure="0">#ref!</definedName>
    <definedName name="Rpt_Sens_MotorRSS_PDrop_Unit" hidden="0" function="0" vbProcedure="0">#ref!</definedName>
    <definedName name="Rpt_Sens_PLoss_Reamer0" hidden="0" function="0" vbProcedure="0">#ref!</definedName>
    <definedName name="Rpt_Sens_PLoss_Reamer1" hidden="0" function="0" vbProcedure="0">#ref!</definedName>
    <definedName name="Rpt_Sens_PLoss_Reamer10" hidden="0" function="0" vbProcedure="0">#ref!</definedName>
    <definedName name="Rpt_Sens_PLoss_Reamer2" hidden="0" function="0" vbProcedure="0">#ref!</definedName>
    <definedName name="Rpt_Sens_PLoss_Reamer3" hidden="0" function="0" vbProcedure="0">#ref!</definedName>
    <definedName name="Rpt_Sens_PLoss_Reamer4" hidden="0" function="0" vbProcedure="0">#ref!</definedName>
    <definedName name="Rpt_Sens_PLoss_Reamer5" hidden="0" function="0" vbProcedure="0">#ref!</definedName>
    <definedName name="Rpt_Sens_PLoss_Reamer6" hidden="0" function="0" vbProcedure="0">#ref!</definedName>
    <definedName name="Rpt_Sens_PLoss_Reamer7" hidden="0" function="0" vbProcedure="0">#ref!</definedName>
    <definedName name="Rpt_Sens_PLoss_Reamer8" hidden="0" function="0" vbProcedure="0">#ref!</definedName>
    <definedName name="Rpt_Sens_PLoss_Reamer9" hidden="0" function="0" vbProcedure="0">#ref!</definedName>
    <definedName name="Rpt_Sens_PLoss_Reamer_Current" hidden="0" function="0" vbProcedure="0">#ref!</definedName>
    <definedName name="Rpt_Sens_PLoss_Reamer_Unit" hidden="0" function="0" vbProcedure="0">#ref!</definedName>
    <definedName name="Rpt_Sens_Pump_Flowrate0" hidden="0" function="0" vbProcedure="0">#ref!</definedName>
    <definedName name="Rpt_Sens_Pump_Flowrate1" hidden="0" function="0" vbProcedure="0">#ref!</definedName>
    <definedName name="Rpt_Sens_Pump_Flowrate10" hidden="0" function="0" vbProcedure="0">#ref!</definedName>
    <definedName name="Rpt_Sens_Pump_Flowrate2" hidden="0" function="0" vbProcedure="0">#ref!</definedName>
    <definedName name="Rpt_Sens_Pump_Flowrate3" hidden="0" function="0" vbProcedure="0">#ref!</definedName>
    <definedName name="Rpt_Sens_Pump_Flowrate4" hidden="0" function="0" vbProcedure="0">#ref!</definedName>
    <definedName name="Rpt_Sens_Pump_Flowrate5" hidden="0" function="0" vbProcedure="0">#ref!</definedName>
    <definedName name="Rpt_Sens_Pump_Flowrate6" hidden="0" function="0" vbProcedure="0">#ref!</definedName>
    <definedName name="Rpt_Sens_Pump_Flowrate7" hidden="0" function="0" vbProcedure="0">#ref!</definedName>
    <definedName name="Rpt_Sens_Pump_Flowrate8" hidden="0" function="0" vbProcedure="0">#ref!</definedName>
    <definedName name="Rpt_Sens_Pump_Flowrate9" hidden="0" function="0" vbProcedure="0">#ref!</definedName>
    <definedName name="Rpt_Sens_Pump_Flowrate_Current" hidden="0" function="0" vbProcedure="0">#ref!</definedName>
    <definedName name="Rpt_Sens_Pump_Flowrate_Unit" hidden="0" function="0" vbProcedure="0">#ref!</definedName>
    <definedName name="Rpt_Sens_Reamer_Flowrate0" hidden="0" function="0" vbProcedure="0">#ref!</definedName>
    <definedName name="Rpt_Sens_Reamer_Flowrate1" hidden="0" function="0" vbProcedure="0">#ref!</definedName>
    <definedName name="Rpt_Sens_Reamer_Flowrate10" hidden="0" function="0" vbProcedure="0">#ref!</definedName>
    <definedName name="Rpt_Sens_Reamer_Flowrate2" hidden="0" function="0" vbProcedure="0">#ref!</definedName>
    <definedName name="Rpt_Sens_Reamer_Flowrate3" hidden="0" function="0" vbProcedure="0">#ref!</definedName>
    <definedName name="Rpt_Sens_Reamer_Flowrate4" hidden="0" function="0" vbProcedure="0">#ref!</definedName>
    <definedName name="Rpt_Sens_Reamer_Flowrate5" hidden="0" function="0" vbProcedure="0">#ref!</definedName>
    <definedName name="Rpt_Sens_Reamer_Flowrate6" hidden="0" function="0" vbProcedure="0">#ref!</definedName>
    <definedName name="Rpt_Sens_Reamer_Flowrate7" hidden="0" function="0" vbProcedure="0">#ref!</definedName>
    <definedName name="Rpt_Sens_Reamer_Flowrate8" hidden="0" function="0" vbProcedure="0">#ref!</definedName>
    <definedName name="Rpt_Sens_Reamer_Flowrate9" hidden="0" function="0" vbProcedure="0">#ref!</definedName>
    <definedName name="Rpt_Sens_Reamer_Flowrate_Current" hidden="0" function="0" vbProcedure="0">#ref!</definedName>
    <definedName name="Rpt_Sens_Reamer_Flowrate_Unit" hidden="0" function="0" vbProcedure="0">#ref!</definedName>
    <definedName name="Rpt_Sens_Shoe_ECD0" hidden="0" function="0" vbProcedure="0">#ref!</definedName>
    <definedName name="Rpt_Sens_Shoe_ECD1" hidden="0" function="0" vbProcedure="0">#ref!</definedName>
    <definedName name="Rpt_Sens_Shoe_ECD10" hidden="0" function="0" vbProcedure="0">#ref!</definedName>
    <definedName name="Rpt_Sens_Shoe_ECD2" hidden="0" function="0" vbProcedure="0">#ref!</definedName>
    <definedName name="Rpt_Sens_Shoe_ECD3" hidden="0" function="0" vbProcedure="0">#ref!</definedName>
    <definedName name="Rpt_Sens_Shoe_ECD4" hidden="0" function="0" vbProcedure="0">#ref!</definedName>
    <definedName name="Rpt_Sens_Shoe_ECD5" hidden="0" function="0" vbProcedure="0">#ref!</definedName>
    <definedName name="Rpt_Sens_Shoe_ECD6" hidden="0" function="0" vbProcedure="0">#ref!</definedName>
    <definedName name="Rpt_Sens_Shoe_ECD7" hidden="0" function="0" vbProcedure="0">#ref!</definedName>
    <definedName name="Rpt_Sens_Shoe_ECD8" hidden="0" function="0" vbProcedure="0">#ref!</definedName>
    <definedName name="Rpt_Sens_Shoe_ECD9" hidden="0" function="0" vbProcedure="0">#ref!</definedName>
    <definedName name="Rpt_Sens_Shoe_ECD_Current" hidden="0" function="0" vbProcedure="0">#ref!</definedName>
    <definedName name="Rpt_Sens_Shoe_ECD_Unit" hidden="0" function="0" vbProcedure="0">#ref!</definedName>
    <definedName name="Rpt_Sens_SurEquip_PDrop0" hidden="0" function="0" vbProcedure="0">#ref!</definedName>
    <definedName name="Rpt_Sens_SurEquip_PDrop1" hidden="0" function="0" vbProcedure="0">#ref!</definedName>
    <definedName name="Rpt_Sens_SurEquip_PDrop10" hidden="0" function="0" vbProcedure="0">#ref!</definedName>
    <definedName name="Rpt_Sens_SurEquip_PDrop2" hidden="0" function="0" vbProcedure="0">#ref!</definedName>
    <definedName name="Rpt_Sens_SurEquip_PDrop3" hidden="0" function="0" vbProcedure="0">#ref!</definedName>
    <definedName name="Rpt_Sens_SurEquip_PDrop4" hidden="0" function="0" vbProcedure="0">#ref!</definedName>
    <definedName name="Rpt_Sens_SurEquip_PDrop5" hidden="0" function="0" vbProcedure="0">#ref!</definedName>
    <definedName name="Rpt_Sens_SurEquip_PDrop6" hidden="0" function="0" vbProcedure="0">#ref!</definedName>
    <definedName name="Rpt_Sens_SurEquip_PDrop7" hidden="0" function="0" vbProcedure="0">#ref!</definedName>
    <definedName name="Rpt_Sens_SurEquip_PDrop8" hidden="0" function="0" vbProcedure="0">#ref!</definedName>
    <definedName name="Rpt_Sens_SurEquip_PDrop9" hidden="0" function="0" vbProcedure="0">#ref!</definedName>
    <definedName name="Rpt_Sens_SurEquip_PDrop_Current" hidden="0" function="0" vbProcedure="0">#ref!</definedName>
    <definedName name="Rpt_Sens_SurEquip_PDrop_Unit" hidden="0" function="0" vbProcedure="0">#ref!</definedName>
    <definedName name="Rpt_Sens_Survey_Data" hidden="0" function="0" vbProcedure="0">#ref!</definedName>
    <definedName name="Rpt_Sens_Tool_PDrop0" hidden="0" function="0" vbProcedure="0">#ref!</definedName>
    <definedName name="Rpt_Sens_Tool_PDrop1" hidden="0" function="0" vbProcedure="0">#ref!</definedName>
    <definedName name="Rpt_Sens_Tool_PDrop10" hidden="0" function="0" vbProcedure="0">#ref!</definedName>
    <definedName name="Rpt_Sens_Tool_PDrop2" hidden="0" function="0" vbProcedure="0">#ref!</definedName>
    <definedName name="Rpt_Sens_Tool_PDrop3" hidden="0" function="0" vbProcedure="0">#ref!</definedName>
    <definedName name="Rpt_Sens_Tool_PDrop4" hidden="0" function="0" vbProcedure="0">#ref!</definedName>
    <definedName name="Rpt_Sens_Tool_PDrop5" hidden="0" function="0" vbProcedure="0">#ref!</definedName>
    <definedName name="Rpt_Sens_Tool_PDrop6" hidden="0" function="0" vbProcedure="0">#ref!</definedName>
    <definedName name="Rpt_Sens_Tool_PDrop7" hidden="0" function="0" vbProcedure="0">#ref!</definedName>
    <definedName name="Rpt_Sens_Tool_PDrop8" hidden="0" function="0" vbProcedure="0">#ref!</definedName>
    <definedName name="Rpt_Sens_Tool_PDrop9" hidden="0" function="0" vbProcedure="0">#ref!</definedName>
    <definedName name="Rpt_Sens_Tool_PDrop_Current" hidden="0" function="0" vbProcedure="0">#ref!</definedName>
    <definedName name="Rpt_Sens_Tool_PDrop_Unit" hidden="0" function="0" vbProcedure="0">#ref!</definedName>
    <definedName name="Rpt_Sens_Total_PDrop0" hidden="0" function="0" vbProcedure="0">#ref!</definedName>
    <definedName name="Rpt_Sens_Total_PDrop1" hidden="0" function="0" vbProcedure="0">#ref!</definedName>
    <definedName name="Rpt_Sens_Total_PDrop10" hidden="0" function="0" vbProcedure="0">#ref!</definedName>
    <definedName name="Rpt_Sens_Total_PDrop2" hidden="0" function="0" vbProcedure="0">#ref!</definedName>
    <definedName name="Rpt_Sens_Total_PDrop3" hidden="0" function="0" vbProcedure="0">#ref!</definedName>
    <definedName name="Rpt_Sens_Total_PDrop4" hidden="0" function="0" vbProcedure="0">#ref!</definedName>
    <definedName name="Rpt_Sens_Total_PDrop5" hidden="0" function="0" vbProcedure="0">#ref!</definedName>
    <definedName name="Rpt_Sens_Total_PDrop6" hidden="0" function="0" vbProcedure="0">#ref!</definedName>
    <definedName name="Rpt_Sens_Total_PDrop7" hidden="0" function="0" vbProcedure="0">#ref!</definedName>
    <definedName name="Rpt_Sens_Total_PDrop8" hidden="0" function="0" vbProcedure="0">#ref!</definedName>
    <definedName name="Rpt_Sens_Total_PDrop9" hidden="0" function="0" vbProcedure="0">#ref!</definedName>
    <definedName name="Rpt_Sens_Total_PDrop_Current" hidden="0" function="0" vbProcedure="0">#ref!</definedName>
    <definedName name="Rpt_Sens_Total_PDrop_Unit" hidden="0" function="0" vbProcedure="0">#ref!</definedName>
    <definedName name="Rpt_Sens_Wellbore_Data" hidden="0" function="0" vbProcedure="0">#ref!</definedName>
    <definedName name="Rpt_Structure" hidden="0" function="0" vbProcedure="0">#ref!</definedName>
    <definedName name="Rpt_SurveyCompMethod" hidden="0" function="0" vbProcedure="0">#ref!</definedName>
    <definedName name="Rpt_SurveyDate" hidden="0" function="0" vbProcedure="0">#ref!</definedName>
    <definedName name="Rpt_SurveyName" hidden="0" function="0" vbProcedure="0">#ref!</definedName>
    <definedName name="Rpt_SurveyStats" hidden="0" function="0" vbProcedure="0">#ref!</definedName>
    <definedName name="Rpt_Survey_Data" hidden="0" function="0" vbProcedure="0">#ref!</definedName>
    <definedName name="rpt_TestSheet2" hidden="0" function="0" vbProcedure="0">#ref!</definedName>
    <definedName name="Rpt_TimeIn" hidden="0" function="0" vbProcedure="0">#ref!</definedName>
    <definedName name="Rpt_TimeOut" hidden="0" function="0" vbProcedure="0">#ref!</definedName>
    <definedName name="Rpt_Title" hidden="0" function="0" vbProcedure="0">#ref!</definedName>
    <definedName name="Rpt_Title2" hidden="0" function="0" vbProcedure="0">#ref!</definedName>
    <definedName name="Rpt_Tool_Joint_Percentage" hidden="0" function="0" vbProcedure="0">#ref!</definedName>
    <definedName name="Rpt_Tool_Joint_Percentage_Header" hidden="0" function="0" vbProcedure="0">#ref!</definedName>
    <definedName name="Rpt_Tool_Joint_Percentage_Unit" hidden="0" function="0" vbProcedure="0">#ref!</definedName>
    <definedName name="Rpt_TotalCorrection" hidden="0" function="0" vbProcedure="0">#ref!</definedName>
    <definedName name="Rpt_TotalCorrectionLabel" hidden="0" function="0" vbProcedure="0">#ref!</definedName>
    <definedName name="Rpt_Version" hidden="0" function="0" vbProcedure="0">#ref!</definedName>
    <definedName name="Rpt_VSEC_Azim" hidden="0" function="0" vbProcedure="0">#ref!</definedName>
    <definedName name="Rpt_VSEC_Origin" hidden="0" function="0" vbProcedure="0">#ref!</definedName>
    <definedName name="Rpt_Well" hidden="0" function="0" vbProcedure="0">#ref!</definedName>
    <definedName name="Rpt_Wellbore_Data" hidden="0" function="0" vbProcedure="0">#ref!</definedName>
    <definedName name="Rpt_WellName" hidden="0" function="0" vbProcedure="0">#ref!</definedName>
    <definedName name="Rpt_YP" hidden="0" function="0" vbProcedure="0">#ref!</definedName>
    <definedName name="Rpt_YP_Unit" hidden="0" function="0" vbProcedure="0">#ref!</definedName>
    <definedName name="RQC" hidden="0" function="0" vbProcedure="0">#ref!</definedName>
    <definedName name="rrr" hidden="1" function="0" vbProcedure="0">{#N/A,#N/A,FALSE,"Sheet1"}</definedName>
    <definedName name="rrrrrrrrrrrrrr" hidden="1" function="0" vbProcedure="0">#ref!</definedName>
    <definedName name="rshdsrhj" hidden="0" function="0" vbProcedure="0">#ref!</definedName>
    <definedName name="RSS_TO_COMPLETE" hidden="0" function="0" vbProcedure="0">[38]RSS!$K$197</definedName>
    <definedName name="RT" hidden="0" function="0" vbProcedure="0">#ref!</definedName>
    <definedName name="rtb" hidden="0" function="0" vbProcedure="0">'[16]Max-Torq'!$P$61</definedName>
    <definedName name="RTDepth" hidden="0" function="0" vbProcedure="0">#ref!</definedName>
    <definedName name="RthLth" hidden="0" function="0" vbProcedure="0">#ref!</definedName>
    <definedName name="run" hidden="0" function="0" vbProcedure="0">#N/A</definedName>
    <definedName name="RunFd" hidden="0" function="0" vbProcedure="0">#ref!</definedName>
    <definedName name="Running" hidden="0" function="0" vbProcedure="0">#ref!</definedName>
    <definedName name="Runningtool" hidden="0" function="0" vbProcedure="0">#ref!</definedName>
    <definedName name="Runs" hidden="0" function="0" vbProcedure="0">#ref!</definedName>
    <definedName name="runtool" hidden="0" function="0" vbProcedure="0">#ref!</definedName>
    <definedName name="Run_Statistics_Name" hidden="0" function="0" vbProcedure="0">#ref!</definedName>
    <definedName name="Rupees" hidden="0" function="0" vbProcedure="0">#ref!</definedName>
    <definedName name="Rus" hidden="0" function="0" vbProcedure="0">#ref!</definedName>
    <definedName name="Ruwaydha" hidden="0" function="0" vbProcedure="0">#ref!</definedName>
    <definedName name="RV" hidden="0" function="0" vbProcedure="0">#ref!</definedName>
    <definedName name="RVDepth" hidden="0" function="0" vbProcedure="0">#ref!</definedName>
    <definedName name="R_Group_ID" hidden="0" function="0" vbProcedure="0">[11]DATA!$T$2:$T$79</definedName>
    <definedName name="R____rig" hidden="0" function="0" vbProcedure="0">#ref!</definedName>
    <definedName name="s" hidden="0" function="0" vbProcedure="0">#ref!</definedName>
    <definedName name="SA" hidden="0" function="0" vbProcedure="0">#ref!</definedName>
    <definedName name="Saeed" hidden="0" function="0" vbProcedure="0">#ref!</definedName>
    <definedName name="safety" hidden="0" function="0" vbProcedure="0">'[259]all certification status'!#ref!</definedName>
    <definedName name="safetyjtdepth" hidden="0" function="0" vbProcedure="0">#ref!</definedName>
    <definedName name="SafetySpace" hidden="0" function="0" vbProcedure="0">#ref!</definedName>
    <definedName name="SafetySpacer" hidden="0" function="0" vbProcedure="0">#ref!</definedName>
    <definedName name="salbesa" hidden="0" function="0" vbProcedure="0">#ref!</definedName>
    <definedName name="Sales" hidden="0" function="0" vbProcedure="0">#ref!</definedName>
    <definedName name="Salesequipment" hidden="0" function="0" vbProcedure="0">#ref!</definedName>
    <definedName name="SalesInflation" hidden="0" function="0" vbProcedure="0">'[233]lex input 1st pass'!#ref!</definedName>
    <definedName name="Salesman" hidden="0" function="0" vbProcedure="0">#ref!</definedName>
    <definedName name="SalesPYDR95Aug" hidden="0" function="0" vbProcedure="0">'[233]lex input 1st pass'!#ref!</definedName>
    <definedName name="SalesPYDR95AugLira" hidden="0" function="0" vbProcedure="0">'[233]lex input 1st pass'!#ref!</definedName>
    <definedName name="SALESRECORD" hidden="0" function="0" vbProcedure="0">'[44]7-30-04'!$GO$7457</definedName>
    <definedName name="SalesTranslation" hidden="0" function="0" vbProcedure="0">'[233]lex input 1st pass'!#ref!</definedName>
    <definedName name="SalesVolumeImpact" hidden="0" function="0" vbProcedure="0">'[233]lex input 1st pass'!#ref!</definedName>
    <definedName name="sales_cell" hidden="0" function="0" vbProcedure="0">[260]data!#ref!</definedName>
    <definedName name="Sales_Contacts" hidden="0" function="0" vbProcedure="0">#ref!</definedName>
    <definedName name="SALES_CUST" hidden="0" function="0" vbProcedure="0">'[44]7-30-04'!$GO$7457</definedName>
    <definedName name="Sales_Explosive_Type" hidden="0" function="0" vbProcedure="0">#ref!</definedName>
    <definedName name="Sales_Ex_Fx" hidden="0" function="0" vbProcedure="0">'[233]lex input 1st pass'!#ref!</definedName>
    <definedName name="Sales_Gun_Size" hidden="0" function="0" vbProcedure="0">#ref!</definedName>
    <definedName name="Sales_Lease" hidden="0" function="0" vbProcedure="0">#ref!</definedName>
    <definedName name="Sales_PYDollars" hidden="0" function="0" vbProcedure="0">'[233]lex input 1st pass'!#ref!</definedName>
    <definedName name="SALES_QTY" hidden="0" function="0" vbProcedure="0">'[44]7-30-04'!$GO$7457</definedName>
    <definedName name="Sales_Reps" hidden="0" function="0" vbProcedure="0">#ref!</definedName>
    <definedName name="Sales_SPF" hidden="0" function="0" vbProcedure="0">#ref!</definedName>
    <definedName name="Sales_Ticket_Number" hidden="0" function="0" vbProcedure="0">#ref!</definedName>
    <definedName name="Sales_Underbalance" hidden="0" function="0" vbProcedure="0">#ref!</definedName>
    <definedName name="Sales_USD_2001" hidden="0" function="0" vbProcedure="0">'[233]lex input 1st pass'!#ref!</definedName>
    <definedName name="Sales_Well_Name" hidden="0" function="0" vbProcedure="0">#ref!</definedName>
    <definedName name="SALE_1" hidden="0" function="0" vbProcedure="0">'[58]7-30-04'!#ref!</definedName>
    <definedName name="SALE_2" hidden="0" function="0" vbProcedure="0">'[58]7-30-04'!#ref!</definedName>
    <definedName name="sale_array" hidden="0" function="0" vbProcedure="0">#ref!</definedName>
    <definedName name="salinity" hidden="0" function="0" vbProcedure="0">'[94]well test sheet'!#ref!</definedName>
    <definedName name="SANDOUT_PRESSURE" hidden="0" function="0" vbProcedure="0">#ref!</definedName>
    <definedName name="SAND_ABOVE_PERFS_PREPACK" hidden="0" function="0" vbProcedure="0">#ref!</definedName>
    <definedName name="SAND_DIVERTER" hidden="0" function="0" vbProcedure="0">#ref!</definedName>
    <definedName name="SAND_GP" hidden="0" function="0" vbProcedure="0">#ref!</definedName>
    <definedName name="SAND_IN_CAS_BLNK" hidden="0" function="0" vbProcedure="0">#ref!</definedName>
    <definedName name="SAND_IN_CAS_BLNK_1" hidden="0" function="0" vbProcedure="0">'[6]#ref'!#ref!</definedName>
    <definedName name="SAND_IN_CAS_BLNK_10" hidden="0" function="0" vbProcedure="0">'[6]#ref'!#ref!</definedName>
    <definedName name="SAND_IN_CAS_BLNK_11" hidden="0" function="0" vbProcedure="0">'[6]#ref'!#ref!</definedName>
    <definedName name="SAND_IN_CAS_BLNK_2" hidden="0" function="0" vbProcedure="0">'[6]#ref'!#ref!</definedName>
    <definedName name="SAND_IN_CAS_BLNK_3" hidden="0" function="0" vbProcedure="0">'[6]#ref'!#ref!</definedName>
    <definedName name="SAND_IN_CAS_BLNK_4" hidden="0" function="0" vbProcedure="0">'[6]#ref'!#ref!</definedName>
    <definedName name="SAND_IN_CAS_BLNK_5" hidden="0" function="0" vbProcedure="0">'[6]#ref'!#ref!</definedName>
    <definedName name="SAND_IN_CAS_BLNK_6" hidden="0" function="0" vbProcedure="0">'[6]#ref'!#ref!</definedName>
    <definedName name="SAND_IN_CAS_BLNK_7" hidden="0" function="0" vbProcedure="0">'[6]#ref'!#ref!</definedName>
    <definedName name="SAND_IN_CAS_BLNK_8" hidden="0" function="0" vbProcedure="0">'[6]#ref'!#ref!</definedName>
    <definedName name="SAND_IN_CAS_BLNK_9" hidden="0" function="0" vbProcedure="0">'[6]#ref'!#ref!</definedName>
    <definedName name="SAND_IN_CAS_EXT" hidden="0" function="0" vbProcedure="0">#ref!</definedName>
    <definedName name="SAND_IN_CAS_EXT_1" hidden="0" function="0" vbProcedure="0">'[6]#ref'!#ref!</definedName>
    <definedName name="SAND_IN_CAS_EXT_10" hidden="0" function="0" vbProcedure="0">'[6]#ref'!#ref!</definedName>
    <definedName name="SAND_IN_CAS_EXT_11" hidden="0" function="0" vbProcedure="0">'[6]#ref'!#ref!</definedName>
    <definedName name="SAND_IN_CAS_EXT_2" hidden="0" function="0" vbProcedure="0">'[6]#ref'!#ref!</definedName>
    <definedName name="SAND_IN_CAS_EXT_3" hidden="0" function="0" vbProcedure="0">'[6]#ref'!#ref!</definedName>
    <definedName name="SAND_IN_CAS_EXT_4" hidden="0" function="0" vbProcedure="0">'[6]#ref'!#ref!</definedName>
    <definedName name="SAND_IN_CAS_EXT_5" hidden="0" function="0" vbProcedure="0">'[6]#ref'!#ref!</definedName>
    <definedName name="SAND_IN_CAS_EXT_6" hidden="0" function="0" vbProcedure="0">'[6]#ref'!#ref!</definedName>
    <definedName name="SAND_IN_CAS_EXT_7" hidden="0" function="0" vbProcedure="0">'[6]#ref'!#ref!</definedName>
    <definedName name="SAND_IN_CAS_EXT_8" hidden="0" function="0" vbProcedure="0">'[6]#ref'!#ref!</definedName>
    <definedName name="SAND_IN_CAS_EXT_9" hidden="0" function="0" vbProcedure="0">'[6]#ref'!#ref!</definedName>
    <definedName name="SAND_IN_CAS_PREPACK" hidden="0" function="0" vbProcedure="0">#ref!</definedName>
    <definedName name="SAND_IN_CAS_SCR" hidden="0" function="0" vbProcedure="0">#ref!</definedName>
    <definedName name="SAND_IN_CAS_SCR_1" hidden="0" function="0" vbProcedure="0">'[6]#ref'!#ref!</definedName>
    <definedName name="SAND_IN_CAS_SCR_10" hidden="0" function="0" vbProcedure="0">'[6]#ref'!#ref!</definedName>
    <definedName name="SAND_IN_CAS_SCR_11" hidden="0" function="0" vbProcedure="0">'[6]#ref'!#ref!</definedName>
    <definedName name="SAND_IN_CAS_SCR_2" hidden="0" function="0" vbProcedure="0">'[6]#ref'!#ref!</definedName>
    <definedName name="SAND_IN_CAS_SCR_3" hidden="0" function="0" vbProcedure="0">'[6]#ref'!#ref!</definedName>
    <definedName name="SAND_IN_CAS_SCR_4" hidden="0" function="0" vbProcedure="0">'[6]#ref'!#ref!</definedName>
    <definedName name="SAND_IN_CAS_SCR_5" hidden="0" function="0" vbProcedure="0">'[6]#ref'!#ref!</definedName>
    <definedName name="SAND_IN_CAS_SCR_6" hidden="0" function="0" vbProcedure="0">'[6]#ref'!#ref!</definedName>
    <definedName name="SAND_IN_CAS_SCR_7" hidden="0" function="0" vbProcedure="0">'[6]#ref'!#ref!</definedName>
    <definedName name="SAND_IN_CAS_SCR_8" hidden="0" function="0" vbProcedure="0">'[6]#ref'!#ref!</definedName>
    <definedName name="SAND_IN_CAS_SCR_9" hidden="0" function="0" vbProcedure="0">'[6]#ref'!#ref!</definedName>
    <definedName name="SAND_IN_PERFS" hidden="0" function="0" vbProcedure="0">#ref!</definedName>
    <definedName name="SAND_IN_PERFS_PP" hidden="0" function="0" vbProcedure="0">#ref!</definedName>
    <definedName name="SAND_PASS_XO_PORT" hidden="0" function="0" vbProcedure="0">#ref!</definedName>
    <definedName name="SAND_PERMEABILITY" hidden="0" function="0" vbProcedure="0">#ref!</definedName>
    <definedName name="SAND_PLACED_GP" hidden="0" function="0" vbProcedure="0">#ref!</definedName>
    <definedName name="SAND_PREPACK" hidden="0" function="0" vbProcedure="0">#ref!</definedName>
    <definedName name="SAND_PUMPED_GP" hidden="0" function="0" vbProcedure="0">#ref!</definedName>
    <definedName name="SAND_PUMPED_PREPACK" hidden="0" function="0" vbProcedure="0">#ref!</definedName>
    <definedName name="SAND_REVOUT_GP" hidden="0" function="0" vbProcedure="0">#ref!</definedName>
    <definedName name="SAND_REVOUT_PREPACK" hidden="0" function="0" vbProcedure="0">#ref!</definedName>
    <definedName name="SAPBEXrevision" hidden="1" function="0" vbProcedure="0">1</definedName>
    <definedName name="SAPBEXsysID" hidden="1" function="0" vbProcedure="0">"PC6"</definedName>
    <definedName name="SAPBEXwbID" hidden="1" function="0" vbProcedure="0">"3TT5CSIDBQS4W9STQ52L47NUV"</definedName>
    <definedName name="SAVE" hidden="0" function="0" vbProcedure="0">#ref!</definedName>
    <definedName name="Save_Document" hidden="0" function="0" vbProcedure="0">#ref!</definedName>
    <definedName name="Save_Document_1" hidden="0" function="0" vbProcedure="0">Save_Document</definedName>
    <definedName name="Save_Document_10" hidden="0" function="0" vbProcedure="0">Save_Document</definedName>
    <definedName name="Save_Document_11" hidden="0" function="0" vbProcedure="0">Save_Document</definedName>
    <definedName name="Save_Document_2" hidden="0" function="0" vbProcedure="0">Save_Document</definedName>
    <definedName name="Save_Document_3" hidden="0" function="0" vbProcedure="0">Save_Document</definedName>
    <definedName name="Save_Document_4" hidden="0" function="0" vbProcedure="0">Save_Document</definedName>
    <definedName name="Save_Document_5" hidden="0" function="0" vbProcedure="0">Save_Document</definedName>
    <definedName name="Save_Document_6" hidden="0" function="0" vbProcedure="0">Save_Document</definedName>
    <definedName name="Save_Document_7" hidden="0" function="0" vbProcedure="0">Save_Document</definedName>
    <definedName name="Save_Document_8" hidden="0" function="0" vbProcedure="0">Save_Document</definedName>
    <definedName name="Save_Document_9" hidden="0" function="0" vbProcedure="0">Save_Document</definedName>
    <definedName name="SBE" hidden="0" function="0" vbProcedure="0">#ref!</definedName>
    <definedName name="sbsv" hidden="0" function="0" vbProcedure="0">#ref!</definedName>
    <definedName name="ScaleFactor" hidden="0" function="0" vbProcedure="0">#ref!</definedName>
    <definedName name="SCB" hidden="0" function="0" vbProcedure="0">[38]RSS!$B$136:$B$144</definedName>
    <definedName name="ScenarioInputSummaryDTORUnit" hidden="0" function="0" vbProcedure="0">#ref!</definedName>
    <definedName name="ScenarioInputSummaryDWOBUnit" hidden="0" function="0" vbProcedure="0">#ref!</definedName>
    <definedName name="ScenarioInputSummaryOverpullUnit" hidden="0" function="0" vbProcedure="0">#ref!</definedName>
    <definedName name="ScenarioName" hidden="0" function="0" vbProcedure="0">#ref!</definedName>
    <definedName name="scen_result" hidden="1" function="0" vbProcedure="0">#VALUE!</definedName>
    <definedName name="SCHE" hidden="0" function="0" vbProcedure="0">[16]!Macro1</definedName>
    <definedName name="Schemati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TCH" hidden="0" function="0" vbProcedure="0">#ref!</definedName>
    <definedName name="SCPOCTOBER" hidden="0" function="0" vbProcedure="0">'[261]sswe october revenue analysis'!#ref!</definedName>
    <definedName name="screeensss" hidden="1" function="0" vbProcedure="0">#ref!</definedName>
    <definedName name="SCREEN" hidden="0" function="0" vbProcedure="0">#ref!</definedName>
    <definedName name="screengauge2" hidden="0" function="0" vbProcedure="0">#ref!</definedName>
    <definedName name="screengauge3" hidden="0" function="0" vbProcedure="0">#ref!</definedName>
    <definedName name="screenguage" hidden="0" function="0" vbProcedure="0">#ref!</definedName>
    <definedName name="screenidlist" hidden="0" function="0" vbProcedure="0">[19]Data!$E$79:$F$127</definedName>
    <definedName name="screenlength" hidden="0" function="0" vbProcedure="0">#ref!</definedName>
    <definedName name="screenlength2" hidden="0" function="0" vbProcedure="0">#ref!</definedName>
    <definedName name="screenlength3" hidden="0" function="0" vbProcedure="0">#ref!</definedName>
    <definedName name="screenod" hidden="0" function="0" vbProcedure="0">#ref!</definedName>
    <definedName name="screenod2" hidden="0" function="0" vbProcedure="0">#ref!</definedName>
    <definedName name="screenod3" hidden="0" function="0" vbProcedure="0">#ref!</definedName>
    <definedName name="Screens" hidden="0" function="0" vbProcedure="0">#ref!</definedName>
    <definedName name="screentype" hidden="0" function="0" vbProcedure="0">#ref!</definedName>
    <definedName name="screentype2" hidden="0" function="0" vbProcedure="0">#ref!</definedName>
    <definedName name="screentype3" hidden="0" function="0" vbProcedure="0">#ref!</definedName>
    <definedName name="SCREEN_LENGTH" hidden="0" function="0" vbProcedure="0">#ref!</definedName>
    <definedName name="SCREEN_OD" hidden="0" function="0" vbProcedure="0">#ref!</definedName>
    <definedName name="Scrolling_Increment" hidden="0" function="0" vbProcedure="0">#ref!</definedName>
    <definedName name="sd" hidden="0" function="0" vbProcedure="0">#ref!</definedName>
    <definedName name="sdadad" hidden="0" function="0" vbProcedure="0">#ref!</definedName>
    <definedName name="sdagd" hidden="0" function="0" vbProcedure="0">#ref!</definedName>
    <definedName name="SDE_23" hidden="0" function="0" vbProcedure="0">[72]!Calculate_Pipe</definedName>
    <definedName name="SDrag" hidden="0" function="0" vbProcedure="0">#ref!</definedName>
    <definedName name="se" hidden="0" function="0" vbProcedure="0">'[263]calculo de gas total'!#ref!</definedName>
    <definedName name="Seals" hidden="0" function="0" vbProcedure="0">#ref!</definedName>
    <definedName name="SeatID" hidden="0" function="0" vbProcedure="0">#ref!</definedName>
    <definedName name="SeatNumber" hidden="0" function="0" vbProcedure="0">#ref!</definedName>
    <definedName name="SeatShear" hidden="0" function="0" vbProcedure="0">#ref!</definedName>
    <definedName name="SeatType" hidden="0" function="0" vbProcedure="0">#ref!</definedName>
    <definedName name="sea_bed" hidden="0" function="0" vbProcedure="0">#ref!</definedName>
    <definedName name="SECTION" hidden="0" function="0" vbProcedure="0">#ref!</definedName>
    <definedName name="SeDelay" hidden="0" function="0" vbProcedure="0">#ref!</definedName>
    <definedName name="semilife" hidden="0" function="0" vbProcedure="0">#ref!</definedName>
    <definedName name="SensorDistanceToBit" hidden="0" function="0" vbProcedure="0">#ref!</definedName>
    <definedName name="SensorDistanceToBitUnit" hidden="0" function="0" vbProcedure="0">#ref!</definedName>
    <definedName name="Sensors" hidden="0" function="0" vbProcedure="0">#ref!</definedName>
    <definedName name="SensorType" hidden="0" function="0" vbProcedure="0">#ref!</definedName>
    <definedName name="SENTTO" hidden="0" function="0" vbProcedure="0">#ref!</definedName>
    <definedName name="sep_press" hidden="0" function="0" vbProcedure="0">'[94]well test sheet'!#ref!</definedName>
    <definedName name="sep_temp" hidden="0" function="0" vbProcedure="0">'[94]well test sheet'!#ref!</definedName>
    <definedName name="SeqEvents" hidden="0" function="0" vbProcedure="0">#ref!</definedName>
    <definedName name="SeqEventTotalPages" hidden="0" function="0" vbProcedure="0">1</definedName>
    <definedName name="Sequence" hidden="0" function="0" vbProcedure="0">'[3]DWS Wells'!$C$1:$C$1048576</definedName>
    <definedName name="ser" hidden="0" function="0" vbProcedure="0">#N/A</definedName>
    <definedName name="Serial1" hidden="0" function="0" vbProcedure="0">#ref!</definedName>
    <definedName name="Serial10" hidden="0" function="0" vbProcedure="0">#ref!</definedName>
    <definedName name="Serial11" hidden="0" function="0" vbProcedure="0">#ref!</definedName>
    <definedName name="Serial12" hidden="0" function="0" vbProcedure="0">#ref!</definedName>
    <definedName name="Serial13" hidden="0" function="0" vbProcedure="0">#ref!</definedName>
    <definedName name="Serial14" hidden="0" function="0" vbProcedure="0">#ref!</definedName>
    <definedName name="Serial15" hidden="0" function="0" vbProcedure="0">#ref!</definedName>
    <definedName name="Serial16" hidden="0" function="0" vbProcedure="0">#ref!</definedName>
    <definedName name="Serial17" hidden="0" function="0" vbProcedure="0">#ref!</definedName>
    <definedName name="Serial18" hidden="0" function="0" vbProcedure="0">#ref!</definedName>
    <definedName name="Serial19" hidden="0" function="0" vbProcedure="0">#ref!</definedName>
    <definedName name="Serial2" hidden="0" function="0" vbProcedure="0">#ref!</definedName>
    <definedName name="Serial20" hidden="0" function="0" vbProcedure="0">#ref!</definedName>
    <definedName name="Serial3" hidden="0" function="0" vbProcedure="0">#ref!</definedName>
    <definedName name="Serial4" hidden="0" function="0" vbProcedure="0">#ref!</definedName>
    <definedName name="Serial5" hidden="0" function="0" vbProcedure="0">#ref!</definedName>
    <definedName name="Serial6" hidden="0" function="0" vbProcedure="0">#ref!</definedName>
    <definedName name="Serial7" hidden="0" function="0" vbProcedure="0">#ref!</definedName>
    <definedName name="Serial8" hidden="0" function="0" vbProcedure="0">#ref!</definedName>
    <definedName name="Serial9" hidden="0" function="0" vbProcedure="0">#ref!</definedName>
    <definedName name="SerialNumber" hidden="0" function="0" vbProcedure="0">#ref!</definedName>
    <definedName name="SerialNumberdb" hidden="0" function="0" vbProcedure="0">#ref!</definedName>
    <definedName name="SerialNumberslb" hidden="0" function="0" vbProcedure="0">#ref!</definedName>
    <definedName name="SerialNumberTb" hidden="0" function="0" vbProcedure="0">#ref!</definedName>
    <definedName name="serialselect1" hidden="0" function="0" vbProcedure="0">#N/A</definedName>
    <definedName name="serialselect2" hidden="0" function="0" vbProcedure="0">#N/A</definedName>
    <definedName name="serialselect3" hidden="0" function="0" vbProcedure="0">#N/A</definedName>
    <definedName name="serialselect4" hidden="0" function="0" vbProcedure="0">#N/A</definedName>
    <definedName name="Service" hidden="0" function="0" vbProcedure="0">[17]scope!#ref!</definedName>
    <definedName name="ServiceCenter" hidden="0" function="0" vbProcedure="0">#ref!</definedName>
    <definedName name="ServiceCompanies" hidden="0" function="0" vbProcedure="0">#ref!</definedName>
    <definedName name="SERVICECOMPANY" hidden="0" function="0" vbProcedure="0">#ref!</definedName>
    <definedName name="ServiceOperator" hidden="0" function="0" vbProcedure="0">#ref!</definedName>
    <definedName name="ServiceTicketTotalPages" hidden="0" function="0" vbProcedure="0">1</definedName>
    <definedName name="ServiceTypes" hidden="0" function="0" vbProcedure="0">#ref!</definedName>
    <definedName name="Service_Rep" hidden="0" function="0" vbProcedure="0">#ref!</definedName>
    <definedName name="Service_Ticket_Number" hidden="0" function="0" vbProcedure="0">#ref!</definedName>
    <definedName name="ServRep" hidden="0" function="0" vbProcedure="0">#ref!</definedName>
    <definedName name="set" hidden="0" function="0" vbProcedure="0">'[181]1pcbud'!#ref!</definedName>
    <definedName name="Set1InUnit" hidden="0" function="0" vbProcedure="0">#ref!</definedName>
    <definedName name="Set1Name" hidden="0" function="0" vbProcedure="0">#ref!</definedName>
    <definedName name="Set1OutUnit" hidden="0" function="0" vbProcedure="0">#ref!</definedName>
    <definedName name="Set2InUnit" hidden="0" function="0" vbProcedure="0">#ref!</definedName>
    <definedName name="Set2Name" hidden="0" function="0" vbProcedure="0">#ref!</definedName>
    <definedName name="Set2OutUnit" hidden="0" function="0" vbProcedure="0">#ref!</definedName>
    <definedName name="Set3InUnit" hidden="0" function="0" vbProcedure="0">#ref!</definedName>
    <definedName name="Set3Name" hidden="0" function="0" vbProcedure="0">#ref!</definedName>
    <definedName name="Set3OutUnit" hidden="0" function="0" vbProcedure="0">#ref!</definedName>
    <definedName name="Set4InUnit" hidden="0" function="0" vbProcedure="0">#ref!</definedName>
    <definedName name="Set4Name" hidden="0" function="0" vbProcedure="0">#ref!</definedName>
    <definedName name="Set4OutUnit" hidden="0" function="0" vbProcedure="0">#ref!</definedName>
    <definedName name="SETOFBOOKSID1" hidden="0" function="0" vbProcedure="0">[53]CRITERIA1!$B$1</definedName>
    <definedName name="SETTINGTOOL" hidden="0" function="0" vbProcedure="0">#ref!</definedName>
    <definedName name="SETTLEMENT_RATE" hidden="0" function="0" vbProcedure="0">#ref!</definedName>
    <definedName name="Sett_Tool_Tens" hidden="0" function="0" vbProcedure="0">#ref!</definedName>
    <definedName name="Sett_Tool_Torsion_Limit" hidden="0" function="0" vbProcedure="0">#ref!</definedName>
    <definedName name="Setup" hidden="0" function="0" vbProcedure="0">[60]auf_screen!#ref!</definedName>
    <definedName name="SEVEN" hidden="0" function="0" vbProcedure="0">#ref!</definedName>
    <definedName name="SEÇÃOfoto" hidden="0" function="0" vbProcedure="0">#ref!</definedName>
    <definedName name="SEÇÃOtieon" hidden="0" function="0" vbProcedure="0">#ref!</definedName>
    <definedName name="SGA" hidden="0" function="0" vbProcedure="0">#ref!</definedName>
    <definedName name="sga_pcent" hidden="0" function="0" vbProcedure="0">#ref!</definedName>
    <definedName name="sgdfg" hidden="0" function="0" vbProcedure="0">#ref!</definedName>
    <definedName name="SGgas" hidden="0" function="0" vbProcedure="0">#ref!</definedName>
    <definedName name="sheared" hidden="0" function="0" vbProcedure="0">#ref!</definedName>
    <definedName name="ShearPinbyHand" hidden="0" function="0" vbProcedure="0">#ref!</definedName>
    <definedName name="ShearPinElect" hidden="0" function="0" vbProcedure="0">#ref!</definedName>
    <definedName name="Shear_HR_Mech_Release" hidden="0" function="0" vbProcedure="0">#ref!</definedName>
    <definedName name="SHEET" hidden="0" function="0" vbProcedure="0">#ref!</definedName>
    <definedName name="SHEET_1" hidden="0" function="0" vbProcedure="0">#ref!</definedName>
    <definedName name="SHEET_10" hidden="0" function="0" vbProcedure="0">#ref!</definedName>
    <definedName name="SHEET_11" hidden="0" function="0" vbProcedure="0">#ref!</definedName>
    <definedName name="SHEET_12" hidden="0" function="0" vbProcedure="0">#ref!</definedName>
    <definedName name="SHEET_2" hidden="0" function="0" vbProcedure="0">#ref!</definedName>
    <definedName name="SHEET_3" hidden="0" function="0" vbProcedure="0">#ref!</definedName>
    <definedName name="SHEET_4" hidden="0" function="0" vbProcedure="0">#ref!</definedName>
    <definedName name="SHEET_5" hidden="0" function="0" vbProcedure="0">#ref!</definedName>
    <definedName name="SHEET_6" hidden="0" function="0" vbProcedure="0">#ref!</definedName>
    <definedName name="SHEET_7" hidden="0" function="0" vbProcedure="0">#ref!</definedName>
    <definedName name="SHEET_8" hidden="0" function="0" vbProcedure="0">#ref!</definedName>
    <definedName name="SHEET_9" hidden="0" function="0" vbProcedure="0">#ref!</definedName>
    <definedName name="SHER" hidden="0" function="0" vbProcedure="0">#ref!</definedName>
    <definedName name="Sher_for_HR_Mech_Release" hidden="0" function="0" vbProcedure="0">#ref!</definedName>
    <definedName name="shet" hidden="0" function="0" vbProcedure="0">#ref!</definedName>
    <definedName name="ShiftHOver" hidden="0" function="0" vbProcedure="0">#ref!</definedName>
    <definedName name="Shilaif" hidden="0" function="0" vbProcedure="0">#ref!</definedName>
    <definedName name="ShipDate" hidden="0" function="0" vbProcedure="0">#ref!</definedName>
    <definedName name="shippedvia" hidden="0" function="0" vbProcedure="0">#ref!</definedName>
    <definedName name="ShipTo" hidden="0" function="0" vbProcedure="0">#ref!</definedName>
    <definedName name="ShipToAddress" hidden="0" function="0" vbProcedure="0">#ref!</definedName>
    <definedName name="ShipToCityCounty" hidden="0" function="0" vbProcedure="0">#ref!</definedName>
    <definedName name="ShipToState" hidden="0" function="0" vbProcedure="0">#ref!</definedName>
    <definedName name="ShipToZip" hidden="0" function="0" vbProcedure="0">#ref!</definedName>
    <definedName name="shit" hidden="1" function="0" vbProcedure="0">{#N/A,#N/A,FALSE,"Sheet1"}</definedName>
    <definedName name="SHO" hidden="0" function="0" vbProcedure="0">#ref!</definedName>
    <definedName name="Shoe" hidden="0" function="0" vbProcedure="0">#ref!</definedName>
    <definedName name="shoe1" hidden="0" function="0" vbProcedure="0">#ref!</definedName>
    <definedName name="ShoeLeakoffMudWt" hidden="0" function="0" vbProcedure="0">#ref!</definedName>
    <definedName name="shoes" hidden="0" function="0" vbProcedure="0">#ref!</definedName>
    <definedName name="ShoeTrack_Vol" hidden="0" function="0" vbProcedure="0">#ref!</definedName>
    <definedName name="ShoeTrack_Volz" hidden="0" function="0" vbProcedure="0">'[11]Metric Conversions'!$C$76</definedName>
    <definedName name="shoe_height" hidden="0" function="0" vbProcedure="0">#ref!</definedName>
    <definedName name="Shoe_Track_Length" hidden="0" function="0" vbProcedure="0">#ref!</definedName>
    <definedName name="Shoe_Track_Lengthz" hidden="0" function="0" vbProcedure="0">'[11]Liner Job Info'!$D$19</definedName>
    <definedName name="short" hidden="0" function="0" vbProcedure="0">#ref!</definedName>
    <definedName name="Shot1" hidden="0" function="0" vbProcedure="0">#ref!</definedName>
    <definedName name="Shot2" hidden="0" function="0" vbProcedure="0">#ref!</definedName>
    <definedName name="Shot3" hidden="0" function="0" vbProcedure="0">#ref!</definedName>
    <definedName name="Shot4" hidden="0" function="0" vbProcedure="0">#ref!</definedName>
    <definedName name="Shot5" hidden="0" function="0" vbProcedure="0">#ref!</definedName>
    <definedName name="Shot6" hidden="0" function="0" vbProcedure="0">#ref!</definedName>
    <definedName name="Shot7" hidden="0" function="0" vbProcedure="0">#ref!</definedName>
    <definedName name="Shot8" hidden="0" function="0" vbProcedure="0">#ref!</definedName>
    <definedName name="Show_1" hidden="0" function="0" vbProcedure="0">#ref!</definedName>
    <definedName name="Show_1_1" hidden="0" function="0" vbProcedure="0">[74]!Show_1</definedName>
    <definedName name="Show_1_10" hidden="0" function="0" vbProcedure="0">[74]!Show_1</definedName>
    <definedName name="Show_1_11" hidden="0" function="0" vbProcedure="0">[74]!Show_1</definedName>
    <definedName name="Show_1_2" hidden="0" function="0" vbProcedure="0">[74]!Show_1</definedName>
    <definedName name="Show_1_3" hidden="0" function="0" vbProcedure="0">[74]!Show_1</definedName>
    <definedName name="Show_1_4" hidden="0" function="0" vbProcedure="0">[74]!Show_1</definedName>
    <definedName name="Show_1_5" hidden="0" function="0" vbProcedure="0">[74]!Show_1</definedName>
    <definedName name="Show_1_6" hidden="0" function="0" vbProcedure="0">[74]!Show_1</definedName>
    <definedName name="Show_1_7" hidden="0" function="0" vbProcedure="0">[74]!Show_1</definedName>
    <definedName name="Show_1_8" hidden="0" function="0" vbProcedure="0">[74]!Show_1</definedName>
    <definedName name="Show_1_9" hidden="0" function="0" vbProcedure="0">[74]!Show_1</definedName>
    <definedName name="Show_2" hidden="0" function="0" vbProcedure="0">#ref!</definedName>
    <definedName name="Show_2_1" hidden="0" function="0" vbProcedure="0">[74]!Show_2</definedName>
    <definedName name="Show_2_10" hidden="0" function="0" vbProcedure="0">[74]!Show_2</definedName>
    <definedName name="Show_2_11" hidden="0" function="0" vbProcedure="0">[74]!Show_2</definedName>
    <definedName name="Show_2_2" hidden="0" function="0" vbProcedure="0">[74]!Show_2</definedName>
    <definedName name="Show_2_3" hidden="0" function="0" vbProcedure="0">[74]!Show_2</definedName>
    <definedName name="Show_2_4" hidden="0" function="0" vbProcedure="0">[74]!Show_2</definedName>
    <definedName name="Show_2_5" hidden="0" function="0" vbProcedure="0">[74]!Show_2</definedName>
    <definedName name="Show_2_6" hidden="0" function="0" vbProcedure="0">[74]!Show_2</definedName>
    <definedName name="Show_2_7" hidden="0" function="0" vbProcedure="0">[74]!Show_2</definedName>
    <definedName name="Show_2_8" hidden="0" function="0" vbProcedure="0">[74]!Show_2</definedName>
    <definedName name="Show_2_9" hidden="0" function="0" vbProcedure="0">[74]!Show_2</definedName>
    <definedName name="SHPD_1_QTY" hidden="0" function="0" vbProcedure="0">'[58]7-30-04'!#ref!</definedName>
    <definedName name="SHPD_2_QTY" hidden="0" function="0" vbProcedure="0">'[58]7-30-04'!#ref!</definedName>
    <definedName name="SHPD_3_QTY" hidden="0" function="0" vbProcedure="0">'[58]7-30-04'!#ref!</definedName>
    <definedName name="SICP" hidden="0" function="0" vbProcedure="0">#ref!</definedName>
    <definedName name="SIDP" hidden="0" function="0" vbProcedure="0">#ref!</definedName>
    <definedName name="Simsima" hidden="0" function="0" vbProcedure="0">#ref!</definedName>
    <definedName name="SinBucklingUnit" hidden="0" function="0" vbProcedure="0">#ref!</definedName>
    <definedName name="SinglePointDepth" hidden="0" function="0" vbProcedure="0">#ref!</definedName>
    <definedName name="size" hidden="0" function="0" vbProcedure="0">[82]Control!$D$7</definedName>
    <definedName name="SizeColumn" hidden="0" function="0" vbProcedure="0">#ref!</definedName>
    <definedName name="SizeList" hidden="0" function="0" vbProcedure="0">#ref!</definedName>
    <definedName name="SizeStart" hidden="0" function="0" vbProcedure="0">#ref!</definedName>
    <definedName name="sjm" hidden="0" function="0" vbProcedure="0">#ref!</definedName>
    <definedName name="sjoint" hidden="0" function="0" vbProcedure="0">#ref!</definedName>
    <definedName name="SJT_DEPTH" hidden="0" function="0" vbProcedure="0">#ref!</definedName>
    <definedName name="SJ_DEPTH" hidden="0" function="0" vbProcedure="0">#ref!</definedName>
    <definedName name="SKFactor" hidden="0" function="0" vbProcedure="0">#ref!</definedName>
    <definedName name="SL" hidden="0" function="0" vbProcedure="0">#ref!</definedName>
    <definedName name="SLC" hidden="0" function="0" vbProcedure="0">#ref!</definedName>
    <definedName name="sld" hidden="0" function="0" vbProcedure="0">#N/A</definedName>
    <definedName name="SleeveLength" hidden="0" function="0" vbProcedure="0">#ref!</definedName>
    <definedName name="Slickline" hidden="0" function="0" vbProcedure="0">'[12]JCSI 12'!$AY$29:$AY$42</definedName>
    <definedName name="SlipClosed" hidden="0" function="0" vbProcedure="0">#ref!</definedName>
    <definedName name="SlipOpen" hidden="0" function="0" vbProcedure="0">#ref!</definedName>
    <definedName name="SLPJ" hidden="0" function="0" vbProcedure="0">#ref!</definedName>
    <definedName name="SLPJDepth" hidden="0" function="0" vbProcedure="0">#ref!</definedName>
    <definedName name="SLS" hidden="0" function="0" vbProcedure="0">#ref!</definedName>
    <definedName name="SLURRY_DENSITY" hidden="0" function="0" vbProcedure="0">#ref!</definedName>
    <definedName name="SLURRY_VOL_PREPACK" hidden="0" function="0" vbProcedure="0">#ref!</definedName>
    <definedName name="SL_Index" hidden="0" function="0" vbProcedure="0">'[12]JCSI 12'!$AY$26</definedName>
    <definedName name="SM" hidden="0" function="0" vbProcedure="0">#ref!</definedName>
    <definedName name="SML_PROJ" hidden="0" function="0" vbProcedure="0">#ref!</definedName>
    <definedName name="SO" hidden="0" function="0" vbProcedure="0">#ref!</definedName>
    <definedName name="SOE" hidden="0" function="0" vbProcedure="0">'[10]data sheet'!$D$2:$D$4</definedName>
    <definedName name="soldto" hidden="0" function="0" vbProcedure="0">'[34]Call Sheet'!$AL$3</definedName>
    <definedName name="solver_adj" hidden="1" function="0" vbProcedure="0">#ref!</definedName>
    <definedName name="solver_lin" hidden="1" function="0" vbProcedure="0">0</definedName>
    <definedName name="solver_num" hidden="1" function="0" vbProcedure="0">0</definedName>
    <definedName name="solver_opt" hidden="1" function="0" vbProcedure="0">#ref!</definedName>
    <definedName name="solver_typ" hidden="1" function="0" vbProcedure="0">3</definedName>
    <definedName name="solver_val" hidden="1" function="0" vbProcedure="0">20</definedName>
    <definedName name="SONumber" hidden="0" function="0" vbProcedure="0">#ref!</definedName>
    <definedName name="SORT" hidden="0" function="0" vbProcedure="0">#ref!</definedName>
    <definedName name="SORT_AREA" hidden="0" function="0" vbProcedure="0">#ref!</definedName>
    <definedName name="Source_1" hidden="0" function="0" vbProcedure="0">'[12]JCSI 12'!$AS$26</definedName>
    <definedName name="Source_2" hidden="0" function="0" vbProcedure="0">'[12]JCSI 12'!$AT$26</definedName>
    <definedName name="Source_3" hidden="0" function="0" vbProcedure="0">'[12]JCSI 12'!$AU$26</definedName>
    <definedName name="Source_4" hidden="0" function="0" vbProcedure="0">'[12]JCSI 12'!$AV$26</definedName>
    <definedName name="Source_5" hidden="0" function="0" vbProcedure="0">'[12]JCSI 12'!$AW$26</definedName>
    <definedName name="Source_entities" hidden="0" function="0" vbProcedure="0">'[35]drop downs'!$E$3:$E$11</definedName>
    <definedName name="Spacedout" hidden="1" function="0" vbProcedure="0">{#N/A,#N/A,FALSE,"Drlg Param Run 1-1";#N/A,#N/A,FALSE,"DDR (3)";#N/A,#N/A,FALSE,"BHA AT (1)";#N/A,#N/A,FALSE,"Downlinkbha";#N/A,#N/A,FALSE,"Job Status Report"}</definedName>
    <definedName name="SpacerType" hidden="0" function="0" vbProcedure="0">#ref!</definedName>
    <definedName name="Spacer_Wt" hidden="0" function="0" vbProcedure="0">#ref!</definedName>
    <definedName name="Spare" hidden="0" function="0" vbProcedure="0">[60]auf_screen!#ref!</definedName>
    <definedName name="SPCL" hidden="0" function="0" vbProcedure="0">'[58]7-30-04'!#ref!</definedName>
    <definedName name="Specialist" hidden="0" function="0" vbProcedure="0">#ref!</definedName>
    <definedName name="spf" hidden="0" function="0" vbProcedure="0">#ref!</definedName>
    <definedName name="SPI" hidden="0" function="0" vbProcedure="0">'[233]lex input 1st pass'!#ref!</definedName>
    <definedName name="SpiralType" hidden="0" function="0" vbProcedure="0">#ref!</definedName>
    <definedName name="Spiral_Type" hidden="0" function="0" vbProcedure="0">#ref!</definedName>
    <definedName name="SPM" hidden="0" function="0" vbProcedure="0">#ref!</definedName>
    <definedName name="SPP" hidden="0" function="0" vbProcedure="0">#ref!</definedName>
    <definedName name="SPS" hidden="0" function="0" vbProcedure="0">#ref!</definedName>
    <definedName name="SpudDate" hidden="0" function="0" vbProcedure="0">'[3]DWS Wells'!$G$1:$G$1048576</definedName>
    <definedName name="Sr.No" hidden="0" function="0" vbProcedure="0">#ref!</definedName>
    <definedName name="SSA" hidden="0" function="0" vbProcedure="0">[267]!Macro46</definedName>
    <definedName name="SSDHGR" hidden="0" function="0" vbProcedure="0">#ref!</definedName>
    <definedName name="ssdsd" hidden="0" function="0" vbProcedure="0">#ref!</definedName>
    <definedName name="SSID" hidden="0" function="0" vbProcedure="0">'[11]Liner Job Info'!$O$6</definedName>
    <definedName name="SSS" hidden="0" function="0" vbProcedure="0">#ref!</definedName>
    <definedName name="SSSV" hidden="0" function="0" vbProcedure="0">#ref!</definedName>
    <definedName name="ssweoctober" hidden="0" function="0" vbProcedure="0">#ref!</definedName>
    <definedName name="SSWEOCTOBERMARGIN" hidden="0" function="0" vbProcedure="0">#ref!</definedName>
    <definedName name="StabilizerBladeLengthUnits" hidden="0" function="0" vbProcedure="0">#ref!</definedName>
    <definedName name="StabilizerMidPtToBitUnits" hidden="0" function="0" vbProcedure="0">#ref!</definedName>
    <definedName name="StabilizerSummary" hidden="0" function="0" vbProcedure="0">#ref!</definedName>
    <definedName name="stages" hidden="0" function="0" vbProcedure="0">#ref!</definedName>
    <definedName name="Stage_Number" hidden="0" function="0" vbProcedure="0">#ref!</definedName>
    <definedName name="StartDepthMulti" hidden="0" function="0" vbProcedure="0">#ref!</definedName>
    <definedName name="StartingSunday" hidden="0" function="0" vbProcedure="0">#ref!</definedName>
    <definedName name="STARTJOURNALIMPORT1" hidden="0" function="0" vbProcedure="0">[53]CRITERIA1!$B$21</definedName>
    <definedName name="Start_Here" hidden="0" function="0" vbProcedure="0">'[83]9.625 TCP String'!$B$10</definedName>
    <definedName name="Start_Time" hidden="0" function="0" vbProcedure="0">#ref!</definedName>
    <definedName name="State" hidden="0" function="0" vbProcedure="0">#ref!</definedName>
    <definedName name="StateProvince" hidden="0" function="0" vbProcedure="0">#ref!</definedName>
    <definedName name="States" hidden="0" function="0" vbProcedure="0">#ref!</definedName>
    <definedName name="status" hidden="0" function="0" vbProcedure="0">#ref!</definedName>
    <definedName name="STB_17" hidden="0" function="0" vbProcedure="0">#ref!</definedName>
    <definedName name="STB_26" hidden="0" function="0" vbProcedure="0">#ref!</definedName>
    <definedName name="STB_36" hidden="0" function="0" vbProcedure="0">#ref!</definedName>
    <definedName name="STB_CDN8_12" hidden="0" function="0" vbProcedure="0">#ref!</definedName>
    <definedName name="STB_DRL8_12" hidden="0" function="0" vbProcedure="0">#ref!</definedName>
    <definedName name="STB_LWD6_12" hidden="0" function="0" vbProcedure="0">#ref!</definedName>
    <definedName name="STB_LWD8_12" hidden="0" function="0" vbProcedure="0">#ref!</definedName>
    <definedName name="STE_Specialist" hidden="0" function="0" vbProcedure="0">'[27]Name Range'!$P$2:$P$6</definedName>
    <definedName name="Stickup" hidden="0" function="0" vbProcedure="0">#ref!</definedName>
    <definedName name="Stick_up_above_rotary_13.375" hidden="0" function="0" vbProcedure="0">#ref!</definedName>
    <definedName name="Stick_up_above_rotary_7" hidden="0" function="0" vbProcedure="0">#ref!</definedName>
    <definedName name="Stick_up_above_rotary_9.625" hidden="0" function="0" vbProcedure="0">#ref!</definedName>
    <definedName name="Stimulation_Items" hidden="0" function="0" vbProcedure="0">'[2]Data Go-To-Sheet'!$D$4:$D$21</definedName>
    <definedName name="Stim_Lower_Schedule" hidden="0" function="0" vbProcedure="0">'[2]8 Acid Pumping Schedule(s)'!$B$6:$S$52</definedName>
    <definedName name="Stock" hidden="0" function="0" vbProcedure="0">#ref!</definedName>
    <definedName name="StrengthUnit" hidden="0" function="0" vbProcedure="0">#ref!</definedName>
    <definedName name="Stretch" hidden="0" function="0" vbProcedure="0">#ref!</definedName>
    <definedName name="Stretch_DP1_Lnr_Wt" hidden="0" function="0" vbProcedure="0">'[11]Metric Conversions'!$B$30</definedName>
    <definedName name="Stretch_DP1_Lnr_Wtz" hidden="0" function="0" vbProcedure="0">'[11]Metric Conversions'!$C$30</definedName>
    <definedName name="Stretch_DP2_Lnr_Wt" hidden="0" function="0" vbProcedure="0">'[11]Metric Conversions'!$B$31</definedName>
    <definedName name="Stretch_DP2_Lnr_Wtz" hidden="0" function="0" vbProcedure="0">'[11]Metric Conversions'!$C$31</definedName>
    <definedName name="Stretch_DP3_Lnr_Wt" hidden="0" function="0" vbProcedure="0">'[11]Metric Conversions'!$B$32</definedName>
    <definedName name="Stretch_DP3_Lnr_Wtz" hidden="0" function="0" vbProcedure="0">'[11]Metric Conversions'!$C$32</definedName>
    <definedName name="Stretch_DP4_Lnr_Wt" hidden="0" function="0" vbProcedure="0">'[11]Metric Conversions'!$B$33</definedName>
    <definedName name="Stretch_DP4_Lnr_Wtz" hidden="0" function="0" vbProcedure="0">'[11]Metric Conversions'!$C$33</definedName>
    <definedName name="Stretch_DP5_Lnr_Wt" hidden="0" function="0" vbProcedure="0">'[11]Metric Conversions'!$B$34</definedName>
    <definedName name="Stretch_DP5_Lnr_Wtz" hidden="0" function="0" vbProcedure="0">'[11]Metric Conversions'!$C$34</definedName>
    <definedName name="Stretch_TTL_Lnr_Wt" hidden="0" function="0" vbProcedure="0">#ref!</definedName>
    <definedName name="Stretch_TTL_Lnr_Wtz" hidden="0" function="0" vbProcedure="0">'[11]Metric Conversions'!$C$36</definedName>
    <definedName name="STREW" hidden="0" function="0" vbProcedure="0">#ref!</definedName>
    <definedName name="String1" hidden="0" function="0" vbProcedure="0">#ref!</definedName>
    <definedName name="String2" hidden="0" function="0" vbProcedure="0">#ref!</definedName>
    <definedName name="String3" hidden="0" function="0" vbProcedure="0">#ref!</definedName>
    <definedName name="StringBot1" hidden="0" function="0" vbProcedure="0">#ref!</definedName>
    <definedName name="StringBot2" hidden="0" function="0" vbProcedure="0">#ref!</definedName>
    <definedName name="StringBot3" hidden="0" function="0" vbProcedure="0">#ref!</definedName>
    <definedName name="StringDiag" hidden="0" function="0" vbProcedure="0">#ref!</definedName>
    <definedName name="StringTable" hidden="0" function="0" vbProcedure="0">#ref!</definedName>
    <definedName name="StringTop1" hidden="0" function="0" vbProcedure="0">#ref!</definedName>
    <definedName name="StringTop2" hidden="0" function="0" vbProcedure="0">#ref!</definedName>
    <definedName name="StringTop3" hidden="0" function="0" vbProcedure="0">#ref!</definedName>
    <definedName name="StringVolToEOB" hidden="0" function="0" vbProcedure="0">#ref!</definedName>
    <definedName name="StringVolToKOP" hidden="0" function="0" vbProcedure="0">#ref!</definedName>
    <definedName name="strlen" hidden="0" function="0" vbProcedure="0">#ref!</definedName>
    <definedName name="strlen1" hidden="0" function="0" vbProcedure="0">#ref!</definedName>
    <definedName name="STRNS" hidden="0" function="0" vbProcedure="0">#ref!</definedName>
    <definedName name="StrokesToBit" hidden="0" function="0" vbProcedure="0">#ref!</definedName>
    <definedName name="StrokesToEOB" hidden="0" function="0" vbProcedure="0">#ref!</definedName>
    <definedName name="StrokesToKOP" hidden="0" function="0" vbProcedure="0">#ref!</definedName>
    <definedName name="STRTVD" hidden="0" function="0" vbProcedure="0">#ref!</definedName>
    <definedName name="Structure" hidden="0" function="0" vbProcedure="0">#ref!</definedName>
    <definedName name="StructureName" hidden="0" function="0" vbProcedure="0">#ref!</definedName>
    <definedName name="STV" hidden="0" function="0" vbProcedure="0">#ref!</definedName>
    <definedName name="STVCor" hidden="0" function="0" vbProcedure="0">#ref!</definedName>
    <definedName name="SubGroupdb" hidden="0" function="0" vbProcedure="0">#ref!</definedName>
    <definedName name="SubGroupslb" hidden="0" function="0" vbProcedure="0">#ref!</definedName>
    <definedName name="subinvol" hidden="0" function="0" vbProcedure="0">'[181]1pcbud'!#ref!</definedName>
    <definedName name="SUBJECT" hidden="0" function="0" vbProcedure="0">[65]References!$B$1:$B$15</definedName>
    <definedName name="submission" hidden="0" function="0" vbProcedure="0">[270]!Table5[platform]</definedName>
    <definedName name="SubSeaTVD_Column" hidden="0" function="0" vbProcedure="0">null</definedName>
    <definedName name="SubSeaTVD_Unit" hidden="0" function="0" vbProcedure="0">null</definedName>
    <definedName name="subtransit" hidden="0" function="0" vbProcedure="0">'[181]1pcbud'!#ref!</definedName>
    <definedName name="subvar1" hidden="0" function="0" vbProcedure="0">'[181]1pcbud'!#ref!</definedName>
    <definedName name="subvar2" hidden="0" function="0" vbProcedure="0">'[181]1pcbud'!#ref!</definedName>
    <definedName name="subvar3" hidden="0" function="0" vbProcedure="0">'[181]1pcbud'!#ref!</definedName>
    <definedName name="Sub_Segment" hidden="0" function="0" vbProcedure="0">#ref!</definedName>
    <definedName name="SUM" hidden="0" function="0" vbProcedure="0">#ref!</definedName>
    <definedName name="Summary" hidden="0" function="0" vbProcedure="0">#ref!</definedName>
    <definedName name="SUMP" hidden="0" function="0" vbProcedure="0">#N/A</definedName>
    <definedName name="sumppacker" hidden="0" function="0" vbProcedure="0">#ref!</definedName>
    <definedName name="SUMP_DEPTH" hidden="0" function="0" vbProcedure="0">#ref!</definedName>
    <definedName name="Supplier" hidden="0" function="0" vbProcedure="0">#ref!</definedName>
    <definedName name="Surfaceequipment" hidden="0" function="0" vbProcedure="0">#ref!</definedName>
    <definedName name="surfacefracpressure" hidden="0" function="0" vbProcedure="0">[19]Data!$F$4</definedName>
    <definedName name="SurfaceTorqueUnit" hidden="0" function="0" vbProcedure="0">#ref!</definedName>
    <definedName name="Surf_Equip_Model" hidden="0" function="0" vbProcedure="0">#ref!</definedName>
    <definedName name="Surf_Equip_Tens" hidden="0" function="0" vbProcedure="0">#ref!</definedName>
    <definedName name="SURVEY" hidden="0" function="0" vbProcedure="0">#ref!</definedName>
    <definedName name="SURVEY1" hidden="0" function="0" vbProcedure="0">#ref!</definedName>
    <definedName name="survey1b" hidden="0" function="0" vbProcedure="0">#ref!</definedName>
    <definedName name="SURVEY2" hidden="0" function="0" vbProcedure="0">#ref!</definedName>
    <definedName name="SURVEY3" hidden="0" function="0" vbProcedure="0">[271]rig_fl_1!#ref!</definedName>
    <definedName name="survey3b" hidden="0" function="0" vbProcedure="0">#ref!</definedName>
    <definedName name="SURVEY4" hidden="0" function="0" vbProcedure="0">#ref!</definedName>
    <definedName name="SURVEY5" hidden="0" function="0" vbProcedure="0">#ref!</definedName>
    <definedName name="SurveyCompMethod" hidden="0" function="0" vbProcedure="0">#ref!</definedName>
    <definedName name="SurveyDate" hidden="0" function="0" vbProcedure="0">#ref!</definedName>
    <definedName name="SurveyName" hidden="0" function="0" vbProcedure="0">#ref!</definedName>
    <definedName name="SurveyProgram" hidden="0" function="0" vbProcedure="0">!#ref!</definedName>
    <definedName name="SurveyProgramFormatA" hidden="0" function="0" vbProcedure="0">#ref!</definedName>
    <definedName name="SurveyProgramFormatB" hidden="0" function="0" vbProcedure="0">#ref!</definedName>
    <definedName name="SurveyProgramHeader" hidden="0" function="0" vbProcedure="0">#ref!</definedName>
    <definedName name="SurveyStats" hidden="0" function="0" vbProcedure="0">#ref!</definedName>
    <definedName name="SvyDLSCompMethod" hidden="0" function="0" vbProcedure="0">#ref!</definedName>
    <definedName name="SVY_OFF" hidden="0" function="0" vbProcedure="0">#ref!</definedName>
    <definedName name="Svy_Print_Area" hidden="0" function="0" vbProcedure="0">'[83]9.625 TCP String'!$B$12:$I$3772</definedName>
    <definedName name="swd" hidden="0" function="0" vbProcedure="0">#ref!</definedName>
    <definedName name="SWELL_PKR" hidden="0" function="0" vbProcedure="0">INDEX([13]PKR!$F$2:$G$10,MATCH([13]PKR!$H$1,[13]PKR!$F$2:$F$10,0),2)</definedName>
    <definedName name="Sy" hidden="0" function="0" vbProcedure="0">#ref!</definedName>
    <definedName name="S___sick" hidden="0" function="0" vbProcedure="0">#ref!</definedName>
    <definedName name="T" hidden="0" function="0" vbProcedure="0">#ref!</definedName>
    <definedName name="t." hidden="0" function="0" vbProcedure="0">[49]!Prev.Macro102</definedName>
    <definedName name="T10Crtl" hidden="0" function="0" vbProcedure="0">#ref!</definedName>
    <definedName name="T1a" hidden="0" function="0" vbProcedure="0">#ref!</definedName>
    <definedName name="T1b" hidden="0" function="0" vbProcedure="0">#ref!</definedName>
    <definedName name="T1c" hidden="0" function="0" vbProcedure="0">#ref!</definedName>
    <definedName name="T1cCell" hidden="0" function="0" vbProcedure="0">#ref!</definedName>
    <definedName name="T1d" hidden="0" function="0" vbProcedure="0">#ref!</definedName>
    <definedName name="T1DCell" hidden="0" function="0" vbProcedure="0">#ref!</definedName>
    <definedName name="T1e" hidden="0" function="0" vbProcedure="0">#ref!</definedName>
    <definedName name="T1ECell" hidden="0" function="0" vbProcedure="0">#ref!</definedName>
    <definedName name="TABLE" hidden="0" function="0" vbProcedure="0">#ref!</definedName>
    <definedName name="TABLE2_LIV_TFE_31102003" hidden="0" function="0" vbProcedure="0">#ref!</definedName>
    <definedName name="TableHeaderCenter" hidden="0" function="0" vbProcedure="0">#ref!</definedName>
    <definedName name="TableHeaderCrossCenter" hidden="0" function="0" vbProcedure="0">#ref!</definedName>
    <definedName name="TableHeaderCrossRight" hidden="0" function="0" vbProcedure="0">#ref!</definedName>
    <definedName name="TableHeaderLeft" hidden="0" function="0" vbProcedure="0">#ref!</definedName>
    <definedName name="TableHeaderRight" hidden="0" function="0" vbProcedure="0">#ref!</definedName>
    <definedName name="TabSlurry" hidden="0" function="0" vbProcedure="0">#ref!</definedName>
    <definedName name="TAD" hidden="0" function="0" vbProcedure="0">#ref!</definedName>
    <definedName name="TAD_SUMURY" hidden="0" function="0" vbProcedure="0">#ref!</definedName>
    <definedName name="taggedsand" hidden="0" function="0" vbProcedure="0">#ref!</definedName>
    <definedName name="TailPipeWeight" hidden="0" function="0" vbProcedure="0">#ref!</definedName>
    <definedName name="Tail_Cmt_Wt" hidden="0" function="0" vbProcedure="0">#ref!</definedName>
    <definedName name="Taladro" hidden="0" function="0" vbProcedure="0">#ref!</definedName>
    <definedName name="Tally" hidden="0" function="0" vbProcedure="0">#ref!</definedName>
    <definedName name="tallyc" hidden="0" function="0" vbProcedure="0">'[2]run sheet'!#ref!</definedName>
    <definedName name="TallyCumLengthUnit" hidden="0" function="0" vbProcedure="0">#ref!</definedName>
    <definedName name="TallyDepthUnit" hidden="0" function="0" vbProcedure="0">#ref!</definedName>
    <definedName name="TallyLength" hidden="0" function="0" vbProcedure="0">#ref!</definedName>
    <definedName name="TallyLengthUnit" hidden="0" function="0" vbProcedure="0">#ref!</definedName>
    <definedName name="TALLY_1" hidden="0" function="0" vbProcedure="0">[84]Tally!$A$5:$C$1004</definedName>
    <definedName name="Tally_2" hidden="0" function="0" vbProcedure="0">[85]Tally!$E$5:$G$1004</definedName>
    <definedName name="Tally_3" hidden="0" function="0" vbProcedure="0">[85]Tally!$I$5:$K$1004</definedName>
    <definedName name="TANQUES" hidden="0" function="0" vbProcedure="0">#ref!</definedName>
    <definedName name="Taper_String_Grade" hidden="0" function="0" vbProcedure="0">#ref!</definedName>
    <definedName name="Taper_String_Size" hidden="0" function="0" vbProcedure="0">#ref!</definedName>
    <definedName name="Taper_String_Type" hidden="0" function="0" vbProcedure="0">#ref!</definedName>
    <definedName name="Taper_String_Wt._Ft." hidden="0" function="0" vbProcedure="0">#ref!</definedName>
    <definedName name="TAR" hidden="0" function="0" vbProcedure="0">#ref!</definedName>
    <definedName name="TarBTM" hidden="0" function="0" vbProcedure="0">#ref!</definedName>
    <definedName name="targe"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hidden="0" function="0" vbProcedure="0">#ref!</definedName>
    <definedName name="TargetE" hidden="0" function="0" vbProcedure="0">#ref!</definedName>
    <definedName name="TargetN" hidden="0" function="0" vbProcedure="0">#ref!</definedName>
    <definedName name="TarINC" hidden="0" function="0" vbProcedure="0">#ref!</definedName>
    <definedName name="TARIQ" hidden="0" function="0" vbProcedure="0">[145]!Calculate_Pipe</definedName>
    <definedName name="TarTOP" hidden="0" function="0" vbProcedure="0">#ref!</definedName>
    <definedName name="TarTVD" hidden="0" function="0" vbProcedure="0">#ref!</definedName>
    <definedName name="TarVS" hidden="0" function="0" vbProcedure="0">#ref!</definedName>
    <definedName name="TAX" hidden="0" function="0" vbProcedure="0">#ref!</definedName>
    <definedName name="Taxable" hidden="0" function="0" vbProcedure="0">#ref!</definedName>
    <definedName name="Tbg" hidden="0" function="0" vbProcedure="0">#ref!</definedName>
    <definedName name="TbgDrift1" hidden="0" function="0" vbProcedure="0">#ref!</definedName>
    <definedName name="TbgDrift2" hidden="0" function="0" vbProcedure="0">#ref!</definedName>
    <definedName name="TbgDrift3" hidden="0" function="0" vbProcedure="0">#ref!</definedName>
    <definedName name="TbgDrift4" hidden="0" function="0" vbProcedure="0">#ref!</definedName>
    <definedName name="TbgGrade" hidden="0" function="0" vbProcedure="0">[86]MUT!$O$3:$O$4</definedName>
    <definedName name="TbgGrd1" hidden="0" function="0" vbProcedure="0">#ref!</definedName>
    <definedName name="TbgGrd2" hidden="0" function="0" vbProcedure="0">#ref!</definedName>
    <definedName name="TbgGrd3" hidden="0" function="0" vbProcedure="0">#ref!</definedName>
    <definedName name="TbgGrd4" hidden="0" function="0" vbProcedure="0">#ref!</definedName>
    <definedName name="TbgID1" hidden="0" function="0" vbProcedure="0">#ref!</definedName>
    <definedName name="TbgID2" hidden="0" function="0" vbProcedure="0">#ref!</definedName>
    <definedName name="TbgID3" hidden="0" function="0" vbProcedure="0">#ref!</definedName>
    <definedName name="TbgID4" hidden="0" function="0" vbProcedure="0">#ref!</definedName>
    <definedName name="TbgPt" hidden="0" function="0" vbProcedure="0">#ref!</definedName>
    <definedName name="TbgSize" hidden="0" function="0" vbProcedure="0">[87]MUT!$L$3:$L$8</definedName>
    <definedName name="TbgSz1" hidden="0" function="0" vbProcedure="0">#ref!</definedName>
    <definedName name="TbgSz2" hidden="0" function="0" vbProcedure="0">#ref!</definedName>
    <definedName name="TbgSz3" hidden="0" function="0" vbProcedure="0">#ref!</definedName>
    <definedName name="TbgSz4" hidden="0" function="0" vbProcedure="0">#ref!</definedName>
    <definedName name="tbgthd" hidden="0" function="0" vbProcedure="0">#ref!</definedName>
    <definedName name="TbgThd1" hidden="0" function="0" vbProcedure="0">#ref!</definedName>
    <definedName name="TbgThd2" hidden="0" function="0" vbProcedure="0">#ref!</definedName>
    <definedName name="TbgThd3" hidden="0" function="0" vbProcedure="0">#ref!</definedName>
    <definedName name="TbgThd4" hidden="0" function="0" vbProcedure="0">#ref!</definedName>
    <definedName name="TbgWt1" hidden="0" function="0" vbProcedure="0">#ref!</definedName>
    <definedName name="TbgWt2" hidden="0" function="0" vbProcedure="0">#ref!</definedName>
    <definedName name="TbgWt3" hidden="0" function="0" vbProcedure="0">#ref!</definedName>
    <definedName name="TbgWt4" hidden="0" function="0" vbProcedure="0">#ref!</definedName>
    <definedName name="tbgys" hidden="0" function="0" vbProcedure="0">#ref!</definedName>
    <definedName name="TBG_2" hidden="0" function="0" vbProcedure="0">"Group 3471,Group 3472,Group 3473"</definedName>
    <definedName name="tblAcct" hidden="0" function="0" vbProcedure="0">#ref!</definedName>
    <definedName name="tblAcctKey" hidden="0" function="0" vbProcedure="0">#ref!</definedName>
    <definedName name="tblEntity" hidden="0" function="0" vbProcedure="0">#ref!</definedName>
    <definedName name="tblEntityEssSel" hidden="0" function="0" vbProcedure="0">#ref!</definedName>
    <definedName name="tblEntityLBox" hidden="0" function="0" vbProcedure="0">#ref!</definedName>
    <definedName name="tblEntitySel" hidden="0" function="0" vbProcedure="0">#ref!</definedName>
    <definedName name="tblEntitySelDesc" hidden="0" function="0" vbProcedure="0">#ref!</definedName>
    <definedName name="tblICAcct" hidden="0" function="0" vbProcedure="0">#ref!</definedName>
    <definedName name="tblICAcctIdx" hidden="0" function="0" vbProcedure="0">#ref!</definedName>
    <definedName name="tblICAcctSel" hidden="0" function="0" vbProcedure="0">#ref!</definedName>
    <definedName name="tblICAcctSelDesc" hidden="0" function="0" vbProcedure="0">#ref!</definedName>
    <definedName name="tblMonth" hidden="0" function="0" vbProcedure="0">#ref!</definedName>
    <definedName name="tblPeriod" hidden="0" function="0" vbProcedure="0">#ref!</definedName>
    <definedName name="tblPeriodIdx" hidden="0" function="0" vbProcedure="0">#ref!</definedName>
    <definedName name="tblPeriodLBox" hidden="0" function="0" vbProcedure="0">#ref!</definedName>
    <definedName name="tblPeriodSel" hidden="0" function="0" vbProcedure="0">#ref!</definedName>
    <definedName name="tblValue" hidden="0" function="0" vbProcedure="0">#ref!</definedName>
    <definedName name="tblValueEssSel" hidden="0" function="0" vbProcedure="0">#ref!</definedName>
    <definedName name="tblValueIdx" hidden="0" function="0" vbProcedure="0">#ref!</definedName>
    <definedName name="tblValueSel" hidden="0" function="0" vbProcedure="0">#ref!</definedName>
    <definedName name="tblValueSelDesc" hidden="0" function="0" vbProcedure="0">#ref!</definedName>
    <definedName name="tblYear" hidden="0" function="0" vbProcedure="0">#ref!</definedName>
    <definedName name="tblYearEssSel" hidden="0" function="0" vbProcedure="0">#ref!</definedName>
    <definedName name="tblYearIdx" hidden="0" function="0" vbProcedure="0">#ref!</definedName>
    <definedName name="tblYearLBox" hidden="0" function="0" vbProcedure="0">#ref!</definedName>
    <definedName name="TBR" hidden="0" function="0" vbProcedure="0">[25]Data!$R$3:$R$12</definedName>
    <definedName name="TB_Extension_API_Collapse" hidden="0" function="0" vbProcedure="0">#ref!</definedName>
    <definedName name="TB_Extension_Burst" hidden="0" function="0" vbProcedure="0">#ref!</definedName>
    <definedName name="TB_Ext_API_Coll" hidden="0" function="0" vbProcedure="0">#ref!</definedName>
    <definedName name="TB_Ext_API_Collz" hidden="0" function="0" vbProcedure="0">'[11]Liner Job Info'!$P$37</definedName>
    <definedName name="TB_Ext_Bst" hidden="0" function="0" vbProcedure="0">#ref!</definedName>
    <definedName name="TB_Ext_Bstz" hidden="0" function="0" vbProcedure="0">'[11]Liner Job Info'!$P$36</definedName>
    <definedName name="TB_EXT_ID" hidden="0" function="0" vbProcedure="0">#ref!</definedName>
    <definedName name="Tb_Ext_OD" hidden="0" function="0" vbProcedure="0">#ref!</definedName>
    <definedName name="TB_Ext_Yield_Coll" hidden="0" function="0" vbProcedure="0">#ref!</definedName>
    <definedName name="TB_Ext_Yield_Collz" hidden="0" function="0" vbProcedure="0">'[11]Liner Job Info'!$P$38</definedName>
    <definedName name="TB_Ext_Yld" hidden="0" function="0" vbProcedure="0">#ref!</definedName>
    <definedName name="TCosts" hidden="0" function="0" vbProcedure="0">#ref!</definedName>
    <definedName name="TCPSTRING" hidden="0" function="0" vbProcedure="0">[279]!ADDSTAB</definedName>
    <definedName name="TCP_Specialist" hidden="0" function="0" vbProcedure="0">'[27]Name Range'!$N$2:$N$5</definedName>
    <definedName name="TD" hidden="0" function="0" vbProcedure="0">#ref!</definedName>
    <definedName name="TDH" hidden="0" function="0" vbProcedure="0">#ref!</definedName>
    <definedName name="TD_Depth_md" hidden="0" function="0" vbProcedure="0">#ref!</definedName>
    <definedName name="TD_md" hidden="0" function="0" vbProcedure="0">#ref!</definedName>
    <definedName name="Tecnico" hidden="0" function="0" vbProcedure="0">#ref!</definedName>
    <definedName name="tecnio" hidden="0" function="0" vbProcedure="0">#ref!</definedName>
    <definedName name="tedtr" hidden="0" function="0" vbProcedure="0">'[16]Max-Torq'!$P$72</definedName>
    <definedName name="teks"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hidden="0" function="0" vbProcedure="0">#ref!</definedName>
    <definedName name="TEM" hidden="0" function="0" vbProcedure="0">#ref!</definedName>
    <definedName name="Temp" hidden="0" function="0" vbProcedure="0">#ref!</definedName>
    <definedName name="Temperature" hidden="0" function="0" vbProcedure="0">#ref!</definedName>
    <definedName name="TempF" hidden="0" function="0" vbProcedure="0">#ref!</definedName>
    <definedName name="TempFac" hidden="0" function="0" vbProcedure="0">#ref!</definedName>
    <definedName name="TempFd" hidden="0" function="0" vbProcedure="0">#ref!</definedName>
    <definedName name="TempInput" hidden="0" function="0" vbProcedure="0">#ref!</definedName>
    <definedName name="TEMPLATENUMBER1" hidden="0" function="0" vbProcedure="0">[53]CRITERIA1!$B$32</definedName>
    <definedName name="TEMPLATESTYLE1" hidden="0" function="0" vbProcedure="0">[53]CRITERIA1!$B$31</definedName>
    <definedName name="TEMPLATETYPE1" hidden="0" function="0" vbProcedure="0">[53]CRITERIA1!$B$30</definedName>
    <definedName name="TempMax" hidden="0" function="0" vbProcedure="0">#ref!</definedName>
    <definedName name="TempTable" hidden="0" function="0" vbProcedure="0">#ref!</definedName>
    <definedName name="TempU" hidden="0" function="0" vbProcedure="0">#ref!</definedName>
    <definedName name="TempUnit" hidden="0" function="0" vbProcedure="0">#ref!</definedName>
    <definedName name="TempUnitFd" hidden="0" function="0" vbProcedure="0">#ref!</definedName>
    <definedName name="TENDER" hidden="0" function="0" vbProcedure="0">'[88]Report Long(Esso)'!$E$4</definedName>
    <definedName name="TENDER_PROFILE" hidden="0" function="0" vbProcedure="0">#ref!</definedName>
    <definedName name="tens" hidden="0" function="0" vbProcedure="0">'[16]Max-Torq'!$N$58</definedName>
    <definedName name="Tensiledb" hidden="0" function="0" vbProcedure="0">#ref!</definedName>
    <definedName name="Tensileslb" hidden="0" function="0" vbProcedure="0">#ref!</definedName>
    <definedName name="tensilestring" hidden="0" function="0" vbProcedure="0">#ref!</definedName>
    <definedName name="terry1" hidden="1" function="0" vbProcedure="0">{#N/A,#N/A,FALSE,"Volume"}</definedName>
    <definedName name="terry2" hidden="1" function="0" vbProcedure="0">{#N/A,#N/A,FALSE,"Volume"}</definedName>
    <definedName name="terry3" hidden="1" function="0" vbProcedure="0">{#N/A,#N/A,FALSE,"Volume"}</definedName>
    <definedName name="terry4" hidden="1" function="0" vbProcedure="0">{#N/A,#N/A,FALSE,"Volume"}</definedName>
    <definedName name="terry5" hidden="1" function="0" vbProcedure="0">{#N/A,#N/A,FALSE,"Volume"}</definedName>
    <definedName name="test" hidden="0" function="0" vbProcedure="0">4</definedName>
    <definedName name="TEST.XLS" hidden="0" function="0" vbProcedure="0">#ref!</definedName>
    <definedName name="TEST0" hidden="0" function="0" vbProcedure="0">#ref!</definedName>
    <definedName name="test1" hidden="0" function="0" vbProcedure="0">#ref!</definedName>
    <definedName name="TEST10" hidden="0" function="0" vbProcedure="0">#ref!</definedName>
    <definedName name="TEST11" hidden="0" function="0" vbProcedure="0">#ref!</definedName>
    <definedName name="TEST2" hidden="0" function="0" vbProcedure="0">#ref!</definedName>
    <definedName name="TEST3" hidden="0" function="0" vbProcedure="0">#ref!</definedName>
    <definedName name="TEST4" hidden="0" function="0" vbProcedure="0">#ref!</definedName>
    <definedName name="TEST5" hidden="0" function="0" vbProcedure="0">#ref!</definedName>
    <definedName name="TEST6" hidden="0" function="0" vbProcedure="0">#ref!</definedName>
    <definedName name="TEST7" hidden="0" function="0" vbProcedure="0">#ref!</definedName>
    <definedName name="TEST8" hidden="0" function="0" vbProcedure="0">#ref!</definedName>
    <definedName name="TEST9" hidden="0" function="0" vbProcedure="0">#ref!</definedName>
    <definedName name="TESTHKEY" hidden="0" function="0" vbProcedure="0">#ref!</definedName>
    <definedName name="TESTKEYS" hidden="0" function="0" vbProcedure="0">#ref!</definedName>
    <definedName name="TESTVKEY" hidden="0" function="0" vbProcedure="0">#ref!</definedName>
    <definedName name="TEST_IMG" hidden="0" function="0" vbProcedure="0">INDEX(#ref!,MATCH(#ref!,#ref!,0),2)</definedName>
    <definedName name="Test_Index" hidden="0" function="0" vbProcedure="0">'[12]JCSI 12'!$X$26</definedName>
    <definedName name="Test_po_out_1" hidden="0" function="0" vbProcedure="0">#ref!</definedName>
    <definedName name="Test_po_out_2" hidden="0" function="0" vbProcedure="0">#ref!</definedName>
    <definedName name="Test_Type" hidden="0" function="0" vbProcedure="0">'[12]JCSI 12'!$X$29:$X$42</definedName>
    <definedName name="Text38" hidden="0" function="0" vbProcedure="0">#ref!</definedName>
    <definedName name="textfive" hidden="0" function="0" vbProcedure="0">#N/A</definedName>
    <definedName name="textfivehalf" hidden="0" function="0" vbProcedure="0">#N/A</definedName>
    <definedName name="textninefiveeightfourfirst" hidden="0" function="0" vbProcedure="0">#N/A</definedName>
    <definedName name="textninefiveeightfoursecond" hidden="0" function="0" vbProcedure="0">#N/A</definedName>
    <definedName name="textninefiveeightsixfirst" hidden="0" function="0" vbProcedure="0">#N/A</definedName>
    <definedName name="textninefiveeightsixsecond" hidden="0" function="0" vbProcedure="0">#N/A</definedName>
    <definedName name="textsevenfiveeightfour" hidden="0" function="0" vbProcedure="0">#N/A</definedName>
    <definedName name="textsevenfiveeightthree" hidden="0" function="0" vbProcedure="0">#N/A</definedName>
    <definedName name="textsevenfour" hidden="0" function="0" vbProcedure="0">#N/A</definedName>
    <definedName name="textseventhree" hidden="0" function="0" vbProcedure="0">#N/A</definedName>
    <definedName name="text_five" hidden="0" function="0" vbProcedure="0">#N/A</definedName>
    <definedName name="text_fivehalf" hidden="0" function="0" vbProcedure="0">#N/A</definedName>
    <definedName name="text_ninefiveeightfourfirst" hidden="0" function="0" vbProcedure="0">#N/A</definedName>
    <definedName name="text_ninefiveeightfoursecond" hidden="0" function="0" vbProcedure="0">#N/A</definedName>
    <definedName name="text_ninefiveeightsixfirst" hidden="0" function="0" vbProcedure="0">#N/A</definedName>
    <definedName name="text_ninefiveeightsixsecond" hidden="0" function="0" vbProcedure="0">#N/A</definedName>
    <definedName name="text_sevenfiveeightfour" hidden="0" function="0" vbProcedure="0">#N/A</definedName>
    <definedName name="text_sevenfiveeightthree" hidden="0" function="0" vbProcedure="0">#N/A</definedName>
    <definedName name="text_sevenfour" hidden="0" function="0" vbProcedure="0">#N/A</definedName>
    <definedName name="text_seventhree" hidden="0" function="0" vbProcedure="0">#N/A</definedName>
    <definedName name="TFactor" hidden="0" function="0" vbProcedure="0">#ref!</definedName>
    <definedName name="TFactorOutput" hidden="0" function="0" vbProcedure="0">#ref!</definedName>
    <definedName name="tftf" hidden="0" function="0" vbProcedure="0">#ref!</definedName>
    <definedName name="tftv" hidden="0" function="0" vbProcedure="0">#ref!</definedName>
    <definedName name="TF_Column" hidden="0" function="0" vbProcedure="0">#ref!</definedName>
    <definedName name="TF_Unit" hidden="0" function="0" vbProcedure="0">#ref!</definedName>
    <definedName name="tgrade" hidden="0" function="0" vbProcedure="0">[73]Control!$D$9</definedName>
    <definedName name="TGW" hidden="0" function="0" vbProcedure="0">#ref!</definedName>
    <definedName name="Thread" hidden="0" function="0" vbProcedure="0">[25]Data!$P$3:$P$54</definedName>
    <definedName name="ThreadCon" hidden="0" function="0" vbProcedure="0">[89]MUT!$R$3:$R$9</definedName>
    <definedName name="Threads" hidden="0" function="0" vbProcedure="0">'[2]Data Go-To-Sheet'!$H$29:$H$74</definedName>
    <definedName name="THREADTYPES" hidden="0" function="0" vbProcedure="0">#ref!</definedName>
    <definedName name="Thread_DP" hidden="0" function="0" vbProcedure="0">[25]Data!$K$3:$K$30</definedName>
    <definedName name="TICKET" hidden="0" function="0" vbProcedure="0">#ref!</definedName>
    <definedName name="ticketdate" hidden="0" function="0" vbProcedure="0">'[34]Call Sheet'!$AH$1</definedName>
    <definedName name="tickettype" hidden="0" function="0" vbProcedure="0">#ref!</definedName>
    <definedName name="TICKIT" hidden="0" function="0" vbProcedure="0">#ref!</definedName>
    <definedName name="Tight_Hole" hidden="0" function="0" vbProcedure="0">'[7]Drop-Down Items'!$G$43:$G$45</definedName>
    <definedName name="TIL" hidden="0" function="0" vbProcedure="0">#ref!</definedName>
    <definedName name="TIM" hidden="0" function="0" vbProcedure="0">#ref!</definedName>
    <definedName name="TIME" hidden="0" function="0" vbProcedure="0">#ref!</definedName>
    <definedName name="Time2" hidden="1" function="0" vbProcedure="0">{#N/A,#N/A,FALSE,"Volume"}</definedName>
    <definedName name="TimeT1a" hidden="0" function="0" vbProcedure="0">#ref!</definedName>
    <definedName name="TimeT1b" hidden="0" function="0" vbProcedure="0">#ref!</definedName>
    <definedName name="TimeT1c" hidden="0" function="0" vbProcedure="0">#ref!</definedName>
    <definedName name="TimeT1d" hidden="0" function="0" vbProcedure="0">#ref!</definedName>
    <definedName name="TimeT1e" hidden="0" function="0" vbProcedure="0">#ref!</definedName>
    <definedName name="Time_1" hidden="0" function="0" vbProcedure="0">#ref!</definedName>
    <definedName name="Time_1__Time_2" hidden="0" function="0" vbProcedure="0">'[282]k factor'!#ref!</definedName>
    <definedName name="Time_2" hidden="0" function="0" vbProcedure="0">#ref!</definedName>
    <definedName name="Time_Orient_Mode_1" hidden="0" function="0" vbProcedure="0">#ref!</definedName>
    <definedName name="Time_Orient_Mode_1_Name" hidden="0" function="0" vbProcedure="0">#ref!</definedName>
    <definedName name="Time_Orient_Mode_2" hidden="0" function="0" vbProcedure="0">#ref!</definedName>
    <definedName name="Time_Orient_Mode_2_Name" hidden="0" function="0" vbProcedure="0">#ref!</definedName>
    <definedName name="Time_Rot" hidden="0" function="0" vbProcedure="0">#ref!</definedName>
    <definedName name="Time_Rot_Name" hidden="0" function="0" vbProcedure="0">#ref!</definedName>
    <definedName name="Time_Steering" hidden="0" function="0" vbProcedure="0">#ref!</definedName>
    <definedName name="Time_Steering_Name" hidden="0" function="0" vbProcedure="0">#ref!</definedName>
    <definedName name="Time_Step" hidden="0" function="0" vbProcedure="0">#ref!</definedName>
    <definedName name="Time_Step__minutes" hidden="0" function="0" vbProcedure="0">#ref!</definedName>
    <definedName name="TIPE" hidden="0" function="0" vbProcedure="0">#ref!</definedName>
    <definedName name="TIPN" hidden="0" function="0" vbProcedure="0">#ref!</definedName>
    <definedName name="TITLE" hidden="0" function="0" vbProcedure="0">#ref!</definedName>
    <definedName name="TJ" hidden="0" function="0" vbProcedure="0">#ref!</definedName>
    <definedName name="TJt" hidden="0" function="0" vbProcedure="0">#ref!</definedName>
    <definedName name="TLCENG" hidden="0" function="0" vbProcedure="0">[24]Reference!$D$2</definedName>
    <definedName name="TLDENG" hidden="0" function="0" vbProcedure="0">[24]Reference!$C$2</definedName>
    <definedName name="TLDOPS" hidden="0" function="0" vbProcedure="0">[24]Reference!$E$2</definedName>
    <definedName name="TMD" hidden="0" function="0" vbProcedure="0">#ref!</definedName>
    <definedName name="Today1" hidden="0" function="0" vbProcedure="0">#ref!</definedName>
    <definedName name="Today2" hidden="0" function="0" vbProcedure="0">#ref!</definedName>
    <definedName name="TOL" hidden="0" function="0" vbProcedure="0">#ref!</definedName>
    <definedName name="TOLz" hidden="0" function="0" vbProcedure="0">'[11]Liner Job Info'!$I$19</definedName>
    <definedName name="Tool" hidden="0" function="0" vbProcedure="0">#ref!</definedName>
    <definedName name="ToolAboveSurvey" hidden="0" function="0" vbProcedure="0">#ref!</definedName>
    <definedName name="ToolBelowSurvey" hidden="0" function="0" vbProcedure="0">#ref!</definedName>
    <definedName name="toolImage1" hidden="0" function="0" vbProcedure="0">#ref!</definedName>
    <definedName name="Tooling" hidden="0" function="0" vbProcedure="0">[141]summary!#ref!</definedName>
    <definedName name="ToolMaterial" hidden="0" function="0" vbProcedure="0">[11]DATA!$BN$2:$BN$8</definedName>
    <definedName name="ToolName" hidden="0" function="0" vbProcedure="0">#ref!</definedName>
    <definedName name="ToolPos" hidden="0" function="0" vbProcedure="0">#ref!</definedName>
    <definedName name="Tools" hidden="0" function="0" vbProcedure="0">#ref!</definedName>
    <definedName name="ToolType" hidden="0" function="0" vbProcedure="0">#ref!</definedName>
    <definedName name="ToolWeightAirString" hidden="0" function="0" vbProcedure="0">#ref!</definedName>
    <definedName name="ToolWeightCshString" hidden="0" function="0" vbProcedure="0">#ref!</definedName>
    <definedName name="ToolWeightdb" hidden="0" function="0" vbProcedure="0">#ref!</definedName>
    <definedName name="ToolWeightMudString" hidden="0" function="0" vbProcedure="0">#ref!</definedName>
    <definedName name="ToolWeightslb" hidden="0" function="0" vbProcedure="0">#ref!</definedName>
    <definedName name="ToolWeightString" hidden="0" function="0" vbProcedure="0">#ref!</definedName>
    <definedName name="ToolWeightString2" hidden="0" function="0" vbProcedure="0">#ref!</definedName>
    <definedName name="ToolWeightUntdb" hidden="0" function="0" vbProcedure="0">#ref!</definedName>
    <definedName name="ToolWeightUntslb" hidden="0" function="0" vbProcedure="0">#ref!</definedName>
    <definedName name="ToolWeightUntString" hidden="0" function="0" vbProcedure="0">#ref!</definedName>
    <definedName name="Tool_ID" hidden="0" function="0" vbProcedure="0">[11]DATA!$P$2:$P$268</definedName>
    <definedName name="topdepthstring" hidden="0" function="0" vbProcedure="0">#ref!</definedName>
    <definedName name="topPinBoxdb" hidden="0" function="0" vbProcedure="0">#ref!</definedName>
    <definedName name="toppinboxslb" hidden="0" function="0" vbProcedure="0">#ref!</definedName>
    <definedName name="TOPPKRIMG" hidden="0" function="0" vbProcedure="0">INDEX([90]PKR!$A$16:$B$17,MATCH([90]INPUT!$G$56,[90]PKR!$A$16:$A$17,0),2)</definedName>
    <definedName name="TOPPKRIMG_1" hidden="0" function="0" vbProcedure="0">INDEX([78]PKR!$A$16:$B$18,MATCH([78]INPUT!$G$56,[78]PKR!$A$16:$A$18,0),2)</definedName>
    <definedName name="topthreadstring" hidden="0" function="0" vbProcedure="0">#ref!</definedName>
    <definedName name="topTypedb" hidden="0" function="0" vbProcedure="0">#ref!</definedName>
    <definedName name="toptypelocdb" hidden="0" function="0" vbProcedure="0">#ref!</definedName>
    <definedName name="toptypeslb" hidden="0" function="0" vbProcedure="0">#ref!</definedName>
    <definedName name="Top_Drive_y_n" hidden="0" function="0" vbProcedure="0">#ref!</definedName>
    <definedName name="Top_Packer_to_Top_7__Liner" hidden="0" function="0" vbProcedure="0">#ref!</definedName>
    <definedName name="Top_Perf._TVD" hidden="0" function="0" vbProcedure="0">#ref!</definedName>
    <definedName name="Top_Perforation" hidden="0" function="0" vbProcedure="0">#ref!</definedName>
    <definedName name="Top_Shot" hidden="0" function="0" vbProcedure="0">#ref!</definedName>
    <definedName name="Torque" hidden="0" function="0" vbProcedure="0">#ref!</definedName>
    <definedName name="torque1" hidden="0" function="0" vbProcedure="0">'[7]Drop-Down Items'!$Y$7:$Y$9</definedName>
    <definedName name="TorqUnit" hidden="0" function="0" vbProcedure="0">#ref!</definedName>
    <definedName name="TorsionalStressUnit" hidden="0" function="0" vbProcedure="0">#ref!</definedName>
    <definedName name="TortuosityPeriodUnit" hidden="0" function="0" vbProcedure="0">#ref!</definedName>
    <definedName name="TortuositySeed" hidden="0" function="0" vbProcedure="0">#ref!</definedName>
    <definedName name="TortuosityStartDepthUnit" hidden="0" function="0" vbProcedure="0">#ref!</definedName>
    <definedName name="TorutuosityEndDepthUnit" hidden="0" function="0" vbProcedure="0">#ref!</definedName>
    <definedName name="TorutuosityMagUnit" hidden="0" function="0" vbProcedure="0">#ref!</definedName>
    <definedName name="TorutuosityName" hidden="0" function="0" vbProcedure="0">#ref!</definedName>
    <definedName name="TOServiceTypes" hidden="0" function="0" vbProcedure="0">#ref!</definedName>
    <definedName name="TOTAL" hidden="0" function="0" vbProcedure="0">#ref!</definedName>
    <definedName name="TotalBitsLabel" hidden="0" function="0" vbProcedure="0">"Label 203"</definedName>
    <definedName name="TotalBuoyantWeight" hidden="0" function="0" vbProcedure="0">#ref!</definedName>
    <definedName name="TotalBuoyantWeightUnits" hidden="0" function="0" vbProcedure="0">#ref!</definedName>
    <definedName name="TotalCirculation" hidden="0" function="0" vbProcedure="0">#ref!</definedName>
    <definedName name="TotalCorrection" hidden="0" function="0" vbProcedure="0">#ref!</definedName>
    <definedName name="TotalCorrectionLbl" hidden="0" function="0" vbProcedure="0">#ref!</definedName>
    <definedName name="TotalCsg" hidden="0" function="0" vbProcedure="0">#ref!</definedName>
    <definedName name="TotalCsga" hidden="0" function="0" vbProcedure="0">#ref!</definedName>
    <definedName name="TotalCum" hidden="0" function="0" vbProcedure="0">#ref!</definedName>
    <definedName name="TotalDepth" hidden="0" function="0" vbProcedure="0">#ref!</definedName>
    <definedName name="Totale" hidden="0" function="0" vbProcedure="0">#ref!</definedName>
    <definedName name="TotalLength" hidden="0" function="0" vbProcedure="0">#ref!</definedName>
    <definedName name="TotalLengthUnits" hidden="0" function="0" vbProcedure="0">#ref!</definedName>
    <definedName name="TotalPipeSpent" hidden="0" function="0" vbProcedure="0">#ref!</definedName>
    <definedName name="totalplaced" hidden="0" function="0" vbProcedure="0">[5]WTR!$G$153</definedName>
    <definedName name="TotalPresOutput" hidden="0" function="0" vbProcedure="0">#ref!</definedName>
    <definedName name="TotalTime" hidden="0" function="0" vbProcedure="0">#ref!</definedName>
    <definedName name="TotalWeightInAir" hidden="0" function="0" vbProcedure="0">#ref!</definedName>
    <definedName name="TotalWeightInAirUnits" hidden="0" function="0" vbProcedure="0">#ref!</definedName>
    <definedName name="Total_Actual_Lease_Charges" hidden="0" function="0" vbProcedure="0">#ref!</definedName>
    <definedName name="Total_DP_Wt" hidden="0" function="0" vbProcedure="0">#ref!</definedName>
    <definedName name="Total_Length_of_BHA" hidden="0" function="0" vbProcedure="0">#ref!</definedName>
    <definedName name="totCubGas" hidden="0" function="0" vbProcedure="0">'[181]1pcbud'!#ref!</definedName>
    <definedName name="totGen" hidden="0" function="0" vbProcedure="0">'[181]1pcbud'!#ref!</definedName>
    <definedName name="totgravelinperfs" hidden="0" function="0" vbProcedure="0">[5]WTR!$G$156</definedName>
    <definedName name="totPCalde" hidden="0" function="0" vbProcedure="0">'[181]1pcbud'!#ref!</definedName>
    <definedName name="TOT_ANN_CAP" hidden="0" function="0" vbProcedure="0">#ref!</definedName>
    <definedName name="Tot_Bottoms_Up" hidden="0" function="0" vbProcedure="0">#ref!</definedName>
    <definedName name="Tot_Bottoms_Upz" hidden="0" function="0" vbProcedure="0">'[11]Metric Conversions'!$C$90</definedName>
    <definedName name="TOT_CAP_HOLE" hidden="0" function="0" vbProcedure="0">#ref!</definedName>
    <definedName name="Tot_Distance" hidden="0" function="0" vbProcedure="0">#ref!</definedName>
    <definedName name="Tot_DP_Length" hidden="0" function="0" vbProcedure="0">#ref!</definedName>
    <definedName name="Tot_DP_Vol" hidden="0" function="0" vbProcedure="0">#ref!</definedName>
    <definedName name="Tot_DP_Volz" hidden="0" function="0" vbProcedure="0">'[11]Metric Conversions'!$C$75</definedName>
    <definedName name="Tot_Liner_Wt" hidden="0" function="0" vbProcedure="0">#ref!</definedName>
    <definedName name="Tot_Lnr_Vol_to_LC" hidden="0" function="0" vbProcedure="0">#ref!</definedName>
    <definedName name="Tot_Lnr_Vol_to_LCz" hidden="0" function="0" vbProcedure="0">'[11]Metric Conversions'!$C$79</definedName>
    <definedName name="Tot_Rop" hidden="0" function="0" vbProcedure="0">#ref!</definedName>
    <definedName name="Tot_Rop_Name" hidden="0" function="0" vbProcedure="0">#ref!</definedName>
    <definedName name="TOT_SAND_2B_PUMPED" hidden="0" function="0" vbProcedure="0">#ref!</definedName>
    <definedName name="TOT_SAND_2B_PUMPED_1" hidden="0" function="0" vbProcedure="0">'[6]#ref'!#ref!</definedName>
    <definedName name="TOT_SAND_2B_PUMPED_10" hidden="0" function="0" vbProcedure="0">'[6]#ref'!#ref!</definedName>
    <definedName name="TOT_SAND_2B_PUMPED_11" hidden="0" function="0" vbProcedure="0">'[6]#ref'!#ref!</definedName>
    <definedName name="TOT_SAND_2B_PUMPED_2" hidden="0" function="0" vbProcedure="0">'[6]#ref'!#ref!</definedName>
    <definedName name="TOT_SAND_2B_PUMPED_3" hidden="0" function="0" vbProcedure="0">'[6]#ref'!#ref!</definedName>
    <definedName name="TOT_SAND_2B_PUMPED_4" hidden="0" function="0" vbProcedure="0">'[6]#ref'!#ref!</definedName>
    <definedName name="TOT_SAND_2B_PUMPED_5" hidden="0" function="0" vbProcedure="0">'[6]#ref'!#ref!</definedName>
    <definedName name="TOT_SAND_2B_PUMPED_6" hidden="0" function="0" vbProcedure="0">'[6]#ref'!#ref!</definedName>
    <definedName name="TOT_SAND_2B_PUMPED_7" hidden="0" function="0" vbProcedure="0">'[6]#ref'!#ref!</definedName>
    <definedName name="TOT_SAND_2B_PUMPED_8" hidden="0" function="0" vbProcedure="0">'[6]#ref'!#ref!</definedName>
    <definedName name="TOT_SAND_2B_PUMPED_9" hidden="0" function="0" vbProcedure="0">'[6]#ref'!#ref!</definedName>
    <definedName name="TOT_SAND_COV_BLANK" hidden="0" function="0" vbProcedure="0">#ref!</definedName>
    <definedName name="TOT_SAND_COV_SCREEN" hidden="0" function="0" vbProcedure="0">#ref!</definedName>
    <definedName name="TOT_SAND_IN_PERFS" hidden="0" function="0" vbProcedure="0">#ref!</definedName>
    <definedName name="TOT_SAND_PLACED" hidden="0" function="0" vbProcedure="0">#ref!</definedName>
    <definedName name="TOT_SAND_REVOUT" hidden="0" function="0" vbProcedure="0">#ref!</definedName>
    <definedName name="TOT_SAND_REVOUT_1" hidden="0" function="0" vbProcedure="0">'[6]#ref'!#ref!</definedName>
    <definedName name="TOT_SAND_REVOUT_10" hidden="0" function="0" vbProcedure="0">'[6]#ref'!#ref!</definedName>
    <definedName name="TOT_SAND_REVOUT_11" hidden="0" function="0" vbProcedure="0">'[6]#ref'!#ref!</definedName>
    <definedName name="TOT_SAND_REVOUT_2" hidden="0" function="0" vbProcedure="0">'[6]#ref'!#ref!</definedName>
    <definedName name="TOT_SAND_REVOUT_3" hidden="0" function="0" vbProcedure="0">'[6]#ref'!#ref!</definedName>
    <definedName name="TOT_SAND_REVOUT_4" hidden="0" function="0" vbProcedure="0">'[6]#ref'!#ref!</definedName>
    <definedName name="TOT_SAND_REVOUT_5" hidden="0" function="0" vbProcedure="0">'[6]#ref'!#ref!</definedName>
    <definedName name="TOT_SAND_REVOUT_6" hidden="0" function="0" vbProcedure="0">'[6]#ref'!#ref!</definedName>
    <definedName name="TOT_SAND_REVOUT_7" hidden="0" function="0" vbProcedure="0">'[6]#ref'!#ref!</definedName>
    <definedName name="TOT_SAND_REVOUT_8" hidden="0" function="0" vbProcedure="0">'[6]#ref'!#ref!</definedName>
    <definedName name="TOT_SAND_REVOUT_9" hidden="0" function="0" vbProcedure="0">'[6]#ref'!#ref!</definedName>
    <definedName name="Tot_Time" hidden="0" function="0" vbProcedure="0">#ref!</definedName>
    <definedName name="Tot_Time_Name" hidden="0" function="0" vbProcedure="0">#ref!</definedName>
    <definedName name="Tot_Vol_to_Bump_Plugs" hidden="0" function="0" vbProcedure="0">#ref!</definedName>
    <definedName name="Tot_Vol_to_Bump_Plugsz" hidden="0" function="0" vbProcedure="0">'[11]Metric Conversions'!$C$80</definedName>
    <definedName name="Tot_Vol_to_Shoe" hidden="0" function="0" vbProcedure="0">#ref!</definedName>
    <definedName name="Tot_Vol_to_Shoez" hidden="0" function="0" vbProcedure="0">'[11]Metric Conversions'!$C$81</definedName>
    <definedName name="TP" hidden="0" function="0" vbProcedure="0">#ref!</definedName>
    <definedName name="tpermit" hidden="0" function="0" vbProcedure="0">[73]Control!$D$5</definedName>
    <definedName name="TQW" hidden="0" function="0" vbProcedure="0">#ref!</definedName>
    <definedName name="TR" hidden="0" function="0" vbProcedure="0">#ref!</definedName>
    <definedName name="Trajectory" hidden="0" function="0" vbProcedure="0">#ref!</definedName>
    <definedName name="transport" hidden="0" function="0" vbProcedure="0">#ref!</definedName>
    <definedName name="tre" hidden="0" function="0" vbProcedure="0">#ref!</definedName>
    <definedName name="treatment" hidden="0" function="0" vbProcedure="0">#ref!</definedName>
    <definedName name="TripInSet1Name" hidden="0" function="0" vbProcedure="0">#ref!</definedName>
    <definedName name="TripInSet2Name" hidden="0" function="0" vbProcedure="0">#ref!</definedName>
    <definedName name="TripInSet3Name" hidden="0" function="0" vbProcedure="0">#ref!</definedName>
    <definedName name="TripInSet4Name" hidden="0" function="0" vbProcedure="0">#ref!</definedName>
    <definedName name="Triplex" hidden="0" function="0" vbProcedure="0">[6]Sheet1!$D$14:$D$15</definedName>
    <definedName name="TripOutSet1Name" hidden="0" function="0" vbProcedure="0">#ref!</definedName>
    <definedName name="TripOutSet2Name" hidden="0" function="0" vbProcedure="0">#ref!</definedName>
    <definedName name="TripOutSet3Name" hidden="0" function="0" vbProcedure="0">#ref!</definedName>
    <definedName name="TripOutSet4Name" hidden="0" function="0" vbProcedure="0">#ref!</definedName>
    <definedName name="TrippingDepthRange" hidden="0" function="0" vbProcedure="0">#ref!</definedName>
    <definedName name="TrippingLoadOutputDepth" hidden="0" function="0" vbProcedure="0">#ref!</definedName>
    <definedName name="TrippingLoadOutputDepthUnit" hidden="0" function="0" vbProcedure="0">#ref!</definedName>
    <definedName name="TRSSV2" hidden="0" function="0" vbProcedure="0">'[2]Equipment Go-To Sheet'!$D$140:$L$170</definedName>
    <definedName name="trsv" hidden="0" function="0" vbProcedure="0">'[285]sap serv 06-02'!#ref!</definedName>
    <definedName name="try" hidden="0" function="0" vbProcedure="0">#ref!</definedName>
    <definedName name="TR_Column" hidden="0" function="0" vbProcedure="0">null</definedName>
    <definedName name="TR_Unit" hidden="0" function="0" vbProcedure="0">null</definedName>
    <definedName name="tshoe" hidden="0" function="0" vbProcedure="0">[73]Drillers!$Q$20</definedName>
    <definedName name="tsize" hidden="0" function="0" vbProcedure="0">[73]Control!$D$7</definedName>
    <definedName name="TST" hidden="0" function="0" vbProcedure="0">#ref!</definedName>
    <definedName name="tstickup" hidden="0" function="0" vbProcedure="0">[73]Drillers!$O$20</definedName>
    <definedName name="TStringW" hidden="0" function="0" vbProcedure="0">#ref!</definedName>
    <definedName name="TS_pricelist" hidden="0" function="0" vbProcedure="0">#ref!</definedName>
    <definedName name="TTARGET" hidden="0" function="0" vbProcedure="0">#ref!</definedName>
    <definedName name="TU" hidden="0" function="0" vbProcedure="0">#ref!</definedName>
    <definedName name="TUB" hidden="0" function="0" vbProcedure="0">[91]CODE!$J$1:$P$4</definedName>
    <definedName name="tubing" hidden="0" function="0" vbProcedure="0">#ref!</definedName>
    <definedName name="TubingAverage" hidden="0" function="0" vbProcedure="0">((SUM(NosOfTubing))-(MakeupLoss*COUNT(NosOfTubing)))/COUNT(NosOfTubing)</definedName>
    <definedName name="TUBINGDRIFTS" hidden="0" function="0" vbProcedure="0">#ref!</definedName>
    <definedName name="tubingInfo" hidden="0" function="0" vbProcedure="0">#ref!</definedName>
    <definedName name="TubingLength" hidden="0" function="0" vbProcedure="0">#ref!</definedName>
    <definedName name="tubingmat" hidden="0" function="0" vbProcedure="0">#ref!</definedName>
    <definedName name="TubingOD" hidden="0" function="0" vbProcedure="0">#ref!</definedName>
    <definedName name="tubingSG" hidden="0" function="0" vbProcedure="0">#ref!</definedName>
    <definedName name="TubingSize" hidden="0" function="0" vbProcedure="0">#ref!</definedName>
    <definedName name="TubingSizes" hidden="0" function="0" vbProcedure="0">#ref!</definedName>
    <definedName name="tubingtype" hidden="0" function="0" vbProcedure="0">#ref!</definedName>
    <definedName name="tubingW" hidden="0" function="0" vbProcedure="0">#ref!</definedName>
    <definedName name="tubingweight" hidden="0" function="0" vbProcedure="0">#ref!</definedName>
    <definedName name="Tubingweights" hidden="0" function="0" vbProcedure="0">#ref!</definedName>
    <definedName name="tubingweigth" hidden="0" function="0" vbProcedure="0">#ref!</definedName>
    <definedName name="Tubing_Hanger" hidden="0" function="0" vbProcedure="0">[92]Data!$AH$2:$AH$5</definedName>
    <definedName name="Tubing_Head_Spool" hidden="0" function="0" vbProcedure="0">[21]Data!$AI$2:$AI$4</definedName>
    <definedName name="tubulars" hidden="0" function="0" vbProcedure="0">#ref!</definedName>
    <definedName name="TUCF" hidden="0" function="0" vbProcedure="0">#ref!</definedName>
    <definedName name="TURN" hidden="0" function="0" vbProcedure="0">#ref!</definedName>
    <definedName name="TURNAHEAD" hidden="0" function="0" vbProcedure="0">#ref!</definedName>
    <definedName name="TURNBOH" hidden="0" function="0" vbProcedure="0">#ref!</definedName>
    <definedName name="Tuwaiq" hidden="0" function="0" vbProcedure="0">#ref!</definedName>
    <definedName name="Tuwayil" hidden="0" function="0" vbProcedure="0">#ref!</definedName>
    <definedName name="TV" hidden="0" function="0" vbProcedure="0">#ref!</definedName>
    <definedName name="TVD" hidden="0" function="0" vbProcedure="0">#ref!</definedName>
    <definedName name="TVD." hidden="0" function="0" vbProcedure="0">'[93]#REF'!$C$34</definedName>
    <definedName name="TVDadj" hidden="0" function="0" vbProcedure="0">#ref!</definedName>
    <definedName name="TVDAHEAD" hidden="0" function="0" vbProcedure="0">#ref!</definedName>
    <definedName name="TVDBOH" hidden="0" function="0" vbProcedure="0">#ref!</definedName>
    <definedName name="TVDCV" hidden="0" function="0" vbProcedure="0">#ref!</definedName>
    <definedName name="TVDRV" hidden="0" function="0" vbProcedure="0">#ref!</definedName>
    <definedName name="TVDSLPJ" hidden="0" function="0" vbProcedure="0">#ref!</definedName>
    <definedName name="TVDtd" hidden="0" function="0" vbProcedure="0">#ref!</definedName>
    <definedName name="TVD_Column" hidden="0" function="0" vbProcedure="0">!#ref!</definedName>
    <definedName name="TVD_MID_PERF" hidden="0" function="0" vbProcedure="0">#ref!</definedName>
    <definedName name="TVD_Reference" hidden="0" function="0" vbProcedure="0">#ref!</definedName>
    <definedName name="TVD_ReferenceValue" hidden="0" function="0" vbProcedure="0">#ref!</definedName>
    <definedName name="TVD_Unit" hidden="0" function="0" vbProcedure="0">#ref!</definedName>
    <definedName name="TV_TVD" hidden="0" function="0" vbProcedure="0">#ref!</definedName>
    <definedName name="TV_Vol" hidden="0" function="0" vbProcedure="0">#ref!</definedName>
    <definedName name="tweight" hidden="0" function="0" vbProcedure="0">[73]Control!$D$8</definedName>
    <definedName name="twell" hidden="0" function="0" vbProcedure="0">[73]Control!$D$4</definedName>
    <definedName name="twstes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W_bhaA" hidden="0" function="0" vbProcedure="0">[139]tonmiles!#ref!</definedName>
    <definedName name="ty" hidden="0" function="0" vbProcedure="0">#ref!</definedName>
    <definedName name="TYJEJE" hidden="0" function="0" vbProcedure="0">#ref!</definedName>
    <definedName name="TYPE" hidden="0" function="0" vbProcedure="0">[65]References!$F$1:$F$2</definedName>
    <definedName name="type1" hidden="0" function="0" vbProcedure="0">[5]WTR!$M$48</definedName>
    <definedName name="type2" hidden="0" function="0" vbProcedure="0">[5]WTR!$M$49</definedName>
    <definedName name="type3" hidden="0" function="0" vbProcedure="0">[5]WTR!$M$50</definedName>
    <definedName name="type4" hidden="0" function="0" vbProcedure="0">[5]WTR!$M$51</definedName>
    <definedName name="type5" hidden="0" function="0" vbProcedure="0">[5]WTR!$M$52</definedName>
    <definedName name="type6" hidden="0" function="0" vbProcedure="0">#ref!</definedName>
    <definedName name="TypeColumn" hidden="0" function="0" vbProcedure="0">#ref!</definedName>
    <definedName name="TYPEOFPLUG" hidden="0" function="0" vbProcedure="0">#N/A</definedName>
    <definedName name="TypeStart" hidden="0" function="0" vbProcedure="0">#ref!</definedName>
    <definedName name="type_of_job" hidden="0" function="0" vbProcedure="0">'[7]Drop-Down Items'!$I$7:$I$10</definedName>
    <definedName name="T_ABOP" hidden="0" function="0" vbProcedure="0">#ref!</definedName>
    <definedName name="T_AccumulatedLength" hidden="0" function="0" vbProcedure="0">#ref!</definedName>
    <definedName name="T_BFluidColumn" hidden="0" function="0" vbProcedure="0">#ref!</definedName>
    <definedName name="T_BHFieldRep" hidden="0" function="0" vbProcedure="0">#ref!</definedName>
    <definedName name="T_BHP" hidden="0" function="0" vbProcedure="0">#ref!</definedName>
    <definedName name="T_BHRepNamePrinted" hidden="0" function="0" vbProcedure="0">#ref!</definedName>
    <definedName name="T_BHRepSignatureJobLog" hidden="0" function="0" vbProcedure="0">#ref!</definedName>
    <definedName name="T_BHT" hidden="0" function="0" vbProcedure="0">#ref!</definedName>
    <definedName name="T_Casing1" hidden="0" function="0" vbProcedure="0">#ref!</definedName>
    <definedName name="T_Casing2" hidden="0" function="0" vbProcedure="0">#ref!</definedName>
    <definedName name="T_Casing3" hidden="0" function="0" vbProcedure="0">#ref!</definedName>
    <definedName name="T_Casing4" hidden="0" function="0" vbProcedure="0">#ref!</definedName>
    <definedName name="T_Ccasing" hidden="0" function="0" vbProcedure="0">#ref!</definedName>
    <definedName name="T_Comments" hidden="0" function="0" vbProcedure="0">[94]Schematic!$L$12</definedName>
    <definedName name="T_Customer" hidden="0" function="0" vbProcedure="0">#ref!</definedName>
    <definedName name="T_CustomerNamePrinted" hidden="0" function="0" vbProcedure="0">#ref!</definedName>
    <definedName name="T_CustomerProject" hidden="0" function="0" vbProcedure="0">#ref!</definedName>
    <definedName name="T_CustomerRep" hidden="0" function="0" vbProcedure="0">#ref!</definedName>
    <definedName name="T_CustomerSignatureJobLog" hidden="0" function="0" vbProcedure="0">#ref!</definedName>
    <definedName name="T_C_H" hidden="0" function="0" vbProcedure="0">#ref!</definedName>
    <definedName name="T_Date" hidden="0" function="0" vbProcedure="0">#ref!</definedName>
    <definedName name="T_DateSubmitted" hidden="0" function="0" vbProcedure="0">#ref!</definedName>
    <definedName name="T_Depth" hidden="0" function="0" vbProcedure="0">[94]Schematic!$N$31</definedName>
    <definedName name="T_Description" hidden="0" function="0" vbProcedure="0">#ref!</definedName>
    <definedName name="T_District" hidden="0" function="0" vbProcedure="0">#ref!</definedName>
    <definedName name="T_DistrictPh" hidden="0" function="0" vbProcedure="0">#ref!</definedName>
    <definedName name="T_DProductionPacker" hidden="0" function="0" vbProcedure="0">#ref!</definedName>
    <definedName name="T_Drift" hidden="0" function="0" vbProcedure="0">#ref!</definedName>
    <definedName name="T_Dual" hidden="0" function="0" vbProcedure="0">#ref!</definedName>
    <definedName name="T_DUEL" hidden="0" function="0" vbProcedure="0">#ref!</definedName>
    <definedName name="T_EBridgePlug" hidden="0" function="0" vbProcedure="0">#ref!</definedName>
    <definedName name="T_FluidType" hidden="0" function="0" vbProcedure="0">#ref!</definedName>
    <definedName name="T_FluidWeight" hidden="0" function="0" vbProcedure="0">#ref!</definedName>
    <definedName name="T_FOtherBarriers" hidden="0" function="0" vbProcedure="0">#ref!</definedName>
    <definedName name="T_Grade" hidden="0" function="0" vbProcedure="0">#ref!</definedName>
    <definedName name="T_ID" hidden="0" function="0" vbProcedure="0">#ref!</definedName>
    <definedName name="T_ItemNumber" hidden="0" function="0" vbProcedure="0">#ref!</definedName>
    <definedName name="T_JCID" hidden="0" function="0" vbProcedure="0">#ref!</definedName>
    <definedName name="T_JobLog" hidden="0" function="0" vbProcedure="0">#ref!</definedName>
    <definedName name="T_Length" hidden="0" function="0" vbProcedure="0">#ref!</definedName>
    <definedName name="T_Liner1" hidden="0" function="0" vbProcedure="0">#ref!</definedName>
    <definedName name="T_Liner2" hidden="0" function="0" vbProcedure="0">#ref!</definedName>
    <definedName name="T_MaxDev" hidden="0" function="0" vbProcedure="0">#ref!</definedName>
    <definedName name="T_No" hidden="0" function="0" vbProcedure="0">#ref!</definedName>
    <definedName name="T_Notes" hidden="0" function="0" vbProcedure="0">#ref!</definedName>
    <definedName name="T_OD" hidden="0" function="0" vbProcedure="0">#ref!</definedName>
    <definedName name="T_OperationsRemarks" hidden="0" function="0" vbProcedure="0">#ref!</definedName>
    <definedName name="T_Project" hidden="0" function="0" vbProcedure="0">#ref!</definedName>
    <definedName name="T_Rig" hidden="0" function="0" vbProcedure="0">#ref!</definedName>
    <definedName name="T_SDC" hidden="0" function="0" vbProcedure="0">#ref!</definedName>
    <definedName name="T_StandNumber" hidden="0" function="0" vbProcedure="0">#ref!</definedName>
    <definedName name="T_TallySheet" hidden="0" function="0" vbProcedure="0">#ref!</definedName>
    <definedName name="T_Thread" hidden="0" function="0" vbProcedure="0">#ref!</definedName>
    <definedName name="T_Time" hidden="0" function="0" vbProcedure="0">#ref!</definedName>
    <definedName name="T_Tubing1" hidden="0" function="0" vbProcedure="0">#ref!</definedName>
    <definedName name="T_Tubing2" hidden="0" function="0" vbProcedure="0">#ref!</definedName>
    <definedName name="T_Tubing3" hidden="0" function="0" vbProcedure="0">#ref!</definedName>
    <definedName name="T_Tubing4" hidden="0" function="0" vbProcedure="0">#ref!</definedName>
    <definedName name="T_Tubulars" hidden="0" function="0" vbProcedure="0">#ref!</definedName>
    <definedName name="T_Weight" hidden="0" function="0" vbProcedure="0">#ref!</definedName>
    <definedName name="T_Well" hidden="0" function="0" vbProcedure="0">#ref!</definedName>
    <definedName name="T_Workstring1" hidden="0" function="0" vbProcedure="0">#ref!</definedName>
    <definedName name="T_Workstring2" hidden="0" function="0" vbProcedure="0">#ref!</definedName>
    <definedName name="T_Workstring3" hidden="0" function="0" vbProcedure="0">#ref!</definedName>
    <definedName name="T_Workstring4" hidden="0" function="0" vbProcedure="0">#ref!</definedName>
    <definedName name="T____training" hidden="0" function="0" vbProcedure="0">#ref!</definedName>
    <definedName name="Técnico" hidden="0" function="0" vbProcedure="0">#ref!</definedName>
    <definedName name="U" hidden="0" function="0" vbProcedure="0">#ref!</definedName>
    <definedName name="U.E.R._Basal_Shale" hidden="0" function="0" vbProcedure="0">#ref!</definedName>
    <definedName name="UB" hidden="0" function="0" vbProcedure="0">#ref!</definedName>
    <definedName name="UBDpDw" hidden="0" function="0" vbProcedure="0">#ref!</definedName>
    <definedName name="UBPressure" hidden="0" function="0" vbProcedure="0">#ref!</definedName>
    <definedName name="UI" hidden="0" function="0" vbProcedure="0">#ref!</definedName>
    <definedName name="uk" hidden="0" function="0" vbProcedure="0">#ref!</definedName>
    <definedName name="Umm_El_Radhuma" hidden="0" function="0" vbProcedure="0">#ref!</definedName>
    <definedName name="Underbalance" hidden="0" function="0" vbProcedure="0">#ref!</definedName>
    <definedName name="UnitDb" hidden="0" function="0" vbProcedure="0">#ref!</definedName>
    <definedName name="UnitLength" hidden="0" function="0" vbProcedure="0">#ref!</definedName>
    <definedName name="UnitPressure" hidden="0" function="0" vbProcedure="0">#ref!</definedName>
    <definedName name="units" hidden="0" function="0" vbProcedure="0">'[7]Drop-Down Items'!$J$7:$J$9</definedName>
    <definedName name="UnitTemp" hidden="0" function="0" vbProcedure="0">#ref!</definedName>
    <definedName name="UnitTemperature" hidden="0" function="0" vbProcedure="0">#ref!</definedName>
    <definedName name="UnitWeigth" hidden="0" function="0" vbProcedure="0">#ref!</definedName>
    <definedName name="Unit_11" hidden="0" function="0" vbProcedure="0">#ref!</definedName>
    <definedName name="Unit_12" hidden="0" function="0" vbProcedure="0">#ref!</definedName>
    <definedName name="Unit_13" hidden="0" function="0" vbProcedure="0">#ref!</definedName>
    <definedName name="Unit_14" hidden="0" function="0" vbProcedure="0">#ref!</definedName>
    <definedName name="Unit_15" hidden="0" function="0" vbProcedure="0">#ref!</definedName>
    <definedName name="Unit_17" hidden="0" function="0" vbProcedure="0">#ref!</definedName>
    <definedName name="Unit_18" hidden="0" function="0" vbProcedure="0">#ref!</definedName>
    <definedName name="Unit_6" hidden="0" function="0" vbProcedure="0">#ref!</definedName>
    <definedName name="Unit_7" hidden="0" function="0" vbProcedure="0">#ref!</definedName>
    <definedName name="Unit_8" hidden="0" function="0" vbProcedure="0">#ref!</definedName>
    <definedName name="Unit_9" hidden="0" function="0" vbProcedure="0">#ref!</definedName>
    <definedName name="unit_weight" hidden="0" function="0" vbProcedure="0">'[7]Drop-Down Items'!$N$7:$N$8</definedName>
    <definedName name="UNI_AA_VERSION" hidden="1" function="0" vbProcedure="0">"320.1.0"</definedName>
    <definedName name="UNI_FILT_OFFSPEC" hidden="1" function="0" vbProcedure="0">2</definedName>
    <definedName name="UNI_FILT_ONSPEC" hidden="1" function="0" vbProcedure="0">1</definedName>
    <definedName name="UNI_NOTHING" hidden="1" function="0" vbProcedure="0">0</definedName>
    <definedName name="UNI_PRES_CLOSEST" hidden="1" function="0" vbProcedure="0">512</definedName>
    <definedName name="UNI_PRES_FILTER" hidden="1" function="0" vbProcedure="0">1</definedName>
    <definedName name="UNI_PRES_HEADINGS" hidden="1" function="0" vbProcedure="0">16</definedName>
    <definedName name="UNI_PRES_INVERT" hidden="1" function="0" vbProcedure="0">2</definedName>
    <definedName name="UNI_PRES_MATRIX" hidden="1" function="0" vbProcedure="0">4</definedName>
    <definedName name="UNI_PRES_MERGED" hidden="1" function="0" vbProcedure="0">8</definedName>
    <definedName name="UNI_PRES_MRECORD" hidden="1" function="0" vbProcedure="0">64</definedName>
    <definedName name="UNI_PRES_MSTIME" hidden="1" function="0" vbProcedure="0">8192</definedName>
    <definedName name="UNI_PRES_OUTLIERS" hidden="1" function="0" vbProcedure="0">32</definedName>
    <definedName name="UNI_PRES_POST" hidden="1" function="0" vbProcedure="0">256</definedName>
    <definedName name="UNI_PRES_PRIOR" hidden="1" function="0" vbProcedure="0">2048</definedName>
    <definedName name="UNI_PRES_RECENT" hidden="1" function="0" vbProcedure="0">1024</definedName>
    <definedName name="UNI_PRES_STATIC" hidden="1" function="0" vbProcedure="0">128</definedName>
    <definedName name="UNI_PRES_TRANSPOSE" hidden="1" function="0" vbProcedure="0">4096</definedName>
    <definedName name="UNI_RET_ATTRIB" hidden="1" function="0" vbProcedure="0">64</definedName>
    <definedName name="UNI_RET_CONF" hidden="1" function="0" vbProcedure="0">32</definedName>
    <definedName name="UNI_RET_DESC" hidden="1" function="0" vbProcedure="0">4</definedName>
    <definedName name="UNI_RET_EQUIP" hidden="1" function="0" vbProcedure="0">1</definedName>
    <definedName name="UNI_RET_OFFSPEC" hidden="1" function="0" vbProcedure="0">512</definedName>
    <definedName name="UNI_RET_ONSPEC" hidden="1" function="0" vbProcedure="0">256</definedName>
    <definedName name="UNI_RET_PROP" hidden="1" function="0" vbProcedure="0">32</definedName>
    <definedName name="UNI_RET_PROPDESC" hidden="1" function="0" vbProcedure="0">64</definedName>
    <definedName name="UNI_RET_SMPLPNT" hidden="1" function="0" vbProcedure="0">4</definedName>
    <definedName name="UNI_RET_SPECMAX" hidden="1" function="0" vbProcedure="0">2048</definedName>
    <definedName name="UNI_RET_SPECMIN" hidden="1" function="0" vbProcedure="0">1024</definedName>
    <definedName name="UNI_RET_TAG" hidden="1" function="0" vbProcedure="0">1</definedName>
    <definedName name="UNI_RET_TESTTIME" hidden="1" function="0" vbProcedure="0">128</definedName>
    <definedName name="UNI_RET_TIME" hidden="1" function="0" vbProcedure="0">8</definedName>
    <definedName name="UNI_RET_UNIT" hidden="1" function="0" vbProcedure="0">2</definedName>
    <definedName name="UNI_RET_VALUE" hidden="1" function="0" vbProcedure="0">16</definedName>
    <definedName name="Update" hidden="0" function="0" vbProcedure="0">#ref!</definedName>
    <definedName name="UpdateCrtl" hidden="0" function="0" vbProcedure="0">#ref!</definedName>
    <definedName name="UpdateFlag" hidden="0" function="0" vbProcedure="0">#ref!</definedName>
    <definedName name="upsTDATAMAP" hidden="0" function="0" vbProcedure="0">#ref!</definedName>
    <definedName name="Urutan" hidden="0" function="0" vbProcedure="0">#ref!</definedName>
    <definedName name="Used" hidden="0" function="0" vbProcedure="0">#ref!</definedName>
    <definedName name="Using_Hanger" hidden="0" function="0" vbProcedure="0">'[11]Liner Job Info'!$D$38</definedName>
    <definedName name="Using_Packer" hidden="0" function="0" vbProcedure="0">'[11]Liner Job Info'!$P$30</definedName>
    <definedName name="UZI" hidden="0" function="0" vbProcedure="0">#ref!</definedName>
    <definedName name="UZ_380" hidden="0" function="0" vbProcedure="0">[90]tbgtally!#ref!</definedName>
    <definedName name="V0" hidden="0" function="0" vbProcedure="0">'[95]MACRO125 '!$G$6</definedName>
    <definedName name="VAL" hidden="0" function="0" vbProcedure="0">#ref!</definedName>
    <definedName name="valeuro" hidden="0" function="0" vbProcedure="0">#ref!</definedName>
    <definedName name="VALIDCURR" hidden="0" function="0" vbProcedure="0">#ref!</definedName>
    <definedName name="validcurr2" hidden="0" function="0" vbProcedure="0">[96]Currency!$A$1:$A$170</definedName>
    <definedName name="Vallist" hidden="0" function="0" vbProcedure="0">#ref!</definedName>
    <definedName name="vallist2" hidden="0" function="0" vbProcedure="0">OFFSET(INDIRECT(ADDRESS(MATCH(Liner1_OD,Objects,0)+1,2,,,"Casing Info")),0,1,COUNTIF(Objects,Liner1_OD),1)</definedName>
    <definedName name="ValName" hidden="0" function="0" vbProcedure="0">IF(ISBLANK('[97]BOM1'!B1),IF(#ref! '[97]BOM1'!A$1:A$1048576 =#ref!,OFFSET([296]!ValidationLists[[#all],[main categories]],1,,COUNTA([296]!ValidationLists[main categories])),OFFSET([296]!ValidationLists[#data],0,MATCH('[97]BOM1'!XFD1, [296]!ValidationLists[#headers],0)-1,COUNTA(OFFSET([296]!ValidationLists[#data],,MATCH('[97]BOM1'!XFD1, [296]!ValidationLists[#headers],0)-1,,1)),1)))</definedName>
    <definedName name="ValName11" hidden="0" function="0" vbProcedure="0">IF(ISBLANK('[98]Section F'!B1),IF(#ref! '[98]Section F'!A$1:A$1048576 =#ref!,OFFSET([297]!ValidationList2[[#all],[main categories]],1,,COUNTA([297]!ValidationList2[main categories])),OFFSET([297]!ValidationList2[#data],0,MATCH('[98]Section F'!XFD1, [297]!ValidationList2[#headers],0)-1,COUNTA(OFFSET([297]!ValidationList2[#data],,MATCH('[98]Section F'!XFD1, [297]!ValidationList2[#headers],0)-1,,1)),1)))</definedName>
    <definedName name="ValName12" hidden="0" function="0" vbProcedure="0">IF(ISBLANK('[98]Section F'!B1),IF(#ref! '[98]Section F'!A$1:A$1048576 =#ref!,OFFSET([297]!ValidationList1[[#all],[main items]],1,,COUNTA([297]!ValidationList1[main items])),OFFSET([297]!ValidationList1[#data],0,MATCH('[98]Section F'!XFD1, [297]!ValidationList1[#headers],0)-1,COUNTA(OFFSET([297]!ValidationList1[#data],,MATCH('[98]Section F'!XFD1, [297]!ValidationList1[#headers],0)-1,,1)),1)))</definedName>
    <definedName name="VARdir" hidden="0" function="0" vbProcedure="0">#ref!</definedName>
    <definedName name="VARincl" hidden="0" function="0" vbProcedure="0">#ref!</definedName>
    <definedName name="VASSA" hidden="0" function="0" vbProcedure="0">#ref!</definedName>
    <definedName name="vbcode.draw_blanks" hidden="0" function="0" vbProcedure="0">#N/A</definedName>
    <definedName name="vbcode.draw_linerfirst" hidden="0" function="0" vbProcedure="0">#N/A</definedName>
    <definedName name="vbcode.draw_linersecond" hidden="0" function="0" vbProcedure="0">#N/A</definedName>
    <definedName name="vbcode.draw_miscellaneous" hidden="0" function="0" vbProcedure="0">#N/A</definedName>
    <definedName name="vbcode.draw_productionfirst" hidden="0" function="0" vbProcedure="0">#N/A</definedName>
    <definedName name="vbcode.draw_productionsecond" hidden="0" function="0" vbProcedure="0">#N/A</definedName>
    <definedName name="vbcode.draw_quantum" hidden="0" function="0" vbProcedure="0">#N/A</definedName>
    <definedName name="vbcode.draw_screens" hidden="0" function="0" vbProcedure="0">#N/A</definedName>
    <definedName name="vbcode.draw_shearsubs" hidden="0" function="0" vbProcedure="0">#N/A</definedName>
    <definedName name="vbcode.draw_sump" hidden="0" function="0" vbProcedure="0">#N/A</definedName>
    <definedName name="vbcode.text_five" hidden="0" function="0" vbProcedure="0">#N/A</definedName>
    <definedName name="vbcode.text_fivehalf" hidden="0" function="0" vbProcedure="0">#N/A</definedName>
    <definedName name="vbcode.text_ninefiveeightfourfirst" hidden="0" function="0" vbProcedure="0">#N/A</definedName>
    <definedName name="vbcode.text_ninefiveeightfoursecond" hidden="0" function="0" vbProcedure="0">#N/A</definedName>
    <definedName name="vbcode.text_ninefiveeightsixfirst" hidden="0" function="0" vbProcedure="0">#N/A</definedName>
    <definedName name="vbcode.text_ninefiveeightsixsecond" hidden="0" function="0" vbProcedure="0">#N/A</definedName>
    <definedName name="vbcode.text_sevenfiveeightfour" hidden="0" function="0" vbProcedure="0">#N/A</definedName>
    <definedName name="vbcode.text_sevenfiveeightthree" hidden="0" function="0" vbProcedure="0">#N/A</definedName>
    <definedName name="vbcode.text_sevenfour" hidden="0" function="0" vbProcedure="0">#N/A</definedName>
    <definedName name="vbcode.text_seventhree" hidden="0" function="0" vbProcedure="0">#N/A</definedName>
    <definedName name="Version" hidden="0" function="0" vbProcedure="0">[60]auf_screen!#ref!</definedName>
    <definedName name="Verticaldepth" hidden="0" function="0" vbProcedure="0">'[38]Front Page Info'!$C$18</definedName>
    <definedName name="VETCO" hidden="0" function="0" vbProcedure="0">#ref!</definedName>
    <definedName name="vfdvf" hidden="0" function="0" vbProcedure="0">[174]!Macro61</definedName>
    <definedName name="vfr" hidden="0" function="0" vbProcedure="0">#ref!</definedName>
    <definedName name="vgy" hidden="0" function="0" vbProcedure="0">#ref!</definedName>
    <definedName name="VirginSheet" hidden="0" function="0" vbProcedure="0">#ref!</definedName>
    <definedName name="VIS" hidden="0" function="0" vbProcedure="0">#ref!</definedName>
    <definedName name="VOI5XG" hidden="0" function="0" vbProcedure="0">#ref!</definedName>
    <definedName name="Volume" hidden="0" function="0" vbProcedure="0">#ref!</definedName>
    <definedName name="volume1" hidden="1" function="0" vbProcedure="0">{#N/A,#N/A,FALSE,"Volume"}</definedName>
    <definedName name="volumemixed1" hidden="0" function="0" vbProcedure="0">#ref!</definedName>
    <definedName name="volumemixed2" hidden="0" function="0" vbProcedure="0">#ref!</definedName>
    <definedName name="volumemixed3" hidden="0" function="0" vbProcedure="0">#ref!</definedName>
    <definedName name="volumepumped1" hidden="0" function="0" vbProcedure="0">#ref!</definedName>
    <definedName name="volumepumped2" hidden="0" function="0" vbProcedure="0">#ref!</definedName>
    <definedName name="volumepumped3" hidden="0" function="0" vbProcedure="0">#ref!</definedName>
    <definedName name="volumesstringlbl" hidden="0" function="0" vbProcedure="0">#ref!</definedName>
    <definedName name="VolUnit" hidden="0" function="0" vbProcedure="0">#ref!</definedName>
    <definedName name="VOL_MULE_SHOE" hidden="0" function="0" vbProcedure="0">#ref!</definedName>
    <definedName name="VonMisesStressUnit" hidden="0" function="0" vbProcedure="0">#ref!</definedName>
    <definedName name="VS" hidden="0" function="0" vbProcedure="0">#ref!</definedName>
    <definedName name="VSAHEAD" hidden="0" function="0" vbProcedure="0">#ref!</definedName>
    <definedName name="VSBOH" hidden="0" function="0" vbProcedure="0">#ref!</definedName>
    <definedName name="VSEC_Azim" hidden="0" function="0" vbProcedure="0">#ref!</definedName>
    <definedName name="VSEC_Column" hidden="0" function="0" vbProcedure="0">!#ref!</definedName>
    <definedName name="VSEC_Origin" hidden="0" function="0" vbProcedure="0">#ref!</definedName>
    <definedName name="VSEC_Unit" hidden="0" function="0" vbProcedure="0">#ref!</definedName>
    <definedName name="VUSD" hidden="0" function="0" vbProcedure="0">#ref!</definedName>
    <definedName name="VUSL" hidden="0" function="0" vbProcedure="0">#ref!</definedName>
    <definedName name="vv" hidden="1" function="0" vbProcedure="0">#ref!</definedName>
    <definedName name="vvv" hidden="0" function="0" vbProcedure="0">#ref!</definedName>
    <definedName name="vvvdf" hidden="0" function="0" vbProcedure="0">#ref!</definedName>
    <definedName name="vvvvv" hidden="0" function="0" vbProcedure="0">[79]!Macro60</definedName>
    <definedName name="w" hidden="0" function="0" vbProcedure="0">#N/A</definedName>
    <definedName name="water" hidden="0" function="0" vbProcedure="0">#ref!</definedName>
    <definedName name="Water_Depth" hidden="0" function="0" vbProcedure="0">#ref!</definedName>
    <definedName name="WBJobRev" hidden="0" function="0" vbProcedure="0">#ref!</definedName>
    <definedName name="WCTRep" hidden="0" function="0" vbProcedure="0">#ref!</definedName>
    <definedName name="WD" hidden="0" function="0" vbProcedure="0">#ref!</definedName>
    <definedName name="we" hidden="0" function="0" vbProcedure="0">#ref!</definedName>
    <definedName name="Weak_DP" hidden="0" function="0" vbProcedure="0">#ref!</definedName>
    <definedName name="Weak_link" hidden="0" function="0" vbProcedure="0">#ref!</definedName>
    <definedName name="Wear" hidden="0" function="0" vbProcedure="0">[6]Sheet1!$F$14:$F$22</definedName>
    <definedName name="Wear_Grade" hidden="0" function="0" vbProcedure="0">'[7]Drop-Down Items'!$A$75:$A$84</definedName>
    <definedName name="wedx" hidden="0" function="0" vbProcedure="0">#ref!</definedName>
    <definedName name="week" hidden="0" function="0" vbProcedure="0">#ref!</definedName>
    <definedName name="Weight" hidden="0" function="0" vbProcedure="0">#ref!</definedName>
    <definedName name="weight10" hidden="0" function="0" vbProcedure="0">#ref!</definedName>
    <definedName name="weight11" hidden="0" function="0" vbProcedure="0">#ref!</definedName>
    <definedName name="weight7.5" hidden="0" function="0" vbProcedure="0">#ref!</definedName>
    <definedName name="WeightColumn" hidden="0" function="0" vbProcedure="0">#ref!</definedName>
    <definedName name="WeightDP" hidden="0" function="0" vbProcedure="0">#ref!</definedName>
    <definedName name="WeightInAirBelowJar" hidden="0" function="0" vbProcedure="0">#ref!</definedName>
    <definedName name="WeightInAirBelowJarUnits" hidden="0" function="0" vbProcedure="0">#ref!</definedName>
    <definedName name="WeightUni" hidden="0" function="0" vbProcedure="0">#ref!</definedName>
    <definedName name="WeightUnit" hidden="0" function="0" vbProcedure="0">#ref!</definedName>
    <definedName name="WeigthInput" hidden="0" function="0" vbProcedure="0">#ref!</definedName>
    <definedName name="Weld_Cost" hidden="0" function="0" vbProcedure="0">#ref!</definedName>
    <definedName name="Well" hidden="0" function="0" vbProcedure="0">#ref!</definedName>
    <definedName name="well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Angle" hidden="0" function="0" vbProcedure="0">#ref!</definedName>
    <definedName name="WellboreName" hidden="0" function="0" vbProcedure="0">#ref!</definedName>
    <definedName name="wellborevol" hidden="0" function="0" vbProcedure="0">#ref!</definedName>
    <definedName name="wellcategory1" hidden="0" function="0" vbProcedure="0">#N/A</definedName>
    <definedName name="WellDegree" hidden="0" function="0" vbProcedure="0">#ref!</definedName>
    <definedName name="WellFd" hidden="0" function="0" vbProcedure="0">#ref!</definedName>
    <definedName name="Wellhead_Manufacturer" hidden="0" function="0" vbProcedure="0">[20]Data!$AC$2:$AC$6</definedName>
    <definedName name="Welllocation1" hidden="0" function="0" vbProcedure="0">#N/A</definedName>
    <definedName name="WellMD" hidden="0" function="0" vbProcedure="0">#ref!</definedName>
    <definedName name="WellName" hidden="0" function="0" vbProcedure="0">#ref!</definedName>
    <definedName name="wellno" hidden="0" function="0" vbProcedure="0">#ref!</definedName>
    <definedName name="wellnum" hidden="0" function="0" vbProcedure="0">'[40]CPS Call Sheet'!$AH$4</definedName>
    <definedName name="WellNumber" hidden="0" function="0" vbProcedure="0">#ref!</definedName>
    <definedName name="Wells" hidden="0" function="0" vbProcedure="0">#ref!</definedName>
    <definedName name="WellSequence" hidden="0" function="0" vbProcedure="0">#ref!</definedName>
    <definedName name="WellTVD" hidden="0" function="0" vbProcedure="0">#ref!</definedName>
    <definedName name="welltype" hidden="0" function="0" vbProcedure="0">#ref!</definedName>
    <definedName name="Welltype2" hidden="0" function="0" vbProcedure="0">#ref!</definedName>
    <definedName name="Well_changes_approver" hidden="0" function="0" vbProcedure="0">#ref!</definedName>
    <definedName name="Well_code" hidden="0" function="0" vbProcedure="0">[20]Data!$E$2:$E$94</definedName>
    <definedName name="well_direction" hidden="0" function="0" vbProcedure="0">'[7]Drop-Down Items'!$F$43:$F$47</definedName>
    <definedName name="Well_Index" hidden="0" function="0" vbProcedure="0">'[12]JCSI 12'!$U$26</definedName>
    <definedName name="Well_Name" hidden="0" function="0" vbProcedure="0">#ref!</definedName>
    <definedName name="Well_Number" hidden="0" function="0" vbProcedure="0">#ref!</definedName>
    <definedName name="Well_objectives_approver" hidden="0" function="0" vbProcedure="0">#ref!</definedName>
    <definedName name="Well_plan_approver" hidden="0" function="0" vbProcedure="0">#ref!</definedName>
    <definedName name="well_target" hidden="0" function="0" vbProcedure="0">'[7]Drop-Down Items'!$E$43:$E$50</definedName>
    <definedName name="WELL_TD_12.25" hidden="0" function="0" vbProcedure="0">#ref!</definedName>
    <definedName name="WELL_TD_16" hidden="0" function="0" vbProcedure="0">#ref!</definedName>
    <definedName name="WELL_TD_8.5" hidden="0" function="0" vbProcedure="0">#ref!</definedName>
    <definedName name="Well_Type" hidden="0" function="0" vbProcedure="0">'[12]JCSI 12'!$U$29:$U$42</definedName>
    <definedName name="Well_Type__Oil_Gas" hidden="0" function="0" vbProcedure="0">#ref!</definedName>
    <definedName name="werty" hidden="0" function="0" vbProcedure="0">#ref!</definedName>
    <definedName name="wewe2" hidden="0" function="0" vbProcedure="0">#N/A</definedName>
    <definedName name="WH" hidden="0" function="0" vbProcedure="0">'[28]Ref. data2'!$C$27:$C$29</definedName>
    <definedName name="when1" hidden="0" function="0" vbProcedure="0">#ref!</definedName>
    <definedName name="when2" hidden="0" function="0" vbProcedure="0">#ref!</definedName>
    <definedName name="when3" hidden="0" function="0" vbProcedure="0">#ref!</definedName>
    <definedName name="Whipstock_Retrieval_Method" hidden="0" function="0" vbProcedure="0">'[7]Drop-Down Items'!$E$34:$E$37</definedName>
    <definedName name="whipstock_size" hidden="0" function="0" vbProcedure="0">'[7]Drop-Down Items'!$B$53:$B$64</definedName>
    <definedName name="Whipstock_Type" hidden="0" function="0" vbProcedure="0">'[7]Drop-Down Items'!$B$4:$B$16</definedName>
    <definedName name="whp" hidden="0" function="0" vbProcedure="0">'[94]well test sheet'!#ref!</definedName>
    <definedName name="wht" hidden="0" function="0" vbProcedure="0">'[94]well test sheet'!#ref!</definedName>
    <definedName name="WHTFlow" hidden="0" function="0" vbProcedure="0">#ref!</definedName>
    <definedName name="WHTStatic" hidden="0" function="0" vbProcedure="0">#ref!</definedName>
    <definedName name="wiperplugunity" hidden="0" function="0" vbProcedure="0">[11]Test!$G$18</definedName>
    <definedName name="WIP_REPORT" hidden="0" function="0" vbProcedure="0">#ref!</definedName>
    <definedName name="Withinlimit" hidden="0" function="0" vbProcedure="0">#ref!</definedName>
    <definedName name="WIV?" hidden="0" function="0" vbProcedure="0">'[43]Multi Stage Info'!$D$37</definedName>
    <definedName name="WkstrDrift1" hidden="0" function="0" vbProcedure="0">#ref!</definedName>
    <definedName name="WkstrDrift2" hidden="0" function="0" vbProcedure="0">#ref!</definedName>
    <definedName name="WkstrDrift3" hidden="0" function="0" vbProcedure="0">#ref!</definedName>
    <definedName name="WkstrDrift4" hidden="0" function="0" vbProcedure="0">#ref!</definedName>
    <definedName name="WkstrGrd1" hidden="0" function="0" vbProcedure="0">#ref!</definedName>
    <definedName name="WkstrGrd2" hidden="0" function="0" vbProcedure="0">#ref!</definedName>
    <definedName name="WkstrGrd3" hidden="0" function="0" vbProcedure="0">#ref!</definedName>
    <definedName name="WkstrGrd4" hidden="0" function="0" vbProcedure="0">#ref!</definedName>
    <definedName name="WkstrID1" hidden="0" function="0" vbProcedure="0">#ref!</definedName>
    <definedName name="WkstrID2" hidden="0" function="0" vbProcedure="0">#ref!</definedName>
    <definedName name="WkstrID3" hidden="0" function="0" vbProcedure="0">#ref!</definedName>
    <definedName name="WkstrID4" hidden="0" function="0" vbProcedure="0">#ref!</definedName>
    <definedName name="WkstrSz1" hidden="0" function="0" vbProcedure="0">#ref!</definedName>
    <definedName name="WkstrSz2" hidden="0" function="0" vbProcedure="0">#ref!</definedName>
    <definedName name="WkstrSz3" hidden="0" function="0" vbProcedure="0">#ref!</definedName>
    <definedName name="WkstrSz4" hidden="0" function="0" vbProcedure="0">#ref!</definedName>
    <definedName name="WkstrThd1" hidden="0" function="0" vbProcedure="0">#ref!</definedName>
    <definedName name="WkstrThd2" hidden="0" function="0" vbProcedure="0">#ref!</definedName>
    <definedName name="WkstrThd3" hidden="0" function="0" vbProcedure="0">#ref!</definedName>
    <definedName name="WkstrThd4" hidden="0" function="0" vbProcedure="0">#ref!</definedName>
    <definedName name="WkstrWt1" hidden="0" function="0" vbProcedure="0">#ref!</definedName>
    <definedName name="WkstrWt2" hidden="0" function="0" vbProcedure="0">#ref!</definedName>
    <definedName name="WkstrWt3" hidden="0" function="0" vbProcedure="0">#ref!</definedName>
    <definedName name="WkstrWt4" hidden="0" function="0" vbProcedure="0">#ref!</definedName>
    <definedName name="WL" hidden="0" function="0" vbProcedure="0">'[28]Ref. data2'!$C$34:$C$36</definedName>
    <definedName name="WOB" hidden="0" function="0" vbProcedure="0">#ref!</definedName>
    <definedName name="Woodside" hidden="0" function="0" vbProcedure="0">"Picture 4"</definedName>
    <definedName name="workstringid" hidden="0" function="0" vbProcedure="0">#ref!</definedName>
    <definedName name="workstringid2" hidden="0" function="0" vbProcedure="0">#ref!</definedName>
    <definedName name="workstringid3" hidden="0" function="0" vbProcedure="0">#ref!</definedName>
    <definedName name="workstringid4" hidden="0" function="0" vbProcedure="0">#ref!</definedName>
    <definedName name="workstringidref" hidden="0" function="0" vbProcedure="0">[19]Data!$GC$3</definedName>
    <definedName name="workstringlength" hidden="0" function="0" vbProcedure="0">#ref!</definedName>
    <definedName name="workstringlength2" hidden="0" function="0" vbProcedure="0">#ref!</definedName>
    <definedName name="workstringlength3" hidden="0" function="0" vbProcedure="0">#ref!</definedName>
    <definedName name="workstringlength4" hidden="0" function="0" vbProcedure="0">#ref!</definedName>
    <definedName name="workstringod" hidden="0" function="0" vbProcedure="0">#ref!</definedName>
    <definedName name="workstringod2" hidden="0" function="0" vbProcedure="0">#ref!</definedName>
    <definedName name="workstringod3" hidden="0" function="0" vbProcedure="0">#ref!</definedName>
    <definedName name="workstringod4" hidden="0" function="0" vbProcedure="0">#ref!</definedName>
    <definedName name="workstringtable" hidden="0" function="0" vbProcedure="0">#ref!</definedName>
    <definedName name="workstringwt" hidden="0" function="0" vbProcedure="0">#ref!</definedName>
    <definedName name="workstringwt2" hidden="0" function="0" vbProcedure="0">#ref!</definedName>
    <definedName name="workstringwt3" hidden="0" function="0" vbProcedure="0">#ref!</definedName>
    <definedName name="workstringwt4" hidden="0" function="0" vbProcedure="0">#ref!</definedName>
    <definedName name="Workstring_Grade" hidden="0" function="0" vbProcedure="0">#ref!</definedName>
    <definedName name="Workstring_ID" hidden="0" function="0" vbProcedure="0">#ref!</definedName>
    <definedName name="Workstring_Length" hidden="0" function="0" vbProcedure="0">#ref!</definedName>
    <definedName name="Workstring_Size" hidden="0" function="0" vbProcedure="0">#ref!</definedName>
    <definedName name="Workstring_Type" hidden="0" function="0" vbProcedure="0">#ref!</definedName>
    <definedName name="Workstring_Wt._Ft." hidden="0" function="0" vbProcedure="0">#ref!</definedName>
    <definedName name="WorkTime" hidden="0" function="0" vbProcedure="0">#ref!</definedName>
    <definedName name="WPsk" hidden="0" function="0" vbProcedure="0">#ref!</definedName>
    <definedName name="WP_Tally" hidden="0" function="0" vbProcedure="0">#ref!</definedName>
    <definedName name="wqe" hidden="0" function="0" vbProcedure="0">#ref!</definedName>
    <definedName name="wrn.1999._.DIRECT._.PLAN." hidden="1" function="0" vbProcedure="0">{#N/A,#N/A,TRUE,"TOTAL";#N/A,#N/A,TRUE,"AGIBA ";#N/A,#N/A,TRUE,"AMOCO";#N/A,#N/A,TRUE,"BAPETCO";#N/A,#N/A,TRUE,"GUPCO";#N/A,#N/A,TRUE,"KHALDA";#N/A,#N/A,TRUE,"SUCO";#N/A,#N/A,TRUE,"PETROBEL";#N/A,#N/A,TRUE,"ZAFCO";#N/A,#N/A,TRUE,"TULLOW";#N/A,#N/A,TRUE,"HBS";#N/A,#N/A,TRUE,"QARUN";#N/A,#N/A,TRUE,"MISC"}</definedName>
    <definedName name="wrn.ASDF." hidden="1" function="0" vbProcedure="0">{#N/A,#N/A,FALSE,"SHEET 1";#N/A,#N/A,FALSE,"Sheet4"}</definedName>
    <definedName name="wrn.AT._.Reports." hidden="1" function="0" vbProcedure="0">{#N/A,#N/A,FALSE,"Drlg Param Run 1-1";#N/A,#N/A,FALSE,"DDR (3)";#N/A,#N/A,FALSE,"BHA AT (1)";#N/A,#N/A,FALSE,"Downlinkbha";#N/A,#N/A,FALSE,"Job Status Report"}</definedName>
    <definedName name="wrn.CD_MST." hidden="1" function="0" vbProcedure="0">{#N/A,#N/A,FALSE,"Sheet1"}</definedName>
    <definedName name="wrn.Closing._.P14Q5FY98." hidden="1" function="0" vbProcedure="0">{#N/A,#N/A,TRUE,"P14 Summary";#N/A,#N/A,TRUE,"ACT_PLAN";#N/A,#N/A,TRUE,"BESA P14";#N/A,#N/A,TRUE,"Drexel P14";#N/A,#N/A,TRUE,"BSC P14";#N/A,#N/A,TRUE,"DIRECT-P14"}</definedName>
    <definedName name="wrn.DST_TCP." hidden="1" function="0" vbProcedure="0">{#N/A,#N/A,FALSE,"INFO";#N/A,#N/A,FALSE,"PCT";#N/A,#N/A,FALSE,"DISCS";#N/A,#N/A,FALSE,"DISC TABLE";#N/A,#N/A,FALSE,"CUSHION";#N/A,#N/A,FALSE,"HYDRAULICS";#N/A,#N/A,FALSE,"MCCV";#N/A,#N/A,FALSE,"HDF";#N/A,#N/A,FALSE,"GUNS";#N/A,#N/A,FALSE,"GUNDATA"}</definedName>
    <definedName name="wrn.FULL._.DTL." hidden="1" function="0" vbProcedure="0">{"CF",#N/A,FALSE,"FULL COST";"MANUFACT",#N/A,FALSE,"FULL COST";"PAYNMENT",#N/A,FALSE,"FULL COST"}</definedName>
    <definedName name="wrn.FULLSUM." hidden="1" function="0" vbProcedure="0">{#N/A,#N/A,FALSE,"SUM-1";#N/A,#N/A,FALSE,"SUM-2";#N/A,#N/A,FALSE,"TENDER"}</definedName>
    <definedName name="wrn.FY99._.LOCAL._.PLAN." hidden="1" function="0" vbProcedure="0">{#N/A,#N/A,TRUE,"TOTAL";#N/A,#N/A,TRUE,"AGIBA ";#N/A,#N/A,TRUE,"AMOCO";#N/A,#N/A,TRUE,"BAPETCO";#N/A,#N/A,TRUE,"ERITREA";#N/A,#N/A,TRUE,"GUPCO";#N/A,#N/A,TRUE,"I.E.O.C.";#N/A,#N/A,TRUE,"KHALDA";#N/A,#N/A,TRUE,"PETROBEL";#N/A,#N/A,TRUE,"QARUN";#N/A,#N/A,TRUE,"ZAFCO";#N/A,#N/A,TRUE,"TULLOW";#N/A,#N/A,TRUE,"MISC"}</definedName>
    <definedName name="wrn.ratios." hidden="1" function="0" vbProcedure="0">{"raatios",#N/A,FALSE,"A";"ratios",#N/A,FALSE,"B";"ratios",#N/A,FALSE,"C";"ratios",#N/A,FALSE,"D";"ratios",#N/A,FALSE,"F"}</definedName>
    <definedName name="wrn.SUMMARY." hidden="1" function="0" vbProcedure="0">{#N/A,#N/A,FALSE,"JUNK"}</definedName>
    <definedName name="wrn.VOLUME." hidden="1" function="0" vbProcedure="0">{#N/A,#N/A,FALSE,"Volume"}</definedName>
    <definedName name="wrn.volume.2" hidden="1" function="0" vbProcedure="0">{#N/A,#N/A,FALSE,"Volume"}</definedName>
    <definedName name="wrn.volume.2_1" hidden="0" function="0" vbProcedure="0">{#N/A,#N/A,FALSE,"Volume"}</definedName>
    <definedName name="wrn.volume.2_2" hidden="0" function="0" vbProcedure="0">{#N/A,#N/A,FALSE,"Volume"}</definedName>
    <definedName name="wrn.volume.2_3" hidden="0" function="0" vbProcedure="0">{#N/A,#N/A,FALSE,"Volume"}</definedName>
    <definedName name="wrn.volume.2_4" hidden="0" function="0" vbProcedure="0">{#N/A,#N/A,FALSE,"Volume"}</definedName>
    <definedName name="wrn.volume.2_5" hidden="0" function="0" vbProcedure="0">{#N/A,#N/A,FALSE,"Volume"}</definedName>
    <definedName name="wrn.volume.3" hidden="1" function="0" vbProcedure="0">{#N/A,#N/A,FALSE,"Volume"}</definedName>
    <definedName name="wrn.volume.3_1" hidden="0" function="0" vbProcedure="0">{#N/A,#N/A,FALSE,"Volume"}</definedName>
    <definedName name="wrn.volume.3_2" hidden="0" function="0" vbProcedure="0">{#N/A,#N/A,FALSE,"Volume"}</definedName>
    <definedName name="wrn.volume.3_3" hidden="0" function="0" vbProcedure="0">{#N/A,#N/A,FALSE,"Volume"}</definedName>
    <definedName name="wrn.volume.3_4" hidden="0" function="0" vbProcedure="0">{#N/A,#N/A,FALSE,"Volume"}</definedName>
    <definedName name="wrn.volume.3_5" hidden="0" function="0" vbProcedure="0">{#N/A,#N/A,FALSE,"Volume"}</definedName>
    <definedName name="wrn.VOLUME._1" hidden="0" function="0" vbProcedure="0">{#N/A,#N/A,FALSE,"Volume"}</definedName>
    <definedName name="wrn.VOLUME._2" hidden="0" function="0" vbProcedure="0">{#N/A,#N/A,FALSE,"Volume"}</definedName>
    <definedName name="wrn.VOLUME._3" hidden="0" function="0" vbProcedure="0">{#N/A,#N/A,FALSE,"Volume"}</definedName>
    <definedName name="wrn.VOLUME._4" hidden="0" function="0" vbProcedure="0">{#N/A,#N/A,FALSE,"Volume"}</definedName>
    <definedName name="wrn.VOLUME._5" hidden="0" function="0" vbProcedure="0">{#N/A,#N/A,FALSE,"Volume"}</definedName>
    <definedName name="WRN.VULUME" hidden="1" function="0" vbProcedure="0">{#N/A,#N/A,FALSE,"Volume"}</definedName>
    <definedName name="wrn.Wellplan."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hidden="1" function="0" vbProcedure="0">{#N/A,#N/A,FALSE,"SHEET 1";#N/A,#N/A,FALSE,"Sheet4"}</definedName>
    <definedName name="wscolumn" hidden="0" function="0" vbProcedure="0">[19]Data!$W$19</definedName>
    <definedName name="WS_ID" hidden="0" function="0" vbProcedure="0">#ref!</definedName>
    <definedName name="WS_LENGTH" hidden="0" function="0" vbProcedure="0">#ref!</definedName>
    <definedName name="WS_OD" hidden="0" function="0" vbProcedure="0">#ref!</definedName>
    <definedName name="wt" hidden="0" function="0" vbProcedure="0">'[16]Max-Torq'!$P$64</definedName>
    <definedName name="wtcasing" hidden="0" function="0" vbProcedure="0">[19]Data!$J$19</definedName>
    <definedName name="wtr_cumm" hidden="0" function="0" vbProcedure="0">'[94]well test sheet'!#ref!</definedName>
    <definedName name="wtr_rate" hidden="0" function="0" vbProcedure="0">'[94]well test sheet'!#ref!</definedName>
    <definedName name="wtworkstring" hidden="0" function="0" vbProcedure="0">[19]Data!$W$21</definedName>
    <definedName name="Wtype" hidden="0" function="0" vbProcedure="0">'[11]Liner Job Info'!$E$9</definedName>
    <definedName name="Wt_Bouyant" hidden="0" function="0" vbProcedure="0">#ref!</definedName>
    <definedName name="Wt_w_Cmt" hidden="0" function="0" vbProcedure="0">#ref!</definedName>
    <definedName name="Wt_W_Pkr_Tst" hidden="0" function="0" vbProcedure="0">#ref!</definedName>
    <definedName name="WUnit" hidden="0" function="0" vbProcedure="0">#ref!</definedName>
    <definedName name="WWW" hidden="0" function="0" vbProcedure="0">#ref!</definedName>
    <definedName name="W_mA" hidden="0" function="0" vbProcedure="0">[139]tonmiles!#ref!</definedName>
    <definedName name="x" hidden="1" function="0" vbProcedure="0">{#N/A,#N/A,FALSE,"Drlg Param Run 1-1";#N/A,#N/A,FALSE,"DDR (3)";#N/A,#N/A,FALSE,"BHA AT (1)";#N/A,#N/A,FALSE,"Downlinkbha";#N/A,#N/A,FALSE,"Job Status Report"}</definedName>
    <definedName name="X5_TO" hidden="0" function="0" vbProcedure="0">[38]RSS!$C$197</definedName>
    <definedName name="XCEED_TO" hidden="0" function="0" vbProcedure="0">[38]RSS!$G$201</definedName>
    <definedName name="xdd" hidden="0" function="0" vbProcedure="0">'[7]Drop-Down Items'!$Z$7</definedName>
    <definedName name="XdryCG" hidden="0" function="0" vbProcedure="0">'[48]Item Listings'!$AV$46</definedName>
    <definedName name="Xfoto" hidden="0" function="0" vbProcedure="0">#ref!</definedName>
    <definedName name="XfutopCG" hidden="0" function="0" vbProcedure="0">'[48]Wt Rpt'!$O$76</definedName>
    <definedName name="xls" hidden="0" function="0" vbProcedure="0">#ref!</definedName>
    <definedName name="Xmas_Tree" hidden="0" function="0" vbProcedure="0">[92]Data!$AG$2:$AG$6</definedName>
    <definedName name="Xnobj" hidden="0" function="0" vbProcedure="0">#ref!</definedName>
    <definedName name="XO" hidden="0" function="0" vbProcedure="0">#ref!</definedName>
    <definedName name="Xobj" hidden="0" function="0" vbProcedure="0">#ref!</definedName>
    <definedName name="XopCG" hidden="0" function="0" vbProcedure="0">'[48]Wt Rpt'!$E$76</definedName>
    <definedName name="xoportdepth" hidden="0" function="0" vbProcedure="0">#ref!</definedName>
    <definedName name="XO_DEPTH" hidden="0" function="0" vbProcedure="0">#ref!</definedName>
    <definedName name="XO_PORT_DEPTH" hidden="0" function="0" vbProcedure="0">#ref!</definedName>
    <definedName name="Xproj" hidden="0" function="0" vbProcedure="0">#ref!</definedName>
    <definedName name="XRID" hidden="0" function="0" vbProcedure="0">#ref!</definedName>
    <definedName name="XSHHS" hidden="0" function="0" vbProcedure="0">#ref!</definedName>
    <definedName name="Xsonda" hidden="0" function="0" vbProcedure="0">#ref!</definedName>
    <definedName name="Xtieon" hidden="0" function="0" vbProcedure="0">#ref!</definedName>
    <definedName name="XTRA_TO" hidden="0" function="0" vbProcedure="0">[38]RSS!$E$201</definedName>
    <definedName name="xx" hidden="0" function="0" vbProcedure="0">#ref!</definedName>
    <definedName name="xxx" hidden="1" function="0" vbProcedure="0">{#N/A,#N/A,FALSE,"Sheet1"}</definedName>
    <definedName name="xxxx" hidden="0" function="0" vbProcedure="0">[301]!Macro46</definedName>
    <definedName name="xyc" hidden="0" function="0" vbProcedure="0">'[2]run sheet'!#ref!</definedName>
    <definedName name="X_O" hidden="0" function="0" vbProcedure="0">[90]tbgtally!#ref!</definedName>
    <definedName name="y" hidden="0" function="0" vbProcedure="0">#ref!</definedName>
    <definedName name="YdryCG" hidden="0" function="0" vbProcedure="0">'[48]Item Listings'!$AW$46</definedName>
    <definedName name="year" hidden="0" function="0" vbProcedure="0">#ref!</definedName>
    <definedName name="YesNo" hidden="0" function="0" vbProcedure="0">#ref!</definedName>
    <definedName name="Yes_No" hidden="0" function="0" vbProcedure="0">'[27]Name Range'!$K$2:$K$4</definedName>
    <definedName name="Yfoto" hidden="0" function="0" vbProcedure="0">#ref!</definedName>
    <definedName name="YfutopCG" hidden="0" function="0" vbProcedure="0">'[48]Wt Rpt'!$P$76</definedName>
    <definedName name="YJEJD" hidden="0" function="0" vbProcedure="0">#ref!</definedName>
    <definedName name="YN" hidden="0" function="0" vbProcedure="0">#ref!</definedName>
    <definedName name="Ynobj" hidden="0" function="0" vbProcedure="0">#ref!</definedName>
    <definedName name="ynu" hidden="0" function="0" vbProcedure="0">'[7]Drop-Down Items'!$B$24:$B$26</definedName>
    <definedName name="Yobj" hidden="0" function="0" vbProcedure="0">#ref!</definedName>
    <definedName name="YopCG" hidden="0" function="0" vbProcedure="0">'[48]Wt Rpt'!$F$76</definedName>
    <definedName name="YP" hidden="0" function="0" vbProcedure="0">#ref!</definedName>
    <definedName name="ypa" hidden="0" function="0" vbProcedure="0">'[16]Max-Torq'!$P$63</definedName>
    <definedName name="ypdtr" hidden="0" function="0" vbProcedure="0">'[16]Max-Torq'!$P$70</definedName>
    <definedName name="Yproj" hidden="0" function="0" vbProcedure="0">#ref!</definedName>
    <definedName name="Ysonda" hidden="0" function="0" vbProcedure="0">#ref!</definedName>
    <definedName name="Ytieon" hidden="0" function="0" vbProcedure="0">#ref!</definedName>
    <definedName name="yyyyyyyyyyyy" hidden="1" function="0" vbProcedure="0">{"raatios",#N/A,FALSE,"A";"ratios",#N/A,FALSE,"B";"ratios",#N/A,FALSE,"C";"ratios",#N/A,FALSE,"D";"ratios",#N/A,FALSE,"F"}</definedName>
    <definedName name="Z" hidden="0" function="0" vbProcedure="0">#ref!</definedName>
    <definedName name="zdc" hidden="0" function="0" vbProcedure="0">#ref!</definedName>
    <definedName name="ZdryCG" hidden="0" function="0" vbProcedure="0">'[48]Item Listings'!$AX$46</definedName>
    <definedName name="ZfutopCG" hidden="0" function="0" vbProcedure="0">'[48]Wt Rpt'!$Q$76</definedName>
    <definedName name="zhang" hidden="0" function="0" vbProcedure="0">#ref!</definedName>
    <definedName name="Zip" hidden="0" function="0" vbProcedure="0">#ref!</definedName>
    <definedName name="ZonaNascosta" hidden="0" function="0" vbProcedure="0">#ref!</definedName>
    <definedName name="zone" hidden="0" function="0" vbProcedure="0">#ref!</definedName>
    <definedName name="Zone1BHP" hidden="0" function="0" vbProcedure="0">#ref!</definedName>
    <definedName name="Zone1BHT" hidden="0" function="0" vbProcedure="0">#ref!</definedName>
    <definedName name="Zone1Bottom" hidden="0" function="0" vbProcedure="0">#ref!</definedName>
    <definedName name="Zone1Dev" hidden="0" function="0" vbProcedure="0">#ref!</definedName>
    <definedName name="Zone1FluidType" hidden="0" function="0" vbProcedure="0">#ref!</definedName>
    <definedName name="Zone1FluidWt" hidden="0" function="0" vbProcedure="0">#ref!</definedName>
    <definedName name="Zone1Name" hidden="0" function="0" vbProcedure="0">#ref!</definedName>
    <definedName name="Zone1Top" hidden="0" function="0" vbProcedure="0">#ref!</definedName>
    <definedName name="Zone2BHP" hidden="0" function="0" vbProcedure="0">#ref!</definedName>
    <definedName name="Zone2BHT" hidden="0" function="0" vbProcedure="0">#ref!</definedName>
    <definedName name="Zone2Bottom" hidden="0" function="0" vbProcedure="0">#ref!</definedName>
    <definedName name="Zone2Dev" hidden="0" function="0" vbProcedure="0">#ref!</definedName>
    <definedName name="Zone2FluidType" hidden="0" function="0" vbProcedure="0">#ref!</definedName>
    <definedName name="Zone2FluidWt" hidden="0" function="0" vbProcedure="0">#ref!</definedName>
    <definedName name="Zone2Name" hidden="0" function="0" vbProcedure="0">#ref!</definedName>
    <definedName name="Zone2Top" hidden="0" function="0" vbProcedure="0">#ref!</definedName>
    <definedName name="Zone3BHP" hidden="0" function="0" vbProcedure="0">#ref!</definedName>
    <definedName name="Zone3BHT" hidden="0" function="0" vbProcedure="0">#ref!</definedName>
    <definedName name="Zone3Bottom" hidden="0" function="0" vbProcedure="0">#ref!</definedName>
    <definedName name="Zone3Dev" hidden="0" function="0" vbProcedure="0">#ref!</definedName>
    <definedName name="Zone3FluidType" hidden="0" function="0" vbProcedure="0">#ref!</definedName>
    <definedName name="Zone3FluidWt" hidden="0" function="0" vbProcedure="0">#ref!</definedName>
    <definedName name="Zone3Name" hidden="0" function="0" vbProcedure="0">#ref!</definedName>
    <definedName name="Zone3Top" hidden="0" function="0" vbProcedure="0">#ref!</definedName>
    <definedName name="Zone4BHP" hidden="0" function="0" vbProcedure="0">#ref!</definedName>
    <definedName name="Zone4BHT" hidden="0" function="0" vbProcedure="0">#ref!</definedName>
    <definedName name="Zone4Bottom" hidden="0" function="0" vbProcedure="0">#ref!</definedName>
    <definedName name="Zone4Dev" hidden="0" function="0" vbProcedure="0">#ref!</definedName>
    <definedName name="Zone4FluidType" hidden="0" function="0" vbProcedure="0">#ref!</definedName>
    <definedName name="Zone4FluidWt" hidden="0" function="0" vbProcedure="0">#ref!</definedName>
    <definedName name="Zone4Name" hidden="0" function="0" vbProcedure="0">#ref!</definedName>
    <definedName name="Zone4Top" hidden="0" function="0" vbProcedure="0">#ref!</definedName>
    <definedName name="Zone5BHP" hidden="0" function="0" vbProcedure="0">#ref!</definedName>
    <definedName name="Zone5BHT" hidden="0" function="0" vbProcedure="0">#ref!</definedName>
    <definedName name="Zone5Bottom" hidden="0" function="0" vbProcedure="0">#ref!</definedName>
    <definedName name="Zone5Dev" hidden="0" function="0" vbProcedure="0">#ref!</definedName>
    <definedName name="Zone5FluidType" hidden="0" function="0" vbProcedure="0">#ref!</definedName>
    <definedName name="Zone5FluidWt" hidden="0" function="0" vbProcedure="0">#ref!</definedName>
    <definedName name="Zone5Name" hidden="0" function="0" vbProcedure="0">#ref!</definedName>
    <definedName name="Zone5Top" hidden="0" function="0" vbProcedure="0">#ref!</definedName>
    <definedName name="zonename" hidden="0" function="0" vbProcedure="0">[5]WTR!$L$5</definedName>
    <definedName name="Zone_A" hidden="0" function="0" vbProcedure="0">#ref!</definedName>
    <definedName name="Zone_B" hidden="0" function="0" vbProcedure="0">#ref!</definedName>
    <definedName name="Zone_C" hidden="0" function="0" vbProcedure="0">#ref!</definedName>
    <definedName name="Zone_D" hidden="0" function="0" vbProcedure="0">#ref!</definedName>
    <definedName name="Zone_d_impression" hidden="0" function="0" vbProcedure="0">#ref!</definedName>
    <definedName name="Zone_E" hidden="0" function="0" vbProcedure="0">#ref!</definedName>
    <definedName name="Zone_F" hidden="0" function="0" vbProcedure="0">#ref!</definedName>
    <definedName name="Zone_G" hidden="0" function="0" vbProcedure="0">#ref!</definedName>
    <definedName name="Zone_H" hidden="0" function="0" vbProcedure="0">#ref!</definedName>
    <definedName name="Zone_impres_MI" hidden="0" function="0" vbProcedure="0">'[99]Com OldNom'!$A$1:$M$62</definedName>
    <definedName name="ZopCG" hidden="0" function="0" vbProcedure="0">'[48]Wt Rpt'!$G$76</definedName>
    <definedName name="ZXPSLEEVE" hidden="0" function="0" vbProcedure="0">#ref!</definedName>
    <definedName name="ZXP_Seal_Area" hidden="0" function="0" vbProcedure="0">#ref!</definedName>
    <definedName name="ZYX" hidden="0" function="0" vbProcedure="0">#ref!</definedName>
    <definedName name="ZZZ" hidden="0" function="0" vbProcedure="0">#ref!</definedName>
    <definedName name="zzzzzz" hidden="0" function="0" vbProcedure="0">[301]!'[module4 formula].macro1'</definedName>
    <definedName name="Z_Fact_DH" hidden="0" function="0" vbProcedure="0">#ref!</definedName>
    <definedName name="Z_Fact_Surf" hidden="0" function="0" vbProcedure="0">#ref!</definedName>
    <definedName name="_0" hidden="0" function="0" vbProcedure="0">#ref!</definedName>
    <definedName name="_A" hidden="0" function="0" vbProcedure="0">#ref!</definedName>
    <definedName name="_B" hidden="0" function="0" vbProcedure="0">#ref!</definedName>
    <definedName name="_C" hidden="0" function="0" vbProcedure="0">#ref!</definedName>
    <definedName name="_D" hidden="0" function="0" vbProcedure="0">#ref!</definedName>
    <definedName name="_E" hidden="0" function="0" vbProcedure="0">#ref!</definedName>
    <definedName name="_F" hidden="0" function="0" vbProcedure="0">#ref!</definedName>
    <definedName name="_G" hidden="0" function="0" vbProcedure="0">#ref!</definedName>
    <definedName name="_H" hidden="0" function="0" vbProcedure="0">#ref!</definedName>
    <definedName name="_I" hidden="0" function="0" vbProcedure="0">#ref!</definedName>
    <definedName name="_J" hidden="0" function="0" vbProcedure="0">#ref!</definedName>
    <definedName name="_L" hidden="0" function="0" vbProcedure="0">#ref!</definedName>
    <definedName name="_M" hidden="0" function="0" vbProcedure="0">#ref!</definedName>
    <definedName name="_N" hidden="0" function="0" vbProcedure="0">#ref!</definedName>
    <definedName name="_O" hidden="0" function="0" vbProcedure="0">#ref!</definedName>
    <definedName name="_p" hidden="0" function="0" vbProcedure="0">#ref!</definedName>
    <definedName name="_Q" hidden="0" function="0" vbProcedure="0">#ref!</definedName>
    <definedName name="_R" hidden="0" function="0" vbProcedure="0">#ref!</definedName>
    <definedName name="_S" hidden="0" function="0" vbProcedure="0">#ref!</definedName>
    <definedName name="_T" hidden="1" function="0" vbProcedure="0">{#N/A,#N/A,FALSE,"Volume"}</definedName>
    <definedName name="_V" hidden="0" function="0" vbProcedure="0">#ref!</definedName>
    <definedName name="_X" hidden="0" function="0" vbProcedure="0">'[1]run sheet'!#ref!</definedName>
    <definedName name="_Y" hidden="0" function="0" vbProcedure="0">#ref!</definedName>
    <definedName name="_Z" hidden="0" function="0" vbProcedure="0">#ref!</definedName>
    <definedName name="_" hidden="0" function="0" vbProcedure="0">#ref!</definedName>
    <definedName name="_1" hidden="1" function="0" vbProcedure="0">{#N/A,#N/A,FALSE,"Volume"}</definedName>
    <definedName name="_10Module2__2__.serialselect4" hidden="0" function="0" vbProcedure="0">#N/A</definedName>
    <definedName name="_10SecGELS" hidden="0" function="0" vbProcedure="0">#ref!</definedName>
    <definedName name="_10__123Graph_BCHART_2" hidden="1" function="0" vbProcedure="0">'[20]case sjac 19'!#ref!</definedName>
    <definedName name="_10__123Graph_CCHART_2" hidden="1" function="0" vbProcedure="0">'[20]case sjac 19'!#ref!</definedName>
    <definedName name="_10__123Graph_XCHART_2" hidden="1" function="0" vbProcedure="0">'[20]case sjac 19'!#ref!</definedName>
    <definedName name="_11Druckbereich" hidden="0" function="0" vbProcedure="0">#N/A</definedName>
    <definedName name="_11__123Graph_BCHART_1" hidden="1" function="0" vbProcedure="0">[32]mkn06!#ref!</definedName>
    <definedName name="_11__123Graph_CCHART_2" hidden="1" function="0" vbProcedure="0">'[20]case sjac 19'!#ref!</definedName>
    <definedName name="_1234GRAPH_G" hidden="1" function="0" vbProcedure="0">[100]Run!$F$16:$F$514</definedName>
    <definedName name="_12__123Graph_BCHART_2" hidden="1" function="0" vbProcedure="0">'[20]case sjac 19'!#ref!</definedName>
    <definedName name="_12__123Graph_CCHART_2" hidden="1" function="0" vbProcedure="0">'[20]case sjac 19'!#ref!</definedName>
    <definedName name="_12__123Graph_XCHART_1" hidden="1" function="0" vbProcedure="0">[35]mkn06!#ref!</definedName>
    <definedName name="_13.3_8_casing" hidden="0" function="0" vbProcedure="0">#ref!</definedName>
    <definedName name="_13.3_8__casing" hidden="0" function="0" vbProcedure="0">#ref!</definedName>
    <definedName name="_13__123Graph_CCHART_2" hidden="1" function="0" vbProcedure="0">'[20]case sjac 19'!#ref!</definedName>
    <definedName name="_14__123Graph_XCHART_2" hidden="1" function="0" vbProcedure="0">'[20]case sjac 19'!#ref!</definedName>
    <definedName name="_15__123Graph_XCHART_1" hidden="1" function="0" vbProcedure="0">[35]mkn06!#ref!</definedName>
    <definedName name="_16__123Graph_XCHART_2" hidden="1" function="0" vbProcedure="0">'[20]case sjac 19'!#ref!</definedName>
    <definedName name="_17__123Graph_XCHART_2" hidden="1" function="0" vbProcedure="0">'[20]case sjac 19'!#ref!</definedName>
    <definedName name="_18__123Graph_XCHART_1" hidden="1" function="0" vbProcedure="0">[32]mkn06!#ref!</definedName>
    <definedName name="_19__123Graph_XCHART_2" hidden="1" function="0" vbProcedure="0">'[20]case sjac 19'!#ref!</definedName>
    <definedName name="_1Druckbereich" hidden="0" function="0" vbProcedure="0">#ref!</definedName>
    <definedName name="_1Module1__2__.impdwg" hidden="0" function="0" vbProcedure="0">NA()</definedName>
    <definedName name="_1Module1__2__.impdwg_1" hidden="0" function="0" vbProcedure="0">NA()</definedName>
    <definedName name="_1Module1__2__.impdwg_10" hidden="0" function="0" vbProcedure="0">NA()</definedName>
    <definedName name="_1Module1__2__.impdwg_11" hidden="0" function="0" vbProcedure="0">NA()</definedName>
    <definedName name="_1Module1__2__.impdwg_2" hidden="0" function="0" vbProcedure="0">NA()</definedName>
    <definedName name="_1Module1__2__.impdwg_3" hidden="0" function="0" vbProcedure="0">NA()</definedName>
    <definedName name="_1Module1__2__.impdwg_4" hidden="0" function="0" vbProcedure="0">NA()</definedName>
    <definedName name="_1Module1__2__.impdwg_5" hidden="0" function="0" vbProcedure="0">NA()</definedName>
    <definedName name="_1Module1__2__.impdwg_6" hidden="0" function="0" vbProcedure="0">NA()</definedName>
    <definedName name="_1Module1__2__.impdwg_7" hidden="0" function="0" vbProcedure="0">NA()</definedName>
    <definedName name="_1Module1__2__.impdwg_8" hidden="0" function="0" vbProcedure="0">NA()</definedName>
    <definedName name="_1Module1__2__.impdwg_9" hidden="0" function="0" vbProcedure="0">NA()</definedName>
    <definedName name="_1Module2__2__.gaugeconok2" hidden="0" function="0" vbProcedure="0">#N/A</definedName>
    <definedName name="_1_" hidden="0" function="0" vbProcedure="0">#ref!</definedName>
    <definedName name="_1_of_4" hidden="0" function="0" vbProcedure="0">5</definedName>
    <definedName name="_1__123Graph_ACHART_1" hidden="1" function="0" vbProcedure="0">[19]mkn06!#ref!</definedName>
    <definedName name="_2" hidden="1" function="0" vbProcedure="0">{#N/A,#N/A,FALSE,"Volume"}</definedName>
    <definedName name="_2Module2__2__.gaugeconok2" hidden="0" function="0" vbProcedure="0">#N/A</definedName>
    <definedName name="_2Module2__2__.gaugeok2" hidden="0" function="0" vbProcedure="0">[26]!_2Module2__2__.gaugeok2</definedName>
    <definedName name="_2__123Graph_ACHART_1" hidden="1" function="0" vbProcedure="0">[22]mkn06!#ref!</definedName>
    <definedName name="_2__123Graph_BCHART_1" hidden="1" function="0" vbProcedure="0">[19]mkn06!#ref!</definedName>
    <definedName name="_3Module1__2__.impdwg" hidden="0" function="0" vbProcedure="0">NA()</definedName>
    <definedName name="_3Module1__2__.impdwg_1" hidden="0" function="0" vbProcedure="0">NA()</definedName>
    <definedName name="_3Module1__2__.impdwg_10" hidden="0" function="0" vbProcedure="0">NA()</definedName>
    <definedName name="_3Module1__2__.impdwg_11" hidden="0" function="0" vbProcedure="0">NA()</definedName>
    <definedName name="_3Module1__2__.impdwg_2" hidden="0" function="0" vbProcedure="0">NA()</definedName>
    <definedName name="_3Module1__2__.impdwg_3" hidden="0" function="0" vbProcedure="0">NA()</definedName>
    <definedName name="_3Module1__2__.impdwg_4" hidden="0" function="0" vbProcedure="0">NA()</definedName>
    <definedName name="_3Module1__2__.impdwg_5" hidden="0" function="0" vbProcedure="0">NA()</definedName>
    <definedName name="_3Module1__2__.impdwg_6" hidden="0" function="0" vbProcedure="0">NA()</definedName>
    <definedName name="_3Module1__2__.impdwg_7" hidden="0" function="0" vbProcedure="0">NA()</definedName>
    <definedName name="_3Module1__2__.impdwg_8" hidden="0" function="0" vbProcedure="0">NA()</definedName>
    <definedName name="_3Module1__2__.impdwg_9" hidden="0" function="0" vbProcedure="0">NA()</definedName>
    <definedName name="_3Module2__2__.gaugeok2" hidden="0" function="0" vbProcedure="0">#N/A</definedName>
    <definedName name="_3Module2__2__.gaugeselect2" hidden="0" function="0" vbProcedure="0">[26]!_3Module2__2__.gaugeselect2</definedName>
    <definedName name="_3Module4_Formula_.Macro1" hidden="0" function="0" vbProcedure="0">[26]!_3Module4_Formula_.Macro1</definedName>
    <definedName name="_3SecGELS" hidden="0" function="0" vbProcedure="0">#ref!</definedName>
    <definedName name="_3__123Graph_ACHART_1" hidden="1" function="0" vbProcedure="0">[35]mkn06!#ref!</definedName>
    <definedName name="_3__123Graph_ACHART_2" hidden="1" function="0" vbProcedure="0">'[20]case sjac 19'!#ref!</definedName>
    <definedName name="_3__123Graph_XCHART_1" hidden="1" function="0" vbProcedure="0">[19]mkn06!#ref!</definedName>
    <definedName name="_4Module2__2__.gaugeok2" hidden="0" function="0" vbProcedure="0">#N/A</definedName>
    <definedName name="_4Module2__2__.serialselect3" hidden="0" function="0" vbProcedure="0">[26]!_4Module2__2__.serialselect3</definedName>
    <definedName name="_4__123Graph_ACHART_1" hidden="1" function="0" vbProcedure="0">[32]mkn06!#ref!</definedName>
    <definedName name="_4__123Graph_ACHART_2" hidden="1" function="0" vbProcedure="0">'[20]case sjac 19'!#ref!</definedName>
    <definedName name="_4__123Graph_BCHART_1" hidden="1" function="0" vbProcedure="0">[22]mkn06!#ref!</definedName>
    <definedName name="_5" hidden="1" function="0" vbProcedure="0">{#N/A,#N/A,FALSE,"Volume"}</definedName>
    <definedName name="_5Module2__2__.gaugeselect2" hidden="0" function="0" vbProcedure="0">#N/A</definedName>
    <definedName name="_5Module2__2__.serialselect4" hidden="0" function="0" vbProcedure="0">[26]!_5Module2__2__.serialselect4</definedName>
    <definedName name="_5__123Graph_ACHART_1" hidden="1" function="0" vbProcedure="0">[32]mkn06!#ref!</definedName>
    <definedName name="_5__123Graph_ACHART_2" hidden="1" function="0" vbProcedure="0">'[20]case sjac 19'!#ref!</definedName>
    <definedName name="_5__123Graph_BCHART_1" hidden="1" function="0" vbProcedure="0">[25]mkn06!#ref!</definedName>
    <definedName name="_6Module2__2__.gaugeselect2" hidden="0" function="0" vbProcedure="0">#N/A</definedName>
    <definedName name="_6__123Graph_ACHART_2" hidden="1" function="0" vbProcedure="0">'[20]case sjac 19'!#ref!</definedName>
    <definedName name="_6__123Graph_BCHART_1" hidden="1" function="0" vbProcedure="0">[35]mkn06!#ref!</definedName>
    <definedName name="_6__123Graph_BCHART_2" hidden="1" function="0" vbProcedure="0">'[20]case sjac 19'!#ref!</definedName>
    <definedName name="_6__123Graph_XCHART_1" hidden="1" function="0" vbProcedure="0">[22]mkn06!#ref!</definedName>
    <definedName name="_7Module2__2__.serialselect3" hidden="0" function="0" vbProcedure="0">#N/A</definedName>
    <definedName name="_7__123Graph_CCHART_2" hidden="1" function="0" vbProcedure="0">'[20]case sjac 19'!#ref!</definedName>
    <definedName name="_8Module2__2__.serialselect3" hidden="0" function="0" vbProcedure="0">#N/A</definedName>
    <definedName name="_8__123Graph_BCHART_1" hidden="1" function="0" vbProcedure="0">[35]mkn06!#ref!</definedName>
    <definedName name="_8__123Graph_BCHART_2" hidden="1" function="0" vbProcedure="0">'[20]case sjac 19'!#ref!</definedName>
    <definedName name="_9Module2__2__.serialselect4" hidden="0" function="0" vbProcedure="0">#N/A</definedName>
    <definedName name="_9_5_8__Csg_OD" hidden="0" function="0" vbProcedure="0">#ref!</definedName>
    <definedName name="_9__123Graph_BCHART_1" hidden="1" function="0" vbProcedure="0">[32]mkn06!#ref!</definedName>
    <definedName name="_9__123Graph_XCHART_1" hidden="1" function="0" vbProcedure="0">[25]mkn06!#ref!</definedName>
    <definedName name="_a" hidden="1" function="0" vbProcedure="0">{#N/A,#N/A,FALSE,"Volume"}</definedName>
    <definedName name="_a1" hidden="0" function="0" vbProcedure="0">#ref!</definedName>
    <definedName name="_a2" hidden="1" function="0" vbProcedure="0">{#N/A,#N/A,FALSE,"Volume"}</definedName>
    <definedName name="_a3" hidden="1" function="0" vbProcedure="0">{#N/A,#N/A,FALSE,"Volume"}</definedName>
    <definedName name="_a4" hidden="1" function="0" vbProcedure="0">{#N/A,#N/A,FALSE,"Volume"}</definedName>
    <definedName name="_aa" hidden="1" function="0" vbProcedure="0">{#N/A,#N/A,FALSE,"Volume"}</definedName>
    <definedName name="_aaa" hidden="1" function="0" vbProcedure="0">{#N/A,#N/A,FALSE,"Volume"}</definedName>
    <definedName name="_aaaaa" hidden="1" function="0" vbProcedure="0">{#N/A,#N/A,FALSE,"Volume"}</definedName>
    <definedName name="_aaaaaa" hidden="1" function="0" vbProcedure="0">{#N/A,#N/A,FALSE,"Volume"}</definedName>
    <definedName name="_ab" hidden="1" function="0" vbProcedure="0">{#N/A,#N/A,FALSE,"Volume"}</definedName>
    <definedName name="_ac" hidden="1" function="0" vbProcedure="0">{#N/A,#N/A,FALSE,"Volume"}</definedName>
    <definedName name="_acasdf" hidden="1" function="0" vbProcedure="0">{#N/A,#N/A,FALSE,"Volume"}</definedName>
    <definedName name="_acc" hidden="1" function="0" vbProcedure="0">{#N/A,#N/A,FALSE,"Volume"}</definedName>
    <definedName name="_add1" hidden="0" function="0" vbProcedure="0">#ref!</definedName>
    <definedName name="_add2" hidden="0" function="0" vbProcedure="0">#ref!</definedName>
    <definedName name="_add3" hidden="0" function="0" vbProcedure="0">#ref!</definedName>
    <definedName name="_ANC2" hidden="0" function="0" vbProcedure="0">[18]sheet1!#ref!</definedName>
    <definedName name="_ap1" hidden="1" function="0" vbProcedure="0">{#N/A,#N/A,FALSE,"Volume"}</definedName>
    <definedName name="_ap2" hidden="1" function="0" vbProcedure="0">{#N/A,#N/A,FALSE,"Volume"}</definedName>
    <definedName name="_ap3" hidden="1" function="0" vbProcedure="0">{#N/A,#N/A,FALSE,"Volume"}</definedName>
    <definedName name="_app1" hidden="1" function="0" vbProcedure="0">{#N/A,#N/A,FALSE,"Volume"}</definedName>
    <definedName name="_app2" hidden="1" function="0" vbProcedure="0">{#N/A,#N/A,FALSE,"Volume"}</definedName>
    <definedName name="_app3" hidden="1" function="0" vbProcedure="0">{#N/A,#N/A,FALSE,"Volume"}</definedName>
    <definedName name="_app4" hidden="1" function="0" vbProcedure="0">{#N/A,#N/A,FALSE,"Volume"}</definedName>
    <definedName name="_app5" hidden="1" function="0" vbProcedure="0">{#N/A,#N/A,FALSE,"Volume"}</definedName>
    <definedName name="_asdfas" hidden="1" function="0" vbProcedure="0">{#N/A,#N/A,FALSE,"Volume"}</definedName>
    <definedName name="_AtRisk_SimSetting_AutomaticallyGenerateReports" hidden="1" function="0" vbProcedure="0">FALSE()</definedName>
    <definedName name="_AtRisk_SimSetting_AutomaticResultsDisplayMode" hidden="1" function="0" vbProcedure="0">0</definedName>
    <definedName name="_AtRisk_SimSetting_ConvergenceConfidenceLevel" hidden="1" function="0" vbProcedure="0">0.95</definedName>
    <definedName name="_AtRisk_SimSetting_ConvergencePercentileToTest" hidden="1" function="0" vbProcedure="0">0.9</definedName>
    <definedName name="_AtRisk_SimSetting_ConvergencePerformMeanTest" hidden="1" function="0" vbProcedure="0">TRUE()</definedName>
    <definedName name="_AtRisk_SimSetting_ConvergencePerformPercentileTest" hidden="1" function="0" vbProcedure="0">FALSE()</definedName>
    <definedName name="_AtRisk_SimSetting_ConvergencePerformStdDeviationTest" hidden="1" function="0" vbProcedure="0">FALSE()</definedName>
    <definedName name="_AtRisk_SimSetting_ConvergenceTestAllOutputs" hidden="1" function="0" vbProcedure="0">TRUE()</definedName>
    <definedName name="_AtRisk_SimSetting_ConvergenceTestingPeriod" hidden="1" function="0" vbProcedure="0">100</definedName>
    <definedName name="_AtRisk_SimSetting_ConvergenceTolerance" hidden="1" function="0" vbProcedure="0">0.03</definedName>
    <definedName name="_AtRisk_SimSetting_LiveUpdate" hidden="1" function="0" vbProcedure="0">TRUE()</definedName>
    <definedName name="_AtRisk_SimSetting_LiveUpdatePeriod" hidden="1" function="0" vbProcedure="0">-1</definedName>
    <definedName name="_AtRisk_SimSetting_RandomNumberGenerator" hidden="1" function="0" vbProcedure="0">7</definedName>
    <definedName name="_AtRisk_SimSetting_ReportsList" hidden="1" function="0" vbProcedure="0">0</definedName>
    <definedName name="_AtRisk_SimSetting_SimNameCount" hidden="1" function="0" vbProcedure="0">0</definedName>
    <definedName name="_AtRisk_SimSetting_SmartSensitivityAnalysisEnabled" hidden="1" function="0" vbProcedure="0">TRUE()</definedName>
    <definedName name="_AtRisk_SimSetting_StatisticFunctionUpdating" hidden="1" function="0" vbProcedure="0">0</definedName>
    <definedName name="_AtRisk_SimSetting_StdRecalcBehavior" hidden="1" function="0" vbProcedure="0">0</definedName>
    <definedName name="_AtRisk_SimSetting_StdRecalcWithoutRiskStatic" hidden="1" function="0" vbProcedure="0">0</definedName>
    <definedName name="_AtRisk_SimSetting_StdRecalcWithoutRiskStaticPercentile" hidden="1" function="0" vbProcedure="0">0.5</definedName>
    <definedName name="_b" hidden="1" function="0" vbProcedure="0">{#N/A,#N/A,FALSE,"Volume"}</definedName>
    <definedName name="_b1" hidden="1" function="0" vbProcedure="0">{#N/A,#N/A,FALSE,"Volume"}</definedName>
    <definedName name="_b2" hidden="1" function="0" vbProcedure="0">{#N/A,#N/A,FALSE,"Volume"}</definedName>
    <definedName name="_b3" hidden="1" function="0" vbProcedure="0">{#N/A,#N/A,FALSE,"Volume"}</definedName>
    <definedName name="_b4" hidden="1" function="0" vbProcedure="0">{#N/A,#N/A,FALSE,"Volume"}</definedName>
    <definedName name="_b5" hidden="1" function="0" vbProcedure="0">{#N/A,#N/A,FALSE,"Volume"}</definedName>
    <definedName name="_bb2789" hidden="0" function="0" vbProcedure="0">[9]!Calculate_Pipe</definedName>
    <definedName name="_bgn1" hidden="1" function="0" vbProcedure="0">{#N/A,#N/A,FALSE,"Sheet1"}</definedName>
    <definedName name="_BHA1" hidden="0" function="0" vbProcedure="0">#ref!</definedName>
    <definedName name="_bhp2" hidden="0" function="0" vbProcedure="0">#ref!</definedName>
    <definedName name="_c" hidden="1" function="0" vbProcedure="0">{#N/A,#N/A,FALSE,"Volume"}</definedName>
    <definedName name="_c1" hidden="1" function="0" vbProcedure="0">{#N/A,#N/A,FALSE,"Volume"}</definedName>
    <definedName name="_c2" hidden="1" function="0" vbProcedure="0">{#N/A,#N/A,FALSE,"Volume"}</definedName>
    <definedName name="_c3" hidden="1" function="0" vbProcedure="0">{#N/A,#N/A,FALSE,"Volume"}</definedName>
    <definedName name="_c4" hidden="1" function="0" vbProcedure="0">{#N/A,#N/A,FALSE,"Volume"}</definedName>
    <definedName name="_cd1" hidden="1" function="0" vbProcedure="0">{#N/A,#N/A,FALSE,"Sheet1"}</definedName>
    <definedName name="_cf1" hidden="1" function="0" vbProcedure="0">{#N/A,#N/A,FALSE,"Sheet1"}</definedName>
    <definedName name="_Col1" hidden="0" function="0" vbProcedure="0">#ref!</definedName>
    <definedName name="_Col10" hidden="0" function="0" vbProcedure="0">#ref!</definedName>
    <definedName name="_Col11" hidden="0" function="0" vbProcedure="0">#ref!</definedName>
    <definedName name="_Col12" hidden="0" function="0" vbProcedure="0">#ref!</definedName>
    <definedName name="_Col13" hidden="0" function="0" vbProcedure="0">#ref!</definedName>
    <definedName name="_Col14" hidden="0" function="0" vbProcedure="0">#ref!</definedName>
    <definedName name="_Col15" hidden="0" function="0" vbProcedure="0">#ref!</definedName>
    <definedName name="_Col16" hidden="0" function="0" vbProcedure="0">#ref!</definedName>
    <definedName name="_Col17" hidden="0" function="0" vbProcedure="0">#ref!</definedName>
    <definedName name="_Col18" hidden="0" function="0" vbProcedure="0">#ref!</definedName>
    <definedName name="_Col19" hidden="0" function="0" vbProcedure="0">#ref!</definedName>
    <definedName name="_Col2" hidden="0" function="0" vbProcedure="0">#ref!</definedName>
    <definedName name="_Col20" hidden="0" function="0" vbProcedure="0">#ref!</definedName>
    <definedName name="_Col21" hidden="0" function="0" vbProcedure="0">#ref!</definedName>
    <definedName name="_Col22" hidden="0" function="0" vbProcedure="0">#ref!</definedName>
    <definedName name="_Col23" hidden="0" function="0" vbProcedure="0">#ref!</definedName>
    <definedName name="_Col24" hidden="0" function="0" vbProcedure="0">#ref!</definedName>
    <definedName name="_Col25" hidden="0" function="0" vbProcedure="0">#ref!</definedName>
    <definedName name="_Col26" hidden="0" function="0" vbProcedure="0">#ref!</definedName>
    <definedName name="_Col27" hidden="0" function="0" vbProcedure="0">#ref!</definedName>
    <definedName name="_Col28" hidden="0" function="0" vbProcedure="0">#ref!</definedName>
    <definedName name="_Col29" hidden="0" function="0" vbProcedure="0">#ref!</definedName>
    <definedName name="_Col3" hidden="0" function="0" vbProcedure="0">#ref!</definedName>
    <definedName name="_Col30" hidden="0" function="0" vbProcedure="0">#ref!</definedName>
    <definedName name="_Col4" hidden="0" function="0" vbProcedure="0">#ref!</definedName>
    <definedName name="_Col5" hidden="0" function="0" vbProcedure="0">#ref!</definedName>
    <definedName name="_Col6" hidden="0" function="0" vbProcedure="0">#ref!</definedName>
    <definedName name="_Col7" hidden="0" function="0" vbProcedure="0">#ref!</definedName>
    <definedName name="_Col8" hidden="0" function="0" vbProcedure="0">#ref!</definedName>
    <definedName name="_Col9" hidden="0" function="0" vbProcedure="0">#ref!</definedName>
    <definedName name="_Csg1" hidden="0" function="0" vbProcedure="0">#ref!</definedName>
    <definedName name="_Csg2" hidden="0" function="0" vbProcedure="0">#ref!</definedName>
    <definedName name="_Csg3" hidden="0" function="0" vbProcedure="0">#ref!</definedName>
    <definedName name="_CX2" hidden="0" function="0" vbProcedure="0">#ref!</definedName>
    <definedName name="_CX3" hidden="0" function="0" vbProcedure="0">#ref!</definedName>
    <definedName name="_CX4" hidden="0" function="0" vbProcedure="0">#ref!</definedName>
    <definedName name="_CX6" hidden="0" function="0" vbProcedure="0">#ref!</definedName>
    <definedName name="_d1" hidden="1" function="0" vbProcedure="0">{#N/A,#N/A,FALSE,"Volume"}</definedName>
    <definedName name="_d2_" hidden="1" function="0" vbProcedure="0">{#N/A,#N/A,FALSE,"Volume"}</definedName>
    <definedName name="_d3" hidden="1" function="0" vbProcedure="0">{#N/A,#N/A,FALSE,"Volume"}</definedName>
    <definedName name="_d4" hidden="1" function="0" vbProcedure="0">{#N/A,#N/A,FALSE,"Volume"}</definedName>
    <definedName name="_DAT1" hidden="0" function="0" vbProcedure="0">#ref!</definedName>
    <definedName name="_DAT10" hidden="0" function="0" vbProcedure="0">#ref!</definedName>
    <definedName name="_DAT11" hidden="0" function="0" vbProcedure="0">#ref!</definedName>
    <definedName name="_DAT12" hidden="0" function="0" vbProcedure="0">#ref!</definedName>
    <definedName name="_DAT13" hidden="0" function="0" vbProcedure="0">#ref!</definedName>
    <definedName name="_DAT14" hidden="0" function="0" vbProcedure="0">#ref!</definedName>
    <definedName name="_DAT15" hidden="0" function="0" vbProcedure="0">#ref!</definedName>
    <definedName name="_DAT16" hidden="0" function="0" vbProcedure="0">'[38]sap serv 06-02'!#ref!</definedName>
    <definedName name="_DAT17" hidden="0" function="0" vbProcedure="0">'[38]sap serv 06-02'!#ref!</definedName>
    <definedName name="_DAT19" hidden="0" function="0" vbProcedure="0">'[38]sap serv 06-02'!#ref!</definedName>
    <definedName name="_DAT2" hidden="0" function="0" vbProcedure="0">#ref!</definedName>
    <definedName name="_DAT20" hidden="0" function="0" vbProcedure="0">'[38]sap serv 06-02'!#ref!</definedName>
    <definedName name="_DAT25" hidden="0" function="0" vbProcedure="0">'[38]sap serv 06-02'!#ref!</definedName>
    <definedName name="_DAT26" hidden="0" function="0" vbProcedure="0">'[38]sap serv 06-02'!#ref!</definedName>
    <definedName name="_DAT27" hidden="0" function="0" vbProcedure="0">'[38]sap serv 06-02'!#ref!</definedName>
    <definedName name="_DAT28" hidden="0" function="0" vbProcedure="0">'[38]sap serv 06-02'!#ref!</definedName>
    <definedName name="_DAT29" hidden="0" function="0" vbProcedure="0">'[38]sap serv 06-02'!#ref!</definedName>
    <definedName name="_DAT3" hidden="0" function="0" vbProcedure="0">#ref!</definedName>
    <definedName name="_DAT31" hidden="0" function="0" vbProcedure="0">'[38]sap serv 06-02'!#ref!</definedName>
    <definedName name="_DAT32" hidden="0" function="0" vbProcedure="0">'[38]sap serv 06-02'!#ref!</definedName>
    <definedName name="_DAT34" hidden="0" function="0" vbProcedure="0">'[38]sap serv 06-02'!#ref!</definedName>
    <definedName name="_DAT35" hidden="0" function="0" vbProcedure="0">'[38]sap serv 06-02'!#ref!</definedName>
    <definedName name="_DAT36" hidden="0" function="0" vbProcedure="0">'[38]sap serv 06-02'!#ref!</definedName>
    <definedName name="_DAT4" hidden="0" function="0" vbProcedure="0">#ref!</definedName>
    <definedName name="_DAT40" hidden="0" function="0" vbProcedure="0">'[38]sap serv 06-02'!#ref!</definedName>
    <definedName name="_DAT41" hidden="0" function="0" vbProcedure="0">'[38]sap serv 06-02'!#ref!</definedName>
    <definedName name="_DAT42" hidden="0" function="0" vbProcedure="0">'[38]sap serv 06-02'!#ref!</definedName>
    <definedName name="_DAT44" hidden="0" function="0" vbProcedure="0">'[38]sap serv 06-02'!#ref!</definedName>
    <definedName name="_DAT45" hidden="0" function="0" vbProcedure="0">'[38]sap serv 06-02'!#ref!</definedName>
    <definedName name="_DAT46" hidden="0" function="0" vbProcedure="0">'[38]sap serv 06-02'!#ref!</definedName>
    <definedName name="_DAT47" hidden="0" function="0" vbProcedure="0">'[38]sap serv 06-02'!#ref!</definedName>
    <definedName name="_DAT48" hidden="0" function="0" vbProcedure="0">'[38]sap serv 06-02'!#ref!</definedName>
    <definedName name="_DAT49" hidden="0" function="0" vbProcedure="0">'[38]sap serv 06-02'!#ref!</definedName>
    <definedName name="_DAT5" hidden="0" function="0" vbProcedure="0">#ref!</definedName>
    <definedName name="_DAT50" hidden="0" function="0" vbProcedure="0">'[38]sap serv 06-02'!#ref!</definedName>
    <definedName name="_DAT52" hidden="0" function="0" vbProcedure="0">'[38]sap serv 06-02'!#ref!</definedName>
    <definedName name="_DAT53" hidden="0" function="0" vbProcedure="0">'[38]sap serv 06-02'!#ref!</definedName>
    <definedName name="_DAT54" hidden="0" function="0" vbProcedure="0">'[38]sap serv 06-02'!#ref!</definedName>
    <definedName name="_DAT56" hidden="0" function="0" vbProcedure="0">'[38]sap serv 06-02'!#ref!</definedName>
    <definedName name="_DAT57" hidden="0" function="0" vbProcedure="0">'[38]sap serv 06-02'!#ref!</definedName>
    <definedName name="_DAT6" hidden="0" function="0" vbProcedure="0">#ref!</definedName>
    <definedName name="_DAT62" hidden="0" function="0" vbProcedure="0">'[38]sap serv 06-02'!#ref!</definedName>
    <definedName name="_DAT63" hidden="0" function="0" vbProcedure="0">'[38]sap serv 06-02'!#ref!</definedName>
    <definedName name="_DAT7" hidden="0" function="0" vbProcedure="0">#ref!</definedName>
    <definedName name="_DAT8" hidden="0" function="0" vbProcedure="0">#ref!</definedName>
    <definedName name="_DAT9" hidden="0" function="0" vbProcedure="0">#ref!</definedName>
    <definedName name="_e1" hidden="1" function="0" vbProcedure="0">{#N/A,#N/A,FALSE,"Volume"}</definedName>
    <definedName name="_e2" hidden="1" function="0" vbProcedure="0">{#N/A,#N/A,FALSE,"Volume"}</definedName>
    <definedName name="_e3" hidden="1" function="0" vbProcedure="0">{#N/A,#N/A,FALSE,"Volume"}</definedName>
    <definedName name="_e4" hidden="1" function="0" vbProcedure="0">{#N/A,#N/A,FALSE,"Volume"}</definedName>
    <definedName name="_f1" hidden="1" function="0" vbProcedure="0">{#N/A,#N/A,FALSE,"Volume"}</definedName>
    <definedName name="_f2" hidden="1" function="0" vbProcedure="0">{#N/A,#N/A,FALSE,"Volume"}</definedName>
    <definedName name="_f3" hidden="1" function="0" vbProcedure="0">{#N/A,#N/A,FALSE,"Volume"}</definedName>
    <definedName name="_f4" hidden="1" function="0" vbProcedure="0">{#N/A,#N/A,FALSE,"Volume"}</definedName>
    <definedName name="_f5" hidden="1" function="0" vbProcedure="0">{#N/A,#N/A,FALSE,"Volume"}</definedName>
    <definedName name="_f6" hidden="1" function="0" vbProcedure="0">{#N/A,#N/A,FALSE,"Volume"}</definedName>
    <definedName name="_f7" hidden="1" function="0" vbProcedure="0">{#N/A,#N/A,FALSE,"Volume"}</definedName>
    <definedName name="_Fill" hidden="1" function="0" vbProcedure="0">#ref!</definedName>
    <definedName name="_g" hidden="1" function="0" vbProcedure="0">{#N/A,#N/A,FALSE,"Volume"}</definedName>
    <definedName name="_gas1013" hidden="0" function="0" vbProcedure="0">'[28]calculo de gas total'!#ref!</definedName>
    <definedName name="_GAS1016" hidden="0" function="0" vbProcedure="0">'[29]calculo de gas total'!#ref!</definedName>
    <definedName name="_GAS1017" hidden="0" function="0" vbProcedure="0">'[29]calculo de gas total'!#ref!</definedName>
    <definedName name="_GAS1101" hidden="0" function="0" vbProcedure="0">'[29]calculo de gas total'!#ref!</definedName>
    <definedName name="_GAS1102" hidden="0" function="0" vbProcedure="0">'[29]calculo de gas total'!#ref!</definedName>
    <definedName name="_GAS1200" hidden="0" function="0" vbProcedure="0">'[29]calculo de gas total'!#ref!</definedName>
    <definedName name="_GAS1201" hidden="0" function="0" vbProcedure="0">'[29]calculo de gas total'!#ref!</definedName>
    <definedName name="_GAS1401" hidden="0" function="0" vbProcedure="0">'[29]calculo de gas total'!#ref!</definedName>
    <definedName name="_GAS1611" hidden="0" function="0" vbProcedure="0">'[29]calculo de gas total'!#ref!</definedName>
    <definedName name="_GAS1612" hidden="0" function="0" vbProcedure="0">'[29]calculo de gas total'!#ref!</definedName>
    <definedName name="_GAS1706" hidden="0" function="0" vbProcedure="0">'[29]calculo de gas total'!#ref!</definedName>
    <definedName name="_GAS1707" hidden="0" function="0" vbProcedure="0">'[29]calculo de gas total'!#ref!</definedName>
    <definedName name="_GAS1751" hidden="0" function="0" vbProcedure="0">'[29]calculo de gas total'!#ref!</definedName>
    <definedName name="_GAS1773" hidden="0" function="0" vbProcedure="0">'[29]calculo de gas total'!#ref!</definedName>
    <definedName name="_gas2020" hidden="0" function="0" vbProcedure="0">'[28]calculo de gas total'!#ref!</definedName>
    <definedName name="_gas6969" hidden="0" function="0" vbProcedure="0">'[28]calculo de gas total'!#ref!</definedName>
    <definedName name="_GAS7117" hidden="0" function="0" vbProcedure="0">'[29]calculo de gas total'!#ref!</definedName>
    <definedName name="_GAS7118" hidden="0" function="0" vbProcedure="0">'[29]calculo de gas total'!#ref!</definedName>
    <definedName name="_gmh1" hidden="1" function="0" vbProcedure="0">{#N/A,#N/A,FALSE,"Sheet1"}</definedName>
    <definedName name="_gs243" hidden="0" function="0" vbProcedure="0">'[30]calculo de gas total'!#ref!</definedName>
    <definedName name="_h" hidden="1" function="0" vbProcedure="0">{#N/A,#N/A,FALSE,"Volume"}</definedName>
    <definedName name="_i" hidden="1" function="0" vbProcedure="0">{#N/A,#N/A,FALSE,"Volume"}</definedName>
    <definedName name="_iw" hidden="1" function="0" vbProcedure="0">[22]mkn06!#ref!</definedName>
    <definedName name="_JE" hidden="0" function="0" vbProcedure="0">#ref!</definedName>
    <definedName name="_JE1" hidden="0" function="0" vbProcedure="0">'[4]cumulative temp diff'!#ref!</definedName>
    <definedName name="_JE2" hidden="0" function="0" vbProcedure="0">'[4]cumulative temp diff'!#ref!</definedName>
    <definedName name="_JK" hidden="0" function="0" vbProcedure="0">#ref!</definedName>
    <definedName name="_Key1" hidden="1" function="0" vbProcedure="0">#ref!</definedName>
    <definedName name="_lyc1" hidden="0" function="0" vbProcedure="0">#ref!</definedName>
    <definedName name="_lyc2" hidden="0" function="0" vbProcedure="0">#ref!</definedName>
    <definedName name="_lyc3" hidden="0" function="0" vbProcedure="0">#ref!</definedName>
    <definedName name="_lyc5" hidden="0" function="0" vbProcedure="0">#ref!</definedName>
    <definedName name="_lyc7" hidden="0" function="0" vbProcedure="0">#ref!</definedName>
    <definedName name="_Mes1" hidden="0" function="0" vbProcedure="0">#ref!</definedName>
    <definedName name="_Mes2" hidden="0" function="0" vbProcedure="0">#ref!</definedName>
    <definedName name="_Mes3" hidden="0" function="0" vbProcedure="0">#ref!</definedName>
    <definedName name="_Mes4" hidden="0" function="0" vbProcedure="0">#ref!</definedName>
    <definedName name="_Mo2" hidden="0" function="0" vbProcedure="0">#ref!</definedName>
    <definedName name="_Mo3" hidden="0" function="0" vbProcedure="0">#ref!</definedName>
    <definedName name="_mo4" hidden="0" function="0" vbProcedure="0">#ref!</definedName>
    <definedName name="_ms6" hidden="0" function="0" vbProcedure="0">[17]milestone!#ref!</definedName>
    <definedName name="_ms7" hidden="0" function="0" vbProcedure="0">[17]milestone!#ref!</definedName>
    <definedName name="_MudVol" hidden="0" function="0" vbProcedure="0">#ref!,#ref!,#ref!,#ref!,#ref!</definedName>
    <definedName name="_num15" hidden="0" function="0" vbProcedure="0">#ref!</definedName>
    <definedName name="_OD1" hidden="0" function="0" vbProcedure="0">#ref!</definedName>
    <definedName name="_OD2" hidden="0" function="0" vbProcedure="0">#ref!</definedName>
    <definedName name="_Order1" hidden="1" function="0" vbProcedure="0">255</definedName>
    <definedName name="_Order2" hidden="1" function="0" vbProcedure="0">0</definedName>
    <definedName name="_P" hidden="1" function="0" vbProcedure="0">{#N/A,#N/A,FALSE,"Volume"}</definedName>
    <definedName name="_P1" hidden="1" function="0" vbProcedure="0">{#N/A,#N/A,FALSE,"Volume"}</definedName>
    <definedName name="_P2" hidden="1" function="0" vbProcedure="0">{#N/A,#N/A,FALSE,"Volume"}</definedName>
    <definedName name="_P3" hidden="1" function="0" vbProcedure="0">{#N/A,#N/A,FALSE,"Volume"}</definedName>
    <definedName name="_P4" hidden="1" function="0" vbProcedure="0">{#N/A,#N/A,FALSE,"Volume"}</definedName>
    <definedName name="_pap1" hidden="1" function="0" vbProcedure="0">{#N/A,#N/A,FALSE,"Volume"}</definedName>
    <definedName name="_pap2" hidden="1" function="0" vbProcedure="0">{#N/A,#N/A,FALSE,"Volume"}</definedName>
    <definedName name="_pap3" hidden="1" function="0" vbProcedure="0">{#N/A,#N/A,FALSE,"Volume"}</definedName>
    <definedName name="_pap4" hidden="1" function="0" vbProcedure="0">{#N/A,#N/A,FALSE,"Volume"}</definedName>
    <definedName name="_pap5" hidden="1" function="0" vbProcedure="0">{#N/A,#N/A,FALSE,"Volume"}</definedName>
    <definedName name="_PET1" hidden="0" function="0" vbProcedure="0">#ref!</definedName>
    <definedName name="_pg10" hidden="0" function="0" vbProcedure="0">#ref!</definedName>
    <definedName name="_Pg2" hidden="0" function="0" vbProcedure="0">#ref!</definedName>
    <definedName name="_Pg3" hidden="0" function="0" vbProcedure="0">#ref!</definedName>
    <definedName name="_Pg4" hidden="0" function="0" vbProcedure="0">#ref!</definedName>
    <definedName name="_Pg5" hidden="0" function="0" vbProcedure="0">#ref!</definedName>
    <definedName name="_Pg6" hidden="0" function="0" vbProcedure="0">#ref!</definedName>
    <definedName name="_Pg7" hidden="0" function="0" vbProcedure="0">#ref!</definedName>
    <definedName name="_Pg8" hidden="0" function="0" vbProcedure="0">#ref!</definedName>
    <definedName name="_Pg9" hidden="0" function="0" vbProcedure="0">#ref!</definedName>
    <definedName name="_PM1" hidden="0" function="0" vbProcedure="0">#ref!</definedName>
    <definedName name="_PM2" hidden="0" function="0" vbProcedure="0">#ref!</definedName>
    <definedName name="_pm4" hidden="0" function="0" vbProcedure="0">#ref!</definedName>
    <definedName name="_pm5" hidden="0" function="0" vbProcedure="0">#ref!</definedName>
    <definedName name="_pm6" hidden="0" function="0" vbProcedure="0">#ref!</definedName>
    <definedName name="_PMS2" hidden="0" function="0" vbProcedure="0">#ref!</definedName>
    <definedName name="_PMS3" hidden="0" function="0" vbProcedure="0">#ref!</definedName>
    <definedName name="_PMS4" hidden="0" function="0" vbProcedure="0">#ref!</definedName>
    <definedName name="_pms7" hidden="0" function="0" vbProcedure="0">#ref!</definedName>
    <definedName name="_pp1" hidden="0" function="0" vbProcedure="0">#N/A</definedName>
    <definedName name="_PPH1" hidden="0" function="0" vbProcedure="0">[40]!Calculate_Pipe</definedName>
    <definedName name="_PR1" hidden="0" function="0" vbProcedure="0">#ref!</definedName>
    <definedName name="_PR2" hidden="0" function="0" vbProcedure="0">#ref!</definedName>
    <definedName name="_r06" hidden="0" function="0" vbProcedure="0">[42]!AutoCAD</definedName>
    <definedName name="_REG1773" hidden="0" function="0" vbProcedure="0">'[29]calculo de gas total'!#ref!</definedName>
    <definedName name="_Regression_Out" hidden="1" function="0" vbProcedure="0">#ref!</definedName>
    <definedName name="_Regression_X" hidden="1" function="0" vbProcedure="0">#ref!</definedName>
    <definedName name="_Regression_Y" hidden="1" function="0" vbProcedure="0">#ref!</definedName>
    <definedName name="_Rmk1" hidden="0" function="0" vbProcedure="0">#ref!</definedName>
    <definedName name="_Rmk11" hidden="0" function="0" vbProcedure="0">#ref!</definedName>
    <definedName name="_Rmk12" hidden="0" function="0" vbProcedure="0">#ref!</definedName>
    <definedName name="_Rmk13" hidden="0" function="0" vbProcedure="0">#ref!</definedName>
    <definedName name="_Rmk14" hidden="0" function="0" vbProcedure="0">#ref!</definedName>
    <definedName name="_Rmk15" hidden="0" function="0" vbProcedure="0">#ref!</definedName>
    <definedName name="_Rmk16" hidden="0" function="0" vbProcedure="0">#ref!</definedName>
    <definedName name="_Rmk17" hidden="0" function="0" vbProcedure="0">#ref!</definedName>
    <definedName name="_Rmk18" hidden="0" function="0" vbProcedure="0">#ref!</definedName>
    <definedName name="_Rmk19" hidden="0" function="0" vbProcedure="0">#ref!</definedName>
    <definedName name="_Rmk2" hidden="0" function="0" vbProcedure="0">#ref!</definedName>
    <definedName name="_Rmk3" hidden="0" function="0" vbProcedure="0">#ref!</definedName>
    <definedName name="_Rmk4" hidden="0" function="0" vbProcedure="0">#ref!</definedName>
    <definedName name="_Rmk5" hidden="0" function="0" vbProcedure="0">#ref!</definedName>
    <definedName name="_Rmk6" hidden="0" function="0" vbProcedure="0">#ref!</definedName>
    <definedName name="_Rmk7" hidden="0" function="0" vbProcedure="0">#ref!</definedName>
    <definedName name="_Rmk8" hidden="0" function="0" vbProcedure="0">#ref!</definedName>
    <definedName name="_Rmk9" hidden="0" function="0" vbProcedure="0">#ref!</definedName>
    <definedName name="_RO1" hidden="0" function="0" vbProcedure="0">#ref!</definedName>
    <definedName name="_RO10" hidden="0" function="0" vbProcedure="0">#ref!</definedName>
    <definedName name="_RO2" hidden="0" function="0" vbProcedure="0">#ref!</definedName>
    <definedName name="_RO3" hidden="0" function="0" vbProcedure="0">#ref!</definedName>
    <definedName name="_RO4" hidden="0" function="0" vbProcedure="0">#ref!</definedName>
    <definedName name="_RO5" hidden="0" function="0" vbProcedure="0">#ref!</definedName>
    <definedName name="_RO6" hidden="0" function="0" vbProcedure="0">#ref!</definedName>
    <definedName name="_RO7" hidden="0" function="0" vbProcedure="0">#ref!</definedName>
    <definedName name="_RO8" hidden="0" function="0" vbProcedure="0">#ref!</definedName>
    <definedName name="_RO9" hidden="0" function="0" vbProcedure="0">#ref!</definedName>
    <definedName name="_sc20" hidden="0" function="0" vbProcedure="0">#ref!</definedName>
    <definedName name="_Sort" hidden="1" function="0" vbProcedure="0">#ref!</definedName>
    <definedName name="_SPM1" hidden="0" function="0" vbProcedure="0">[16]!Macro1</definedName>
    <definedName name="_SSA1" hidden="0" function="0" vbProcedure="0">[43]!Macro46</definedName>
    <definedName name="_SUM1" hidden="0" function="0" vbProcedure="0">#ref!</definedName>
    <definedName name="_SUM2" hidden="0" function="0" vbProcedure="0">#ref!</definedName>
    <definedName name="_Table1_In1" hidden="1" function="0" vbProcedure="0">#ref!</definedName>
    <definedName name="_Table1_Out" hidden="1" function="0" vbProcedure="0">#ref!</definedName>
    <definedName name="_Table2_In1" hidden="1" function="0" vbProcedure="0">#ref!</definedName>
    <definedName name="_Table2_Out" hidden="1" function="0" vbProcedure="0">#ref!</definedName>
    <definedName name="_TEL10" hidden="0" function="0" vbProcedure="0">'[28]Ref. data2'!$D$34:$D$36</definedName>
    <definedName name="_TEL2" hidden="0" function="0" vbProcedure="0">'[28]Ref. data2'!$D$7:$D$10</definedName>
    <definedName name="_TEL5" hidden="0" function="0" vbProcedure="0">'[28]Ref. data2'!$D$19:$D$21</definedName>
    <definedName name="_TEL6" hidden="0" function="0" vbProcedure="0">'[28]Ref. data2'!$D$22:$D$26</definedName>
    <definedName name="_TEL7" hidden="0" function="0" vbProcedure="0">'[28]Ref. data2'!$D$27:$D$29</definedName>
    <definedName name="_TEL8" hidden="0" function="0" vbProcedure="0">'[28]Ref. data2'!$D$30:$D$31</definedName>
    <definedName name="_Toc260904219" hidden="0" function="0" vbProcedure="0">#ref!</definedName>
    <definedName name="_Toc260904227" hidden="0" function="0" vbProcedure="0">#ref!</definedName>
    <definedName name="_Toc260904228" hidden="0" function="0" vbProcedure="0">#ref!</definedName>
    <definedName name="_Toc400366483" hidden="0" function="0" vbProcedure="0">#ref!</definedName>
    <definedName name="_Toc400366484" hidden="0" function="0" vbProcedure="0">#ref!</definedName>
    <definedName name="_Toc400366485" hidden="0" function="0" vbProcedure="0">#ref!</definedName>
    <definedName name="_Toc400366486" hidden="0" function="0" vbProcedure="0">#ref!</definedName>
    <definedName name="_try1" hidden="1" function="0" vbProcedure="0">#ref!</definedName>
    <definedName name="_TST2" hidden="0" function="0" vbProcedure="0">#ref!</definedName>
    <definedName name="_TT2" hidden="0" function="0" vbProcedure="0">#ref!</definedName>
    <definedName name="_TVD7" hidden="0" function="0" vbProcedure="0">#ref!</definedName>
    <definedName name="_TVD8" hidden="0" function="0" vbProcedure="0">#ref!</definedName>
    <definedName name="_UA38" hidden="0" function="0" vbProcedure="0">[26]!_UA38</definedName>
    <definedName name="_vol1" hidden="0" function="0" vbProcedure="0">#ref!</definedName>
    <definedName name="_vol2" hidden="0" function="0" vbProcedure="0">#ref!</definedName>
    <definedName name="_vol3" hidden="0" function="0" vbProcedure="0">#ref!</definedName>
    <definedName name="_vol4" hidden="0" function="0" vbProcedure="0">#ref!</definedName>
    <definedName name="_vol5" hidden="0" function="0" vbProcedure="0">#ref!</definedName>
    <definedName name="_vol6" hidden="0" function="0" vbProcedure="0">#ref!</definedName>
    <definedName name="_wrn1" hidden="1" function="0" vbProcedure="0">{#N/A,#N/A,FALSE,"Volume"}</definedName>
    <definedName name="_x" hidden="1" function="0" vbProcedure="0">{#N/A,#N/A,FALSE,"Volume"}</definedName>
    <definedName name="_xa" hidden="1" function="0" vbProcedure="0">{#N/A,#N/A,FALSE,"Volume"}</definedName>
    <definedName name="_xb" hidden="1" function="0" vbProcedure="0">{#N/A,#N/A,FALSE,"Volume"}</definedName>
    <definedName name="_xc" hidden="1" function="0" vbProcedure="0">{#N/A,#N/A,FALSE,"Volume"}</definedName>
    <definedName name="_xlcn.WorksheetConnection_January2023FinalNoHCD.xlsxDWSWells1" hidden="1" function="0" vbProcedure="0">#ref!</definedName>
    <definedName name="_xlnm.Criteria" hidden="0" function="0" vbProcedure="0">#ref!</definedName>
    <definedName name="_xlnm.Database" hidden="0" function="0" vbProcedure="0">#ref!</definedName>
    <definedName name="_xlnm.Extract" hidden="0" function="0" vbProcedure="0">[101]BOOK5!$C$1:$C$1048576</definedName>
    <definedName name="_xlnm.Recorder" hidden="0" function="0" vbProcedure="0">#ref!</definedName>
    <definedName name="_z" hidden="1" function="0" vbProcedure="0">{#N/A,#N/A,FALSE,"Volume"}</definedName>
    <definedName name="_z1" hidden="1" function="0" vbProcedure="0">{#N/A,#N/A,FALSE,"Volume"}</definedName>
    <definedName name="_z2" hidden="1" function="0" vbProcedure="0">{#N/A,#N/A,FALSE,"Volume"}</definedName>
    <definedName name="_z3" hidden="1" function="0" vbProcedure="0">{#N/A,#N/A,FALSE,"Volume"}</definedName>
    <definedName name="_z4" hidden="1" function="0" vbProcedure="0">{#N/A,#N/A,FALSE,"Volume"}</definedName>
    <definedName name="__" hidden="0" function="0" vbProcedure="0">#ref!</definedName>
    <definedName name="__10__123Graph_BCHART_2" hidden="1" function="0" vbProcedure="0">'[20]case sjac 19'!#ref!</definedName>
    <definedName name="__10__123Graph_CCHART_2" hidden="1" function="0" vbProcedure="0">'[21]case sjac 19'!#ref!</definedName>
    <definedName name="__123Graph_A" hidden="1" function="0" vbProcedure="0">#ref!</definedName>
    <definedName name="__123Graph_AMAPVIEW" hidden="1" function="0" vbProcedure="0">'[24]minimum curve method'!#ref!</definedName>
    <definedName name="__123Graph_AOA16MMBO" hidden="1" function="0" vbProcedure="0">#ref!</definedName>
    <definedName name="__123Graph_B" hidden="1" function="0" vbProcedure="0">#ref!</definedName>
    <definedName name="__123Graph_BOA16MMBO" hidden="1" function="0" vbProcedure="0">#ref!</definedName>
    <definedName name="__123Graph_BVSECT" hidden="1" function="0" vbProcedure="0">'[102]Minimum Curve Method'!$K$9:$K$152</definedName>
    <definedName name="__123Graph_C" hidden="1" function="0" vbProcedure="0">#ref!</definedName>
    <definedName name="__123Graph_D" hidden="1" function="0" vbProcedure="0">#ref!</definedName>
    <definedName name="__123Graph_E" hidden="1" function="0" vbProcedure="0">#ref!</definedName>
    <definedName name="__123Graph_F" hidden="1" function="0" vbProcedure="0">#ref!</definedName>
    <definedName name="__123Graph_X" hidden="1" function="0" vbProcedure="0">#ref!</definedName>
    <definedName name="__123Graph_XMAPVIEW" hidden="1" function="0" vbProcedure="0">'[24]minimum curve method'!#ref!</definedName>
    <definedName name="__12__123Graph_XCHART_1" hidden="1" function="0" vbProcedure="0">[22]mkn06!#ref!</definedName>
    <definedName name="__14__123Graph_XCHART_2" hidden="1" function="0" vbProcedure="0">'[21]case sjac 19'!#ref!</definedName>
    <definedName name="__15__123Graph_XCHART_1" hidden="1" function="0" vbProcedure="0">[25]mkn06!#ref!</definedName>
    <definedName name="__1Module2__2__.gaugeconok2" hidden="0" function="0" vbProcedure="0">[26]!__1Module2__2__.gaugeconok2</definedName>
    <definedName name="__1__123Graph_ACHART_1" hidden="1" function="0" vbProcedure="0">[19]mkn06!#ref!</definedName>
    <definedName name="__2Module2__2__.gaugeok2" hidden="0" function="0" vbProcedure="0">[26]!__2Module2__2__.gaugeok2</definedName>
    <definedName name="__2__123Graph_ACHART_1" hidden="1" function="0" vbProcedure="0">[25]mkn06!#ref!</definedName>
    <definedName name="__2__123Graph_BCHART_1" hidden="1" function="0" vbProcedure="0">[19]mkn06!#ref!</definedName>
    <definedName name="__3Module2__2__.gaugeselect2" hidden="0" function="0" vbProcedure="0">[26]!__3Module2__2__.gaugeselect2</definedName>
    <definedName name="__3__123Graph_XCHART_1" hidden="1" function="0" vbProcedure="0">[19]mkn06!#ref!</definedName>
    <definedName name="__4Module2__2__.serialselect3" hidden="0" function="0" vbProcedure="0">[26]!__4Module2__2__.serialselect3</definedName>
    <definedName name="__4__123Graph_ACHART_2" hidden="1" function="0" vbProcedure="0">'[21]case sjac 19'!#ref!</definedName>
    <definedName name="__5Module2__2__.serialselect4" hidden="0" function="0" vbProcedure="0">[26]!__5Module2__2__.serialselect4</definedName>
    <definedName name="__5__123Graph_ACHART_2" hidden="1" function="0" vbProcedure="0">'[20]case sjac 19'!#ref!</definedName>
    <definedName name="__6__123Graph_BCHART_1" hidden="1" function="0" vbProcedure="0">[22]mkn06!#ref!</definedName>
    <definedName name="__8__123Graph_BCHART_2" hidden="1" function="0" vbProcedure="0">'[21]case sjac 19'!#ref!</definedName>
    <definedName name="__A4" hidden="1" function="0" vbProcedure="0">[100]Run!$B$18:$B$512</definedName>
    <definedName name="__ANC2" hidden="0" function="0" vbProcedure="0">[18]sheet1!#ref!</definedName>
    <definedName name="__bb2789" hidden="0" function="0" vbProcedure="0">[14]!Calculate_Pipe</definedName>
    <definedName name="__Csg1" hidden="0" function="0" vbProcedure="0">#ref!</definedName>
    <definedName name="__Csg2" hidden="0" function="0" vbProcedure="0">#ref!</definedName>
    <definedName name="__Csg3" hidden="0" function="0" vbProcedure="0">#ref!</definedName>
    <definedName name="__DAT1" hidden="0" function="0" vbProcedure="0">#ref!</definedName>
    <definedName name="__DAT10" hidden="0" function="0" vbProcedure="0">#ref!</definedName>
    <definedName name="__DAT11" hidden="0" function="0" vbProcedure="0">#ref!</definedName>
    <definedName name="__DAT12" hidden="0" function="0" vbProcedure="0">#ref!</definedName>
    <definedName name="__DAT13" hidden="0" function="0" vbProcedure="0">#ref!</definedName>
    <definedName name="__DAT14" hidden="0" function="0" vbProcedure="0">#ref!</definedName>
    <definedName name="__DAT15" hidden="0" function="0" vbProcedure="0">#ref!</definedName>
    <definedName name="__DAT16" hidden="0" function="0" vbProcedure="0">#ref!</definedName>
    <definedName name="__DAT2" hidden="0" function="0" vbProcedure="0">#ref!</definedName>
    <definedName name="__DAT3" hidden="0" function="0" vbProcedure="0">#ref!</definedName>
    <definedName name="__DAT4" hidden="0" function="0" vbProcedure="0">#ref!</definedName>
    <definedName name="__DAT5" hidden="0" function="0" vbProcedure="0">#ref!</definedName>
    <definedName name="__DAT6" hidden="0" function="0" vbProcedure="0">#ref!</definedName>
    <definedName name="__DAT7" hidden="0" function="0" vbProcedure="0">#ref!</definedName>
    <definedName name="__DAT8" hidden="0" function="0" vbProcedure="0">#ref!</definedName>
    <definedName name="__DAT9" hidden="0" function="0" vbProcedure="0">#ref!</definedName>
    <definedName name="__gas1013" hidden="0" function="0" vbProcedure="0">'[28]calculo de gas total'!#ref!</definedName>
    <definedName name="__GAS1016" hidden="0" function="0" vbProcedure="0">'[29]calculo de gas total'!#ref!</definedName>
    <definedName name="__GAS1017" hidden="0" function="0" vbProcedure="0">'[29]calculo de gas total'!#ref!</definedName>
    <definedName name="__GAS1101" hidden="0" function="0" vbProcedure="0">'[29]calculo de gas total'!#ref!</definedName>
    <definedName name="__GAS1102" hidden="0" function="0" vbProcedure="0">'[29]calculo de gas total'!#ref!</definedName>
    <definedName name="__GAS1200" hidden="0" function="0" vbProcedure="0">'[29]calculo de gas total'!#ref!</definedName>
    <definedName name="__GAS1201" hidden="0" function="0" vbProcedure="0">'[29]calculo de gas total'!#ref!</definedName>
    <definedName name="__GAS1401" hidden="0" function="0" vbProcedure="0">'[29]calculo de gas total'!#ref!</definedName>
    <definedName name="__GAS1611" hidden="0" function="0" vbProcedure="0">'[29]calculo de gas total'!#ref!</definedName>
    <definedName name="__GAS1612" hidden="0" function="0" vbProcedure="0">'[29]calculo de gas total'!#ref!</definedName>
    <definedName name="__GAS1706" hidden="0" function="0" vbProcedure="0">'[29]calculo de gas total'!#ref!</definedName>
    <definedName name="__GAS1707" hidden="0" function="0" vbProcedure="0">'[29]calculo de gas total'!#ref!</definedName>
    <definedName name="__GAS1751" hidden="0" function="0" vbProcedure="0">'[29]calculo de gas total'!#ref!</definedName>
    <definedName name="__GAS1773" hidden="0" function="0" vbProcedure="0">'[29]calculo de gas total'!#ref!</definedName>
    <definedName name="__gas2020" hidden="0" function="0" vbProcedure="0">'[28]calculo de gas total'!#ref!</definedName>
    <definedName name="__gas6969" hidden="0" function="0" vbProcedure="0">'[28]calculo de gas total'!#ref!</definedName>
    <definedName name="__GAS7117" hidden="0" function="0" vbProcedure="0">'[29]calculo de gas total'!#ref!</definedName>
    <definedName name="__GAS7118" hidden="0" function="0" vbProcedure="0">'[29]calculo de gas total'!#ref!</definedName>
    <definedName name="__gs243" hidden="0" function="0" vbProcedure="0">'[30]calculo de gas total'!#ref!</definedName>
    <definedName name="__JE1" hidden="0" function="0" vbProcedure="0">'[4]cumulative temp diff'!#ref!</definedName>
    <definedName name="__JE2" hidden="0" function="0" vbProcedure="0">'[4]cumulative temp diff'!#ref!</definedName>
    <definedName name="__Mes1" hidden="0" function="0" vbProcedure="0">#ref!</definedName>
    <definedName name="__Mes2" hidden="0" function="0" vbProcedure="0">#ref!</definedName>
    <definedName name="__Mes3" hidden="0" function="0" vbProcedure="0">#ref!</definedName>
    <definedName name="__Mes4" hidden="0" function="0" vbProcedure="0">#ref!</definedName>
    <definedName name="__Mo2" hidden="0" function="0" vbProcedure="0">#ref!</definedName>
    <definedName name="__Mo3" hidden="0" function="0" vbProcedure="0">#ref!</definedName>
    <definedName name="__ms6" hidden="0" function="0" vbProcedure="0">[17]milestone!#ref!</definedName>
    <definedName name="__ms7" hidden="0" function="0" vbProcedure="0">[17]milestone!#ref!</definedName>
    <definedName name="__num15" hidden="0" function="0" vbProcedure="0">'[31]data '!#ref!</definedName>
    <definedName name="__PET1" hidden="0" function="0" vbProcedure="0">#ref!</definedName>
    <definedName name="__PM1" hidden="0" function="0" vbProcedure="0">#ref!</definedName>
    <definedName name="__PM2" hidden="0" function="0" vbProcedure="0">#ref!</definedName>
    <definedName name="__pp1" hidden="0" function="0" vbProcedure="0">#N/A</definedName>
    <definedName name="__REG1773" hidden="0" function="0" vbProcedure="0">'[29]calculo de gas total'!#ref!</definedName>
    <definedName name="__Rmk1" hidden="0" function="0" vbProcedure="0">#ref!</definedName>
    <definedName name="__Rmk11" hidden="0" function="0" vbProcedure="0">#ref!</definedName>
    <definedName name="__Rmk12" hidden="0" function="0" vbProcedure="0">#ref!</definedName>
    <definedName name="__Rmk13" hidden="0" function="0" vbProcedure="0">#ref!</definedName>
    <definedName name="__Rmk14" hidden="0" function="0" vbProcedure="0">#ref!</definedName>
    <definedName name="__Rmk15" hidden="0" function="0" vbProcedure="0">#ref!</definedName>
    <definedName name="__Rmk16" hidden="0" function="0" vbProcedure="0">#ref!</definedName>
    <definedName name="__Rmk17" hidden="0" function="0" vbProcedure="0">#ref!</definedName>
    <definedName name="__Rmk18" hidden="0" function="0" vbProcedure="0">#ref!</definedName>
    <definedName name="__Rmk19" hidden="0" function="0" vbProcedure="0">#ref!</definedName>
    <definedName name="__Rmk2" hidden="0" function="0" vbProcedure="0">#ref!</definedName>
    <definedName name="__Rmk3" hidden="0" function="0" vbProcedure="0">#ref!</definedName>
    <definedName name="__Rmk4" hidden="0" function="0" vbProcedure="0">#ref!</definedName>
    <definedName name="__Rmk5" hidden="0" function="0" vbProcedure="0">#ref!</definedName>
    <definedName name="__Rmk6" hidden="0" function="0" vbProcedure="0">#ref!</definedName>
    <definedName name="__Rmk7" hidden="0" function="0" vbProcedure="0">#ref!</definedName>
    <definedName name="__Rmk8" hidden="0" function="0" vbProcedure="0">#ref!</definedName>
    <definedName name="__Rmk9" hidden="0" function="0" vbProcedure="0">#ref!</definedName>
    <definedName name="__RO1" hidden="0" function="0" vbProcedure="0">#ref!</definedName>
    <definedName name="__RO10" hidden="0" function="0" vbProcedure="0">#ref!</definedName>
    <definedName name="__RO2" hidden="0" function="0" vbProcedure="0">#ref!</definedName>
    <definedName name="__RO3" hidden="0" function="0" vbProcedure="0">#ref!</definedName>
    <definedName name="__RO4" hidden="0" function="0" vbProcedure="0">#ref!</definedName>
    <definedName name="__RO5" hidden="0" function="0" vbProcedure="0">#ref!</definedName>
    <definedName name="__RO6" hidden="0" function="0" vbProcedure="0">#ref!</definedName>
    <definedName name="__RO7" hidden="0" function="0" vbProcedure="0">#ref!</definedName>
    <definedName name="__RO8" hidden="0" function="0" vbProcedure="0">#ref!</definedName>
    <definedName name="__RO9" hidden="0" function="0" vbProcedure="0">#ref!</definedName>
    <definedName name="__SPM1" hidden="0" function="0" vbProcedure="0">[16]!Macro1</definedName>
    <definedName name="__TST2" hidden="0" function="0" vbProcedure="0">#ref!</definedName>
    <definedName name="__TT2" hidden="0" function="0" vbProcedure="0">#ref!</definedName>
    <definedName name="__UA38" hidden="0" function="0" vbProcedure="0">[26]!__UA38</definedName>
    <definedName name="__vol1" hidden="0" function="0" vbProcedure="0">#ref!</definedName>
    <definedName name="__vol2" hidden="0" function="0" vbProcedure="0">#ref!</definedName>
    <definedName name="__vol3" hidden="0" function="0" vbProcedure="0">#ref!</definedName>
    <definedName name="__vol4" hidden="0" function="0" vbProcedure="0">#ref!</definedName>
    <definedName name="__vol5" hidden="0" function="0" vbProcedure="0">#ref!</definedName>
    <definedName name="__vol6" hidden="0" function="0" vbProcedure="0">#ref!</definedName>
    <definedName name="__wrn1" hidden="1" function="0" vbProcedure="0">{#N/A,#N/A,FALSE,"Volume"}</definedName>
    <definedName name="___A4" hidden="1" function="0" vbProcedure="0">[100]Run!$B$18:$B$512</definedName>
    <definedName name="___ANC2" hidden="0" function="0" vbProcedure="0">[18]sheet1!#ref!</definedName>
    <definedName name="___bb2789" hidden="0" function="0" vbProcedure="0">[14]!Calculate_Pipe</definedName>
    <definedName name="___DAT1" hidden="0" function="0" vbProcedure="0">#ref!</definedName>
    <definedName name="___DAT10" hidden="0" function="0" vbProcedure="0">#ref!</definedName>
    <definedName name="___DAT11" hidden="0" function="0" vbProcedure="0">#ref!</definedName>
    <definedName name="___DAT12" hidden="0" function="0" vbProcedure="0">#ref!</definedName>
    <definedName name="___DAT13" hidden="0" function="0" vbProcedure="0">#ref!</definedName>
    <definedName name="___DAT14" hidden="0" function="0" vbProcedure="0">#ref!</definedName>
    <definedName name="___DAT15" hidden="0" function="0" vbProcedure="0">#ref!</definedName>
    <definedName name="___DAT16" hidden="0" function="0" vbProcedure="0">#ref!</definedName>
    <definedName name="___DAT2" hidden="0" function="0" vbProcedure="0">#ref!</definedName>
    <definedName name="___DAT3" hidden="0" function="0" vbProcedure="0">#ref!</definedName>
    <definedName name="___DAT4" hidden="0" function="0" vbProcedure="0">#ref!</definedName>
    <definedName name="___DAT5" hidden="0" function="0" vbProcedure="0">#ref!</definedName>
    <definedName name="___DAT6" hidden="0" function="0" vbProcedure="0">#ref!</definedName>
    <definedName name="___DAT7" hidden="0" function="0" vbProcedure="0">#ref!</definedName>
    <definedName name="___DAT8" hidden="0" function="0" vbProcedure="0">#ref!</definedName>
    <definedName name="___DAT9" hidden="0" function="0" vbProcedure="0">#ref!</definedName>
    <definedName name="___JE1" hidden="0" function="0" vbProcedure="0">'[4]cumulative temp diff'!#ref!</definedName>
    <definedName name="___JE2" hidden="0" function="0" vbProcedure="0">'[4]cumulative temp diff'!#ref!</definedName>
    <definedName name="___ms6" hidden="0" function="0" vbProcedure="0">[17]milestone!#ref!</definedName>
    <definedName name="___ms7" hidden="0" function="0" vbProcedure="0">[17]milestone!#ref!</definedName>
    <definedName name="___RO1" hidden="0" function="0" vbProcedure="0">#ref!</definedName>
    <definedName name="___RO10" hidden="0" function="0" vbProcedure="0">#ref!</definedName>
    <definedName name="___RO2" hidden="0" function="0" vbProcedure="0">#ref!</definedName>
    <definedName name="___RO5" hidden="0" function="0" vbProcedure="0">#ref!</definedName>
    <definedName name="___RO6" hidden="0" function="0" vbProcedure="0">#ref!</definedName>
    <definedName name="___RO7" hidden="0" function="0" vbProcedure="0">#ref!</definedName>
    <definedName name="___RO8" hidden="0" function="0" vbProcedure="0">#ref!</definedName>
    <definedName name="___RO9" hidden="0" function="0" vbProcedure="0">#ref!</definedName>
    <definedName name="___SPM1" hidden="0" function="0" vbProcedure="0">[16]!Macro1</definedName>
    <definedName name="___TST2" hidden="0" function="0" vbProcedure="0">#ref!</definedName>
    <definedName name="___vol1" hidden="0" function="0" vbProcedure="0">#ref!</definedName>
    <definedName name="___vol2" hidden="0" function="0" vbProcedure="0">#ref!</definedName>
    <definedName name="___vol3" hidden="0" function="0" vbProcedure="0">#ref!</definedName>
    <definedName name="___vol4" hidden="0" function="0" vbProcedure="0">#ref!</definedName>
    <definedName name="___vol5" hidden="0" function="0" vbProcedure="0">#ref!</definedName>
    <definedName name="___vol6" hidden="0" function="0" vbProcedure="0">#ref!</definedName>
    <definedName name="___wrn1" hidden="1" function="0" vbProcedure="0">{#N/A,#N/A,FALSE,"Volume"}</definedName>
    <definedName name="____A4" hidden="1" function="0" vbProcedure="0">[100]Run!$B$18:$B$512</definedName>
    <definedName name="____bb2789" hidden="0" function="0" vbProcedure="0">[14]!Calculate_Pipe</definedName>
    <definedName name="____DAT1" hidden="0" function="0" vbProcedure="0">#ref!</definedName>
    <definedName name="____DAT10" hidden="0" function="0" vbProcedure="0">#ref!</definedName>
    <definedName name="____DAT11" hidden="0" function="0" vbProcedure="0">#ref!</definedName>
    <definedName name="____DAT12" hidden="0" function="0" vbProcedure="0">#ref!</definedName>
    <definedName name="____DAT13" hidden="0" function="0" vbProcedure="0">#ref!</definedName>
    <definedName name="____DAT14" hidden="0" function="0" vbProcedure="0">#ref!</definedName>
    <definedName name="____DAT15" hidden="0" function="0" vbProcedure="0">#ref!</definedName>
    <definedName name="____DAT16" hidden="0" function="0" vbProcedure="0">#ref!</definedName>
    <definedName name="____DAT2" hidden="0" function="0" vbProcedure="0">#ref!</definedName>
    <definedName name="____DAT3" hidden="0" function="0" vbProcedure="0">#ref!</definedName>
    <definedName name="____DAT4" hidden="0" function="0" vbProcedure="0">#ref!</definedName>
    <definedName name="____DAT5" hidden="0" function="0" vbProcedure="0">#ref!</definedName>
    <definedName name="____DAT6" hidden="0" function="0" vbProcedure="0">#ref!</definedName>
    <definedName name="____DAT7" hidden="0" function="0" vbProcedure="0">#ref!</definedName>
    <definedName name="____DAT8" hidden="0" function="0" vbProcedure="0">#ref!</definedName>
    <definedName name="____DAT9" hidden="0" function="0" vbProcedure="0">#ref!</definedName>
    <definedName name="____ms6" hidden="0" function="0" vbProcedure="0">[17]milestone!#ref!</definedName>
    <definedName name="____ms7" hidden="0" function="0" vbProcedure="0">[17]milestone!#ref!</definedName>
    <definedName name="____SPM1" hidden="0" function="0" vbProcedure="0">[16]!Macro1</definedName>
    <definedName name="____TST2" hidden="0" function="0" vbProcedure="0">#ref!</definedName>
    <definedName name="____wrn1" hidden="1" function="0" vbProcedure="0">{#N/A,#N/A,FALSE,"Volume"}</definedName>
    <definedName name="_____A4" hidden="1" function="0" vbProcedure="0">[100]Run!$B$18:$B$512</definedName>
    <definedName name="_____bb2789" hidden="0" function="0" vbProcedure="0">[14]!Calculate_Pipe</definedName>
    <definedName name="_____DAT1" hidden="0" function="0" vbProcedure="0">#ref!</definedName>
    <definedName name="_____DAT10" hidden="0" function="0" vbProcedure="0">#ref!</definedName>
    <definedName name="_____DAT11" hidden="0" function="0" vbProcedure="0">#ref!</definedName>
    <definedName name="_____DAT12" hidden="0" function="0" vbProcedure="0">#ref!</definedName>
    <definedName name="_____DAT13" hidden="0" function="0" vbProcedure="0">#ref!</definedName>
    <definedName name="_____DAT14" hidden="0" function="0" vbProcedure="0">#ref!</definedName>
    <definedName name="_____DAT15" hidden="0" function="0" vbProcedure="0">#ref!</definedName>
    <definedName name="_____DAT16" hidden="0" function="0" vbProcedure="0">#ref!</definedName>
    <definedName name="_____DAT2" hidden="0" function="0" vbProcedure="0">#ref!</definedName>
    <definedName name="_____DAT3" hidden="0" function="0" vbProcedure="0">#ref!</definedName>
    <definedName name="_____DAT4" hidden="0" function="0" vbProcedure="0">#ref!</definedName>
    <definedName name="_____DAT5" hidden="0" function="0" vbProcedure="0">#ref!</definedName>
    <definedName name="_____DAT6" hidden="0" function="0" vbProcedure="0">#ref!</definedName>
    <definedName name="_____DAT7" hidden="0" function="0" vbProcedure="0">#ref!</definedName>
    <definedName name="_____DAT8" hidden="0" function="0" vbProcedure="0">#ref!</definedName>
    <definedName name="_____DAT9" hidden="0" function="0" vbProcedure="0">#ref!</definedName>
    <definedName name="_____ms6" hidden="0" function="0" vbProcedure="0">[17]milestone!#ref!</definedName>
    <definedName name="_____ms7" hidden="0" function="0" vbProcedure="0">[17]milestone!#ref!</definedName>
    <definedName name="_____SPM1" hidden="0" function="0" vbProcedure="0">[16]!Macro1</definedName>
    <definedName name="_____TST2" hidden="0" function="0" vbProcedure="0">#ref!</definedName>
    <definedName name="_____wrn1" hidden="1" function="0" vbProcedure="0">{#N/A,#N/A,FALSE,"Volume"}</definedName>
    <definedName name="______A4" hidden="1" function="0" vbProcedure="0">[100]Run!$B$18:$B$512</definedName>
    <definedName name="______bb2789" hidden="0" function="0" vbProcedure="0">[14]!Calculate_Pipe</definedName>
    <definedName name="______DAT1" hidden="0" function="0" vbProcedure="0">#ref!</definedName>
    <definedName name="______DAT10" hidden="0" function="0" vbProcedure="0">#ref!</definedName>
    <definedName name="______DAT11" hidden="0" function="0" vbProcedure="0">#ref!</definedName>
    <definedName name="______DAT12" hidden="0" function="0" vbProcedure="0">#ref!</definedName>
    <definedName name="______DAT13" hidden="0" function="0" vbProcedure="0">#ref!</definedName>
    <definedName name="______DAT14" hidden="0" function="0" vbProcedure="0">#ref!</definedName>
    <definedName name="______DAT15" hidden="0" function="0" vbProcedure="0">#ref!</definedName>
    <definedName name="______DAT16" hidden="0" function="0" vbProcedure="0">#ref!</definedName>
    <definedName name="______DAT2" hidden="0" function="0" vbProcedure="0">#ref!</definedName>
    <definedName name="______DAT3" hidden="0" function="0" vbProcedure="0">#ref!</definedName>
    <definedName name="______DAT4" hidden="0" function="0" vbProcedure="0">#ref!</definedName>
    <definedName name="______DAT5" hidden="0" function="0" vbProcedure="0">#ref!</definedName>
    <definedName name="______DAT6" hidden="0" function="0" vbProcedure="0">#ref!</definedName>
    <definedName name="______DAT7" hidden="0" function="0" vbProcedure="0">#ref!</definedName>
    <definedName name="______DAT8" hidden="0" function="0" vbProcedure="0">#ref!</definedName>
    <definedName name="______DAT9" hidden="0" function="0" vbProcedure="0">#ref!</definedName>
    <definedName name="______ms6" hidden="0" function="0" vbProcedure="0">[15]milestone!#ref!</definedName>
    <definedName name="______ms7" hidden="0" function="0" vbProcedure="0">[15]milestone!#ref!</definedName>
    <definedName name="______SPM1" hidden="0" function="0" vbProcedure="0">[16]!Macro1</definedName>
    <definedName name="______TST2" hidden="0" function="0" vbProcedure="0">#ref!</definedName>
    <definedName name="______wrn1" hidden="1" function="0" vbProcedure="0">{#N/A,#N/A,FALSE,"Volume"}</definedName>
    <definedName name="_______A4" hidden="1" function="0" vbProcedure="0">[100]Run!$B$18:$B$512</definedName>
    <definedName name="_______bb2789" hidden="0" function="0" vbProcedure="0">[14]!Calculate_Pipe</definedName>
    <definedName name="_______TST2" hidden="0" function="0" vbProcedure="0">#ref!</definedName>
    <definedName name="_______wrn1" hidden="1" function="0" vbProcedure="0">{#N/A,#N/A,FALSE,"Volume"}</definedName>
    <definedName name="________A4" hidden="1" function="0" vbProcedure="0">[100]Run!$B$18:$B$512</definedName>
    <definedName name="________bb2789" hidden="0" function="0" vbProcedure="0">[14]!Calculate_Pipe</definedName>
    <definedName name="________wrn1" hidden="1" function="0" vbProcedure="0">{#N/A,#N/A,FALSE,"Volume"}</definedName>
    <definedName name="________wrn2" hidden="1" function="0" vbProcedure="0">{#N/A,#N/A,FALSE,"Volume"}</definedName>
    <definedName name="_________A4" hidden="1" function="0" vbProcedure="0">[100]Run!$B$18:$B$512</definedName>
    <definedName name="_________bb2789" hidden="0" function="0" vbProcedure="0">[14]!Calculate_Pipe</definedName>
    <definedName name="_________wrn1" hidden="1" function="0" vbProcedure="0">{#N/A,#N/A,FALSE,"Volume"}</definedName>
    <definedName name="__________A4" hidden="1" function="0" vbProcedure="0">[100]Run!$B$18:$B$512</definedName>
    <definedName name="__________bb2789" hidden="0" function="0" vbProcedure="0">[14]!Calculate_Pipe</definedName>
    <definedName name="___________A4" hidden="1" function="0" vbProcedure="0">[100]Run!$B$18:$B$512</definedName>
    <definedName name="___________bb2789" hidden="0" function="0" vbProcedure="0">[14]!Calculate_Pipe</definedName>
    <definedName name="___________wrn1" hidden="1" function="0" vbProcedure="0">{#N/A,#N/A,FALSE,"Volume"}</definedName>
    <definedName name="____________A4" hidden="1" function="0" vbProcedure="0">[100]Run!$B$18:$B$512</definedName>
    <definedName name="____________bb2789" hidden="0" function="0" vbProcedure="0">[14]!Calculate_Pipe</definedName>
    <definedName name="____________wrn1" hidden="1" function="0" vbProcedure="0">{#N/A,#N/A,FALSE,"Volume"}</definedName>
    <definedName name="_____________A4" hidden="1" function="0" vbProcedure="0">[100]Run!$B$18:$B$512</definedName>
    <definedName name="_____________bb2789" hidden="0" function="0" vbProcedure="0">[14]!Calculate_Pipe</definedName>
    <definedName name="______________A4" hidden="1" function="0" vbProcedure="0">[100]Run!$B$18:$B$512</definedName>
    <definedName name="______________bb2789" hidden="0" function="0" vbProcedure="0">[14]!Calculate_Pipe</definedName>
    <definedName name="_______________A4" hidden="1" function="0" vbProcedure="0">[100]Run!$B$18:$B$512</definedName>
    <definedName name="_______________bb2789" hidden="0" function="0" vbProcedure="0">[14]!Calculate_Pipe</definedName>
    <definedName name="________________A4" hidden="1" function="0" vbProcedure="0">[100]Run!$B$18:$B$512</definedName>
    <definedName name="________________bb2789" hidden="0" function="0" vbProcedure="0">[11]!Calculate_Pipe</definedName>
    <definedName name="_________________A4" hidden="1" function="0" vbProcedure="0">[100]Run!$B$18:$B$512</definedName>
    <definedName name="_________________bb2789" hidden="0" function="0" vbProcedure="0">[11]!Calculate_Pipe</definedName>
    <definedName name="__________________A4" hidden="1" function="0" vbProcedure="0">[100]Run!$B$18:$B$512</definedName>
    <definedName name="__________________bb2789" hidden="0" function="0" vbProcedure="0">[13]!Calculate_Pipe</definedName>
    <definedName name="___________________A4" hidden="1" function="0" vbProcedure="0">[100]Run!$B$18:$B$512</definedName>
    <definedName name="___________________bb2789" hidden="0" function="0" vbProcedure="0">[11]!Calculate_Pipe</definedName>
    <definedName name="____________________A4" hidden="1" function="0" vbProcedure="0">[100]Run!$B$18:$B$512</definedName>
    <definedName name="____________________bb2789" hidden="0" function="0" vbProcedure="0">[9]!Calculate_Pipe</definedName>
    <definedName name="_____________________A4" hidden="1" function="0" vbProcedure="0">[100]Run!$B$18:$B$512</definedName>
    <definedName name="_____________________bb2789" hidden="0" function="0" vbProcedure="0">[12]!Calculate_Pipe</definedName>
    <definedName name="______________________A4" hidden="1" function="0" vbProcedure="0">[100]Run!$B$18:$B$512</definedName>
    <definedName name="______________________bb2789" hidden="0" function="0" vbProcedure="0">[9]!Calculate_Pipe</definedName>
    <definedName name="_______________________A4" hidden="1" function="0" vbProcedure="0">[100]Run!$B$18:$B$512</definedName>
    <definedName name="_______________________bb2789" hidden="0" function="0" vbProcedure="0">[9]!Calculate_Pipe</definedName>
    <definedName name="________________________A4" hidden="1" function="0" vbProcedure="0">[100]Run!$B$18:$B$512</definedName>
    <definedName name="________________________bb2789" hidden="0" function="0" vbProcedure="0">[11]!Calculate_Pipe</definedName>
    <definedName name="_________________________A4" hidden="1" function="0" vbProcedure="0">[100]Run!$B$18:$B$512</definedName>
    <definedName name="_________________________bb2789" hidden="0" function="0" vbProcedure="0">[9]!Calculate_Pipe</definedName>
    <definedName name="__________________________A4" hidden="1" function="0" vbProcedure="0">[100]Run!$B$18:$B$512</definedName>
    <definedName name="___________________________A4" hidden="1" function="0" vbProcedure="0">[100]Run!$B$18:$B$512</definedName>
    <definedName name="____________________________A4" hidden="1" function="0" vbProcedure="0">[100]Run!$B$18:$B$512</definedName>
    <definedName name="_____________________________A4" hidden="1" function="0" vbProcedure="0">[100]Run!$B$18:$B$512</definedName>
    <definedName name="ÜK" hidden="0" function="0" vbProcedure="0">#ref!</definedName>
    <definedName name="一" hidden="0" function="0" vbProcedure="0">#ref!</definedName>
    <definedName name="伸缩短节需上提长度" hidden="0" function="0" vbProcedure="0">#ref!</definedName>
    <definedName name="伸缩短节需压缩长度" hidden="0" function="0" vbProcedure="0">#ref!</definedName>
    <definedName name="内径" hidden="0" function="0" vbProcedure="0">#ref!</definedName>
    <definedName name="可可可" hidden="0" function="0" vbProcedure="0">#ref!</definedName>
    <definedName name="司念亭" hidden="0" function="0" vbProcedure="0">#ref!</definedName>
    <definedName name="同位素应在海拔深度" hidden="0" function="0" vbProcedure="0">#ref!</definedName>
    <definedName name="啊" hidden="0" function="0" vbProcedure="0">#ref!</definedName>
    <definedName name="图7bE27井生产管柱" hidden="0" function="0" vbProcedure="0">#ref!</definedName>
    <definedName name="思念亭" hidden="0" function="0" vbProcedure="0">#ref!</definedName>
    <definedName name="所甩掉的油管长度" hidden="0" function="0" vbProcedure="0">#ref!</definedName>
    <definedName name="柴油量" hidden="0" function="0" vbProcedure="0">#ref!</definedName>
    <definedName name="校深前同位素海拔深度" hidden="0" function="0" vbProcedure="0">#ref!</definedName>
    <definedName name="歼击机" hidden="0" function="0" vbProcedure="0">#ref!</definedName>
    <definedName name="油层中部垂深" hidden="0" function="0" vbProcedure="0">#ref!</definedName>
    <definedName name="油管四通海拔" hidden="0" function="0" vbProcedure="0">#ref!</definedName>
    <definedName name="油补距及油管挂_变扣长度" hidden="0" function="0" vbProcedure="0">#ref!</definedName>
    <definedName name="渤十转盘面海拔" hidden="0" function="0" vbProcedure="0">#ref!</definedName>
    <definedName name="滑套深度" hidden="0" function="0" vbProcedure="0">#ref!</definedName>
    <definedName name="第320根方余" hidden="0" function="0" vbProcedure="0">#ref!</definedName>
    <definedName name="考虑座油管挂时油补距及油管挂_变扣长度管柱需要上提长度" hidden="0" function="0" vbProcedure="0">#ref!</definedName>
    <definedName name="起始日期" hidden="0" function="0" vbProcedure="0">#ref!</definedName>
    <definedName name="转盘面海拔" hidden="0" function="0" vbProcedure="0">#ref!</definedName>
    <definedName name="_xlnm.Print_Area" localSheetId="0">'MS2'!$A$1:$I$13</definedName>
    <definedName name="AFE19R"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2" hidden="1" function="0" vbProcedure="0">{#N/A,#N/A,FALSE,"Sheet1"}</definedName>
    <definedName name="bbb" localSheetId="2" hidden="1" function="0" vbProcedure="0">{#N/A,#N/A,FALSE,"Sheet1"}</definedName>
    <definedName name="bgn" localSheetId="2" hidden="1" function="0" vbProcedure="0">{#N/A,#N/A,FALSE,"Sheet1"}</definedName>
    <definedName name="cf" localSheetId="2" hidden="1" function="0" vbProcedure="0">{#N/A,#N/A,FALSE,"Sheet1"}</definedName>
    <definedName name="Chart" localSheetId="2" hidden="1" function="0" vbProcedure="0">{#N/A,#N/A,FALSE,"Sheet1"}</definedName>
    <definedName name="chart1" localSheetId="2" hidden="1" function="0" vbProcedure="0">{#N/A,#N/A,FALSE,"Sheet1"}</definedName>
    <definedName name="COMP" localSheetId="2" hidden="1" function="0" vbProcedure="0">{#N/A,#N/A,FALSE,"Volume"}</definedName>
    <definedName name="Conflict1" localSheetId="2" hidden="1" function="0" vbProcedure="0">{#N/A,#N/A,FALSE,"Drlg Param Run 1-1";#N/A,#N/A,FALSE,"DDR (3)";#N/A,#N/A,FALSE,"BHA AT (1)";#N/A,#N/A,FALSE,"Downlinkbha";#N/A,#N/A,FALSE,"Job Status Report"}</definedName>
    <definedName name="data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2" hidden="1" function="0" vbProcedure="0">{#N/A,#N/A,FALSE,"Sheet1"}</definedName>
    <definedName name="incrementa"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2" hidden="1" function="0" vbProcedure="0">{#N/A,#N/A,FALSE,"Sheet1"}</definedName>
    <definedName name="June" localSheetId="2" hidden="1" function="0" vbProcedure="0">{#N/A,#N/A,FALSE,"Sheet1"}</definedName>
    <definedName name="June1" localSheetId="2" hidden="1" function="0" vbProcedure="0">{#N/A,#N/A,FALSE,"Sheet1"}</definedName>
    <definedName name="mr" localSheetId="2" hidden="1" function="0" vbProcedure="0">{#N/A,#N/A,FALSE,"Sheet1"}</definedName>
    <definedName name="ng"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2" hidden="1" function="0" vbProcedure="0">{#N/A,#N/A,FALSE,"Drlg Param Run 1-1";#N/A,#N/A,FALSE,"DDR (3)";#N/A,#N/A,FALSE,"BHA AT (1)";#N/A,#N/A,FALSE,"Downlinkbha";#N/A,#N/A,FALSE,"Job Status Report"}</definedName>
    <definedName name="Para3" localSheetId="2" hidden="1" function="0" vbProcedure="0">{#N/A,#N/A,FALSE,"Drlg Param Run 1-1";#N/A,#N/A,FALSE,"DDR (3)";#N/A,#N/A,FALSE,"BHA AT (1)";#N/A,#N/A,FALSE,"Downlinkbha";#N/A,#N/A,FALSE,"Job Status Report"}</definedName>
    <definedName name="rrr" localSheetId="2" hidden="1" function="0" vbProcedure="0">{#N/A,#N/A,FALSE,"Sheet1"}</definedName>
    <definedName name="Schemati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2" hidden="1" function="0" vbProcedure="0">{#N/A,#N/A,FALSE,"Sheet1"}</definedName>
    <definedName name="Spacedout" localSheetId="2" hidden="1" function="0" vbProcedure="0">{#N/A,#N/A,FALSE,"Drlg Param Run 1-1";#N/A,#N/A,FALSE,"DDR (3)";#N/A,#N/A,FALSE,"BHA AT (1)";#N/A,#N/A,FALSE,"Downlinkbha";#N/A,#N/A,FALSE,"Job Status Report"}</definedName>
    <definedName name="targe"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2" hidden="1" function="0" vbProcedure="0">{#N/A,#N/A,FALSE,"Volume"}</definedName>
    <definedName name="TubingAverage" localSheetId="2" hidden="0" function="0" vbProcedure="0">((SUM(NosOfTubing))-(MakeupLoss*COUNT(NosOfTubing)))/COUNT(NosOfTubing)</definedName>
    <definedName name="twstes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2" hidden="0" function="0" vbProcedure="0">OFFSET(INDIRECT(ADDRESS(MATCH(Liner1_OD,Objects,0)+1,2,,,"Casing Info")),0,1,COUNTIF(Objects,Liner1_OD),1)</definedName>
    <definedName name="volume1" localSheetId="2" hidden="1" function="0" vbProcedure="0">{#N/A,#N/A,FALSE,"Volume"}</definedName>
    <definedName name="well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2" hidden="1" function="0" vbProcedure="0">{#N/A,#N/A,TRUE,"TOTAL";#N/A,#N/A,TRUE,"AGIBA ";#N/A,#N/A,TRUE,"AMOCO";#N/A,#N/A,TRUE,"BAPETCO";#N/A,#N/A,TRUE,"GUPCO";#N/A,#N/A,TRUE,"KHALDA";#N/A,#N/A,TRUE,"SUCO";#N/A,#N/A,TRUE,"PETROBEL";#N/A,#N/A,TRUE,"ZAFCO";#N/A,#N/A,TRUE,"TULLOW";#N/A,#N/A,TRUE,"HBS";#N/A,#N/A,TRUE,"QARUN";#N/A,#N/A,TRUE,"MISC"}</definedName>
    <definedName name="wrn.AT._.Reports." localSheetId="2" hidden="1" function="0" vbProcedure="0">{#N/A,#N/A,FALSE,"Drlg Param Run 1-1";#N/A,#N/A,FALSE,"DDR (3)";#N/A,#N/A,FALSE,"BHA AT (1)";#N/A,#N/A,FALSE,"Downlinkbha";#N/A,#N/A,FALSE,"Job Status Report"}</definedName>
    <definedName name="wrn.CD_MST." localSheetId="2" hidden="1" function="0" vbProcedure="0">{#N/A,#N/A,FALSE,"Sheet1"}</definedName>
    <definedName name="wrn.Closing._.P14Q5FY98." localSheetId="2" hidden="1" function="0" vbProcedure="0">{#N/A,#N/A,TRUE,"P14 Summary";#N/A,#N/A,TRUE,"ACT_PLAN";#N/A,#N/A,TRUE,"BESA P14";#N/A,#N/A,TRUE,"Drexel P14";#N/A,#N/A,TRUE,"BSC P14";#N/A,#N/A,TRUE,"DIRECT-P14"}</definedName>
    <definedName name="wrn.FY99._.LOCAL._.PLAN." localSheetId="2" hidden="1" function="0" vbProcedure="0">{#N/A,#N/A,TRUE,"TOTAL";#N/A,#N/A,TRUE,"AGIBA ";#N/A,#N/A,TRUE,"AMOCO";#N/A,#N/A,TRUE,"BAPETCO";#N/A,#N/A,TRUE,"ERITREA";#N/A,#N/A,TRUE,"GUPCO";#N/A,#N/A,TRUE,"I.E.O.C.";#N/A,#N/A,TRUE,"KHALDA";#N/A,#N/A,TRUE,"PETROBEL";#N/A,#N/A,TRUE,"QARUN";#N/A,#N/A,TRUE,"ZAFCO";#N/A,#N/A,TRUE,"TULLOW";#N/A,#N/A,TRUE,"MISC"}</definedName>
    <definedName name="wrn.VOLUME." localSheetId="2" hidden="1" function="0" vbProcedure="0">{#N/A,#N/A,FALSE,"Volume"}</definedName>
    <definedName name="wrn.Wellplan."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2" hidden="1" function="0" vbProcedure="0">{#N/A,#N/A,FALSE,"Drlg Param Run 1-1";#N/A,#N/A,FALSE,"DDR (3)";#N/A,#N/A,FALSE,"BHA AT (1)";#N/A,#N/A,FALSE,"Downlinkbha";#N/A,#N/A,FALSE,"Job Status Report"}</definedName>
    <definedName name="xxx" localSheetId="2" hidden="1" function="0" vbProcedure="0">{#N/A,#N/A,FALSE,"Sheet1"}</definedName>
    <definedName name="_bgn1" localSheetId="2" hidden="1" function="0" vbProcedure="0">{#N/A,#N/A,FALSE,"Sheet1"}</definedName>
    <definedName name="_cd1" localSheetId="2" hidden="1" function="0" vbProcedure="0">{#N/A,#N/A,FALSE,"Sheet1"}</definedName>
    <definedName name="_cf1" localSheetId="2" hidden="1" function="0" vbProcedure="0">{#N/A,#N/A,FALSE,"Sheet1"}</definedName>
    <definedName name="_gmh1" localSheetId="2" hidden="1" function="0" vbProcedure="0">{#N/A,#N/A,FALSE,"Sheet1"}</definedName>
    <definedName name="_wrn1" localSheetId="2" hidden="1" function="0" vbProcedure="0">{#N/A,#N/A,FALSE,"Volume"}</definedName>
    <definedName name="__wrn1" localSheetId="2" hidden="1" function="0" vbProcedure="0">{#N/A,#N/A,FALSE,"Volume"}</definedName>
    <definedName name="___wrn1" localSheetId="2" hidden="1" function="0" vbProcedure="0">{#N/A,#N/A,FALSE,"Volume"}</definedName>
    <definedName name="____wrn1" localSheetId="2" hidden="1" function="0" vbProcedure="0">{#N/A,#N/A,FALSE,"Volume"}</definedName>
    <definedName name="_____wrn1" localSheetId="2" hidden="1" function="0" vbProcedure="0">{#N/A,#N/A,FALSE,"Volume"}</definedName>
    <definedName name="______wrn1" localSheetId="2" hidden="1" function="0" vbProcedure="0">{#N/A,#N/A,FALSE,"Volume"}</definedName>
    <definedName name="_______wrn1" localSheetId="2" hidden="1" function="0" vbProcedure="0">{#N/A,#N/A,FALSE,"Volume"}</definedName>
    <definedName name="________wrn1" localSheetId="2" hidden="1" function="0" vbProcedure="0">{#N/A,#N/A,FALSE,"Volume"}</definedName>
    <definedName name="________wrn2" localSheetId="2" hidden="1" function="0" vbProcedure="0">{#N/A,#N/A,FALSE,"Volume"}</definedName>
    <definedName name="_________wrn1" localSheetId="2" hidden="1" function="0" vbProcedure="0">{#N/A,#N/A,FALSE,"Volume"}</definedName>
    <definedName name="_xlnm.Print_Titles" localSheetId="2">'SOE'!$1:$4</definedName>
    <definedName name="_xlnm.Print_Area" localSheetId="2">'SOE'!$A$1:$S$39</definedName>
    <definedName name="_xlnm.Print_Area" localSheetId="3">'Proforma'!$A$1:$F$17</definedName>
    <definedName name="AFE19R"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4" hidden="1" function="0" vbProcedure="0">{#N/A,#N/A,FALSE,"Sheet1"}</definedName>
    <definedName name="bbb" localSheetId="4" hidden="1" function="0" vbProcedure="0">{#N/A,#N/A,FALSE,"Sheet1"}</definedName>
    <definedName name="bgn" localSheetId="4" hidden="1" function="0" vbProcedure="0">{#N/A,#N/A,FALSE,"Sheet1"}</definedName>
    <definedName name="cf" localSheetId="4" hidden="1" function="0" vbProcedure="0">{#N/A,#N/A,FALSE,"Sheet1"}</definedName>
    <definedName name="Chart" localSheetId="4" hidden="1" function="0" vbProcedure="0">{#N/A,#N/A,FALSE,"Sheet1"}</definedName>
    <definedName name="chart1" localSheetId="4" hidden="1" function="0" vbProcedure="0">{#N/A,#N/A,FALSE,"Sheet1"}</definedName>
    <definedName name="COMP" localSheetId="4" hidden="1" function="0" vbProcedure="0">{#N/A,#N/A,FALSE,"Volume"}</definedName>
    <definedName name="Conflict1" localSheetId="4" hidden="1" function="0" vbProcedure="0">{#N/A,#N/A,FALSE,"Drlg Param Run 1-1";#N/A,#N/A,FALSE,"DDR (3)";#N/A,#N/A,FALSE,"BHA AT (1)";#N/A,#N/A,FALSE,"Downlinkbha";#N/A,#N/A,FALSE,"Job Status Report"}</definedName>
    <definedName name="data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4" hidden="1" function="0" vbProcedure="0">{#N/A,#N/A,FALSE,"Sheet1"}</definedName>
    <definedName name="incrementa"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4" hidden="1" function="0" vbProcedure="0">{#N/A,#N/A,FALSE,"Sheet1"}</definedName>
    <definedName name="June" localSheetId="4" hidden="1" function="0" vbProcedure="0">{#N/A,#N/A,FALSE,"Sheet1"}</definedName>
    <definedName name="June1" localSheetId="4" hidden="1" function="0" vbProcedure="0">{#N/A,#N/A,FALSE,"Sheet1"}</definedName>
    <definedName name="mr" localSheetId="4" hidden="1" function="0" vbProcedure="0">{#N/A,#N/A,FALSE,"Sheet1"}</definedName>
    <definedName name="ng"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4" hidden="1" function="0" vbProcedure="0">{#N/A,#N/A,FALSE,"Drlg Param Run 1-1";#N/A,#N/A,FALSE,"DDR (3)";#N/A,#N/A,FALSE,"BHA AT (1)";#N/A,#N/A,FALSE,"Downlinkbha";#N/A,#N/A,FALSE,"Job Status Report"}</definedName>
    <definedName name="Para3" localSheetId="4" hidden="1" function="0" vbProcedure="0">{#N/A,#N/A,FALSE,"Drlg Param Run 1-1";#N/A,#N/A,FALSE,"DDR (3)";#N/A,#N/A,FALSE,"BHA AT (1)";#N/A,#N/A,FALSE,"Downlinkbha";#N/A,#N/A,FALSE,"Job Status Report"}</definedName>
    <definedName name="rrr" localSheetId="4" hidden="1" function="0" vbProcedure="0">{#N/A,#N/A,FALSE,"Sheet1"}</definedName>
    <definedName name="Schemati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4" hidden="1" function="0" vbProcedure="0">{#N/A,#N/A,FALSE,"Sheet1"}</definedName>
    <definedName name="Spacedout" localSheetId="4" hidden="1" function="0" vbProcedure="0">{#N/A,#N/A,FALSE,"Drlg Param Run 1-1";#N/A,#N/A,FALSE,"DDR (3)";#N/A,#N/A,FALSE,"BHA AT (1)";#N/A,#N/A,FALSE,"Downlinkbha";#N/A,#N/A,FALSE,"Job Status Report"}</definedName>
    <definedName name="targe"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4" hidden="1" function="0" vbProcedure="0">{#N/A,#N/A,FALSE,"Volume"}</definedName>
    <definedName name="TubingAverage" localSheetId="4" hidden="0" function="0" vbProcedure="0">((SUM(NosOfTubing))-(MakeupLoss*COUNT(NosOfTubing)))/COUNT(NosOfTubing)</definedName>
    <definedName name="twstes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4" hidden="0" function="0" vbProcedure="0">OFFSET(INDIRECT(ADDRESS(MATCH(Liner1_OD,Objects,0)+1,2,,,"Casing Info")),0,1,COUNTIF(Objects,Liner1_OD),1)</definedName>
    <definedName name="volume1" localSheetId="4" hidden="1" function="0" vbProcedure="0">{#N/A,#N/A,FALSE,"Volume"}</definedName>
    <definedName name="well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4" hidden="1" function="0" vbProcedure="0">{#N/A,#N/A,TRUE,"TOTAL";#N/A,#N/A,TRUE,"AGIBA ";#N/A,#N/A,TRUE,"AMOCO";#N/A,#N/A,TRUE,"BAPETCO";#N/A,#N/A,TRUE,"GUPCO";#N/A,#N/A,TRUE,"KHALDA";#N/A,#N/A,TRUE,"SUCO";#N/A,#N/A,TRUE,"PETROBEL";#N/A,#N/A,TRUE,"ZAFCO";#N/A,#N/A,TRUE,"TULLOW";#N/A,#N/A,TRUE,"HBS";#N/A,#N/A,TRUE,"QARUN";#N/A,#N/A,TRUE,"MISC"}</definedName>
    <definedName name="wrn.AT._.Reports." localSheetId="4" hidden="1" function="0" vbProcedure="0">{#N/A,#N/A,FALSE,"Drlg Param Run 1-1";#N/A,#N/A,FALSE,"DDR (3)";#N/A,#N/A,FALSE,"BHA AT (1)";#N/A,#N/A,FALSE,"Downlinkbha";#N/A,#N/A,FALSE,"Job Status Report"}</definedName>
    <definedName name="wrn.CD_MST." localSheetId="4" hidden="1" function="0" vbProcedure="0">{#N/A,#N/A,FALSE,"Sheet1"}</definedName>
    <definedName name="wrn.Closing._.P14Q5FY98." localSheetId="4" hidden="1" function="0" vbProcedure="0">{#N/A,#N/A,TRUE,"P14 Summary";#N/A,#N/A,TRUE,"ACT_PLAN";#N/A,#N/A,TRUE,"BESA P14";#N/A,#N/A,TRUE,"Drexel P14";#N/A,#N/A,TRUE,"BSC P14";#N/A,#N/A,TRUE,"DIRECT-P14"}</definedName>
    <definedName name="wrn.FY99._.LOCAL._.PLAN." localSheetId="4" hidden="1" function="0" vbProcedure="0">{#N/A,#N/A,TRUE,"TOTAL";#N/A,#N/A,TRUE,"AGIBA ";#N/A,#N/A,TRUE,"AMOCO";#N/A,#N/A,TRUE,"BAPETCO";#N/A,#N/A,TRUE,"ERITREA";#N/A,#N/A,TRUE,"GUPCO";#N/A,#N/A,TRUE,"I.E.O.C.";#N/A,#N/A,TRUE,"KHALDA";#N/A,#N/A,TRUE,"PETROBEL";#N/A,#N/A,TRUE,"QARUN";#N/A,#N/A,TRUE,"ZAFCO";#N/A,#N/A,TRUE,"TULLOW";#N/A,#N/A,TRUE,"MISC"}</definedName>
    <definedName name="wrn.VOLUME." localSheetId="4" hidden="1" function="0" vbProcedure="0">{#N/A,#N/A,FALSE,"Volume"}</definedName>
    <definedName name="wrn.Wellplan."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4" hidden="1" function="0" vbProcedure="0">{#N/A,#N/A,FALSE,"Drlg Param Run 1-1";#N/A,#N/A,FALSE,"DDR (3)";#N/A,#N/A,FALSE,"BHA AT (1)";#N/A,#N/A,FALSE,"Downlinkbha";#N/A,#N/A,FALSE,"Job Status Report"}</definedName>
    <definedName name="xxx" localSheetId="4" hidden="1" function="0" vbProcedure="0">{#N/A,#N/A,FALSE,"Sheet1"}</definedName>
    <definedName name="_bgn1" localSheetId="4" hidden="1" function="0" vbProcedure="0">{#N/A,#N/A,FALSE,"Sheet1"}</definedName>
    <definedName name="_cd1" localSheetId="4" hidden="1" function="0" vbProcedure="0">{#N/A,#N/A,FALSE,"Sheet1"}</definedName>
    <definedName name="_cf1" localSheetId="4" hidden="1" function="0" vbProcedure="0">{#N/A,#N/A,FALSE,"Sheet1"}</definedName>
    <definedName name="_gmh1" localSheetId="4" hidden="1" function="0" vbProcedure="0">{#N/A,#N/A,FALSE,"Sheet1"}</definedName>
    <definedName name="_wrn1" localSheetId="4" hidden="1" function="0" vbProcedure="0">{#N/A,#N/A,FALSE,"Volume"}</definedName>
    <definedName name="__wrn1" localSheetId="4" hidden="1" function="0" vbProcedure="0">{#N/A,#N/A,FALSE,"Volume"}</definedName>
    <definedName name="___wrn1" localSheetId="4" hidden="1" function="0" vbProcedure="0">{#N/A,#N/A,FALSE,"Volume"}</definedName>
    <definedName name="____wrn1" localSheetId="4" hidden="1" function="0" vbProcedure="0">{#N/A,#N/A,FALSE,"Volume"}</definedName>
    <definedName name="_____wrn1" localSheetId="4" hidden="1" function="0" vbProcedure="0">{#N/A,#N/A,FALSE,"Volume"}</definedName>
    <definedName name="______wrn1" localSheetId="4" hidden="1" function="0" vbProcedure="0">{#N/A,#N/A,FALSE,"Volume"}</definedName>
    <definedName name="_______wrn1" localSheetId="4" hidden="1" function="0" vbProcedure="0">{#N/A,#N/A,FALSE,"Volume"}</definedName>
    <definedName name="________wrn1" localSheetId="4" hidden="1" function="0" vbProcedure="0">{#N/A,#N/A,FALSE,"Volume"}</definedName>
    <definedName name="________wrn2" localSheetId="4" hidden="1" function="0" vbProcedure="0">{#N/A,#N/A,FALSE,"Volume"}</definedName>
    <definedName name="_________wrn1" localSheetId="4" hidden="1" function="0" vbProcedure="0">{#N/A,#N/A,FALSE,"Volume"}</definedName>
    <definedName name="_xlnm.Print_Area" localSheetId="4">'ADNOC KPI'!$A$1:$I$47</definedName>
    <definedName name="AFE19R"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5" hidden="1" function="0" vbProcedure="0">{#N/A,#N/A,FALSE,"Sheet1"}</definedName>
    <definedName name="bbb" localSheetId="5" hidden="1" function="0" vbProcedure="0">{#N/A,#N/A,FALSE,"Sheet1"}</definedName>
    <definedName name="bgn" localSheetId="5" hidden="1" function="0" vbProcedure="0">{#N/A,#N/A,FALSE,"Sheet1"}</definedName>
    <definedName name="cf" localSheetId="5" hidden="1" function="0" vbProcedure="0">{#N/A,#N/A,FALSE,"Sheet1"}</definedName>
    <definedName name="Chart" localSheetId="5" hidden="1" function="0" vbProcedure="0">{#N/A,#N/A,FALSE,"Sheet1"}</definedName>
    <definedName name="chart1" localSheetId="5" hidden="1" function="0" vbProcedure="0">{#N/A,#N/A,FALSE,"Sheet1"}</definedName>
    <definedName name="COMP" localSheetId="5" hidden="1" function="0" vbProcedure="0">{#N/A,#N/A,FALSE,"Volume"}</definedName>
    <definedName name="Conflict1" localSheetId="5" hidden="1" function="0" vbProcedure="0">{#N/A,#N/A,FALSE,"Drlg Param Run 1-1";#N/A,#N/A,FALSE,"DDR (3)";#N/A,#N/A,FALSE,"BHA AT (1)";#N/A,#N/A,FALSE,"Downlinkbha";#N/A,#N/A,FALSE,"Job Status Report"}</definedName>
    <definedName name="data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5" hidden="1" function="0" vbProcedure="0">{#N/A,#N/A,FALSE,"Sheet1"}</definedName>
    <definedName name="incrementa"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5" hidden="1" function="0" vbProcedure="0">{#N/A,#N/A,FALSE,"Sheet1"}</definedName>
    <definedName name="June" localSheetId="5" hidden="1" function="0" vbProcedure="0">{#N/A,#N/A,FALSE,"Sheet1"}</definedName>
    <definedName name="June1" localSheetId="5" hidden="1" function="0" vbProcedure="0">{#N/A,#N/A,FALSE,"Sheet1"}</definedName>
    <definedName name="mr" localSheetId="5" hidden="1" function="0" vbProcedure="0">{#N/A,#N/A,FALSE,"Sheet1"}</definedName>
    <definedName name="ng"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5" hidden="1" function="0" vbProcedure="0">{#N/A,#N/A,FALSE,"Drlg Param Run 1-1";#N/A,#N/A,FALSE,"DDR (3)";#N/A,#N/A,FALSE,"BHA AT (1)";#N/A,#N/A,FALSE,"Downlinkbha";#N/A,#N/A,FALSE,"Job Status Report"}</definedName>
    <definedName name="Para3" localSheetId="5" hidden="1" function="0" vbProcedure="0">{#N/A,#N/A,FALSE,"Drlg Param Run 1-1";#N/A,#N/A,FALSE,"DDR (3)";#N/A,#N/A,FALSE,"BHA AT (1)";#N/A,#N/A,FALSE,"Downlinkbha";#N/A,#N/A,FALSE,"Job Status Report"}</definedName>
    <definedName name="rrr" localSheetId="5" hidden="1" function="0" vbProcedure="0">{#N/A,#N/A,FALSE,"Sheet1"}</definedName>
    <definedName name="Schemati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5" hidden="1" function="0" vbProcedure="0">{#N/A,#N/A,FALSE,"Sheet1"}</definedName>
    <definedName name="Spacedout" localSheetId="5" hidden="1" function="0" vbProcedure="0">{#N/A,#N/A,FALSE,"Drlg Param Run 1-1";#N/A,#N/A,FALSE,"DDR (3)";#N/A,#N/A,FALSE,"BHA AT (1)";#N/A,#N/A,FALSE,"Downlinkbha";#N/A,#N/A,FALSE,"Job Status Report"}</definedName>
    <definedName name="targe"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5" hidden="1" function="0" vbProcedure="0">{#N/A,#N/A,FALSE,"Volume"}</definedName>
    <definedName name="TubingAverage" localSheetId="5" hidden="0" function="0" vbProcedure="0">((SUM(NosOfTubing))-(MakeupLoss*COUNT(NosOfTubing)))/COUNT(NosOfTubing)</definedName>
    <definedName name="twstes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5" hidden="0" function="0" vbProcedure="0">OFFSET(INDIRECT(ADDRESS(MATCH(Liner1_OD,Objects,0)+1,2,,,"Casing Info")),0,1,COUNTIF(Objects,Liner1_OD),1)</definedName>
    <definedName name="volume1" localSheetId="5" hidden="1" function="0" vbProcedure="0">{#N/A,#N/A,FALSE,"Volume"}</definedName>
    <definedName name="well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5" hidden="1" function="0" vbProcedure="0">{#N/A,#N/A,TRUE,"TOTAL";#N/A,#N/A,TRUE,"AGIBA ";#N/A,#N/A,TRUE,"AMOCO";#N/A,#N/A,TRUE,"BAPETCO";#N/A,#N/A,TRUE,"GUPCO";#N/A,#N/A,TRUE,"KHALDA";#N/A,#N/A,TRUE,"SUCO";#N/A,#N/A,TRUE,"PETROBEL";#N/A,#N/A,TRUE,"ZAFCO";#N/A,#N/A,TRUE,"TULLOW";#N/A,#N/A,TRUE,"HBS";#N/A,#N/A,TRUE,"QARUN";#N/A,#N/A,TRUE,"MISC"}</definedName>
    <definedName name="wrn.AT._.Reports." localSheetId="5" hidden="1" function="0" vbProcedure="0">{#N/A,#N/A,FALSE,"Drlg Param Run 1-1";#N/A,#N/A,FALSE,"DDR (3)";#N/A,#N/A,FALSE,"BHA AT (1)";#N/A,#N/A,FALSE,"Downlinkbha";#N/A,#N/A,FALSE,"Job Status Report"}</definedName>
    <definedName name="wrn.CD_MST." localSheetId="5" hidden="1" function="0" vbProcedure="0">{#N/A,#N/A,FALSE,"Sheet1"}</definedName>
    <definedName name="wrn.Closing._.P14Q5FY98." localSheetId="5" hidden="1" function="0" vbProcedure="0">{#N/A,#N/A,TRUE,"P14 Summary";#N/A,#N/A,TRUE,"ACT_PLAN";#N/A,#N/A,TRUE,"BESA P14";#N/A,#N/A,TRUE,"Drexel P14";#N/A,#N/A,TRUE,"BSC P14";#N/A,#N/A,TRUE,"DIRECT-P14"}</definedName>
    <definedName name="wrn.FY99._.LOCAL._.PLAN." localSheetId="5" hidden="1" function="0" vbProcedure="0">{#N/A,#N/A,TRUE,"TOTAL";#N/A,#N/A,TRUE,"AGIBA ";#N/A,#N/A,TRUE,"AMOCO";#N/A,#N/A,TRUE,"BAPETCO";#N/A,#N/A,TRUE,"ERITREA";#N/A,#N/A,TRUE,"GUPCO";#N/A,#N/A,TRUE,"I.E.O.C.";#N/A,#N/A,TRUE,"KHALDA";#N/A,#N/A,TRUE,"PETROBEL";#N/A,#N/A,TRUE,"QARUN";#N/A,#N/A,TRUE,"ZAFCO";#N/A,#N/A,TRUE,"TULLOW";#N/A,#N/A,TRUE,"MISC"}</definedName>
    <definedName name="wrn.VOLUME." localSheetId="5" hidden="1" function="0" vbProcedure="0">{#N/A,#N/A,FALSE,"Volume"}</definedName>
    <definedName name="wrn.Wellplan."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5" hidden="1" function="0" vbProcedure="0">{#N/A,#N/A,FALSE,"Drlg Param Run 1-1";#N/A,#N/A,FALSE,"DDR (3)";#N/A,#N/A,FALSE,"BHA AT (1)";#N/A,#N/A,FALSE,"Downlinkbha";#N/A,#N/A,FALSE,"Job Status Report"}</definedName>
    <definedName name="xxx" localSheetId="5" hidden="1" function="0" vbProcedure="0">{#N/A,#N/A,FALSE,"Sheet1"}</definedName>
    <definedName name="_bgn1" localSheetId="5" hidden="1" function="0" vbProcedure="0">{#N/A,#N/A,FALSE,"Sheet1"}</definedName>
    <definedName name="_cd1" localSheetId="5" hidden="1" function="0" vbProcedure="0">{#N/A,#N/A,FALSE,"Sheet1"}</definedName>
    <definedName name="_cf1" localSheetId="5" hidden="1" function="0" vbProcedure="0">{#N/A,#N/A,FALSE,"Sheet1"}</definedName>
    <definedName name="_gmh1" localSheetId="5" hidden="1" function="0" vbProcedure="0">{#N/A,#N/A,FALSE,"Sheet1"}</definedName>
    <definedName name="_wrn1" localSheetId="5" hidden="1" function="0" vbProcedure="0">{#N/A,#N/A,FALSE,"Volume"}</definedName>
    <definedName name="__wrn1" localSheetId="5" hidden="1" function="0" vbProcedure="0">{#N/A,#N/A,FALSE,"Volume"}</definedName>
    <definedName name="___wrn1" localSheetId="5" hidden="1" function="0" vbProcedure="0">{#N/A,#N/A,FALSE,"Volume"}</definedName>
    <definedName name="____wrn1" localSheetId="5" hidden="1" function="0" vbProcedure="0">{#N/A,#N/A,FALSE,"Volume"}</definedName>
    <definedName name="_____wrn1" localSheetId="5" hidden="1" function="0" vbProcedure="0">{#N/A,#N/A,FALSE,"Volume"}</definedName>
    <definedName name="______wrn1" localSheetId="5" hidden="1" function="0" vbProcedure="0">{#N/A,#N/A,FALSE,"Volume"}</definedName>
    <definedName name="_______wrn1" localSheetId="5" hidden="1" function="0" vbProcedure="0">{#N/A,#N/A,FALSE,"Volume"}</definedName>
    <definedName name="________wrn1" localSheetId="5" hidden="1" function="0" vbProcedure="0">{#N/A,#N/A,FALSE,"Volume"}</definedName>
    <definedName name="________wrn2" localSheetId="5" hidden="1" function="0" vbProcedure="0">{#N/A,#N/A,FALSE,"Volume"}</definedName>
    <definedName name="_________wrn1" localSheetId="5" hidden="1" function="0" vbProcedure="0">{#N/A,#N/A,FALSE,"Volume"}</definedName>
    <definedName name="a" localSheetId="6" hidden="0" function="0" vbProcedure="0">!#ref!</definedName>
    <definedName name="AFE19R"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i" localSheetId="6" hidden="0" function="0" vbProcedure="0">#ref!</definedName>
    <definedName name="As" localSheetId="6" hidden="0" function="0" vbProcedure="0">#ref!</definedName>
    <definedName name="axj" localSheetId="6" hidden="1" function="0" vbProcedure="0">{#N/A,#N/A,FALSE,"Sheet1"}</definedName>
    <definedName name="bbb" localSheetId="6" hidden="1" function="0" vbProcedure="0">{#N/A,#N/A,FALSE,"Sheet1"}</definedName>
    <definedName name="bgn" localSheetId="6" hidden="1" function="0" vbProcedure="0">{#N/A,#N/A,FALSE,"Sheet1"}</definedName>
    <definedName name="cf" localSheetId="6" hidden="1" function="0" vbProcedure="0">{#N/A,#N/A,FALSE,"Sheet1"}</definedName>
    <definedName name="Chart" localSheetId="6" hidden="1" function="0" vbProcedure="0">{#N/A,#N/A,FALSE,"Sheet1"}</definedName>
    <definedName name="chart1" localSheetId="6" hidden="1" function="0" vbProcedure="0">{#N/A,#N/A,FALSE,"Sheet1"}</definedName>
    <definedName name="CHOOSE" localSheetId="6" hidden="0" function="0" vbProcedure="0">#ref!</definedName>
    <definedName name="COMP" localSheetId="6" hidden="1" function="0" vbProcedure="0">{#N/A,#N/A,FALSE,"Volume"}</definedName>
    <definedName name="Conflict1" localSheetId="6" hidden="1" function="0" vbProcedure="0">{#N/A,#N/A,FALSE,"Drlg Param Run 1-1";#N/A,#N/A,FALSE,"DDR (3)";#N/A,#N/A,FALSE,"BHA AT (1)";#N/A,#N/A,FALSE,"Downlinkbha";#N/A,#N/A,FALSE,"Job Status Report"}</definedName>
    <definedName name="CSG_ID" localSheetId="6" hidden="0" function="0" vbProcedure="0">#ref!</definedName>
    <definedName name="CSG_OD" localSheetId="6" hidden="0" function="0" vbProcedure="0">#ref!</definedName>
    <definedName name="CSG_WT" localSheetId="6" hidden="0" function="0" vbProcedure="0">#ref!</definedName>
    <definedName name="D" localSheetId="6" hidden="0" function="0" vbProcedure="0">#ref!</definedName>
    <definedName name="DA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fg" localSheetId="6" hidden="0" function="0" vbProcedure="0">#ref!</definedName>
    <definedName name="drawblanks" localSheetId="6" hidden="0" function="0" vbProcedure="0">#ref!</definedName>
    <definedName name="drawlinerfirst" localSheetId="6" hidden="0" function="0" vbProcedure="0">#ref!</definedName>
    <definedName name="drawlinersecond" localSheetId="6" hidden="0" function="0" vbProcedure="0">#ref!</definedName>
    <definedName name="drawmiscellaneous" localSheetId="6" hidden="0" function="0" vbProcedure="0">#ref!</definedName>
    <definedName name="drawproductionfirst" localSheetId="6" hidden="0" function="0" vbProcedure="0">#ref!</definedName>
    <definedName name="drawproductionsecond" localSheetId="6" hidden="0" function="0" vbProcedure="0">#ref!</definedName>
    <definedName name="drawquantum" localSheetId="6" hidden="0" function="0" vbProcedure="0">#ref!</definedName>
    <definedName name="drawscreens" localSheetId="6" hidden="0" function="0" vbProcedure="0">#ref!</definedName>
    <definedName name="drawshearsubs" localSheetId="6" hidden="0" function="0" vbProcedure="0">#ref!</definedName>
    <definedName name="drawsump" localSheetId="6" hidden="0" function="0" vbProcedure="0">#ref!</definedName>
    <definedName name="draw_blanks" localSheetId="6" hidden="0" function="0" vbProcedure="0">#ref!</definedName>
    <definedName name="draw_linerfirst" localSheetId="6" hidden="0" function="0" vbProcedure="0">#ref!</definedName>
    <definedName name="draw_linersecond" localSheetId="6" hidden="0" function="0" vbProcedure="0">#ref!</definedName>
    <definedName name="draw_miscellaneous" localSheetId="6" hidden="0" function="0" vbProcedure="0">#ref!</definedName>
    <definedName name="draw_productionfirst" localSheetId="6" hidden="0" function="0" vbProcedure="0">#ref!</definedName>
    <definedName name="draw_productionsecond" localSheetId="6" hidden="0" function="0" vbProcedure="0">#ref!</definedName>
    <definedName name="draw_quantum" localSheetId="6" hidden="0" function="0" vbProcedure="0">#ref!</definedName>
    <definedName name="draw_screens" localSheetId="6" hidden="0" function="0" vbProcedure="0">#ref!</definedName>
    <definedName name="draw_shearsubs" localSheetId="6" hidden="0" function="0" vbProcedure="0">#ref!</definedName>
    <definedName name="draw_sump" localSheetId="6" hidden="0" function="0" vbProcedure="0">#ref!</definedName>
    <definedName name="E" localSheetId="6" hidden="0" function="0" vbProcedure="0">#ref!</definedName>
    <definedName name="F" localSheetId="6" hidden="0" function="0" vbProcedure="0">#ref!</definedName>
    <definedName name="fe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ield" localSheetId="6" hidden="0" function="0" vbProcedure="0">#ref!</definedName>
    <definedName name="Gmh" localSheetId="6" hidden="1" function="0" vbProcedure="0">{#N/A,#N/A,FALSE,"Sheet1"}</definedName>
    <definedName name="incremen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6" hidden="1" function="0" vbProcedure="0">{#N/A,#N/A,FALSE,"Sheet1"}</definedName>
    <definedName name="June" localSheetId="6" hidden="1" function="0" vbProcedure="0">{#N/A,#N/A,FALSE,"Sheet1"}</definedName>
    <definedName name="June1" localSheetId="6" hidden="1" function="0" vbProcedure="0">{#N/A,#N/A,FALSE,"Sheet1"}</definedName>
    <definedName name="Macro2" localSheetId="6" hidden="0" function="0" vbProcedure="0">#ref!</definedName>
    <definedName name="Module1.draw_productionfirst" localSheetId="6" hidden="0" function="0" vbProcedure="0">#ref!</definedName>
    <definedName name="Module1.draw_productionsecond" localSheetId="6" hidden="0" function="0" vbProcedure="0">#ref!</definedName>
    <definedName name="Module4.drawblanks" localSheetId="6" hidden="0" function="0" vbProcedure="0">#ref!</definedName>
    <definedName name="Module4.drawlinerfirst" localSheetId="6" hidden="0" function="0" vbProcedure="0">#ref!</definedName>
    <definedName name="Module4.drawlinersecond" localSheetId="6" hidden="0" function="0" vbProcedure="0">#ref!</definedName>
    <definedName name="Module4.drawmiscellaneous" localSheetId="6" hidden="0" function="0" vbProcedure="0">#ref!</definedName>
    <definedName name="Module4.drawproductionfirst" localSheetId="6" hidden="0" function="0" vbProcedure="0">#ref!</definedName>
    <definedName name="Module4.drawproductionsecond" localSheetId="6" hidden="0" function="0" vbProcedure="0">#ref!</definedName>
    <definedName name="Module4.drawquantum" localSheetId="6" hidden="0" function="0" vbProcedure="0">#ref!</definedName>
    <definedName name="Module4.drawscreens" localSheetId="6" hidden="0" function="0" vbProcedure="0">#ref!</definedName>
    <definedName name="Module4.drawshearsubs" localSheetId="6" hidden="0" function="0" vbProcedure="0">#ref!</definedName>
    <definedName name="Module4.drawsump" localSheetId="6" hidden="0" function="0" vbProcedure="0">#ref!</definedName>
    <definedName name="Module4.textfive" localSheetId="6" hidden="0" function="0" vbProcedure="0">#ref!</definedName>
    <definedName name="Module4.textfivehalf" localSheetId="6" hidden="0" function="0" vbProcedure="0">#ref!</definedName>
    <definedName name="Module4.textninefiveeightfourfirst" localSheetId="6" hidden="0" function="0" vbProcedure="0">#ref!</definedName>
    <definedName name="Module4.textninefiveeightfoursecond" localSheetId="6" hidden="0" function="0" vbProcedure="0">#ref!</definedName>
    <definedName name="Module4.textninefiveeightsixfirst" localSheetId="6" hidden="0" function="0" vbProcedure="0">#ref!</definedName>
    <definedName name="Module4.textninefiveeightsixsecond" localSheetId="6" hidden="0" function="0" vbProcedure="0">#ref!</definedName>
    <definedName name="Module4.textsevenfiveeightfour" localSheetId="6" hidden="0" function="0" vbProcedure="0">#ref!</definedName>
    <definedName name="Module4.textsevenfiveeightthree" localSheetId="6" hidden="0" function="0" vbProcedure="0">#ref!</definedName>
    <definedName name="Module4.textsevenfour" localSheetId="6" hidden="0" function="0" vbProcedure="0">#ref!</definedName>
    <definedName name="Module4.textseventhree" localSheetId="6" hidden="0" function="0" vbProcedure="0">#ref!</definedName>
    <definedName name="mr" localSheetId="6" hidden="1" function="0" vbProcedure="0">{#N/A,#N/A,FALSE,"Sheet1"}</definedName>
    <definedName name="n" localSheetId="6" hidden="0" function="0" vbProcedure="0">#ref!</definedName>
    <definedName name="ng"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6" hidden="1" function="0" vbProcedure="0">{#N/A,#N/A,FALSE,"Drlg Param Run 1-1";#N/A,#N/A,FALSE,"DDR (3)";#N/A,#N/A,FALSE,"BHA AT (1)";#N/A,#N/A,FALSE,"Downlinkbha";#N/A,#N/A,FALSE,"Job Status Report"}</definedName>
    <definedName name="Para3" localSheetId="6" hidden="1" function="0" vbProcedure="0">{#N/A,#N/A,FALSE,"Drlg Param Run 1-1";#N/A,#N/A,FALSE,"DDR (3)";#N/A,#N/A,FALSE,"BHA AT (1)";#N/A,#N/A,FALSE,"Downlinkbha";#N/A,#N/A,FALSE,"Job Status Report"}</definedName>
    <definedName name="pick1_958x475_system" localSheetId="6" hidden="0" function="0" vbProcedure="0">#ref!</definedName>
    <definedName name="pick1_958x6_system" localSheetId="6" hidden="0" function="0" vbProcedure="0">#ref!</definedName>
    <definedName name="pick1_production" localSheetId="6" hidden="0" function="0" vbProcedure="0">#ref!</definedName>
    <definedName name="pick2_958x475_system" localSheetId="6" hidden="0" function="0" vbProcedure="0">#ref!</definedName>
    <definedName name="pick2_958x6_system" localSheetId="6" hidden="0" function="0" vbProcedure="0">#ref!</definedName>
    <definedName name="pick2_production" localSheetId="6" hidden="0" function="0" vbProcedure="0">#ref!</definedName>
    <definedName name="pick_512_system" localSheetId="6" hidden="0" function="0" vbProcedure="0">#ref!</definedName>
    <definedName name="pick_5_system" localSheetId="6" hidden="0" function="0" vbProcedure="0">#ref!</definedName>
    <definedName name="pick_758x314_system" localSheetId="6" hidden="0" function="0" vbProcedure="0">#ref!</definedName>
    <definedName name="pick_758x4_system" localSheetId="6" hidden="0" function="0" vbProcedure="0">#ref!</definedName>
    <definedName name="pick_7x314_system" localSheetId="6" hidden="0" function="0" vbProcedure="0">#ref!</definedName>
    <definedName name="pick_7x4_system" localSheetId="6" hidden="0" function="0" vbProcedure="0">#ref!</definedName>
    <definedName name="pick_blanks" localSheetId="6" hidden="0" function="0" vbProcedure="0">#ref!</definedName>
    <definedName name="pick_liner" localSheetId="6" hidden="0" function="0" vbProcedure="0">#ref!</definedName>
    <definedName name="pick_liner2" localSheetId="6" hidden="0" function="0" vbProcedure="0">#ref!</definedName>
    <definedName name="pick_miscellaneous" localSheetId="6" hidden="0" function="0" vbProcedure="0">#ref!</definedName>
    <definedName name="pick_quantum" localSheetId="6" hidden="0" function="0" vbProcedure="0">#ref!</definedName>
    <definedName name="pick_screens" localSheetId="6" hidden="0" function="0" vbProcedure="0">#ref!</definedName>
    <definedName name="pick_shearsubs" localSheetId="6" hidden="0" function="0" vbProcedure="0">#ref!</definedName>
    <definedName name="pick_sump" localSheetId="6" hidden="0" function="0" vbProcedure="0">#ref!</definedName>
    <definedName name="Print_Area_MI" localSheetId="6" hidden="0" function="0" vbProcedure="0">#ref!</definedName>
    <definedName name="rrr" localSheetId="6" hidden="1" function="0" vbProcedure="0">{#N/A,#N/A,FALSE,"Sheet1"}</definedName>
    <definedName name="Schemati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6" hidden="1" function="0" vbProcedure="0">{#N/A,#N/A,FALSE,"Sheet1"}</definedName>
    <definedName name="Spacedout" localSheetId="6" hidden="1" function="0" vbProcedure="0">{#N/A,#N/A,FALSE,"Drlg Param Run 1-1";#N/A,#N/A,FALSE,"DDR (3)";#N/A,#N/A,FALSE,"BHA AT (1)";#N/A,#N/A,FALSE,"Downlinkbha";#N/A,#N/A,FALSE,"Job Status Report"}</definedName>
    <definedName name="targe"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st" localSheetId="6" hidden="0" function="0" vbProcedure="0">#ref!</definedName>
    <definedName name="tes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xtfive" localSheetId="6" hidden="0" function="0" vbProcedure="0">#ref!</definedName>
    <definedName name="textfivehalf" localSheetId="6" hidden="0" function="0" vbProcedure="0">#ref!</definedName>
    <definedName name="textninefiveeightfourfirst" localSheetId="6" hidden="0" function="0" vbProcedure="0">#ref!</definedName>
    <definedName name="textninefiveeightfoursecond" localSheetId="6" hidden="0" function="0" vbProcedure="0">#ref!</definedName>
    <definedName name="textninefiveeightsixfirst" localSheetId="6" hidden="0" function="0" vbProcedure="0">#ref!</definedName>
    <definedName name="textninefiveeightsixsecond" localSheetId="6" hidden="0" function="0" vbProcedure="0">#ref!</definedName>
    <definedName name="textsevenfiveeightfour" localSheetId="6" hidden="0" function="0" vbProcedure="0">#ref!</definedName>
    <definedName name="textsevenfiveeightthree" localSheetId="6" hidden="0" function="0" vbProcedure="0">#ref!</definedName>
    <definedName name="textsevenfour" localSheetId="6" hidden="0" function="0" vbProcedure="0">#ref!</definedName>
    <definedName name="textseventhree" localSheetId="6" hidden="0" function="0" vbProcedure="0">#ref!</definedName>
    <definedName name="text_five" localSheetId="6" hidden="0" function="0" vbProcedure="0">#ref!</definedName>
    <definedName name="text_fivehalf" localSheetId="6" hidden="0" function="0" vbProcedure="0">#ref!</definedName>
    <definedName name="text_ninefiveeightfourfirst" localSheetId="6" hidden="0" function="0" vbProcedure="0">#ref!</definedName>
    <definedName name="text_ninefiveeightfoursecond" localSheetId="6" hidden="0" function="0" vbProcedure="0">#ref!</definedName>
    <definedName name="text_ninefiveeightsixfirst" localSheetId="6" hidden="0" function="0" vbProcedure="0">#ref!</definedName>
    <definedName name="text_ninefiveeightsixsecond" localSheetId="6" hidden="0" function="0" vbProcedure="0">#ref!</definedName>
    <definedName name="text_sevenfiveeightfour" localSheetId="6" hidden="0" function="0" vbProcedure="0">#ref!</definedName>
    <definedName name="text_sevenfiveeightthree" localSheetId="6" hidden="0" function="0" vbProcedure="0">#ref!</definedName>
    <definedName name="text_sevenfour" localSheetId="6" hidden="0" function="0" vbProcedure="0">#ref!</definedName>
    <definedName name="text_seventhree" localSheetId="6" hidden="0" function="0" vbProcedure="0">#ref!</definedName>
    <definedName name="Time2" localSheetId="6" hidden="1" function="0" vbProcedure="0">{#N/A,#N/A,FALSE,"Volume"}</definedName>
    <definedName name="Tubing" localSheetId="6" hidden="0" function="0" vbProcedure="0">#ref!</definedName>
    <definedName name="TubingAverage" localSheetId="6" hidden="0" function="0" vbProcedure="0">((SUM(NosOfTubing))-(MakeupLoss*COUNT(NosOfTubing)))/COUNT(NosOfTubing)</definedName>
    <definedName name="twstes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6" hidden="0" function="0" vbProcedure="0">OFFSET(INDIRECT(ADDRESS(MATCH(Liner1_OD,Objects,0)+1,2,,,"Casing Info")),0,1,COUNTIF(Objects,Liner1_OD),1)</definedName>
    <definedName name="vbcode.draw_blanks" localSheetId="6" hidden="0" function="0" vbProcedure="0">#ref!</definedName>
    <definedName name="vbcode.draw_linerfirst" localSheetId="6" hidden="0" function="0" vbProcedure="0">#ref!</definedName>
    <definedName name="vbcode.draw_linersecond" localSheetId="6" hidden="0" function="0" vbProcedure="0">#ref!</definedName>
    <definedName name="vbcode.draw_miscellaneous" localSheetId="6" hidden="0" function="0" vbProcedure="0">#ref!</definedName>
    <definedName name="vbcode.draw_productionfirst" localSheetId="6" hidden="0" function="0" vbProcedure="0">#ref!</definedName>
    <definedName name="vbcode.draw_productionsecond" localSheetId="6" hidden="0" function="0" vbProcedure="0">#ref!</definedName>
    <definedName name="vbcode.draw_quantum" localSheetId="6" hidden="0" function="0" vbProcedure="0">#ref!</definedName>
    <definedName name="vbcode.draw_screens" localSheetId="6" hidden="0" function="0" vbProcedure="0">#ref!</definedName>
    <definedName name="vbcode.draw_shearsubs" localSheetId="6" hidden="0" function="0" vbProcedure="0">#ref!</definedName>
    <definedName name="vbcode.draw_sump" localSheetId="6" hidden="0" function="0" vbProcedure="0">#ref!</definedName>
    <definedName name="vbcode.text_five" localSheetId="6" hidden="0" function="0" vbProcedure="0">#ref!</definedName>
    <definedName name="vbcode.text_fivehalf" localSheetId="6" hidden="0" function="0" vbProcedure="0">#ref!</definedName>
    <definedName name="vbcode.text_ninefiveeightfourfirst" localSheetId="6" hidden="0" function="0" vbProcedure="0">#ref!</definedName>
    <definedName name="vbcode.text_ninefiveeightfoursecond" localSheetId="6" hidden="0" function="0" vbProcedure="0">#ref!</definedName>
    <definedName name="vbcode.text_ninefiveeightsixfirst" localSheetId="6" hidden="0" function="0" vbProcedure="0">#ref!</definedName>
    <definedName name="vbcode.text_ninefiveeightsixsecond" localSheetId="6" hidden="0" function="0" vbProcedure="0">#ref!</definedName>
    <definedName name="vbcode.text_sevenfiveeightfour" localSheetId="6" hidden="0" function="0" vbProcedure="0">#ref!</definedName>
    <definedName name="vbcode.text_sevenfiveeightthree" localSheetId="6" hidden="0" function="0" vbProcedure="0">#ref!</definedName>
    <definedName name="vbcode.text_sevenfour" localSheetId="6" hidden="0" function="0" vbProcedure="0">#ref!</definedName>
    <definedName name="vbcode.text_seventhree" localSheetId="6" hidden="0" function="0" vbProcedure="0">#ref!</definedName>
    <definedName name="volume1" localSheetId="6" hidden="1" function="0" vbProcedure="0">{#N/A,#N/A,FALSE,"Volume"}</definedName>
    <definedName name="well"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_name" localSheetId="6" hidden="0" function="0" vbProcedure="0">#ref!</definedName>
    <definedName name="wrn.1999._.DIRECT._.PLAN." localSheetId="6" hidden="1" function="0" vbProcedure="0">{#N/A,#N/A,TRUE,"TOTAL";#N/A,#N/A,TRUE,"AGIBA ";#N/A,#N/A,TRUE,"AMOCO";#N/A,#N/A,TRUE,"BAPETCO";#N/A,#N/A,TRUE,"GUPCO";#N/A,#N/A,TRUE,"KHALDA";#N/A,#N/A,TRUE,"SUCO";#N/A,#N/A,TRUE,"PETROBEL";#N/A,#N/A,TRUE,"ZAFCO";#N/A,#N/A,TRUE,"TULLOW";#N/A,#N/A,TRUE,"HBS";#N/A,#N/A,TRUE,"QARUN";#N/A,#N/A,TRUE,"MISC"}</definedName>
    <definedName name="wrn.AT._.Reports." localSheetId="6" hidden="1" function="0" vbProcedure="0">{#N/A,#N/A,FALSE,"Drlg Param Run 1-1";#N/A,#N/A,FALSE,"DDR (3)";#N/A,#N/A,FALSE,"BHA AT (1)";#N/A,#N/A,FALSE,"Downlinkbha";#N/A,#N/A,FALSE,"Job Status Report"}</definedName>
    <definedName name="wrn.CD_MST." localSheetId="6" hidden="1" function="0" vbProcedure="0">{#N/A,#N/A,FALSE,"Sheet1"}</definedName>
    <definedName name="wrn.Closing._.P14Q5FY98." localSheetId="6" hidden="1" function="0" vbProcedure="0">{#N/A,#N/A,TRUE,"P14 Summary";#N/A,#N/A,TRUE,"ACT_PLAN";#N/A,#N/A,TRUE,"BESA P14";#N/A,#N/A,TRUE,"Drexel P14";#N/A,#N/A,TRUE,"BSC P14";#N/A,#N/A,TRUE,"DIRECT-P14"}</definedName>
    <definedName name="wrn.FY99._.LOCAL._.PLAN." localSheetId="6" hidden="1" function="0" vbProcedure="0">{#N/A,#N/A,TRUE,"TOTAL";#N/A,#N/A,TRUE,"AGIBA ";#N/A,#N/A,TRUE,"AMOCO";#N/A,#N/A,TRUE,"BAPETCO";#N/A,#N/A,TRUE,"ERITREA";#N/A,#N/A,TRUE,"GUPCO";#N/A,#N/A,TRUE,"I.E.O.C.";#N/A,#N/A,TRUE,"KHALDA";#N/A,#N/A,TRUE,"PETROBEL";#N/A,#N/A,TRUE,"QARUN";#N/A,#N/A,TRUE,"ZAFCO";#N/A,#N/A,TRUE,"TULLOW";#N/A,#N/A,TRUE,"MISC"}</definedName>
    <definedName name="wrn.VOLUME." localSheetId="6" hidden="1" function="0" vbProcedure="0">{#N/A,#N/A,FALSE,"Volume"}</definedName>
    <definedName name="wrn.Wellplan."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6" hidden="1" function="0" vbProcedure="0">{#N/A,#N/A,FALSE,"Drlg Param Run 1-1";#N/A,#N/A,FALSE,"DDR (3)";#N/A,#N/A,FALSE,"BHA AT (1)";#N/A,#N/A,FALSE,"Downlinkbha";#N/A,#N/A,FALSE,"Job Status Report"}</definedName>
    <definedName name="xxx" localSheetId="6" hidden="1" function="0" vbProcedure="0">{#N/A,#N/A,FALSE,"Sheet1"}</definedName>
    <definedName name="yesno" localSheetId="6" hidden="0" function="0" vbProcedure="0">#ref!</definedName>
    <definedName name="_bgn1" localSheetId="6" hidden="1" function="0" vbProcedure="0">{#N/A,#N/A,FALSE,"Sheet1"}</definedName>
    <definedName name="_cd1" localSheetId="6" hidden="1" function="0" vbProcedure="0">{#N/A,#N/A,FALSE,"Sheet1"}</definedName>
    <definedName name="_cf1" localSheetId="6" hidden="1" function="0" vbProcedure="0">{#N/A,#N/A,FALSE,"Sheet1"}</definedName>
    <definedName name="_gmh1" localSheetId="6" hidden="1" function="0" vbProcedure="0">{#N/A,#N/A,FALSE,"Sheet1"}</definedName>
    <definedName name="_Order1" localSheetId="6" hidden="1" function="0" vbProcedure="0">0</definedName>
    <definedName name="_wrn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__wrn1" localSheetId="6" hidden="1" function="0" vbProcedure="0">{#N/A,#N/A,FALSE,"Volume"}</definedName>
    <definedName name="___wrn1" localSheetId="6" hidden="1" function="0" vbProcedure="0">{#N/A,#N/A,FALSE,"Volume"}</definedName>
    <definedName name="____wrn1" localSheetId="6" hidden="1" function="0" vbProcedure="0">{#N/A,#N/A,FALSE,"Volume"}</definedName>
    <definedName name="_____wrn1" localSheetId="6" hidden="1" function="0" vbProcedure="0">{#N/A,#N/A,FALSE,"Volume"}</definedName>
    <definedName name="______wrn1" localSheetId="6" hidden="1" function="0" vbProcedure="0">{#N/A,#N/A,FALSE,"Volume"}</definedName>
    <definedName name="_______wrn1" localSheetId="6" hidden="1" function="0" vbProcedure="0">{#N/A,#N/A,FALSE,"Volume"}</definedName>
    <definedName name="________wrn1" localSheetId="6" hidden="1" function="0" vbProcedure="0">{#N/A,#N/A,FALSE,"Volume"}</definedName>
    <definedName name="________wrn2" localSheetId="6" hidden="1" function="0" vbProcedure="0">{#N/A,#N/A,FALSE,"Volume"}</definedName>
    <definedName name="_________wrn1" localSheetId="6" hidden="1" function="0" vbProcedure="0">{#N/A,#N/A,FALSE,"Volume"}</definedName>
    <definedName name="_xlnm.Print_Area" localSheetId="6">'Timesheet'!$A$1:$AO$39</definedName>
    <definedName name="AFE19R"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7" hidden="1" function="0" vbProcedure="0">{#N/A,#N/A,FALSE,"Sheet1"}</definedName>
    <definedName name="bbb" localSheetId="7" hidden="1" function="0" vbProcedure="0">{#N/A,#N/A,FALSE,"Sheet1"}</definedName>
    <definedName name="bgn" localSheetId="7" hidden="1" function="0" vbProcedure="0">{#N/A,#N/A,FALSE,"Sheet1"}</definedName>
    <definedName name="cf" localSheetId="7" hidden="1" function="0" vbProcedure="0">{#N/A,#N/A,FALSE,"Sheet1"}</definedName>
    <definedName name="Chart" localSheetId="7" hidden="1" function="0" vbProcedure="0">{#N/A,#N/A,FALSE,"Sheet1"}</definedName>
    <definedName name="chart1" localSheetId="7" hidden="1" function="0" vbProcedure="0">{#N/A,#N/A,FALSE,"Sheet1"}</definedName>
    <definedName name="COMP" localSheetId="7" hidden="1" function="0" vbProcedure="0">{#N/A,#N/A,FALSE,"Volume"}</definedName>
    <definedName name="Conflict1" localSheetId="7" hidden="1" function="0" vbProcedure="0">{#N/A,#N/A,FALSE,"Drlg Param Run 1-1";#N/A,#N/A,FALSE,"DDR (3)";#N/A,#N/A,FALSE,"BHA AT (1)";#N/A,#N/A,FALSE,"Downlinkbha";#N/A,#N/A,FALSE,"Job Status Report"}</definedName>
    <definedName name="data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7" hidden="1" function="0" vbProcedure="0">{#N/A,#N/A,FALSE,"Sheet1"}</definedName>
    <definedName name="incrementa"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7" hidden="1" function="0" vbProcedure="0">{#N/A,#N/A,FALSE,"Sheet1"}</definedName>
    <definedName name="June" localSheetId="7" hidden="1" function="0" vbProcedure="0">{#N/A,#N/A,FALSE,"Sheet1"}</definedName>
    <definedName name="June1" localSheetId="7" hidden="1" function="0" vbProcedure="0">{#N/A,#N/A,FALSE,"Sheet1"}</definedName>
    <definedName name="mr" localSheetId="7" hidden="1" function="0" vbProcedure="0">{#N/A,#N/A,FALSE,"Sheet1"}</definedName>
    <definedName name="ng"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7" hidden="1" function="0" vbProcedure="0">{#N/A,#N/A,FALSE,"Drlg Param Run 1-1";#N/A,#N/A,FALSE,"DDR (3)";#N/A,#N/A,FALSE,"BHA AT (1)";#N/A,#N/A,FALSE,"Downlinkbha";#N/A,#N/A,FALSE,"Job Status Report"}</definedName>
    <definedName name="Para3" localSheetId="7" hidden="1" function="0" vbProcedure="0">{#N/A,#N/A,FALSE,"Drlg Param Run 1-1";#N/A,#N/A,FALSE,"DDR (3)";#N/A,#N/A,FALSE,"BHA AT (1)";#N/A,#N/A,FALSE,"Downlinkbha";#N/A,#N/A,FALSE,"Job Status Report"}</definedName>
    <definedName name="rrr" localSheetId="7" hidden="1" function="0" vbProcedure="0">{#N/A,#N/A,FALSE,"Sheet1"}</definedName>
    <definedName name="Schemati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7" hidden="1" function="0" vbProcedure="0">{#N/A,#N/A,FALSE,"Sheet1"}</definedName>
    <definedName name="Spacedout" localSheetId="7" hidden="1" function="0" vbProcedure="0">{#N/A,#N/A,FALSE,"Drlg Param Run 1-1";#N/A,#N/A,FALSE,"DDR (3)";#N/A,#N/A,FALSE,"BHA AT (1)";#N/A,#N/A,FALSE,"Downlinkbha";#N/A,#N/A,FALSE,"Job Status Report"}</definedName>
    <definedName name="targe"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7" hidden="1" function="0" vbProcedure="0">{#N/A,#N/A,FALSE,"Volume"}</definedName>
    <definedName name="TubingAverage" localSheetId="7" hidden="0" function="0" vbProcedure="0">((SUM(NosOfTubing))-(MakeupLoss*COUNT(NosOfTubing)))/COUNT(NosOfTubing)</definedName>
    <definedName name="twstes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7" hidden="0" function="0" vbProcedure="0">OFFSET(INDIRECT(ADDRESS(MATCH(Liner1_OD,Objects,0)+1,2,,,"Casing Info")),0,1,COUNTIF(Objects,Liner1_OD),1)</definedName>
    <definedName name="volume1" localSheetId="7" hidden="1" function="0" vbProcedure="0">{#N/A,#N/A,FALSE,"Volume"}</definedName>
    <definedName name="well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7" hidden="1" function="0" vbProcedure="0">{#N/A,#N/A,TRUE,"TOTAL";#N/A,#N/A,TRUE,"AGIBA ";#N/A,#N/A,TRUE,"AMOCO";#N/A,#N/A,TRUE,"BAPETCO";#N/A,#N/A,TRUE,"GUPCO";#N/A,#N/A,TRUE,"KHALDA";#N/A,#N/A,TRUE,"SUCO";#N/A,#N/A,TRUE,"PETROBEL";#N/A,#N/A,TRUE,"ZAFCO";#N/A,#N/A,TRUE,"TULLOW";#N/A,#N/A,TRUE,"HBS";#N/A,#N/A,TRUE,"QARUN";#N/A,#N/A,TRUE,"MISC"}</definedName>
    <definedName name="wrn.AT._.Reports." localSheetId="7" hidden="1" function="0" vbProcedure="0">{#N/A,#N/A,FALSE,"Drlg Param Run 1-1";#N/A,#N/A,FALSE,"DDR (3)";#N/A,#N/A,FALSE,"BHA AT (1)";#N/A,#N/A,FALSE,"Downlinkbha";#N/A,#N/A,FALSE,"Job Status Report"}</definedName>
    <definedName name="wrn.CD_MST." localSheetId="7" hidden="1" function="0" vbProcedure="0">{#N/A,#N/A,FALSE,"Sheet1"}</definedName>
    <definedName name="wrn.Closing._.P14Q5FY98." localSheetId="7" hidden="1" function="0" vbProcedure="0">{#N/A,#N/A,TRUE,"P14 Summary";#N/A,#N/A,TRUE,"ACT_PLAN";#N/A,#N/A,TRUE,"BESA P14";#N/A,#N/A,TRUE,"Drexel P14";#N/A,#N/A,TRUE,"BSC P14";#N/A,#N/A,TRUE,"DIRECT-P14"}</definedName>
    <definedName name="wrn.FY99._.LOCAL._.PLAN." localSheetId="7" hidden="1" function="0" vbProcedure="0">{#N/A,#N/A,TRUE,"TOTAL";#N/A,#N/A,TRUE,"AGIBA ";#N/A,#N/A,TRUE,"AMOCO";#N/A,#N/A,TRUE,"BAPETCO";#N/A,#N/A,TRUE,"ERITREA";#N/A,#N/A,TRUE,"GUPCO";#N/A,#N/A,TRUE,"I.E.O.C.";#N/A,#N/A,TRUE,"KHALDA";#N/A,#N/A,TRUE,"PETROBEL";#N/A,#N/A,TRUE,"QARUN";#N/A,#N/A,TRUE,"ZAFCO";#N/A,#N/A,TRUE,"TULLOW";#N/A,#N/A,TRUE,"MISC"}</definedName>
    <definedName name="wrn.VOLUME." localSheetId="7" hidden="1" function="0" vbProcedure="0">{#N/A,#N/A,FALSE,"Volume"}</definedName>
    <definedName name="wrn.Wellplan."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7" hidden="1" function="0" vbProcedure="0">{#N/A,#N/A,FALSE,"Drlg Param Run 1-1";#N/A,#N/A,FALSE,"DDR (3)";#N/A,#N/A,FALSE,"BHA AT (1)";#N/A,#N/A,FALSE,"Downlinkbha";#N/A,#N/A,FALSE,"Job Status Report"}</definedName>
    <definedName name="xxx" localSheetId="7" hidden="1" function="0" vbProcedure="0">{#N/A,#N/A,FALSE,"Sheet1"}</definedName>
    <definedName name="_bgn1" localSheetId="7" hidden="1" function="0" vbProcedure="0">{#N/A,#N/A,FALSE,"Sheet1"}</definedName>
    <definedName name="_cd1" localSheetId="7" hidden="1" function="0" vbProcedure="0">{#N/A,#N/A,FALSE,"Sheet1"}</definedName>
    <definedName name="_cf1" localSheetId="7" hidden="1" function="0" vbProcedure="0">{#N/A,#N/A,FALSE,"Sheet1"}</definedName>
    <definedName name="_gmh1" localSheetId="7" hidden="1" function="0" vbProcedure="0">{#N/A,#N/A,FALSE,"Sheet1"}</definedName>
    <definedName name="_wrn1" localSheetId="7" hidden="1" function="0" vbProcedure="0">{#N/A,#N/A,FALSE,"Volume"}</definedName>
    <definedName name="__wrn1" localSheetId="7" hidden="1" function="0" vbProcedure="0">{#N/A,#N/A,FALSE,"Volume"}</definedName>
    <definedName name="___wrn1" localSheetId="7" hidden="1" function="0" vbProcedure="0">{#N/A,#N/A,FALSE,"Volume"}</definedName>
    <definedName name="____wrn1" localSheetId="7" hidden="1" function="0" vbProcedure="0">{#N/A,#N/A,FALSE,"Volume"}</definedName>
    <definedName name="_____wrn1" localSheetId="7" hidden="1" function="0" vbProcedure="0">{#N/A,#N/A,FALSE,"Volume"}</definedName>
    <definedName name="______wrn1" localSheetId="7" hidden="1" function="0" vbProcedure="0">{#N/A,#N/A,FALSE,"Volume"}</definedName>
    <definedName name="_______wrn1" localSheetId="7" hidden="1" function="0" vbProcedure="0">{#N/A,#N/A,FALSE,"Volume"}</definedName>
    <definedName name="________wrn1" localSheetId="7" hidden="1" function="0" vbProcedure="0">{#N/A,#N/A,FALSE,"Volume"}</definedName>
    <definedName name="________wrn2" localSheetId="7" hidden="1" function="0" vbProcedure="0">{#N/A,#N/A,FALSE,"Volume"}</definedName>
    <definedName name="_________wrn1" localSheetId="7" hidden="1" function="0" vbProcedure="0">{#N/A,#N/A,FALSE,"Volume"}</definedName>
    <definedName name="_xlnm.Print_Titles" localSheetId="7">'Backload'!$1:$7,'Backload'!$A:$K</definedName>
    <definedName name="_xlnm.Print_Area" localSheetId="7">'Backload'!$A$1:$K$28</definedName>
    <definedName name="a" localSheetId="8" hidden="1" function="0" vbProcedure="0">#ref!</definedName>
    <definedName name="AA" localSheetId="8" hidden="0" function="0" vbProcedure="0">#ref!</definedName>
    <definedName name="aa.macro111" localSheetId="8" hidden="0" function="0" vbProcedure="0">[48]!Prev.Macro111</definedName>
    <definedName name="aaaa" localSheetId="8" hidden="0" function="0" vbProcedure="0">[49]!Macro59</definedName>
    <definedName name="ABX" localSheetId="8" hidden="1" function="0" vbProcedure="0">[103]Run!$B$18:$B$512</definedName>
    <definedName name="addresstwo" localSheetId="8" hidden="0" function="0" vbProcedure="0">[54]data!#ref!</definedName>
    <definedName name="ADDSTAB" localSheetId="8" hidden="0" function="0" vbProcedure="0">[55]!ADDSTAB</definedName>
    <definedName name="adf" localSheetId="8" hidden="0" function="0" vbProcedure="0">[56]!Macro60</definedName>
    <definedName name="ae" localSheetId="8" hidden="0" function="0" vbProcedure="0">'[104]forecast 3YP'!$AD$6</definedName>
    <definedName name="AFE19R"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8" hidden="0" function="0" vbProcedure="0">'[44]7-30-04'!$W$55:$IV$7457</definedName>
    <definedName name="alwyn1" localSheetId="8" hidden="0" function="0" vbProcedure="0">#ref!</definedName>
    <definedName name="AMACRO.n2foam" localSheetId="8" hidden="0" function="0" vbProcedure="0">'[61]tool backload dt'!amacro.n2foam</definedName>
    <definedName name="Ambient_temp" localSheetId="8" hidden="0" function="0" vbProcedure="0">'[6]#ref'!#ref!</definedName>
    <definedName name="amis" localSheetId="8" hidden="0" function="0" vbProcedure="0">[105]Tally!$A$5:$J$825</definedName>
    <definedName name="ANDERGAUGE" localSheetId="8" hidden="0" function="0" vbProcedure="0">[55]!ANDERGAUGE</definedName>
    <definedName name="annularvol" localSheetId="8" hidden="0" function="0" vbProcedure="0">[106]Data!$F$13</definedName>
    <definedName name="Ao" localSheetId="8" hidden="0" function="0" vbProcedure="0">[107]Piston!$F$5</definedName>
    <definedName name="Ap" localSheetId="8" hidden="0" function="0" vbProcedure="0">[107]Piston!$F$6</definedName>
    <definedName name="Approver_Objectives" localSheetId="8" hidden="0" function="0" vbProcedure="0">'[70]well team goals'!#ref!</definedName>
    <definedName name="Approver_Well_Plan" localSheetId="8" hidden="0" function="0" vbProcedure="0">'[70]well team goals'!#ref!</definedName>
    <definedName name="asd" localSheetId="8" hidden="1" function="0" vbProcedure="0">#ref!</definedName>
    <definedName name="ASDA" localSheetId="8" hidden="0" function="0" vbProcedure="0">[71]!Calculate_Pipe</definedName>
    <definedName name="ASS" localSheetId="8" hidden="0" function="0" vbProcedure="0">[72]!JointNumber</definedName>
    <definedName name="Assembly1" localSheetId="8" hidden="0" function="0" vbProcedure="0">[72]!Calculate_Pipe</definedName>
    <definedName name="assy.3" localSheetId="8" hidden="0" function="0" vbProcedure="0">[72]!Calculate_Pipe</definedName>
    <definedName name="ASSY.6" localSheetId="8" hidden="0" function="0" vbProcedure="0">[72]!Calculate_Pipe</definedName>
    <definedName name="ASSY2312" localSheetId="8" hidden="0" function="0" vbProcedure="0">[27]!Macro1</definedName>
    <definedName name="ASSY7" localSheetId="8" hidden="0" function="0" vbProcedure="0">[40]!Calculate_Pipe</definedName>
    <definedName name="ASSY_098" localSheetId="8" hidden="0" function="0" vbProcedure="0">[72]!JointNumber</definedName>
    <definedName name="ASSY_122" localSheetId="8" hidden="0" function="0" vbProcedure="0">[27]!Macro1</definedName>
    <definedName name="ASSY_123" localSheetId="8" hidden="0" function="0" vbProcedure="0">[72]!JointNumber</definedName>
    <definedName name="ASSY_2111" localSheetId="8" hidden="0" function="0" vbProcedure="0">[27]!Macro1</definedName>
    <definedName name="ASSY_231" localSheetId="8" hidden="0" function="0" vbProcedure="0">[27]!Macro1</definedName>
    <definedName name="ASSY_342" localSheetId="8" hidden="0" function="0" vbProcedure="0">[27]!Macro1</definedName>
    <definedName name="ASSY_36" localSheetId="8" hidden="0" function="0" vbProcedure="0">[27]!Macro1</definedName>
    <definedName name="ASSY_4" localSheetId="8" hidden="0" function="0" vbProcedure="0">[27]!Macro1</definedName>
    <definedName name="ASSY_432" localSheetId="8" hidden="0" function="0" vbProcedure="0">[27]!Macro1</definedName>
    <definedName name="assy_5" localSheetId="8" hidden="0" function="0" vbProcedure="0">[72]!JointNumber</definedName>
    <definedName name="assy_543" localSheetId="8" hidden="0" function="0" vbProcedure="0">[72]!JointNumber</definedName>
    <definedName name="Assy_765" localSheetId="8" hidden="0" function="0" vbProcedure="0">[72]!Calculate_Pipe</definedName>
    <definedName name="ASSy_blast" localSheetId="8" hidden="0" function="0" vbProcedure="0">[72]!Calculate_Pipe</definedName>
    <definedName name="ASSY_W2" localSheetId="8" hidden="0" function="0" vbProcedure="0">[72]!Calculate_Pipe</definedName>
    <definedName name="AutoCAD" localSheetId="8" hidden="0" function="0" vbProcedure="0">[41]!AutoCAD</definedName>
    <definedName name="AutoCAD_1" localSheetId="8" hidden="0" function="0" vbProcedure="0">[27]!AutoCAD</definedName>
    <definedName name="AutoCAD_10" localSheetId="8" hidden="0" function="0" vbProcedure="0">[27]!AutoCAD</definedName>
    <definedName name="AutoCAD_11" localSheetId="8" hidden="0" function="0" vbProcedure="0">[27]!AutoCAD</definedName>
    <definedName name="AutoCAD_2" localSheetId="8" hidden="0" function="0" vbProcedure="0">[27]!AutoCAD</definedName>
    <definedName name="AutoCAD_3" localSheetId="8" hidden="0" function="0" vbProcedure="0">[27]!AutoCAD</definedName>
    <definedName name="AutoCAD_4" localSheetId="8" hidden="0" function="0" vbProcedure="0">[27]!AutoCAD</definedName>
    <definedName name="AutoCAD_5" localSheetId="8" hidden="0" function="0" vbProcedure="0">[27]!AutoCAD</definedName>
    <definedName name="AutoCAD_6" localSheetId="8" hidden="0" function="0" vbProcedure="0">[27]!AutoCAD</definedName>
    <definedName name="AutoCAD_7" localSheetId="8" hidden="0" function="0" vbProcedure="0">[27]!AutoCAD</definedName>
    <definedName name="AutoCAD_8" localSheetId="8" hidden="0" function="0" vbProcedure="0">[27]!AutoCAD</definedName>
    <definedName name="AutoCAD_9" localSheetId="8" hidden="0" function="0" vbProcedure="0">[27]!AutoCAD</definedName>
    <definedName name="Aux_BHA_ID" localSheetId="8" hidden="0" function="0" vbProcedure="0">'[108]Job Calculation Sheet'!$F$20</definedName>
    <definedName name="Aux_BHA_OD" localSheetId="8" hidden="0" function="0" vbProcedure="0">'[108]Job Calculation Sheet'!$E$20</definedName>
    <definedName name="AvgJoint" localSheetId="8" hidden="0" function="0" vbProcedure="0">[109]DATA!$BO$2:$BO$9</definedName>
    <definedName name="AvgLength" localSheetId="8" hidden="0" function="0" vbProcedure="0">'[76]casing talley'!#ref!</definedName>
    <definedName name="axj" localSheetId="8" hidden="1" function="0" vbProcedure="0">{#N/A,#N/A,FALSE,"Sheet1"}</definedName>
    <definedName name="A_L" localSheetId="8" hidden="0" function="0" vbProcedure="0">'[47]12(762mm)套管'!#ref!</definedName>
    <definedName name="b" localSheetId="8" hidden="1" function="0" vbProcedure="0">#ref!</definedName>
    <definedName name="back" localSheetId="8" hidden="0" function="0" vbProcedure="0">'[61]tool backload dt'!back</definedName>
    <definedName name="BallMaterial" localSheetId="8" hidden="0" function="0" vbProcedure="0">[109]DATA!$BL$2:$BL$11</definedName>
    <definedName name="Ballooning_Area" localSheetId="8" hidden="0" function="0" vbProcedure="0">[109]Test!$M$18</definedName>
    <definedName name="Ballseat" localSheetId="8" hidden="0" function="0" vbProcedure="0">[109]DATA!$AG$2:$AG$9</definedName>
    <definedName name="BallSize" localSheetId="8" hidden="0" function="0" vbProcedure="0">[109]DATA!$BF$3:$BF$8</definedName>
    <definedName name="basicok" localSheetId="8" hidden="0" function="0" vbProcedure="0">[27]!basicok</definedName>
    <definedName name="BBB" localSheetId="8" hidden="0" function="0" vbProcedure="0">'[110]DD Worksheet'!$C$1</definedName>
    <definedName name="bbbbb" localSheetId="8" hidden="0" function="0" vbProcedure="0">[79]!Macro61</definedName>
    <definedName name="bbllm3" localSheetId="8" hidden="0" function="0" vbProcedure="0">'[109]Metric Conversions'!$B$69</definedName>
    <definedName name="bblstk" localSheetId="8" hidden="0" function="0" vbProcedure="0">'[109]Displacement Cal.'!$B$7</definedName>
    <definedName name="BD" localSheetId="8" hidden="0" function="0" vbProcedure="0">INDEX([111]DRAW!$A$2:$B$13,MATCH([112]AUTO_DHWS!$AV$15,[111]DRAW!$A$2:$A$13,0),2)</definedName>
    <definedName name="BD_SC" localSheetId="8" hidden="0" function="0" vbProcedure="0">INDEX([111]DRAW!$A$2:$B$13,MATCH([112]AUTO_DHWS!$AV$16,[111]DRAW!$A$2:$A$13,0),2)</definedName>
    <definedName name="BD_TB" localSheetId="8" hidden="0" function="0" vbProcedure="0">INDEX([111]DRAW!$A$2:$B$13,MATCH([112]AUTO_DHWS!$AV$9,[111]DRAW!$A$2:$A$13,0),2)</definedName>
    <definedName name="bgn" localSheetId="8" hidden="1" function="0" vbProcedure="0">{#N/A,#N/A,FALSE,"Sheet1"}</definedName>
    <definedName name="BHP" localSheetId="8" hidden="0" function="0" vbProcedure="0">'[94]Job Technical Info'!$B$42</definedName>
    <definedName name="bhr" localSheetId="8" hidden="0" function="0" vbProcedure="0">#ref!</definedName>
    <definedName name="BHRR" localSheetId="8" hidden="0" function="0" vbProcedure="0">#ref!</definedName>
    <definedName name="BHServRep" localSheetId="8" hidden="0" function="0" vbProcedure="0">#ref!</definedName>
    <definedName name="BHT" localSheetId="8" hidden="0" function="0" vbProcedure="0">'[94]Job Technical Info'!$D$42</definedName>
    <definedName name="Bitsize" localSheetId="8" hidden="0" function="0" vbProcedure="0">[109]DATA!$L$2:$L$41</definedName>
    <definedName name="bj_stroke" localSheetId="8" hidden="0" function="0" vbProcedure="0">'[109]Metric Conversions'!$B$35</definedName>
    <definedName name="bj_strokez" localSheetId="8" hidden="0" function="0" vbProcedure="0">'[109]Metric Conversions'!$C$35</definedName>
    <definedName name="BJ_Tens" localSheetId="8" hidden="0" function="0" vbProcedure="0">'[109]Liner Job Info'!$P$45</definedName>
    <definedName name="blanklength" localSheetId="8" hidden="0" function="0" vbProcedure="0">'[113]#REF'!$J$13</definedName>
    <definedName name="blankod" localSheetId="8" hidden="0" function="0" vbProcedure="0">'[113]#REF'!$F$13</definedName>
    <definedName name="BLANK_COVERED_NV" localSheetId="8" hidden="0" function="0" vbProcedure="0">'[113]#REF'!$G$111</definedName>
    <definedName name="BLANK_LENGTH" localSheetId="8" hidden="0" function="0" vbProcedure="0">'[113]#REF'!$J$13</definedName>
    <definedName name="BLANK_OD" localSheetId="8" hidden="0" function="0" vbProcedure="0">'[113]#REF'!$F$13</definedName>
    <definedName name="BlFl" localSheetId="8" hidden="0" function="0" vbProcedure="0">#ref!</definedName>
    <definedName name="block" localSheetId="8" hidden="0" function="0" vbProcedure="0">[5]WTR!$I$5</definedName>
    <definedName name="Block_Field" localSheetId="8" hidden="0" function="0" vbProcedure="0">'[108]Pre-Job Info Sheet'!$D$7</definedName>
    <definedName name="BLock_TD_Wt" localSheetId="8" hidden="0" function="0" vbProcedure="0">'[30]Liner Job Info'!$D$33</definedName>
    <definedName name="Block_Wt" localSheetId="8" hidden="0" function="0" vbProcedure="0">'[109]Weight Calculations'!$H$14</definedName>
    <definedName name="bOB" localSheetId="8" hidden="0" function="0" vbProcedure="0">[114]Volumes!$K$1:$Y$76</definedName>
    <definedName name="BOT" localSheetId="8" hidden="0" function="0" vbProcedure="0">'[94]Job Technical Info'!$A$4</definedName>
    <definedName name="Bottom_Hole_Temp." localSheetId="8" hidden="0" function="0" vbProcedure="0">'[108]Pre-Job Info Sheet'!$B$34</definedName>
    <definedName name="Bottom_Perforation" localSheetId="8" hidden="0" function="0" vbProcedure="0">'[108]Pre-Job Info Sheet'!$B$29</definedName>
    <definedName name="Bottom_Shot" localSheetId="8" hidden="0" function="0" vbProcedure="0">'[108]TCP-BHA'!$H$36</definedName>
    <definedName name="BPLimit" localSheetId="8" hidden="0" function="0" vbProcedure="0">[83]!TubTable[[340]:[438]]</definedName>
    <definedName name="BR_Column" localSheetId="8" hidden="0" function="0" vbProcedure="0">null</definedName>
    <definedName name="BR_Unit" localSheetId="8" hidden="0" function="0" vbProcedure="0">null</definedName>
    <definedName name="bs" localSheetId="8" hidden="0" function="0" vbProcedure="0">'[115]Max-Torq'!$Q$79</definedName>
    <definedName name="bsw" localSheetId="8" hidden="0" function="0" vbProcedure="0">'[93]well test sheet'!#ref!</definedName>
    <definedName name="Budget_owner" localSheetId="8" hidden="0" function="0" vbProcedure="0">'[70]well specification'!#ref!</definedName>
    <definedName name="Buoyancy" localSheetId="8" hidden="0" function="0" vbProcedure="0">#ref!</definedName>
    <definedName name="Buoy_Factor" localSheetId="8" hidden="0" function="0" vbProcedure="0">'[30]Liner Job Info'!$D$32</definedName>
    <definedName name="bxf" localSheetId="8" hidden="0" function="0" vbProcedure="0">'[115]Max-Torq'!$P$62</definedName>
    <definedName name="BypassRate" localSheetId="8" hidden="0" function="0" vbProcedure="0">[83]!TubTable[[340]:[438]]</definedName>
    <definedName name="Ca" localSheetId="8" hidden="1" function="0" vbProcedure="0">{#N/A,#N/A,FALSE,"Drlg Param Run 1-1";#N/A,#N/A,FALSE,"DDR (3)";#N/A,#N/A,FALSE,"BHA AT (1)";#N/A,#N/A,FALSE,"Downlinkbha";#N/A,#N/A,FALSE,"Job Status Report"}</definedName>
    <definedName name="CABLE2_1" localSheetId="8" hidden="0" function="0" vbProcedure="0">INDEX([111]DRAW!$L$52:$M$54,MATCH([112]AUTO_DHWS!$AY$8,[111]DRAW!$L$52:$L$54,0),2)</definedName>
    <definedName name="CABLE2_2" localSheetId="8" hidden="0" function="0" vbProcedure="0">INDEX([111]DRAW!$L$52:$M$56,MATCH([112]AUTO_DHWS!$AY$9,[111]DRAW!$L$52:$L$56,0),2)</definedName>
    <definedName name="CABLE_1" localSheetId="8" hidden="0" function="0" vbProcedure="0">INDEX([111]DRAW!$L$52:$M$53,MATCH([112]AUTO_DHWS!$AY$4,[111]DRAW!$L$52:$L$53,0),2)</definedName>
    <definedName name="CABLE_2" localSheetId="8" hidden="0" function="0" vbProcedure="0">INDEX([111]DRAW!$L$52:$M$56,MATCH([112]AUTO_DHWS!$AY$5,[111]DRAW!$L$52:$L$56,0),2)</definedName>
    <definedName name="CABLE_3" localSheetId="8" hidden="0" function="0" vbProcedure="0">INDEX([111]DRAW!$M$57:$N$63,MATCH([112]AUTO_DHWS!$AY$6,[111]DRAW!$M$57:$M$63,0),2)</definedName>
    <definedName name="CalculatePipe" localSheetId="8" hidden="0" function="0" vbProcedure="0">[72]!Calculate_Pipe</definedName>
    <definedName name="Calculate_Pipe" localSheetId="8" hidden="0" function="0" vbProcedure="0">[96]!Calculate_Pipe</definedName>
    <definedName name="Cancel" localSheetId="8" hidden="0" function="0" vbProcedure="0">[97]!Cancel</definedName>
    <definedName name="Capacities" localSheetId="8"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8" hidden="0" function="0" vbProcedure="0">'[113]#REF'!$G$188</definedName>
    <definedName name="CARRIER_FL_WT" localSheetId="8" hidden="0" function="0" vbProcedure="0">'[113]#REF'!$F$67</definedName>
    <definedName name="CARR_FL_VISCOSITY" localSheetId="8" hidden="0" function="0" vbProcedure="0">'[113]#REF'!$I$106</definedName>
    <definedName name="CARR_FL_VOL_PREPACK" localSheetId="8" hidden="0" function="0" vbProcedure="0">'[113]#REF'!$F$47</definedName>
    <definedName name="Carr_fl_wt_prepack" localSheetId="8" hidden="0" function="0" vbProcedure="0">'[113]#REF'!$F$46</definedName>
    <definedName name="casingcolumn" localSheetId="8" hidden="0" function="0" vbProcedure="0">[106]Data!$J$17</definedName>
    <definedName name="casingid" localSheetId="8" hidden="0" function="0" vbProcedure="0">'[113]#REF'!$H$11</definedName>
    <definedName name="casingidref" localSheetId="8" hidden="0" function="0" vbProcedure="0">[106]Data!$GC$1</definedName>
    <definedName name="casinginfuserate" localSheetId="8" hidden="0" function="0" vbProcedure="0">'[113]#REF'!$K$50</definedName>
    <definedName name="casingliner" localSheetId="8" hidden="0" function="0" vbProcedure="0">[106]Data!$E$45</definedName>
    <definedName name="casingod" localSheetId="8" hidden="0" function="0" vbProcedure="0">'[113]#REF'!$F$11</definedName>
    <definedName name="CasingSize" localSheetId="8" hidden="0" function="0" vbProcedure="0">'[117]Well Installation Drawing'!$E$15</definedName>
    <definedName name="CasingWeight" localSheetId="8" hidden="0" function="0" vbProcedure="0">'[117]Well Installation Drawing'!$G$15</definedName>
    <definedName name="casingwt" localSheetId="8" hidden="0" function="0" vbProcedure="0">'[113]#REF'!$J$11</definedName>
    <definedName name="Casing_Collapsez" localSheetId="8" hidden="0" function="0" vbProcedure="0">'[109]Liner Job Info'!$J$14</definedName>
    <definedName name="Casing_I.D." localSheetId="8" hidden="0" function="0" vbProcedure="0">'[108]Job Calculation Sheet'!$F$13</definedName>
    <definedName name="Casing_Liner" localSheetId="8" hidden="0" function="0" vbProcedure="0">'[94]Installation Results #1'!$C$27</definedName>
    <definedName name="Casing_Size" localSheetId="8" hidden="0" function="0" vbProcedure="0">'[108]Pre-Job Info Sheet'!$D$15</definedName>
    <definedName name="Casing_Size_Weight" localSheetId="8" hidden="0" function="0" vbProcedure="0">'[108]TCP-BHA'!$I$5</definedName>
    <definedName name="Casing_Weight" localSheetId="8" hidden="0" function="0" vbProcedure="0">'[108]Pre-Job Info Sheet'!$D$16</definedName>
    <definedName name="CAS_BLNK_ANNULUS" localSheetId="8" hidden="0" function="0" vbProcedure="0">'[113]#REF'!$I$108</definedName>
    <definedName name="CAS_BLNK_VOL" localSheetId="8" hidden="0" function="0" vbProcedure="0">'[6]#ref'!#ref!</definedName>
    <definedName name="CAS_EXT_VOL" localSheetId="8" hidden="0" function="0" vbProcedure="0">'[6]#ref'!#ref!</definedName>
    <definedName name="CAS_ID" localSheetId="8" hidden="0" function="0" vbProcedure="0">'[113]#REF'!$H$11</definedName>
    <definedName name="CAS_OD" localSheetId="8" hidden="0" function="0" vbProcedure="0">'[113]#REF'!$J$11</definedName>
    <definedName name="CAS_SCR_VOL" localSheetId="8" hidden="0" function="0" vbProcedure="0">'[6]#ref'!#ref!</definedName>
    <definedName name="CAS_WT" localSheetId="8" hidden="0" function="0" vbProcedure="0">'[113]#REF'!$J$11</definedName>
    <definedName name="category" localSheetId="8" hidden="0" function="0" vbProcedure="0">[118]Sheet2!$A$70:$A$73</definedName>
    <definedName name="Cc" localSheetId="8" hidden="0" function="0" vbProcedure="0">0.3</definedName>
    <definedName name="ccc" localSheetId="8" hidden="0" function="0" vbProcedure="0">[119]钻井日报表!$I$7</definedName>
    <definedName name="ccccc" localSheetId="8" hidden="0" function="0" vbProcedure="0">[79]!Macro59</definedName>
    <definedName name="cdr" localSheetId="8" hidden="0" function="0" vbProcedure="0">'[93]well test sheet'!#ref!</definedName>
    <definedName name="CDWimdbase" localSheetId="8" hidden="0" function="0" vbProcedure="0">'[120]CD''s'!$A$2:$G$374</definedName>
    <definedName name="CementCompany" localSheetId="8" hidden="0" function="0" vbProcedure="0">[109]DATA!$BJ$2:$BJ$8</definedName>
    <definedName name="CENG" localSheetId="8" hidden="0" function="0" vbProcedure="0">[121]Reference!$A$2:$A$4</definedName>
    <definedName name="Centralizers" localSheetId="8" hidden="0" function="0" vbProcedure="0">[109]DATA!$AI$2:$AI$9</definedName>
    <definedName name="cf" localSheetId="8" hidden="1" function="0" vbProcedure="0">{#N/A,#N/A,FALSE,"Sheet1"}</definedName>
    <definedName name="Chart" localSheetId="8" hidden="1" function="0" vbProcedure="0">{#N/A,#N/A,FALSE,"Sheet1"}</definedName>
    <definedName name="chart1" localSheetId="8" hidden="1" function="0" vbProcedure="0">{#N/A,#N/A,FALSE,"Sheet1"}</definedName>
    <definedName name="Chemmac" localSheetId="8" hidden="0" function="0" vbProcedure="0">'[61]tool backload dt'!chemmac</definedName>
    <definedName name="Choice" localSheetId="8" hidden="0" function="0" vbProcedure="0">[122]Lists!$A$1:$A$3</definedName>
    <definedName name="cim" localSheetId="8" hidden="0" function="0" vbProcedure="0">[113]!Calculate_Pipe</definedName>
    <definedName name="CIPMACRO.n2foam" localSheetId="8" hidden="0" function="0" vbProcedure="0">'[61]tool backload dt'!cipmacro.n2foam</definedName>
    <definedName name="circsqz" localSheetId="8" hidden="0" function="0" vbProcedure="0">[5]WTR!$M$86</definedName>
    <definedName name="CIR_RATE_RESTRESS" localSheetId="8" hidden="0" function="0" vbProcedure="0">'[113]#REF'!$I$109</definedName>
    <definedName name="CIV" localSheetId="8" hidden="0" function="0" vbProcedure="0">INDEX([111]DRAW!$A$2:$B$13,MATCH([112]AUTO_DHWS!$AV$10,[111]DRAW!$A$2:$A$13,0),2)</definedName>
    <definedName name="CIV_2" localSheetId="8" hidden="0" function="0" vbProcedure="0">INDEX([111]DRAW!$A$2:$B$14,MATCH([112]AUTO_DHWS!$AV$14,[111]DRAW!$A$2:$A$13,0),2)</definedName>
    <definedName name="CIV_PDHG" localSheetId="8" hidden="0" function="0" vbProcedure="0">INDEX([111]DRAW!$A$2:$B$13,MATCH([112]AUTO_DHWS!$AV$11,[111]DRAW!$A$2:$A$13,0),2)</definedName>
    <definedName name="CLAMPON" localSheetId="8" hidden="0" function="0" vbProcedure="0">[55]!CLAMPON</definedName>
    <definedName name="CLEARCONTENTS" localSheetId="8" hidden="0" function="0" vbProcedure="0">[115]!CLEARCONTENTS</definedName>
    <definedName name="CLFluid1" localSheetId="8" hidden="0" function="0" vbProcedure="0">'[94]Installation Results #1'!$E$270</definedName>
    <definedName name="CLFluid10" localSheetId="8" hidden="0" function="0" vbProcedure="0">'[94]Installation Results #1'!$E$279</definedName>
    <definedName name="CLFluid11" localSheetId="8" hidden="0" function="0" vbProcedure="0">'[94]Installation Results #1'!$E$280</definedName>
    <definedName name="CLFluid12" localSheetId="8" hidden="0" function="0" vbProcedure="0">'[94]Installation Results #1'!$E$281</definedName>
    <definedName name="CLFluid13" localSheetId="8" hidden="0" function="0" vbProcedure="0">'[94]Installation Results #1'!$E$282</definedName>
    <definedName name="CLFluid14" localSheetId="8" hidden="0" function="0" vbProcedure="0">'[94]Installation Results #1'!$E$283</definedName>
    <definedName name="CLFluid15" localSheetId="8" hidden="0" function="0" vbProcedure="0">'[94]Installation Results #1'!$E$284</definedName>
    <definedName name="CLFluid2" localSheetId="8" hidden="0" function="0" vbProcedure="0">'[94]Installation Results #1'!$E$271</definedName>
    <definedName name="CLFluid3" localSheetId="8" hidden="0" function="0" vbProcedure="0">'[94]Installation Results #1'!$E$272</definedName>
    <definedName name="CLFluid4" localSheetId="8" hidden="0" function="0" vbProcedure="0">'[94]Installation Results #1'!$E$273</definedName>
    <definedName name="CLFluid5" localSheetId="8" hidden="0" function="0" vbProcedure="0">'[94]Installation Results #1'!$E$274</definedName>
    <definedName name="CLFluid6" localSheetId="8" hidden="0" function="0" vbProcedure="0">'[94]Installation Results #1'!$E$275</definedName>
    <definedName name="CLFluid7" localSheetId="8" hidden="0" function="0" vbProcedure="0">'[94]Installation Results #1'!$E$276</definedName>
    <definedName name="CLFluid8" localSheetId="8" hidden="0" function="0" vbProcedure="0">'[94]Installation Results #1'!$E$277</definedName>
    <definedName name="CLFluid9" localSheetId="8" hidden="0" function="0" vbProcedure="0">'[94]Installation Results #1'!$E$278</definedName>
    <definedName name="Clist" localSheetId="8" hidden="0" function="0" vbProcedure="0">OFFSET(INDIRECT(ADDRESS(MATCH('COVER PAGE '!CL_Wt,'COVER PAGE '!Objects,0)+1,2,,,"Casing Info")),0,1,COUNTIF('COVER PAGE '!Objects,'COVER PAGE '!CL_Wt),1)</definedName>
    <definedName name="CL_Wt" localSheetId="8" hidden="0" function="0" vbProcedure="0">'[109]Database Pg1'!$E$28</definedName>
    <definedName name="Objects" localSheetId="8" hidden="0" function="0" vbProcedure="0">'[109]Casing Info'!$B$2:$B$241</definedName>
    <definedName name="Clist2" localSheetId="8" hidden="0" function="0" vbProcedure="0">OFFSET(INDIRECT(ADDRESS(MATCH('COVER PAGE '!Hsize2,'COVER PAGE '!Objects,0)+1,2,,,"Casing Info")),0,1,COUNTIF('COVER PAGE '!Objects,'COVER PAGE '!Hsize2),1)</definedName>
    <definedName name="Hsize2" localSheetId="8" hidden="0" function="0" vbProcedure="0">'[109]Database Pg1'!$G$81</definedName>
    <definedName name="Clist3" localSheetId="8" hidden="0" function="0" vbProcedure="0">OFFSET(INDIRECT(ADDRESS(MATCH('COVER PAGE '!Hsize3,'COVER PAGE '!Objects,0)+1,2,,,"Casing Info")),0,1,COUNTIF('COVER PAGE '!Objects,'COVER PAGE '!Hsize3),1)</definedName>
    <definedName name="Hsize3" localSheetId="8" hidden="0" function="0" vbProcedure="0">'[109]Database Pg1'!$G$83</definedName>
    <definedName name="Clrmess" localSheetId="8" hidden="0" function="0" vbProcedure="0">[115]!Clrmess</definedName>
    <definedName name="CO2_" localSheetId="8" hidden="0" function="0" vbProcedure="0">'[94]Job Technical Info'!$L$42</definedName>
    <definedName name="CODELIST" localSheetId="8" hidden="0" function="0" vbProcedure="0">'[29]CODE SIN'!$A$3:$A$240</definedName>
    <definedName name="CODETAB" localSheetId="8" hidden="0" function="0" vbProcedure="0">'[29]CODE SIN'!$C$3:$AD$240</definedName>
    <definedName name="coections" localSheetId="8" hidden="0" function="0" vbProcedure="0">[27]!coections</definedName>
    <definedName name="COMP" localSheetId="8" hidden="0" function="0" vbProcedure="0">#ref!</definedName>
    <definedName name="company" localSheetId="8" hidden="0" function="0" vbProcedure="0">'[40]CPS Call Sheet'!$E$4</definedName>
    <definedName name="Company_Man" localSheetId="8" hidden="0" function="0" vbProcedure="0">'[62]Liner Job Info'!$E$7</definedName>
    <definedName name="Company_Name" localSheetId="8" hidden="0" function="0" vbProcedure="0">'[123]Liner Job Info'!$E$4</definedName>
    <definedName name="compfluidwt" localSheetId="8" hidden="0" function="0" vbProcedure="0">'[113]#REF'!$L$27</definedName>
    <definedName name="Compl._Fluid_Type" localSheetId="8" hidden="0" function="0" vbProcedure="0">'[108]Pre-Job Info Sheet'!$D$32</definedName>
    <definedName name="Compl._Fluid_Wt." localSheetId="8" hidden="0" function="0" vbProcedure="0">'[108]Pre-Job Info Sheet'!$D$33</definedName>
    <definedName name="COMPL_FL_VOL" localSheetId="8" hidden="0" function="0" vbProcedure="0">'[113]#REF'!$F$68</definedName>
    <definedName name="COMPL_FL_WT" localSheetId="8" hidden="0" function="0" vbProcedure="0">'[113]#REF'!$K$27</definedName>
    <definedName name="conections" localSheetId="8" hidden="0" function="0" vbProcedure="0">[27]!conections</definedName>
    <definedName name="Conflict1" localSheetId="8" hidden="1" function="0" vbProcedure="0">{#N/A,#N/A,FALSE,"Drlg Param Run 1-1";#N/A,#N/A,FALSE,"DDR (3)";#N/A,#N/A,FALSE,"BHA AT (1)";#N/A,#N/A,FALSE,"Downlinkbha";#N/A,#N/A,FALSE,"Job Status Report"}</definedName>
    <definedName name="conical" localSheetId="8" hidden="0" function="0" vbProcedure="0">#ref!</definedName>
    <definedName name="conref" localSheetId="8" hidden="0" function="0" vbProcedure="0">[124]Price!$A$1:$A$65536</definedName>
    <definedName name="consequence" localSheetId="8" hidden="0" function="0" vbProcedure="0">[125]Sheet2!$A$1:$A$5</definedName>
    <definedName name="contract" localSheetId="8" hidden="0" function="0" vbProcedure="0">'[126]Call Sheet'!$E$3</definedName>
    <definedName name="contractnum" localSheetId="8" hidden="0" function="0" vbProcedure="0">'[31]data '!#ref!</definedName>
    <definedName name="contractor" localSheetId="8" hidden="0" function="0" vbProcedure="0">'[126]Call Sheet'!$E$6</definedName>
    <definedName name="Coordinator" localSheetId="8" hidden="0" function="0" vbProcedure="0">'[94]Job Technical Info'!$G$10</definedName>
    <definedName name="COPYDESGN" localSheetId="8" hidden="0" function="0" vbProcedure="0">[55]!COPYDESGN</definedName>
    <definedName name="CoRep" localSheetId="8" hidden="0" function="0" vbProcedure="0">'[94]Job Technical Info'!$C$16</definedName>
    <definedName name="corrlist2" localSheetId="8" hidden="0" function="0" vbProcedure="0">OFFSET(INDIRECT(ADDRESS(MATCH('COVER PAGE '!Hsize2,'COVER PAGE '!Objects,0)+1,2,,,"Casing Info")),0,1,COUNTIF('COVER PAGE '!Objects,[27]!Liner1_OD),1)</definedName>
    <definedName name="corrlist4" localSheetId="8" hidden="0" function="0" vbProcedure="0">OFFSET(INDIRECT(ADDRESS(MATCH('COVER PAGE '!Hanger_Size,'COVER PAGE '!Objects,0)+1,2,,,"Casing Info")),0,1,COUNTIF('COVER PAGE '!Objects, 'COVER PAGE '!Hanger_Size),1)</definedName>
    <definedName name="Hanger_Size" localSheetId="8" hidden="0" function="0" vbProcedure="0">'[109]Database Pg1'!$G$79</definedName>
    <definedName name="Cotry" localSheetId="8" hidden="0" function="0" vbProcedure="0">'[109]Liner Job Info'!$E$10</definedName>
    <definedName name="Countries" localSheetId="8" hidden="0" function="0" vbProcedure="0">[109]DATA!$BR$1:$BR$196</definedName>
    <definedName name="COUNTRY" localSheetId="8" hidden="0" function="0" vbProcedure="0">'[127]Master data'!$A$2:$A$239</definedName>
    <definedName name="county" localSheetId="8" hidden="0" function="0" vbProcedure="0">'[40]CPS Call Sheet'!$P$7</definedName>
    <definedName name="Coupls" localSheetId="8" hidden="0" function="0" vbProcedure="0">#ref!</definedName>
    <definedName name="Crack_DH" localSheetId="8" hidden="0" function="0" vbProcedure="0">'[108]Tester Valve Calcs'!$F$31</definedName>
    <definedName name="Crack_Press" localSheetId="8" hidden="0" function="0" vbProcedure="0">'[108]Tester Valve Calcs'!$F$13</definedName>
    <definedName name="crs" localSheetId="8" hidden="0" function="0" vbProcedure="0">[128]RSS!$E$199:$E$205</definedName>
    <definedName name="CRS_FLOAT_VALVE" localSheetId="8" hidden="0" function="0" vbProcedure="0">[129]RSS!$O$177:$O$180</definedName>
    <definedName name="CRS_FLOW_KIT" localSheetId="8" hidden="0" function="0" vbProcedure="0">[129]RSS!$E$181:$E$184</definedName>
    <definedName name="CRS_STAB" localSheetId="8" hidden="0" function="0" vbProcedure="0">[129]RSS!$E$191:$E$197</definedName>
    <definedName name="Csg" localSheetId="8" hidden="0" function="0" vbProcedure="0">[6]Sheet1!$G$1:$G$3</definedName>
    <definedName name="CsgDrift1" localSheetId="8" hidden="0" function="0" vbProcedure="0">'[94]Job Technical Info'!$G$25</definedName>
    <definedName name="CsgDrift2" localSheetId="8" hidden="0" function="0" vbProcedure="0">'[94]Job Technical Info'!$G$26</definedName>
    <definedName name="CsgDrift3" localSheetId="8" hidden="0" function="0" vbProcedure="0">'[94]Job Technical Info'!$G$27</definedName>
    <definedName name="CsgDrift4" localSheetId="8" hidden="0" function="0" vbProcedure="0">'[94]Job Technical Info'!$G$28</definedName>
    <definedName name="CsgGrd1" localSheetId="8" hidden="0" function="0" vbProcedure="0">'[94]Job Technical Info'!$H$25</definedName>
    <definedName name="CsgGrd2" localSheetId="8" hidden="0" function="0" vbProcedure="0">'[94]Job Technical Info'!$H$26</definedName>
    <definedName name="CsgGrd3" localSheetId="8" hidden="0" function="0" vbProcedure="0">'[94]Job Technical Info'!$H$27</definedName>
    <definedName name="CsgGrd4" localSheetId="8" hidden="0" function="0" vbProcedure="0">'[94]Job Technical Info'!$H$28</definedName>
    <definedName name="CsgID1" localSheetId="8" hidden="0" function="0" vbProcedure="0">'[94]Job Technical Info'!$F$25</definedName>
    <definedName name="CsgID2" localSheetId="8" hidden="0" function="0" vbProcedure="0">'[94]Job Technical Info'!$F$26</definedName>
    <definedName name="CsgID3" localSheetId="8" hidden="0" function="0" vbProcedure="0">'[94]Job Technical Info'!$F$27</definedName>
    <definedName name="CsgID4" localSheetId="8" hidden="0" function="0" vbProcedure="0">'[94]Job Technical Info'!$F$28</definedName>
    <definedName name="CsgSz1" localSheetId="8" hidden="0" function="0" vbProcedure="0">'[94]Job Technical Info'!$D$25</definedName>
    <definedName name="CsgSz2" localSheetId="8" hidden="0" function="0" vbProcedure="0">'[94]Job Technical Info'!$D$26</definedName>
    <definedName name="CsgSz3" localSheetId="8" hidden="0" function="0" vbProcedure="0">'[94]Job Technical Info'!$D$27</definedName>
    <definedName name="CsgSz4" localSheetId="8" hidden="0" function="0" vbProcedure="0">'[94]Job Technical Info'!$D$28</definedName>
    <definedName name="CsgThd1" localSheetId="8" hidden="0" function="0" vbProcedure="0">'[94]Job Technical Info'!$J$25</definedName>
    <definedName name="CsgThd2" localSheetId="8" hidden="0" function="0" vbProcedure="0">'[94]Job Technical Info'!$J$26</definedName>
    <definedName name="CsgThd3" localSheetId="8" hidden="0" function="0" vbProcedure="0">'[94]Job Technical Info'!$J$27</definedName>
    <definedName name="CsgThd4" localSheetId="8" hidden="0" function="0" vbProcedure="0">'[94]Job Technical Info'!$J$28</definedName>
    <definedName name="CsgWt" localSheetId="8" hidden="0" function="0" vbProcedure="0">[6]Sheet1!$H$1:$H$10</definedName>
    <definedName name="CsgWt1" localSheetId="8" hidden="0" function="0" vbProcedure="0">'[94]Job Technical Info'!$E$25</definedName>
    <definedName name="CsgWt2" localSheetId="8" hidden="0" function="0" vbProcedure="0">'[94]Job Technical Info'!$E$26</definedName>
    <definedName name="CsgWt3" localSheetId="8" hidden="0" function="0" vbProcedure="0">'[94]Job Technical Info'!$E$27</definedName>
    <definedName name="CsgWt4" localSheetId="8" hidden="0" function="0" vbProcedure="0">'[94]Job Technical Info'!$E$28</definedName>
    <definedName name="Csg_Bst" localSheetId="8" hidden="0" function="0" vbProcedure="0">'[109]Metric Conversions'!$B$43</definedName>
    <definedName name="Csg_Burstz" localSheetId="8" hidden="0" function="0" vbProcedure="0">'[109]Liner Job Info'!$H$14</definedName>
    <definedName name="Csg_Dft" localSheetId="8" hidden="0" function="0" vbProcedure="0">'[109]Liner Job Info'!$L$14</definedName>
    <definedName name="CSG_DPTH" localSheetId="8" hidden="0" function="0" vbProcedure="0">'[130]Metric Conversions'!$B$15</definedName>
    <definedName name="CSG_DPTHz" localSheetId="8" hidden="0" function="0" vbProcedure="0">'[109]Liner Job Info'!$P$14</definedName>
    <definedName name="CSG_Grd" localSheetId="8" hidden="0" function="0" vbProcedure="0">'[130]Liner Job Info'!$D$14</definedName>
    <definedName name="CSG_ID" localSheetId="8" hidden="0" function="0" vbProcedure="0">'[109]Liner Job Info'!$B$14</definedName>
    <definedName name="CSG_ID_Area" localSheetId="8" hidden="0" function="0" vbProcedure="0">[109]Test!$Z$39</definedName>
    <definedName name="CSG_MYS" localSheetId="8" hidden="0" function="0" vbProcedure="0">[131]DATA!$J$3:$J$22</definedName>
    <definedName name="CSG_OD" localSheetId="8" hidden="0" function="0" vbProcedure="0">'[130]Liner Job Info'!$A$14</definedName>
    <definedName name="CSG_Thread" localSheetId="8" hidden="0" function="0" vbProcedure="0">'[130]Liner Job Info'!$E$14</definedName>
    <definedName name="Csg_Wt" localSheetId="8" hidden="0" function="0" vbProcedure="0">'[130]Liner Job Info'!$C$14</definedName>
    <definedName name="CsShoeDepth" localSheetId="8" hidden="0" function="0" vbProcedure="0">'[94]Job Technical Info'!$F$40</definedName>
    <definedName name="CU.FT." localSheetId="8" hidden="0" function="0" vbProcedure="0">'[113]#REF'!$E$23</definedName>
    <definedName name="currency" localSheetId="8" hidden="0" function="0" vbProcedure="0">[54]data!#ref!</definedName>
    <definedName name="Customer" localSheetId="8" hidden="0" function="0" vbProcedure="0">'[94]Job Technical Info'!$C$12</definedName>
    <definedName name="customer1" localSheetId="8" hidden="0" function="0" vbProcedure="0">[132]Data!$A$1:$A$65536</definedName>
    <definedName name="Customer2" localSheetId="8" hidden="0" function="0" vbProcedure="0">[132]Data!$B$1:$B$65536</definedName>
    <definedName name="CustomerName" localSheetId="8" hidden="0" function="0" vbProcedure="0">'[138]job info sheet'!#ref!</definedName>
    <definedName name="customerrep" localSheetId="8" hidden="0" function="0" vbProcedure="0">'[113]#REF'!$E$6</definedName>
    <definedName name="Cyl_Yield" localSheetId="8" hidden="0" function="0" vbProcedure="0">'[46]liner job info'!#ref!</definedName>
    <definedName name="d" localSheetId="8" hidden="0" function="0" vbProcedure="0">'[306]run sheet'!#ref!</definedName>
    <definedName name="DAADA" localSheetId="8" hidden="0" function="0" vbProcedure="0">[113]!Calculate_Pipe</definedName>
    <definedName name="DAD" localSheetId="8" hidden="0" function="0" vbProcedure="0">'[140]tally checklist'!dad</definedName>
    <definedName name="DADAA" localSheetId="8" hidden="0" function="0" vbProcedure="0">'[140]tally checklist'!dadaa</definedName>
    <definedName name="DAEFF" localSheetId="8" hidden="0" function="0" vbProcedure="0">'[140]tally checklist'!daeff</definedName>
    <definedName name="DAPage" localSheetId="8" hidden="0" function="0" vbProcedure="0">'[94]Data Acq. Results'!$S$5</definedName>
    <definedName name="data1" localSheetId="8" hidden="0" function="0" vbProcedure="0">#ref!</definedName>
    <definedName name="DataPipe" localSheetId="8" hidden="0" function="0" vbProcedure="0">#ref!</definedName>
    <definedName name="Date" localSheetId="8" hidden="0" function="0" vbProcedure="0">#ref!</definedName>
    <definedName name="DAVCO" localSheetId="8" hidden="0" function="0" vbProcedure="0">#ref!</definedName>
    <definedName name="DC" localSheetId="8" hidden="0" function="0" vbProcedure="0">'[44]7-30-04'!$GO$7457</definedName>
    <definedName name="dd" localSheetId="8" hidden="0" function="0" vbProcedure="0">null</definedName>
    <definedName name="dddd" localSheetId="8" hidden="0" function="0" vbProcedure="0">[142]试油成果记录!#ref!</definedName>
    <definedName name="decdhm" localSheetId="8" hidden="0" function="0" vbProcedure="0">'[133]Personal Expense Dec-95 (MH)'!$K$5</definedName>
    <definedName name="decdlr" localSheetId="8" hidden="0" function="0" vbProcedure="0">'[133]Personal Expense Dec-95 (MH)'!$H$5</definedName>
    <definedName name="decfrc" localSheetId="8" hidden="0" function="0" vbProcedure="0">'[133]Personal Expense Dec-95 (MH)'!$I$5</definedName>
    <definedName name="decpnd" localSheetId="8" hidden="0" function="0" vbProcedure="0">'[133]Personal Expense Dec-95 (MH)'!$G$5</definedName>
    <definedName name="decrl" localSheetId="8" hidden="0" function="0" vbProcedure="0">'[133]Personal Expense Dec-95 (MH)'!$J$5</definedName>
    <definedName name="decrup" localSheetId="8" hidden="0" function="0" vbProcedure="0">'[133]Personal Expense Dec-95 (MH)'!$L$5</definedName>
    <definedName name="decrupees" localSheetId="8" hidden="0" function="0" vbProcedure="0">'[133]Cash Expense December-95'!$H$6</definedName>
    <definedName name="Delay" localSheetId="8" hidden="0" function="0" vbProcedure="0">#ref!</definedName>
    <definedName name="DelayDual1" localSheetId="8" hidden="0" function="0" vbProcedure="0">#ref!</definedName>
    <definedName name="DelayDual2" localSheetId="8" hidden="0" function="0" vbProcedure="0">#ref!</definedName>
    <definedName name="deliveredto" localSheetId="8" hidden="0" function="0" vbProcedure="0">'[31]data '!#ref!</definedName>
    <definedName name="deliverto" localSheetId="8" hidden="0" function="0" vbProcedure="0">[54]data!#ref!</definedName>
    <definedName name="delma" localSheetId="8" hidden="0" function="0" vbProcedure="0">[145]!JointNumber</definedName>
    <definedName name="DENG" localSheetId="8" hidden="0" function="0" vbProcedure="0">[121]Reference!$B$2:$B$12</definedName>
    <definedName name="DEPTH_TAGGED_PREPACK" localSheetId="8" hidden="0" function="0" vbProcedure="0">'[113]#REF'!$F$80</definedName>
    <definedName name="DEQ" localSheetId="8" hidden="0" function="0" vbProcedure="0">'[140]tally checklist'!deq</definedName>
    <definedName name="Desired_Set_Down" localSheetId="8" hidden="0" function="0" vbProcedure="0">'[108]Packer Calculation Sheet'!$G$47</definedName>
    <definedName name="Dev" localSheetId="8" hidden="0" function="0" vbProcedure="0">'[109]Liner Job Info'!$D$30</definedName>
    <definedName name="DEVIATION" localSheetId="8" hidden="0" function="0" vbProcedure="0">'[113]#REF'!$F$24</definedName>
    <definedName name="dftg" localSheetId="8" hidden="0" function="0" vbProcedure="0">'[134]井口装置示意图-4'!$E$1:$E$65536</definedName>
    <definedName name="DHWS_BB1373" localSheetId="8" hidden="1" function="0" vbProcedure="0">#ref!</definedName>
    <definedName name="DiameterConversion" localSheetId="8" hidden="0" function="0" vbProcedure="0">[94]Lists!$AD$3</definedName>
    <definedName name="diameterUnit" localSheetId="8" hidden="0" function="0" vbProcedure="0">'[43]Metric Conversions'!$C$160</definedName>
    <definedName name="Diff_Across_Ball" localSheetId="8" hidden="0" function="0" vbProcedure="0">'[108]Tester Valve Calcs'!$F$30</definedName>
    <definedName name="Disp._Fluid_Type" localSheetId="8" hidden="0" function="0" vbProcedure="0">'[108]Pre-Job Info Sheet'!$D$37</definedName>
    <definedName name="Disp._Fluid_Weight" localSheetId="8" hidden="0" function="0" vbProcedure="0">'[108]Pre-Job Info Sheet'!$D$38</definedName>
    <definedName name="Displacement" localSheetId="8" hidden="0" function="0" vbProcedure="0">[109]DATA!$AJ$2:$AJ$12</definedName>
    <definedName name="DisplacementMethod" localSheetId="8" hidden="0" function="0" vbProcedure="0">[109]DATA!$AS$2:$AS$4</definedName>
    <definedName name="Disp_Fluid_Wt" localSheetId="8" hidden="0" function="0" vbProcedure="0">'[108]Job Calculation Sheet'!$D$30</definedName>
    <definedName name="District" localSheetId="8" hidden="0" function="0" vbProcedure="0">'[30]Liner Job Info'!$O$4</definedName>
    <definedName name="DistrictPh" localSheetId="8" hidden="0" function="0" vbProcedure="0">'[94]Job Technical Info'!$G$11</definedName>
    <definedName name="Districts" localSheetId="8" hidden="0" function="0" vbProcedure="0">[109]DATA!$A$6:$A$437</definedName>
    <definedName name="diverterlbs" localSheetId="8" hidden="0" function="0" vbProcedure="0">[5]WTR!$G$59</definedName>
    <definedName name="DIV_MIX_RATIO" localSheetId="8" hidden="0" function="0" vbProcedure="0">'[113]#REF'!$K$55</definedName>
    <definedName name="dk" localSheetId="8" hidden="1" function="0" vbProcedure="0">#ref!</definedName>
    <definedName name="DL" localSheetId="8" hidden="0" function="0" vbProcedure="0">[107]Piston!$F$21</definedName>
    <definedName name="do" localSheetId="8" hidden="0" function="0" vbProcedure="0">[145]!JointNumber</definedName>
    <definedName name="docNum" localSheetId="8" hidden="0" function="0" vbProcedure="0">[135]Revision_History!$A$12</definedName>
    <definedName name="DocTitle" localSheetId="8" hidden="0" function="0" vbProcedure="0">'[94]Job Technical Info'!$C$2</definedName>
    <definedName name="Doc_Rev" localSheetId="8" hidden="0" function="0" vbProcedure="0">'[30]Liner Job Info'!$A$2</definedName>
    <definedName name="DP1_Cap" localSheetId="8" hidden="0" function="0" vbProcedure="0">'[109]Liner Job Info'!$G$22</definedName>
    <definedName name="DP1_conn" localSheetId="8" hidden="0" function="0" vbProcedure="0">'[130]Liner Job Info'!$J$22</definedName>
    <definedName name="DP1_Grd" localSheetId="8" hidden="0" function="0" vbProcedure="0">'[130]Liner Job Info'!$F$22</definedName>
    <definedName name="DP1_ID" localSheetId="8" hidden="0" function="0" vbProcedure="0">'[109]Liner Job Info'!$E$22</definedName>
    <definedName name="DP1_Leng" localSheetId="8" hidden="0" function="0" vbProcedure="0">'[130]Metric Conversions'!$B$20</definedName>
    <definedName name="DP1_Lengz" localSheetId="8" hidden="0" function="0" vbProcedure="0">'[109]Liner Job Info'!$I$22</definedName>
    <definedName name="DP1_MYS" localSheetId="8" hidden="0" function="0" vbProcedure="0">'[109]Liner Job Info'!$AD$31</definedName>
    <definedName name="DP1_OD" localSheetId="8" hidden="0" function="0" vbProcedure="0">'[130]Liner Job Info'!$C$22</definedName>
    <definedName name="DP1_Tens" localSheetId="8" hidden="0" function="0" vbProcedure="0">'[109]Liner Job Info'!$M$22</definedName>
    <definedName name="DP1_Volz" localSheetId="8" hidden="0" function="0" vbProcedure="0">'[109]Metric Conversions'!$C$70</definedName>
    <definedName name="DP1_Wt_inmud" localSheetId="8" hidden="0" function="0" vbProcedure="0">'[109]Weight Calculations'!$H$8</definedName>
    <definedName name="DP1_Wt_Per_Ft" localSheetId="8" hidden="0" function="0" vbProcedure="0">'[130]Liner Job Info'!$D$22</definedName>
    <definedName name="DP1_X_Csg_Volz" localSheetId="8" hidden="0" function="0" vbProcedure="0">'[109]Metric Conversions'!$C$85</definedName>
    <definedName name="DP2_Cap" localSheetId="8" hidden="0" function="0" vbProcedure="0">'[109]Liner Job Info'!$G$23</definedName>
    <definedName name="DP2_conn" localSheetId="8" hidden="0" function="0" vbProcedure="0">'[130]Liner Job Info'!$J$23</definedName>
    <definedName name="DP2_Cross_Sect" localSheetId="8" hidden="0" function="0" vbProcedure="0">'[46]liner job info'!#ref!</definedName>
    <definedName name="DP2_Grd" localSheetId="8" hidden="0" function="0" vbProcedure="0">'[130]Liner Job Info'!$F$23</definedName>
    <definedName name="DP2_ID" localSheetId="8" hidden="0" function="0" vbProcedure="0">'[109]Liner Job Info'!$E$23</definedName>
    <definedName name="DP2_Leng" localSheetId="8" hidden="0" function="0" vbProcedure="0">'[130]Metric Conversions'!$B$21</definedName>
    <definedName name="DP2_Lengz" localSheetId="8" hidden="0" function="0" vbProcedure="0">'[109]Liner Job Info'!$I$23</definedName>
    <definedName name="DP2_MYS" localSheetId="8" hidden="0" function="0" vbProcedure="0">'[109]Liner Job Info'!$AD$32</definedName>
    <definedName name="DP2_OD" localSheetId="8" hidden="0" function="0" vbProcedure="0">'[130]Liner Job Info'!$C$23</definedName>
    <definedName name="DP2_Tens" localSheetId="8" hidden="0" function="0" vbProcedure="0">'[109]Liner Job Info'!$M$23</definedName>
    <definedName name="DP2_Volz" localSheetId="8" hidden="0" function="0" vbProcedure="0">'[109]Metric Conversions'!$C$71</definedName>
    <definedName name="DP2_Wt_inmud" localSheetId="8" hidden="0" function="0" vbProcedure="0">'[109]Weight Calculations'!$H$9</definedName>
    <definedName name="DP2_Wt_Per_Ft" localSheetId="8" hidden="0" function="0" vbProcedure="0">'[130]Liner Job Info'!$D$23</definedName>
    <definedName name="DP2_X_Csg_Volz" localSheetId="8" hidden="0" function="0" vbProcedure="0">'[109]Metric Conversions'!$C$86</definedName>
    <definedName name="DP3_bbl_per_ft" localSheetId="8" hidden="0" function="0" vbProcedure="0">'[46]liner job info'!#ref!</definedName>
    <definedName name="DP3_Cap" localSheetId="8" hidden="0" function="0" vbProcedure="0">'[109]Liner Job Info'!$G$24</definedName>
    <definedName name="DP3_COnn" localSheetId="8" hidden="0" function="0" vbProcedure="0">'[130]Liner Job Info'!$J$24</definedName>
    <definedName name="DP3_Grd" localSheetId="8" hidden="0" function="0" vbProcedure="0">'[130]Liner Job Info'!$F$24</definedName>
    <definedName name="DP3_ID" localSheetId="8" hidden="0" function="0" vbProcedure="0">'[109]Liner Job Info'!$E$24</definedName>
    <definedName name="DP3_Leng" localSheetId="8" hidden="0" function="0" vbProcedure="0">'[130]Metric Conversions'!$B$22</definedName>
    <definedName name="DP3_Lengz" localSheetId="8" hidden="0" function="0" vbProcedure="0">'[109]Liner Job Info'!$I$24</definedName>
    <definedName name="DP3_MYS" localSheetId="8" hidden="0" function="0" vbProcedure="0">'[109]Liner Job Info'!$AD$33</definedName>
    <definedName name="DP3_OD" localSheetId="8" hidden="0" function="0" vbProcedure="0">'[130]Liner Job Info'!$C$24</definedName>
    <definedName name="DP3_Tens" localSheetId="8" hidden="0" function="0" vbProcedure="0">'[109]Liner Job Info'!$M$24</definedName>
    <definedName name="DP3_Volz" localSheetId="8" hidden="0" function="0" vbProcedure="0">'[109]Metric Conversions'!$C$72</definedName>
    <definedName name="DP3_Wt_inmud" localSheetId="8" hidden="0" function="0" vbProcedure="0">'[109]Weight Calculations'!$H$10</definedName>
    <definedName name="DP3_Wt_Per_Ft" localSheetId="8" hidden="0" function="0" vbProcedure="0">'[130]Liner Job Info'!$D$24</definedName>
    <definedName name="DP3_X_Csg_Volz" localSheetId="8" hidden="0" function="0" vbProcedure="0">'[109]Metric Conversions'!$C$87</definedName>
    <definedName name="DP4_Cap" localSheetId="8" hidden="0" function="0" vbProcedure="0">'[109]Liner Job Info'!$G$25</definedName>
    <definedName name="DP4_COnn" localSheetId="8" hidden="0" function="0" vbProcedure="0">'[130]Liner Job Info'!$J$25</definedName>
    <definedName name="DP4_Grd" localSheetId="8" hidden="0" function="0" vbProcedure="0">'[130]Liner Job Info'!$F$25</definedName>
    <definedName name="DP4_ID" localSheetId="8" hidden="0" function="0" vbProcedure="0">'[109]Liner Job Info'!$E$25</definedName>
    <definedName name="DP4_Leng" localSheetId="8" hidden="0" function="0" vbProcedure="0">'[130]Metric Conversions'!$B$23</definedName>
    <definedName name="DP4_Lengz" localSheetId="8" hidden="0" function="0" vbProcedure="0">'[109]Liner Job Info'!$I$25</definedName>
    <definedName name="DP4_MYS" localSheetId="8" hidden="0" function="0" vbProcedure="0">'[109]Liner Job Info'!$AD$34</definedName>
    <definedName name="DP4_OD" localSheetId="8" hidden="0" function="0" vbProcedure="0">'[130]Liner Job Info'!$C$25</definedName>
    <definedName name="DP4_Tens" localSheetId="8" hidden="0" function="0" vbProcedure="0">'[109]Liner Job Info'!$M$25</definedName>
    <definedName name="DP4_Volz" localSheetId="8" hidden="0" function="0" vbProcedure="0">'[109]Metric Conversions'!$C$73</definedName>
    <definedName name="DP4_Wt_inmud" localSheetId="8" hidden="0" function="0" vbProcedure="0">'[109]Weight Calculations'!$H$11</definedName>
    <definedName name="DP4_Wt_Per_Ft" localSheetId="8" hidden="0" function="0" vbProcedure="0">'[130]Liner Job Info'!$D$25</definedName>
    <definedName name="DP4_X_Csg_Volz" localSheetId="8" hidden="0" function="0" vbProcedure="0">'[109]Metric Conversions'!$C$88</definedName>
    <definedName name="DP5_bbl_per_ft" localSheetId="8" hidden="0" function="0" vbProcedure="0">'[109]Liner Job Info'!$AT$73</definedName>
    <definedName name="DP5_COnn" localSheetId="8" hidden="0" function="0" vbProcedure="0">'[130]Liner Job Info'!$J$26</definedName>
    <definedName name="DP5_Grd" localSheetId="8" hidden="0" function="0" vbProcedure="0">'[130]Liner Job Info'!$F$26</definedName>
    <definedName name="DP5_ID" localSheetId="8" hidden="0" function="0" vbProcedure="0">'[109]Liner Job Info'!$E$26</definedName>
    <definedName name="DP5_Leng" localSheetId="8" hidden="0" function="0" vbProcedure="0">'[130]Metric Conversions'!$B$24</definedName>
    <definedName name="DP5_Lengz" localSheetId="8" hidden="0" function="0" vbProcedure="0">'[109]Liner Job Info'!$I$26</definedName>
    <definedName name="DP5_MYS" localSheetId="8" hidden="0" function="0" vbProcedure="0">'[109]Liner Job Info'!$AD$35</definedName>
    <definedName name="DP5_OD" localSheetId="8" hidden="0" function="0" vbProcedure="0">'[130]Liner Job Info'!$C$26</definedName>
    <definedName name="DP5_Tens" localSheetId="8" hidden="0" function="0" vbProcedure="0">'[109]Liner Job Info'!$M$26</definedName>
    <definedName name="DP5_Volz" localSheetId="8" hidden="0" function="0" vbProcedure="0">'[109]Metric Conversions'!$C$74</definedName>
    <definedName name="DP5_Wt_inmud" localSheetId="8" hidden="0" function="0" vbProcedure="0">'[109]Weight Calculations'!$H$12</definedName>
    <definedName name="DP5_Wt_Per_Ft" localSheetId="8" hidden="0" function="0" vbProcedure="0">'[130]Liner Job Info'!$D$26</definedName>
    <definedName name="DP5_X_Csg_Volz" localSheetId="8" hidden="0" function="0" vbProcedure="0">'[109]Metric Conversions'!$C$89</definedName>
    <definedName name="dpdt" localSheetId="8" hidden="0" function="0" vbProcedure="0">'[136]WCT-Ft'!$Q$4:$X$18</definedName>
    <definedName name="DPi" localSheetId="8" hidden="0" function="0" vbProcedure="0">[107]Piston!$F$10</definedName>
    <definedName name="DPia" localSheetId="8" hidden="0" function="0" vbProcedure="0">[107]Balooning!$F$9</definedName>
    <definedName name="DPNumber_35" localSheetId="8" hidden="0" function="0" vbProcedure="0">'[137]DP Length'!$A$3:$A$1000</definedName>
    <definedName name="DPNumber_5" localSheetId="8" hidden="0" function="0" vbProcedure="0">'[137]DP Length'!$C$3:$C$1000</definedName>
    <definedName name="DPo" localSheetId="8" hidden="0" function="0" vbProcedure="0">[107]Piston!$F$11</definedName>
    <definedName name="DPoa" localSheetId="8" hidden="0" function="0" vbProcedure="0">[107]Balooning!$F$10</definedName>
    <definedName name="DPThread" localSheetId="8" hidden="0" function="0" vbProcedure="0">[109]DATA!$AA$44:$AA$94</definedName>
    <definedName name="DPTTL_HYD_LENTH" localSheetId="8" hidden="0" function="0" vbProcedure="0">'[109]Weight Calculations'!$F$46</definedName>
    <definedName name="DP_MYS" localSheetId="8" hidden="0" function="0" vbProcedure="0">[109]DATA!$AB$2:$AB$6</definedName>
    <definedName name="DP_Plus_Block" localSheetId="8" hidden="0" function="0" vbProcedure="0">'[109]Weight Calculations'!$H$15</definedName>
    <definedName name="DP_PSI" localSheetId="8" hidden="0" function="0" vbProcedure="0">'[109]Metric Conversions'!$B$49</definedName>
    <definedName name="DP_PSIz" localSheetId="8" hidden="0" function="0" vbProcedure="0">'[109]Liner Job Info'!$D$35</definedName>
    <definedName name="DP_SF" localSheetId="8" hidden="0" function="0" vbProcedure="0">'[109]Liner Job Info'!$R$27</definedName>
    <definedName name="DRAFT" localSheetId="8" hidden="0" function="0" vbProcedure="0">'[306]run sheet'!#ref!</definedName>
    <definedName name="drawblanks" localSheetId="8" hidden="0" function="0" vbProcedure="0">'[140]tally checklist'!drawblanks</definedName>
    <definedName name="drawlinerfirst" localSheetId="8" hidden="0" function="0" vbProcedure="0">'[140]tally checklist'!drawlinerfirst</definedName>
    <definedName name="drawlinersecond" localSheetId="8" hidden="0" function="0" vbProcedure="0">'[140]tally checklist'!drawlinersecond</definedName>
    <definedName name="drawmiscellaneous" localSheetId="8" hidden="0" function="0" vbProcedure="0">'[140]tally checklist'!drawmiscellaneous</definedName>
    <definedName name="drawproductionfirst" localSheetId="8" hidden="0" function="0" vbProcedure="0">'[140]tally checklist'!drawproductionfirst</definedName>
    <definedName name="drawproductionsecond" localSheetId="8" hidden="0" function="0" vbProcedure="0">'[140]tally checklist'!drawproductionsecond</definedName>
    <definedName name="drawquantum" localSheetId="8" hidden="0" function="0" vbProcedure="0">'[140]tally checklist'!drawquantum</definedName>
    <definedName name="drawscreens" localSheetId="8" hidden="0" function="0" vbProcedure="0">'[140]tally checklist'!drawscreens</definedName>
    <definedName name="drawshearsubs" localSheetId="8" hidden="0" function="0" vbProcedure="0">'[140]tally checklist'!drawshearsubs</definedName>
    <definedName name="drawsump" localSheetId="8" hidden="0" function="0" vbProcedure="0">'[140]tally checklist'!drawsump</definedName>
    <definedName name="draw_blanks" localSheetId="8" hidden="0" function="0" vbProcedure="0">'[140]tally checklist'!draw_blanks</definedName>
    <definedName name="draw_linerfirst" localSheetId="8" hidden="0" function="0" vbProcedure="0">'[140]tally checklist'!draw_linerfirst</definedName>
    <definedName name="draw_linersecond" localSheetId="8" hidden="0" function="0" vbProcedure="0">'[140]tally checklist'!draw_linersecond</definedName>
    <definedName name="draw_miscellaneous" localSheetId="8" hidden="0" function="0" vbProcedure="0">'[140]tally checklist'!draw_miscellaneous</definedName>
    <definedName name="draw_productionfirst" localSheetId="8" hidden="0" function="0" vbProcedure="0">'[140]tally checklist'!draw_productionfirst</definedName>
    <definedName name="draw_productionsecond" localSheetId="8" hidden="0" function="0" vbProcedure="0">'[140]tally checklist'!draw_productionsecond</definedName>
    <definedName name="draw_quantum" localSheetId="8" hidden="0" function="0" vbProcedure="0">'[140]tally checklist'!draw_quantum</definedName>
    <definedName name="draw_screens" localSheetId="8" hidden="0" function="0" vbProcedure="0">'[140]tally checklist'!draw_screens</definedName>
    <definedName name="draw_shearsubs" localSheetId="8" hidden="0" function="0" vbProcedure="0">'[140]tally checklist'!draw_shearsubs</definedName>
    <definedName name="draw_sump" localSheetId="8" hidden="0" function="0" vbProcedure="0">'[140]tally checklist'!draw_sump</definedName>
    <definedName name="DRILLER" localSheetId="8" hidden="0" function="0" vbProcedure="0">#ref!</definedName>
    <definedName name="DRILLER2" localSheetId="8" hidden="0" function="0" vbProcedure="0">[155]!Calculate_Pipe</definedName>
    <definedName name="Drillpipesize" localSheetId="8" hidden="0" function="0" vbProcedure="0">[109]DATA!$X$2:$X$10</definedName>
    <definedName name="Drillpipetype" localSheetId="8" hidden="0" function="0" vbProcedure="0">[109]DATA!$AA$2:$AA$6</definedName>
    <definedName name="Drillpipeweight" localSheetId="8" hidden="0" function="0" vbProcedure="0">[109]DATA!$Z$2:$Z$36</definedName>
    <definedName name="Druckbereich_MI" localSheetId="8" hidden="0" function="0" vbProcedure="0">'[138]Dev-Baker'!$A$1:$J$46</definedName>
    <definedName name="Druckbereich_S3" localSheetId="8" hidden="0" function="0" vbProcedure="0">'[158]run_s.xls'!#ref!</definedName>
    <definedName name="dtr" localSheetId="8" hidden="0" function="0" vbProcedure="0">'[115]Max-Torq'!$P$77</definedName>
    <definedName name="DualTally" localSheetId="8" hidden="0" function="0" vbProcedure="0">#ref!</definedName>
    <definedName name="DWS" localSheetId="8" hidden="0" function="0" vbProcedure="0">'[111]DWS2023'!$A$4:$AD$257</definedName>
    <definedName name="E" localSheetId="8" hidden="0" function="0" vbProcedure="0">#ref!</definedName>
    <definedName name="ED" localSheetId="8" hidden="0" function="0" vbProcedure="0">[72]!Calculate_Pipe</definedName>
    <definedName name="edd" localSheetId="8" hidden="0" function="0" vbProcedure="0">[160]!Calculate_Pipe</definedName>
    <definedName name="EffDate" localSheetId="8" hidden="0" function="0" vbProcedure="0">[135]Revision_History!$G$5</definedName>
    <definedName name="Eff_Date" localSheetId="8" hidden="0" function="0" vbProcedure="0">'[94]Job Technical Info'!$L$3</definedName>
    <definedName name="EJYETYJEJ" localSheetId="8" hidden="0" function="0" vbProcedure="0">'[140]tally checklist'!ejyetyjej</definedName>
    <definedName name="EKIKO2" localSheetId="8" hidden="0" function="0" vbProcedure="0">#ref!</definedName>
    <definedName name="Element_Rating" localSheetId="8" hidden="0" function="0" vbProcedure="0">'[109]Metric Conversions'!$B$57</definedName>
    <definedName name="Element_Ratingz" localSheetId="8" hidden="0" function="0" vbProcedure="0">'[109]Liner Job Info'!$P$41</definedName>
    <definedName name="equipmenttype" localSheetId="8" hidden="0" function="0" vbProcedure="0">[54]data!#ref!</definedName>
    <definedName name="error" localSheetId="8" hidden="0" function="0" vbProcedure="0">[106]Data!$F$10</definedName>
    <definedName name="ertert" localSheetId="8" hidden="0" function="0" vbProcedure="0">[164]试压!#ref!</definedName>
    <definedName name="ES_pricelist" localSheetId="8" hidden="0" function="0" vbProcedure="0">[139]Pricelist!$A$8:$B$18</definedName>
    <definedName name="ex" localSheetId="8" hidden="0" function="0" vbProcedure="0">[145]!JointNumber</definedName>
    <definedName name="Expected_Job_Date" localSheetId="8" hidden="0" function="0" vbProcedure="0">'[108]Pre-Job Info Sheet'!$D$5</definedName>
    <definedName name="Explosive_Type" localSheetId="8" hidden="0" function="0" vbProcedure="0">'[108]TCP-BHA'!$E$7</definedName>
    <definedName name="EXP_1" localSheetId="8" hidden="0" function="0" vbProcedure="0">INDEX([111]DRAW!$A$2:$B$13,MATCH([112]AUTO_DHWS!$AV$7,[111]DRAW!$A$2:$A$13,0),2)</definedName>
    <definedName name="Extra" localSheetId="8" hidden="0" function="0" vbProcedure="0">#ref!</definedName>
    <definedName name="EXT_LENGTH" localSheetId="8" hidden="0" function="0" vbProcedure="0">'[6]#ref'!#ref!</definedName>
    <definedName name="F" localSheetId="8" hidden="0" function="0" vbProcedure="0">[140]Parts!$A$1:$I$1048576</definedName>
    <definedName name="FB" localSheetId="8" hidden="0" function="0" vbProcedure="0">[170]!Calculate_Pipe</definedName>
    <definedName name="fdg" localSheetId="8" hidden="0" function="0" vbProcedure="0">[119]钻井日报表!$G$7</definedName>
    <definedName name="februpees" localSheetId="8" hidden="0" function="0" vbProcedure="0">'[141]Cash Expense March-96'!$H$6</definedName>
    <definedName name="fe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8" hidden="0" function="0" vbProcedure="0">'[140]tally checklist'!fewfw</definedName>
    <definedName name="fff" localSheetId="8" hidden="0" function="0" vbProcedure="0">'[140]tally checklist'!fff</definedName>
    <definedName name="ffff" localSheetId="8" hidden="0" function="0" vbProcedure="0">[174]!Prev.Macro113</definedName>
    <definedName name="final" localSheetId="8" hidden="0" function="0" vbProcedure="0">[145]!JointNumber</definedName>
    <definedName name="FJNDEF" localSheetId="8" hidden="0" function="0" vbProcedure="0">'[140]tally checklist'!fjndef</definedName>
    <definedName name="Floatequipment" localSheetId="8" hidden="0" function="0" vbProcedure="0">[109]DATA!$AM$2:$AM$9</definedName>
    <definedName name="FluidType" localSheetId="8" hidden="0" function="0" vbProcedure="0">'[94]Job Technical Info'!$F$42</definedName>
    <definedName name="FluidWt" localSheetId="8" hidden="0" function="0" vbProcedure="0">'[94]Job Technical Info'!$H$42</definedName>
    <definedName name="Form._Pressure" localSheetId="8" hidden="0" function="0" vbProcedure="0">'[108]Pre-Job Info Sheet'!$B$33</definedName>
    <definedName name="formation" localSheetId="8" hidden="0" function="0" vbProcedure="0">[54]data!#ref!</definedName>
    <definedName name="fracgrad" localSheetId="8" hidden="0" function="0" vbProcedure="0">[5]WTR!$L$38</definedName>
    <definedName name="fracpress" localSheetId="8" hidden="0" function="0" vbProcedure="0">'[113]#REF'!$L$25</definedName>
    <definedName name="frictionpressure" localSheetId="8" hidden="0" function="0" vbProcedure="0">[106]Data!$F$8</definedName>
    <definedName name="FRONT" localSheetId="8" hidden="0" function="0" vbProcedure="0">'[142]DAILY RPT'!$A$1:$Y$67</definedName>
    <definedName name="ftormeters" localSheetId="8" hidden="0" function="0" vbProcedure="0">'[109]Metric Conversions'!$B$14</definedName>
    <definedName name="Gamma_Quadrant" localSheetId="8" hidden="0" function="0" vbProcedure="0">[129]RSS!$N$139:$N$144</definedName>
    <definedName name="gasrate" localSheetId="8" hidden="0" function="0" vbProcedure="0">'[93]well test sheet'!#ref!</definedName>
    <definedName name="gas_cumm" localSheetId="8" hidden="0" function="0" vbProcedure="0">'[93]well test sheet'!#ref!</definedName>
    <definedName name="Gauge" localSheetId="8" hidden="0" function="0" vbProcedure="0">'[7]Drop-Down Items'!$D$74:$D$92</definedName>
    <definedName name="Gaugecancel" localSheetId="8" hidden="0" function="0" vbProcedure="0">[27]!Gaugecancel</definedName>
    <definedName name="gaugeconok" localSheetId="8" hidden="0" function="0" vbProcedure="0">[27]!gaugeconok</definedName>
    <definedName name="gaugeconok2" localSheetId="8" hidden="0" function="0" vbProcedure="0">[27]!gaugeconok2</definedName>
    <definedName name="gaugeok" localSheetId="8" hidden="0" function="0" vbProcedure="0">[27]!gaugeok</definedName>
    <definedName name="gaugeok2" localSheetId="8" hidden="0" function="0" vbProcedure="0">[27]!gaugeok2</definedName>
    <definedName name="gaugeselect" localSheetId="8" hidden="0" function="0" vbProcedure="0">[27]!gaugeselect</definedName>
    <definedName name="gaugeselect2" localSheetId="8" hidden="0" function="0" vbProcedure="0">[27]!gaugeselect2</definedName>
    <definedName name="gdsg" localSheetId="8" hidden="1" function="0" vbProcedure="0">[103]Run!$C$16:$C$512</definedName>
    <definedName name="GFTTC" localSheetId="8" hidden="0" function="0" vbProcedure="0">[145]!JointNumber</definedName>
    <definedName name="GGGR" localSheetId="8" hidden="0" function="0" vbProcedure="0">'[140]tally checklist'!gggr</definedName>
    <definedName name="GL" localSheetId="8" hidden="0" function="0" vbProcedure="0">'[182]offset data'!#ref!</definedName>
    <definedName name="GLM" localSheetId="8" hidden="0" function="0" vbProcedure="0">[72]!Calculate_Pipe</definedName>
    <definedName name="GLM_1" localSheetId="8" hidden="0" function="0" vbProcedure="0">INDEX([111]DRAW!$A$2:$B$13,MATCH([112]AUTO_DHWS!$AV$3,[111]DRAW!$A$2:$A$13,0),2)</definedName>
    <definedName name="GLM_2" localSheetId="8" hidden="0" function="0" vbProcedure="0">INDEX([111]DRAW!$A$2:$B$13,MATCH([112]AUTO_DHWS!$AV$4,[111]DRAW!$A$2:$A$13,0),2)</definedName>
    <definedName name="GLM_3" localSheetId="8" hidden="0" function="0" vbProcedure="0">INDEX([111]DRAW!$A$2:$B$13,MATCH([112]AUTO_DHWS!$AV$5,[111]DRAW!$A$2:$A$13,0),2)</definedName>
    <definedName name="GLM_4" localSheetId="8" hidden="0" function="0" vbProcedure="0">INDEX([111]DRAW!$A$2:$B$13,MATCH([112]AUTO_DHWS!$AV$6,[111]DRAW!$A$2:$A$13,0),2)</definedName>
    <definedName name="Gmh" localSheetId="8" hidden="1" function="0" vbProcedure="0">{#N/A,#N/A,FALSE,"Sheet1"}</definedName>
    <definedName name="gor" localSheetId="8" hidden="0" function="0" vbProcedure="0">'[93]well test sheet'!#ref!</definedName>
    <definedName name="gpbreakerconc" localSheetId="8" hidden="0" function="0" vbProcedure="0">'[113]#REF'!$K$68</definedName>
    <definedName name="gpbreakertype" localSheetId="8" hidden="0" function="0" vbProcedure="0">'[113]#REF'!$K$67</definedName>
    <definedName name="gpcarriertype" localSheetId="8" hidden="0" function="0" vbProcedure="0">[5]WTR!$G$83</definedName>
    <definedName name="gpcarriervis" localSheetId="8" hidden="0" function="0" vbProcedure="0">'[113]#REF'!$K$66</definedName>
    <definedName name="gpcarriervol" localSheetId="8" hidden="0" function="0" vbProcedure="0">'[113]#REF'!$F$69</definedName>
    <definedName name="gpcarrierwt" localSheetId="8" hidden="0" function="0" vbProcedure="0">'[113]#REF'!$F$67</definedName>
    <definedName name="gpextlength" localSheetId="8" hidden="0" function="0" vbProcedure="0">'[113]#REF'!$J$15</definedName>
    <definedName name="gpextod" localSheetId="8" hidden="0" function="0" vbProcedure="0">'[113]#REF'!$F$15</definedName>
    <definedName name="gpgel" localSheetId="8" hidden="0" function="0" vbProcedure="0">'[113]#REF'!$K$65</definedName>
    <definedName name="gplbs" localSheetId="8" hidden="0" function="0" vbProcedure="0">'[113]#REF'!$F$64</definedName>
    <definedName name="gpmixratio" localSheetId="8" hidden="0" function="0" vbProcedure="0">[5]WTR!$M$81</definedName>
    <definedName name="gppumprate" localSheetId="8" hidden="0" function="0" vbProcedure="0">[5]WTR!$F$88</definedName>
    <definedName name="gpslurrydens" localSheetId="8" hidden="0" function="0" vbProcedure="0">'[113]#REF'!$F$70</definedName>
    <definedName name="GP_EXT_OD" localSheetId="8" hidden="0" function="0" vbProcedure="0">'[113]#REF'!$F$15</definedName>
    <definedName name="GP_MIX_RATIO" localSheetId="8" hidden="0" function="0" vbProcedure="0">'[113]#REF'!$K$64</definedName>
    <definedName name="GP_SLURRY_VOL" localSheetId="8" hidden="0" function="0" vbProcedure="0">'[113]#REF'!$F$69</definedName>
    <definedName name="GQGQ" localSheetId="8" hidden="0" function="0" vbProcedure="0">'[140]tally checklist'!gqgq</definedName>
    <definedName name="GQQ" localSheetId="8" hidden="0" function="0" vbProcedure="0">'[140]tally checklist'!gqq</definedName>
    <definedName name="Grade" localSheetId="8" hidden="0" function="0" vbProcedure="0">#ref!</definedName>
    <definedName name="gravelsize" localSheetId="8" hidden="0" function="0" vbProcedure="0">[5]WTR!$G$82</definedName>
    <definedName name="GRAVEL_IN_CSG." localSheetId="8" hidden="0" function="0" vbProcedure="0">'[113]#REF'!XEP1048377</definedName>
    <definedName name="GroupID" localSheetId="8" hidden="0" function="0" vbProcedure="0">[109]DATA!$Q$2:$Q$268</definedName>
    <definedName name="Group_ID" localSheetId="8" hidden="0" function="0" vbProcedure="0">[131]DATA!$Q$2:$Q$268</definedName>
    <definedName name="GRQ" localSheetId="8" hidden="0" function="0" vbProcedure="0">'[140]tally checklist'!grq</definedName>
    <definedName name="gsa" localSheetId="8" hidden="1" function="0" vbProcedure="0">#ref!</definedName>
    <definedName name="GUB24SECWELL" localSheetId="8" hidden="1" function="0" vbProcedure="0">[143]Sheet1!$A$181:$H$210</definedName>
    <definedName name="GudCont" localSheetId="8" hidden="0" function="0" vbProcedure="0">#ref!</definedName>
    <definedName name="Gun_Size" localSheetId="8" hidden="0" function="0" vbProcedure="0">'[108]TCP-BHA'!$F$5</definedName>
    <definedName name="GWS" localSheetId="8" hidden="0" function="0" vbProcedure="0">'[140]tally checklist'!gws</definedName>
    <definedName name="h" localSheetId="8" hidden="0" function="0" vbProcedure="0">[144]Tally!$A$5:$H$1064</definedName>
    <definedName name="H2S" localSheetId="8" hidden="0" function="0" vbProcedure="0">'[94]Job Technical Info'!$L$41</definedName>
    <definedName name="Hangerfunction" localSheetId="8" hidden="0" function="0" vbProcedure="0">[109]DATA!$AH$2:$AH$9</definedName>
    <definedName name="Hassan" localSheetId="8" hidden="0" function="0" vbProcedure="0">[185]!Macro1</definedName>
    <definedName name="HAUL_Thread" localSheetId="8" hidden="0" function="0" vbProcedure="0">[109]DATA!$BM$22:$BM$114</definedName>
    <definedName name="HEAD" localSheetId="8" hidden="0" function="0" vbProcedure="0">#ref!</definedName>
    <definedName name="hesfluid" localSheetId="8" hidden="0" function="0" vbProcedure="0">[54]data!#ref!</definedName>
    <definedName name="hgh" localSheetId="8" hidden="1" function="0" vbProcedure="0">[103]Run!$D$15:$D$512</definedName>
    <definedName name="HGR_OL_Packoff_In" localSheetId="8" hidden="0" function="0" vbProcedure="0">[109]Test!$M$36</definedName>
    <definedName name="hhp" localSheetId="8" hidden="0" function="0" vbProcedure="0">'[93]well test sheet'!#ref!</definedName>
    <definedName name="hj" localSheetId="8" hidden="0" function="0" vbProcedure="0">[187]bha!#ref!</definedName>
    <definedName name="HKWT" localSheetId="8" hidden="0" function="0" vbProcedure="0">[119]钻井日报表!$E$7</definedName>
    <definedName name="Hngr_Bst" localSheetId="8" hidden="0" function="0" vbProcedure="0">'[109]Metric Conversions'!$B$50</definedName>
    <definedName name="Hngr_Bstz" localSheetId="8" hidden="0" function="0" vbProcedure="0">'[109]Liner Job Info'!$D$39</definedName>
    <definedName name="Hngr_OL_PO_out" localSheetId="8" hidden="0" function="0" vbProcedure="0">[109]Test!$M$30</definedName>
    <definedName name="Hngr_Overload_Cmt_Setup" localSheetId="8" hidden="0" function="0" vbProcedure="0">[109]Test!$M$42</definedName>
    <definedName name="Hngr_Tens" localSheetId="8" hidden="0" function="0" vbProcedure="0">'[109]Liner Job Info'!$D$40</definedName>
    <definedName name="Hng_Cap" localSheetId="8" hidden="0" function="0" vbProcedure="0">'[109]Liner Job Info'!$D$41</definedName>
    <definedName name="holevol" localSheetId="8" hidden="0" function="0" vbProcedure="0">'[61]tool backload dt'!holevol</definedName>
    <definedName name="hpb" localSheetId="8" hidden="0" function="0" vbProcedure="0">'[93]well test sheet'!#ref!</definedName>
    <definedName name="HR_Turns" localSheetId="8" hidden="0" function="0" vbProcedure="0">'[109]Weight Calculations'!$Q$36</definedName>
    <definedName name="HTML_Control" localSheetId="8" hidden="1" function="0" vbProcedure="0">{"'Operator &amp; Well Info.'!$A$1:$F$16"}</definedName>
    <definedName name="hwdpdt" localSheetId="8" hidden="0" function="0" vbProcedure="0">'[136]WCT-Ft'!$Q$19:$X$24</definedName>
    <definedName name="hy" localSheetId="8" hidden="0" function="0" vbProcedure="0">[49]!Prev.Macro106</definedName>
    <definedName name="Hyd._Pressure" localSheetId="8" hidden="0" function="0" vbProcedure="0">'[108]Job Calculation Sheet'!$H$28</definedName>
    <definedName name="Hyd_at_TV" localSheetId="8" hidden="0" function="0" vbProcedure="0">'[108]Tester Valve Calcs'!$F$21</definedName>
    <definedName name="Hyd_Effect_Force" localSheetId="8" hidden="0" function="0" vbProcedure="0">'[109]Weight Calculations'!$F$47</definedName>
    <definedName name="Hyd_force_element" localSheetId="8" hidden="0" function="0" vbProcedure="0">[109]Test!$M$17</definedName>
    <definedName name="HyfloSeatID" localSheetId="8" hidden="0" function="0" vbProcedure="0">[109]DATA!$AY$2:$AY$4</definedName>
    <definedName name="HyfloSeatNumber" localSheetId="8" hidden="0" function="0" vbProcedure="0">[109]DATA!$AZ$2:$AZ$5</definedName>
    <definedName name="HyfloSupplier" localSheetId="8" hidden="0" function="0" vbProcedure="0">[109]DATA!$BA$2:$BA$5</definedName>
    <definedName name="I" localSheetId="8" hidden="0" function="0" vbProcedure="0">#ref!</definedName>
    <definedName name="idlist" localSheetId="8" hidden="0" function="0" vbProcedure="0">[106]Data!$GD$2:$GE$237</definedName>
    <definedName name="IDUnit" localSheetId="8" hidden="0" function="0" vbProcedure="0">'[94]Job Technical Info'!$F$24</definedName>
    <definedName name="impdwg" localSheetId="8" hidden="0" function="0" vbProcedure="0">[27]!impdwg</definedName>
    <definedName name="impdwg_1" localSheetId="8" hidden="0" function="0" vbProcedure="0">'COVER PAGE '!impdwg</definedName>
    <definedName name="impdwg_10" localSheetId="8" hidden="0" function="0" vbProcedure="0">'COVER PAGE '!impdwg</definedName>
    <definedName name="impdwg_11" localSheetId="8" hidden="0" function="0" vbProcedure="0">'COVER PAGE '!impdwg</definedName>
    <definedName name="impdwg_2" localSheetId="8" hidden="0" function="0" vbProcedure="0">'COVER PAGE '!impdwg</definedName>
    <definedName name="impdwg_3" localSheetId="8" hidden="0" function="0" vbProcedure="0">'COVER PAGE '!impdwg</definedName>
    <definedName name="impdwg_4" localSheetId="8" hidden="0" function="0" vbProcedure="0">'COVER PAGE '!impdwg</definedName>
    <definedName name="impdwg_5" localSheetId="8" hidden="0" function="0" vbProcedure="0">'COVER PAGE '!impdwg</definedName>
    <definedName name="impdwg_6" localSheetId="8" hidden="0" function="0" vbProcedure="0">'COVER PAGE '!impdwg</definedName>
    <definedName name="impdwg_7" localSheetId="8" hidden="0" function="0" vbProcedure="0">'COVER PAGE '!impdwg</definedName>
    <definedName name="impdwg_8" localSheetId="8" hidden="0" function="0" vbProcedure="0">'COVER PAGE '!impdwg</definedName>
    <definedName name="impdwg_9" localSheetId="8" hidden="0" function="0" vbProcedure="0">'COVER PAGE '!impdwg</definedName>
    <definedName name="Inc" localSheetId="8" hidden="0" function="0" vbProcedure="0">[119]钻井日报表!$G$8</definedName>
    <definedName name="InclinationData" localSheetId="8" hidden="0" function="0" vbProcedure="0">OFFSET([27]!Inclination,2,0,COUNT(#ref!),1)</definedName>
    <definedName name="incrementa"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8" hidden="0" function="0" vbProcedure="0">'[145]Job File Index'!$B$7</definedName>
    <definedName name="INFUSER_RATE" localSheetId="8" hidden="0" function="0" vbProcedure="0">'[113]#REF'!$F$71</definedName>
    <definedName name="INFUSER_RATE_PREPACK" localSheetId="8" hidden="0" function="0" vbProcedure="0">'[113]#REF'!$F$50</definedName>
    <definedName name="InsertPoint" localSheetId="8" hidden="0" function="0" vbProcedure="0">#ref!</definedName>
    <definedName name="Insert_New_Page" localSheetId="8" hidden="0" function="0" vbProcedure="0">[41]!Insert_New_Page</definedName>
    <definedName name="Insert_New_Page_1" localSheetId="8" hidden="0" function="0" vbProcedure="0">[27]!Insert_New_Page</definedName>
    <definedName name="Insert_New_Page_10" localSheetId="8" hidden="0" function="0" vbProcedure="0">[27]!Insert_New_Page</definedName>
    <definedName name="Insert_New_Page_11" localSheetId="8" hidden="0" function="0" vbProcedure="0">[27]!Insert_New_Page</definedName>
    <definedName name="Insert_New_Page_2" localSheetId="8" hidden="0" function="0" vbProcedure="0">[27]!Insert_New_Page</definedName>
    <definedName name="Insert_New_Page_3" localSheetId="8" hidden="0" function="0" vbProcedure="0">[27]!Insert_New_Page</definedName>
    <definedName name="Insert_New_Page_4" localSheetId="8" hidden="0" function="0" vbProcedure="0">[27]!Insert_New_Page</definedName>
    <definedName name="Insert_New_Page_5" localSheetId="8" hidden="0" function="0" vbProcedure="0">[27]!Insert_New_Page</definedName>
    <definedName name="Insert_New_Page_6" localSheetId="8" hidden="0" function="0" vbProcedure="0">[27]!Insert_New_Page</definedName>
    <definedName name="Insert_New_Page_7" localSheetId="8" hidden="0" function="0" vbProcedure="0">[27]!Insert_New_Page</definedName>
    <definedName name="Insert_New_Page_8" localSheetId="8" hidden="0" function="0" vbProcedure="0">[27]!Insert_New_Page</definedName>
    <definedName name="Insert_New_Page_9" localSheetId="8" hidden="0" function="0" vbProcedure="0">[27]!Insert_New_Page</definedName>
    <definedName name="Inverse_Balloon_Area" localSheetId="8" hidden="0" function="0" vbProcedure="0">[109]Test!$M$19</definedName>
    <definedName name="isip" localSheetId="8" hidden="0" function="0" vbProcedure="0">[5]WTR!$G$41</definedName>
    <definedName name="Issue" localSheetId="8" hidden="0" function="0" vbProcedure="0">'[146]Title Page'!$Q$2:$Q$20</definedName>
    <definedName name="Item1" localSheetId="8" hidden="0" function="0" vbProcedure="0">INDEX(#ref!,0,MATCH('[59]ENG Input'!$A$12,Categories,0))</definedName>
    <definedName name="Item10" localSheetId="8" hidden="0" function="0" vbProcedure="0">INDEX(#ref!,0,MATCH('[59]ENG Input'!$A$128,Categories,0))</definedName>
    <definedName name="Item11" localSheetId="8" hidden="0" function="0" vbProcedure="0">INDEX(#ref!,0,MATCH('[59]ENG Input'!$A$139,Categories,0))</definedName>
    <definedName name="Item12" localSheetId="8" hidden="0" function="0" vbProcedure="0">INDEX(#ref!,0,MATCH('[59]ENG Input'!$A$155,Categories,0))</definedName>
    <definedName name="Item13" localSheetId="8" hidden="0" function="0" vbProcedure="0">INDEX(#ref!,0,MATCH('[59]ENG Input'!$A$171,Categories,0))</definedName>
    <definedName name="Item14" localSheetId="8" hidden="0" function="0" vbProcedure="0">INDEX(#ref!,0,MATCH('[59]ENG Input'!$A$182,Categories,0))</definedName>
    <definedName name="Item15" localSheetId="8" hidden="0" function="0" vbProcedure="0">INDEX(#ref!,0,MATCH('[59]ENG Input'!$A$193,Categories,0))</definedName>
    <definedName name="Item16" localSheetId="8" hidden="0" function="0" vbProcedure="0">INDEX(#ref!,0,MATCH('[59]ENG Input'!$A$204,Categories,0))</definedName>
    <definedName name="Item17" localSheetId="8" hidden="0" function="0" vbProcedure="0">INDEX(#ref!,0,MATCH('[59]ENG Input'!$A$215,Categories,0))</definedName>
    <definedName name="Item18" localSheetId="8" hidden="0" function="0" vbProcedure="0">INDEX(#ref!,0,MATCH('[59]ENG Input'!$A$226,Categories,0))</definedName>
    <definedName name="Item19" localSheetId="8" hidden="0" function="0" vbProcedure="0">INDEX(#ref!,0,MATCH('[59]ENG Input'!$A$237,Categories,0))</definedName>
    <definedName name="Item2" localSheetId="8" hidden="0" function="0" vbProcedure="0">INDEX(#ref!,0,MATCH('[59]ENG Input'!$A$32,Categories,0))</definedName>
    <definedName name="Item20" localSheetId="8" hidden="0" function="0" vbProcedure="0">INDEX(#ref!,0,MATCH('[59]ENG Input'!$A$248,Categories,0))</definedName>
    <definedName name="Item3" localSheetId="8" hidden="0" function="0" vbProcedure="0">INDEX(#ref!,0,MATCH('[59]ENG Input'!$A$48,Categories,0))</definedName>
    <definedName name="Item4" localSheetId="8" hidden="0" function="0" vbProcedure="0">INDEX(#ref!,0,MATCH('[59]ENG Input'!$A$59,Categories,0))</definedName>
    <definedName name="Item5" localSheetId="8" hidden="0" function="0" vbProcedure="0">INDEX(#ref!,0,MATCH('[59]ENG Input'!$A$73,Categories,0))</definedName>
    <definedName name="Item6" localSheetId="8" hidden="0" function="0" vbProcedure="0">INDEX(#ref!,0,MATCH('[59]ENG Input'!$A$84,Categories,0))</definedName>
    <definedName name="Item7" localSheetId="8" hidden="0" function="0" vbProcedure="0">INDEX(#ref!,0,MATCH('[59]ENG Input'!$A$95,Categories,0))</definedName>
    <definedName name="Item8" localSheetId="8" hidden="0" function="0" vbProcedure="0">INDEX(#ref!,0,MATCH('[59]ENG Input'!$A$106,Categories,0))</definedName>
    <definedName name="Item9" localSheetId="8" hidden="0" function="0" vbProcedure="0">INDEX(#ref!,0,MATCH('[59]ENG Input'!$A$117,Categories,0))</definedName>
    <definedName name="J" localSheetId="8" hidden="1" function="0" vbProcedure="0">#ref!</definedName>
    <definedName name="janrupees" localSheetId="8" hidden="0" function="0" vbProcedure="0">'[147]Cash Expense January-96'!$H$6</definedName>
    <definedName name="jena_9" localSheetId="8" hidden="0" function="0" vbProcedure="0">#ref!</definedName>
    <definedName name="JEYJD" localSheetId="8" hidden="0" function="0" vbProcedure="0">'[140]tally checklist'!jeyjd</definedName>
    <definedName name="jj" localSheetId="8" hidden="1" function="0" vbProcedure="0">#ref!</definedName>
    <definedName name="JK" localSheetId="8" hidden="0" function="0" vbProcedure="0">'[148]CSG13'!$B$5</definedName>
    <definedName name="JobCenterID" localSheetId="8" hidden="0" function="0" vbProcedure="0">'[94]Job Technical Info'!$C$10</definedName>
    <definedName name="JobEndDate" localSheetId="8" hidden="0" function="0" vbProcedure="0">'[138]job info sheet'!#ref!</definedName>
    <definedName name="JobLogCustSig" localSheetId="8" hidden="0" function="0" vbProcedure="0">#ref!</definedName>
    <definedName name="JobNumber" localSheetId="8" hidden="0" function="0" vbProcedure="0">'[129]Front Page Info'!$C$4</definedName>
    <definedName name="jobpurpose1" localSheetId="8" hidden="0" function="0" vbProcedure="0">[132]Data!$L$1:$L$65536</definedName>
    <definedName name="JobType" localSheetId="8" hidden="0" function="0" vbProcedure="0">[6]Sheet1!$A$11:$A$16</definedName>
    <definedName name="Jobtype1" localSheetId="8" hidden="0" function="0" vbProcedure="0">[132]Data!$N$1:$N$65536</definedName>
    <definedName name="Job_date" localSheetId="8" hidden="0" function="0" vbProcedure="0">'[108]TCP-BHA'!$D$5</definedName>
    <definedName name="Job_Name" localSheetId="8" hidden="0" function="0" vbProcedure="0">'[30]Liner Job Info'!$E$5</definedName>
    <definedName name="Job_Type" localSheetId="8" hidden="0" function="0" vbProcedure="0">'[12]JCSI 12'!$AB$29:$AB$42</definedName>
    <definedName name="JointNumber" localSheetId="8" hidden="0" function="0" vbProcedure="0">[96]!JointNumber</definedName>
    <definedName name="JOINTNUMBER23" localSheetId="8" hidden="0" function="0" vbProcedure="0">[72]!JointNumber</definedName>
    <definedName name="JOINTNYMBER4" localSheetId="8" hidden="0" function="0" vbProcedure="0">[72]!JointNumber</definedName>
    <definedName name="JOYCE" localSheetId="8" hidden="1" function="0" vbProcedure="0">#ref!</definedName>
    <definedName name="JRJTRJT" localSheetId="8" hidden="0" function="0" vbProcedure="0">'[140]tally checklist'!jrjtrjt</definedName>
    <definedName name="JT" localSheetId="8" hidden="0" function="0" vbProcedure="0">[197]!JointNumber</definedName>
    <definedName name="JtCount" localSheetId="8" hidden="0" function="0" vbProcedure="0">'[76]casing talley'!#ref!</definedName>
    <definedName name="JTNFN" localSheetId="8" hidden="0" function="0" vbProcedure="0">'[140]tally checklist'!jtnfn</definedName>
    <definedName name="jun" localSheetId="8" hidden="1" function="0" vbProcedure="0">{#N/A,#N/A,FALSE,"Sheet1"}</definedName>
    <definedName name="June" localSheetId="8" hidden="1" function="0" vbProcedure="0">{#N/A,#N/A,FALSE,"Sheet1"}</definedName>
    <definedName name="June1" localSheetId="8" hidden="1" function="0" vbProcedure="0">{#N/A,#N/A,FALSE,"Sheet1"}</definedName>
    <definedName name="junk" localSheetId="8" hidden="1" function="0" vbProcedure="0">{#N/A,#N/A,FALSE,"Volume"}</definedName>
    <definedName name="junk1" localSheetId="8" hidden="1" function="0" vbProcedure="0">{#N/A,#N/A,FALSE,"Volume"}</definedName>
    <definedName name="junk2" localSheetId="8" hidden="1" function="0" vbProcedure="0">{#N/A,#N/A,FALSE,"Volume"}</definedName>
    <definedName name="junk3" localSheetId="8" hidden="1" function="0" vbProcedure="0">{#N/A,#N/A,FALSE,"Volume"}</definedName>
    <definedName name="junk4" localSheetId="8" hidden="1" function="0" vbProcedure="0">{#N/A,#N/A,FALSE,"Volume"}</definedName>
    <definedName name="k" localSheetId="8" hidden="1" function="0" vbProcedure="0">#ref!</definedName>
    <definedName name="Kill_Fluid_Type" localSheetId="8" hidden="0" function="0" vbProcedure="0">'[108]TCP-BHA'!$G$7</definedName>
    <definedName name="Kill_Fluid_Wt" localSheetId="8" hidden="0" function="0" vbProcedure="0">'[108]TCP-BHA'!$F$7</definedName>
    <definedName name="KK" localSheetId="8" hidden="0" function="0" vbProcedure="0">[27]!Macro1</definedName>
    <definedName name="KL" localSheetId="8" hidden="0" function="0" vbProcedure="0">[149]BHA!$C$4</definedName>
    <definedName name="KO" localSheetId="8" hidden="0" function="0" vbProcedure="0">'[148]CSG13'!$F$6</definedName>
    <definedName name="KRR" localSheetId="8" hidden="0" function="0" vbProcedure="0">'[140]tally checklist'!krr</definedName>
    <definedName name="KUYUKR" localSheetId="8" hidden="0" function="0" vbProcedure="0">'[140]tally checklist'!kuyukr</definedName>
    <definedName name="K_1" localSheetId="8" hidden="0" function="0" vbProcedure="0">#ref!</definedName>
    <definedName name="K_2" localSheetId="8" hidden="0" function="0" vbProcedure="0">#ref!</definedName>
    <definedName name="K_Dual" localSheetId="8" hidden="0" function="0" vbProcedure="0">#ref!</definedName>
    <definedName name="L" localSheetId="8" hidden="0" function="0" vbProcedure="0">#ref!</definedName>
    <definedName name="landoffshore" localSheetId="8" hidden="0" function="0" vbProcedure="0">[54]data!#ref!</definedName>
    <definedName name="LastCsgString" localSheetId="8" hidden="0" function="0" vbProcedure="0">[109]DATA!$AU$2:$AU$4</definedName>
    <definedName name="latlong" localSheetId="8" hidden="0" function="0" vbProcedure="0">'[126]Call Sheet'!$P$7</definedName>
    <definedName name="LC" localSheetId="8" hidden="0" function="0" vbProcedure="0">INDEX([111]DRAW!$J$13:$K$22,MATCH([112]AUTO_DHWS!$BC$4,[111]DRAW!$J$13:$J$22,0),2)</definedName>
    <definedName name="LCJobType" localSheetId="8" hidden="0" function="0" vbProcedure="0">'[94]Installation Results #1'!$C$306</definedName>
    <definedName name="LC_TYPE" localSheetId="8" hidden="0" function="0" vbProcedure="0">INDEX([111]DRAW!$P$68:$Q$70,MATCH([111]DRAW!$Q$67,[111]DRAW!$P$68:$P$70,0),2)</definedName>
    <definedName name="Lead_Slurry_in_12.25__OH" localSheetId="8" hidden="0" function="0" vbProcedure="0">'[150]Cmt Csg'!$C$6</definedName>
    <definedName name="lease" localSheetId="8" hidden="0" function="0" vbProcedure="0">[5]WTR!$I$6</definedName>
    <definedName name="Lease1" localSheetId="8" hidden="0" function="0" vbProcedure="0">'[108]TCP-BHA'!$A$7</definedName>
    <definedName name="Length" localSheetId="8" hidden="0" function="0" vbProcedure="0">#ref!</definedName>
    <definedName name="Lengths" localSheetId="8"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8" hidden="0" function="0" vbProcedure="0">[125]Sheet2!$C$1:$C$5</definedName>
    <definedName name="Liner1_Burst" localSheetId="8" hidden="0" function="0" vbProcedure="0">'[109]Metric Conversions'!$B$45</definedName>
    <definedName name="Liner1_Burstz" localSheetId="8" hidden="0" function="0" vbProcedure="0">'[109]Liner Job Info'!$J$17</definedName>
    <definedName name="Liner1_Cap" localSheetId="8" hidden="0" function="0" vbProcedure="0">'[109]Liner Job Info'!$P$17</definedName>
    <definedName name="Liner1_Collapsez" localSheetId="8" hidden="0" function="0" vbProcedure="0">'[109]Liner Job Info'!$L$17</definedName>
    <definedName name="Liner1_ID" localSheetId="8" hidden="0" function="0" vbProcedure="0">'[109]Liner Job Info'!$D$17</definedName>
    <definedName name="Liner1_Length" localSheetId="8" hidden="0" function="0" vbProcedure="0">'[130]Metric Conversions'!$B$17</definedName>
    <definedName name="Liner1_Lengthz" localSheetId="8" hidden="0" function="0" vbProcedure="0">'[109]Liner Job Info'!$R$17</definedName>
    <definedName name="Liner1_OD" localSheetId="8" hidden="0" function="0" vbProcedure="0">'[130]Liner Job Info'!$C$17</definedName>
    <definedName name="Liner1_Thread" localSheetId="8" hidden="0" function="0" vbProcedure="0">'[130]Liner Job Info'!$H$17</definedName>
    <definedName name="Liner1_Wt_in_Mud" localSheetId="8" hidden="0" function="0" vbProcedure="0">'[109]Weight Calculations'!$H$16</definedName>
    <definedName name="Liner1_Wt_Per_Ft" localSheetId="8" hidden="0" function="0" vbProcedure="0">'[130]Liner Job Info'!$E$17</definedName>
    <definedName name="Liner2_Burst" localSheetId="8" hidden="0" function="0" vbProcedure="0">'[109]Metric Conversions'!$B$46</definedName>
    <definedName name="Liner2_Burstz" localSheetId="8" hidden="0" function="0" vbProcedure="0">'[109]Liner Job Info'!$J$18</definedName>
    <definedName name="Liner2_Cap" localSheetId="8" hidden="0" function="0" vbProcedure="0">'[109]Liner Job Info'!$P$18</definedName>
    <definedName name="Liner2_Collapsez" localSheetId="8" hidden="0" function="0" vbProcedure="0">'[109]Liner Job Info'!$L$18</definedName>
    <definedName name="Liner2_ID" localSheetId="8" hidden="0" function="0" vbProcedure="0">'[109]Liner Job Info'!$D$18</definedName>
    <definedName name="Liner2_Length" localSheetId="8" hidden="0" function="0" vbProcedure="0">'[130]Metric Conversions'!$B$18</definedName>
    <definedName name="Liner2_Lengthz" localSheetId="8" hidden="0" function="0" vbProcedure="0">'[109]Liner Job Info'!$R$18</definedName>
    <definedName name="Liner2_OD" localSheetId="8" hidden="0" function="0" vbProcedure="0">'[130]Liner Job Info'!$C$18</definedName>
    <definedName name="Liner2_Thread" localSheetId="8" hidden="0" function="0" vbProcedure="0">'[130]Liner Job Info'!$H$18</definedName>
    <definedName name="Liner2_Wt_in_Mud" localSheetId="8" hidden="0" function="0" vbProcedure="0">'[109]Weight Calculations'!$H$17</definedName>
    <definedName name="Liner2_Wt_Per_FT" localSheetId="8" hidden="0" function="0" vbProcedure="0">'[130]Liner Job Info'!$E$18</definedName>
    <definedName name="Linertype" localSheetId="8" hidden="0" function="0" vbProcedure="0">[109]DATA!$W$2:$W$12</definedName>
    <definedName name="Liner_I.D." localSheetId="8" hidden="0" function="0" vbProcedure="0">'[108]Job Calculation Sheet'!$F$14</definedName>
    <definedName name="Liner_ID_Area" localSheetId="8" hidden="0" function="0" vbProcedure="0">[109]Test!$V$40</definedName>
    <definedName name="Liner_Size" localSheetId="8" hidden="0" function="0" vbProcedure="0">'[108]Pre-Job Info Sheet'!$D$17</definedName>
    <definedName name="Liner_Top__MD" localSheetId="8" hidden="0" function="0" vbProcedure="0">'[108]Pre-Job Info Sheet'!$D$19</definedName>
    <definedName name="Liner_Weight" localSheetId="8" hidden="0" function="0" vbProcedure="0">'[108]Pre-Job Info Sheet'!$D$18</definedName>
    <definedName name="lkj" localSheetId="8" hidden="1" function="0" vbProcedure="0">[103]Run!$B$18:$B$512</definedName>
    <definedName name="Lnr1_Grade" localSheetId="8" hidden="0" function="0" vbProcedure="0">'[130]Liner Job Info'!$F$17</definedName>
    <definedName name="Lnr1_Vol" localSheetId="8" hidden="0" function="0" vbProcedure="0">'[109]Metric Conversions'!$B$77</definedName>
    <definedName name="Lnr1_Volz" localSheetId="8" hidden="0" function="0" vbProcedure="0">'[109]Metric Conversions'!$C$77</definedName>
    <definedName name="Lnr1_X_OH_Volz" localSheetId="8" hidden="0" function="0" vbProcedure="0">'[109]Metric Conversions'!$C$82</definedName>
    <definedName name="Lnr2_Grade" localSheetId="8" hidden="0" function="0" vbProcedure="0">'[130]Liner Job Info'!$F$18</definedName>
    <definedName name="Lnr2_Vol" localSheetId="8" hidden="0" function="0" vbProcedure="0">'[109]Metric Conversions'!$B$78</definedName>
    <definedName name="Lnr2_Volz" localSheetId="8" hidden="0" function="0" vbProcedure="0">'[109]Metric Conversions'!$C$78</definedName>
    <definedName name="Lnr2_X_OH_Volz" localSheetId="8" hidden="0" function="0" vbProcedure="0">'[109]Metric Conversions'!$C$83</definedName>
    <definedName name="LnrDrift1" localSheetId="8" hidden="0" function="0" vbProcedure="0">'[94]Job Technical Info'!$G$29</definedName>
    <definedName name="LnrDrift2" localSheetId="8" hidden="0" function="0" vbProcedure="0">'[94]Job Technical Info'!$G$30</definedName>
    <definedName name="LnrGrd1" localSheetId="8" hidden="0" function="0" vbProcedure="0">'[94]Job Technical Info'!$H$29</definedName>
    <definedName name="LnrGrd2" localSheetId="8" hidden="0" function="0" vbProcedure="0">'[94]Job Technical Info'!$H$30</definedName>
    <definedName name="LnrID1" localSheetId="8" hidden="0" function="0" vbProcedure="0">'[94]Job Technical Info'!$F$29</definedName>
    <definedName name="LnrID2" localSheetId="8" hidden="0" function="0" vbProcedure="0">'[94]Job Technical Info'!$F$30</definedName>
    <definedName name="LnrSz1" localSheetId="8" hidden="0" function="0" vbProcedure="0">'[94]Job Technical Info'!$D$29</definedName>
    <definedName name="LnrSz2" localSheetId="8" hidden="0" function="0" vbProcedure="0">'[94]Job Technical Info'!$D$30</definedName>
    <definedName name="LnrThd1" localSheetId="8" hidden="0" function="0" vbProcedure="0">'[94]Job Technical Info'!$J$29</definedName>
    <definedName name="LnrThd2" localSheetId="8" hidden="0" function="0" vbProcedure="0">'[94]Job Technical Info'!$J$30</definedName>
    <definedName name="LnrWt1" localSheetId="8" hidden="0" function="0" vbProcedure="0">'[94]Job Technical Info'!$E$29</definedName>
    <definedName name="LnrWt2" localSheetId="8" hidden="0" function="0" vbProcedure="0">'[94]Job Technical Info'!$E$30</definedName>
    <definedName name="Lnr_Shoe_Depth" localSheetId="8" hidden="0" function="0" vbProcedure="0">'[130]Metric Conversions'!$B$29</definedName>
    <definedName name="Loaded" localSheetId="8" hidden="0" function="0" vbProcedure="0">'[108]Pre-Job Info Sheet'!$B$19</definedName>
    <definedName name="Location" localSheetId="8" hidden="0" function="0" vbProcedure="0">[60]auf_screen!#ref!</definedName>
    <definedName name="LOGGER" localSheetId="8" hidden="0" function="0" vbProcedure="0">[202]!Calculate_Pipe</definedName>
    <definedName name="loudout" localSheetId="8" hidden="1" function="0" vbProcedure="0">[151]Run!$D$15:$D$512</definedName>
    <definedName name="LS" localSheetId="8" hidden="0" function="0" vbProcedure="0">'[189]amberjack a32ream'!#ref!</definedName>
    <definedName name="LSA" localSheetId="8" hidden="0" function="0" vbProcedure="0">[206]!Calculate_Pipe</definedName>
    <definedName name="LSD" localSheetId="8" hidden="0" function="0" vbProcedure="0">'[138]job info sheet'!#ref!</definedName>
    <definedName name="LTP" localSheetId="8" hidden="0" function="0" vbProcedure="0">INDEX([111]DRAW!$D$14:$E$15,MATCH([112]AUTO_DHWS!$BB$7,[111]DRAW!$D$14:$D$15,0),2)</definedName>
    <definedName name="M" localSheetId="8" hidden="1" function="0" vbProcedure="0">#ref!</definedName>
    <definedName name="Macro1" localSheetId="8" hidden="0" function="0" vbProcedure="0">[16]!Macro1</definedName>
    <definedName name="Macro112" localSheetId="8" hidden="0" function="0" vbProcedure="0">[56]!Macro59</definedName>
    <definedName name="Macro2" localSheetId="8" hidden="0" function="0" vbProcedure="0">[27]!Macro2</definedName>
    <definedName name="Macro22" localSheetId="8" hidden="0" function="0" vbProcedure="0">[27]!Macro22</definedName>
    <definedName name="Macro22_1" localSheetId="8" hidden="0" function="0" vbProcedure="0">'COVER PAGE '!Macro22</definedName>
    <definedName name="Macro22_10" localSheetId="8" hidden="0" function="0" vbProcedure="0">'COVER PAGE '!Macro22</definedName>
    <definedName name="Macro22_11" localSheetId="8" hidden="0" function="0" vbProcedure="0">'COVER PAGE '!Macro22</definedName>
    <definedName name="Macro22_2" localSheetId="8" hidden="0" function="0" vbProcedure="0">'COVER PAGE '!Macro22</definedName>
    <definedName name="Macro22_3" localSheetId="8" hidden="0" function="0" vbProcedure="0">'COVER PAGE '!Macro22</definedName>
    <definedName name="Macro22_4" localSheetId="8" hidden="0" function="0" vbProcedure="0">'COVER PAGE '!Macro22</definedName>
    <definedName name="Macro22_5" localSheetId="8" hidden="0" function="0" vbProcedure="0">'COVER PAGE '!Macro22</definedName>
    <definedName name="Macro22_6" localSheetId="8" hidden="0" function="0" vbProcedure="0">'COVER PAGE '!Macro22</definedName>
    <definedName name="Macro22_7" localSheetId="8" hidden="0" function="0" vbProcedure="0">'COVER PAGE '!Macro22</definedName>
    <definedName name="Macro22_8" localSheetId="8" hidden="0" function="0" vbProcedure="0">'COVER PAGE '!Macro22</definedName>
    <definedName name="Macro22_9" localSheetId="8" hidden="0" function="0" vbProcedure="0">'COVER PAGE '!Macro22</definedName>
    <definedName name="Macro233" localSheetId="8" hidden="0" function="0" vbProcedure="0">[27]!Macro1</definedName>
    <definedName name="Macro2_1" localSheetId="8" hidden="0" function="0" vbProcedure="0">'COVER PAGE '!Macro2</definedName>
    <definedName name="Macro2_10" localSheetId="8" hidden="0" function="0" vbProcedure="0">'COVER PAGE '!Macro2</definedName>
    <definedName name="Macro2_11" localSheetId="8" hidden="0" function="0" vbProcedure="0">'COVER PAGE '!Macro2</definedName>
    <definedName name="Macro2_2" localSheetId="8" hidden="0" function="0" vbProcedure="0">'COVER PAGE '!Macro2</definedName>
    <definedName name="Macro2_3" localSheetId="8" hidden="0" function="0" vbProcedure="0">'COVER PAGE '!Macro2</definedName>
    <definedName name="Macro2_4" localSheetId="8" hidden="0" function="0" vbProcedure="0">'COVER PAGE '!Macro2</definedName>
    <definedName name="Macro2_5" localSheetId="8" hidden="0" function="0" vbProcedure="0">'COVER PAGE '!Macro2</definedName>
    <definedName name="Macro2_6" localSheetId="8" hidden="0" function="0" vbProcedure="0">'COVER PAGE '!Macro2</definedName>
    <definedName name="Macro2_7" localSheetId="8" hidden="0" function="0" vbProcedure="0">'COVER PAGE '!Macro2</definedName>
    <definedName name="Macro2_8" localSheetId="8" hidden="0" function="0" vbProcedure="0">'COVER PAGE '!Macro2</definedName>
    <definedName name="Macro2_9" localSheetId="8" hidden="0" function="0" vbProcedure="0">'COVER PAGE '!Macro2</definedName>
    <definedName name="Macro3" localSheetId="8" hidden="0" function="0" vbProcedure="0">[27]!Macro3</definedName>
    <definedName name="Macro3_1" localSheetId="8" hidden="0" function="0" vbProcedure="0">'COVER PAGE '!Macro3</definedName>
    <definedName name="Macro3_10" localSheetId="8" hidden="0" function="0" vbProcedure="0">'COVER PAGE '!Macro3</definedName>
    <definedName name="Macro3_11" localSheetId="8" hidden="0" function="0" vbProcedure="0">'COVER PAGE '!Macro3</definedName>
    <definedName name="Macro3_2" localSheetId="8" hidden="0" function="0" vbProcedure="0">'COVER PAGE '!Macro3</definedName>
    <definedName name="Macro3_3" localSheetId="8" hidden="0" function="0" vbProcedure="0">'COVER PAGE '!Macro3</definedName>
    <definedName name="Macro3_4" localSheetId="8" hidden="0" function="0" vbProcedure="0">'COVER PAGE '!Macro3</definedName>
    <definedName name="Macro3_5" localSheetId="8" hidden="0" function="0" vbProcedure="0">'COVER PAGE '!Macro3</definedName>
    <definedName name="Macro3_6" localSheetId="8" hidden="0" function="0" vbProcedure="0">'COVER PAGE '!Macro3</definedName>
    <definedName name="Macro3_7" localSheetId="8" hidden="0" function="0" vbProcedure="0">'COVER PAGE '!Macro3</definedName>
    <definedName name="Macro3_8" localSheetId="8" hidden="0" function="0" vbProcedure="0">'COVER PAGE '!Macro3</definedName>
    <definedName name="Macro3_9" localSheetId="8" hidden="0" function="0" vbProcedure="0">'COVER PAGE '!Macro3</definedName>
    <definedName name="Make_Up_Torque_Of_Weak_Link" localSheetId="8" hidden="0" function="0" vbProcedure="0">'[109]Liner Job Info'!$P$50</definedName>
    <definedName name="MaPSDensity" localSheetId="8" hidden="0" function="0" vbProcedure="0">'[94]SetUp Tab'!$G$25</definedName>
    <definedName name="MaPSDiameter" localSheetId="8" hidden="0" function="0" vbProcedure="0">'[94]SetUp Tab'!$G$23</definedName>
    <definedName name="MaPSFlowRate" localSheetId="8" hidden="0" function="0" vbProcedure="0">'[94]SetUp Tab'!$G$26</definedName>
    <definedName name="MaPSLength" localSheetId="8" hidden="0" function="0" vbProcedure="0">'[94]SetUp Tab'!$E$23</definedName>
    <definedName name="MaPSMass" localSheetId="8" hidden="0" function="0" vbProcedure="0">[94]Lists!$BJ$3</definedName>
    <definedName name="MaPSPressure" localSheetId="8" hidden="0" function="0" vbProcedure="0">'[94]SetUp Tab'!$G$24</definedName>
    <definedName name="MaPSTemp" localSheetId="8" hidden="0" function="0" vbProcedure="0">'[94]SetUp Tab'!$E$26</definedName>
    <definedName name="MaPSWeight" localSheetId="8" hidden="0" function="0" vbProcedure="0">'[94]SetUp Tab'!$E$24</definedName>
    <definedName name="marrupees" localSheetId="8" hidden="0" function="0" vbProcedure="0">'[152]Cash Expsense March-96'!$H$6</definedName>
    <definedName name="MassUnit" localSheetId="8" hidden="0" function="0" vbProcedure="0">'[43]Metric Conversions'!$C$221</definedName>
    <definedName name="Material" localSheetId="8" hidden="0" function="0" vbProcedure="0">[109]DATA!$I$3:$I$22</definedName>
    <definedName name="Max._Deviation" localSheetId="8" hidden="0" function="0" vbProcedure="0">'[108]Pre-Job Info Sheet'!$B$36</definedName>
    <definedName name="MaxDev" localSheetId="8" hidden="0" function="0" vbProcedure="0">'[94]Job Technical Info'!$F$41</definedName>
    <definedName name="Max_Bump_psi" localSheetId="8" hidden="0" function="0" vbProcedure="0">'[109]Metric Conversions'!$B$59</definedName>
    <definedName name="Max_Bump_psiz" localSheetId="8" hidden="0" function="0" vbProcedure="0">'[109]Metric Conversions'!$C$59</definedName>
    <definedName name="Max_Test_Cmt_Setup" localSheetId="8" hidden="0" function="0" vbProcedure="0">'[109]Metric Conversions'!$B$62</definedName>
    <definedName name="Max_Test_Cmt_Setupz" localSheetId="8" hidden="0" function="0" vbProcedure="0">'[109]Metric Conversions'!$C$62</definedName>
    <definedName name="Max_Test_Seals_In" localSheetId="8" hidden="0" function="0" vbProcedure="0">'[109]Metric Conversions'!$B$61</definedName>
    <definedName name="Max_Test_Seals_Inz" localSheetId="8" hidden="0" function="0" vbProcedure="0">'[109]Metric Conversions'!$C$61</definedName>
    <definedName name="Max_test_seals_out" localSheetId="8" hidden="0" function="0" vbProcedure="0">'[109]Metric Conversions'!$B$60</definedName>
    <definedName name="Max_test_seals_outz" localSheetId="8" hidden="0" function="0" vbProcedure="0">'[109]Metric Conversions'!$C$60</definedName>
    <definedName name="Max_Turns" localSheetId="8" hidden="0" function="0" vbProcedure="0">'[109]Weight Calculations'!$T$36</definedName>
    <definedName name="MDData" localSheetId="8" hidden="0" function="0" vbProcedure="0">OFFSET([27]!MDForInclination,2,0,COUNT(#ref!),1)</definedName>
    <definedName name="MeteringTime" localSheetId="8" hidden="0" function="0" vbProcedure="0">[109]DATA!$BG$2:$BG$42</definedName>
    <definedName name="Min._Ten_Sett_Tool_Assy" localSheetId="8" hidden="0" function="0" vbProcedure="0">'[109]Weight Calculations'!$S$60</definedName>
    <definedName name="Min_DP_Tens" localSheetId="8" hidden="0" function="0" vbProcedure="0">'[109]Weight Calculations'!$W$61</definedName>
    <definedName name="Min_Ft_Release_RH" localSheetId="8" hidden="0" function="0" vbProcedure="0">'[109]Metric Conversions'!$B$39</definedName>
    <definedName name="Min_Ft_Release_RHz" localSheetId="8" hidden="0" function="0" vbProcedure="0">'[109]Metric Conversions'!$C$39</definedName>
    <definedName name="mobile" localSheetId="8" hidden="0" function="0" vbProcedure="0">'[126]Call Sheet'!$R$5</definedName>
    <definedName name="Module1.draw_productionfirst" localSheetId="8" hidden="0" function="0" vbProcedure="0">'[140]tally checklist'!module1.draw_productionfirst</definedName>
    <definedName name="Module1.draw_productionsecond" localSheetId="8" hidden="0" function="0" vbProcedure="0">'[140]tally checklist'!module1.draw_productionsecond</definedName>
    <definedName name="Module1.impdwg" localSheetId="8" hidden="0" function="0" vbProcedure="0">[27]!Module1.impdwg</definedName>
    <definedName name="Module1.impdwg_1" localSheetId="8" hidden="0" function="0" vbProcedure="0">'COVER PAGE '!Module1.impdwg</definedName>
    <definedName name="Module1.impdwg_10" localSheetId="8" hidden="0" function="0" vbProcedure="0">'COVER PAGE '!Module1.impdwg</definedName>
    <definedName name="Module1.impdwg_11" localSheetId="8" hidden="0" function="0" vbProcedure="0">'COVER PAGE '!Module1.impdwg</definedName>
    <definedName name="Module1.impdwg_2" localSheetId="8" hidden="0" function="0" vbProcedure="0">'COVER PAGE '!Module1.impdwg</definedName>
    <definedName name="Module1.impdwg_3" localSheetId="8" hidden="0" function="0" vbProcedure="0">'COVER PAGE '!Module1.impdwg</definedName>
    <definedName name="Module1.impdwg_4" localSheetId="8" hidden="0" function="0" vbProcedure="0">'COVER PAGE '!Module1.impdwg</definedName>
    <definedName name="Module1.impdwg_5" localSheetId="8" hidden="0" function="0" vbProcedure="0">'COVER PAGE '!Module1.impdwg</definedName>
    <definedName name="Module1.impdwg_6" localSheetId="8" hidden="0" function="0" vbProcedure="0">'COVER PAGE '!Module1.impdwg</definedName>
    <definedName name="Module1.impdwg_7" localSheetId="8" hidden="0" function="0" vbProcedure="0">'COVER PAGE '!Module1.impdwg</definedName>
    <definedName name="Module1.impdwg_8" localSheetId="8" hidden="0" function="0" vbProcedure="0">'COVER PAGE '!Module1.impdwg</definedName>
    <definedName name="Module1.impdwg_9" localSheetId="8" hidden="0" function="0" vbProcedure="0">'COVER PAGE '!Module1.impdwg</definedName>
    <definedName name="Module4.drawblanks" localSheetId="8" hidden="0" function="0" vbProcedure="0">'[140]tally checklist'!module4.drawblanks</definedName>
    <definedName name="Module4.drawlinerfirst" localSheetId="8" hidden="0" function="0" vbProcedure="0">'[140]tally checklist'!module4.drawlinerfirst</definedName>
    <definedName name="Module4.drawlinersecond" localSheetId="8" hidden="0" function="0" vbProcedure="0">'[140]tally checklist'!module4.drawlinersecond</definedName>
    <definedName name="Module4.drawmiscellaneous" localSheetId="8" hidden="0" function="0" vbProcedure="0">'[140]tally checklist'!module4.drawmiscellaneous</definedName>
    <definedName name="Module4.drawproductionfirst" localSheetId="8" hidden="0" function="0" vbProcedure="0">'[140]tally checklist'!module4.drawproductionfirst</definedName>
    <definedName name="Module4.drawproductionsecond" localSheetId="8" hidden="0" function="0" vbProcedure="0">'[140]tally checklist'!module4.drawproductionsecond</definedName>
    <definedName name="Module4.drawquantum" localSheetId="8" hidden="0" function="0" vbProcedure="0">'[140]tally checklist'!module4.drawquantum</definedName>
    <definedName name="Module4.drawscreens" localSheetId="8" hidden="0" function="0" vbProcedure="0">'[140]tally checklist'!module4.drawscreens</definedName>
    <definedName name="Module4.drawshearsubs" localSheetId="8" hidden="0" function="0" vbProcedure="0">'[140]tally checklist'!module4.drawshearsubs</definedName>
    <definedName name="Module4.drawsump" localSheetId="8" hidden="0" function="0" vbProcedure="0">'[140]tally checklist'!module4.drawsump</definedName>
    <definedName name="Module4.textfive" localSheetId="8" hidden="0" function="0" vbProcedure="0">'[140]tally checklist'!module4.textfive</definedName>
    <definedName name="Module4.textfivehalf" localSheetId="8" hidden="0" function="0" vbProcedure="0">'[140]tally checklist'!module4.textfivehalf</definedName>
    <definedName name="Module4.textninefiveeightfourfirst" localSheetId="8" hidden="0" function="0" vbProcedure="0">'[140]tally checklist'!module4.textninefiveeightfourfirst</definedName>
    <definedName name="Module4.textninefiveeightfoursecond" localSheetId="8" hidden="0" function="0" vbProcedure="0">'[140]tally checklist'!module4.textninefiveeightfoursecond</definedName>
    <definedName name="Module4.textninefiveeightsixfirst" localSheetId="8" hidden="0" function="0" vbProcedure="0">'[140]tally checklist'!module4.textninefiveeightsixfirst</definedName>
    <definedName name="Module4.textninefiveeightsixsecond" localSheetId="8" hidden="0" function="0" vbProcedure="0">'[140]tally checklist'!module4.textninefiveeightsixsecond</definedName>
    <definedName name="Module4.textsevenfiveeightfour" localSheetId="8" hidden="0" function="0" vbProcedure="0">'[140]tally checklist'!module4.textsevenfiveeightfour</definedName>
    <definedName name="Module4.textsevenfiveeightthree" localSheetId="8" hidden="0" function="0" vbProcedure="0">'[140]tally checklist'!module4.textsevenfiveeightthree</definedName>
    <definedName name="Module4.textsevenfour" localSheetId="8" hidden="0" function="0" vbProcedure="0">'[140]tally checklist'!module4.textsevenfour</definedName>
    <definedName name="Module4.textseventhree" localSheetId="8" hidden="0" function="0" vbProcedure="0">'[140]tally checklist'!module4.textseventhree</definedName>
    <definedName name="MOE" localSheetId="8" hidden="0" function="0" vbProcedure="0">#ref!</definedName>
    <definedName name="Month" localSheetId="8" hidden="0" function="0" vbProcedure="0">[60]auf_screen!#ref!</definedName>
    <definedName name="MorningReport" localSheetId="8" hidden="0" function="0" vbProcedure="0">'[211]morning report'!#ref!</definedName>
    <definedName name="mr" localSheetId="8" hidden="1" function="0" vbProcedure="0">{#N/A,#N/A,FALSE,"Sheet1"}</definedName>
    <definedName name="Mudtype" localSheetId="8" hidden="0" function="0" vbProcedure="0">[109]DATA!$N$2:$N$18</definedName>
    <definedName name="Mudwt" localSheetId="8" hidden="0" function="0" vbProcedure="0">"Dialog2_Edit Box 5"</definedName>
    <definedName name="Mud_Type" localSheetId="8" hidden="0" function="0" vbProcedure="0">'[7]Drop-Down Items'!$D$4:$D$14</definedName>
    <definedName name="Mud_Wt" localSheetId="8" hidden="0" function="0" vbProcedure="0">'[130]Metric Conversions'!$B$66</definedName>
    <definedName name="Mud_Wtz" localSheetId="8" hidden="0" function="0" vbProcedure="0">'[109]Liner Job Info'!$D$31</definedName>
    <definedName name="MULE_SHOE_DEPTH" localSheetId="8" hidden="0" function="0" vbProcedure="0">'[113]#REF'!$F$182</definedName>
    <definedName name="MW" localSheetId="8" hidden="0" function="0" vbProcedure="0">#ref!,#ref!,#ref!,#ref!,#ref!</definedName>
    <definedName name="MWD" localSheetId="8" hidden="0" function="0" vbProcedure="0">[6]Sheet1!$F$10:$F$12</definedName>
    <definedName name="my" localSheetId="8" hidden="0" function="0" vbProcedure="0">[145]!JointNumber</definedName>
    <definedName name="m_choke" localSheetId="8" hidden="0" function="0" vbProcedure="0">'[93]well test sheet'!#ref!</definedName>
    <definedName name="M_Dual" localSheetId="8" hidden="0" function="0" vbProcedure="0">#ref!</definedName>
    <definedName name="n" localSheetId="8" hidden="0" function="0" vbProcedure="0">'[140]tally checklist'!n</definedName>
    <definedName name="N2_Precharge" localSheetId="8" hidden="0" function="0" vbProcedure="0">'[108]Tester Valve Calcs'!$F$16</definedName>
    <definedName name="N2_Press_DH" localSheetId="8" hidden="0" function="0" vbProcedure="0">'[108]Tester Valve Calcs'!$F$29</definedName>
    <definedName name="N2_Stroke" localSheetId="8" hidden="0" function="0" vbProcedure="0">'[108]Tester Valve Calcs'!$M$18</definedName>
    <definedName name="N2_Temp_DH" localSheetId="8" hidden="0" function="0" vbProcedure="0">'[108]Tester Valve Calcs'!$F$22</definedName>
    <definedName name="N2_Temp_Surf" localSheetId="8" hidden="0" function="0" vbProcedure="0">'[108]Tester Valve Calcs'!$F$17</definedName>
    <definedName name="N2_Vol_DH" localSheetId="8" hidden="0" function="0" vbProcedure="0">'[108]Tester Valve Calcs'!$F$25</definedName>
    <definedName name="N2_Vol_Surf" localSheetId="8" hidden="0" function="0" vbProcedure="0">'[108]Tester Valve Calcs'!$F$14</definedName>
    <definedName name="nb" localSheetId="8" hidden="0" function="0" vbProcedure="0">'[134]井口装置示意图-4'!$E$1:$E$65536</definedName>
    <definedName name="netperf" localSheetId="8" hidden="0" function="0" vbProcedure="0">[5]WTR!$G$33</definedName>
    <definedName name="NET_PERFS" localSheetId="8" hidden="0" function="0" vbProcedure="0">'[113]#REF'!$F$20</definedName>
    <definedName name="NewData" localSheetId="8" hidden="0" function="0" vbProcedure="0">'[132]New Contract'!$A$1:$G$65536</definedName>
    <definedName name="NewDes" localSheetId="8" hidden="0" function="0" vbProcedure="0">'[132]New Contract'!$A$1:$A$65536</definedName>
    <definedName name="newrisk" localSheetId="8" hidden="0" function="0" vbProcedure="0">[125]Sheet2!$D$1:$D$3</definedName>
    <definedName name="NextTD" localSheetId="8" hidden="0" function="0" vbProcedure="0">'[153]Lookahd EA'!$E$1:$N$3</definedName>
    <definedName name="ng"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8" hidden="0" function="0" vbProcedure="0">'[6]#ref'!#ref!</definedName>
    <definedName name="Nipples" localSheetId="8" hidden="0" function="0" vbProcedure="0">#ref!</definedName>
    <definedName name="NM" localSheetId="8" hidden="0" function="0" vbProcedure="0">[16]!Macro1</definedName>
    <definedName name="No" localSheetId="8" hidden="0" function="0" vbProcedure="0">'[154]BPR LOG'!$A$1:$A$1048576</definedName>
    <definedName name="NOofTools" localSheetId="8" hidden="0" function="0" vbProcedure="0">[109]DATA!$BP$2:$BP$12</definedName>
    <definedName name="NosOfTubing" localSheetId="8" hidden="0" function="0" vbProcedure="0">#ref!</definedName>
    <definedName name="O" localSheetId="8" hidden="0" function="0" vbProcedure="0">'[155]Report Long(Esso)'!$E$4</definedName>
    <definedName name="odcasing" localSheetId="8" hidden="0" function="0" vbProcedure="0">[106]Data!$J$16</definedName>
    <definedName name="ODSizes" localSheetId="8" hidden="0" function="0" vbProcedure="0">[94]Lists!$AF$3:$AF$42</definedName>
    <definedName name="ODUnit" localSheetId="8" hidden="0" function="0" vbProcedure="0">'[94]Job Technical Info'!$D$24</definedName>
    <definedName name="odworkstring" localSheetId="8" hidden="0" function="0" vbProcedure="0">[106]Data!$W$18</definedName>
    <definedName name="office" localSheetId="8" hidden="0" function="0" vbProcedure="0">'[126]Call Sheet'!$AH$5</definedName>
    <definedName name="Offshore_Block" localSheetId="8" hidden="0" function="0" vbProcedure="0">'[108]TCP-BHA'!$A$9</definedName>
    <definedName name="ogr" localSheetId="8" hidden="0" function="0" vbProcedure="0">'[156]Test Data'!$T$8:$T$16,'[156]Test Data'!$T$18:$T$122,'[156]Test Data'!$T$132:$T$247</definedName>
    <definedName name="OHoleID" localSheetId="8" hidden="0" function="0" vbProcedure="0">'[94]Job Technical Info'!$B$40</definedName>
    <definedName name="OHoleLength" localSheetId="8" hidden="0" function="0" vbProcedure="0">'[94]Job Technical Info'!$D$40</definedName>
    <definedName name="OH_Dia" localSheetId="8" hidden="0" function="0" vbProcedure="0">'[109]Liner Job Info'!$Q$14</definedName>
    <definedName name="oilrate" localSheetId="8" hidden="0" function="0" vbProcedure="0">'[93]well test sheet'!#ref!</definedName>
    <definedName name="oil_cumm" localSheetId="8" hidden="0" function="0" vbProcedure="0">'[93]well test sheet'!#ref!</definedName>
    <definedName name="omdo"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8" hidden="0" function="0" vbProcedure="0">'[157]Initial Tally'!$G$4</definedName>
    <definedName name="onefive" localSheetId="8" hidden="0" function="0" vbProcedure="0">[54]data!#ref!</definedName>
    <definedName name="OP_1" localSheetId="8" hidden="0" function="0" vbProcedure="0">[158]Data!$F$1:$F$3</definedName>
    <definedName name="OrderedLength" localSheetId="8" hidden="0" function="0" vbProcedure="0">#ref!</definedName>
    <definedName name="Overbalance" localSheetId="8" hidden="0" function="0" vbProcedure="0">'[108]Pre-Job Info Sheet'!$D$34</definedName>
    <definedName name="Overlap" localSheetId="8" hidden="0" function="0" vbProcedure="0">'[109]Metric Conversions'!$B$16</definedName>
    <definedName name="Overlapz" localSheetId="8" hidden="0" function="0" vbProcedure="0">'[109]Liner Job Info'!$R$14</definedName>
    <definedName name="Overlap_Volz" localSheetId="8" hidden="0" function="0" vbProcedure="0">'[109]Metric Conversions'!$C$84</definedName>
    <definedName name="P" localSheetId="8" hidden="1" function="0" vbProcedure="0">{#N/A,#N/A,FALSE,"Drlg Param Run 1-1";#N/A,#N/A,FALSE,"DDR (3)";#N/A,#N/A,FALSE,"BHA AT (1)";#N/A,#N/A,FALSE,"Downlinkbha";#N/A,#N/A,FALSE,"Job Status Report"}</definedName>
    <definedName name="PACKER" localSheetId="8" hidden="0" function="0" vbProcedure="0">INDEX([111]DRAW!$A$2:$B$13,MATCH([112]AUTO_DHWS!$AV$8,[111]DRAW!$A$2:$A$13,0),2)</definedName>
    <definedName name="PackerDepth" localSheetId="8" hidden="0" function="0" vbProcedure="0">'[76]casing talley'!#ref!</definedName>
    <definedName name="PACKER_2" localSheetId="8" hidden="0" function="0" vbProcedure="0">INDEX([111]DRAW!$D$13:$E$14,MATCH([112]AUTO_DHWS!$AV$12,[111]DRAW!$D$13:$D$14,0),2)</definedName>
    <definedName name="Packer_Rotation" localSheetId="8" hidden="0" function="0" vbProcedure="0">'[109]Liner Job Info'!$P$40</definedName>
    <definedName name="Packer_Set_In" localSheetId="8" hidden="0" function="0" vbProcedure="0">'[108]Pre-Job Info Sheet'!$D$22</definedName>
    <definedName name="PackOff" localSheetId="8" hidden="0" function="0" vbProcedure="0">[109]DATA!$AP$2:$AP$6</definedName>
    <definedName name="PackoffXDP1_Pist_Area" localSheetId="8" hidden="0" function="0" vbProcedure="0">'[109]Liner Job Info'!$AF$2</definedName>
    <definedName name="PackoffXDP2_Pist_Area" localSheetId="8" hidden="0" function="0" vbProcedure="0">'[109]Liner Job Info'!$AF$3</definedName>
    <definedName name="PackoffXDP3_Pist_Area" localSheetId="8" hidden="0" function="0" vbProcedure="0">'[109]Liner Job Info'!$AG$28</definedName>
    <definedName name="PackoffXDP4_Pist_Area" localSheetId="8" hidden="0" function="0" vbProcedure="0">'[109]Liner Job Info'!$AG$29</definedName>
    <definedName name="PackoffXDP5_Pist_Area" localSheetId="8" hidden="0" function="0" vbProcedure="0">'[109]Liner Job Info'!$AG$30</definedName>
    <definedName name="Packoff_Pist_Area" localSheetId="8" hidden="0" function="0" vbProcedure="0">'[109]Liner Job Info'!$AG$31</definedName>
    <definedName name="Packoff_Stinger_OD" localSheetId="8" hidden="0" function="0" vbProcedure="0">'[109]Liner Job Info'!$P$42</definedName>
    <definedName name="Para3" localSheetId="8" hidden="1" function="0" vbProcedure="0">{#N/A,#N/A,FALSE,"Drlg Param Run 1-1";#N/A,#N/A,FALSE,"DDR (3)";#N/A,#N/A,FALSE,"BHA AT (1)";#N/A,#N/A,FALSE,"Downlinkbha";#N/A,#N/A,FALSE,"Job Status Report"}</definedName>
    <definedName name="Parish" localSheetId="8" hidden="0" function="0" vbProcedure="0">'[108]TCP-BHA'!$C$9</definedName>
    <definedName name="Parish_County" localSheetId="8" hidden="0" function="0" vbProcedure="0">'[108]Pre-Job Info Sheet'!$D$9</definedName>
    <definedName name="Parts" localSheetId="8" hidden="0" function="0" vbProcedure="0">#ref!</definedName>
    <definedName name="PBTD" localSheetId="8" hidden="0" function="0" vbProcedure="0">'[76]casing talley'!#ref!</definedName>
    <definedName name="Pckr_Body_Bst" localSheetId="8" hidden="0" function="0" vbProcedure="0">'[109]Metric Conversions'!$B$52</definedName>
    <definedName name="Pckr_Body_Bstz" localSheetId="8" hidden="0" function="0" vbProcedure="0">'[109]Liner Job Info'!$P$32</definedName>
    <definedName name="Pckr_Body_Collz" localSheetId="8" hidden="0" function="0" vbProcedure="0">'[109]Liner Job Info'!$P$33</definedName>
    <definedName name="Pckr_Body_Tens" localSheetId="8" hidden="0" function="0" vbProcedure="0">'[109]Liner Job Info'!$P$34</definedName>
    <definedName name="Pckr_Seal_Surf_OD" localSheetId="8" hidden="0" function="0" vbProcedure="0">'[109]Liner Job Info'!$P$31</definedName>
    <definedName name="Pckr_Sett_Force" localSheetId="8" hidden="0" function="0" vbProcedure="0">'[109]Liner Job Info'!$P$39</definedName>
    <definedName name="PDHG_2" localSheetId="8" hidden="0" function="0" vbProcedure="0">INDEX([111]DRAW!$A$2:$B$13,MATCH([112]AUTO_DHWS!$AV$13,[111]DRAW!$A$2:$A$13,0),2)</definedName>
    <definedName name="PD_SOFTWARE" localSheetId="8" hidden="0" function="0" vbProcedure="0">[129]RSS!$J$148:$J$152</definedName>
    <definedName name="PD_STAB" localSheetId="8" hidden="0" function="0" vbProcedure="0">[129]RSS!$R$131:$R$160</definedName>
    <definedName name="PEIGHT_TOTAL" localSheetId="8" hidden="0" function="0" vbProcedure="0">[234]index!#ref!</definedName>
    <definedName name="Perf._Interval" localSheetId="8" hidden="0" function="0" vbProcedure="0">'[108]Pre-Job Info Sheet'!$B$17</definedName>
    <definedName name="Perf._Interval_2" localSheetId="8" hidden="0" function="0" vbProcedure="0">'[108]Pre-Job Info Sheet'!$B$18</definedName>
    <definedName name="perfbottom" localSheetId="8" hidden="0" function="0" vbProcedure="0">[5]WTR!$I$32</definedName>
    <definedName name="PerfDepth" localSheetId="8" hidden="0" function="0" vbProcedure="0">'[76]casing talley'!#ref!</definedName>
    <definedName name="perftop" localSheetId="8" hidden="0" function="0" vbProcedure="0">[5]WTR!$G$32</definedName>
    <definedName name="PERF_BOTTOM" localSheetId="8" hidden="0" function="0" vbProcedure="0">'[113]#REF'!$H$19</definedName>
    <definedName name="PERF_SLURRY" localSheetId="8" hidden="0" function="0" vbProcedure="0">'[113]#REF'!$H$198</definedName>
    <definedName name="PERF_TOP" localSheetId="8" hidden="0" function="0" vbProcedure="0">'[113]#REF'!$F$19</definedName>
    <definedName name="PERF_VOL" localSheetId="8" hidden="0" function="0" vbProcedure="0">'[113]#REF'!$J$12</definedName>
    <definedName name="perm" localSheetId="8" hidden="0" function="0" vbProcedure="0">[106]Data!$G$56</definedName>
    <definedName name="perm1" localSheetId="8" hidden="0" function="0" vbProcedure="0">[106]Data!$G$57</definedName>
    <definedName name="Personnel1" localSheetId="8" hidden="0" function="0" vbProcedure="0">[132]Data!$P$1:$P$65536</definedName>
    <definedName name="Perv.Macro140" localSheetId="8" hidden="0" function="0" vbProcedure="0">[49]!Prev.Macro102</definedName>
    <definedName name="PFIVE_TOTAL" localSheetId="8" hidden="0" function="0" vbProcedure="0">[234]index!#ref!</definedName>
    <definedName name="PFOUR_TOTAL" localSheetId="8" hidden="0" function="0" vbProcedure="0">[234]index!#ref!</definedName>
    <definedName name="Phasing" localSheetId="8" hidden="0" function="0" vbProcedure="0">'[108]Pre-Job Info Sheet'!$B$23</definedName>
    <definedName name="Phone" localSheetId="8" hidden="0" function="0" vbProcedure="0">'[117]Well Installation Drawing'!$K$11</definedName>
    <definedName name="pick1_958x475_system" localSheetId="8" hidden="0" function="0" vbProcedure="0">'[140]tally checklist'!pick1_958x475_system</definedName>
    <definedName name="pick1_958x6_system" localSheetId="8" hidden="0" function="0" vbProcedure="0">'[140]tally checklist'!pick1_958x6_system</definedName>
    <definedName name="pick1_production" localSheetId="8" hidden="0" function="0" vbProcedure="0">'[140]tally checklist'!pick1_production</definedName>
    <definedName name="pick2_958x475_system" localSheetId="8" hidden="0" function="0" vbProcedure="0">'[140]tally checklist'!pick2_958x475_system</definedName>
    <definedName name="pick2_958x6_system" localSheetId="8" hidden="0" function="0" vbProcedure="0">'[140]tally checklist'!pick2_958x6_system</definedName>
    <definedName name="pick2_production" localSheetId="8" hidden="0" function="0" vbProcedure="0">'[140]tally checklist'!pick2_production</definedName>
    <definedName name="pick_512_system" localSheetId="8" hidden="0" function="0" vbProcedure="0">'[140]tally checklist'!pick_512_system</definedName>
    <definedName name="pick_5_system" localSheetId="8" hidden="0" function="0" vbProcedure="0">'[140]tally checklist'!pick_5_system</definedName>
    <definedName name="pick_758x314_system" localSheetId="8" hidden="0" function="0" vbProcedure="0">'[140]tally checklist'!pick_758x314_system</definedName>
    <definedName name="pick_758x4_system" localSheetId="8" hidden="0" function="0" vbProcedure="0">'[140]tally checklist'!pick_758x4_system</definedName>
    <definedName name="pick_7x314_system" localSheetId="8" hidden="0" function="0" vbProcedure="0">'[140]tally checklist'!pick_7x314_system</definedName>
    <definedName name="pick_7x4_system" localSheetId="8" hidden="0" function="0" vbProcedure="0">'[140]tally checklist'!pick_7x4_system</definedName>
    <definedName name="pick_blanks" localSheetId="8" hidden="0" function="0" vbProcedure="0">'[140]tally checklist'!pick_blanks</definedName>
    <definedName name="pick_liner" localSheetId="8" hidden="0" function="0" vbProcedure="0">'[140]tally checklist'!pick_liner</definedName>
    <definedName name="pick_liner2" localSheetId="8" hidden="0" function="0" vbProcedure="0">'[140]tally checklist'!pick_liner2</definedName>
    <definedName name="pick_miscellaneous" localSheetId="8" hidden="0" function="0" vbProcedure="0">'[140]tally checklist'!pick_miscellaneous</definedName>
    <definedName name="pick_quantum" localSheetId="8" hidden="0" function="0" vbProcedure="0">'[140]tally checklist'!pick_quantum</definedName>
    <definedName name="pick_screens" localSheetId="8" hidden="0" function="0" vbProcedure="0">'[140]tally checklist'!pick_screens</definedName>
    <definedName name="pick_shearsubs" localSheetId="8" hidden="0" function="0" vbProcedure="0">'[140]tally checklist'!pick_shearsubs</definedName>
    <definedName name="pick_sump" localSheetId="8" hidden="0" function="0" vbProcedure="0">'[140]tally checklist'!pick_sump</definedName>
    <definedName name="Pilot" localSheetId="8" hidden="0" function="0" vbProcedure="0">[235]!'[module4 formula].macro1'</definedName>
    <definedName name="PipeList" localSheetId="8" hidden="0" function="0" vbProcedure="0">#ref!</definedName>
    <definedName name="PistArea_Packoff_to_DP_OD" localSheetId="8" hidden="0" function="0" vbProcedure="0">[109]Test!$M$16</definedName>
    <definedName name="Piston_Disp" localSheetId="8" hidden="0" function="0" vbProcedure="0">'[108]Tester Valve Calcs'!$M$16</definedName>
    <definedName name="Pist_Area_Csg_ID_to_DP1_OD" localSheetId="8" hidden="0" function="0" vbProcedure="0">[109]Test!$U$26</definedName>
    <definedName name="Pist_Area_Csg_ID_to_DP2_OD" localSheetId="8" hidden="0" function="0" vbProcedure="0">[109]Test!$U$27</definedName>
    <definedName name="Pist_Area_Csg_ID_to_DP3_OD" localSheetId="8" hidden="0" function="0" vbProcedure="0">[109]Test!$U$28</definedName>
    <definedName name="Pist_Area_Csg_ID_to_DP4_OD" localSheetId="8" hidden="0" function="0" vbProcedure="0">[109]Test!$U$29</definedName>
    <definedName name="Pist_Area_Csg_ID_to_DP5_OD" localSheetId="8" hidden="0" function="0" vbProcedure="0">[109]Test!$U$30</definedName>
    <definedName name="Pist_Area_from_CsgID_to_Packoff_OD" localSheetId="8" hidden="0" function="0" vbProcedure="0">[109]Test!$M$14</definedName>
    <definedName name="Pist_Area_PackoffOD_DP2_OD" localSheetId="8" hidden="0" function="0" vbProcedure="0">[109]Test!$Y$27</definedName>
    <definedName name="Pist_Area_PackoffOD_DP4_OD" localSheetId="8" hidden="0" function="0" vbProcedure="0">[109]Test!$Y$29</definedName>
    <definedName name="Pist_Area_PackoffOD_DP5_OD" localSheetId="8" hidden="0" function="0" vbProcedure="0">[109]Test!$Y$30</definedName>
    <definedName name="Pist_Area_PackoffOD_to_DP1_OD" localSheetId="8" hidden="0" function="0" vbProcedure="0">[109]Test!$Y$26</definedName>
    <definedName name="Pist_Area_PackoffOD_to_DP3_OD" localSheetId="8" hidden="0" function="0" vbProcedure="0">[109]Test!$Y$28</definedName>
    <definedName name="Pkrs" localSheetId="8" hidden="0" function="0" vbProcedure="0">#ref!</definedName>
    <definedName name="plotm" localSheetId="8" hidden="0" function="0" vbProcedure="0">'[61]tool backload dt'!plotm</definedName>
    <definedName name="PlugMethod" localSheetId="8" hidden="0" function="0" vbProcedure="0">[109]DATA!$BI$2:$BI$6</definedName>
    <definedName name="Plugs" localSheetId="8" hidden="0" function="0" vbProcedure="0">[109]DATA!$AL$2:$AL$13</definedName>
    <definedName name="Plug_Bmp_Hngr_Ovr_Ld" localSheetId="8" hidden="0" function="0" vbProcedure="0">[109]Test!$M$25</definedName>
    <definedName name="Plug_Bmp_psi_wo_DP" localSheetId="8" hidden="0" function="0" vbProcedure="0">[109]Test!$M$23</definedName>
    <definedName name="Plug_Bmp_psi_w_DP" localSheetId="8" hidden="0" function="0" vbProcedure="0">[109]Test!$M$24</definedName>
    <definedName name="Plug_Press_Rating" localSheetId="8" hidden="0" function="0" vbProcedure="0">'[109]Metric Conversions'!$B$51</definedName>
    <definedName name="Plug_Press_Ratingz" localSheetId="8" hidden="0" function="0" vbProcedure="0">'[109]Liner Job Info'!$D$43</definedName>
    <definedName name="Plug_Temp_Rating" localSheetId="8" hidden="0" function="0" vbProcedure="0">'[109]Liner Job Info'!$D$44</definedName>
    <definedName name="PNINE_TOTAL" localSheetId="8" hidden="0" function="0" vbProcedure="0">[234]index!#ref!</definedName>
    <definedName name="po" localSheetId="8" hidden="0" function="0" vbProcedure="0">[159]Drillers!$O$20</definedName>
    <definedName name="Ported_Sub" localSheetId="8" hidden="0" function="0" vbProcedure="0">'[108]TCP-BHA'!$H$30</definedName>
    <definedName name="Pos_of_Ball" localSheetId="8" hidden="0" function="0" vbProcedure="0">'[108]Tester Valve Calcs'!$F$12</definedName>
    <definedName name="PoundConversion" localSheetId="8" hidden="0" function="0" vbProcedure="0">[94]Lists!$AD$4</definedName>
    <definedName name="POWERV_TO" localSheetId="8" hidden="0" function="0" vbProcedure="0">[129]RSS!$A$206</definedName>
    <definedName name="ppgsggcc" localSheetId="8" hidden="0" function="0" vbProcedure="0">'[109]Metric Conversions'!$B$65</definedName>
    <definedName name="pph" localSheetId="8" hidden="0" function="0" vbProcedure="0">[40]!Calculate_Pipe</definedName>
    <definedName name="pre.Macro220" localSheetId="8" hidden="0" function="0" vbProcedure="0">[49]!Prev.Macro110</definedName>
    <definedName name="pregpstim" localSheetId="8" hidden="0" function="0" vbProcedure="0">[5]WTR!$G$48</definedName>
    <definedName name="PREPACK_MIX_RATIO" localSheetId="8" hidden="0" function="0" vbProcedure="0">'[113]#REF'!$K$44</definedName>
    <definedName name="Pressure" localSheetId="8" hidden="0" function="0" vbProcedure="0">#ref!</definedName>
    <definedName name="pressure1" localSheetId="8" hidden="0" function="0" vbProcedure="0">[106]Data!$C$2</definedName>
    <definedName name="pressure10" localSheetId="8" hidden="0" function="0" vbProcedure="0">[106]Data!$C$11</definedName>
    <definedName name="pressure2" localSheetId="8" hidden="0" function="0" vbProcedure="0">[106]Data!$C$3</definedName>
    <definedName name="pressure3" localSheetId="8" hidden="0" function="0" vbProcedure="0">[106]Data!$C$4</definedName>
    <definedName name="pressure4" localSheetId="8" hidden="0" function="0" vbProcedure="0">[106]Data!$C$5</definedName>
    <definedName name="pressure5" localSheetId="8" hidden="0" function="0" vbProcedure="0">[106]Data!$C$6</definedName>
    <definedName name="pressure6" localSheetId="8" hidden="0" function="0" vbProcedure="0">[106]Data!$C$7</definedName>
    <definedName name="pressure7" localSheetId="8" hidden="0" function="0" vbProcedure="0">[106]Data!$C$8</definedName>
    <definedName name="pressure8" localSheetId="8" hidden="0" function="0" vbProcedure="0">[106]Data!$C$9</definedName>
    <definedName name="pressure9" localSheetId="8" hidden="0" function="0" vbProcedure="0">[106]Data!$C$10</definedName>
    <definedName name="pressurea" localSheetId="8" hidden="0" function="0" vbProcedure="0">[106]Data!$D$2</definedName>
    <definedName name="pressureb" localSheetId="8" hidden="0" function="0" vbProcedure="0">[106]Data!$D$3</definedName>
    <definedName name="pressurec" localSheetId="8" hidden="0" function="0" vbProcedure="0">[106]Data!$D$4</definedName>
    <definedName name="pressured" localSheetId="8" hidden="0" function="0" vbProcedure="0">[106]Data!$D$5</definedName>
    <definedName name="pressuree" localSheetId="8" hidden="0" function="0" vbProcedure="0">[106]Data!$D$6</definedName>
    <definedName name="pressuref" localSheetId="8" hidden="0" function="0" vbProcedure="0">[106]Data!$D$7</definedName>
    <definedName name="pressureg" localSheetId="8" hidden="0" function="0" vbProcedure="0">[106]Data!$D$8</definedName>
    <definedName name="pressureh" localSheetId="8" hidden="0" function="0" vbProcedure="0">[106]Data!$D$9</definedName>
    <definedName name="pressurei" localSheetId="8" hidden="0" function="0" vbProcedure="0">[106]Data!$D$10</definedName>
    <definedName name="pressurej" localSheetId="8" hidden="0" function="0" vbProcedure="0">[106]Data!$D$11</definedName>
    <definedName name="Pressures" localSheetId="8" hidden="0" function="0" vbProcedure="0">'[116]Kill Sheet - Horizontal'!$W$27,'[116]Kill Sheet - Horizontal'!$W$31,'[116]Kill Sheet - Horizontal'!$W$32</definedName>
    <definedName name="Pressure_1" localSheetId="8" hidden="0" function="0" vbProcedure="0">#ref!</definedName>
    <definedName name="Pressure_2" localSheetId="8" hidden="0" function="0" vbProcedure="0">#ref!</definedName>
    <definedName name="prev.Macro150" localSheetId="8" hidden="0" function="0" vbProcedure="0">[49]!Prev.Macro122</definedName>
    <definedName name="prev.Macro200" localSheetId="8" hidden="0" function="0" vbProcedure="0">[49]!Prev.Macro128</definedName>
    <definedName name="Prev.Macro242" localSheetId="8" hidden="0" function="0" vbProcedure="0">[49]!Prev.Macro106</definedName>
    <definedName name="pricelist" localSheetId="8" hidden="0" function="0" vbProcedure="0">[139]Pricelist!$A$8:$B$11</definedName>
    <definedName name="print" localSheetId="8" hidden="0" function="0" vbProcedure="0">'[160]2003 SSWE LINE ITEMS'!$A$1:$V$302</definedName>
    <definedName name="PRODPKR" localSheetId="8" hidden="0" function="0" vbProcedure="0">INDEX([161]PKR!$A$2:$B$15,MATCH([161]INPUT!$H$37,[161]PKR!$A$2:$A$15,0),2)</definedName>
    <definedName name="production" localSheetId="8" hidden="0" function="0" vbProcedure="0">[162]WTR!$L$6</definedName>
    <definedName name="Production_History_by_Well" localSheetId="8" hidden="0" function="0" vbProcedure="0">'[243]neb-wells'!#ref!</definedName>
    <definedName name="profitcntr1" localSheetId="8" hidden="0" function="0" vbProcedure="0">[132]Data!$I$1:$I$65536</definedName>
    <definedName name="Project" localSheetId="8" hidden="0" function="0" vbProcedure="0">'[94]Job Technical Info'!$G$12</definedName>
    <definedName name="ProppantName" localSheetId="8" hidden="0" function="0" vbProcedure="0">'[94]Installation Results #1'!$B$326</definedName>
    <definedName name="PSEVEN_TOTAL" localSheetId="8" hidden="0" function="0" vbProcedure="0">[234]index!#ref!</definedName>
    <definedName name="PSI" localSheetId="8" hidden="0" function="0" vbProcedure="0">'[75]tester valve calcs'!#ref!</definedName>
    <definedName name="psia_array" localSheetId="8" hidden="0" function="0" vbProcedure="0">{"HMR","HMR-GT","ZI Probe","Spartek","Omega SP"}</definedName>
    <definedName name="psibarkpa" localSheetId="8" hidden="0" function="0" vbProcedure="0">'[109]Metric Conversions'!$B$42</definedName>
    <definedName name="psig_array" localSheetId="8" hidden="0" function="0" vbProcedure="0">{"RPG-3","RPG-4"}</definedName>
    <definedName name="PSIX_TOTAL" localSheetId="8" hidden="0" function="0" vbProcedure="0">[234]index!#ref!</definedName>
    <definedName name="psl" localSheetId="8" hidden="0" function="0" vbProcedure="0">[54]data!#ref!</definedName>
    <definedName name="Pstn_Force_Actual" localSheetId="8" hidden="0" function="0" vbProcedure="0">'[109]Weight Calculations'!$H$26</definedName>
    <definedName name="PS_pricelist" localSheetId="8" hidden="0" function="0" vbProcedure="0">[139]Pricelist!$A$22:$B$35</definedName>
    <definedName name="ptdtr" localSheetId="8" hidden="0" function="0" vbProcedure="0">'[115]Max-Torq'!$P$71</definedName>
    <definedName name="PTHREE_TOTAL" localSheetId="8" hidden="0" function="0" vbProcedure="0">[234]index!#ref!</definedName>
    <definedName name="PTWO_TOTAL" localSheetId="8" hidden="0" function="0" vbProcedure="0">[234]index!#ref!</definedName>
    <definedName name="Pups" localSheetId="8" hidden="0" function="0" vbProcedure="0">#ref!</definedName>
    <definedName name="PU_Dogs" localSheetId="8" hidden="0" function="0" vbProcedure="0">'[109]Metric Conversions'!$B$25</definedName>
    <definedName name="PU_Dogsz" localSheetId="8" hidden="0" function="0" vbProcedure="0">'[109]Liner Job Info'!$P$47</definedName>
    <definedName name="PU_Packoffz" localSheetId="8" hidden="0" function="0" vbProcedure="0">'[109]Liner Job Info'!$P$48</definedName>
    <definedName name="pv" localSheetId="8" hidden="0" function="0" vbProcedure="0">'[7]Drop-Down Items'!$R$7:$R$9</definedName>
    <definedName name="q" localSheetId="8" hidden="0" function="0" vbProcedure="0">'[163]Report Long(Esso)'!$E$2</definedName>
    <definedName name="qewadc" localSheetId="8" hidden="0" function="0" vbProcedure="0">[246]!Calculate_Pipe</definedName>
    <definedName name="QPNum" localSheetId="8" hidden="0" function="0" vbProcedure="0">'[94]Job Technical Info'!$K$11</definedName>
    <definedName name="qqq" localSheetId="8" hidden="1" function="0" vbProcedure="0">{#N/A,#N/A,FALSE,"Drlg Param Run 1-1";#N/A,#N/A,FALSE,"DDR (3)";#N/A,#N/A,FALSE,"BHA AT (1)";#N/A,#N/A,FALSE,"Downlinkbha";#N/A,#N/A,FALSE,"Job Status Report"}</definedName>
    <definedName name="quantum" localSheetId="8" hidden="0" function="0" vbProcedure="0">'[140]tally checklist'!quantum</definedName>
    <definedName name="Range1" localSheetId="8" hidden="0" function="0" vbProcedure="0">OFFSET([249]sheet1!$e$5, 1, 0,[249]sheet1!$e$2,1)</definedName>
    <definedName name="rate" localSheetId="8" hidden="0" function="0" vbProcedure="0">[106]Data!$F$7</definedName>
    <definedName name="rate1" localSheetId="8" hidden="0" function="0" vbProcedure="0">[106]Data!$A$2</definedName>
    <definedName name="rate10" localSheetId="8" hidden="0" function="0" vbProcedure="0">[106]Data!$A$11</definedName>
    <definedName name="rate2" localSheetId="8" hidden="0" function="0" vbProcedure="0">[106]Data!$A$3</definedName>
    <definedName name="rate3" localSheetId="8" hidden="0" function="0" vbProcedure="0">[106]Data!$A$4</definedName>
    <definedName name="rate4" localSheetId="8" hidden="0" function="0" vbProcedure="0">[106]Data!$A$5</definedName>
    <definedName name="rate5" localSheetId="8" hidden="0" function="0" vbProcedure="0">[106]Data!$A$6</definedName>
    <definedName name="rate6" localSheetId="8" hidden="0" function="0" vbProcedure="0">[106]Data!$A$7</definedName>
    <definedName name="rate7" localSheetId="8" hidden="0" function="0" vbProcedure="0">[106]Data!$A$8</definedName>
    <definedName name="rate8" localSheetId="8" hidden="0" function="0" vbProcedure="0">[106]Data!$A$9</definedName>
    <definedName name="rate9" localSheetId="8" hidden="0" function="0" vbProcedure="0">[106]Data!$A$10</definedName>
    <definedName name="raw_tally_lower" localSheetId="8" hidden="0" function="0" vbProcedure="0">'[164]2B Raw Rig Tally'!$B$13:$D$501</definedName>
    <definedName name="raw_tally_upper" localSheetId="8" hidden="0" function="0" vbProcedure="0">'[164]2B Raw Rig Tally'!$F$13:$H$501</definedName>
    <definedName name="Reasons" localSheetId="8" hidden="0" function="0" vbProcedure="0">'[146]Title Page'!$O$2:$O$23</definedName>
    <definedName name="Recalc" localSheetId="8" hidden="0" function="0" vbProcedure="0">[115]!Recalc</definedName>
    <definedName name="Region" localSheetId="8" hidden="0" function="0" vbProcedure="0">'[94]SetUp Tab'!$D$15</definedName>
    <definedName name="Regions" localSheetId="8" hidden="0" function="0" vbProcedure="0">[18]Criteria!$B$2:$B$11</definedName>
    <definedName name="Rem_DP1_Tens" localSheetId="8" hidden="0" function="0" vbProcedure="0">'[109]Weight Calculations'!$W$53</definedName>
    <definedName name="Rem_DP2_Tens" localSheetId="8" hidden="0" function="0" vbProcedure="0">'[109]Weight Calculations'!$W$54</definedName>
    <definedName name="Rem_DP3_Tens" localSheetId="8" hidden="0" function="0" vbProcedure="0">'[109]Weight Calculations'!$W$55</definedName>
    <definedName name="Rem_DP4_Tens" localSheetId="8" hidden="0" function="0" vbProcedure="0">'[109]Weight Calculations'!$W$59</definedName>
    <definedName name="Rem_DP5_Tens" localSheetId="8" hidden="0" function="0" vbProcedure="0">'[109]Weight Calculations'!$W$60</definedName>
    <definedName name="Rentalequipment" localSheetId="8" hidden="0" function="0" vbProcedure="0">[109]DATA!$R$2:$R$79</definedName>
    <definedName name="Rental_Tool_ID" localSheetId="8" hidden="0" function="0" vbProcedure="0">[109]DATA!$S$2:$S$79</definedName>
    <definedName name="REPORT3" localSheetId="8" hidden="0" function="0" vbProcedure="0">'[306]run sheet'!#ref!</definedName>
    <definedName name="RESE" localSheetId="8" hidden="0" function="0" vbProcedure="0">'[140]tally checklist'!rese</definedName>
    <definedName name="reservoir15" localSheetId="8" hidden="0" function="0" vbProcedure="0">'[70]geological prognosis'!#ref!</definedName>
    <definedName name="reservoir16" localSheetId="8" hidden="0" function="0" vbProcedure="0">'[70]geological prognosis'!#ref!</definedName>
    <definedName name="reservoir17" localSheetId="8" hidden="0" function="0" vbProcedure="0">'[70]geological prognosis'!#ref!</definedName>
    <definedName name="reservoir18" localSheetId="8" hidden="0" function="0" vbProcedure="0">'[70]geological prognosis'!#ref!</definedName>
    <definedName name="reservoir19" localSheetId="8" hidden="0" function="0" vbProcedure="0">'[70]geological prognosis'!#ref!</definedName>
    <definedName name="reservoir20" localSheetId="8" hidden="0" function="0" vbProcedure="0">'[70]geological prognosis'!#ref!</definedName>
    <definedName name="reservoir21" localSheetId="8" hidden="0" function="0" vbProcedure="0">'[70]geological prognosis'!#ref!</definedName>
    <definedName name="reservoir22" localSheetId="8" hidden="0" function="0" vbProcedure="0">'[70]geological prognosis'!#ref!</definedName>
    <definedName name="reservoir23" localSheetId="8" hidden="0" function="0" vbProcedure="0">'[70]geological prognosis'!#ref!</definedName>
    <definedName name="reservoir24" localSheetId="8" hidden="0" function="0" vbProcedure="0">'[70]geological prognosis'!#ref!</definedName>
    <definedName name="reservoir25" localSheetId="8" hidden="0" function="0" vbProcedure="0">'[70]geological prognosis'!#ref!</definedName>
    <definedName name="reservoir26" localSheetId="8" hidden="0" function="0" vbProcedure="0">'[70]geological prognosis'!#ref!</definedName>
    <definedName name="reservoir27" localSheetId="8" hidden="0" function="0" vbProcedure="0">'[70]geological prognosis'!#ref!</definedName>
    <definedName name="reservoir28" localSheetId="8" hidden="0" function="0" vbProcedure="0">'[70]geological prognosis'!#ref!</definedName>
    <definedName name="reservoir29" localSheetId="8" hidden="0" function="0" vbProcedure="0">'[70]geological prognosis'!#ref!</definedName>
    <definedName name="resrevoir09" localSheetId="8" hidden="0" function="0" vbProcedure="0">'[70]geological prognosis'!#ref!</definedName>
    <definedName name="resrevoir10" localSheetId="8" hidden="0" function="0" vbProcedure="0">'[70]geological prognosis'!#ref!</definedName>
    <definedName name="resrevoir12" localSheetId="8" hidden="0" function="0" vbProcedure="0">'[70]geological prognosis'!#ref!</definedName>
    <definedName name="resrevoir13" localSheetId="8" hidden="0" function="0" vbProcedure="0">'[70]geological prognosis'!#ref!</definedName>
    <definedName name="resrevoir14" localSheetId="8" hidden="0" function="0" vbProcedure="0">'[70]geological prognosis'!#ref!</definedName>
    <definedName name="ret" localSheetId="8" hidden="0" function="0" vbProcedure="0">[119]钻井日报表!$G$3</definedName>
    <definedName name="RevNum" localSheetId="8" hidden="0" function="0" vbProcedure="0">[135]Revision_History!$G$6</definedName>
    <definedName name="Rev_XX" localSheetId="8" hidden="0" function="0" vbProcedure="0">'[94]Job Technical Info'!$L$4</definedName>
    <definedName name="rhstretchz" localSheetId="8" hidden="0" function="0" vbProcedure="0">'[109]Metric Conversions'!$C$38</definedName>
    <definedName name="RH_SHEAR" localSheetId="8" hidden="0" function="0" vbProcedure="0">'[109]Weight Calculations'!$H$21</definedName>
    <definedName name="RH_SHEAR_LNGTH" localSheetId="8" hidden="0" function="0" vbProcedure="0">'[109]Metric Conversions'!$B$37</definedName>
    <definedName name="RH_SHEAR_LNGTHz" localSheetId="8" hidden="0" function="0" vbProcedure="0">'[109]Metric Conversions'!$C$37</definedName>
    <definedName name="Rig" localSheetId="8" hidden="0" function="0" vbProcedure="0">'[163]Report Long(Esso)'!$E$4</definedName>
    <definedName name="rigcontractor1" localSheetId="8" hidden="0" function="0" vbProcedure="0">[132]Data!$G$1:$G$65536</definedName>
    <definedName name="Rigname1" localSheetId="8" hidden="0" function="0" vbProcedure="0">[132]Data!$E$1:$E$65536</definedName>
    <definedName name="RigPh" localSheetId="8" hidden="0" function="0" vbProcedure="0">'[94]Job Technical Info'!$G$17</definedName>
    <definedName name="Rig_Name" localSheetId="8" hidden="0" function="0" vbProcedure="0">'[108]Pre-Job Info Sheet'!$D$11</definedName>
    <definedName name="Rig_Output" localSheetId="8" hidden="0" function="0" vbProcedure="0">'[109]Displacement Cal.'!$G$7</definedName>
    <definedName name="RI_LC_Z2_ANSWERS_SCPacker1" localSheetId="8" hidden="0" function="0" vbProcedure="0">'[165]LowerCompletions - Risk Index'!$G$56</definedName>
    <definedName name="RI_LC_Z3_ANSWERS_SCPacker1" localSheetId="8" hidden="0" function="0" vbProcedure="0">'[165]LowerCompletions - Risk Index'!$G$69</definedName>
    <definedName name="RI_LC_Z4_ANSWERS_SCPacker1" localSheetId="8" hidden="0" function="0" vbProcedure="0">'[165]LowerCompletions - Risk Index'!$G$82</definedName>
    <definedName name="RI_LC_Z5_ANSWERS_SCPacker1" localSheetId="8" hidden="0" function="0" vbProcedure="0">'[165]LowerCompletions - Risk Index'!$G$95</definedName>
    <definedName name="Rotation" localSheetId="8" hidden="0" function="0" vbProcedure="0">[109]DATA!$AK$2:$AK$10</definedName>
    <definedName name="Rpt_Average_Header1" localSheetId="8" hidden="0" function="0" vbProcedure="0">#ref!</definedName>
    <definedName name="Rpt_Average_Header2" localSheetId="8" hidden="0" function="0" vbProcedure="0">#ref!</definedName>
    <definedName name="Rpt_Comments" localSheetId="8" hidden="0" function="0" vbProcedure="0">#ref!</definedName>
    <definedName name="Rpt_Logo_Left" localSheetId="8" hidden="0" function="0" vbProcedure="0">#ref!</definedName>
    <definedName name="Rpt_Logo_Right" localSheetId="8" hidden="0" function="0" vbProcedure="0">#ref!</definedName>
    <definedName name="rrr" localSheetId="8" hidden="1" function="0" vbProcedure="0">{#N/A,#N/A,FALSE,"Sheet1"}</definedName>
    <definedName name="RSS_TO_COMPLETE" localSheetId="8" hidden="0" function="0" vbProcedure="0">[129]RSS!$K$197</definedName>
    <definedName name="rtb" localSheetId="8" hidden="0" function="0" vbProcedure="0">'[115]Max-Torq'!$P$61</definedName>
    <definedName name="RthLth" localSheetId="8" hidden="0" function="0" vbProcedure="0">#ref!</definedName>
    <definedName name="Runningtool" localSheetId="8" hidden="0" function="0" vbProcedure="0">[109]DATA!$AO$2:$AO$8</definedName>
    <definedName name="Rupees" localSheetId="8" hidden="0" function="0" vbProcedure="0">'[141]Cash Expense March-96'!$H$6</definedName>
    <definedName name="R_Group_ID" localSheetId="8" hidden="0" function="0" vbProcedure="0">[109]DATA!$T$2:$T$79</definedName>
    <definedName name="S" localSheetId="8" hidden="0" function="0" vbProcedure="0">'[306]run sheet'!#ref!</definedName>
    <definedName name="Salesequipment" localSheetId="8" hidden="0" function="0" vbProcedure="0">[109]DATA!$O$2:$O$268</definedName>
    <definedName name="Salesman" localSheetId="8" hidden="0" function="0" vbProcedure="0">'[108]Pre-Job Info Sheet'!$B$7</definedName>
    <definedName name="Sales_Explosive_Type" localSheetId="8" hidden="0" function="0" vbProcedure="0">'[108]Pre-Job Info Sheet'!$B$24</definedName>
    <definedName name="Sales_Gun_Size" localSheetId="8" hidden="0" function="0" vbProcedure="0">'[108]Pre-Job Info Sheet'!$B$21</definedName>
    <definedName name="Sales_Lease" localSheetId="8" hidden="0" function="0" vbProcedure="0">'[108]Pre-Job Info Sheet'!$D$8</definedName>
    <definedName name="Sales_SPF" localSheetId="8" hidden="0" function="0" vbProcedure="0">'[108]Pre-Job Info Sheet'!$B$22</definedName>
    <definedName name="Sales_Ticket_Number" localSheetId="8" hidden="0" function="0" vbProcedure="0">'[30]Liner Job Info'!$E$11</definedName>
    <definedName name="Sales_Underbalance" localSheetId="8" hidden="0" function="0" vbProcedure="0">'[108]Pre-Job Info Sheet'!$D$35</definedName>
    <definedName name="Sales_Well_Name" localSheetId="8" hidden="0" function="0" vbProcedure="0">'[108]Pre-Job Info Sheet'!$D$6</definedName>
    <definedName name="salinity" localSheetId="8" hidden="0" function="0" vbProcedure="0">'[93]well test sheet'!#ref!</definedName>
    <definedName name="SANDOUT_PRESSURE" localSheetId="8" hidden="0" function="0" vbProcedure="0">'[113]#REF'!$I$107</definedName>
    <definedName name="SAND_ABOVE_PERFS_PREPACK" localSheetId="8" hidden="0" function="0" vbProcedure="0">'[113]#REF'!$F$175</definedName>
    <definedName name="SAND_DIVERTER" localSheetId="8" hidden="0" function="0" vbProcedure="0">'[113]#REF'!$F$56</definedName>
    <definedName name="SAND_GP" localSheetId="8" hidden="0" function="0" vbProcedure="0">'[113]#REF'!$F$64</definedName>
    <definedName name="SAND_IN_CAS_BLNK" localSheetId="8" hidden="0" function="0" vbProcedure="0">'[6]#ref'!#ref!</definedName>
    <definedName name="SAND_IN_CAS_EXT" localSheetId="8" hidden="0" function="0" vbProcedure="0">'[6]#ref'!#ref!</definedName>
    <definedName name="SAND_IN_CAS_PREPACK" localSheetId="8" hidden="0" function="0" vbProcedure="0">'[113]#REF'!$F$81</definedName>
    <definedName name="SAND_IN_CAS_SCR" localSheetId="8" hidden="0" function="0" vbProcedure="0">'[6]#ref'!#ref!</definedName>
    <definedName name="SAND_IN_PERFS" localSheetId="8" hidden="0" function="0" vbProcedure="0">'[113]#REF'!$I$185</definedName>
    <definedName name="SAND_IN_PERFS_PP" localSheetId="8" hidden="0" function="0" vbProcedure="0">'[113]#REF'!$F$82</definedName>
    <definedName name="SAND_PASS_XO_PORT" localSheetId="8" hidden="0" function="0" vbProcedure="0">'[113]#REF'!$E$195</definedName>
    <definedName name="SAND_PERMEABILITY" localSheetId="8" hidden="0" function="0" vbProcedure="0">'[113]#REF'!$I$105</definedName>
    <definedName name="SAND_PLACED_GP" localSheetId="8" hidden="0" function="0" vbProcedure="0">'[113]#REF'!$F$95</definedName>
    <definedName name="SAND_PREPACK" localSheetId="8" hidden="0" function="0" vbProcedure="0">'[113]#REF'!$F$44</definedName>
    <definedName name="SAND_PUMPED_GP" localSheetId="8" hidden="0" function="0" vbProcedure="0">'[113]#REF'!$F$92</definedName>
    <definedName name="SAND_PUMPED_PREPACK" localSheetId="8" hidden="0" function="0" vbProcedure="0">'[113]#REF'!$F$78</definedName>
    <definedName name="SAND_REVOUT_GP" localSheetId="8" hidden="0" function="0" vbProcedure="0">'[113]#REF'!$F$93</definedName>
    <definedName name="SAND_REVOUT_PREPACK" localSheetId="8" hidden="0" function="0" vbProcedure="0">'[113]#REF'!$F$79</definedName>
    <definedName name="Save_Document" localSheetId="8" hidden="0" function="0" vbProcedure="0">[27]!Save_Document</definedName>
    <definedName name="Save_Document_1" localSheetId="8" hidden="0" function="0" vbProcedure="0">'COVER PAGE '!Save_Document</definedName>
    <definedName name="Save_Document_10" localSheetId="8" hidden="0" function="0" vbProcedure="0">'COVER PAGE '!Save_Document</definedName>
    <definedName name="Save_Document_11" localSheetId="8" hidden="0" function="0" vbProcedure="0">'COVER PAGE '!Save_Document</definedName>
    <definedName name="Save_Document_2" localSheetId="8" hidden="0" function="0" vbProcedure="0">'COVER PAGE '!Save_Document</definedName>
    <definedName name="Save_Document_3" localSheetId="8" hidden="0" function="0" vbProcedure="0">'COVER PAGE '!Save_Document</definedName>
    <definedName name="Save_Document_4" localSheetId="8" hidden="0" function="0" vbProcedure="0">'COVER PAGE '!Save_Document</definedName>
    <definedName name="Save_Document_5" localSheetId="8" hidden="0" function="0" vbProcedure="0">'COVER PAGE '!Save_Document</definedName>
    <definedName name="Save_Document_6" localSheetId="8" hidden="0" function="0" vbProcedure="0">'COVER PAGE '!Save_Document</definedName>
    <definedName name="Save_Document_7" localSheetId="8" hidden="0" function="0" vbProcedure="0">'COVER PAGE '!Save_Document</definedName>
    <definedName name="Save_Document_8" localSheetId="8" hidden="0" function="0" vbProcedure="0">'COVER PAGE '!Save_Document</definedName>
    <definedName name="Save_Document_9" localSheetId="8" hidden="0" function="0" vbProcedure="0">'COVER PAGE '!Save_Document</definedName>
    <definedName name="SBE" localSheetId="8" hidden="0" function="0" vbProcedure="0">#ref!</definedName>
    <definedName name="SCB" localSheetId="8" hidden="0" function="0" vbProcedure="0">[129]RSS!$B$136:$B$144</definedName>
    <definedName name="SCHE" localSheetId="8" hidden="0" function="0" vbProcedure="0">[16]!Macro1</definedName>
    <definedName name="Schemati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ensss" localSheetId="8" hidden="1" function="0" vbProcedure="0">#ref!</definedName>
    <definedName name="screenguage" localSheetId="8" hidden="0" function="0" vbProcedure="0">'[113]#REF'!$H$14</definedName>
    <definedName name="screenidlist" localSheetId="8" hidden="0" function="0" vbProcedure="0">[106]Data!$E$79:$F$127</definedName>
    <definedName name="screenlength" localSheetId="8" hidden="0" function="0" vbProcedure="0">'[113]#REF'!$J$14</definedName>
    <definedName name="screenod" localSheetId="8" hidden="0" function="0" vbProcedure="0">'[113]#REF'!$F$14</definedName>
    <definedName name="screentype" localSheetId="8" hidden="0" function="0" vbProcedure="0">'[113]#REF'!$M$14</definedName>
    <definedName name="SCREEN_LENGTH" localSheetId="8" hidden="0" function="0" vbProcedure="0">'[113]#REF'!$J$13</definedName>
    <definedName name="SCREEN_OD" localSheetId="8" hidden="0" function="0" vbProcedure="0">'[113]#REF'!$F$14</definedName>
    <definedName name="sd" localSheetId="8" hidden="0" function="0" vbProcedure="0">null</definedName>
    <definedName name="SDE_23" localSheetId="8" hidden="0" function="0" vbProcedure="0">[72]!Calculate_Pipe</definedName>
    <definedName name="se" localSheetId="8" hidden="0" function="0" vbProcedure="0">'[262]calculo de gas total'!#ref!</definedName>
    <definedName name="Seals" localSheetId="8" hidden="0" function="0" vbProcedure="0">#ref!</definedName>
    <definedName name="SeatID" localSheetId="8" hidden="0" function="0" vbProcedure="0">[109]DATA!$BC$2:$BC$6</definedName>
    <definedName name="SeatNumber" localSheetId="8" hidden="0" function="0" vbProcedure="0">[109]DATA!$BD$2:$BD$7</definedName>
    <definedName name="SeatShear" localSheetId="8" hidden="0" function="0" vbProcedure="0">[109]DATA!$BE$2:$BE$4</definedName>
    <definedName name="SeatType" localSheetId="8" hidden="0" function="0" vbProcedure="0">[109]DATA!$BB$2:$BB$4</definedName>
    <definedName name="sep_press" localSheetId="8" hidden="0" function="0" vbProcedure="0">'[93]well test sheet'!#ref!</definedName>
    <definedName name="sep_temp" localSheetId="8" hidden="0" function="0" vbProcedure="0">'[93]well test sheet'!#ref!</definedName>
    <definedName name="serialselect1" localSheetId="8" hidden="0" function="0" vbProcedure="0">[27]!serialselect1</definedName>
    <definedName name="serialselect2" localSheetId="8" hidden="0" function="0" vbProcedure="0">[27]!serialselect2</definedName>
    <definedName name="serialselect3" localSheetId="8" hidden="0" function="0" vbProcedure="0">[27]!serialselect3</definedName>
    <definedName name="serialselect4" localSheetId="8" hidden="0" function="0" vbProcedure="0">[27]!serialselect4</definedName>
    <definedName name="ServiceCenter" localSheetId="8" hidden="0" function="0" vbProcedure="0">'[117]Well Installation Drawing'!$L$13</definedName>
    <definedName name="ServRep" localSheetId="8" hidden="0" function="0" vbProcedure="0">#ref!</definedName>
    <definedName name="SETTLEMENT_RATE" localSheetId="8" hidden="0" function="0" vbProcedure="0">'[113]#REF'!$I$120</definedName>
    <definedName name="Sett_Tool_Tens" localSheetId="8" hidden="0" function="0" vbProcedure="0">'[109]Liner Job Info'!$P$44</definedName>
    <definedName name="Shear_HR_Mech_Release" localSheetId="8" hidden="0" function="0" vbProcedure="0">'[109]Liner Job Info'!$P$49</definedName>
    <definedName name="SHER" localSheetId="8" hidden="0" function="0" vbProcedure="0">'[140]tally checklist'!sher</definedName>
    <definedName name="shippedvia" localSheetId="8" hidden="0" function="0" vbProcedure="0">'[31]data '!#ref!</definedName>
    <definedName name="shit" localSheetId="8" hidden="1" function="0" vbProcedure="0">{#N/A,#N/A,FALSE,"Sheet1"}</definedName>
    <definedName name="SHO" localSheetId="8" hidden="0" function="0" vbProcedure="0">[119]钻井日报表!$G$3</definedName>
    <definedName name="ShoeTrack_Vol" localSheetId="8" hidden="0" function="0" vbProcedure="0">'[109]Metric Conversions'!$B$76</definedName>
    <definedName name="ShoeTrack_Volz" localSheetId="8" hidden="0" function="0" vbProcedure="0">'[109]Metric Conversions'!$C$76</definedName>
    <definedName name="Shoe_Track_Length" localSheetId="8" hidden="0" function="0" vbProcedure="0">'[109]Metric Conversions'!$B$19</definedName>
    <definedName name="Shoe_Track_Lengthz" localSheetId="8" hidden="0" function="0" vbProcedure="0">'[109]Liner Job Info'!$D$19</definedName>
    <definedName name="Show_1" localSheetId="8" hidden="0" function="0" vbProcedure="0">[41]!Show_1</definedName>
    <definedName name="Show_1_1" localSheetId="8" hidden="0" function="0" vbProcedure="0">[27]!Show_1</definedName>
    <definedName name="Show_1_10" localSheetId="8" hidden="0" function="0" vbProcedure="0">[27]!Show_1</definedName>
    <definedName name="Show_1_11" localSheetId="8" hidden="0" function="0" vbProcedure="0">[27]!Show_1</definedName>
    <definedName name="Show_1_2" localSheetId="8" hidden="0" function="0" vbProcedure="0">[27]!Show_1</definedName>
    <definedName name="Show_1_3" localSheetId="8" hidden="0" function="0" vbProcedure="0">[27]!Show_1</definedName>
    <definedName name="Show_1_4" localSheetId="8" hidden="0" function="0" vbProcedure="0">[27]!Show_1</definedName>
    <definedName name="Show_1_5" localSheetId="8" hidden="0" function="0" vbProcedure="0">[27]!Show_1</definedName>
    <definedName name="Show_1_6" localSheetId="8" hidden="0" function="0" vbProcedure="0">[27]!Show_1</definedName>
    <definedName name="Show_1_7" localSheetId="8" hidden="0" function="0" vbProcedure="0">[27]!Show_1</definedName>
    <definedName name="Show_1_8" localSheetId="8" hidden="0" function="0" vbProcedure="0">[27]!Show_1</definedName>
    <definedName name="Show_1_9" localSheetId="8" hidden="0" function="0" vbProcedure="0">[27]!Show_1</definedName>
    <definedName name="Show_2" localSheetId="8" hidden="0" function="0" vbProcedure="0">[41]!Show_2</definedName>
    <definedName name="Show_2_1" localSheetId="8" hidden="0" function="0" vbProcedure="0">[27]!Show_2</definedName>
    <definedName name="Show_2_10" localSheetId="8" hidden="0" function="0" vbProcedure="0">[27]!Show_2</definedName>
    <definedName name="Show_2_11" localSheetId="8" hidden="0" function="0" vbProcedure="0">[27]!Show_2</definedName>
    <definedName name="Show_2_2" localSheetId="8" hidden="0" function="0" vbProcedure="0">[27]!Show_2</definedName>
    <definedName name="Show_2_3" localSheetId="8" hidden="0" function="0" vbProcedure="0">[27]!Show_2</definedName>
    <definedName name="Show_2_4" localSheetId="8" hidden="0" function="0" vbProcedure="0">[27]!Show_2</definedName>
    <definedName name="Show_2_5" localSheetId="8" hidden="0" function="0" vbProcedure="0">[27]!Show_2</definedName>
    <definedName name="Show_2_6" localSheetId="8" hidden="0" function="0" vbProcedure="0">[27]!Show_2</definedName>
    <definedName name="Show_2_7" localSheetId="8" hidden="0" function="0" vbProcedure="0">[27]!Show_2</definedName>
    <definedName name="Show_2_8" localSheetId="8" hidden="0" function="0" vbProcedure="0">[27]!Show_2</definedName>
    <definedName name="Show_2_9" localSheetId="8" hidden="0" function="0" vbProcedure="0">[27]!Show_2</definedName>
    <definedName name="Size" localSheetId="8" hidden="0" function="0" vbProcedure="0">#ref!</definedName>
    <definedName name="SJT_DEPTH" localSheetId="8" hidden="0" function="0" vbProcedure="0">'[113]#REF'!$F$22</definedName>
    <definedName name="SJ_DEPTH" localSheetId="8" hidden="0" function="0" vbProcedure="0">'[113]#REF'!$F$22</definedName>
    <definedName name="SL" localSheetId="8" hidden="0" function="0" vbProcedure="0">[149]BHA!$C$3</definedName>
    <definedName name="SleeveLength" localSheetId="8" hidden="0" function="0" vbProcedure="0">[109]DATA!$AV$2:$AV$4</definedName>
    <definedName name="SLURRY_DENSITY" localSheetId="8" hidden="0" function="0" vbProcedure="0">'[113]#REF'!$F$70</definedName>
    <definedName name="SLURRY_VOL_PREPACK" localSheetId="8" hidden="0" function="0" vbProcedure="0">'[113]#REF'!$F$48</definedName>
    <definedName name="soldto" localSheetId="8" hidden="0" function="0" vbProcedure="0">'[126]Call Sheet'!$AL$3</definedName>
    <definedName name="solver_adj" localSheetId="8" hidden="1" function="0" vbProcedure="0">#ref!</definedName>
    <definedName name="solver_opt" localSheetId="8" hidden="1" function="0" vbProcedure="0">#ref!</definedName>
    <definedName name="sort" localSheetId="8" hidden="1" function="0" vbProcedure="0">[166]Sheet1!$A$181:$H$210</definedName>
    <definedName name="SORT_AREA" localSheetId="8" hidden="0" function="0" vbProcedure="0">'[167]DI-ESTI'!$A$8:$R$489</definedName>
    <definedName name="Spacedout" localSheetId="8" hidden="1" function="0" vbProcedure="0">{#N/A,#N/A,FALSE,"Drlg Param Run 1-1";#N/A,#N/A,FALSE,"DDR (3)";#N/A,#N/A,FALSE,"BHA AT (1)";#N/A,#N/A,FALSE,"Downlinkbha";#N/A,#N/A,FALSE,"Job Status Report"}</definedName>
    <definedName name="SpacerType" localSheetId="8" hidden="0" function="0" vbProcedure="0">[109]DATA!$BK$2:$BK$7</definedName>
    <definedName name="Spiral_Type" localSheetId="8" hidden="0" function="0" vbProcedure="0">[109]DATA!$BM$2:$BM$5</definedName>
    <definedName name="SPM" localSheetId="8" hidden="0" function="0" vbProcedure="0">#ref!</definedName>
    <definedName name="SSA" localSheetId="8" hidden="0" function="0" vbProcedure="0">[267]!Macro46</definedName>
    <definedName name="SSDHGR" localSheetId="8" hidden="0" function="0" vbProcedure="0">#ref!</definedName>
    <definedName name="ssdsd" localSheetId="8" hidden="0" function="0" vbProcedure="0">'[140]tally checklist'!ssdsd</definedName>
    <definedName name="SSID" localSheetId="8" hidden="0" function="0" vbProcedure="0">'[109]Liner Job Info'!$O$6</definedName>
    <definedName name="sss" localSheetId="8" hidden="1" function="0" vbProcedure="0">{#N/A,#N/A,FALSE,"Drlg Param Run 1-1";#N/A,#N/A,FALSE,"DDR (3)";#N/A,#N/A,FALSE,"BHA AT (1)";#N/A,#N/A,FALSE,"Downlinkbha";#N/A,#N/A,FALSE,"Job Status Report"}</definedName>
    <definedName name="SSSV" localSheetId="8" hidden="0" function="0" vbProcedure="0">#ref!</definedName>
    <definedName name="stages" localSheetId="8" hidden="0" function="0" vbProcedure="0">[5]WTR!$G$52</definedName>
    <definedName name="Stage_Number" localSheetId="8" hidden="0" function="0" vbProcedure="0">'[108]Pre-Job Info Sheet'!$B$15</definedName>
    <definedName name="Start_Here" localSheetId="8" hidden="0" function="0" vbProcedure="0">'[168]9.625 TCP String'!$B$10</definedName>
    <definedName name="state" localSheetId="8" hidden="0" function="0" vbProcedure="0">'[40]CPS Call Sheet'!$AC$7</definedName>
    <definedName name="status" localSheetId="8" hidden="0" function="0" vbProcedure="0">'[154]BPR LOG'!$H$1:$H$1048576</definedName>
    <definedName name="Stretch_DP1_Lnr_Wt" localSheetId="8" hidden="0" function="0" vbProcedure="0">'[109]Metric Conversions'!$B$30</definedName>
    <definedName name="Stretch_DP1_Lnr_Wtz" localSheetId="8" hidden="0" function="0" vbProcedure="0">'[109]Metric Conversions'!$C$30</definedName>
    <definedName name="Stretch_DP2_Lnr_Wt" localSheetId="8" hidden="0" function="0" vbProcedure="0">'[109]Metric Conversions'!$B$31</definedName>
    <definedName name="Stretch_DP2_Lnr_Wtz" localSheetId="8" hidden="0" function="0" vbProcedure="0">'[109]Metric Conversions'!$C$31</definedName>
    <definedName name="Stretch_DP3_Lnr_Wt" localSheetId="8" hidden="0" function="0" vbProcedure="0">'[109]Metric Conversions'!$B$32</definedName>
    <definedName name="Stretch_DP3_Lnr_Wtz" localSheetId="8" hidden="0" function="0" vbProcedure="0">'[109]Metric Conversions'!$C$32</definedName>
    <definedName name="Stretch_DP4_Lnr_Wt" localSheetId="8" hidden="0" function="0" vbProcedure="0">'[109]Metric Conversions'!$B$33</definedName>
    <definedName name="Stretch_DP4_Lnr_Wtz" localSheetId="8" hidden="0" function="0" vbProcedure="0">'[109]Metric Conversions'!$C$33</definedName>
    <definedName name="Stretch_DP5_Lnr_Wt" localSheetId="8" hidden="0" function="0" vbProcedure="0">'[109]Metric Conversions'!$B$34</definedName>
    <definedName name="Stretch_DP5_Lnr_Wtz" localSheetId="8" hidden="0" function="0" vbProcedure="0">'[109]Metric Conversions'!$C$34</definedName>
    <definedName name="Stretch_TTL_Lnr_Wt" localSheetId="8" hidden="0" function="0" vbProcedure="0">'[109]Metric Conversions'!$B$36</definedName>
    <definedName name="Stretch_TTL_Lnr_Wtz" localSheetId="8" hidden="0" function="0" vbProcedure="0">'[109]Metric Conversions'!$C$36</definedName>
    <definedName name="SubSeaTVD_Column" localSheetId="8" hidden="0" function="0" vbProcedure="0">null</definedName>
    <definedName name="SubSeaTVD_Unit" localSheetId="8" hidden="0" function="0" vbProcedure="0">null</definedName>
    <definedName name="SUMP_DEPTH" localSheetId="8" hidden="0" function="0" vbProcedure="0">'[113]#REF'!$F$23</definedName>
    <definedName name="Surfaceequipment" localSheetId="8" hidden="0" function="0" vbProcedure="0">[109]DATA!$AQ$2:$AQ$11</definedName>
    <definedName name="surfacefracpressure" localSheetId="8" hidden="0" function="0" vbProcedure="0">[106]Data!$F$4</definedName>
    <definedName name="Surf_Equip_Tens" localSheetId="8" hidden="0" function="0" vbProcedure="0">'[109]Liner Job Info'!$P$46</definedName>
    <definedName name="Svy_Print_Area" localSheetId="8" hidden="0" function="0" vbProcedure="0">'[168]9.625 TCP String'!$B$12:$I$3772</definedName>
    <definedName name="SWELL_PKR" localSheetId="8" hidden="0" function="0" vbProcedure="0">INDEX([111]PKR!$F$2:$G$10,MATCH([111]PKR!$H$1,[111]PKR!$F$2:$F$10,0),2)</definedName>
    <definedName name="T" localSheetId="8" hidden="0" function="0" vbProcedure="0">#ref!</definedName>
    <definedName name="t." localSheetId="8" hidden="0" function="0" vbProcedure="0">[49]!Prev.Macro102</definedName>
    <definedName name="Tally" localSheetId="8" hidden="0" function="0" vbProcedure="0">#ref!</definedName>
    <definedName name="tallyc" localSheetId="8" hidden="0" function="0" vbProcedure="0">'[2]run sheet'!#ref!</definedName>
    <definedName name="TallyLengthUnit" localSheetId="8" hidden="0" function="0" vbProcedure="0">#ref!</definedName>
    <definedName name="Tally_2" localSheetId="8" hidden="0" function="0" vbProcedure="0">[169]Tally!$E$5:$G$1004</definedName>
    <definedName name="Tally_3" localSheetId="8" hidden="0" function="0" vbProcedure="0">[169]Tally!$I$5:$K$1004</definedName>
    <definedName name="Taper_String_Grade" localSheetId="8" hidden="0" function="0" vbProcedure="0">'[108]Pre-Job Info Sheet'!$D$31</definedName>
    <definedName name="Taper_String_Size" localSheetId="8" hidden="0" function="0" vbProcedure="0">'[108]Pre-Job Info Sheet'!$D$29</definedName>
    <definedName name="Taper_String_Type" localSheetId="8" hidden="0" function="0" vbProcedure="0">'[108]Pre-Job Info Sheet'!$D$28</definedName>
    <definedName name="Taper_String_Wt._Ft." localSheetId="8" hidden="0" function="0" vbProcedure="0">'[108]Pre-Job Info Sheet'!$D$30</definedName>
    <definedName name="targe"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8" hidden="0" function="0" vbProcedure="0">#ref!,#ref!</definedName>
    <definedName name="TARIQ" localSheetId="8" hidden="0" function="0" vbProcedure="0">[145]!Calculate_Pipe</definedName>
    <definedName name="Tbg" localSheetId="8" hidden="0" function="0" vbProcedure="0">#ref!</definedName>
    <definedName name="TbgDrift1" localSheetId="8" hidden="0" function="0" vbProcedure="0">'[94]Job Technical Info'!$G$35</definedName>
    <definedName name="TbgDrift2" localSheetId="8" hidden="0" function="0" vbProcedure="0">'[94]Job Technical Info'!$G$36</definedName>
    <definedName name="TbgDrift3" localSheetId="8" hidden="0" function="0" vbProcedure="0">'[94]Job Technical Info'!$G$37</definedName>
    <definedName name="TbgDrift4" localSheetId="8" hidden="0" function="0" vbProcedure="0">'[94]Job Technical Info'!$G$38</definedName>
    <definedName name="TbgGrade" localSheetId="8" hidden="0" function="0" vbProcedure="0">[170]MUT!$O$3:$O$4</definedName>
    <definedName name="TbgGrd1" localSheetId="8" hidden="0" function="0" vbProcedure="0">'[94]Job Technical Info'!$H$35</definedName>
    <definedName name="TbgGrd2" localSheetId="8" hidden="0" function="0" vbProcedure="0">'[94]Job Technical Info'!$H$36</definedName>
    <definedName name="TbgGrd3" localSheetId="8" hidden="0" function="0" vbProcedure="0">'[94]Job Technical Info'!$H$37</definedName>
    <definedName name="TbgGrd4" localSheetId="8" hidden="0" function="0" vbProcedure="0">'[94]Job Technical Info'!$H$38</definedName>
    <definedName name="TbgID1" localSheetId="8" hidden="0" function="0" vbProcedure="0">'[94]Job Technical Info'!$F$35</definedName>
    <definedName name="TbgID2" localSheetId="8" hidden="0" function="0" vbProcedure="0">'[94]Job Technical Info'!$F$36</definedName>
    <definedName name="TbgID3" localSheetId="8" hidden="0" function="0" vbProcedure="0">'[94]Job Technical Info'!$F$37</definedName>
    <definedName name="TbgID4" localSheetId="8" hidden="0" function="0" vbProcedure="0">'[94]Job Technical Info'!$F$38</definedName>
    <definedName name="TbgSz1" localSheetId="8" hidden="0" function="0" vbProcedure="0">'[94]Job Technical Info'!$D$35</definedName>
    <definedName name="TbgSz2" localSheetId="8" hidden="0" function="0" vbProcedure="0">'[94]Job Technical Info'!$D$36</definedName>
    <definedName name="TbgSz3" localSheetId="8" hidden="0" function="0" vbProcedure="0">'[94]Job Technical Info'!$D$37</definedName>
    <definedName name="TbgSz4" localSheetId="8" hidden="0" function="0" vbProcedure="0">'[94]Job Technical Info'!$D$38</definedName>
    <definedName name="TbgThd1" localSheetId="8" hidden="0" function="0" vbProcedure="0">'[94]Job Technical Info'!$J$35</definedName>
    <definedName name="TbgThd2" localSheetId="8" hidden="0" function="0" vbProcedure="0">'[94]Job Technical Info'!$J$36</definedName>
    <definedName name="TbgThd3" localSheetId="8" hidden="0" function="0" vbProcedure="0">'[94]Job Technical Info'!$J$37</definedName>
    <definedName name="TbgThd4" localSheetId="8" hidden="0" function="0" vbProcedure="0">'[94]Job Technical Info'!$J$38</definedName>
    <definedName name="TbgWt1" localSheetId="8" hidden="0" function="0" vbProcedure="0">'[94]Job Technical Info'!$E$35</definedName>
    <definedName name="TbgWt2" localSheetId="8" hidden="0" function="0" vbProcedure="0">'[94]Job Technical Info'!$E$36</definedName>
    <definedName name="TbgWt3" localSheetId="8" hidden="0" function="0" vbProcedure="0">'[94]Job Technical Info'!$E$37</definedName>
    <definedName name="TbgWt4" localSheetId="8" hidden="0" function="0" vbProcedure="0">'[94]Job Technical Info'!$E$38</definedName>
    <definedName name="TB_Ext_API_Coll" localSheetId="8" hidden="0" function="0" vbProcedure="0">'[109]Metric Conversions'!$B$55</definedName>
    <definedName name="TB_Ext_API_Collz" localSheetId="8" hidden="0" function="0" vbProcedure="0">'[109]Liner Job Info'!$P$37</definedName>
    <definedName name="TB_Ext_Bst" localSheetId="8" hidden="0" function="0" vbProcedure="0">'[109]Metric Conversions'!$B$54</definedName>
    <definedName name="TB_Ext_Bstz" localSheetId="8" hidden="0" function="0" vbProcedure="0">'[109]Liner Job Info'!$P$36</definedName>
    <definedName name="TB_EXT_ID" localSheetId="8" hidden="0" function="0" vbProcedure="0">'[109]Liner Job Info'!$P$35</definedName>
    <definedName name="TB_Ext_Yield_Collz" localSheetId="8" hidden="0" function="0" vbProcedure="0">'[109]Liner Job Info'!$P$38</definedName>
    <definedName name="TCPSTRING" localSheetId="8" hidden="0" function="0" vbProcedure="0">[279]!ADDSTAB</definedName>
    <definedName name="TD_Depth_md" localSheetId="8" hidden="0" function="0" vbProcedure="0">'[70]well specification'!#ref!</definedName>
    <definedName name="TD_md" localSheetId="8" hidden="0" function="0" vbProcedure="0">'[70]well specification'!#ref!</definedName>
    <definedName name="tedtr" localSheetId="8" hidden="0" function="0" vbProcedure="0">'[115]Max-Torq'!$P$72</definedName>
    <definedName name="teks"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8" hidden="0" function="0" vbProcedure="0">#ref!</definedName>
    <definedName name="Temperature" localSheetId="8" hidden="0" function="0" vbProcedure="0">#ref!</definedName>
    <definedName name="TENDER" localSheetId="8" hidden="0" function="0" vbProcedure="0">'[163]Report Long(Esso)'!$E$4</definedName>
    <definedName name="tens" localSheetId="8" hidden="0" function="0" vbProcedure="0">'[115]Max-Torq'!$N$58</definedName>
    <definedName name="terry1" localSheetId="8" hidden="1" function="0" vbProcedure="0">{#N/A,#N/A,FALSE,"Volume"}</definedName>
    <definedName name="terry2" localSheetId="8" hidden="1" function="0" vbProcedure="0">{#N/A,#N/A,FALSE,"Volume"}</definedName>
    <definedName name="terry3" localSheetId="8" hidden="1" function="0" vbProcedure="0">{#N/A,#N/A,FALSE,"Volume"}</definedName>
    <definedName name="terry4" localSheetId="8" hidden="1" function="0" vbProcedure="0">{#N/A,#N/A,FALSE,"Volume"}</definedName>
    <definedName name="terry5" localSheetId="8" hidden="1" function="0" vbProcedure="0">{#N/A,#N/A,FALSE,"Volume"}</definedName>
    <definedName name="TEST" localSheetId="8" hidden="0" function="0" vbProcedure="0">#ref!</definedName>
    <definedName name="test1" localSheetId="8" hidden="1" function="0" vbProcedure="0">#ref!</definedName>
    <definedName name="Test_po_out_1" localSheetId="8" hidden="0" function="0" vbProcedure="0">[109]Test!$M$28</definedName>
    <definedName name="Test_po_out_2" localSheetId="8" hidden="0" function="0" vbProcedure="0">[109]Test!$M$29</definedName>
    <definedName name="textfive" localSheetId="8" hidden="0" function="0" vbProcedure="0">'[140]tally checklist'!textfive</definedName>
    <definedName name="textfivehalf" localSheetId="8" hidden="0" function="0" vbProcedure="0">'[140]tally checklist'!textfivehalf</definedName>
    <definedName name="textninefiveeightfourfirst" localSheetId="8" hidden="0" function="0" vbProcedure="0">'[140]tally checklist'!textninefiveeightfourfirst</definedName>
    <definedName name="textninefiveeightfoursecond" localSheetId="8" hidden="0" function="0" vbProcedure="0">'[140]tally checklist'!textninefiveeightfoursecond</definedName>
    <definedName name="textninefiveeightsixfirst" localSheetId="8" hidden="0" function="0" vbProcedure="0">'[140]tally checklist'!textninefiveeightsixfirst</definedName>
    <definedName name="textninefiveeightsixsecond" localSheetId="8" hidden="0" function="0" vbProcedure="0">'[140]tally checklist'!textninefiveeightsixsecond</definedName>
    <definedName name="textsevenfiveeightfour" localSheetId="8" hidden="0" function="0" vbProcedure="0">'[140]tally checklist'!textsevenfiveeightfour</definedName>
    <definedName name="textsevenfiveeightthree" localSheetId="8" hidden="0" function="0" vbProcedure="0">'[140]tally checklist'!textsevenfiveeightthree</definedName>
    <definedName name="textsevenfour" localSheetId="8" hidden="0" function="0" vbProcedure="0">'[140]tally checklist'!textsevenfour</definedName>
    <definedName name="textseventhree" localSheetId="8" hidden="0" function="0" vbProcedure="0">'[140]tally checklist'!textseventhree</definedName>
    <definedName name="text_five" localSheetId="8" hidden="0" function="0" vbProcedure="0">'[140]tally checklist'!text_five</definedName>
    <definedName name="text_fivehalf" localSheetId="8" hidden="0" function="0" vbProcedure="0">'[140]tally checklist'!text_fivehalf</definedName>
    <definedName name="text_ninefiveeightfourfirst" localSheetId="8" hidden="0" function="0" vbProcedure="0">'[140]tally checklist'!text_ninefiveeightfourfirst</definedName>
    <definedName name="text_ninefiveeightfoursecond" localSheetId="8" hidden="0" function="0" vbProcedure="0">'[140]tally checklist'!text_ninefiveeightfoursecond</definedName>
    <definedName name="text_ninefiveeightsixfirst" localSheetId="8" hidden="0" function="0" vbProcedure="0">'[140]tally checklist'!text_ninefiveeightsixfirst</definedName>
    <definedName name="text_ninefiveeightsixsecond" localSheetId="8" hidden="0" function="0" vbProcedure="0">'[140]tally checklist'!text_ninefiveeightsixsecond</definedName>
    <definedName name="text_sevenfiveeightfour" localSheetId="8" hidden="0" function="0" vbProcedure="0">'[140]tally checklist'!text_sevenfiveeightfour</definedName>
    <definedName name="text_sevenfiveeightthree" localSheetId="8" hidden="0" function="0" vbProcedure="0">'[140]tally checklist'!text_sevenfiveeightthree</definedName>
    <definedName name="text_sevenfour" localSheetId="8" hidden="0" function="0" vbProcedure="0">'[140]tally checklist'!text_sevenfour</definedName>
    <definedName name="text_seventhree" localSheetId="8" hidden="0" function="0" vbProcedure="0">'[140]tally checklist'!text_seventhree</definedName>
    <definedName name="tgrade" localSheetId="8" hidden="0" function="0" vbProcedure="0">[157]Control!$D$9</definedName>
    <definedName name="TGW" localSheetId="8" hidden="0" function="0" vbProcedure="0">'[140]tally checklist'!tgw</definedName>
    <definedName name="ThreadCon" localSheetId="8" hidden="0" function="0" vbProcedure="0">[171]MUT!$R$3:$R$9</definedName>
    <definedName name="ticketdate" localSheetId="8" hidden="0" function="0" vbProcedure="0">'[126]Call Sheet'!$AH$1</definedName>
    <definedName name="tickettype" localSheetId="8" hidden="0" function="0" vbProcedure="0">[54]data!#ref!</definedName>
    <definedName name="time" localSheetId="8" hidden="0" function="0" vbProcedure="0">'[93]well test sheet'!#ref!</definedName>
    <definedName name="Time_1" localSheetId="8" hidden="0" function="0" vbProcedure="0">#ref!</definedName>
    <definedName name="Time_1__Time_2" localSheetId="8" hidden="0" function="0" vbProcedure="0">'[282]k factor'!#ref!</definedName>
    <definedName name="Time_2" localSheetId="8" hidden="0" function="0" vbProcedure="0">#ref!</definedName>
    <definedName name="TLCENG" localSheetId="8" hidden="0" function="0" vbProcedure="0">[121]Reference!$D$2</definedName>
    <definedName name="TLDENG" localSheetId="8" hidden="0" function="0" vbProcedure="0">[121]Reference!$C$2</definedName>
    <definedName name="TLDOPS" localSheetId="8" hidden="0" function="0" vbProcedure="0">[121]Reference!$E$2:$E$3</definedName>
    <definedName name="TOL" localSheetId="8" hidden="0" function="0" vbProcedure="0">'[130]Metric Conversions'!$B$28</definedName>
    <definedName name="TOLz" localSheetId="8" hidden="0" function="0" vbProcedure="0">'[109]Liner Job Info'!$I$19</definedName>
    <definedName name="ToolMaterial" localSheetId="8" hidden="0" function="0" vbProcedure="0">[109]DATA!$BN$2:$BN$8</definedName>
    <definedName name="Tool_ID" localSheetId="8" hidden="0" function="0" vbProcedure="0">[109]DATA!$P$2:$P$268</definedName>
    <definedName name="TOPPKRIMG" localSheetId="8" hidden="0" function="0" vbProcedure="0">INDEX([172]PKR!$A$16:$B$17,MATCH([172]INPUT!$G$56,[172]PKR!$A$16:$A$17,0),2)</definedName>
    <definedName name="TOPPKRIMG_1" localSheetId="8" hidden="0" function="0" vbProcedure="0">INDEX([161]PKR!$A$16:$B$18,MATCH([161]INPUT!$G$56,[161]PKR!$A$16:$A$18,0),2)</definedName>
    <definedName name="Top_Drive_y_n" localSheetId="8" hidden="0" function="0" vbProcedure="0">'[46]liner job info'!#ref!</definedName>
    <definedName name="Top_Perf._TVD" localSheetId="8" hidden="0" function="0" vbProcedure="0">'[108]Pre-Job Info Sheet'!$B$30</definedName>
    <definedName name="Top_Perforation" localSheetId="8" hidden="0" function="0" vbProcedure="0">'[108]Pre-Job Info Sheet'!$B$28</definedName>
    <definedName name="Total_DP_Wt" localSheetId="8" hidden="0" function="0" vbProcedure="0">'[109]Weight Calculations'!$H$13</definedName>
    <definedName name="Total_Length_of_BHA" localSheetId="8" hidden="0" function="0" vbProcedure="0">'[108]TCP-BHA'!$H$47</definedName>
    <definedName name="TOT_ANN_CAP" localSheetId="8" hidden="0" function="0" vbProcedure="0">'[113]#REF'!$G$189</definedName>
    <definedName name="Tot_Bottoms_Upz" localSheetId="8" hidden="0" function="0" vbProcedure="0">'[109]Metric Conversions'!$C$90</definedName>
    <definedName name="TOT_CAP_HOLE" localSheetId="8" hidden="0" function="0" vbProcedure="0">'[113]#REF'!$G$190</definedName>
    <definedName name="Tot_DP_Vol" localSheetId="8" hidden="0" function="0" vbProcedure="0">'[109]Metric Conversions'!$B$75</definedName>
    <definedName name="Tot_DP_Volz" localSheetId="8" hidden="0" function="0" vbProcedure="0">'[109]Metric Conversions'!$C$75</definedName>
    <definedName name="Tot_Liner_Wt" localSheetId="8" hidden="0" function="0" vbProcedure="0">'[109]Weight Calculations'!$H$18</definedName>
    <definedName name="Tot_Lnr_Vol_to_LC" localSheetId="8" hidden="0" function="0" vbProcedure="0">'[109]Metric Conversions'!$B$79</definedName>
    <definedName name="Tot_Lnr_Vol_to_LCz" localSheetId="8" hidden="0" function="0" vbProcedure="0">'[109]Metric Conversions'!$C$79</definedName>
    <definedName name="TOT_SAND_2B_PUMPED" localSheetId="8" hidden="0" function="0" vbProcedure="0">'[6]#ref'!#ref!</definedName>
    <definedName name="TOT_SAND_COV_BLANK" localSheetId="8" hidden="0" function="0" vbProcedure="0">'[113]#REF'!$H$136</definedName>
    <definedName name="TOT_SAND_COV_SCREEN" localSheetId="8" hidden="0" function="0" vbProcedure="0">'[113]#REF'!$H$135</definedName>
    <definedName name="TOT_SAND_IN_PERFS" localSheetId="8" hidden="0" function="0" vbProcedure="0">'[113]#REF'!$F$137</definedName>
    <definedName name="TOT_SAND_PLACED" localSheetId="8" hidden="0" function="0" vbProcedure="0">'[113]#REF'!$F$131</definedName>
    <definedName name="TOT_SAND_REVOUT" localSheetId="8" hidden="0" function="0" vbProcedure="0">'[6]#ref'!#ref!</definedName>
    <definedName name="Tot_Vol_to_Bump_Plugs" localSheetId="8" hidden="0" function="0" vbProcedure="0">'[109]Metric Conversions'!$B$80</definedName>
    <definedName name="Tot_Vol_to_Bump_Plugsz" localSheetId="8" hidden="0" function="0" vbProcedure="0">'[109]Metric Conversions'!$C$80</definedName>
    <definedName name="Tot_Vol_to_Shoez" localSheetId="8" hidden="0" function="0" vbProcedure="0">'[109]Metric Conversions'!$C$81</definedName>
    <definedName name="tpermit" localSheetId="8" hidden="0" function="0" vbProcedure="0">[157]Control!$D$5</definedName>
    <definedName name="TQW" localSheetId="8" hidden="0" function="0" vbProcedure="0">'[140]tally checklist'!tqw</definedName>
    <definedName name="tr" localSheetId="8" hidden="0" function="0" vbProcedure="0">null</definedName>
    <definedName name="transport" localSheetId="8" hidden="0" function="0" vbProcedure="0">[54]data!#ref!</definedName>
    <definedName name="treatment" localSheetId="8" hidden="0" function="0" vbProcedure="0">[54]data!#ref!</definedName>
    <definedName name="try" localSheetId="8" hidden="0" function="0" vbProcedure="0">[173]Calculos!$K$3:$V$31</definedName>
    <definedName name="TR_Column" localSheetId="8" hidden="0" function="0" vbProcedure="0">null</definedName>
    <definedName name="TR_Unit" localSheetId="8" hidden="0" function="0" vbProcedure="0">null</definedName>
    <definedName name="tshoe" localSheetId="8" hidden="0" function="0" vbProcedure="0">[157]Drillers!$Q$20</definedName>
    <definedName name="tsize" localSheetId="8" hidden="0" function="0" vbProcedure="0">[157]Control!$D$7</definedName>
    <definedName name="TST" localSheetId="8" hidden="0" function="0" vbProcedure="0">'[30]Liner Job Info'!$O$5</definedName>
    <definedName name="tstickup" localSheetId="8" hidden="0" function="0" vbProcedure="0">[157]Drillers!$O$20</definedName>
    <definedName name="TS_pricelist" localSheetId="8" hidden="0" function="0" vbProcedure="0">[139]Pricelist!$A$57:$B$65</definedName>
    <definedName name="Tubing" localSheetId="8" hidden="0" function="0" vbProcedure="0">[174]Tubing!$B$7:$I$142</definedName>
    <definedName name="TubingAverage" localSheetId="8" hidden="0" function="0" vbProcedure="0">((SUM('COVER PAGE '!NosOfTubing))-(MakeupLoss*COUNT('COVER PAGE '!NosOfTubing)))/COUNT('COVER PAGE '!NosOfTubing)</definedName>
    <definedName name="tubingInfo" localSheetId="8" hidden="0" function="0" vbProcedure="0">#ref!</definedName>
    <definedName name="TubingLength" localSheetId="8" hidden="0" function="0" vbProcedure="0">#ref!</definedName>
    <definedName name="tubingmat" localSheetId="8" hidden="0" function="0" vbProcedure="0">#ref!</definedName>
    <definedName name="TubingOD" localSheetId="8" hidden="0" function="0" vbProcedure="0">[94]Lists!$AH$3:$AH$297</definedName>
    <definedName name="tubingSG" localSheetId="8" hidden="0" function="0" vbProcedure="0">#ref!</definedName>
    <definedName name="tubingsize" localSheetId="8" hidden="0" function="0" vbProcedure="0">#ref!</definedName>
    <definedName name="TubingSizes" localSheetId="8" hidden="0" function="0" vbProcedure="0">[94]Lists!$H$2:$H$14</definedName>
    <definedName name="tubingtype" localSheetId="8" hidden="0" function="0" vbProcedure="0">#ref!</definedName>
    <definedName name="tubingW" localSheetId="8" hidden="0" function="0" vbProcedure="0">#ref!</definedName>
    <definedName name="tubingweight" localSheetId="8" hidden="0" function="0" vbProcedure="0">[83]!TubTable[id LIST (in)]</definedName>
    <definedName name="tubingweigth" localSheetId="8" hidden="0" function="0" vbProcedure="0">#ref!</definedName>
    <definedName name="TVD_MID_PERF" localSheetId="8" hidden="0" function="0" vbProcedure="0">'[113]#REF'!$F$25</definedName>
    <definedName name="TV_TVD" localSheetId="8" hidden="0" function="0" vbProcedure="0">'[108]Tester Valve Calcs'!$F$20</definedName>
    <definedName name="TV_Vol" localSheetId="8" hidden="0" function="0" vbProcedure="0">'[108]Tester Valve Calcs'!$M$17</definedName>
    <definedName name="tweight" localSheetId="8" hidden="0" function="0" vbProcedure="0">[157]Control!$D$8</definedName>
    <definedName name="twell" localSheetId="8" hidden="0" function="0" vbProcedure="0">[157]Control!$D$4</definedName>
    <definedName name="twstes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8" hidden="0" function="0" vbProcedure="0">'[140]tally checklist'!tyjeje</definedName>
    <definedName name="TYPE" localSheetId="8" hidden="0" function="0" vbProcedure="0">'[58]7-30-04'!#ref!</definedName>
    <definedName name="TYPEOFPLUG" localSheetId="8" hidden="0" function="0" vbProcedure="0">'[175]DATA CALL OUT'!$C$1:$C$65536</definedName>
    <definedName name="T_ABOP" localSheetId="8" hidden="0" function="0" vbProcedure="0">'[94]Physical Barrier Check Form'!$B$15</definedName>
    <definedName name="T_BFluidColumn" localSheetId="8" hidden="0" function="0" vbProcedure="0">'[94]Physical Barrier Check Form'!$B$19</definedName>
    <definedName name="T_BHFieldRep" localSheetId="8" hidden="0" function="0" vbProcedure="0">#ref!</definedName>
    <definedName name="T_BHP" localSheetId="8" hidden="0" function="0" vbProcedure="0">'[94]Job Technical Info'!$A$42</definedName>
    <definedName name="T_BHRepNamePrinted" localSheetId="8" hidden="0" function="0" vbProcedure="0">#ref!</definedName>
    <definedName name="T_BHRepSignatureJobLog" localSheetId="8" hidden="0" function="0" vbProcedure="0">#ref!</definedName>
    <definedName name="T_BHT" localSheetId="8" hidden="0" function="0" vbProcedure="0">'[94]Job Technical Info'!$C$42</definedName>
    <definedName name="T_Casing1" localSheetId="8" hidden="0" function="0" vbProcedure="0">'[94]Job Technical Info'!$B$25</definedName>
    <definedName name="T_Casing2" localSheetId="8" hidden="0" function="0" vbProcedure="0">'[94]Job Technical Info'!$B$26</definedName>
    <definedName name="T_Casing3" localSheetId="8" hidden="0" function="0" vbProcedure="0">'[94]Job Technical Info'!$B$27</definedName>
    <definedName name="T_Casing4" localSheetId="8" hidden="0" function="0" vbProcedure="0">'[94]Job Technical Info'!$B$28</definedName>
    <definedName name="T_Ccasing" localSheetId="8" hidden="0" function="0" vbProcedure="0">'[94]Physical Barrier Check Form'!$B$23</definedName>
    <definedName name="T_Comments" localSheetId="8" hidden="0" function="0" vbProcedure="0">[94]Schematic!$L$12</definedName>
    <definedName name="T_Customer" localSheetId="8" hidden="0" function="0" vbProcedure="0">#ref!</definedName>
    <definedName name="T_CustomerNamePrinted" localSheetId="8" hidden="0" function="0" vbProcedure="0">#ref!</definedName>
    <definedName name="T_CustomerProject" localSheetId="8" hidden="0" function="0" vbProcedure="0">[94]Schematic!$A$8</definedName>
    <definedName name="T_CustomerRep" localSheetId="8" hidden="0" function="0" vbProcedure="0">#ref!</definedName>
    <definedName name="T_CustomerSignatureJobLog" localSheetId="8" hidden="0" function="0" vbProcedure="0">#ref!</definedName>
    <definedName name="T_C_H" localSheetId="8" hidden="0" function="0" vbProcedure="0">'[47]12(762mm)套管'!#ref!</definedName>
    <definedName name="T_Date" localSheetId="8" hidden="0" function="0" vbProcedure="0">#ref!</definedName>
    <definedName name="T_Depth" localSheetId="8" hidden="0" function="0" vbProcedure="0">[94]Schematic!$N$31</definedName>
    <definedName name="T_Description" localSheetId="8" hidden="0" function="0" vbProcedure="0">[94]Schematic!$D$31</definedName>
    <definedName name="T_District" localSheetId="8" hidden="0" function="0" vbProcedure="0">'[94]Physical Barrier Check Form'!$B$4</definedName>
    <definedName name="T_DistrictPh" localSheetId="8" hidden="0" function="0" vbProcedure="0">#ref!</definedName>
    <definedName name="T_DProductionPacker" localSheetId="8" hidden="0" function="0" vbProcedure="0">'[94]Physical Barrier Check Form'!$B$27</definedName>
    <definedName name="T_Drift" localSheetId="8" hidden="0" function="0" vbProcedure="0">'[94]Job Technical Info'!$G$23</definedName>
    <definedName name="T_Dual" localSheetId="8" hidden="0" function="0" vbProcedure="0">#ref!</definedName>
    <definedName name="T_EBridgePlug" localSheetId="8" hidden="0" function="0" vbProcedure="0">'[94]Physical Barrier Check Form'!$B$31</definedName>
    <definedName name="T_FluidType" localSheetId="8" hidden="0" function="0" vbProcedure="0">'[94]Job Technical Info'!$E$42</definedName>
    <definedName name="T_FluidWeight" localSheetId="8" hidden="0" function="0" vbProcedure="0">'[94]Job Technical Info'!$G$42</definedName>
    <definedName name="T_FOtherBarriers" localSheetId="8" hidden="0" function="0" vbProcedure="0">'[94]Physical Barrier Check Form'!$B$35</definedName>
    <definedName name="T_Grade" localSheetId="8" hidden="0" function="0" vbProcedure="0">'[94]Job Technical Info'!$H$23</definedName>
    <definedName name="T_ID" localSheetId="8" hidden="0" function="0" vbProcedure="0">'[94]Job Technical Info'!$F$23</definedName>
    <definedName name="T_JCID" localSheetId="8" hidden="0" function="0" vbProcedure="0">#ref!</definedName>
    <definedName name="T_JobLog" localSheetId="8" hidden="0" function="0" vbProcedure="0">#ref!</definedName>
    <definedName name="T_Length" localSheetId="8" hidden="0" function="0" vbProcedure="0">[94]Schematic!$M$31</definedName>
    <definedName name="T_Liner1" localSheetId="8" hidden="0" function="0" vbProcedure="0">'[94]Job Technical Info'!$B$29</definedName>
    <definedName name="T_Liner2" localSheetId="8" hidden="0" function="0" vbProcedure="0">'[94]Job Technical Info'!$B$30</definedName>
    <definedName name="T_MaxDev" localSheetId="8" hidden="0" function="0" vbProcedure="0">[94]Schematic!$M$10</definedName>
    <definedName name="T_No" localSheetId="8" hidden="0" function="0" vbProcedure="0">[94]Schematic!$C$31</definedName>
    <definedName name="T_Notes" localSheetId="8" hidden="0" function="0" vbProcedure="0">'[94]Physical Barrier Check Form'!$H$13</definedName>
    <definedName name="T_OD" localSheetId="8" hidden="0" function="0" vbProcedure="0">'[94]Job Technical Info'!$D$23</definedName>
    <definedName name="T_OperationsRemarks" localSheetId="8" hidden="0" function="0" vbProcedure="0">#ref!</definedName>
    <definedName name="T_Project" localSheetId="8" hidden="0" function="0" vbProcedure="0">#ref!</definedName>
    <definedName name="T_Rig" localSheetId="8" hidden="0" function="0" vbProcedure="0">#ref!</definedName>
    <definedName name="T_SDC" localSheetId="8" hidden="0" function="0" vbProcedure="0">#ref!</definedName>
    <definedName name="T_Thread" localSheetId="8" hidden="0" function="0" vbProcedure="0">'[94]Job Technical Info'!$J$23</definedName>
    <definedName name="T_Time" localSheetId="8" hidden="0" function="0" vbProcedure="0">#ref!</definedName>
    <definedName name="T_Tubing1" localSheetId="8" hidden="0" function="0" vbProcedure="0">'[94]Job Technical Info'!$B$35</definedName>
    <definedName name="T_Tubing2" localSheetId="8" hidden="0" function="0" vbProcedure="0">'[94]Job Technical Info'!$B$36</definedName>
    <definedName name="T_Tubing3" localSheetId="8" hidden="0" function="0" vbProcedure="0">'[94]Job Technical Info'!$B$37</definedName>
    <definedName name="T_Tubing4" localSheetId="8" hidden="0" function="0" vbProcedure="0">'[94]Job Technical Info'!$B$38</definedName>
    <definedName name="T_Tubulars" localSheetId="8" hidden="0" function="0" vbProcedure="0">'[94]Job Technical Info'!$B$23</definedName>
    <definedName name="T_Weight" localSheetId="8" hidden="0" function="0" vbProcedure="0">'[94]Job Technical Info'!$E$23</definedName>
    <definedName name="T_Well" localSheetId="8" hidden="0" function="0" vbProcedure="0">#ref!</definedName>
    <definedName name="T_Workstring1" localSheetId="8" hidden="0" function="0" vbProcedure="0">'[94]Job Technical Info'!$B$31</definedName>
    <definedName name="T_Workstring2" localSheetId="8" hidden="0" function="0" vbProcedure="0">'[94]Job Technical Info'!$B$32</definedName>
    <definedName name="T_Workstring3" localSheetId="8" hidden="0" function="0" vbProcedure="0">'[94]Job Technical Info'!$B$33</definedName>
    <definedName name="T_Workstring4" localSheetId="8" hidden="0" function="0" vbProcedure="0">'[94]Job Technical Info'!$B$34</definedName>
    <definedName name="U" localSheetId="8" hidden="0" function="0" vbProcedure="0">[176]Lists!$A$1:$A$3</definedName>
    <definedName name="Underbalance" localSheetId="8" hidden="0" function="0" vbProcedure="0">'[108]Job Calculation Sheet'!$H$34</definedName>
    <definedName name="UNI_AA_VERSION" localSheetId="8" hidden="1" function="0" vbProcedure="0">"322.2.0"</definedName>
    <definedName name="Used" localSheetId="8" hidden="0" function="0" vbProcedure="0">[109]DATA!$AR$2:$AR$3</definedName>
    <definedName name="Using_Hanger" localSheetId="8" hidden="0" function="0" vbProcedure="0">'[109]Liner Job Info'!$D$38</definedName>
    <definedName name="Using_Packer" localSheetId="8" hidden="0" function="0" vbProcedure="0">'[109]Liner Job Info'!$P$30</definedName>
    <definedName name="VALIDCURR" localSheetId="8" hidden="0" function="0" vbProcedure="0">[177]Currency!$A$1:$A$170</definedName>
    <definedName name="Vallist" localSheetId="8" hidden="0" function="0" vbProcedure="0">'[109]Casing Info'!$A$2:$A$34</definedName>
    <definedName name="vallist2" localSheetId="8" hidden="0" function="0" vbProcedure="0">#N/A</definedName>
    <definedName name="vbcode.draw_blanks" localSheetId="8" hidden="0" function="0" vbProcedure="0">'[140]tally checklist'!vbcode.draw_blanks</definedName>
    <definedName name="vbcode.draw_linerfirst" localSheetId="8" hidden="0" function="0" vbProcedure="0">'[140]tally checklist'!vbcode.draw_linerfirst</definedName>
    <definedName name="vbcode.draw_linersecond" localSheetId="8" hidden="0" function="0" vbProcedure="0">'[140]tally checklist'!vbcode.draw_linersecond</definedName>
    <definedName name="vbcode.draw_miscellaneous" localSheetId="8" hidden="0" function="0" vbProcedure="0">'[140]tally checklist'!vbcode.draw_miscellaneous</definedName>
    <definedName name="vbcode.draw_productionfirst" localSheetId="8" hidden="0" function="0" vbProcedure="0">'[140]tally checklist'!vbcode.draw_productionfirst</definedName>
    <definedName name="vbcode.draw_productionsecond" localSheetId="8" hidden="0" function="0" vbProcedure="0">'[140]tally checklist'!vbcode.draw_productionsecond</definedName>
    <definedName name="vbcode.draw_quantum" localSheetId="8" hidden="0" function="0" vbProcedure="0">'[140]tally checklist'!vbcode.draw_quantum</definedName>
    <definedName name="vbcode.draw_screens" localSheetId="8" hidden="0" function="0" vbProcedure="0">'[140]tally checklist'!vbcode.draw_screens</definedName>
    <definedName name="vbcode.draw_shearsubs" localSheetId="8" hidden="0" function="0" vbProcedure="0">'[140]tally checklist'!vbcode.draw_shearsubs</definedName>
    <definedName name="vbcode.draw_sump" localSheetId="8" hidden="0" function="0" vbProcedure="0">'[140]tally checklist'!vbcode.draw_sump</definedName>
    <definedName name="vbcode.text_five" localSheetId="8" hidden="0" function="0" vbProcedure="0">'[140]tally checklist'!vbcode.text_five</definedName>
    <definedName name="vbcode.text_fivehalf" localSheetId="8" hidden="0" function="0" vbProcedure="0">'[140]tally checklist'!vbcode.text_fivehalf</definedName>
    <definedName name="vbcode.text_ninefiveeightfourfirst" localSheetId="8" hidden="0" function="0" vbProcedure="0">'[140]tally checklist'!vbcode.text_ninefiveeightfourfirst</definedName>
    <definedName name="vbcode.text_ninefiveeightfoursecond" localSheetId="8" hidden="0" function="0" vbProcedure="0">'[140]tally checklist'!vbcode.text_ninefiveeightfoursecond</definedName>
    <definedName name="vbcode.text_ninefiveeightsixfirst" localSheetId="8" hidden="0" function="0" vbProcedure="0">'[140]tally checklist'!vbcode.text_ninefiveeightsixfirst</definedName>
    <definedName name="vbcode.text_ninefiveeightsixsecond" localSheetId="8" hidden="0" function="0" vbProcedure="0">'[140]tally checklist'!vbcode.text_ninefiveeightsixsecond</definedName>
    <definedName name="vbcode.text_sevenfiveeightfour" localSheetId="8" hidden="0" function="0" vbProcedure="0">'[140]tally checklist'!vbcode.text_sevenfiveeightfour</definedName>
    <definedName name="vbcode.text_sevenfiveeightthree" localSheetId="8" hidden="0" function="0" vbProcedure="0">'[140]tally checklist'!vbcode.text_sevenfiveeightthree</definedName>
    <definedName name="vbcode.text_sevenfour" localSheetId="8" hidden="0" function="0" vbProcedure="0">'[140]tally checklist'!vbcode.text_sevenfour</definedName>
    <definedName name="vbcode.text_seventhree" localSheetId="8" hidden="0" function="0" vbProcedure="0">'[140]tally checklist'!vbcode.text_seventhree</definedName>
    <definedName name="Verticaldepth" localSheetId="8" hidden="0" function="0" vbProcedure="0">'[129]Front Page Info'!$C$18</definedName>
    <definedName name="vfdvf" localSheetId="8" hidden="0" function="0" vbProcedure="0">[174]!Macro61</definedName>
    <definedName name="VirginSheet" localSheetId="8" hidden="0" function="0" vbProcedure="0">#ref!</definedName>
    <definedName name="volume1" localSheetId="8" hidden="1" function="0" vbProcedure="0">{#N/A,#N/A,FALSE,"Volume"}</definedName>
    <definedName name="VOL_MULE_SHOE" localSheetId="8" hidden="0" function="0" vbProcedure="0">'[113]#REF'!$F$178</definedName>
    <definedName name="VS" localSheetId="8" hidden="0" function="0" vbProcedure="0">'[95]MACRO125 '!$F$6</definedName>
    <definedName name="vvv" localSheetId="8" hidden="0" function="0" vbProcedure="0">[119]钻井日报表!$E$7</definedName>
    <definedName name="vvvdf" localSheetId="8" hidden="0" function="0" vbProcedure="0">[119]钻井日报表!$G$8</definedName>
    <definedName name="vvvvv" localSheetId="8" hidden="0" function="0" vbProcedure="0">[79]!Macro60</definedName>
    <definedName name="w" localSheetId="8" hidden="0" function="0" vbProcedure="0">'[298]run sheet'!#ref!</definedName>
    <definedName name="WBJobRev" localSheetId="8" hidden="0" function="0" vbProcedure="0">'[94]Job Technical Info'!$C$11</definedName>
    <definedName name="Weak_DP" localSheetId="8" hidden="0" function="0" vbProcedure="0">'[109]Weight Calculations'!$V$63</definedName>
    <definedName name="Weak_link" localSheetId="8" hidden="0" function="0" vbProcedure="0">'[109]Weight Calculations'!$R$61</definedName>
    <definedName name="Week" localSheetId="8" hidden="0" function="0" vbProcedure="0">[18]Criteria!$A$2:$A$51</definedName>
    <definedName name="weight" localSheetId="8" hidden="0" function="0" vbProcedure="0">'[7]Drop-Down Items'!$M$7:$M$10</definedName>
    <definedName name="WeightUnit" localSheetId="8" hidden="0" function="0" vbProcedure="0">'[94]Job Technical Info'!$E$24</definedName>
    <definedName name="Well" localSheetId="8" hidden="0" function="0" vbProcedure="0">'[94]Job Technical Info'!$K$12</definedName>
    <definedName name="well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8" hidden="0" function="0" vbProcedure="0">[132]Data!$K$1:$K$65536</definedName>
    <definedName name="Welllocation1" localSheetId="8" hidden="0" function="0" vbProcedure="0">[132]Data!$M$1:$M$65536</definedName>
    <definedName name="WellMD" localSheetId="8" hidden="0" function="0" vbProcedure="0">'[94]Job Technical Info'!$H$41</definedName>
    <definedName name="WellNo" localSheetId="8" hidden="0" function="0" vbProcedure="0">'[163]Report Long(Esso)'!$E$2</definedName>
    <definedName name="Wells" localSheetId="8" hidden="0" function="0" vbProcedure="0">[299]welltest!#ref!</definedName>
    <definedName name="WellTVD" localSheetId="8" hidden="0" function="0" vbProcedure="0">'[94]Job Technical Info'!$J$41</definedName>
    <definedName name="welltype" localSheetId="8" hidden="0" function="0" vbProcedure="0">'[113]#REF'!$F$18</definedName>
    <definedName name="Welltype2" localSheetId="8" hidden="0" function="0" vbProcedure="0">[178]Data!$H$1:$H$65536</definedName>
    <definedName name="Well_Name" localSheetId="8" hidden="0" function="0" vbProcedure="0">'[108]TCP-BHA'!$C$7</definedName>
    <definedName name="Well_Number" localSheetId="8" hidden="0" function="0" vbProcedure="0">'[62]Liner Job Info'!$E$6</definedName>
    <definedName name="well_type" localSheetId="8" hidden="0" function="0" vbProcedure="0">'[7]Drop-Down Items'!$D$43:$D$48</definedName>
    <definedName name="Well_Type__Oil_Gas" localSheetId="8" hidden="0" function="0" vbProcedure="0">'[108]Pre-Job Info Sheet'!$B$31</definedName>
    <definedName name="WHP" localSheetId="8" hidden="0" function="0" vbProcedure="0">#ref!</definedName>
    <definedName name="wht" localSheetId="8" hidden="0" function="0" vbProcedure="0">'[93]well test sheet'!#ref!</definedName>
    <definedName name="wiperplugunity" localSheetId="8" hidden="0" function="0" vbProcedure="0">[109]Test!$G$18</definedName>
    <definedName name="WIV?" localSheetId="8" hidden="0" function="0" vbProcedure="0">'[43]Multi Stage Info'!$D$37</definedName>
    <definedName name="WkstrDrift1" localSheetId="8" hidden="0" function="0" vbProcedure="0">'[94]Job Technical Info'!$G$31</definedName>
    <definedName name="WkstrDrift2" localSheetId="8" hidden="0" function="0" vbProcedure="0">'[94]Job Technical Info'!$G$32</definedName>
    <definedName name="WkstrDrift3" localSheetId="8" hidden="0" function="0" vbProcedure="0">'[94]Job Technical Info'!$G$33</definedName>
    <definedName name="WkstrDrift4" localSheetId="8" hidden="0" function="0" vbProcedure="0">'[94]Job Technical Info'!$G$34</definedName>
    <definedName name="WkstrGrd1" localSheetId="8" hidden="0" function="0" vbProcedure="0">'[94]Job Technical Info'!$H$31</definedName>
    <definedName name="WkstrGrd2" localSheetId="8" hidden="0" function="0" vbProcedure="0">'[94]Job Technical Info'!$H$32</definedName>
    <definedName name="WkstrGrd3" localSheetId="8" hidden="0" function="0" vbProcedure="0">'[94]Job Technical Info'!$H$33</definedName>
    <definedName name="WkstrGrd4" localSheetId="8" hidden="0" function="0" vbProcedure="0">'[94]Job Technical Info'!$H$34</definedName>
    <definedName name="WkstrID1" localSheetId="8" hidden="0" function="0" vbProcedure="0">'[94]Job Technical Info'!$F$31</definedName>
    <definedName name="WkstrID2" localSheetId="8" hidden="0" function="0" vbProcedure="0">'[94]Job Technical Info'!$F$32</definedName>
    <definedName name="WkstrID3" localSheetId="8" hidden="0" function="0" vbProcedure="0">'[94]Job Technical Info'!$F$33</definedName>
    <definedName name="WkstrID4" localSheetId="8" hidden="0" function="0" vbProcedure="0">'[94]Job Technical Info'!$F$34</definedName>
    <definedName name="WkstrSz1" localSheetId="8" hidden="0" function="0" vbProcedure="0">'[94]Job Technical Info'!$D$31</definedName>
    <definedName name="WkstrSz2" localSheetId="8" hidden="0" function="0" vbProcedure="0">'[94]Job Technical Info'!$D$32</definedName>
    <definedName name="WkstrSz3" localSheetId="8" hidden="0" function="0" vbProcedure="0">'[94]Job Technical Info'!$D$33</definedName>
    <definedName name="WkstrSz4" localSheetId="8" hidden="0" function="0" vbProcedure="0">'[94]Job Technical Info'!$D$34</definedName>
    <definedName name="WkstrThd1" localSheetId="8" hidden="0" function="0" vbProcedure="0">'[94]Job Technical Info'!$J$31</definedName>
    <definedName name="WkstrThd2" localSheetId="8" hidden="0" function="0" vbProcedure="0">'[94]Job Technical Info'!$J$32</definedName>
    <definedName name="WkstrThd3" localSheetId="8" hidden="0" function="0" vbProcedure="0">'[94]Job Technical Info'!$J$33</definedName>
    <definedName name="WkstrThd4" localSheetId="8" hidden="0" function="0" vbProcedure="0">'[94]Job Technical Info'!$J$34</definedName>
    <definedName name="WkstrWt1" localSheetId="8" hidden="0" function="0" vbProcedure="0">'[94]Job Technical Info'!$E$31</definedName>
    <definedName name="WkstrWt2" localSheetId="8" hidden="0" function="0" vbProcedure="0">'[94]Job Technical Info'!$E$32</definedName>
    <definedName name="WkstrWt3" localSheetId="8" hidden="0" function="0" vbProcedure="0">'[94]Job Technical Info'!$E$33</definedName>
    <definedName name="WkstrWt4" localSheetId="8" hidden="0" function="0" vbProcedure="0">'[94]Job Technical Info'!$E$34</definedName>
    <definedName name="workstringid" localSheetId="8" hidden="0" function="0" vbProcedure="0">'[113]#REF'!$H$12</definedName>
    <definedName name="workstringidref" localSheetId="8" hidden="0" function="0" vbProcedure="0">[106]Data!$GC$3</definedName>
    <definedName name="workstringlength" localSheetId="8" hidden="0" function="0" vbProcedure="0">'[113]#REF'!$J$12</definedName>
    <definedName name="workstringod" localSheetId="8" hidden="0" function="0" vbProcedure="0">'[113]#REF'!$F$12</definedName>
    <definedName name="workstringtable" localSheetId="8" hidden="0" function="0" vbProcedure="0">[83]!CasingTable[#data]</definedName>
    <definedName name="workstringwt" localSheetId="8" hidden="0" function="0" vbProcedure="0">'[113]#REF'!$M$12</definedName>
    <definedName name="Workstring_Grade" localSheetId="8" hidden="0" function="0" vbProcedure="0">'[108]Pre-Job Info Sheet'!$D$27</definedName>
    <definedName name="Workstring_ID" localSheetId="8" hidden="0" function="0" vbProcedure="0">'[108]Job Calculation Sheet'!$F$16</definedName>
    <definedName name="Workstring_Length" localSheetId="8" hidden="0" function="0" vbProcedure="0">'[108]TCP-BHA'!$G$12</definedName>
    <definedName name="Workstring_Size" localSheetId="8" hidden="0" function="0" vbProcedure="0">'[108]Pre-Job Info Sheet'!$D$25</definedName>
    <definedName name="Workstring_Type" localSheetId="8" hidden="0" function="0" vbProcedure="0">'[108]Pre-Job Info Sheet'!$D$24</definedName>
    <definedName name="Workstring_Wt._Ft." localSheetId="8" hidden="0" function="0" vbProcedure="0">'[108]Pre-Job Info Sheet'!$D$26</definedName>
    <definedName name="wrn.ASDF." localSheetId="8" hidden="1" function="0" vbProcedure="0">{#N/A,#N/A,FALSE,"SHEET 1";#N/A,#N/A,FALSE,"Sheet4"}</definedName>
    <definedName name="wrn.AT._.Reports." localSheetId="8" hidden="1" function="0" vbProcedure="0">{#N/A,#N/A,FALSE,"Drlg Param Run 1-1";#N/A,#N/A,FALSE,"DDR (3)";#N/A,#N/A,FALSE,"BHA AT (1)";#N/A,#N/A,FALSE,"Downlinkbha";#N/A,#N/A,FALSE,"Job Status Report"}</definedName>
    <definedName name="wrn.CD_MST." localSheetId="8" hidden="1" function="0" vbProcedure="0">{#N/A,#N/A,FALSE,"Sheet1"}</definedName>
    <definedName name="wrn.DST_TCP." localSheetId="8" hidden="1" function="0" vbProcedure="0">{#N/A,#N/A,FALSE,"INFO";#N/A,#N/A,FALSE,"PCT";#N/A,#N/A,FALSE,"DISCS";#N/A,#N/A,FALSE,"DISC TABLE";#N/A,#N/A,FALSE,"CUSHION";#N/A,#N/A,FALSE,"HYDRAULICS";#N/A,#N/A,FALSE,"MCCV";#N/A,#N/A,FALSE,"HDF";#N/A,#N/A,FALSE,"GUNS";#N/A,#N/A,FALSE,"GUNDATA"}</definedName>
    <definedName name="wrn.FULL._.DTL." localSheetId="8" hidden="1" function="0" vbProcedure="0">{"CF",#N/A,FALSE,"FULL COST";"MANUFACT",#N/A,FALSE,"FULL COST";"PAYNMENT",#N/A,FALSE,"FULL COST"}</definedName>
    <definedName name="wrn.FULLSUM." localSheetId="8" hidden="1" function="0" vbProcedure="0">{#N/A,#N/A,FALSE,"SUM-1";#N/A,#N/A,FALSE,"SUM-2";#N/A,#N/A,FALSE,"TENDER"}</definedName>
    <definedName name="wrn.ratios." localSheetId="8" hidden="1" function="0" vbProcedure="0">{"raatios",#N/A,FALSE,"A";"ratios",#N/A,FALSE,"B";"ratios",#N/A,FALSE,"C";"ratios",#N/A,FALSE,"D";"ratios",#N/A,FALSE,"F"}</definedName>
    <definedName name="wrn.SUMMARY." localSheetId="8" hidden="1" function="0" vbProcedure="0">{#N/A,#N/A,FALSE,"JUNK"}</definedName>
    <definedName name="wrn.VOLUME." localSheetId="8" hidden="1" function="0" vbProcedure="0">{#N/A,#N/A,FALSE,"Volume"}</definedName>
    <definedName name="wrn.volume.2" localSheetId="8" hidden="1" function="0" vbProcedure="0">{#N/A,#N/A,FALSE,"Volume"}</definedName>
    <definedName name="wrn.volume.2_1" localSheetId="8" hidden="0" function="0" vbProcedure="0">{#N/A,#N/A,FALSE,"Volume"}</definedName>
    <definedName name="wrn.volume.2_2" localSheetId="8" hidden="0" function="0" vbProcedure="0">{#N/A,#N/A,FALSE,"Volume"}</definedName>
    <definedName name="wrn.volume.2_3" localSheetId="8" hidden="0" function="0" vbProcedure="0">{#N/A,#N/A,FALSE,"Volume"}</definedName>
    <definedName name="wrn.volume.2_4" localSheetId="8" hidden="0" function="0" vbProcedure="0">{#N/A,#N/A,FALSE,"Volume"}</definedName>
    <definedName name="wrn.volume.2_5" localSheetId="8" hidden="0" function="0" vbProcedure="0">{#N/A,#N/A,FALSE,"Volume"}</definedName>
    <definedName name="wrn.volume.3" localSheetId="8" hidden="1" function="0" vbProcedure="0">{#N/A,#N/A,FALSE,"Volume"}</definedName>
    <definedName name="wrn.volume.3_1" localSheetId="8" hidden="0" function="0" vbProcedure="0">{#N/A,#N/A,FALSE,"Volume"}</definedName>
    <definedName name="wrn.volume.3_2" localSheetId="8" hidden="0" function="0" vbProcedure="0">{#N/A,#N/A,FALSE,"Volume"}</definedName>
    <definedName name="wrn.volume.3_3" localSheetId="8" hidden="0" function="0" vbProcedure="0">{#N/A,#N/A,FALSE,"Volume"}</definedName>
    <definedName name="wrn.volume.3_4" localSheetId="8" hidden="0" function="0" vbProcedure="0">{#N/A,#N/A,FALSE,"Volume"}</definedName>
    <definedName name="wrn.volume.3_5" localSheetId="8" hidden="0" function="0" vbProcedure="0">{#N/A,#N/A,FALSE,"Volume"}</definedName>
    <definedName name="wrn.VOLUME._1" localSheetId="8" hidden="0" function="0" vbProcedure="0">{#N/A,#N/A,FALSE,"Volume"}</definedName>
    <definedName name="wrn.VOLUME._2" localSheetId="8" hidden="0" function="0" vbProcedure="0">{#N/A,#N/A,FALSE,"Volume"}</definedName>
    <definedName name="wrn.VOLUME._3" localSheetId="8" hidden="0" function="0" vbProcedure="0">{#N/A,#N/A,FALSE,"Volume"}</definedName>
    <definedName name="wrn.VOLUME._4" localSheetId="8" hidden="0" function="0" vbProcedure="0">{#N/A,#N/A,FALSE,"Volume"}</definedName>
    <definedName name="wrn.VOLUME._5" localSheetId="8" hidden="0" function="0" vbProcedure="0">{#N/A,#N/A,FALSE,"Volume"}</definedName>
    <definedName name="WRN.VULUME" localSheetId="8" hidden="1" function="0" vbProcedure="0">{#N/A,#N/A,FALSE,"Volume"}</definedName>
    <definedName name="wrn.Wellplan."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8" hidden="1" function="0" vbProcedure="0">{#N/A,#N/A,FALSE,"SHEET 1";#N/A,#N/A,FALSE,"Sheet4"}</definedName>
    <definedName name="wscolumn" localSheetId="8" hidden="0" function="0" vbProcedure="0">[106]Data!$W$19</definedName>
    <definedName name="WS_ID" localSheetId="8" hidden="0" function="0" vbProcedure="0">'[113]#REF'!$H$12</definedName>
    <definedName name="WS_LENGTH" localSheetId="8" hidden="0" function="0" vbProcedure="0">'[113]#REF'!$J$12</definedName>
    <definedName name="WS_OD" localSheetId="8" hidden="0" function="0" vbProcedure="0">'[113]#REF'!$F$12</definedName>
    <definedName name="wt" localSheetId="8" hidden="0" function="0" vbProcedure="0">'[115]Max-Torq'!$P$64</definedName>
    <definedName name="wtcasing" localSheetId="8" hidden="0" function="0" vbProcedure="0">[106]Data!$J$19</definedName>
    <definedName name="wtr_cumm" localSheetId="8" hidden="0" function="0" vbProcedure="0">'[93]well test sheet'!#ref!</definedName>
    <definedName name="wtr_rate" localSheetId="8" hidden="0" function="0" vbProcedure="0">'[93]well test sheet'!#ref!</definedName>
    <definedName name="wtworkstring" localSheetId="8" hidden="0" function="0" vbProcedure="0">[106]Data!$W$21</definedName>
    <definedName name="Wtype" localSheetId="8" hidden="0" function="0" vbProcedure="0">'[109]Liner Job Info'!$E$9</definedName>
    <definedName name="Wt_Bouyant" localSheetId="8" hidden="0" function="0" vbProcedure="0">'[108]Packer Calculation Sheet'!$I$34</definedName>
    <definedName name="Wt_w_Cmt" localSheetId="8" hidden="0" function="0" vbProcedure="0">'[109]Liner Job Info'!$D$34</definedName>
    <definedName name="Wt_W_Pkr_Tst" localSheetId="8" hidden="0" function="0" vbProcedure="0">'[109]Liner Job Info'!$D$36</definedName>
    <definedName name="X" localSheetId="8" hidden="0" function="0" vbProcedure="0">#ref!</definedName>
    <definedName name="X5_TO" localSheetId="8" hidden="0" function="0" vbProcedure="0">[129]RSS!$C$197</definedName>
    <definedName name="XCEED_TO" localSheetId="8" hidden="0" function="0" vbProcedure="0">[129]RSS!$G$201</definedName>
    <definedName name="XO" localSheetId="8" hidden="0" function="0" vbProcedure="0">#ref!</definedName>
    <definedName name="xoportdepth" localSheetId="8" hidden="0" function="0" vbProcedure="0">'[113]#REF'!$F$21</definedName>
    <definedName name="XO_DEPTH" localSheetId="8" hidden="0" function="0" vbProcedure="0">'[113]#REF'!$F$21</definedName>
    <definedName name="XO_PORT_DEPTH" localSheetId="8" hidden="0" function="0" vbProcedure="0">'[113]#REF'!$F$21</definedName>
    <definedName name="XTRA_TO" localSheetId="8" hidden="0" function="0" vbProcedure="0">[129]RSS!$E$201</definedName>
    <definedName name="xxx" localSheetId="8" hidden="1" function="0" vbProcedure="0">{#N/A,#N/A,FALSE,"Sheet1"}</definedName>
    <definedName name="xxxx" localSheetId="8" hidden="0" function="0" vbProcedure="0">[301]!Macro46</definedName>
    <definedName name="Y" localSheetId="8" hidden="0" function="0" vbProcedure="0">'[302]#ref'!#ref!</definedName>
    <definedName name="YESNO" localSheetId="8" hidden="0" function="0" vbProcedure="0">[129]RSS!$E$139:$E$141</definedName>
    <definedName name="YJEJD" localSheetId="8" hidden="0" function="0" vbProcedure="0">'[140]tally checklist'!yjejd</definedName>
    <definedName name="yp" localSheetId="8" hidden="0" function="0" vbProcedure="0">'[115]Max-Torq'!$N$59</definedName>
    <definedName name="ypa" localSheetId="8" hidden="0" function="0" vbProcedure="0">'[115]Max-Torq'!$P$63</definedName>
    <definedName name="ypdtr" localSheetId="8" hidden="0" function="0" vbProcedure="0">'[115]Max-Torq'!$P$70</definedName>
    <definedName name="yyyyyyyyyyyy" localSheetId="8" hidden="1" function="0" vbProcedure="0">{"raatios",#N/A,FALSE,"A";"ratios",#N/A,FALSE,"B";"ratios",#N/A,FALSE,"C";"ratios",#N/A,FALSE,"D";"ratios",#N/A,FALSE,"F"}</definedName>
    <definedName name="Z" localSheetId="8" hidden="0" function="0" vbProcedure="0">#ref!</definedName>
    <definedName name="zone" localSheetId="8" hidden="0" function="0" vbProcedure="0">[5]WTR!$L$4</definedName>
    <definedName name="Zone1BHP" localSheetId="8" hidden="0" function="0" vbProcedure="0">'[94]Job Technical Info'!$G$49</definedName>
    <definedName name="Zone1BHT" localSheetId="8" hidden="0" function="0" vbProcedure="0">'[94]Job Technical Info'!$H$49</definedName>
    <definedName name="Zone1Bottom" localSheetId="8" hidden="0" function="0" vbProcedure="0">'[94]Job Technical Info'!$E$49</definedName>
    <definedName name="Zone1Dev" localSheetId="8" hidden="0" function="0" vbProcedure="0">'[94]Job Technical Info'!$F$49</definedName>
    <definedName name="Zone1FluidType" localSheetId="8" hidden="0" function="0" vbProcedure="0">'[94]Job Technical Info'!$I$49</definedName>
    <definedName name="Zone1FluidWt" localSheetId="8" hidden="0" function="0" vbProcedure="0">'[94]Job Technical Info'!$J$49</definedName>
    <definedName name="Zone1Name" localSheetId="8" hidden="0" function="0" vbProcedure="0">'[94]Job Technical Info'!$C$49</definedName>
    <definedName name="Zone1Top" localSheetId="8" hidden="0" function="0" vbProcedure="0">'[94]Job Technical Info'!$D$49</definedName>
    <definedName name="Zone2BHP" localSheetId="8" hidden="0" function="0" vbProcedure="0">'[94]Job Technical Info'!$G$50</definedName>
    <definedName name="Zone2BHT" localSheetId="8" hidden="0" function="0" vbProcedure="0">'[94]Job Technical Info'!$H$50</definedName>
    <definedName name="Zone2Bottom" localSheetId="8" hidden="0" function="0" vbProcedure="0">'[94]Job Technical Info'!$E$50</definedName>
    <definedName name="Zone2Dev" localSheetId="8" hidden="0" function="0" vbProcedure="0">'[94]Job Technical Info'!$F$50</definedName>
    <definedName name="Zone2FluidType" localSheetId="8" hidden="0" function="0" vbProcedure="0">'[94]Job Technical Info'!$I$50</definedName>
    <definedName name="Zone2FluidWt" localSheetId="8" hidden="0" function="0" vbProcedure="0">'[94]Job Technical Info'!$J$50</definedName>
    <definedName name="Zone2Name" localSheetId="8" hidden="0" function="0" vbProcedure="0">'[94]Job Technical Info'!$C$50</definedName>
    <definedName name="Zone2Top" localSheetId="8" hidden="0" function="0" vbProcedure="0">'[94]Job Technical Info'!$D$50</definedName>
    <definedName name="Zone3BHP" localSheetId="8" hidden="0" function="0" vbProcedure="0">'[94]Job Technical Info'!$G$51</definedName>
    <definedName name="Zone3BHT" localSheetId="8" hidden="0" function="0" vbProcedure="0">'[94]Job Technical Info'!$H$51</definedName>
    <definedName name="Zone3Bottom" localSheetId="8" hidden="0" function="0" vbProcedure="0">'[94]Job Technical Info'!$E$51</definedName>
    <definedName name="Zone3Dev" localSheetId="8" hidden="0" function="0" vbProcedure="0">'[94]Job Technical Info'!$F$51</definedName>
    <definedName name="Zone3FluidType" localSheetId="8" hidden="0" function="0" vbProcedure="0">'[94]Job Technical Info'!$I$51</definedName>
    <definedName name="Zone3FluidWt" localSheetId="8" hidden="0" function="0" vbProcedure="0">'[94]Job Technical Info'!$J$51</definedName>
    <definedName name="Zone3Name" localSheetId="8" hidden="0" function="0" vbProcedure="0">'[94]Job Technical Info'!$C$51</definedName>
    <definedName name="Zone3Top" localSheetId="8" hidden="0" function="0" vbProcedure="0">'[94]Job Technical Info'!$D$51</definedName>
    <definedName name="Zone4BHP" localSheetId="8" hidden="0" function="0" vbProcedure="0">'[94]Job Technical Info'!$G$52</definedName>
    <definedName name="Zone4BHT" localSheetId="8" hidden="0" function="0" vbProcedure="0">'[94]Job Technical Info'!$H$52</definedName>
    <definedName name="Zone4Bottom" localSheetId="8" hidden="0" function="0" vbProcedure="0">'[94]Job Technical Info'!$E$52</definedName>
    <definedName name="Zone4Dev" localSheetId="8" hidden="0" function="0" vbProcedure="0">'[94]Job Technical Info'!$F$52</definedName>
    <definedName name="Zone4FluidType" localSheetId="8" hidden="0" function="0" vbProcedure="0">'[94]Job Technical Info'!$I$52</definedName>
    <definedName name="Zone4FluidWt" localSheetId="8" hidden="0" function="0" vbProcedure="0">'[94]Job Technical Info'!$J$52</definedName>
    <definedName name="Zone4Name" localSheetId="8" hidden="0" function="0" vbProcedure="0">'[94]Job Technical Info'!$C$52</definedName>
    <definedName name="Zone4Top" localSheetId="8" hidden="0" function="0" vbProcedure="0">'[94]Job Technical Info'!$D$52</definedName>
    <definedName name="Zone5BHP" localSheetId="8" hidden="0" function="0" vbProcedure="0">'[94]Job Technical Info'!$G$53</definedName>
    <definedName name="Zone5BHT" localSheetId="8" hidden="0" function="0" vbProcedure="0">'[94]Job Technical Info'!$H$53</definedName>
    <definedName name="Zone5Bottom" localSheetId="8" hidden="0" function="0" vbProcedure="0">'[94]Job Technical Info'!$E$53</definedName>
    <definedName name="Zone5Dev" localSheetId="8" hidden="0" function="0" vbProcedure="0">'[94]Job Technical Info'!$F$53</definedName>
    <definedName name="Zone5FluidType" localSheetId="8" hidden="0" function="0" vbProcedure="0">'[94]Job Technical Info'!$I$53</definedName>
    <definedName name="Zone5FluidWt" localSheetId="8" hidden="0" function="0" vbProcedure="0">'[94]Job Technical Info'!$J$53</definedName>
    <definedName name="Zone5Name" localSheetId="8" hidden="0" function="0" vbProcedure="0">'[94]Job Technical Info'!$C$53</definedName>
    <definedName name="Zone5Top" localSheetId="8" hidden="0" function="0" vbProcedure="0">'[94]Job Technical Info'!$D$53</definedName>
    <definedName name="ZXP_Seal_Area" localSheetId="8" hidden="0" function="0" vbProcedure="0">[109]Test!$Z$38</definedName>
    <definedName name="zzzzzz" localSheetId="8" hidden="0" function="0" vbProcedure="0">[301]!'[module4 formula].macro1'</definedName>
    <definedName name="Z_Fact_DH" localSheetId="8" hidden="0" function="0" vbProcedure="0">'[108]Tester Valve Calcs'!$F$23</definedName>
    <definedName name="Z_Fact_Surf" localSheetId="8" hidden="0" function="0" vbProcedure="0">'[108]Tester Valve Calcs'!$F$18</definedName>
    <definedName name="_A" localSheetId="8" hidden="0" function="0" vbProcedure="0">'[306]run sheet'!#ref!</definedName>
    <definedName name="_B" localSheetId="8" hidden="0" function="0" vbProcedure="0">#ref!</definedName>
    <definedName name="_C" localSheetId="8" hidden="0" function="0" vbProcedure="0">'[306]run sheet'!#ref!</definedName>
    <definedName name="_D" localSheetId="8" hidden="0" function="0" vbProcedure="0">'[306]run sheet'!#ref!</definedName>
    <definedName name="_E" localSheetId="8" hidden="0" function="0" vbProcedure="0">'[306]run sheet'!#ref!</definedName>
    <definedName name="_f" localSheetId="8" hidden="1" function="0" vbProcedure="0">{#N/A,#N/A,FALSE,"Volume"}</definedName>
    <definedName name="_g" localSheetId="8" hidden="1" function="0" vbProcedure="0">{#N/A,#N/A,FALSE,"Volume"}</definedName>
    <definedName name="_h" localSheetId="8" hidden="1" function="0" vbProcedure="0">{#N/A,#N/A,FALSE,"Volume"}</definedName>
    <definedName name="_I" localSheetId="8" hidden="0" function="0" vbProcedure="0">'[306]run sheet'!#ref!</definedName>
    <definedName name="_J" localSheetId="8" hidden="0" function="0" vbProcedure="0">'[306]run sheet'!#ref!</definedName>
    <definedName name="_L" localSheetId="8" hidden="0" function="0" vbProcedure="0">'[306]run sheet'!#ref!</definedName>
    <definedName name="_N" localSheetId="8" hidden="0" function="0" vbProcedure="0">'[306]run sheet'!#ref!</definedName>
    <definedName name="_q" localSheetId="8" hidden="0" function="0" vbProcedure="0">'[3]run sheet'!#ref!</definedName>
    <definedName name="_T" localSheetId="8" hidden="1" function="0" vbProcedure="0">{#N/A,#N/A,FALSE,"Volume"}</definedName>
    <definedName name="_V" localSheetId="8" hidden="0" function="0" vbProcedure="0">#ref!</definedName>
    <definedName name="_X" localSheetId="8" hidden="0" function="0" vbProcedure="0">'[306]run sheet'!#ref!</definedName>
    <definedName name="_Z" localSheetId="8" hidden="0" function="0" vbProcedure="0">'[306]run sheet'!#ref!</definedName>
    <definedName name="_" localSheetId="8" hidden="0" function="0" vbProcedure="0">[5]readings!#ref!</definedName>
    <definedName name="_1" localSheetId="8" hidden="1" function="0" vbProcedure="0">{#N/A,#N/A,FALSE,"Volume"}</definedName>
    <definedName name="_11Druckbereich" localSheetId="8" hidden="0" function="0" vbProcedure="0">[34]run_s!#ref!</definedName>
    <definedName name="_1234GRAPH_G" localSheetId="8" hidden="1" function="0" vbProcedure="0">[179]Run!$F$16:$F$514</definedName>
    <definedName name="_1Module2__2__.gaugeconok2" localSheetId="8" hidden="0" function="0" vbProcedure="0">[27]!_1Module2__2__.gaugeconok2</definedName>
    <definedName name="_1_" localSheetId="8" hidden="0" function="0" vbProcedure="0">#ref!</definedName>
    <definedName name="_2" localSheetId="8" hidden="1" function="0" vbProcedure="0">{#N/A,#N/A,FALSE,"Volume"}</definedName>
    <definedName name="_2Module2__2__.gaugeok2" localSheetId="8" hidden="0" function="0" vbProcedure="0">[27]!_2Module2__2__.gaugeok2</definedName>
    <definedName name="_3Module2__2__.gaugeselect2" localSheetId="8" hidden="0" function="0" vbProcedure="0">[27]!_3Module2__2__.gaugeselect2</definedName>
    <definedName name="_4Module2__2__.serialselect3" localSheetId="8" hidden="0" function="0" vbProcedure="0">[27]!_4Module2__2__.serialselect3</definedName>
    <definedName name="_5" localSheetId="8" hidden="1" function="0" vbProcedure="0">{#N/A,#N/A,FALSE,"Volume"}</definedName>
    <definedName name="_5Module2__2__.serialselect4" localSheetId="8" hidden="0" function="0" vbProcedure="0">[27]!_5Module2__2__.serialselect4</definedName>
    <definedName name="_a" localSheetId="8" hidden="1" function="0" vbProcedure="0">{#N/A,#N/A,FALSE,"Volume"}</definedName>
    <definedName name="_a1" localSheetId="8" hidden="1" function="0" vbProcedure="0">{#N/A,#N/A,FALSE,"Volume"}</definedName>
    <definedName name="_a2" localSheetId="8" hidden="1" function="0" vbProcedure="0">{#N/A,#N/A,FALSE,"Volume"}</definedName>
    <definedName name="_a3" localSheetId="8" hidden="1" function="0" vbProcedure="0">{#N/A,#N/A,FALSE,"Volume"}</definedName>
    <definedName name="_A4" localSheetId="8" hidden="1" function="0" vbProcedure="0">[179]Run!$B$18:$B$512</definedName>
    <definedName name="_aa" localSheetId="8" hidden="1" function="0" vbProcedure="0">{#N/A,#N/A,FALSE,"Volume"}</definedName>
    <definedName name="_aaa" localSheetId="8" hidden="1" function="0" vbProcedure="0">{#N/A,#N/A,FALSE,"Volume"}</definedName>
    <definedName name="_aaaaa" localSheetId="8" hidden="1" function="0" vbProcedure="0">{#N/A,#N/A,FALSE,"Volume"}</definedName>
    <definedName name="_aaaaaa" localSheetId="8" hidden="1" function="0" vbProcedure="0">{#N/A,#N/A,FALSE,"Volume"}</definedName>
    <definedName name="_ab" localSheetId="8" hidden="1" function="0" vbProcedure="0">{#N/A,#N/A,FALSE,"Volume"}</definedName>
    <definedName name="_ac" localSheetId="8" hidden="1" function="0" vbProcedure="0">{#N/A,#N/A,FALSE,"Volume"}</definedName>
    <definedName name="_acasdf" localSheetId="8" hidden="1" function="0" vbProcedure="0">{#N/A,#N/A,FALSE,"Volume"}</definedName>
    <definedName name="_acc" localSheetId="8" hidden="1" function="0" vbProcedure="0">{#N/A,#N/A,FALSE,"Volume"}</definedName>
    <definedName name="_ap1" localSheetId="8" hidden="1" function="0" vbProcedure="0">{#N/A,#N/A,FALSE,"Volume"}</definedName>
    <definedName name="_ap2" localSheetId="8" hidden="1" function="0" vbProcedure="0">{#N/A,#N/A,FALSE,"Volume"}</definedName>
    <definedName name="_ap3" localSheetId="8" hidden="1" function="0" vbProcedure="0">{#N/A,#N/A,FALSE,"Volume"}</definedName>
    <definedName name="_app1" localSheetId="8" hidden="1" function="0" vbProcedure="0">{#N/A,#N/A,FALSE,"Volume"}</definedName>
    <definedName name="_app2" localSheetId="8" hidden="1" function="0" vbProcedure="0">{#N/A,#N/A,FALSE,"Volume"}</definedName>
    <definedName name="_app3" localSheetId="8" hidden="1" function="0" vbProcedure="0">{#N/A,#N/A,FALSE,"Volume"}</definedName>
    <definedName name="_app4" localSheetId="8" hidden="1" function="0" vbProcedure="0">{#N/A,#N/A,FALSE,"Volume"}</definedName>
    <definedName name="_app5" localSheetId="8" hidden="1" function="0" vbProcedure="0">{#N/A,#N/A,FALSE,"Volume"}</definedName>
    <definedName name="_asdfas" localSheetId="8" hidden="1" function="0" vbProcedure="0">{#N/A,#N/A,FALSE,"Volume"}</definedName>
    <definedName name="_b" localSheetId="8" hidden="1" function="0" vbProcedure="0">{#N/A,#N/A,FALSE,"Volume"}</definedName>
    <definedName name="_b1" localSheetId="8" hidden="1" function="0" vbProcedure="0">{#N/A,#N/A,FALSE,"Volume"}</definedName>
    <definedName name="_b2" localSheetId="8" hidden="1" function="0" vbProcedure="0">{#N/A,#N/A,FALSE,"Volume"}</definedName>
    <definedName name="_b3" localSheetId="8" hidden="1" function="0" vbProcedure="0">{#N/A,#N/A,FALSE,"Volume"}</definedName>
    <definedName name="_b4" localSheetId="8" hidden="1" function="0" vbProcedure="0">{#N/A,#N/A,FALSE,"Volume"}</definedName>
    <definedName name="_b5" localSheetId="8" hidden="1" function="0" vbProcedure="0">{#N/A,#N/A,FALSE,"Volume"}</definedName>
    <definedName name="_bb2789" localSheetId="8" hidden="0" function="0" vbProcedure="0">[308]!Calculate_Pipe</definedName>
    <definedName name="_bgn1" localSheetId="8" hidden="1" function="0" vbProcedure="0">{#N/A,#N/A,FALSE,"Sheet1"}</definedName>
    <definedName name="_c" localSheetId="8" hidden="1" function="0" vbProcedure="0">{#N/A,#N/A,FALSE,"Volume"}</definedName>
    <definedName name="_c1" localSheetId="8" hidden="1" function="0" vbProcedure="0">{#N/A,#N/A,FALSE,"Volume"}</definedName>
    <definedName name="_c2" localSheetId="8" hidden="1" function="0" vbProcedure="0">{#N/A,#N/A,FALSE,"Volume"}</definedName>
    <definedName name="_c3" localSheetId="8" hidden="1" function="0" vbProcedure="0">{#N/A,#N/A,FALSE,"Volume"}</definedName>
    <definedName name="_c4" localSheetId="8" hidden="1" function="0" vbProcedure="0">{#N/A,#N/A,FALSE,"Volume"}</definedName>
    <definedName name="_cd1" localSheetId="8" hidden="1" function="0" vbProcedure="0">{#N/A,#N/A,FALSE,"Sheet1"}</definedName>
    <definedName name="_cf1" localSheetId="8" hidden="1" function="0" vbProcedure="0">{#N/A,#N/A,FALSE,"Sheet1"}</definedName>
    <definedName name="_d" localSheetId="8" hidden="1" function="0" vbProcedure="0">{#N/A,#N/A,FALSE,"Volume"}</definedName>
    <definedName name="_d1" localSheetId="8" hidden="1" function="0" vbProcedure="0">{#N/A,#N/A,FALSE,"Volume"}</definedName>
    <definedName name="_d2_" localSheetId="8" hidden="1" function="0" vbProcedure="0">{#N/A,#N/A,FALSE,"Volume"}</definedName>
    <definedName name="_d3" localSheetId="8" hidden="1" function="0" vbProcedure="0">{#N/A,#N/A,FALSE,"Volume"}</definedName>
    <definedName name="_d4" localSheetId="8" hidden="1" function="0" vbProcedure="0">{#N/A,#N/A,FALSE,"Volume"}</definedName>
    <definedName name="_DAT16" localSheetId="8" hidden="0" function="0" vbProcedure="0">'[37]sap serv 06-02'!#ref!</definedName>
    <definedName name="_DAT17" localSheetId="8" hidden="0" function="0" vbProcedure="0">'[37]sap serv 06-02'!#ref!</definedName>
    <definedName name="_DAT19" localSheetId="8" hidden="0" function="0" vbProcedure="0">'[37]sap serv 06-02'!#ref!</definedName>
    <definedName name="_DAT20" localSheetId="8" hidden="0" function="0" vbProcedure="0">'[37]sap serv 06-02'!#ref!</definedName>
    <definedName name="_DAT25" localSheetId="8" hidden="0" function="0" vbProcedure="0">'[37]sap serv 06-02'!#ref!</definedName>
    <definedName name="_DAT26" localSheetId="8" hidden="0" function="0" vbProcedure="0">'[37]sap serv 06-02'!#ref!</definedName>
    <definedName name="_DAT27" localSheetId="8" hidden="0" function="0" vbProcedure="0">'[37]sap serv 06-02'!#ref!</definedName>
    <definedName name="_DAT28" localSheetId="8" hidden="0" function="0" vbProcedure="0">'[37]sap serv 06-02'!#ref!</definedName>
    <definedName name="_DAT29" localSheetId="8" hidden="0" function="0" vbProcedure="0">'[37]sap serv 06-02'!#ref!</definedName>
    <definedName name="_DAT31" localSheetId="8" hidden="0" function="0" vbProcedure="0">'[37]sap serv 06-02'!#ref!</definedName>
    <definedName name="_DAT32" localSheetId="8" hidden="0" function="0" vbProcedure="0">'[37]sap serv 06-02'!#ref!</definedName>
    <definedName name="_DAT34" localSheetId="8" hidden="0" function="0" vbProcedure="0">'[37]sap serv 06-02'!#ref!</definedName>
    <definedName name="_DAT35" localSheetId="8" hidden="0" function="0" vbProcedure="0">'[37]sap serv 06-02'!#ref!</definedName>
    <definedName name="_DAT36" localSheetId="8" hidden="0" function="0" vbProcedure="0">'[37]sap serv 06-02'!#ref!</definedName>
    <definedName name="_DAT40" localSheetId="8" hidden="0" function="0" vbProcedure="0">'[37]sap serv 06-02'!#ref!</definedName>
    <definedName name="_DAT41" localSheetId="8" hidden="0" function="0" vbProcedure="0">'[37]sap serv 06-02'!#ref!</definedName>
    <definedName name="_DAT42" localSheetId="8" hidden="0" function="0" vbProcedure="0">'[37]sap serv 06-02'!#ref!</definedName>
    <definedName name="_DAT44" localSheetId="8" hidden="0" function="0" vbProcedure="0">'[37]sap serv 06-02'!#ref!</definedName>
    <definedName name="_DAT45" localSheetId="8" hidden="0" function="0" vbProcedure="0">'[37]sap serv 06-02'!#ref!</definedName>
    <definedName name="_DAT46" localSheetId="8" hidden="0" function="0" vbProcedure="0">'[37]sap serv 06-02'!#ref!</definedName>
    <definedName name="_DAT47" localSheetId="8" hidden="0" function="0" vbProcedure="0">'[37]sap serv 06-02'!#ref!</definedName>
    <definedName name="_DAT48" localSheetId="8" hidden="0" function="0" vbProcedure="0">'[37]sap serv 06-02'!#ref!</definedName>
    <definedName name="_DAT49" localSheetId="8" hidden="0" function="0" vbProcedure="0">'[37]sap serv 06-02'!#ref!</definedName>
    <definedName name="_DAT50" localSheetId="8" hidden="0" function="0" vbProcedure="0">'[37]sap serv 06-02'!#ref!</definedName>
    <definedName name="_DAT52" localSheetId="8" hidden="0" function="0" vbProcedure="0">'[37]sap serv 06-02'!#ref!</definedName>
    <definedName name="_DAT53" localSheetId="8" hidden="0" function="0" vbProcedure="0">'[37]sap serv 06-02'!#ref!</definedName>
    <definedName name="_DAT54" localSheetId="8" hidden="0" function="0" vbProcedure="0">'[37]sap serv 06-02'!#ref!</definedName>
    <definedName name="_DAT56" localSheetId="8" hidden="0" function="0" vbProcedure="0">'[37]sap serv 06-02'!#ref!</definedName>
    <definedName name="_DAT57" localSheetId="8" hidden="0" function="0" vbProcedure="0">'[37]sap serv 06-02'!#ref!</definedName>
    <definedName name="_DAT62" localSheetId="8" hidden="0" function="0" vbProcedure="0">'[37]sap serv 06-02'!#ref!</definedName>
    <definedName name="_DAT63" localSheetId="8" hidden="0" function="0" vbProcedure="0">'[37]sap serv 06-02'!#ref!</definedName>
    <definedName name="_e" localSheetId="8" hidden="1" function="0" vbProcedure="0">{#N/A,#N/A,FALSE,"Volume"}</definedName>
    <definedName name="_e1" localSheetId="8" hidden="1" function="0" vbProcedure="0">{#N/A,#N/A,FALSE,"Volume"}</definedName>
    <definedName name="_e2" localSheetId="8" hidden="1" function="0" vbProcedure="0">{#N/A,#N/A,FALSE,"Volume"}</definedName>
    <definedName name="_e3" localSheetId="8" hidden="1" function="0" vbProcedure="0">{#N/A,#N/A,FALSE,"Volume"}</definedName>
    <definedName name="_e4" localSheetId="8" hidden="1" function="0" vbProcedure="0">{#N/A,#N/A,FALSE,"Volume"}</definedName>
    <definedName name="_f1" localSheetId="8" hidden="1" function="0" vbProcedure="0">{#N/A,#N/A,FALSE,"Volume"}</definedName>
    <definedName name="_f2" localSheetId="8" hidden="1" function="0" vbProcedure="0">{#N/A,#N/A,FALSE,"Volume"}</definedName>
    <definedName name="_f3" localSheetId="8" hidden="1" function="0" vbProcedure="0">{#N/A,#N/A,FALSE,"Volume"}</definedName>
    <definedName name="_f4" localSheetId="8" hidden="1" function="0" vbProcedure="0">{#N/A,#N/A,FALSE,"Volume"}</definedName>
    <definedName name="_f5" localSheetId="8" hidden="1" function="0" vbProcedure="0">{#N/A,#N/A,FALSE,"Volume"}</definedName>
    <definedName name="_f6" localSheetId="8" hidden="1" function="0" vbProcedure="0">{#N/A,#N/A,FALSE,"Volume"}</definedName>
    <definedName name="_f7" localSheetId="8" hidden="1" function="0" vbProcedure="0">{#N/A,#N/A,FALSE,"Volume"}</definedName>
    <definedName name="_Fill" localSheetId="8" hidden="1" function="0" vbProcedure="0">#ref!</definedName>
    <definedName name="_gmh1" localSheetId="8" hidden="1" function="0" vbProcedure="0">{#N/A,#N/A,FALSE,"Sheet1"}</definedName>
    <definedName name="_i" localSheetId="8" hidden="1" function="0" vbProcedure="0">{#N/A,#N/A,FALSE,"Volume"}</definedName>
    <definedName name="_Key1" localSheetId="8" hidden="1" function="0" vbProcedure="0">#ref!</definedName>
    <definedName name="_lyc7" localSheetId="8" hidden="0" function="0" vbProcedure="0">[119]钻井日报表!$G$5</definedName>
    <definedName name="_num15" localSheetId="8" hidden="0" function="0" vbProcedure="0">'[31]data '!#ref!</definedName>
    <definedName name="_Order2" localSheetId="8" hidden="1" function="0" vbProcedure="0">255</definedName>
    <definedName name="_P" localSheetId="8" hidden="1" function="0" vbProcedure="0">{#N/A,#N/A,FALSE,"Volume"}</definedName>
    <definedName name="_P1" localSheetId="8" hidden="1" function="0" vbProcedure="0">{#N/A,#N/A,FALSE,"Volume"}</definedName>
    <definedName name="_P2" localSheetId="8" hidden="1" function="0" vbProcedure="0">{#N/A,#N/A,FALSE,"Volume"}</definedName>
    <definedName name="_P3" localSheetId="8" hidden="1" function="0" vbProcedure="0">{#N/A,#N/A,FALSE,"Volume"}</definedName>
    <definedName name="_P4" localSheetId="8" hidden="1" function="0" vbProcedure="0">{#N/A,#N/A,FALSE,"Volume"}</definedName>
    <definedName name="_pap1" localSheetId="8" hidden="1" function="0" vbProcedure="0">{#N/A,#N/A,FALSE,"Volume"}</definedName>
    <definedName name="_pap2" localSheetId="8" hidden="1" function="0" vbProcedure="0">{#N/A,#N/A,FALSE,"Volume"}</definedName>
    <definedName name="_pap3" localSheetId="8" hidden="1" function="0" vbProcedure="0">{#N/A,#N/A,FALSE,"Volume"}</definedName>
    <definedName name="_pap4" localSheetId="8" hidden="1" function="0" vbProcedure="0">{#N/A,#N/A,FALSE,"Volume"}</definedName>
    <definedName name="_pap5" localSheetId="8" hidden="1" function="0" vbProcedure="0">{#N/A,#N/A,FALSE,"Volume"}</definedName>
    <definedName name="_PPH1" localSheetId="8" hidden="0" function="0" vbProcedure="0">[40]!Calculate_Pipe</definedName>
    <definedName name="_r06" localSheetId="8" hidden="0" function="0" vbProcedure="0">[41]!AutoCAD</definedName>
    <definedName name="_Regression_Out" localSheetId="8" hidden="1" function="0" vbProcedure="0">#ref!</definedName>
    <definedName name="_Regression_X" localSheetId="8" hidden="1" function="0" vbProcedure="0">#ref!</definedName>
    <definedName name="_Regression_Y" localSheetId="8" hidden="1" function="0" vbProcedure="0">#ref!</definedName>
    <definedName name="_Sort" localSheetId="8" hidden="1" function="0" vbProcedure="0">#ref!</definedName>
    <definedName name="_SPM1" localSheetId="8" hidden="0" function="0" vbProcedure="0">[16]!Macro1</definedName>
    <definedName name="_SSA1" localSheetId="8" hidden="0" function="0" vbProcedure="0">[43]!Macro46</definedName>
    <definedName name="_Table1_In1" localSheetId="8" hidden="1" function="0" vbProcedure="0">[103]Run!$E$575</definedName>
    <definedName name="_Table1_Out" localSheetId="8" hidden="1" function="0" vbProcedure="0">[103]Run!$C$16:$E$577</definedName>
    <definedName name="_Table2_In1" localSheetId="8" hidden="1" function="0" vbProcedure="0">#ref!</definedName>
    <definedName name="_Table2_Out" localSheetId="8" hidden="1" function="0" vbProcedure="0">#ref!</definedName>
    <definedName name="_TST2" localSheetId="8" hidden="0" function="0" vbProcedure="0">'[109]Liner Job Info'!$O$7</definedName>
    <definedName name="_UA38" localSheetId="8" hidden="0" function="0" vbProcedure="0">[27]!_UA38</definedName>
    <definedName name="_wrn1" localSheetId="8" hidden="1" function="0" vbProcedure="0">{#N/A,#N/A,FALSE,"Volume"}</definedName>
    <definedName name="_x" localSheetId="8" hidden="1" function="0" vbProcedure="0">{#N/A,#N/A,FALSE,"Volume"}</definedName>
    <definedName name="_xa" localSheetId="8" hidden="1" function="0" vbProcedure="0">{#N/A,#N/A,FALSE,"Volume"}</definedName>
    <definedName name="_xb" localSheetId="8" hidden="1" function="0" vbProcedure="0">{#N/A,#N/A,FALSE,"Volume"}</definedName>
    <definedName name="_xc" localSheetId="8" hidden="1" function="0" vbProcedure="0">{#N/A,#N/A,FALSE,"Volume"}</definedName>
    <definedName name="_xlnm.Database" localSheetId="8" hidden="0" function="0" vbProcedure="0">#ref!</definedName>
    <definedName name="_z" localSheetId="8" hidden="1" function="0" vbProcedure="0">{#N/A,#N/A,FALSE,"Volume"}</definedName>
    <definedName name="_z1" localSheetId="8" hidden="1" function="0" vbProcedure="0">{#N/A,#N/A,FALSE,"Volume"}</definedName>
    <definedName name="_z2" localSheetId="8" hidden="1" function="0" vbProcedure="0">{#N/A,#N/A,FALSE,"Volume"}</definedName>
    <definedName name="_z3" localSheetId="8" hidden="1" function="0" vbProcedure="0">{#N/A,#N/A,FALSE,"Volume"}</definedName>
    <definedName name="_z4" localSheetId="8" hidden="1" function="0" vbProcedure="0">{#N/A,#N/A,FALSE,"Volume"}</definedName>
    <definedName name="__" localSheetId="8" hidden="0" function="0" vbProcedure="0">'[113]#REF'!$E$29</definedName>
    <definedName name="__123Graph_A" localSheetId="8" hidden="1" function="0" vbProcedure="0">[103]Run!$B$18:$B$512</definedName>
    <definedName name="__123Graph_B" localSheetId="8" hidden="1" function="0" vbProcedure="0">'[102]Minimum Curve Method'!$K$9:$K$152</definedName>
    <definedName name="__123Graph_C" localSheetId="8" hidden="1" function="0" vbProcedure="0">[103]Run!$C$16:$C$512</definedName>
    <definedName name="__123Graph_D" localSheetId="8" hidden="1" function="0" vbProcedure="0">[103]Run!$D$15:$D$512</definedName>
    <definedName name="__123Graph_E" localSheetId="8" hidden="1" function="0" vbProcedure="0">[103]Run!$E$16:$E$514</definedName>
    <definedName name="__123Graph_F" localSheetId="8" hidden="1" function="0" vbProcedure="0">[103]Run!$F$16:$F$514</definedName>
    <definedName name="__123Graph_X" localSheetId="8" hidden="1" function="0" vbProcedure="0">'[102]Minimum Curve Method'!$K$9:$K$152</definedName>
    <definedName name="__1Module2__2__.gaugeconok2" localSheetId="8" hidden="0" function="0" vbProcedure="0">[27]!__1Module2__2__.gaugeconok2</definedName>
    <definedName name="__2Module2__2__.gaugeok2" localSheetId="8" hidden="0" function="0" vbProcedure="0">[27]!__2Module2__2__.gaugeok2</definedName>
    <definedName name="__3Module2__2__.gaugeselect2" localSheetId="8" hidden="0" function="0" vbProcedure="0">[27]!__3Module2__2__.gaugeselect2</definedName>
    <definedName name="__4Module2__2__.serialselect3" localSheetId="8" hidden="0" function="0" vbProcedure="0">[27]!__4Module2__2__.serialselect3</definedName>
    <definedName name="__5Module2__2__.serialselect4" localSheetId="8" hidden="0" function="0" vbProcedure="0">[27]!__5Module2__2__.serialselect4</definedName>
    <definedName name="__A4" localSheetId="8" hidden="1" function="0" vbProcedure="0">[179]Run!$B$18:$B$512</definedName>
    <definedName name="__bb2789" localSheetId="8" hidden="0" function="0" vbProcedure="0">[9]!Calculate_Pipe</definedName>
    <definedName name="__SPM1" localSheetId="8" hidden="0" function="0" vbProcedure="0">[16]!Macro1</definedName>
    <definedName name="__UA38" localSheetId="8" hidden="0" function="0" vbProcedure="0">[27]!__UA38</definedName>
    <definedName name="__wrn1" localSheetId="8" hidden="1" function="0" vbProcedure="0">{#N/A,#N/A,FALSE,"Volume"}</definedName>
    <definedName name="___A4" localSheetId="8" hidden="1" function="0" vbProcedure="0">[179]Run!$B$18:$B$512</definedName>
    <definedName name="___bb2789" localSheetId="8" hidden="0" function="0" vbProcedure="0">[9]!Calculate_Pipe</definedName>
    <definedName name="___SPM1" localSheetId="8" hidden="0" function="0" vbProcedure="0">[16]!Macro1</definedName>
    <definedName name="___wrn1" localSheetId="8" hidden="1" function="0" vbProcedure="0">{#N/A,#N/A,FALSE,"Volume"}</definedName>
    <definedName name="____A4" localSheetId="8" hidden="1" function="0" vbProcedure="0">[179]Run!$B$18:$B$512</definedName>
    <definedName name="____bb2789" localSheetId="8" hidden="0" function="0" vbProcedure="0">[9]!Calculate_Pipe</definedName>
    <definedName name="____SPM1" localSheetId="8" hidden="0" function="0" vbProcedure="0">[16]!Macro1</definedName>
    <definedName name="____wrn1" localSheetId="8" hidden="1" function="0" vbProcedure="0">{#N/A,#N/A,FALSE,"Volume"}</definedName>
    <definedName name="_____A4" localSheetId="8" hidden="1" function="0" vbProcedure="0">[179]Run!$B$18:$B$512</definedName>
    <definedName name="_____bb2789" localSheetId="8" hidden="0" function="0" vbProcedure="0">[9]!Calculate_Pipe</definedName>
    <definedName name="_____SPM1" localSheetId="8" hidden="0" function="0" vbProcedure="0">[16]!Macro1</definedName>
    <definedName name="_____wrn1" localSheetId="8" hidden="1" function="0" vbProcedure="0">{#N/A,#N/A,FALSE,"Volume"}</definedName>
    <definedName name="______A4" localSheetId="8" hidden="1" function="0" vbProcedure="0">[179]Run!$B$18:$B$512</definedName>
    <definedName name="______bb2789" localSheetId="8" hidden="0" function="0" vbProcedure="0">[9]!Calculate_Pipe</definedName>
    <definedName name="______SPM1" localSheetId="8" hidden="0" function="0" vbProcedure="0">[16]!Macro1</definedName>
    <definedName name="_______A4" localSheetId="8" hidden="1" function="0" vbProcedure="0">[179]Run!$B$18:$B$512</definedName>
    <definedName name="_______bb2789" localSheetId="8" hidden="0" function="0" vbProcedure="0">[9]!Calculate_Pipe</definedName>
    <definedName name="_______wrn1" localSheetId="8" hidden="1" function="0" vbProcedure="0">{#N/A,#N/A,FALSE,"Volume"}</definedName>
    <definedName name="________A4" localSheetId="8" hidden="1" function="0" vbProcedure="0">[179]Run!$B$18:$B$512</definedName>
    <definedName name="________bb2789" localSheetId="8" hidden="0" function="0" vbProcedure="0">[9]!Calculate_Pipe</definedName>
    <definedName name="_________A4" localSheetId="8" hidden="1" function="0" vbProcedure="0">[179]Run!$B$18:$B$512</definedName>
    <definedName name="_________bb2789" localSheetId="8" hidden="0" function="0" vbProcedure="0">[9]!Calculate_Pipe</definedName>
    <definedName name="_________wrn1" localSheetId="8" hidden="1" function="0" vbProcedure="0">{#N/A,#N/A,FALSE,"Volume"}</definedName>
    <definedName name="__________A4" localSheetId="8" hidden="1" function="0" vbProcedure="0">[179]Run!$B$18:$B$512</definedName>
    <definedName name="__________bb2789" localSheetId="8" hidden="0" function="0" vbProcedure="0">[14]!Calculate_Pipe</definedName>
    <definedName name="___________A4" localSheetId="8" hidden="1" function="0" vbProcedure="0">[179]Run!$B$18:$B$512</definedName>
    <definedName name="___________bb2789" localSheetId="8" hidden="0" function="0" vbProcedure="0">[14]!Calculate_Pipe</definedName>
    <definedName name="___________wrn1" localSheetId="8" hidden="1" function="0" vbProcedure="0">{#N/A,#N/A,FALSE,"Volume"}</definedName>
    <definedName name="____________A4" localSheetId="8" hidden="1" function="0" vbProcedure="0">[179]Run!$B$18:$B$512</definedName>
    <definedName name="____________bb2789" localSheetId="8" hidden="0" function="0" vbProcedure="0">[14]!Calculate_Pipe</definedName>
    <definedName name="____________wrn1" localSheetId="8" hidden="1" function="0" vbProcedure="0">{#N/A,#N/A,FALSE,"Volume"}</definedName>
    <definedName name="_____________A4" localSheetId="8" hidden="1" function="0" vbProcedure="0">[179]Run!$B$18:$B$512</definedName>
    <definedName name="_____________bb2789" localSheetId="8" hidden="0" function="0" vbProcedure="0">[14]!Calculate_Pipe</definedName>
    <definedName name="______________A4" localSheetId="8" hidden="1" function="0" vbProcedure="0">[179]Run!$B$18:$B$512</definedName>
    <definedName name="______________bb2789" localSheetId="8" hidden="0" function="0" vbProcedure="0">[14]!Calculate_Pipe</definedName>
    <definedName name="_______________A4" localSheetId="8" hidden="1" function="0" vbProcedure="0">[179]Run!$B$18:$B$512</definedName>
    <definedName name="_______________bb2789" localSheetId="8" hidden="0" function="0" vbProcedure="0">[14]!Calculate_Pipe</definedName>
    <definedName name="________________A4" localSheetId="8" hidden="1" function="0" vbProcedure="0">[179]Run!$B$18:$B$512</definedName>
    <definedName name="________________bb2789" localSheetId="8" hidden="0" function="0" vbProcedure="0">[9]!Calculate_Pipe</definedName>
    <definedName name="_________________A4" localSheetId="8" hidden="1" function="0" vbProcedure="0">[179]Run!$B$18:$B$512</definedName>
    <definedName name="_________________bb2789" localSheetId="8" hidden="0" function="0" vbProcedure="0">[308]!Calculate_Pipe</definedName>
    <definedName name="__________________A4" localSheetId="8" hidden="1" function="0" vbProcedure="0">[179]Run!$B$18:$B$512</definedName>
    <definedName name="__________________bb2789" localSheetId="8" hidden="0" function="0" vbProcedure="0">[11]!Calculate_Pipe</definedName>
    <definedName name="___________________A4" localSheetId="8" hidden="1" function="0" vbProcedure="0">[179]Run!$B$18:$B$512</definedName>
    <definedName name="___________________bb2789" localSheetId="8" hidden="0" function="0" vbProcedure="0">[11]!Calculate_Pipe</definedName>
    <definedName name="____________________A4" localSheetId="8" hidden="1" function="0" vbProcedure="0">[100]Run!$B$18:$B$512</definedName>
    <definedName name="____________________bb2789" localSheetId="8" hidden="0" function="0" vbProcedure="0">[9]!Calculate_Pipe</definedName>
    <definedName name="_____________________A4" localSheetId="8" hidden="1" function="0" vbProcedure="0">[179]Run!$B$18:$B$512</definedName>
    <definedName name="_____________________bb2789" localSheetId="8" hidden="0" function="0" vbProcedure="0">[12]!Calculate_Pipe</definedName>
    <definedName name="______________________A4" localSheetId="8" hidden="1" function="0" vbProcedure="0">[100]Run!$B$18:$B$512</definedName>
    <definedName name="______________________bb2789" localSheetId="8" hidden="0" function="0" vbProcedure="0">[9]!Calculate_Pipe</definedName>
    <definedName name="_______________________A4" localSheetId="8" hidden="1" function="0" vbProcedure="0">[100]Run!$B$18:$B$512</definedName>
    <definedName name="_______________________bb2789" localSheetId="8" hidden="0" function="0" vbProcedure="0">[9]!Calculate_Pipe</definedName>
    <definedName name="________________________A4" localSheetId="8" hidden="1" function="0" vbProcedure="0">[100]Run!$B$18:$B$512</definedName>
    <definedName name="________________________bb2789" localSheetId="8" hidden="0" function="0" vbProcedure="0">[11]!Calculate_Pipe</definedName>
    <definedName name="_________________________bb2789" localSheetId="8" hidden="0" function="0" vbProcedure="0">[9]!Calculate_Pipe</definedName>
    <definedName name="__________________________A4" localSheetId="8" hidden="1" function="0" vbProcedure="0">[100]Run!$B$18:$B$512</definedName>
    <definedName name="___________________________A4" localSheetId="8" hidden="1" function="0" vbProcedure="0">[100]Run!$B$18:$B$512</definedName>
    <definedName name="歼击机" localSheetId="8" hidden="0" function="0" vbProcedure="0">[119]钻井日报表!$E$7</definedName>
    <definedName name="起始日期" localSheetId="8" hidden="0" function="0" vbProcedure="0">[181]钻井日报表!$B$1</definedName>
    <definedName name="_xlnm.Print_Area" localSheetId="8">'COVER PAGE '!$A$2:$N$46</definedName>
    <definedName name="a" localSheetId="9" hidden="1" function="0" vbProcedure="0">#ref!</definedName>
    <definedName name="AA" localSheetId="9" hidden="0" function="0" vbProcedure="0">#ref!</definedName>
    <definedName name="aa.macro111" localSheetId="9" hidden="0" function="0" vbProcedure="0">[48]!Prev.Macro111</definedName>
    <definedName name="aaaa" localSheetId="9" hidden="0" function="0" vbProcedure="0">[49]!Macro59</definedName>
    <definedName name="ABX" localSheetId="9" hidden="1" function="0" vbProcedure="0">[103]Run!$B$18:$B$512</definedName>
    <definedName name="addresstwo" localSheetId="9" hidden="0" function="0" vbProcedure="0">[54]data!#ref!</definedName>
    <definedName name="ADDSTAB" localSheetId="9" hidden="0" function="0" vbProcedure="0">[55]!ADDSTAB</definedName>
    <definedName name="adf" localSheetId="9" hidden="0" function="0" vbProcedure="0">[56]!Macro60</definedName>
    <definedName name="ae" localSheetId="9" hidden="0" function="0" vbProcedure="0">'[104]forecast 3YP'!$AD$6</definedName>
    <definedName name="AFE19R"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9" hidden="0" function="0" vbProcedure="0">'[44]7-30-04'!$W$55:$IV$7457</definedName>
    <definedName name="AMACRO.n2foam" localSheetId="9" hidden="0" function="0" vbProcedure="0">'[61]tool backload dt'!amacro.n2foam</definedName>
    <definedName name="Ambient_temp" localSheetId="9" hidden="0" function="0" vbProcedure="0">'[6]#ref'!#ref!</definedName>
    <definedName name="amis" localSheetId="9" hidden="0" function="0" vbProcedure="0">[105]Tally!$A$5:$J$825</definedName>
    <definedName name="ANDERGAUGE" localSheetId="9" hidden="0" function="0" vbProcedure="0">[55]!ANDERGAUGE</definedName>
    <definedName name="annularvol" localSheetId="9" hidden="0" function="0" vbProcedure="0">[106]Data!$F$13</definedName>
    <definedName name="Ao" localSheetId="9" hidden="0" function="0" vbProcedure="0">[107]Piston!$F$5</definedName>
    <definedName name="Ap" localSheetId="9" hidden="0" function="0" vbProcedure="0">[107]Piston!$F$6</definedName>
    <definedName name="Approver_Objectives" localSheetId="9" hidden="0" function="0" vbProcedure="0">'[70]well team goals'!#ref!</definedName>
    <definedName name="Approver_Well_Plan" localSheetId="9" hidden="0" function="0" vbProcedure="0">'[70]well team goals'!#ref!</definedName>
    <definedName name="ASDA" localSheetId="9" hidden="0" function="0" vbProcedure="0">[71]!Calculate_Pipe</definedName>
    <definedName name="ASS" localSheetId="9" hidden="0" function="0" vbProcedure="0">[72]!JointNumber</definedName>
    <definedName name="Assembly1" localSheetId="9" hidden="0" function="0" vbProcedure="0">[72]!Calculate_Pipe</definedName>
    <definedName name="assy.3" localSheetId="9" hidden="0" function="0" vbProcedure="0">[72]!Calculate_Pipe</definedName>
    <definedName name="ASSY.6" localSheetId="9" hidden="0" function="0" vbProcedure="0">[72]!Calculate_Pipe</definedName>
    <definedName name="ASSY2312" localSheetId="9" hidden="0" function="0" vbProcedure="0">[27]!Macro1</definedName>
    <definedName name="ASSY7" localSheetId="9" hidden="0" function="0" vbProcedure="0">[40]!Calculate_Pipe</definedName>
    <definedName name="ASSY_098" localSheetId="9" hidden="0" function="0" vbProcedure="0">[72]!JointNumber</definedName>
    <definedName name="ASSY_122" localSheetId="9" hidden="0" function="0" vbProcedure="0">[27]!Macro1</definedName>
    <definedName name="ASSY_123" localSheetId="9" hidden="0" function="0" vbProcedure="0">[72]!JointNumber</definedName>
    <definedName name="ASSY_2111" localSheetId="9" hidden="0" function="0" vbProcedure="0">[27]!Macro1</definedName>
    <definedName name="ASSY_231" localSheetId="9" hidden="0" function="0" vbProcedure="0">[27]!Macro1</definedName>
    <definedName name="ASSY_342" localSheetId="9" hidden="0" function="0" vbProcedure="0">[27]!Macro1</definedName>
    <definedName name="ASSY_36" localSheetId="9" hidden="0" function="0" vbProcedure="0">[27]!Macro1</definedName>
    <definedName name="ASSY_4" localSheetId="9" hidden="0" function="0" vbProcedure="0">[27]!Macro1</definedName>
    <definedName name="ASSY_432" localSheetId="9" hidden="0" function="0" vbProcedure="0">[27]!Macro1</definedName>
    <definedName name="assy_5" localSheetId="9" hidden="0" function="0" vbProcedure="0">[72]!JointNumber</definedName>
    <definedName name="assy_543" localSheetId="9" hidden="0" function="0" vbProcedure="0">[72]!JointNumber</definedName>
    <definedName name="Assy_765" localSheetId="9" hidden="0" function="0" vbProcedure="0">[72]!Calculate_Pipe</definedName>
    <definedName name="ASSy_blast" localSheetId="9" hidden="0" function="0" vbProcedure="0">[72]!Calculate_Pipe</definedName>
    <definedName name="ASSY_W2" localSheetId="9" hidden="0" function="0" vbProcedure="0">[72]!Calculate_Pipe</definedName>
    <definedName name="AutoCAD" localSheetId="9" hidden="0" function="0" vbProcedure="0">[41]!AutoCAD</definedName>
    <definedName name="AutoCAD_1" localSheetId="9" hidden="0" function="0" vbProcedure="0">[27]!AutoCAD</definedName>
    <definedName name="AutoCAD_10" localSheetId="9" hidden="0" function="0" vbProcedure="0">[27]!AutoCAD</definedName>
    <definedName name="AutoCAD_11" localSheetId="9" hidden="0" function="0" vbProcedure="0">[27]!AutoCAD</definedName>
    <definedName name="AutoCAD_2" localSheetId="9" hidden="0" function="0" vbProcedure="0">[27]!AutoCAD</definedName>
    <definedName name="AutoCAD_3" localSheetId="9" hidden="0" function="0" vbProcedure="0">[27]!AutoCAD</definedName>
    <definedName name="AutoCAD_4" localSheetId="9" hidden="0" function="0" vbProcedure="0">[27]!AutoCAD</definedName>
    <definedName name="AutoCAD_5" localSheetId="9" hidden="0" function="0" vbProcedure="0">[27]!AutoCAD</definedName>
    <definedName name="AutoCAD_6" localSheetId="9" hidden="0" function="0" vbProcedure="0">[27]!AutoCAD</definedName>
    <definedName name="AutoCAD_7" localSheetId="9" hidden="0" function="0" vbProcedure="0">[27]!AutoCAD</definedName>
    <definedName name="AutoCAD_8" localSheetId="9" hidden="0" function="0" vbProcedure="0">[27]!AutoCAD</definedName>
    <definedName name="AutoCAD_9" localSheetId="9" hidden="0" function="0" vbProcedure="0">[27]!AutoCAD</definedName>
    <definedName name="Aux_BHA_ID" localSheetId="9" hidden="0" function="0" vbProcedure="0">'[108]Job Calculation Sheet'!$F$20</definedName>
    <definedName name="Aux_BHA_OD" localSheetId="9" hidden="0" function="0" vbProcedure="0">'[108]Job Calculation Sheet'!$E$20</definedName>
    <definedName name="AvgJoint" localSheetId="9" hidden="0" function="0" vbProcedure="0">[109]DATA!$BO$2:$BO$9</definedName>
    <definedName name="AvgLength" localSheetId="9" hidden="0" function="0" vbProcedure="0">'[76]casing talley'!#ref!</definedName>
    <definedName name="axj" localSheetId="9" hidden="1" function="0" vbProcedure="0">{#N/A,#N/A,FALSE,"Sheet1"}</definedName>
    <definedName name="A_L" localSheetId="9" hidden="0" function="0" vbProcedure="0">'[47]12(762mm)套管'!#ref!</definedName>
    <definedName name="b" localSheetId="9" hidden="1" function="0" vbProcedure="0">#ref!</definedName>
    <definedName name="back" localSheetId="9" hidden="0" function="0" vbProcedure="0">'[61]tool backload dt'!back</definedName>
    <definedName name="BallMaterial" localSheetId="9" hidden="0" function="0" vbProcedure="0">[109]DATA!$BL$2:$BL$11</definedName>
    <definedName name="Ballooning_Area" localSheetId="9" hidden="0" function="0" vbProcedure="0">[109]Test!$M$18</definedName>
    <definedName name="Ballseat" localSheetId="9" hidden="0" function="0" vbProcedure="0">[109]DATA!$AG$2:$AG$9</definedName>
    <definedName name="BallSize" localSheetId="9" hidden="0" function="0" vbProcedure="0">[109]DATA!$BF$3:$BF$8</definedName>
    <definedName name="basicok" localSheetId="9" hidden="0" function="0" vbProcedure="0">'JOB ORDER '!basicok</definedName>
    <definedName name="BBB" localSheetId="9" hidden="0" function="0" vbProcedure="0">'[110]DD Worksheet'!$C$1</definedName>
    <definedName name="bbbbb" localSheetId="9" hidden="0" function="0" vbProcedure="0">[79]!Macro61</definedName>
    <definedName name="bbllm3" localSheetId="9" hidden="0" function="0" vbProcedure="0">'[109]Metric Conversions'!$B$69</definedName>
    <definedName name="bblstk" localSheetId="9" hidden="0" function="0" vbProcedure="0">'[109]Displacement Cal.'!$B$7</definedName>
    <definedName name="BD" localSheetId="9" hidden="0" function="0" vbProcedure="0">INDEX([111]DRAW!$A$2:$B$13,MATCH([112]AUTO_DHWS!$AV$15,[111]DRAW!$A$2:$A$13,0),2)</definedName>
    <definedName name="BD_SC" localSheetId="9" hidden="0" function="0" vbProcedure="0">INDEX([111]DRAW!$A$2:$B$13,MATCH([112]AUTO_DHWS!$AV$16,[111]DRAW!$A$2:$A$13,0),2)</definedName>
    <definedName name="BD_TB" localSheetId="9" hidden="0" function="0" vbProcedure="0">INDEX([111]DRAW!$A$2:$B$13,MATCH([112]AUTO_DHWS!$AV$9,[111]DRAW!$A$2:$A$13,0),2)</definedName>
    <definedName name="bgn" localSheetId="9" hidden="1" function="0" vbProcedure="0">{#N/A,#N/A,FALSE,"Sheet1"}</definedName>
    <definedName name="BHT" localSheetId="9" hidden="0" function="0" vbProcedure="0">'[94]Job Technical Info'!$D$42</definedName>
    <definedName name="Bitsize" localSheetId="9" hidden="0" function="0" vbProcedure="0">[109]DATA!$L$2:$L$41</definedName>
    <definedName name="bj_stroke" localSheetId="9" hidden="0" function="0" vbProcedure="0">'[109]Metric Conversions'!$B$35</definedName>
    <definedName name="bj_strokez" localSheetId="9" hidden="0" function="0" vbProcedure="0">'[109]Metric Conversions'!$C$35</definedName>
    <definedName name="BJ_Tens" localSheetId="9" hidden="0" function="0" vbProcedure="0">'[109]Liner Job Info'!$P$45</definedName>
    <definedName name="blanklength" localSheetId="9" hidden="0" function="0" vbProcedure="0">'[113]#REF'!$J$13</definedName>
    <definedName name="blankod" localSheetId="9" hidden="0" function="0" vbProcedure="0">'[113]#REF'!$F$13</definedName>
    <definedName name="BLANK_COVERED_NV" localSheetId="9" hidden="0" function="0" vbProcedure="0">'[113]#REF'!$G$111</definedName>
    <definedName name="BLANK_LENGTH" localSheetId="9" hidden="0" function="0" vbProcedure="0">'[113]#REF'!$J$13</definedName>
    <definedName name="BLANK_OD" localSheetId="9" hidden="0" function="0" vbProcedure="0">'[113]#REF'!$F$13</definedName>
    <definedName name="block" localSheetId="9" hidden="0" function="0" vbProcedure="0">[5]WTR!$I$5</definedName>
    <definedName name="Block_Field" localSheetId="9" hidden="0" function="0" vbProcedure="0">'[108]Pre-Job Info Sheet'!$D$7</definedName>
    <definedName name="BLock_TD_Wt" localSheetId="9" hidden="0" function="0" vbProcedure="0">'[30]Liner Job Info'!$D$33</definedName>
    <definedName name="Block_Wt" localSheetId="9" hidden="0" function="0" vbProcedure="0">'[109]Weight Calculations'!$H$14</definedName>
    <definedName name="bOB" localSheetId="9" hidden="0" function="0" vbProcedure="0">[114]Volumes!$K$1:$Y$76</definedName>
    <definedName name="BOT" localSheetId="9" hidden="0" function="0" vbProcedure="0">'[94]Job Technical Info'!$A$4</definedName>
    <definedName name="Bottom_Hole_Temp." localSheetId="9" hidden="0" function="0" vbProcedure="0">'[108]Pre-Job Info Sheet'!$B$34</definedName>
    <definedName name="Bottom_Perforation" localSheetId="9" hidden="0" function="0" vbProcedure="0">'[108]Pre-Job Info Sheet'!$B$29</definedName>
    <definedName name="Bottom_Shot" localSheetId="9" hidden="0" function="0" vbProcedure="0">'[108]TCP-BHA'!$H$36</definedName>
    <definedName name="BPLimit" localSheetId="9" hidden="0" function="0" vbProcedure="0">[83]!TubTable[[340]:[438]]</definedName>
    <definedName name="BR_Column" localSheetId="9" hidden="0" function="0" vbProcedure="0">null</definedName>
    <definedName name="BR_Unit" localSheetId="9" hidden="0" function="0" vbProcedure="0">null</definedName>
    <definedName name="bs" localSheetId="9" hidden="0" function="0" vbProcedure="0">'[115]Max-Torq'!$Q$79</definedName>
    <definedName name="bsw" localSheetId="9" hidden="0" function="0" vbProcedure="0">'[93]well test sheet'!#ref!</definedName>
    <definedName name="Budget_owner" localSheetId="9" hidden="0" function="0" vbProcedure="0">'[70]well specification'!#ref!</definedName>
    <definedName name="Buoy_Factor" localSheetId="9" hidden="0" function="0" vbProcedure="0">'[30]Liner Job Info'!$D$32</definedName>
    <definedName name="bxf" localSheetId="9" hidden="0" function="0" vbProcedure="0">'[115]Max-Torq'!$P$62</definedName>
    <definedName name="BypassRate" localSheetId="9" hidden="0" function="0" vbProcedure="0">[83]!TubTable[[340]:[438]]</definedName>
    <definedName name="Ca" localSheetId="9" hidden="1" function="0" vbProcedure="0">{#N/A,#N/A,FALSE,"Drlg Param Run 1-1";#N/A,#N/A,FALSE,"DDR (3)";#N/A,#N/A,FALSE,"BHA AT (1)";#N/A,#N/A,FALSE,"Downlinkbha";#N/A,#N/A,FALSE,"Job Status Report"}</definedName>
    <definedName name="CABLE2_1" localSheetId="9" hidden="0" function="0" vbProcedure="0">INDEX([111]DRAW!$L$52:$M$54,MATCH([112]AUTO_DHWS!$AY$8,[111]DRAW!$L$52:$L$54,0),2)</definedName>
    <definedName name="CABLE2_2" localSheetId="9" hidden="0" function="0" vbProcedure="0">INDEX([111]DRAW!$L$52:$M$56,MATCH([112]AUTO_DHWS!$AY$9,[111]DRAW!$L$52:$L$56,0),2)</definedName>
    <definedName name="CABLE_1" localSheetId="9" hidden="0" function="0" vbProcedure="0">INDEX([111]DRAW!$L$52:$M$53,MATCH([112]AUTO_DHWS!$AY$4,[111]DRAW!$L$52:$L$53,0),2)</definedName>
    <definedName name="CABLE_2" localSheetId="9" hidden="0" function="0" vbProcedure="0">INDEX([111]DRAW!$L$52:$M$56,MATCH([112]AUTO_DHWS!$AY$5,[111]DRAW!$L$52:$L$56,0),2)</definedName>
    <definedName name="CABLE_3" localSheetId="9" hidden="0" function="0" vbProcedure="0">INDEX([111]DRAW!$M$57:$N$63,MATCH([112]AUTO_DHWS!$AY$6,[111]DRAW!$M$57:$M$63,0),2)</definedName>
    <definedName name="CalculatePipe" localSheetId="9" hidden="0" function="0" vbProcedure="0">[72]!Calculate_Pipe</definedName>
    <definedName name="Calculate_Pipe" localSheetId="9" hidden="0" function="0" vbProcedure="0">[96]!Calculate_Pipe</definedName>
    <definedName name="Cancel" localSheetId="9" hidden="0" function="0" vbProcedure="0">[97]!Cancel</definedName>
    <definedName name="Capacities" localSheetId="9"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9" hidden="0" function="0" vbProcedure="0">'[113]#REF'!$G$188</definedName>
    <definedName name="CARRIER_FL_WT" localSheetId="9" hidden="0" function="0" vbProcedure="0">'[113]#REF'!$F$67</definedName>
    <definedName name="CARR_FL_VISCOSITY" localSheetId="9" hidden="0" function="0" vbProcedure="0">'[113]#REF'!$I$106</definedName>
    <definedName name="CARR_FL_VOL_PREPACK" localSheetId="9" hidden="0" function="0" vbProcedure="0">'[113]#REF'!$F$47</definedName>
    <definedName name="Carr_fl_wt_prepack" localSheetId="9" hidden="0" function="0" vbProcedure="0">'[113]#REF'!$F$46</definedName>
    <definedName name="casingcolumn" localSheetId="9" hidden="0" function="0" vbProcedure="0">[106]Data!$J$17</definedName>
    <definedName name="casingid" localSheetId="9" hidden="0" function="0" vbProcedure="0">'[113]#REF'!$H$11</definedName>
    <definedName name="casingidref" localSheetId="9" hidden="0" function="0" vbProcedure="0">[106]Data!$GC$1</definedName>
    <definedName name="casinginfuserate" localSheetId="9" hidden="0" function="0" vbProcedure="0">'[113]#REF'!$K$50</definedName>
    <definedName name="casingliner" localSheetId="9" hidden="0" function="0" vbProcedure="0">[106]Data!$E$45</definedName>
    <definedName name="casingod" localSheetId="9" hidden="0" function="0" vbProcedure="0">'[113]#REF'!$F$11</definedName>
    <definedName name="CasingSize" localSheetId="9" hidden="0" function="0" vbProcedure="0">'[117]Well Installation Drawing'!$E$15</definedName>
    <definedName name="CasingWeight" localSheetId="9" hidden="0" function="0" vbProcedure="0">'[117]Well Installation Drawing'!$G$15</definedName>
    <definedName name="casingwt" localSheetId="9" hidden="0" function="0" vbProcedure="0">'[113]#REF'!$J$11</definedName>
    <definedName name="Casing_Collapsez" localSheetId="9" hidden="0" function="0" vbProcedure="0">'[109]Liner Job Info'!$J$14</definedName>
    <definedName name="Casing_I.D." localSheetId="9" hidden="0" function="0" vbProcedure="0">'[108]Job Calculation Sheet'!$F$13</definedName>
    <definedName name="Casing_Liner" localSheetId="9" hidden="0" function="0" vbProcedure="0">'[94]Installation Results #1'!$C$27</definedName>
    <definedName name="Casing_Size" localSheetId="9" hidden="0" function="0" vbProcedure="0">'[108]Pre-Job Info Sheet'!$D$15</definedName>
    <definedName name="Casing_Size_Weight" localSheetId="9" hidden="0" function="0" vbProcedure="0">'[108]TCP-BHA'!$I$5</definedName>
    <definedName name="Casing_Weight" localSheetId="9" hidden="0" function="0" vbProcedure="0">'[108]Pre-Job Info Sheet'!$D$16</definedName>
    <definedName name="CAS_BLNK_ANNULUS" localSheetId="9" hidden="0" function="0" vbProcedure="0">'[113]#REF'!$I$108</definedName>
    <definedName name="CAS_BLNK_VOL" localSheetId="9" hidden="0" function="0" vbProcedure="0">'[6]#ref'!#ref!</definedName>
    <definedName name="CAS_EXT_VOL" localSheetId="9" hidden="0" function="0" vbProcedure="0">'[6]#ref'!#ref!</definedName>
    <definedName name="CAS_ID" localSheetId="9" hidden="0" function="0" vbProcedure="0">'[113]#REF'!$H$11</definedName>
    <definedName name="CAS_OD" localSheetId="9" hidden="0" function="0" vbProcedure="0">'[113]#REF'!$J$11</definedName>
    <definedName name="CAS_SCR_VOL" localSheetId="9" hidden="0" function="0" vbProcedure="0">'[6]#ref'!#ref!</definedName>
    <definedName name="CAS_WT" localSheetId="9" hidden="0" function="0" vbProcedure="0">'[113]#REF'!$J$11</definedName>
    <definedName name="category" localSheetId="9" hidden="0" function="0" vbProcedure="0">[118]Sheet2!$A$70:$A$73</definedName>
    <definedName name="Cc" localSheetId="9" hidden="0" function="0" vbProcedure="0">0.3</definedName>
    <definedName name="ccc" localSheetId="9" hidden="0" function="0" vbProcedure="0">[119]钻井日报表!$I$7</definedName>
    <definedName name="ccccc" localSheetId="9" hidden="0" function="0" vbProcedure="0">[79]!Macro59</definedName>
    <definedName name="cdr" localSheetId="9" hidden="0" function="0" vbProcedure="0">'[93]well test sheet'!#ref!</definedName>
    <definedName name="CDWimdbase" localSheetId="9" hidden="0" function="0" vbProcedure="0">'[120]CD''s'!$A$2:$G$374</definedName>
    <definedName name="CementCompany" localSheetId="9" hidden="0" function="0" vbProcedure="0">[109]DATA!$BJ$2:$BJ$8</definedName>
    <definedName name="CENG" localSheetId="9" hidden="0" function="0" vbProcedure="0">[182]Reference!$A$2:$A$4</definedName>
    <definedName name="Centralizers" localSheetId="9" hidden="0" function="0" vbProcedure="0">[109]DATA!$AI$2:$AI$9</definedName>
    <definedName name="cf" localSheetId="9" hidden="1" function="0" vbProcedure="0">{#N/A,#N/A,FALSE,"Sheet1"}</definedName>
    <definedName name="Chart" localSheetId="9" hidden="1" function="0" vbProcedure="0">{#N/A,#N/A,FALSE,"Sheet1"}</definedName>
    <definedName name="chart1" localSheetId="9" hidden="1" function="0" vbProcedure="0">{#N/A,#N/A,FALSE,"Sheet1"}</definedName>
    <definedName name="Chemmac" localSheetId="9" hidden="0" function="0" vbProcedure="0">'[61]tool backload dt'!chemmac</definedName>
    <definedName name="cim" localSheetId="9" hidden="0" function="0" vbProcedure="0">[113]!Calculate_Pipe</definedName>
    <definedName name="CIPMACRO.n2foam" localSheetId="9" hidden="0" function="0" vbProcedure="0">'[61]tool backload dt'!cipmacro.n2foam</definedName>
    <definedName name="circsqz" localSheetId="9" hidden="0" function="0" vbProcedure="0">[5]WTR!$M$86</definedName>
    <definedName name="CIR_RATE_RESTRESS" localSheetId="9" hidden="0" function="0" vbProcedure="0">'[113]#REF'!$I$109</definedName>
    <definedName name="CIV" localSheetId="9" hidden="0" function="0" vbProcedure="0">INDEX([111]DRAW!$A$2:$B$13,MATCH([112]AUTO_DHWS!$AV$10,[111]DRAW!$A$2:$A$13,0),2)</definedName>
    <definedName name="CIV_2" localSheetId="9" hidden="0" function="0" vbProcedure="0">INDEX([111]DRAW!$A$2:$B$14,MATCH([112]AUTO_DHWS!$AV$14,[111]DRAW!$A$2:$A$13,0),2)</definedName>
    <definedName name="CIV_PDHG" localSheetId="9" hidden="0" function="0" vbProcedure="0">INDEX([111]DRAW!$A$2:$B$13,MATCH([112]AUTO_DHWS!$AV$11,[111]DRAW!$A$2:$A$13,0),2)</definedName>
    <definedName name="CLAMPON" localSheetId="9" hidden="0" function="0" vbProcedure="0">[55]!CLAMPON</definedName>
    <definedName name="CLEARCONTENTS" localSheetId="9" hidden="0" function="0" vbProcedure="0">[115]!CLEARCONTENTS</definedName>
    <definedName name="CLFluid1" localSheetId="9" hidden="0" function="0" vbProcedure="0">'[94]Installation Results #1'!$E$270</definedName>
    <definedName name="CLFluid10" localSheetId="9" hidden="0" function="0" vbProcedure="0">'[94]Installation Results #1'!$E$279</definedName>
    <definedName name="CLFluid11" localSheetId="9" hidden="0" function="0" vbProcedure="0">'[94]Installation Results #1'!$E$280</definedName>
    <definedName name="CLFluid12" localSheetId="9" hidden="0" function="0" vbProcedure="0">'[94]Installation Results #1'!$E$281</definedName>
    <definedName name="CLFluid13" localSheetId="9" hidden="0" function="0" vbProcedure="0">'[94]Installation Results #1'!$E$282</definedName>
    <definedName name="CLFluid14" localSheetId="9" hidden="0" function="0" vbProcedure="0">'[94]Installation Results #1'!$E$283</definedName>
    <definedName name="CLFluid15" localSheetId="9" hidden="0" function="0" vbProcedure="0">'[94]Installation Results #1'!$E$284</definedName>
    <definedName name="CLFluid2" localSheetId="9" hidden="0" function="0" vbProcedure="0">'[94]Installation Results #1'!$E$271</definedName>
    <definedName name="CLFluid3" localSheetId="9" hidden="0" function="0" vbProcedure="0">'[94]Installation Results #1'!$E$272</definedName>
    <definedName name="CLFluid4" localSheetId="9" hidden="0" function="0" vbProcedure="0">'[94]Installation Results #1'!$E$273</definedName>
    <definedName name="CLFluid5" localSheetId="9" hidden="0" function="0" vbProcedure="0">'[94]Installation Results #1'!$E$274</definedName>
    <definedName name="CLFluid6" localSheetId="9" hidden="0" function="0" vbProcedure="0">'[94]Installation Results #1'!$E$275</definedName>
    <definedName name="CLFluid7" localSheetId="9" hidden="0" function="0" vbProcedure="0">'[94]Installation Results #1'!$E$276</definedName>
    <definedName name="CLFluid8" localSheetId="9" hidden="0" function="0" vbProcedure="0">'[94]Installation Results #1'!$E$277</definedName>
    <definedName name="CLFluid9" localSheetId="9" hidden="0" function="0" vbProcedure="0">'[94]Installation Results #1'!$E$278</definedName>
    <definedName name="Clist" localSheetId="9" hidden="0" function="0" vbProcedure="0">OFFSET(INDIRECT(ADDRESS(MATCH('JOB ORDER '!CL_Wt,'JOB ORDER '!Objects,0)+1,2,,,"Casing Info")),0,1,COUNTIF('JOB ORDER '!Objects,'JOB ORDER '!CL_Wt),1)</definedName>
    <definedName name="CL_Wt" localSheetId="9" hidden="0" function="0" vbProcedure="0">'[109]Database Pg1'!$E$28</definedName>
    <definedName name="Objects" localSheetId="9" hidden="0" function="0" vbProcedure="0">'[109]Casing Info'!$B$2:$B$241</definedName>
    <definedName name="Clist2" localSheetId="9" hidden="0" function="0" vbProcedure="0">OFFSET(INDIRECT(ADDRESS(MATCH('JOB ORDER '!Hsize2,'JOB ORDER '!Objects,0)+1,2,,,"Casing Info")),0,1,COUNTIF('JOB ORDER '!Objects,'JOB ORDER '!Hsize2),1)</definedName>
    <definedName name="Hsize2" localSheetId="9" hidden="0" function="0" vbProcedure="0">'[109]Database Pg1'!$G$81</definedName>
    <definedName name="Clist3" localSheetId="9" hidden="0" function="0" vbProcedure="0">OFFSET(INDIRECT(ADDRESS(MATCH('JOB ORDER '!Hsize3,'JOB ORDER '!Objects,0)+1,2,,,"Casing Info")),0,1,COUNTIF('JOB ORDER '!Objects,'JOB ORDER '!Hsize3),1)</definedName>
    <definedName name="Hsize3" localSheetId="9" hidden="0" function="0" vbProcedure="0">'[109]Database Pg1'!$G$83</definedName>
    <definedName name="Clrmess" localSheetId="9" hidden="0" function="0" vbProcedure="0">[115]!Clrmess</definedName>
    <definedName name="CO2_" localSheetId="9" hidden="0" function="0" vbProcedure="0">'[94]Job Technical Info'!$L$42</definedName>
    <definedName name="CODELIST" localSheetId="9" hidden="0" function="0" vbProcedure="0">'[183]CODE SIN'!$A$3:$A$240</definedName>
    <definedName name="CODETAB" localSheetId="9" hidden="0" function="0" vbProcedure="0">'[183]CODE SIN'!$C$3:$AD$240</definedName>
    <definedName name="coections" localSheetId="9" hidden="0" function="0" vbProcedure="0">'JOB ORDER '!coections</definedName>
    <definedName name="COMP" localSheetId="9" hidden="0" function="0" vbProcedure="0">#ref!</definedName>
    <definedName name="company" localSheetId="9" hidden="0" function="0" vbProcedure="0">'[40]CPS Call Sheet'!$E$4</definedName>
    <definedName name="Company_Man" localSheetId="9" hidden="0" function="0" vbProcedure="0">'[62]Liner Job Info'!$E$7</definedName>
    <definedName name="Company_Name" localSheetId="9" hidden="0" function="0" vbProcedure="0">'[123]Liner Job Info'!$E$4</definedName>
    <definedName name="compfluidwt" localSheetId="9" hidden="0" function="0" vbProcedure="0">'[113]#REF'!$L$27</definedName>
    <definedName name="Compl._Fluid_Type" localSheetId="9" hidden="0" function="0" vbProcedure="0">'[108]Pre-Job Info Sheet'!$D$32</definedName>
    <definedName name="Compl._Fluid_Wt." localSheetId="9" hidden="0" function="0" vbProcedure="0">'[108]Pre-Job Info Sheet'!$D$33</definedName>
    <definedName name="COMPL_FL_VOL" localSheetId="9" hidden="0" function="0" vbProcedure="0">'[113]#REF'!$F$68</definedName>
    <definedName name="COMPL_FL_WT" localSheetId="9" hidden="0" function="0" vbProcedure="0">'[113]#REF'!$K$27</definedName>
    <definedName name="conections" localSheetId="9" hidden="0" function="0" vbProcedure="0">'JOB ORDER '!conections</definedName>
    <definedName name="Conflict1" localSheetId="9" hidden="1" function="0" vbProcedure="0">{#N/A,#N/A,FALSE,"Drlg Param Run 1-1";#N/A,#N/A,FALSE,"DDR (3)";#N/A,#N/A,FALSE,"BHA AT (1)";#N/A,#N/A,FALSE,"Downlinkbha";#N/A,#N/A,FALSE,"Job Status Report"}</definedName>
    <definedName name="conref" localSheetId="9" hidden="0" function="0" vbProcedure="0">[124]Price!$A$1:$A$65536</definedName>
    <definedName name="consequence" localSheetId="9" hidden="0" function="0" vbProcedure="0">[125]Sheet2!$A$1:$A$5</definedName>
    <definedName name="contract" localSheetId="9" hidden="0" function="0" vbProcedure="0">'[126]Call Sheet'!$E$3</definedName>
    <definedName name="contractnum" localSheetId="9" hidden="0" function="0" vbProcedure="0">'[31]data '!#ref!</definedName>
    <definedName name="contractor" localSheetId="9" hidden="0" function="0" vbProcedure="0">'[126]Call Sheet'!$E$6</definedName>
    <definedName name="Coordinator" localSheetId="9" hidden="0" function="0" vbProcedure="0">'[94]Job Technical Info'!$G$10</definedName>
    <definedName name="COPYDESGN" localSheetId="9" hidden="0" function="0" vbProcedure="0">[55]!COPYDESGN</definedName>
    <definedName name="CoRep" localSheetId="9" hidden="0" function="0" vbProcedure="0">'[94]Job Technical Info'!$C$16</definedName>
    <definedName name="corrlist2" localSheetId="9" hidden="0" function="0" vbProcedure="0">OFFSET(INDIRECT(ADDRESS(MATCH('JOB ORDER '!Hsize2,'JOB ORDER '!Objects,0)+1,2,,,"Casing Info")),0,1,COUNTIF('JOB ORDER '!Objects,[27]!Liner1_OD),1)</definedName>
    <definedName name="corrlist4" localSheetId="9" hidden="0" function="0" vbProcedure="0">OFFSET(INDIRECT(ADDRESS(MATCH('JOB ORDER '!Hanger_Size,'JOB ORDER '!Objects,0)+1,2,,,"Casing Info")),0,1,COUNTIF('JOB ORDER '!Objects, 'JOB ORDER '!Hanger_Size),1)</definedName>
    <definedName name="Hanger_Size" localSheetId="9" hidden="0" function="0" vbProcedure="0">'[109]Database Pg1'!$G$79</definedName>
    <definedName name="Cotry" localSheetId="9" hidden="0" function="0" vbProcedure="0">'[109]Liner Job Info'!$E$10</definedName>
    <definedName name="Countries" localSheetId="9" hidden="0" function="0" vbProcedure="0">[109]DATA!$BR$1:$BR$196</definedName>
    <definedName name="COUNTRY" localSheetId="9" hidden="0" function="0" vbProcedure="0">'[127]Master data'!$A$2:$A$239</definedName>
    <definedName name="county" localSheetId="9" hidden="0" function="0" vbProcedure="0">'[40]CPS Call Sheet'!$P$7</definedName>
    <definedName name="Crack_DH" localSheetId="9" hidden="0" function="0" vbProcedure="0">'[108]Tester Valve Calcs'!$F$31</definedName>
    <definedName name="Crack_Press" localSheetId="9" hidden="0" function="0" vbProcedure="0">'[108]Tester Valve Calcs'!$F$13</definedName>
    <definedName name="crs" localSheetId="9" hidden="0" function="0" vbProcedure="0">[128]RSS!$E$199:$E$205</definedName>
    <definedName name="CRS_FLOAT_VALVE" localSheetId="9" hidden="0" function="0" vbProcedure="0">[129]RSS!$O$177:$O$180</definedName>
    <definedName name="CRS_FLOW_KIT" localSheetId="9" hidden="0" function="0" vbProcedure="0">[129]RSS!$E$181:$E$184</definedName>
    <definedName name="CRS_STAB" localSheetId="9" hidden="0" function="0" vbProcedure="0">[129]RSS!$E$191:$E$197</definedName>
    <definedName name="Csg" localSheetId="9" hidden="0" function="0" vbProcedure="0">[6]Sheet1!$G$1:$G$3</definedName>
    <definedName name="CsgDrift1" localSheetId="9" hidden="0" function="0" vbProcedure="0">'[94]Job Technical Info'!$G$25</definedName>
    <definedName name="CsgDrift2" localSheetId="9" hidden="0" function="0" vbProcedure="0">'[94]Job Technical Info'!$G$26</definedName>
    <definedName name="CsgDrift3" localSheetId="9" hidden="0" function="0" vbProcedure="0">'[94]Job Technical Info'!$G$27</definedName>
    <definedName name="CsgDrift4" localSheetId="9" hidden="0" function="0" vbProcedure="0">'[94]Job Technical Info'!$G$28</definedName>
    <definedName name="CsgGrd1" localSheetId="9" hidden="0" function="0" vbProcedure="0">'[94]Job Technical Info'!$H$25</definedName>
    <definedName name="CsgGrd2" localSheetId="9" hidden="0" function="0" vbProcedure="0">'[94]Job Technical Info'!$H$26</definedName>
    <definedName name="CsgGrd3" localSheetId="9" hidden="0" function="0" vbProcedure="0">'[94]Job Technical Info'!$H$27</definedName>
    <definedName name="CsgGrd4" localSheetId="9" hidden="0" function="0" vbProcedure="0">'[94]Job Technical Info'!$H$28</definedName>
    <definedName name="CsgID1" localSheetId="9" hidden="0" function="0" vbProcedure="0">'[94]Job Technical Info'!$F$25</definedName>
    <definedName name="CsgID2" localSheetId="9" hidden="0" function="0" vbProcedure="0">'[94]Job Technical Info'!$F$26</definedName>
    <definedName name="CsgID3" localSheetId="9" hidden="0" function="0" vbProcedure="0">'[94]Job Technical Info'!$F$27</definedName>
    <definedName name="CsgID4" localSheetId="9" hidden="0" function="0" vbProcedure="0">'[94]Job Technical Info'!$F$28</definedName>
    <definedName name="CsgSz1" localSheetId="9" hidden="0" function="0" vbProcedure="0">'[94]Job Technical Info'!$D$25</definedName>
    <definedName name="CsgSz2" localSheetId="9" hidden="0" function="0" vbProcedure="0">'[94]Job Technical Info'!$D$26</definedName>
    <definedName name="CsgSz3" localSheetId="9" hidden="0" function="0" vbProcedure="0">'[94]Job Technical Info'!$D$27</definedName>
    <definedName name="CsgSz4" localSheetId="9" hidden="0" function="0" vbProcedure="0">'[94]Job Technical Info'!$D$28</definedName>
    <definedName name="CsgThd1" localSheetId="9" hidden="0" function="0" vbProcedure="0">'[94]Job Technical Info'!$J$25</definedName>
    <definedName name="CsgThd2" localSheetId="9" hidden="0" function="0" vbProcedure="0">'[94]Job Technical Info'!$J$26</definedName>
    <definedName name="CsgThd3" localSheetId="9" hidden="0" function="0" vbProcedure="0">'[94]Job Technical Info'!$J$27</definedName>
    <definedName name="CsgThd4" localSheetId="9" hidden="0" function="0" vbProcedure="0">'[94]Job Technical Info'!$J$28</definedName>
    <definedName name="CsgWt" localSheetId="9" hidden="0" function="0" vbProcedure="0">[6]Sheet1!$H$1:$H$10</definedName>
    <definedName name="CsgWt1" localSheetId="9" hidden="0" function="0" vbProcedure="0">'[94]Job Technical Info'!$E$25</definedName>
    <definedName name="CsgWt2" localSheetId="9" hidden="0" function="0" vbProcedure="0">'[94]Job Technical Info'!$E$26</definedName>
    <definedName name="CsgWt3" localSheetId="9" hidden="0" function="0" vbProcedure="0">'[94]Job Technical Info'!$E$27</definedName>
    <definedName name="CsgWt4" localSheetId="9" hidden="0" function="0" vbProcedure="0">'[94]Job Technical Info'!$E$28</definedName>
    <definedName name="Csg_Bst" localSheetId="9" hidden="0" function="0" vbProcedure="0">'[109]Metric Conversions'!$B$43</definedName>
    <definedName name="Csg_Burstz" localSheetId="9" hidden="0" function="0" vbProcedure="0">'[109]Liner Job Info'!$H$14</definedName>
    <definedName name="Csg_Dft" localSheetId="9" hidden="0" function="0" vbProcedure="0">'[109]Liner Job Info'!$L$14</definedName>
    <definedName name="CSG_DPTH" localSheetId="9" hidden="0" function="0" vbProcedure="0">'[130]Metric Conversions'!$B$15</definedName>
    <definedName name="CSG_DPTHz" localSheetId="9" hidden="0" function="0" vbProcedure="0">'[109]Liner Job Info'!$P$14</definedName>
    <definedName name="CSG_Grd" localSheetId="9" hidden="0" function="0" vbProcedure="0">'[130]Liner Job Info'!$D$14</definedName>
    <definedName name="CSG_ID" localSheetId="9" hidden="0" function="0" vbProcedure="0">'[109]Liner Job Info'!$B$14</definedName>
    <definedName name="CSG_ID_Area" localSheetId="9" hidden="0" function="0" vbProcedure="0">[109]Test!$Z$39</definedName>
    <definedName name="CSG_MYS" localSheetId="9" hidden="0" function="0" vbProcedure="0">[131]DATA!$J$3:$J$22</definedName>
    <definedName name="CSG_OD" localSheetId="9" hidden="0" function="0" vbProcedure="0">'[130]Liner Job Info'!$A$14</definedName>
    <definedName name="CSG_Thread" localSheetId="9" hidden="0" function="0" vbProcedure="0">'[130]Liner Job Info'!$E$14</definedName>
    <definedName name="Csg_Wt" localSheetId="9" hidden="0" function="0" vbProcedure="0">'[130]Liner Job Info'!$C$14</definedName>
    <definedName name="CsShoeDepth" localSheetId="9" hidden="0" function="0" vbProcedure="0">'[94]Job Technical Info'!$F$40</definedName>
    <definedName name="CU.FT." localSheetId="9" hidden="0" function="0" vbProcedure="0">'[113]#REF'!$E$23</definedName>
    <definedName name="currency" localSheetId="9" hidden="0" function="0" vbProcedure="0">[54]data!#ref!</definedName>
    <definedName name="Customer" localSheetId="9" hidden="0" function="0" vbProcedure="0">'[94]Job Technical Info'!$C$12</definedName>
    <definedName name="customer1" localSheetId="9" hidden="0" function="0" vbProcedure="0">[132]Data!$A$1:$A$65536</definedName>
    <definedName name="Customer2" localSheetId="9" hidden="0" function="0" vbProcedure="0">[132]Data!$B$1:$B$65536</definedName>
    <definedName name="CustomerName" localSheetId="9" hidden="0" function="0" vbProcedure="0">'[138]job info sheet'!#ref!</definedName>
    <definedName name="customerrep" localSheetId="9" hidden="0" function="0" vbProcedure="0">'[113]#REF'!$E$6</definedName>
    <definedName name="Cyl_Yield" localSheetId="9" hidden="0" function="0" vbProcedure="0">'[46]liner job info'!#ref!</definedName>
    <definedName name="d" localSheetId="9" hidden="0" function="0" vbProcedure="0">'[1]run sheet'!#ref!</definedName>
    <definedName name="DAADA" localSheetId="9" hidden="0" function="0" vbProcedure="0">[113]!Calculate_Pipe</definedName>
    <definedName name="DAD" localSheetId="9" hidden="0" function="0" vbProcedure="0">'[140]tally checklist'!dad</definedName>
    <definedName name="DADAA" localSheetId="9" hidden="0" function="0" vbProcedure="0">'[140]tally checklist'!dadaa</definedName>
    <definedName name="DAEFF" localSheetId="9" hidden="0" function="0" vbProcedure="0">'[140]tally checklist'!daeff</definedName>
    <definedName name="DAPage" localSheetId="9" hidden="0" function="0" vbProcedure="0">'[94]Data Acq. Results'!$S$5</definedName>
    <definedName name="data1" localSheetId="9" hidden="0" function="0" vbProcedure="0">#ref!</definedName>
    <definedName name="DC" localSheetId="9" hidden="0" function="0" vbProcedure="0">'[44]7-30-04'!$GO$7457</definedName>
    <definedName name="dd" localSheetId="9" hidden="0" function="0" vbProcedure="0">null</definedName>
    <definedName name="dddd" localSheetId="9" hidden="0" function="0" vbProcedure="0">[142]试油成果记录!#ref!</definedName>
    <definedName name="decdhm" localSheetId="9" hidden="0" function="0" vbProcedure="0">'[133]Personal Expense Dec-95 (MH)'!$K$5</definedName>
    <definedName name="decdlr" localSheetId="9" hidden="0" function="0" vbProcedure="0">'[133]Personal Expense Dec-95 (MH)'!$H$5</definedName>
    <definedName name="decfrc" localSheetId="9" hidden="0" function="0" vbProcedure="0">'[133]Personal Expense Dec-95 (MH)'!$I$5</definedName>
    <definedName name="decpnd" localSheetId="9" hidden="0" function="0" vbProcedure="0">'[133]Personal Expense Dec-95 (MH)'!$G$5</definedName>
    <definedName name="decrl" localSheetId="9" hidden="0" function="0" vbProcedure="0">'[133]Personal Expense Dec-95 (MH)'!$J$5</definedName>
    <definedName name="decrup" localSheetId="9" hidden="0" function="0" vbProcedure="0">'[133]Personal Expense Dec-95 (MH)'!$L$5</definedName>
    <definedName name="decrupees" localSheetId="9" hidden="0" function="0" vbProcedure="0">'[133]Cash Expense December-95'!$H$6</definedName>
    <definedName name="deliveredto" localSheetId="9" hidden="0" function="0" vbProcedure="0">'[31]data '!#ref!</definedName>
    <definedName name="deliverto" localSheetId="9" hidden="0" function="0" vbProcedure="0">[54]data!#ref!</definedName>
    <definedName name="delma" localSheetId="9" hidden="0" function="0" vbProcedure="0">[145]!JointNumber</definedName>
    <definedName name="DENG" localSheetId="9" hidden="0" function="0" vbProcedure="0">[182]Reference!$B$2:$B$12</definedName>
    <definedName name="DEPTH_TAGGED_PREPACK" localSheetId="9" hidden="0" function="0" vbProcedure="0">'[113]#REF'!$F$80</definedName>
    <definedName name="DEQ" localSheetId="9" hidden="0" function="0" vbProcedure="0">'[140]tally checklist'!deq</definedName>
    <definedName name="Desired_Set_Down" localSheetId="9" hidden="0" function="0" vbProcedure="0">'[108]Packer Calculation Sheet'!$G$47</definedName>
    <definedName name="Dev" localSheetId="9" hidden="0" function="0" vbProcedure="0">'[109]Liner Job Info'!$D$30</definedName>
    <definedName name="DEVIATION" localSheetId="9" hidden="0" function="0" vbProcedure="0">'[113]#REF'!$F$24</definedName>
    <definedName name="dftg" localSheetId="9" hidden="0" function="0" vbProcedure="0">'[134]井口装置示意图-4'!$E$1:$E$65536</definedName>
    <definedName name="DiameterConversion" localSheetId="9" hidden="0" function="0" vbProcedure="0">[94]Lists!$AD$3</definedName>
    <definedName name="Diff_Across_Ball" localSheetId="9" hidden="0" function="0" vbProcedure="0">'[108]Tester Valve Calcs'!$F$30</definedName>
    <definedName name="Disp._Fluid_Type" localSheetId="9" hidden="0" function="0" vbProcedure="0">'[108]Pre-Job Info Sheet'!$D$37</definedName>
    <definedName name="Disp._Fluid_Weight" localSheetId="9" hidden="0" function="0" vbProcedure="0">'[108]Pre-Job Info Sheet'!$D$38</definedName>
    <definedName name="Displacement" localSheetId="9" hidden="0" function="0" vbProcedure="0">[109]DATA!$AJ$2:$AJ$12</definedName>
    <definedName name="DisplacementMethod" localSheetId="9" hidden="0" function="0" vbProcedure="0">[109]DATA!$AS$2:$AS$4</definedName>
    <definedName name="Disp_Fluid_Wt" localSheetId="9" hidden="0" function="0" vbProcedure="0">'[108]Job Calculation Sheet'!$D$30</definedName>
    <definedName name="District" localSheetId="9" hidden="0" function="0" vbProcedure="0">'[30]Liner Job Info'!$O$4</definedName>
    <definedName name="DistrictPh" localSheetId="9" hidden="0" function="0" vbProcedure="0">'[94]Job Technical Info'!$G$11</definedName>
    <definedName name="Districts" localSheetId="9" hidden="0" function="0" vbProcedure="0">[109]DATA!$A$6:$A$437</definedName>
    <definedName name="diverterlbs" localSheetId="9" hidden="0" function="0" vbProcedure="0">[5]WTR!$G$59</definedName>
    <definedName name="DIV_MIX_RATIO" localSheetId="9" hidden="0" function="0" vbProcedure="0">'[113]#REF'!$K$55</definedName>
    <definedName name="DL" localSheetId="9" hidden="0" function="0" vbProcedure="0">[107]Piston!$F$21</definedName>
    <definedName name="do" localSheetId="9" hidden="0" function="0" vbProcedure="0">[145]!JointNumber</definedName>
    <definedName name="docNum" localSheetId="9" hidden="0" function="0" vbProcedure="0">[49]Revision_History!$G$6&amp;" "&amp;[49]Revision_History!$H$6</definedName>
    <definedName name="DocTitle" localSheetId="9" hidden="0" function="0" vbProcedure="0">'[94]Job Technical Info'!$C$2</definedName>
    <definedName name="Doc_Rev" localSheetId="9" hidden="0" function="0" vbProcedure="0">'[30]Liner Job Info'!$A$2</definedName>
    <definedName name="DP1_Cap" localSheetId="9" hidden="0" function="0" vbProcedure="0">'[109]Liner Job Info'!$G$22</definedName>
    <definedName name="DP1_conn" localSheetId="9" hidden="0" function="0" vbProcedure="0">'[130]Liner Job Info'!$J$22</definedName>
    <definedName name="DP1_Grd" localSheetId="9" hidden="0" function="0" vbProcedure="0">'[130]Liner Job Info'!$F$22</definedName>
    <definedName name="DP1_ID" localSheetId="9" hidden="0" function="0" vbProcedure="0">'[109]Liner Job Info'!$E$22</definedName>
    <definedName name="DP1_Leng" localSheetId="9" hidden="0" function="0" vbProcedure="0">'[130]Metric Conversions'!$B$20</definedName>
    <definedName name="DP1_Lengz" localSheetId="9" hidden="0" function="0" vbProcedure="0">'[109]Liner Job Info'!$I$22</definedName>
    <definedName name="DP1_MYS" localSheetId="9" hidden="0" function="0" vbProcedure="0">'[109]Liner Job Info'!$AD$31</definedName>
    <definedName name="DP1_OD" localSheetId="9" hidden="0" function="0" vbProcedure="0">'[130]Liner Job Info'!$C$22</definedName>
    <definedName name="DP1_Tens" localSheetId="9" hidden="0" function="0" vbProcedure="0">'[109]Liner Job Info'!$M$22</definedName>
    <definedName name="DP1_Volz" localSheetId="9" hidden="0" function="0" vbProcedure="0">'[109]Metric Conversions'!$C$70</definedName>
    <definedName name="DP1_Wt_inmud" localSheetId="9" hidden="0" function="0" vbProcedure="0">'[109]Weight Calculations'!$H$8</definedName>
    <definedName name="DP1_Wt_Per_Ft" localSheetId="9" hidden="0" function="0" vbProcedure="0">'[130]Liner Job Info'!$D$22</definedName>
    <definedName name="DP1_X_Csg_Volz" localSheetId="9" hidden="0" function="0" vbProcedure="0">'[109]Metric Conversions'!$C$85</definedName>
    <definedName name="DP2_Cap" localSheetId="9" hidden="0" function="0" vbProcedure="0">'[109]Liner Job Info'!$G$23</definedName>
    <definedName name="DP2_conn" localSheetId="9" hidden="0" function="0" vbProcedure="0">'[130]Liner Job Info'!$J$23</definedName>
    <definedName name="DP2_Cross_Sect" localSheetId="9" hidden="0" function="0" vbProcedure="0">'[46]liner job info'!#ref!</definedName>
    <definedName name="DP2_Grd" localSheetId="9" hidden="0" function="0" vbProcedure="0">'[130]Liner Job Info'!$F$23</definedName>
    <definedName name="DP2_ID" localSheetId="9" hidden="0" function="0" vbProcedure="0">'[109]Liner Job Info'!$E$23</definedName>
    <definedName name="DP2_Leng" localSheetId="9" hidden="0" function="0" vbProcedure="0">'[130]Metric Conversions'!$B$21</definedName>
    <definedName name="DP2_Lengz" localSheetId="9" hidden="0" function="0" vbProcedure="0">'[109]Liner Job Info'!$I$23</definedName>
    <definedName name="DP2_MYS" localSheetId="9" hidden="0" function="0" vbProcedure="0">'[109]Liner Job Info'!$AD$32</definedName>
    <definedName name="DP2_OD" localSheetId="9" hidden="0" function="0" vbProcedure="0">'[130]Liner Job Info'!$C$23</definedName>
    <definedName name="DP2_Tens" localSheetId="9" hidden="0" function="0" vbProcedure="0">'[109]Liner Job Info'!$M$23</definedName>
    <definedName name="DP2_Volz" localSheetId="9" hidden="0" function="0" vbProcedure="0">'[109]Metric Conversions'!$C$71</definedName>
    <definedName name="DP2_Wt_inmud" localSheetId="9" hidden="0" function="0" vbProcedure="0">'[109]Weight Calculations'!$H$9</definedName>
    <definedName name="DP2_Wt_Per_Ft" localSheetId="9" hidden="0" function="0" vbProcedure="0">'[130]Liner Job Info'!$D$23</definedName>
    <definedName name="DP2_X_Csg_Volz" localSheetId="9" hidden="0" function="0" vbProcedure="0">'[109]Metric Conversions'!$C$86</definedName>
    <definedName name="DP3_bbl_per_ft" localSheetId="9" hidden="0" function="0" vbProcedure="0">'[46]liner job info'!#ref!</definedName>
    <definedName name="DP3_Cap" localSheetId="9" hidden="0" function="0" vbProcedure="0">'[109]Liner Job Info'!$G$24</definedName>
    <definedName name="DP3_COnn" localSheetId="9" hidden="0" function="0" vbProcedure="0">'[130]Liner Job Info'!$J$24</definedName>
    <definedName name="DP3_Grd" localSheetId="9" hidden="0" function="0" vbProcedure="0">'[130]Liner Job Info'!$F$24</definedName>
    <definedName name="DP3_ID" localSheetId="9" hidden="0" function="0" vbProcedure="0">'[109]Liner Job Info'!$E$24</definedName>
    <definedName name="DP3_Leng" localSheetId="9" hidden="0" function="0" vbProcedure="0">'[130]Metric Conversions'!$B$22</definedName>
    <definedName name="DP3_Lengz" localSheetId="9" hidden="0" function="0" vbProcedure="0">'[109]Liner Job Info'!$I$24</definedName>
    <definedName name="DP3_MYS" localSheetId="9" hidden="0" function="0" vbProcedure="0">'[109]Liner Job Info'!$AD$33</definedName>
    <definedName name="DP3_OD" localSheetId="9" hidden="0" function="0" vbProcedure="0">'[130]Liner Job Info'!$C$24</definedName>
    <definedName name="DP3_Tens" localSheetId="9" hidden="0" function="0" vbProcedure="0">'[109]Liner Job Info'!$M$24</definedName>
    <definedName name="DP3_Volz" localSheetId="9" hidden="0" function="0" vbProcedure="0">'[109]Metric Conversions'!$C$72</definedName>
    <definedName name="DP3_Wt_inmud" localSheetId="9" hidden="0" function="0" vbProcedure="0">'[109]Weight Calculations'!$H$10</definedName>
    <definedName name="DP3_Wt_Per_Ft" localSheetId="9" hidden="0" function="0" vbProcedure="0">'[130]Liner Job Info'!$D$24</definedName>
    <definedName name="DP3_X_Csg_Volz" localSheetId="9" hidden="0" function="0" vbProcedure="0">'[109]Metric Conversions'!$C$87</definedName>
    <definedName name="DP4_Cap" localSheetId="9" hidden="0" function="0" vbProcedure="0">'[109]Liner Job Info'!$G$25</definedName>
    <definedName name="DP4_COnn" localSheetId="9" hidden="0" function="0" vbProcedure="0">'[130]Liner Job Info'!$J$25</definedName>
    <definedName name="DP4_Grd" localSheetId="9" hidden="0" function="0" vbProcedure="0">'[130]Liner Job Info'!$F$25</definedName>
    <definedName name="DP4_ID" localSheetId="9" hidden="0" function="0" vbProcedure="0">'[109]Liner Job Info'!$E$25</definedName>
    <definedName name="DP4_Leng" localSheetId="9" hidden="0" function="0" vbProcedure="0">'[130]Metric Conversions'!$B$23</definedName>
    <definedName name="DP4_Lengz" localSheetId="9" hidden="0" function="0" vbProcedure="0">'[109]Liner Job Info'!$I$25</definedName>
    <definedName name="DP4_MYS" localSheetId="9" hidden="0" function="0" vbProcedure="0">'[109]Liner Job Info'!$AD$34</definedName>
    <definedName name="DP4_OD" localSheetId="9" hidden="0" function="0" vbProcedure="0">'[130]Liner Job Info'!$C$25</definedName>
    <definedName name="DP4_Tens" localSheetId="9" hidden="0" function="0" vbProcedure="0">'[109]Liner Job Info'!$M$25</definedName>
    <definedName name="DP4_Volz" localSheetId="9" hidden="0" function="0" vbProcedure="0">'[109]Metric Conversions'!$C$73</definedName>
    <definedName name="DP4_Wt_inmud" localSheetId="9" hidden="0" function="0" vbProcedure="0">'[109]Weight Calculations'!$H$11</definedName>
    <definedName name="DP4_Wt_Per_Ft" localSheetId="9" hidden="0" function="0" vbProcedure="0">'[130]Liner Job Info'!$D$25</definedName>
    <definedName name="DP4_X_Csg_Volz" localSheetId="9" hidden="0" function="0" vbProcedure="0">'[109]Metric Conversions'!$C$88</definedName>
    <definedName name="DP5_bbl_per_ft" localSheetId="9" hidden="0" function="0" vbProcedure="0">'[109]Liner Job Info'!$AT$73</definedName>
    <definedName name="DP5_COnn" localSheetId="9" hidden="0" function="0" vbProcedure="0">'[130]Liner Job Info'!$J$26</definedName>
    <definedName name="DP5_Grd" localSheetId="9" hidden="0" function="0" vbProcedure="0">'[130]Liner Job Info'!$F$26</definedName>
    <definedName name="DP5_ID" localSheetId="9" hidden="0" function="0" vbProcedure="0">'[109]Liner Job Info'!$E$26</definedName>
    <definedName name="DP5_Leng" localSheetId="9" hidden="0" function="0" vbProcedure="0">'[130]Metric Conversions'!$B$24</definedName>
    <definedName name="DP5_Lengz" localSheetId="9" hidden="0" function="0" vbProcedure="0">'[109]Liner Job Info'!$I$26</definedName>
    <definedName name="DP5_MYS" localSheetId="9" hidden="0" function="0" vbProcedure="0">'[109]Liner Job Info'!$AD$35</definedName>
    <definedName name="DP5_OD" localSheetId="9" hidden="0" function="0" vbProcedure="0">'[130]Liner Job Info'!$C$26</definedName>
    <definedName name="DP5_Tens" localSheetId="9" hidden="0" function="0" vbProcedure="0">'[109]Liner Job Info'!$M$26</definedName>
    <definedName name="DP5_Volz" localSheetId="9" hidden="0" function="0" vbProcedure="0">'[109]Metric Conversions'!$C$74</definedName>
    <definedName name="DP5_Wt_inmud" localSheetId="9" hidden="0" function="0" vbProcedure="0">'[109]Weight Calculations'!$H$12</definedName>
    <definedName name="DP5_Wt_Per_Ft" localSheetId="9" hidden="0" function="0" vbProcedure="0">'[130]Liner Job Info'!$D$26</definedName>
    <definedName name="DP5_X_Csg_Volz" localSheetId="9" hidden="0" function="0" vbProcedure="0">'[109]Metric Conversions'!$C$89</definedName>
    <definedName name="dpdt" localSheetId="9" hidden="0" function="0" vbProcedure="0">'[136]WCT-Ft'!$Q$4:$X$18</definedName>
    <definedName name="DPi" localSheetId="9" hidden="0" function="0" vbProcedure="0">[107]Piston!$F$10</definedName>
    <definedName name="DPia" localSheetId="9" hidden="0" function="0" vbProcedure="0">[107]Balooning!$F$9</definedName>
    <definedName name="DPNumber_35" localSheetId="9" hidden="0" function="0" vbProcedure="0">'[137]DP Length'!$A$3:$A$1000</definedName>
    <definedName name="DPNumber_5" localSheetId="9" hidden="0" function="0" vbProcedure="0">'[137]DP Length'!$C$3:$C$1000</definedName>
    <definedName name="DPo" localSheetId="9" hidden="0" function="0" vbProcedure="0">[107]Piston!$F$11</definedName>
    <definedName name="DPoa" localSheetId="9" hidden="0" function="0" vbProcedure="0">[107]Balooning!$F$10</definedName>
    <definedName name="DPThread" localSheetId="9" hidden="0" function="0" vbProcedure="0">[109]DATA!$AA$44:$AA$94</definedName>
    <definedName name="DPTTL_HYD_LENTH" localSheetId="9" hidden="0" function="0" vbProcedure="0">'[109]Weight Calculations'!$F$46</definedName>
    <definedName name="DP_MYS" localSheetId="9" hidden="0" function="0" vbProcedure="0">[109]DATA!$AB$2:$AB$6</definedName>
    <definedName name="DP_Plus_Block" localSheetId="9" hidden="0" function="0" vbProcedure="0">'[109]Weight Calculations'!$H$15</definedName>
    <definedName name="DP_PSI" localSheetId="9" hidden="0" function="0" vbProcedure="0">'[109]Metric Conversions'!$B$49</definedName>
    <definedName name="DP_PSIz" localSheetId="9" hidden="0" function="0" vbProcedure="0">'[109]Liner Job Info'!$D$35</definedName>
    <definedName name="DP_SF" localSheetId="9" hidden="0" function="0" vbProcedure="0">'[109]Liner Job Info'!$R$27</definedName>
    <definedName name="drawblanks" localSheetId="9" hidden="0" function="0" vbProcedure="0">'[140]tally checklist'!drawblanks</definedName>
    <definedName name="drawlinerfirst" localSheetId="9" hidden="0" function="0" vbProcedure="0">'[140]tally checklist'!drawlinerfirst</definedName>
    <definedName name="drawlinersecond" localSheetId="9" hidden="0" function="0" vbProcedure="0">'[140]tally checklist'!drawlinersecond</definedName>
    <definedName name="drawmiscellaneous" localSheetId="9" hidden="0" function="0" vbProcedure="0">'[140]tally checklist'!drawmiscellaneous</definedName>
    <definedName name="drawproductionfirst" localSheetId="9" hidden="0" function="0" vbProcedure="0">'[140]tally checklist'!drawproductionfirst</definedName>
    <definedName name="drawproductionsecond" localSheetId="9" hidden="0" function="0" vbProcedure="0">'[140]tally checklist'!drawproductionsecond</definedName>
    <definedName name="drawquantum" localSheetId="9" hidden="0" function="0" vbProcedure="0">'[140]tally checklist'!drawquantum</definedName>
    <definedName name="drawscreens" localSheetId="9" hidden="0" function="0" vbProcedure="0">'[140]tally checklist'!drawscreens</definedName>
    <definedName name="drawshearsubs" localSheetId="9" hidden="0" function="0" vbProcedure="0">'[140]tally checklist'!drawshearsubs</definedName>
    <definedName name="drawsump" localSheetId="9" hidden="0" function="0" vbProcedure="0">'[140]tally checklist'!drawsump</definedName>
    <definedName name="draw_blanks" localSheetId="9" hidden="0" function="0" vbProcedure="0">'[140]tally checklist'!draw_blanks</definedName>
    <definedName name="draw_linerfirst" localSheetId="9" hidden="0" function="0" vbProcedure="0">'[140]tally checklist'!draw_linerfirst</definedName>
    <definedName name="draw_linersecond" localSheetId="9" hidden="0" function="0" vbProcedure="0">'[140]tally checklist'!draw_linersecond</definedName>
    <definedName name="draw_miscellaneous" localSheetId="9" hidden="0" function="0" vbProcedure="0">'[140]tally checklist'!draw_miscellaneous</definedName>
    <definedName name="draw_productionfirst" localSheetId="9" hidden="0" function="0" vbProcedure="0">'[140]tally checklist'!draw_productionfirst</definedName>
    <definedName name="draw_productionsecond" localSheetId="9" hidden="0" function="0" vbProcedure="0">'[140]tally checklist'!draw_productionsecond</definedName>
    <definedName name="draw_quantum" localSheetId="9" hidden="0" function="0" vbProcedure="0">'[140]tally checklist'!draw_quantum</definedName>
    <definedName name="draw_screens" localSheetId="9" hidden="0" function="0" vbProcedure="0">'[140]tally checklist'!draw_screens</definedName>
    <definedName name="draw_shearsubs" localSheetId="9" hidden="0" function="0" vbProcedure="0">'[140]tally checklist'!draw_shearsubs</definedName>
    <definedName name="draw_sump" localSheetId="9" hidden="0" function="0" vbProcedure="0">'[140]tally checklist'!draw_sump</definedName>
    <definedName name="DRILLER" localSheetId="9" hidden="0" function="0" vbProcedure="0">#ref!</definedName>
    <definedName name="DRILLER2" localSheetId="9" hidden="0" function="0" vbProcedure="0">[155]!Calculate_Pipe</definedName>
    <definedName name="Drillpipesize" localSheetId="9" hidden="0" function="0" vbProcedure="0">[109]DATA!$X$2:$X$10</definedName>
    <definedName name="Drillpipetype" localSheetId="9" hidden="0" function="0" vbProcedure="0">[109]DATA!$AA$2:$AA$6</definedName>
    <definedName name="Drillpipeweight" localSheetId="9" hidden="0" function="0" vbProcedure="0">[109]DATA!$Z$2:$Z$36</definedName>
    <definedName name="Druckbereich_MI" localSheetId="9" hidden="0" function="0" vbProcedure="0">'[138]Dev-Baker'!$A$1:$J$46</definedName>
    <definedName name="Druckbereich_S3" localSheetId="9" hidden="0" function="0" vbProcedure="0">'[158]run_s.xls'!#ref!</definedName>
    <definedName name="dtr" localSheetId="9" hidden="0" function="0" vbProcedure="0">'[115]Max-Torq'!$P$77</definedName>
    <definedName name="DWS" localSheetId="9" hidden="0" function="0" vbProcedure="0">'[111]DWS2023'!$A$4:$AD$257</definedName>
    <definedName name="ED" localSheetId="9" hidden="0" function="0" vbProcedure="0">[72]!Calculate_Pipe</definedName>
    <definedName name="edd" localSheetId="9" hidden="0" function="0" vbProcedure="0">[160]!Calculate_Pipe</definedName>
    <definedName name="Eff_Date" localSheetId="9" hidden="0" function="0" vbProcedure="0">'[94]Job Technical Info'!$L$3</definedName>
    <definedName name="EJYETYJEJ" localSheetId="9" hidden="0" function="0" vbProcedure="0">'[140]tally checklist'!ejyetyjej</definedName>
    <definedName name="Element_Rating" localSheetId="9" hidden="0" function="0" vbProcedure="0">'[109]Metric Conversions'!$B$57</definedName>
    <definedName name="Element_Ratingz" localSheetId="9" hidden="0" function="0" vbProcedure="0">'[109]Liner Job Info'!$P$41</definedName>
    <definedName name="equipmenttype" localSheetId="9" hidden="0" function="0" vbProcedure="0">[54]data!#ref!</definedName>
    <definedName name="error" localSheetId="9" hidden="0" function="0" vbProcedure="0">[106]Data!$F$10</definedName>
    <definedName name="ertert" localSheetId="9" hidden="0" function="0" vbProcedure="0">[164]试压!#ref!</definedName>
    <definedName name="ES_pricelist" localSheetId="9" hidden="0" function="0" vbProcedure="0">[139]Pricelist!$A$8:$B$18</definedName>
    <definedName name="ex" localSheetId="9" hidden="0" function="0" vbProcedure="0">[145]!JointNumber</definedName>
    <definedName name="Expected_Job_Date" localSheetId="9" hidden="0" function="0" vbProcedure="0">'[108]Pre-Job Info Sheet'!$D$5</definedName>
    <definedName name="Explosive_Type" localSheetId="9" hidden="0" function="0" vbProcedure="0">'[108]TCP-BHA'!$E$7</definedName>
    <definedName name="EXP_1" localSheetId="9" hidden="0" function="0" vbProcedure="0">INDEX([111]DRAW!$A$2:$B$13,MATCH([112]AUTO_DHWS!$AV$7,[111]DRAW!$A$2:$A$13,0),2)</definedName>
    <definedName name="EXT_LENGTH" localSheetId="9" hidden="0" function="0" vbProcedure="0">'[6]#ref'!#ref!</definedName>
    <definedName name="F" localSheetId="9" hidden="0" function="0" vbProcedure="0">[140]Parts!$A$1:$I$65536</definedName>
    <definedName name="FB" localSheetId="9" hidden="0" function="0" vbProcedure="0">[170]!Calculate_Pipe</definedName>
    <definedName name="fdg" localSheetId="9" hidden="0" function="0" vbProcedure="0">[119]钻井日报表!$G$7</definedName>
    <definedName name="februpees" localSheetId="9" hidden="0" function="0" vbProcedure="0">'[141]Cash Expense March-96'!$H$6</definedName>
    <definedName name="fe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9" hidden="0" function="0" vbProcedure="0">'[140]tally checklist'!fewfw</definedName>
    <definedName name="fff" localSheetId="9" hidden="0" function="0" vbProcedure="0">'[140]tally checklist'!fff</definedName>
    <definedName name="ffff" localSheetId="9" hidden="0" function="0" vbProcedure="0">[174]!Prev.Macro113</definedName>
    <definedName name="final" localSheetId="9" hidden="0" function="0" vbProcedure="0">[145]!JointNumber</definedName>
    <definedName name="FJNDEF" localSheetId="9" hidden="0" function="0" vbProcedure="0">'[140]tally checklist'!fjndef</definedName>
    <definedName name="Floatequipment" localSheetId="9" hidden="0" function="0" vbProcedure="0">[109]DATA!$AM$2:$AM$9</definedName>
    <definedName name="FluidType" localSheetId="9" hidden="0" function="0" vbProcedure="0">'[94]Job Technical Info'!$F$42</definedName>
    <definedName name="FluidWt" localSheetId="9" hidden="0" function="0" vbProcedure="0">'[94]Job Technical Info'!$H$42</definedName>
    <definedName name="Form._Pressure" localSheetId="9" hidden="0" function="0" vbProcedure="0">'[108]Pre-Job Info Sheet'!$B$33</definedName>
    <definedName name="formation" localSheetId="9" hidden="0" function="0" vbProcedure="0">[54]data!#ref!</definedName>
    <definedName name="fracgrad" localSheetId="9" hidden="0" function="0" vbProcedure="0">[5]WTR!$L$38</definedName>
    <definedName name="fracpress" localSheetId="9" hidden="0" function="0" vbProcedure="0">'[113]#REF'!$L$25</definedName>
    <definedName name="frictionpressure" localSheetId="9" hidden="0" function="0" vbProcedure="0">[106]Data!$F$8</definedName>
    <definedName name="FRONT" localSheetId="9" hidden="0" function="0" vbProcedure="0">'[142]DAILY RPT'!$A$1:$Y$67</definedName>
    <definedName name="ftormeters" localSheetId="9" hidden="0" function="0" vbProcedure="0">'[109]Metric Conversions'!$B$14</definedName>
    <definedName name="Gamma_Quadrant" localSheetId="9" hidden="0" function="0" vbProcedure="0">[129]RSS!$N$139:$N$144</definedName>
    <definedName name="gasrate" localSheetId="9" hidden="0" function="0" vbProcedure="0">'[93]well test sheet'!#ref!</definedName>
    <definedName name="gas_cumm" localSheetId="9" hidden="0" function="0" vbProcedure="0">'[93]well test sheet'!#ref!</definedName>
    <definedName name="Gauge" localSheetId="9" hidden="0" function="0" vbProcedure="0">'[7]Drop-Down Items'!$D$74:$D$92</definedName>
    <definedName name="Gaugecancel" localSheetId="9" hidden="0" function="0" vbProcedure="0">'JOB ORDER '!Gaugecancel</definedName>
    <definedName name="gaugeconok" localSheetId="9" hidden="0" function="0" vbProcedure="0">'JOB ORDER '!gaugeconok</definedName>
    <definedName name="gaugeconok2" localSheetId="9" hidden="0" function="0" vbProcedure="0">'JOB ORDER '!gaugeconok2</definedName>
    <definedName name="gaugeok" localSheetId="9" hidden="0" function="0" vbProcedure="0">'JOB ORDER '!gaugeok</definedName>
    <definedName name="gaugeok2" localSheetId="9" hidden="0" function="0" vbProcedure="0">'JOB ORDER '!gaugeok2</definedName>
    <definedName name="gaugeselect" localSheetId="9" hidden="0" function="0" vbProcedure="0">'JOB ORDER '!gaugeselect</definedName>
    <definedName name="gaugeselect2" localSheetId="9" hidden="0" function="0" vbProcedure="0">'JOB ORDER '!gaugeselect2</definedName>
    <definedName name="gdsg" localSheetId="9" hidden="1" function="0" vbProcedure="0">[103]Run!$C$16:$C$512</definedName>
    <definedName name="GFTTC" localSheetId="9" hidden="0" function="0" vbProcedure="0">[145]!JointNumber</definedName>
    <definedName name="GGGR" localSheetId="9" hidden="0" function="0" vbProcedure="0">'[140]tally checklist'!gggr</definedName>
    <definedName name="GL" localSheetId="9" hidden="0" function="0" vbProcedure="0">'[182]offset data'!#ref!</definedName>
    <definedName name="GLM" localSheetId="9" hidden="0" function="0" vbProcedure="0">[72]!Calculate_Pipe</definedName>
    <definedName name="GLM_1" localSheetId="9" hidden="0" function="0" vbProcedure="0">INDEX([111]DRAW!$A$2:$B$13,MATCH([112]AUTO_DHWS!$AV$3,[111]DRAW!$A$2:$A$13,0),2)</definedName>
    <definedName name="GLM_2" localSheetId="9" hidden="0" function="0" vbProcedure="0">INDEX([111]DRAW!$A$2:$B$13,MATCH([112]AUTO_DHWS!$AV$4,[111]DRAW!$A$2:$A$13,0),2)</definedName>
    <definedName name="GLM_3" localSheetId="9" hidden="0" function="0" vbProcedure="0">INDEX([111]DRAW!$A$2:$B$13,MATCH([112]AUTO_DHWS!$AV$5,[111]DRAW!$A$2:$A$13,0),2)</definedName>
    <definedName name="GLM_4" localSheetId="9" hidden="0" function="0" vbProcedure="0">INDEX([111]DRAW!$A$2:$B$13,MATCH([112]AUTO_DHWS!$AV$6,[111]DRAW!$A$2:$A$13,0),2)</definedName>
    <definedName name="Gmh" localSheetId="9" hidden="1" function="0" vbProcedure="0">{#N/A,#N/A,FALSE,"Sheet1"}</definedName>
    <definedName name="gor" localSheetId="9" hidden="0" function="0" vbProcedure="0">'[93]well test sheet'!#ref!</definedName>
    <definedName name="gpbreakerconc" localSheetId="9" hidden="0" function="0" vbProcedure="0">'[113]#REF'!$K$68</definedName>
    <definedName name="gpbreakertype" localSheetId="9" hidden="0" function="0" vbProcedure="0">'[113]#REF'!$K$67</definedName>
    <definedName name="gpcarriertype" localSheetId="9" hidden="0" function="0" vbProcedure="0">[5]WTR!$G$83</definedName>
    <definedName name="gpcarriervis" localSheetId="9" hidden="0" function="0" vbProcedure="0">'[113]#REF'!$K$66</definedName>
    <definedName name="gpcarriervol" localSheetId="9" hidden="0" function="0" vbProcedure="0">'[113]#REF'!$F$69</definedName>
    <definedName name="gpcarrierwt" localSheetId="9" hidden="0" function="0" vbProcedure="0">'[113]#REF'!$F$67</definedName>
    <definedName name="gpextlength" localSheetId="9" hidden="0" function="0" vbProcedure="0">'[113]#REF'!$J$15</definedName>
    <definedName name="gpextod" localSheetId="9" hidden="0" function="0" vbProcedure="0">'[113]#REF'!$F$15</definedName>
    <definedName name="gpgel" localSheetId="9" hidden="0" function="0" vbProcedure="0">'[113]#REF'!$K$65</definedName>
    <definedName name="gplbs" localSheetId="9" hidden="0" function="0" vbProcedure="0">'[113]#REF'!$F$64</definedName>
    <definedName name="gpmixratio" localSheetId="9" hidden="0" function="0" vbProcedure="0">[5]WTR!$M$81</definedName>
    <definedName name="gppumprate" localSheetId="9" hidden="0" function="0" vbProcedure="0">[5]WTR!$F$88</definedName>
    <definedName name="gpslurrydens" localSheetId="9" hidden="0" function="0" vbProcedure="0">'[113]#REF'!$F$70</definedName>
    <definedName name="GP_EXT_OD" localSheetId="9" hidden="0" function="0" vbProcedure="0">'[113]#REF'!$F$15</definedName>
    <definedName name="GP_MIX_RATIO" localSheetId="9" hidden="0" function="0" vbProcedure="0">'[113]#REF'!$K$64</definedName>
    <definedName name="GP_SLURRY_VOL" localSheetId="9" hidden="0" function="0" vbProcedure="0">'[113]#REF'!$F$69</definedName>
    <definedName name="GQGQ" localSheetId="9" hidden="0" function="0" vbProcedure="0">'[140]tally checklist'!gqgq</definedName>
    <definedName name="GQQ" localSheetId="9" hidden="0" function="0" vbProcedure="0">'[140]tally checklist'!gqq</definedName>
    <definedName name="gravelsize" localSheetId="9" hidden="0" function="0" vbProcedure="0">[5]WTR!$G$82</definedName>
    <definedName name="GRAVEL_IN_CSG." localSheetId="9" hidden="0" function="0" vbProcedure="0">'[113]#REF'!XEP1048377</definedName>
    <definedName name="GroupID" localSheetId="9" hidden="0" function="0" vbProcedure="0">[109]DATA!$Q$2:$Q$268</definedName>
    <definedName name="Group_ID" localSheetId="9" hidden="0" function="0" vbProcedure="0">[131]DATA!$Q$2:$Q$268</definedName>
    <definedName name="GRQ" localSheetId="9" hidden="0" function="0" vbProcedure="0">'[140]tally checklist'!grq</definedName>
    <definedName name="GUB24SECWELL" localSheetId="9" hidden="1" function="0" vbProcedure="0">[143]Sheet1!$A$181:$H$210</definedName>
    <definedName name="Gun_Size" localSheetId="9" hidden="0" function="0" vbProcedure="0">'[108]TCP-BHA'!$F$5</definedName>
    <definedName name="GWS" localSheetId="9" hidden="0" function="0" vbProcedure="0">'[140]tally checklist'!gws</definedName>
    <definedName name="h" localSheetId="9" hidden="0" function="0" vbProcedure="0">[144]Tally!$A$5:$H$1064</definedName>
    <definedName name="H2S" localSheetId="9" hidden="0" function="0" vbProcedure="0">'[94]Job Technical Info'!$L$41</definedName>
    <definedName name="Hangerfunction" localSheetId="9" hidden="0" function="0" vbProcedure="0">[109]DATA!$AH$2:$AH$9</definedName>
    <definedName name="Hassan" localSheetId="9" hidden="0" function="0" vbProcedure="0">[185]!Macro1</definedName>
    <definedName name="HAUL_Thread" localSheetId="9" hidden="0" function="0" vbProcedure="0">[109]DATA!$BM$22:$BM$114</definedName>
    <definedName name="hesfluid" localSheetId="9" hidden="0" function="0" vbProcedure="0">[54]data!#ref!</definedName>
    <definedName name="hgh" localSheetId="9" hidden="1" function="0" vbProcedure="0">[103]Run!$D$15:$D$512</definedName>
    <definedName name="HGR_OL_Packoff_In" localSheetId="9" hidden="0" function="0" vbProcedure="0">[109]Test!$M$36</definedName>
    <definedName name="hhp" localSheetId="9" hidden="0" function="0" vbProcedure="0">'[93]well test sheet'!#ref!</definedName>
    <definedName name="hj" localSheetId="9" hidden="0" function="0" vbProcedure="0">[187]bha!#ref!</definedName>
    <definedName name="HKWT" localSheetId="9" hidden="0" function="0" vbProcedure="0">[119]钻井日报表!$E$7</definedName>
    <definedName name="Hngr_Bst" localSheetId="9" hidden="0" function="0" vbProcedure="0">'[109]Metric Conversions'!$B$50</definedName>
    <definedName name="Hngr_Bstz" localSheetId="9" hidden="0" function="0" vbProcedure="0">'[109]Liner Job Info'!$D$39</definedName>
    <definedName name="Hngr_OL_PO_out" localSheetId="9" hidden="0" function="0" vbProcedure="0">[109]Test!$M$30</definedName>
    <definedName name="Hngr_Overload_Cmt_Setup" localSheetId="9" hidden="0" function="0" vbProcedure="0">[109]Test!$M$42</definedName>
    <definedName name="Hngr_Tens" localSheetId="9" hidden="0" function="0" vbProcedure="0">'[109]Liner Job Info'!$D$40</definedName>
    <definedName name="Hng_Cap" localSheetId="9" hidden="0" function="0" vbProcedure="0">'[109]Liner Job Info'!$D$41</definedName>
    <definedName name="holevol" localSheetId="9" hidden="0" function="0" vbProcedure="0">'[61]tool backload dt'!holevol</definedName>
    <definedName name="hpb" localSheetId="9" hidden="0" function="0" vbProcedure="0">'[93]well test sheet'!#ref!</definedName>
    <definedName name="HR_Turns" localSheetId="9" hidden="0" function="0" vbProcedure="0">'[109]Weight Calculations'!$Q$36</definedName>
    <definedName name="HTML_Control" localSheetId="9" hidden="1" function="0" vbProcedure="0">{"'Operator &amp; Well Info.'!$A$1:$F$16"}</definedName>
    <definedName name="hwdpdt" localSheetId="9" hidden="0" function="0" vbProcedure="0">'[136]WCT-Ft'!$Q$19:$X$24</definedName>
    <definedName name="hy" localSheetId="9" hidden="0" function="0" vbProcedure="0">[49]!Prev.Macro106</definedName>
    <definedName name="Hyd._Pressure" localSheetId="9" hidden="0" function="0" vbProcedure="0">'[108]Job Calculation Sheet'!$H$28</definedName>
    <definedName name="Hyd_at_TV" localSheetId="9" hidden="0" function="0" vbProcedure="0">'[108]Tester Valve Calcs'!$F$21</definedName>
    <definedName name="Hyd_Effect_Force" localSheetId="9" hidden="0" function="0" vbProcedure="0">'[109]Weight Calculations'!$F$47</definedName>
    <definedName name="Hyd_force_element" localSheetId="9" hidden="0" function="0" vbProcedure="0">[109]Test!$M$17</definedName>
    <definedName name="HyfloSeatID" localSheetId="9" hidden="0" function="0" vbProcedure="0">[109]DATA!$AY$2:$AY$4</definedName>
    <definedName name="HyfloSeatNumber" localSheetId="9" hidden="0" function="0" vbProcedure="0">[109]DATA!$AZ$2:$AZ$5</definedName>
    <definedName name="HyfloSupplier" localSheetId="9" hidden="0" function="0" vbProcedure="0">[109]DATA!$BA$2:$BA$5</definedName>
    <definedName name="idlist" localSheetId="9" hidden="0" function="0" vbProcedure="0">[106]Data!$GD$2:$GE$237</definedName>
    <definedName name="IDUnit" localSheetId="9" hidden="0" function="0" vbProcedure="0">'[94]Job Technical Info'!$F$24</definedName>
    <definedName name="impdwg" localSheetId="9" hidden="0" function="0" vbProcedure="0">[27]!impdwg</definedName>
    <definedName name="impdwg_1" localSheetId="9" hidden="0" function="0" vbProcedure="0">'JOB ORDER '!impdwg</definedName>
    <definedName name="impdwg_10" localSheetId="9" hidden="0" function="0" vbProcedure="0">'JOB ORDER '!impdwg</definedName>
    <definedName name="impdwg_11" localSheetId="9" hidden="0" function="0" vbProcedure="0">'JOB ORDER '!impdwg</definedName>
    <definedName name="impdwg_2" localSheetId="9" hidden="0" function="0" vbProcedure="0">'JOB ORDER '!impdwg</definedName>
    <definedName name="impdwg_3" localSheetId="9" hidden="0" function="0" vbProcedure="0">'JOB ORDER '!impdwg</definedName>
    <definedName name="impdwg_4" localSheetId="9" hidden="0" function="0" vbProcedure="0">'JOB ORDER '!impdwg</definedName>
    <definedName name="impdwg_5" localSheetId="9" hidden="0" function="0" vbProcedure="0">'JOB ORDER '!impdwg</definedName>
    <definedName name="impdwg_6" localSheetId="9" hidden="0" function="0" vbProcedure="0">'JOB ORDER '!impdwg</definedName>
    <definedName name="impdwg_7" localSheetId="9" hidden="0" function="0" vbProcedure="0">'JOB ORDER '!impdwg</definedName>
    <definedName name="impdwg_8" localSheetId="9" hidden="0" function="0" vbProcedure="0">'JOB ORDER '!impdwg</definedName>
    <definedName name="impdwg_9" localSheetId="9" hidden="0" function="0" vbProcedure="0">'JOB ORDER '!impdwg</definedName>
    <definedName name="Inc" localSheetId="9" hidden="0" function="0" vbProcedure="0">[119]钻井日报表!$G$8</definedName>
    <definedName name="InclinationData" localSheetId="9" hidden="0" function="0" vbProcedure="0">OFFSET([27]!Inclination,2,0,COUNT(#ref!),1)</definedName>
    <definedName name="incrementa"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9" hidden="0" function="0" vbProcedure="0">'[145]Job File Index'!$B$7</definedName>
    <definedName name="INFUSER_RATE" localSheetId="9" hidden="0" function="0" vbProcedure="0">'[113]#REF'!$F$71</definedName>
    <definedName name="INFUSER_RATE_PREPACK" localSheetId="9" hidden="0" function="0" vbProcedure="0">'[113]#REF'!$F$50</definedName>
    <definedName name="Insert_New_Page" localSheetId="9" hidden="0" function="0" vbProcedure="0">[41]!Insert_New_Page</definedName>
    <definedName name="Insert_New_Page_1" localSheetId="9" hidden="0" function="0" vbProcedure="0">[27]!Insert_New_Page</definedName>
    <definedName name="Insert_New_Page_10" localSheetId="9" hidden="0" function="0" vbProcedure="0">[27]!Insert_New_Page</definedName>
    <definedName name="Insert_New_Page_11" localSheetId="9" hidden="0" function="0" vbProcedure="0">[27]!Insert_New_Page</definedName>
    <definedName name="Insert_New_Page_2" localSheetId="9" hidden="0" function="0" vbProcedure="0">[27]!Insert_New_Page</definedName>
    <definedName name="Insert_New_Page_3" localSheetId="9" hidden="0" function="0" vbProcedure="0">[27]!Insert_New_Page</definedName>
    <definedName name="Insert_New_Page_4" localSheetId="9" hidden="0" function="0" vbProcedure="0">[27]!Insert_New_Page</definedName>
    <definedName name="Insert_New_Page_5" localSheetId="9" hidden="0" function="0" vbProcedure="0">[27]!Insert_New_Page</definedName>
    <definedName name="Insert_New_Page_6" localSheetId="9" hidden="0" function="0" vbProcedure="0">[27]!Insert_New_Page</definedName>
    <definedName name="Insert_New_Page_7" localSheetId="9" hidden="0" function="0" vbProcedure="0">[27]!Insert_New_Page</definedName>
    <definedName name="Insert_New_Page_8" localSheetId="9" hidden="0" function="0" vbProcedure="0">[27]!Insert_New_Page</definedName>
    <definedName name="Insert_New_Page_9" localSheetId="9" hidden="0" function="0" vbProcedure="0">[27]!Insert_New_Page</definedName>
    <definedName name="Inverse_Balloon_Area" localSheetId="9" hidden="0" function="0" vbProcedure="0">[109]Test!$M$19</definedName>
    <definedName name="isip" localSheetId="9" hidden="0" function="0" vbProcedure="0">[5]WTR!$G$41</definedName>
    <definedName name="Issue" localSheetId="9" hidden="0" function="0" vbProcedure="0">'[146]Title Page'!$Q$2:$Q$20</definedName>
    <definedName name="J" localSheetId="9" hidden="1" function="0" vbProcedure="0">#ref!</definedName>
    <definedName name="janrupees" localSheetId="9" hidden="0" function="0" vbProcedure="0">'[147]Cash Expense January-96'!$H$6</definedName>
    <definedName name="JEYJD" localSheetId="9" hidden="0" function="0" vbProcedure="0">'[140]tally checklist'!jeyjd</definedName>
    <definedName name="JK" localSheetId="9" hidden="0" function="0" vbProcedure="0">'[148]CSG13'!$B$5</definedName>
    <definedName name="JobCenterID" localSheetId="9" hidden="0" function="0" vbProcedure="0">'[94]Job Technical Info'!$C$10</definedName>
    <definedName name="JobEndDate" localSheetId="9" hidden="0" function="0" vbProcedure="0">'[138]job info sheet'!#ref!</definedName>
    <definedName name="JobNumber" localSheetId="9" hidden="0" function="0" vbProcedure="0">'[129]Front Page Info'!$C$4</definedName>
    <definedName name="jobpurpose1" localSheetId="9" hidden="0" function="0" vbProcedure="0">[132]Data!$L$1:$L$65536</definedName>
    <definedName name="JobType" localSheetId="9" hidden="0" function="0" vbProcedure="0">[6]Sheet1!$A$11:$A$16</definedName>
    <definedName name="Jobtype1" localSheetId="9" hidden="0" function="0" vbProcedure="0">[132]Data!$N$1:$N$65536</definedName>
    <definedName name="Job_date" localSheetId="9" hidden="0" function="0" vbProcedure="0">'[108]TCP-BHA'!$D$5</definedName>
    <definedName name="Job_Name" localSheetId="9" hidden="0" function="0" vbProcedure="0">'[30]Liner Job Info'!$E$5</definedName>
    <definedName name="Job_Type" localSheetId="9" hidden="0" function="0" vbProcedure="0">'[12]JCSI 12'!$AB$29:$AB$42</definedName>
    <definedName name="JointNumber" localSheetId="9" hidden="0" function="0" vbProcedure="0">[96]!JointNumber</definedName>
    <definedName name="JOINTNUMBER23" localSheetId="9" hidden="0" function="0" vbProcedure="0">[72]!JointNumber</definedName>
    <definedName name="JOINTNYMBER4" localSheetId="9" hidden="0" function="0" vbProcedure="0">[72]!JointNumber</definedName>
    <definedName name="JOYCE" localSheetId="9" hidden="1" function="0" vbProcedure="0">#ref!</definedName>
    <definedName name="JRJTRJT" localSheetId="9" hidden="0" function="0" vbProcedure="0">'[140]tally checklist'!jrjtrjt</definedName>
    <definedName name="JT" localSheetId="9" hidden="0" function="0" vbProcedure="0">[197]!JointNumber</definedName>
    <definedName name="JtCount" localSheetId="9" hidden="0" function="0" vbProcedure="0">'[76]casing talley'!#ref!</definedName>
    <definedName name="JTNFN" localSheetId="9" hidden="0" function="0" vbProcedure="0">'[140]tally checklist'!jtnfn</definedName>
    <definedName name="jun" localSheetId="9" hidden="1" function="0" vbProcedure="0">{#N/A,#N/A,FALSE,"Sheet1"}</definedName>
    <definedName name="June" localSheetId="9" hidden="1" function="0" vbProcedure="0">{#N/A,#N/A,FALSE,"Sheet1"}</definedName>
    <definedName name="June1" localSheetId="9" hidden="1" function="0" vbProcedure="0">{#N/A,#N/A,FALSE,"Sheet1"}</definedName>
    <definedName name="junk" localSheetId="9" hidden="0" function="0" vbProcedure="0">{#N/A,#N/A,FALSE,"Volume"}</definedName>
    <definedName name="junk1" localSheetId="9" hidden="0" function="0" vbProcedure="0">{#N/A,#N/A,FALSE,"Volume"}</definedName>
    <definedName name="junk2" localSheetId="9" hidden="0" function="0" vbProcedure="0">{#N/A,#N/A,FALSE,"Volume"}</definedName>
    <definedName name="junk3" localSheetId="9" hidden="0" function="0" vbProcedure="0">{#N/A,#N/A,FALSE,"Volume"}</definedName>
    <definedName name="junk4" localSheetId="9" hidden="0" function="0" vbProcedure="0">{#N/A,#N/A,FALSE,"Volume"}</definedName>
    <definedName name="k" localSheetId="9" hidden="1" function="0" vbProcedure="0">#ref!</definedName>
    <definedName name="Kill_Fluid_Type" localSheetId="9" hidden="0" function="0" vbProcedure="0">'[108]TCP-BHA'!$G$7</definedName>
    <definedName name="Kill_Fluid_Wt" localSheetId="9" hidden="0" function="0" vbProcedure="0">'[108]TCP-BHA'!$F$7</definedName>
    <definedName name="KK" localSheetId="9" hidden="0" function="0" vbProcedure="0">[27]!Macro1</definedName>
    <definedName name="KL" localSheetId="9" hidden="0" function="0" vbProcedure="0">[149]BHA!$C$4</definedName>
    <definedName name="KO" localSheetId="9" hidden="0" function="0" vbProcedure="0">'[148]CSG13'!$F$6</definedName>
    <definedName name="KRR" localSheetId="9" hidden="0" function="0" vbProcedure="0">'[140]tally checklist'!krr</definedName>
    <definedName name="KUYUKR" localSheetId="9" hidden="0" function="0" vbProcedure="0">'[140]tally checklist'!kuyukr</definedName>
    <definedName name="landoffshore" localSheetId="9" hidden="0" function="0" vbProcedure="0">[54]data!#ref!</definedName>
    <definedName name="LastCsgString" localSheetId="9" hidden="0" function="0" vbProcedure="0">[109]DATA!$AU$2:$AU$4</definedName>
    <definedName name="latlong" localSheetId="9" hidden="0" function="0" vbProcedure="0">'[126]Call Sheet'!$P$7</definedName>
    <definedName name="LC" localSheetId="9" hidden="0" function="0" vbProcedure="0">INDEX([111]DRAW!$J$13:$K$22,MATCH([112]AUTO_DHWS!$BC$4,[111]DRAW!$J$13:$J$22,0),2)</definedName>
    <definedName name="LCJobType" localSheetId="9" hidden="0" function="0" vbProcedure="0">'[94]Installation Results #1'!$C$306</definedName>
    <definedName name="LC_TYPE" localSheetId="9" hidden="0" function="0" vbProcedure="0">INDEX([111]DRAW!$P$68:$Q$70,MATCH([111]DRAW!$Q$67,[111]DRAW!$P$68:$P$70,0),2)</definedName>
    <definedName name="Lead_Slurry_in_12.25__OH" localSheetId="9" hidden="0" function="0" vbProcedure="0">'[150]Cmt Csg'!$C$6</definedName>
    <definedName name="lease" localSheetId="9" hidden="0" function="0" vbProcedure="0">[5]WTR!$I$6</definedName>
    <definedName name="Lease1" localSheetId="9" hidden="0" function="0" vbProcedure="0">'[108]TCP-BHA'!$A$7</definedName>
    <definedName name="Lengths" localSheetId="9"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9" hidden="0" function="0" vbProcedure="0">[125]Sheet2!$C$1:$C$5</definedName>
    <definedName name="Liner1_Burst" localSheetId="9" hidden="0" function="0" vbProcedure="0">'[109]Metric Conversions'!$B$45</definedName>
    <definedName name="Liner1_Burstz" localSheetId="9" hidden="0" function="0" vbProcedure="0">'[109]Liner Job Info'!$J$17</definedName>
    <definedName name="Liner1_Cap" localSheetId="9" hidden="0" function="0" vbProcedure="0">'[109]Liner Job Info'!$P$17</definedName>
    <definedName name="Liner1_Collapsez" localSheetId="9" hidden="0" function="0" vbProcedure="0">'[109]Liner Job Info'!$L$17</definedName>
    <definedName name="Liner1_ID" localSheetId="9" hidden="0" function="0" vbProcedure="0">'[109]Liner Job Info'!$D$17</definedName>
    <definedName name="Liner1_Length" localSheetId="9" hidden="0" function="0" vbProcedure="0">'[130]Metric Conversions'!$B$17</definedName>
    <definedName name="Liner1_Lengthz" localSheetId="9" hidden="0" function="0" vbProcedure="0">'[109]Liner Job Info'!$R$17</definedName>
    <definedName name="Liner1_OD" localSheetId="9" hidden="0" function="0" vbProcedure="0">'[130]Liner Job Info'!$C$17</definedName>
    <definedName name="Liner1_Thread" localSheetId="9" hidden="0" function="0" vbProcedure="0">'[130]Liner Job Info'!$H$17</definedName>
    <definedName name="Liner1_Wt_in_Mud" localSheetId="9" hidden="0" function="0" vbProcedure="0">'[109]Weight Calculations'!$H$16</definedName>
    <definedName name="Liner1_Wt_Per_Ft" localSheetId="9" hidden="0" function="0" vbProcedure="0">'[130]Liner Job Info'!$E$17</definedName>
    <definedName name="Liner2_Burst" localSheetId="9" hidden="0" function="0" vbProcedure="0">'[109]Metric Conversions'!$B$46</definedName>
    <definedName name="Liner2_Burstz" localSheetId="9" hidden="0" function="0" vbProcedure="0">'[109]Liner Job Info'!$J$18</definedName>
    <definedName name="Liner2_Cap" localSheetId="9" hidden="0" function="0" vbProcedure="0">'[109]Liner Job Info'!$P$18</definedName>
    <definedName name="Liner2_Collapsez" localSheetId="9" hidden="0" function="0" vbProcedure="0">'[109]Liner Job Info'!$L$18</definedName>
    <definedName name="Liner2_ID" localSheetId="9" hidden="0" function="0" vbProcedure="0">'[109]Liner Job Info'!$D$18</definedName>
    <definedName name="Liner2_Length" localSheetId="9" hidden="0" function="0" vbProcedure="0">'[130]Metric Conversions'!$B$18</definedName>
    <definedName name="Liner2_Lengthz" localSheetId="9" hidden="0" function="0" vbProcedure="0">'[109]Liner Job Info'!$R$18</definedName>
    <definedName name="Liner2_OD" localSheetId="9" hidden="0" function="0" vbProcedure="0">'[130]Liner Job Info'!$C$18</definedName>
    <definedName name="Liner2_Thread" localSheetId="9" hidden="0" function="0" vbProcedure="0">'[130]Liner Job Info'!$H$18</definedName>
    <definedName name="Liner2_Wt_in_Mud" localSheetId="9" hidden="0" function="0" vbProcedure="0">'[109]Weight Calculations'!$H$17</definedName>
    <definedName name="Liner2_Wt_Per_FT" localSheetId="9" hidden="0" function="0" vbProcedure="0">'[130]Liner Job Info'!$E$18</definedName>
    <definedName name="Linertype" localSheetId="9" hidden="0" function="0" vbProcedure="0">[109]DATA!$W$2:$W$12</definedName>
    <definedName name="Liner_I.D." localSheetId="9" hidden="0" function="0" vbProcedure="0">'[108]Job Calculation Sheet'!$F$14</definedName>
    <definedName name="Liner_ID_Area" localSheetId="9" hidden="0" function="0" vbProcedure="0">[109]Test!$V$40</definedName>
    <definedName name="Liner_Size" localSheetId="9" hidden="0" function="0" vbProcedure="0">'[108]Pre-Job Info Sheet'!$D$17</definedName>
    <definedName name="Liner_Top__MD" localSheetId="9" hidden="0" function="0" vbProcedure="0">'[108]Pre-Job Info Sheet'!$D$19</definedName>
    <definedName name="Liner_Weight" localSheetId="9" hidden="0" function="0" vbProcedure="0">'[108]Pre-Job Info Sheet'!$D$18</definedName>
    <definedName name="lkj" localSheetId="9" hidden="1" function="0" vbProcedure="0">[103]Run!$B$18:$B$512</definedName>
    <definedName name="Lnr1_Grade" localSheetId="9" hidden="0" function="0" vbProcedure="0">'[130]Liner Job Info'!$F$17</definedName>
    <definedName name="Lnr1_Vol" localSheetId="9" hidden="0" function="0" vbProcedure="0">'[109]Metric Conversions'!$B$77</definedName>
    <definedName name="Lnr1_Volz" localSheetId="9" hidden="0" function="0" vbProcedure="0">'[109]Metric Conversions'!$C$77</definedName>
    <definedName name="Lnr1_X_OH_Volz" localSheetId="9" hidden="0" function="0" vbProcedure="0">'[109]Metric Conversions'!$C$82</definedName>
    <definedName name="Lnr2_Grade" localSheetId="9" hidden="0" function="0" vbProcedure="0">'[130]Liner Job Info'!$F$18</definedName>
    <definedName name="Lnr2_Vol" localSheetId="9" hidden="0" function="0" vbProcedure="0">'[109]Metric Conversions'!$B$78</definedName>
    <definedName name="Lnr2_Volz" localSheetId="9" hidden="0" function="0" vbProcedure="0">'[109]Metric Conversions'!$C$78</definedName>
    <definedName name="Lnr2_X_OH_Volz" localSheetId="9" hidden="0" function="0" vbProcedure="0">'[109]Metric Conversions'!$C$83</definedName>
    <definedName name="LnrDrift1" localSheetId="9" hidden="0" function="0" vbProcedure="0">'[94]Job Technical Info'!$G$29</definedName>
    <definedName name="LnrDrift2" localSheetId="9" hidden="0" function="0" vbProcedure="0">'[94]Job Technical Info'!$G$30</definedName>
    <definedName name="LnrGrd1" localSheetId="9" hidden="0" function="0" vbProcedure="0">'[94]Job Technical Info'!$H$29</definedName>
    <definedName name="LnrGrd2" localSheetId="9" hidden="0" function="0" vbProcedure="0">'[94]Job Technical Info'!$H$30</definedName>
    <definedName name="LnrID1" localSheetId="9" hidden="0" function="0" vbProcedure="0">'[94]Job Technical Info'!$F$29</definedName>
    <definedName name="LnrID2" localSheetId="9" hidden="0" function="0" vbProcedure="0">'[94]Job Technical Info'!$F$30</definedName>
    <definedName name="LnrSz1" localSheetId="9" hidden="0" function="0" vbProcedure="0">'[94]Job Technical Info'!$D$29</definedName>
    <definedName name="LnrSz2" localSheetId="9" hidden="0" function="0" vbProcedure="0">'[94]Job Technical Info'!$D$30</definedName>
    <definedName name="LnrThd1" localSheetId="9" hidden="0" function="0" vbProcedure="0">'[94]Job Technical Info'!$J$29</definedName>
    <definedName name="LnrThd2" localSheetId="9" hidden="0" function="0" vbProcedure="0">'[94]Job Technical Info'!$J$30</definedName>
    <definedName name="LnrWt1" localSheetId="9" hidden="0" function="0" vbProcedure="0">'[94]Job Technical Info'!$E$29</definedName>
    <definedName name="LnrWt2" localSheetId="9" hidden="0" function="0" vbProcedure="0">'[94]Job Technical Info'!$E$30</definedName>
    <definedName name="Lnr_Shoe_Depth" localSheetId="9" hidden="0" function="0" vbProcedure="0">'[130]Metric Conversions'!$B$29</definedName>
    <definedName name="Loaded" localSheetId="9" hidden="0" function="0" vbProcedure="0">'[108]Pre-Job Info Sheet'!$B$19</definedName>
    <definedName name="Location" localSheetId="9" hidden="0" function="0" vbProcedure="0">[60]auf_screen!#ref!</definedName>
    <definedName name="LOGGER" localSheetId="9" hidden="0" function="0" vbProcedure="0">[202]!Calculate_Pipe</definedName>
    <definedName name="loudout" localSheetId="9" hidden="1" function="0" vbProcedure="0">[151]Run!$D$15:$D$512</definedName>
    <definedName name="LS" localSheetId="9" hidden="0" function="0" vbProcedure="0">'[189]amberjack a32ream'!#ref!</definedName>
    <definedName name="LSA" localSheetId="9" hidden="0" function="0" vbProcedure="0">[206]!Calculate_Pipe</definedName>
    <definedName name="LSD" localSheetId="9" hidden="0" function="0" vbProcedure="0">'[138]job info sheet'!#ref!</definedName>
    <definedName name="LTP" localSheetId="9" hidden="0" function="0" vbProcedure="0">INDEX([111]DRAW!$D$14:$E$15,MATCH([112]AUTO_DHWS!$BB$7,[111]DRAW!$D$14:$D$15,0),2)</definedName>
    <definedName name="M" localSheetId="9" hidden="1" function="0" vbProcedure="0">#ref!</definedName>
    <definedName name="Macro1" localSheetId="9" hidden="0" function="0" vbProcedure="0">[16]!Macro1</definedName>
    <definedName name="Macro112" localSheetId="9" hidden="0" function="0" vbProcedure="0">[56]!Macro59</definedName>
    <definedName name="Macro2" localSheetId="9" hidden="0" function="0" vbProcedure="0">[27]!Macro2</definedName>
    <definedName name="Macro22" localSheetId="9" hidden="0" function="0" vbProcedure="0">[27]!Macro22</definedName>
    <definedName name="Macro22_1" localSheetId="9" hidden="0" function="0" vbProcedure="0">'JOB ORDER '!Macro22</definedName>
    <definedName name="Macro22_10" localSheetId="9" hidden="0" function="0" vbProcedure="0">'JOB ORDER '!Macro22</definedName>
    <definedName name="Macro22_11" localSheetId="9" hidden="0" function="0" vbProcedure="0">'JOB ORDER '!Macro22</definedName>
    <definedName name="Macro22_2" localSheetId="9" hidden="0" function="0" vbProcedure="0">'JOB ORDER '!Macro22</definedName>
    <definedName name="Macro22_3" localSheetId="9" hidden="0" function="0" vbProcedure="0">'JOB ORDER '!Macro22</definedName>
    <definedName name="Macro22_4" localSheetId="9" hidden="0" function="0" vbProcedure="0">'JOB ORDER '!Macro22</definedName>
    <definedName name="Macro22_5" localSheetId="9" hidden="0" function="0" vbProcedure="0">'JOB ORDER '!Macro22</definedName>
    <definedName name="Macro22_6" localSheetId="9" hidden="0" function="0" vbProcedure="0">'JOB ORDER '!Macro22</definedName>
    <definedName name="Macro22_7" localSheetId="9" hidden="0" function="0" vbProcedure="0">'JOB ORDER '!Macro22</definedName>
    <definedName name="Macro22_8" localSheetId="9" hidden="0" function="0" vbProcedure="0">'JOB ORDER '!Macro22</definedName>
    <definedName name="Macro22_9" localSheetId="9" hidden="0" function="0" vbProcedure="0">'JOB ORDER '!Macro22</definedName>
    <definedName name="Macro233" localSheetId="9" hidden="0" function="0" vbProcedure="0">[27]!Macro1</definedName>
    <definedName name="Macro2_1" localSheetId="9" hidden="0" function="0" vbProcedure="0">'JOB ORDER '!Macro2</definedName>
    <definedName name="Macro2_10" localSheetId="9" hidden="0" function="0" vbProcedure="0">'JOB ORDER '!Macro2</definedName>
    <definedName name="Macro2_11" localSheetId="9" hidden="0" function="0" vbProcedure="0">'JOB ORDER '!Macro2</definedName>
    <definedName name="Macro2_2" localSheetId="9" hidden="0" function="0" vbProcedure="0">'JOB ORDER '!Macro2</definedName>
    <definedName name="Macro2_3" localSheetId="9" hidden="0" function="0" vbProcedure="0">'JOB ORDER '!Macro2</definedName>
    <definedName name="Macro2_4" localSheetId="9" hidden="0" function="0" vbProcedure="0">'JOB ORDER '!Macro2</definedName>
    <definedName name="Macro2_5" localSheetId="9" hidden="0" function="0" vbProcedure="0">'JOB ORDER '!Macro2</definedName>
    <definedName name="Macro2_6" localSheetId="9" hidden="0" function="0" vbProcedure="0">'JOB ORDER '!Macro2</definedName>
    <definedName name="Macro2_7" localSheetId="9" hidden="0" function="0" vbProcedure="0">'JOB ORDER '!Macro2</definedName>
    <definedName name="Macro2_8" localSheetId="9" hidden="0" function="0" vbProcedure="0">'JOB ORDER '!Macro2</definedName>
    <definedName name="Macro2_9" localSheetId="9" hidden="0" function="0" vbProcedure="0">'JOB ORDER '!Macro2</definedName>
    <definedName name="Macro3" localSheetId="9" hidden="0" function="0" vbProcedure="0">[27]!Macro3</definedName>
    <definedName name="Macro3_1" localSheetId="9" hidden="0" function="0" vbProcedure="0">'JOB ORDER '!Macro3</definedName>
    <definedName name="Macro3_10" localSheetId="9" hidden="0" function="0" vbProcedure="0">'JOB ORDER '!Macro3</definedName>
    <definedName name="Macro3_11" localSheetId="9" hidden="0" function="0" vbProcedure="0">'JOB ORDER '!Macro3</definedName>
    <definedName name="Macro3_2" localSheetId="9" hidden="0" function="0" vbProcedure="0">'JOB ORDER '!Macro3</definedName>
    <definedName name="Macro3_3" localSheetId="9" hidden="0" function="0" vbProcedure="0">'JOB ORDER '!Macro3</definedName>
    <definedName name="Macro3_4" localSheetId="9" hidden="0" function="0" vbProcedure="0">'JOB ORDER '!Macro3</definedName>
    <definedName name="Macro3_5" localSheetId="9" hidden="0" function="0" vbProcedure="0">'JOB ORDER '!Macro3</definedName>
    <definedName name="Macro3_6" localSheetId="9" hidden="0" function="0" vbProcedure="0">'JOB ORDER '!Macro3</definedName>
    <definedName name="Macro3_7" localSheetId="9" hidden="0" function="0" vbProcedure="0">'JOB ORDER '!Macro3</definedName>
    <definedName name="Macro3_8" localSheetId="9" hidden="0" function="0" vbProcedure="0">'JOB ORDER '!Macro3</definedName>
    <definedName name="Macro3_9" localSheetId="9" hidden="0" function="0" vbProcedure="0">'JOB ORDER '!Macro3</definedName>
    <definedName name="Make_Up_Torque_Of_Weak_Link" localSheetId="9" hidden="0" function="0" vbProcedure="0">'[109]Liner Job Info'!$P$50</definedName>
    <definedName name="MaPSDensity" localSheetId="9" hidden="0" function="0" vbProcedure="0">'[94]SetUp Tab'!$G$25</definedName>
    <definedName name="MaPSDiameter" localSheetId="9" hidden="0" function="0" vbProcedure="0">'[94]SetUp Tab'!$G$23</definedName>
    <definedName name="MaPSFlowRate" localSheetId="9" hidden="0" function="0" vbProcedure="0">'[94]SetUp Tab'!$G$26</definedName>
    <definedName name="MaPSLength" localSheetId="9" hidden="0" function="0" vbProcedure="0">'[94]SetUp Tab'!$E$23</definedName>
    <definedName name="MaPSMass" localSheetId="9" hidden="0" function="0" vbProcedure="0">[94]Lists!$BJ$3</definedName>
    <definedName name="MaPSPressure" localSheetId="9" hidden="0" function="0" vbProcedure="0">'[94]SetUp Tab'!$G$24</definedName>
    <definedName name="MaPSTemp" localSheetId="9" hidden="0" function="0" vbProcedure="0">'[94]SetUp Tab'!$E$26</definedName>
    <definedName name="MaPSWeight" localSheetId="9" hidden="0" function="0" vbProcedure="0">'[94]SetUp Tab'!$E$24</definedName>
    <definedName name="marrupees" localSheetId="9" hidden="0" function="0" vbProcedure="0">'[152]Cash Expsense March-96'!$H$6</definedName>
    <definedName name="Material" localSheetId="9" hidden="0" function="0" vbProcedure="0">[109]DATA!$I$3:$I$22</definedName>
    <definedName name="Max._Deviation" localSheetId="9" hidden="0" function="0" vbProcedure="0">'[108]Pre-Job Info Sheet'!$B$36</definedName>
    <definedName name="MaxDev" localSheetId="9" hidden="0" function="0" vbProcedure="0">'[94]Job Technical Info'!$F$41</definedName>
    <definedName name="Max_Bump_psi" localSheetId="9" hidden="0" function="0" vbProcedure="0">'[109]Metric Conversions'!$B$59</definedName>
    <definedName name="Max_Bump_psiz" localSheetId="9" hidden="0" function="0" vbProcedure="0">'[109]Metric Conversions'!$C$59</definedName>
    <definedName name="Max_Test_Cmt_Setup" localSheetId="9" hidden="0" function="0" vbProcedure="0">'[109]Metric Conversions'!$B$62</definedName>
    <definedName name="Max_Test_Cmt_Setupz" localSheetId="9" hidden="0" function="0" vbProcedure="0">'[109]Metric Conversions'!$C$62</definedName>
    <definedName name="Max_Test_Seals_In" localSheetId="9" hidden="0" function="0" vbProcedure="0">'[109]Metric Conversions'!$B$61</definedName>
    <definedName name="Max_Test_Seals_Inz" localSheetId="9" hidden="0" function="0" vbProcedure="0">'[109]Metric Conversions'!$C$61</definedName>
    <definedName name="Max_test_seals_out" localSheetId="9" hidden="0" function="0" vbProcedure="0">'[109]Metric Conversions'!$B$60</definedName>
    <definedName name="Max_test_seals_outz" localSheetId="9" hidden="0" function="0" vbProcedure="0">'[109]Metric Conversions'!$C$60</definedName>
    <definedName name="Max_Turns" localSheetId="9" hidden="0" function="0" vbProcedure="0">'[109]Weight Calculations'!$T$36</definedName>
    <definedName name="MDData" localSheetId="9" hidden="0" function="0" vbProcedure="0">OFFSET([27]!MDForInclination,2,0,COUNT(#ref!),1)</definedName>
    <definedName name="MeteringTime" localSheetId="9" hidden="0" function="0" vbProcedure="0">[109]DATA!$BG$2:$BG$42</definedName>
    <definedName name="Min._Ten_Sett_Tool_Assy" localSheetId="9" hidden="0" function="0" vbProcedure="0">'[109]Weight Calculations'!$S$60</definedName>
    <definedName name="Min_DP_Tens" localSheetId="9" hidden="0" function="0" vbProcedure="0">'[109]Weight Calculations'!$W$61</definedName>
    <definedName name="Min_Ft_Release_RH" localSheetId="9" hidden="0" function="0" vbProcedure="0">'[109]Metric Conversions'!$B$39</definedName>
    <definedName name="Min_Ft_Release_RHz" localSheetId="9" hidden="0" function="0" vbProcedure="0">'[109]Metric Conversions'!$C$39</definedName>
    <definedName name="mobile" localSheetId="9" hidden="0" function="0" vbProcedure="0">'[126]Call Sheet'!$R$5</definedName>
    <definedName name="Module1.draw_productionfirst" localSheetId="9" hidden="0" function="0" vbProcedure="0">'[140]tally checklist'!module1.draw_productionfirst</definedName>
    <definedName name="Module1.draw_productionsecond" localSheetId="9" hidden="0" function="0" vbProcedure="0">'[140]tally checklist'!module1.draw_productionsecond</definedName>
    <definedName name="Module1.impdwg" localSheetId="9" hidden="0" function="0" vbProcedure="0">[27]!Module1.impdwg</definedName>
    <definedName name="Module1.impdwg_1" localSheetId="9" hidden="0" function="0" vbProcedure="0">'JOB ORDER '!Module1.impdwg</definedName>
    <definedName name="Module1.impdwg_10" localSheetId="9" hidden="0" function="0" vbProcedure="0">'JOB ORDER '!Module1.impdwg</definedName>
    <definedName name="Module1.impdwg_11" localSheetId="9" hidden="0" function="0" vbProcedure="0">'JOB ORDER '!Module1.impdwg</definedName>
    <definedName name="Module1.impdwg_2" localSheetId="9" hidden="0" function="0" vbProcedure="0">'JOB ORDER '!Module1.impdwg</definedName>
    <definedName name="Module1.impdwg_3" localSheetId="9" hidden="0" function="0" vbProcedure="0">'JOB ORDER '!Module1.impdwg</definedName>
    <definedName name="Module1.impdwg_4" localSheetId="9" hidden="0" function="0" vbProcedure="0">'JOB ORDER '!Module1.impdwg</definedName>
    <definedName name="Module1.impdwg_5" localSheetId="9" hidden="0" function="0" vbProcedure="0">'JOB ORDER '!Module1.impdwg</definedName>
    <definedName name="Module1.impdwg_6" localSheetId="9" hidden="0" function="0" vbProcedure="0">'JOB ORDER '!Module1.impdwg</definedName>
    <definedName name="Module1.impdwg_7" localSheetId="9" hidden="0" function="0" vbProcedure="0">'JOB ORDER '!Module1.impdwg</definedName>
    <definedName name="Module1.impdwg_8" localSheetId="9" hidden="0" function="0" vbProcedure="0">'JOB ORDER '!Module1.impdwg</definedName>
    <definedName name="Module1.impdwg_9" localSheetId="9" hidden="0" function="0" vbProcedure="0">'JOB ORDER '!Module1.impdwg</definedName>
    <definedName name="Module4.drawblanks" localSheetId="9" hidden="0" function="0" vbProcedure="0">'[140]tally checklist'!module4.drawblanks</definedName>
    <definedName name="Module4.drawlinerfirst" localSheetId="9" hidden="0" function="0" vbProcedure="0">'[140]tally checklist'!module4.drawlinerfirst</definedName>
    <definedName name="Module4.drawlinersecond" localSheetId="9" hidden="0" function="0" vbProcedure="0">'[140]tally checklist'!module4.drawlinersecond</definedName>
    <definedName name="Module4.drawmiscellaneous" localSheetId="9" hidden="0" function="0" vbProcedure="0">'[140]tally checklist'!module4.drawmiscellaneous</definedName>
    <definedName name="Module4.drawproductionfirst" localSheetId="9" hidden="0" function="0" vbProcedure="0">'[140]tally checklist'!module4.drawproductionfirst</definedName>
    <definedName name="Module4.drawproductionsecond" localSheetId="9" hidden="0" function="0" vbProcedure="0">'[140]tally checklist'!module4.drawproductionsecond</definedName>
    <definedName name="Module4.drawquantum" localSheetId="9" hidden="0" function="0" vbProcedure="0">'[140]tally checklist'!module4.drawquantum</definedName>
    <definedName name="Module4.drawscreens" localSheetId="9" hidden="0" function="0" vbProcedure="0">'[140]tally checklist'!module4.drawscreens</definedName>
    <definedName name="Module4.drawshearsubs" localSheetId="9" hidden="0" function="0" vbProcedure="0">'[140]tally checklist'!module4.drawshearsubs</definedName>
    <definedName name="Module4.drawsump" localSheetId="9" hidden="0" function="0" vbProcedure="0">'[140]tally checklist'!module4.drawsump</definedName>
    <definedName name="Module4.textfive" localSheetId="9" hidden="0" function="0" vbProcedure="0">'[140]tally checklist'!module4.textfive</definedName>
    <definedName name="Module4.textfivehalf" localSheetId="9" hidden="0" function="0" vbProcedure="0">'[140]tally checklist'!module4.textfivehalf</definedName>
    <definedName name="Module4.textninefiveeightfourfirst" localSheetId="9" hidden="0" function="0" vbProcedure="0">'[140]tally checklist'!module4.textninefiveeightfourfirst</definedName>
    <definedName name="Module4.textninefiveeightfoursecond" localSheetId="9" hidden="0" function="0" vbProcedure="0">'[140]tally checklist'!module4.textninefiveeightfoursecond</definedName>
    <definedName name="Module4.textninefiveeightsixfirst" localSheetId="9" hidden="0" function="0" vbProcedure="0">'[140]tally checklist'!module4.textninefiveeightsixfirst</definedName>
    <definedName name="Module4.textninefiveeightsixsecond" localSheetId="9" hidden="0" function="0" vbProcedure="0">'[140]tally checklist'!module4.textninefiveeightsixsecond</definedName>
    <definedName name="Module4.textsevenfiveeightfour" localSheetId="9" hidden="0" function="0" vbProcedure="0">'[140]tally checklist'!module4.textsevenfiveeightfour</definedName>
    <definedName name="Module4.textsevenfiveeightthree" localSheetId="9" hidden="0" function="0" vbProcedure="0">'[140]tally checklist'!module4.textsevenfiveeightthree</definedName>
    <definedName name="Module4.textsevenfour" localSheetId="9" hidden="0" function="0" vbProcedure="0">'[140]tally checklist'!module4.textsevenfour</definedName>
    <definedName name="Module4.textseventhree" localSheetId="9" hidden="0" function="0" vbProcedure="0">'[140]tally checklist'!module4.textseventhree</definedName>
    <definedName name="Month" localSheetId="9" hidden="0" function="0" vbProcedure="0">[60]auf_screen!#ref!</definedName>
    <definedName name="MorningReport" localSheetId="9" hidden="0" function="0" vbProcedure="0">'[211]morning report'!#ref!</definedName>
    <definedName name="mr" localSheetId="9" hidden="1" function="0" vbProcedure="0">{#N/A,#N/A,FALSE,"Sheet1"}</definedName>
    <definedName name="Mudtype" localSheetId="9" hidden="0" function="0" vbProcedure="0">[109]DATA!$N$2:$N$18</definedName>
    <definedName name="Mudwt" localSheetId="9" hidden="0" function="0" vbProcedure="0">"Dialog2_Edit Box 5"</definedName>
    <definedName name="Mud_Type" localSheetId="9" hidden="0" function="0" vbProcedure="0">'[7]Drop-Down Items'!$D$4:$D$14</definedName>
    <definedName name="Mud_Wt" localSheetId="9" hidden="0" function="0" vbProcedure="0">'[130]Metric Conversions'!$B$66</definedName>
    <definedName name="Mud_Wtz" localSheetId="9" hidden="0" function="0" vbProcedure="0">'[109]Liner Job Info'!$D$31</definedName>
    <definedName name="MULE_SHOE_DEPTH" localSheetId="9" hidden="0" function="0" vbProcedure="0">'[113]#REF'!$F$182</definedName>
    <definedName name="MW" localSheetId="9" hidden="0" function="0" vbProcedure="0">#ref!,#ref!,#ref!,#ref!,#ref!</definedName>
    <definedName name="MWD" localSheetId="9" hidden="0" function="0" vbProcedure="0">[6]Sheet1!$F$10:$F$12</definedName>
    <definedName name="my" localSheetId="9" hidden="0" function="0" vbProcedure="0">[145]!JointNumber</definedName>
    <definedName name="m_choke" localSheetId="9" hidden="0" function="0" vbProcedure="0">'[93]well test sheet'!#ref!</definedName>
    <definedName name="n" localSheetId="9" hidden="0" function="0" vbProcedure="0">'[140]tally checklist'!n</definedName>
    <definedName name="N2_Precharge" localSheetId="9" hidden="0" function="0" vbProcedure="0">'[108]Tester Valve Calcs'!$F$16</definedName>
    <definedName name="N2_Press_DH" localSheetId="9" hidden="0" function="0" vbProcedure="0">'[108]Tester Valve Calcs'!$F$29</definedName>
    <definedName name="N2_Stroke" localSheetId="9" hidden="0" function="0" vbProcedure="0">'[108]Tester Valve Calcs'!$M$18</definedName>
    <definedName name="N2_Temp_DH" localSheetId="9" hidden="0" function="0" vbProcedure="0">'[108]Tester Valve Calcs'!$F$22</definedName>
    <definedName name="N2_Temp_Surf" localSheetId="9" hidden="0" function="0" vbProcedure="0">'[108]Tester Valve Calcs'!$F$17</definedName>
    <definedName name="N2_Vol_DH" localSheetId="9" hidden="0" function="0" vbProcedure="0">'[108]Tester Valve Calcs'!$F$25</definedName>
    <definedName name="N2_Vol_Surf" localSheetId="9" hidden="0" function="0" vbProcedure="0">'[108]Tester Valve Calcs'!$F$14</definedName>
    <definedName name="nb" localSheetId="9" hidden="0" function="0" vbProcedure="0">'[134]井口装置示意图-4'!$E$1:$E$65536</definedName>
    <definedName name="netperf" localSheetId="9" hidden="0" function="0" vbProcedure="0">[5]WTR!$G$33</definedName>
    <definedName name="NET_PERFS" localSheetId="9" hidden="0" function="0" vbProcedure="0">'[113]#REF'!$F$20</definedName>
    <definedName name="NewData" localSheetId="9" hidden="0" function="0" vbProcedure="0">'[132]New Contract'!$A$1:$G$65536</definedName>
    <definedName name="NewDes" localSheetId="9" hidden="0" function="0" vbProcedure="0">'[132]New Contract'!$A$1:$A$65536</definedName>
    <definedName name="newrisk" localSheetId="9" hidden="0" function="0" vbProcedure="0">[125]Sheet2!$D$1:$D$3</definedName>
    <definedName name="NextTD" localSheetId="9" hidden="0" function="0" vbProcedure="0">'[153]Lookahd EA'!$E$1:$N$3</definedName>
    <definedName name="ng"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9" hidden="0" function="0" vbProcedure="0">'[6]#ref'!#ref!</definedName>
    <definedName name="NM" localSheetId="9" hidden="0" function="0" vbProcedure="0">[16]!Macro1</definedName>
    <definedName name="No" localSheetId="9" hidden="0" function="0" vbProcedure="0">'[154]BPR LOG'!$A$1:$A$1048576</definedName>
    <definedName name="NOofTools" localSheetId="9" hidden="0" function="0" vbProcedure="0">[109]DATA!$BP$2:$BP$12</definedName>
    <definedName name="O" localSheetId="9" hidden="0" function="0" vbProcedure="0">'[155]Report Long(Esso)'!$E$4</definedName>
    <definedName name="odcasing" localSheetId="9" hidden="0" function="0" vbProcedure="0">[106]Data!$J$16</definedName>
    <definedName name="ODSizes" localSheetId="9" hidden="0" function="0" vbProcedure="0">[94]Lists!$AF$3:$AF$42</definedName>
    <definedName name="ODUnit" localSheetId="9" hidden="0" function="0" vbProcedure="0">'[94]Job Technical Info'!$D$24</definedName>
    <definedName name="odworkstring" localSheetId="9" hidden="0" function="0" vbProcedure="0">[106]Data!$W$18</definedName>
    <definedName name="office" localSheetId="9" hidden="0" function="0" vbProcedure="0">'[126]Call Sheet'!$AH$5</definedName>
    <definedName name="Offshore_Block" localSheetId="9" hidden="0" function="0" vbProcedure="0">'[108]TCP-BHA'!$A$9</definedName>
    <definedName name="ogr" localSheetId="9" hidden="0" function="0" vbProcedure="0">'[156]Test Data'!$T$8:$T$16,'[156]Test Data'!$T$18:$T$122,'[156]Test Data'!$T$132:$T$247</definedName>
    <definedName name="OHoleID" localSheetId="9" hidden="0" function="0" vbProcedure="0">'[94]Job Technical Info'!$B$40</definedName>
    <definedName name="OHoleLength" localSheetId="9" hidden="0" function="0" vbProcedure="0">'[94]Job Technical Info'!$D$40</definedName>
    <definedName name="OH_Dia" localSheetId="9" hidden="0" function="0" vbProcedure="0">'[109]Liner Job Info'!$Q$14</definedName>
    <definedName name="oilrate" localSheetId="9" hidden="0" function="0" vbProcedure="0">'[93]well test sheet'!#ref!</definedName>
    <definedName name="oil_cumm" localSheetId="9" hidden="0" function="0" vbProcedure="0">'[93]well test sheet'!#ref!</definedName>
    <definedName name="omdo"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9" hidden="0" function="0" vbProcedure="0">'[157]Initial Tally'!$G$4</definedName>
    <definedName name="onefive" localSheetId="9" hidden="0" function="0" vbProcedure="0">[54]data!#ref!</definedName>
    <definedName name="OP_1" localSheetId="9" hidden="0" function="0" vbProcedure="0">[158]Data!$F$1:$F$3</definedName>
    <definedName name="Overbalance" localSheetId="9" hidden="0" function="0" vbProcedure="0">'[108]Pre-Job Info Sheet'!$D$34</definedName>
    <definedName name="Overlap" localSheetId="9" hidden="0" function="0" vbProcedure="0">'[109]Metric Conversions'!$B$16</definedName>
    <definedName name="Overlapz" localSheetId="9" hidden="0" function="0" vbProcedure="0">'[109]Liner Job Info'!$R$14</definedName>
    <definedName name="Overlap_Volz" localSheetId="9" hidden="0" function="0" vbProcedure="0">'[109]Metric Conversions'!$C$84</definedName>
    <definedName name="P" localSheetId="9" hidden="1" function="0" vbProcedure="0">{#N/A,#N/A,FALSE,"Drlg Param Run 1-1";#N/A,#N/A,FALSE,"DDR (3)";#N/A,#N/A,FALSE,"BHA AT (1)";#N/A,#N/A,FALSE,"Downlinkbha";#N/A,#N/A,FALSE,"Job Status Report"}</definedName>
    <definedName name="PACKER" localSheetId="9" hidden="0" function="0" vbProcedure="0">INDEX([111]DRAW!$A$2:$B$13,MATCH([112]AUTO_DHWS!$AV$8,[111]DRAW!$A$2:$A$13,0),2)</definedName>
    <definedName name="PackerDepth" localSheetId="9" hidden="0" function="0" vbProcedure="0">'[76]casing talley'!#ref!</definedName>
    <definedName name="PACKER_2" localSheetId="9" hidden="0" function="0" vbProcedure="0">INDEX([111]DRAW!$D$13:$E$14,MATCH([112]AUTO_DHWS!$AV$12,[111]DRAW!$D$13:$D$14,0),2)</definedName>
    <definedName name="Packer_Rotation" localSheetId="9" hidden="0" function="0" vbProcedure="0">'[109]Liner Job Info'!$P$40</definedName>
    <definedName name="Packer_Set_In" localSheetId="9" hidden="0" function="0" vbProcedure="0">'[108]Pre-Job Info Sheet'!$D$22</definedName>
    <definedName name="PackOff" localSheetId="9" hidden="0" function="0" vbProcedure="0">[109]DATA!$AP$2:$AP$6</definedName>
    <definedName name="PackoffXDP1_Pist_Area" localSheetId="9" hidden="0" function="0" vbProcedure="0">'[109]Liner Job Info'!$AF$2</definedName>
    <definedName name="PackoffXDP2_Pist_Area" localSheetId="9" hidden="0" function="0" vbProcedure="0">'[109]Liner Job Info'!$AF$3</definedName>
    <definedName name="PackoffXDP3_Pist_Area" localSheetId="9" hidden="0" function="0" vbProcedure="0">'[109]Liner Job Info'!$AG$28</definedName>
    <definedName name="PackoffXDP4_Pist_Area" localSheetId="9" hidden="0" function="0" vbProcedure="0">'[109]Liner Job Info'!$AG$29</definedName>
    <definedName name="PackoffXDP5_Pist_Area" localSheetId="9" hidden="0" function="0" vbProcedure="0">'[109]Liner Job Info'!$AG$30</definedName>
    <definedName name="Packoff_Pist_Area" localSheetId="9" hidden="0" function="0" vbProcedure="0">'[109]Liner Job Info'!$AG$31</definedName>
    <definedName name="Packoff_Stinger_OD" localSheetId="9" hidden="0" function="0" vbProcedure="0">'[109]Liner Job Info'!$P$42</definedName>
    <definedName name="Para3" localSheetId="9" hidden="1" function="0" vbProcedure="0">{#N/A,#N/A,FALSE,"Drlg Param Run 1-1";#N/A,#N/A,FALSE,"DDR (3)";#N/A,#N/A,FALSE,"BHA AT (1)";#N/A,#N/A,FALSE,"Downlinkbha";#N/A,#N/A,FALSE,"Job Status Report"}</definedName>
    <definedName name="Parish" localSheetId="9" hidden="0" function="0" vbProcedure="0">'[108]TCP-BHA'!$C$9</definedName>
    <definedName name="Parish_County" localSheetId="9" hidden="0" function="0" vbProcedure="0">'[108]Pre-Job Info Sheet'!$D$9</definedName>
    <definedName name="PBTD" localSheetId="9" hidden="0" function="0" vbProcedure="0">'[76]casing talley'!#ref!</definedName>
    <definedName name="Pckr_Body_Bst" localSheetId="9" hidden="0" function="0" vbProcedure="0">'[109]Metric Conversions'!$B$52</definedName>
    <definedName name="Pckr_Body_Bstz" localSheetId="9" hidden="0" function="0" vbProcedure="0">'[109]Liner Job Info'!$P$32</definedName>
    <definedName name="Pckr_Body_Collz" localSheetId="9" hidden="0" function="0" vbProcedure="0">'[109]Liner Job Info'!$P$33</definedName>
    <definedName name="Pckr_Body_Tens" localSheetId="9" hidden="0" function="0" vbProcedure="0">'[109]Liner Job Info'!$P$34</definedName>
    <definedName name="Pckr_Seal_Surf_OD" localSheetId="9" hidden="0" function="0" vbProcedure="0">'[109]Liner Job Info'!$P$31</definedName>
    <definedName name="Pckr_Sett_Force" localSheetId="9" hidden="0" function="0" vbProcedure="0">'[109]Liner Job Info'!$P$39</definedName>
    <definedName name="PDHG_2" localSheetId="9" hidden="0" function="0" vbProcedure="0">INDEX([111]DRAW!$A$2:$B$13,MATCH([112]AUTO_DHWS!$AV$13,[111]DRAW!$A$2:$A$13,0),2)</definedName>
    <definedName name="PD_SOFTWARE" localSheetId="9" hidden="0" function="0" vbProcedure="0">[129]RSS!$J$148:$J$152</definedName>
    <definedName name="PD_STAB" localSheetId="9" hidden="0" function="0" vbProcedure="0">[129]RSS!$R$131:$R$160</definedName>
    <definedName name="PEIGHT_TOTAL" localSheetId="9" hidden="0" function="0" vbProcedure="0">[234]index!#ref!</definedName>
    <definedName name="Perf._Interval" localSheetId="9" hidden="0" function="0" vbProcedure="0">'[108]Pre-Job Info Sheet'!$B$17</definedName>
    <definedName name="Perf._Interval_2" localSheetId="9" hidden="0" function="0" vbProcedure="0">'[108]Pre-Job Info Sheet'!$B$18</definedName>
    <definedName name="perfbottom" localSheetId="9" hidden="0" function="0" vbProcedure="0">[5]WTR!$I$32</definedName>
    <definedName name="PerfDepth" localSheetId="9" hidden="0" function="0" vbProcedure="0">'[76]casing talley'!#ref!</definedName>
    <definedName name="perftop" localSheetId="9" hidden="0" function="0" vbProcedure="0">[5]WTR!$G$32</definedName>
    <definedName name="PERF_BOTTOM" localSheetId="9" hidden="0" function="0" vbProcedure="0">'[113]#REF'!$H$19</definedName>
    <definedName name="PERF_SLURRY" localSheetId="9" hidden="0" function="0" vbProcedure="0">'[113]#REF'!$H$198</definedName>
    <definedName name="PERF_TOP" localSheetId="9" hidden="0" function="0" vbProcedure="0">'[113]#REF'!$F$19</definedName>
    <definedName name="PERF_VOL" localSheetId="9" hidden="0" function="0" vbProcedure="0">'[113]#REF'!$J$12</definedName>
    <definedName name="perm" localSheetId="9" hidden="0" function="0" vbProcedure="0">[106]Data!$G$56</definedName>
    <definedName name="perm1" localSheetId="9" hidden="0" function="0" vbProcedure="0">[106]Data!$G$57</definedName>
    <definedName name="Personnel1" localSheetId="9" hidden="0" function="0" vbProcedure="0">[132]Data!$P$1:$P$65536</definedName>
    <definedName name="Perv.Macro140" localSheetId="9" hidden="0" function="0" vbProcedure="0">[49]!Prev.Macro102</definedName>
    <definedName name="PFIVE_TOTAL" localSheetId="9" hidden="0" function="0" vbProcedure="0">[234]index!#ref!</definedName>
    <definedName name="PFOUR_TOTAL" localSheetId="9" hidden="0" function="0" vbProcedure="0">[234]index!#ref!</definedName>
    <definedName name="Phasing" localSheetId="9" hidden="0" function="0" vbProcedure="0">'[108]Pre-Job Info Sheet'!$B$23</definedName>
    <definedName name="Phone" localSheetId="9" hidden="0" function="0" vbProcedure="0">'[117]Well Installation Drawing'!$K$11</definedName>
    <definedName name="pick1_958x475_system" localSheetId="9" hidden="0" function="0" vbProcedure="0">'[140]tally checklist'!pick1_958x475_system</definedName>
    <definedName name="pick1_958x6_system" localSheetId="9" hidden="0" function="0" vbProcedure="0">'[140]tally checklist'!pick1_958x6_system</definedName>
    <definedName name="pick1_production" localSheetId="9" hidden="0" function="0" vbProcedure="0">'[140]tally checklist'!pick1_production</definedName>
    <definedName name="pick2_958x475_system" localSheetId="9" hidden="0" function="0" vbProcedure="0">'[140]tally checklist'!pick2_958x475_system</definedName>
    <definedName name="pick2_958x6_system" localSheetId="9" hidden="0" function="0" vbProcedure="0">'[140]tally checklist'!pick2_958x6_system</definedName>
    <definedName name="pick2_production" localSheetId="9" hidden="0" function="0" vbProcedure="0">'[140]tally checklist'!pick2_production</definedName>
    <definedName name="pick_512_system" localSheetId="9" hidden="0" function="0" vbProcedure="0">'[140]tally checklist'!pick_512_system</definedName>
    <definedName name="pick_5_system" localSheetId="9" hidden="0" function="0" vbProcedure="0">'[140]tally checklist'!pick_5_system</definedName>
    <definedName name="pick_758x314_system" localSheetId="9" hidden="0" function="0" vbProcedure="0">'[140]tally checklist'!pick_758x314_system</definedName>
    <definedName name="pick_758x4_system" localSheetId="9" hidden="0" function="0" vbProcedure="0">'[140]tally checklist'!pick_758x4_system</definedName>
    <definedName name="pick_7x314_system" localSheetId="9" hidden="0" function="0" vbProcedure="0">'[140]tally checklist'!pick_7x314_system</definedName>
    <definedName name="pick_7x4_system" localSheetId="9" hidden="0" function="0" vbProcedure="0">'[140]tally checklist'!pick_7x4_system</definedName>
    <definedName name="pick_blanks" localSheetId="9" hidden="0" function="0" vbProcedure="0">'[140]tally checklist'!pick_blanks</definedName>
    <definedName name="pick_liner" localSheetId="9" hidden="0" function="0" vbProcedure="0">'[140]tally checklist'!pick_liner</definedName>
    <definedName name="pick_liner2" localSheetId="9" hidden="0" function="0" vbProcedure="0">'[140]tally checklist'!pick_liner2</definedName>
    <definedName name="pick_miscellaneous" localSheetId="9" hidden="0" function="0" vbProcedure="0">'[140]tally checklist'!pick_miscellaneous</definedName>
    <definedName name="pick_quantum" localSheetId="9" hidden="0" function="0" vbProcedure="0">'[140]tally checklist'!pick_quantum</definedName>
    <definedName name="pick_screens" localSheetId="9" hidden="0" function="0" vbProcedure="0">'[140]tally checklist'!pick_screens</definedName>
    <definedName name="pick_shearsubs" localSheetId="9" hidden="0" function="0" vbProcedure="0">'[140]tally checklist'!pick_shearsubs</definedName>
    <definedName name="pick_sump" localSheetId="9" hidden="0" function="0" vbProcedure="0">'[140]tally checklist'!pick_sump</definedName>
    <definedName name="Pilot" localSheetId="9" hidden="0" function="0" vbProcedure="0">[235]!'[module4 formula].macro1'</definedName>
    <definedName name="PistArea_Packoff_to_DP_OD" localSheetId="9" hidden="0" function="0" vbProcedure="0">[109]Test!$M$16</definedName>
    <definedName name="Piston_Disp" localSheetId="9" hidden="0" function="0" vbProcedure="0">'[108]Tester Valve Calcs'!$M$16</definedName>
    <definedName name="Pist_Area_Csg_ID_to_DP1_OD" localSheetId="9" hidden="0" function="0" vbProcedure="0">[109]Test!$U$26</definedName>
    <definedName name="Pist_Area_Csg_ID_to_DP2_OD" localSheetId="9" hidden="0" function="0" vbProcedure="0">[109]Test!$U$27</definedName>
    <definedName name="Pist_Area_Csg_ID_to_DP3_OD" localSheetId="9" hidden="0" function="0" vbProcedure="0">[109]Test!$U$28</definedName>
    <definedName name="Pist_Area_Csg_ID_to_DP4_OD" localSheetId="9" hidden="0" function="0" vbProcedure="0">[109]Test!$U$29</definedName>
    <definedName name="Pist_Area_Csg_ID_to_DP5_OD" localSheetId="9" hidden="0" function="0" vbProcedure="0">[109]Test!$U$30</definedName>
    <definedName name="Pist_Area_from_CsgID_to_Packoff_OD" localSheetId="9" hidden="0" function="0" vbProcedure="0">[109]Test!$M$14</definedName>
    <definedName name="Pist_Area_PackoffOD_DP2_OD" localSheetId="9" hidden="0" function="0" vbProcedure="0">[109]Test!$Y$27</definedName>
    <definedName name="Pist_Area_PackoffOD_DP4_OD" localSheetId="9" hidden="0" function="0" vbProcedure="0">[109]Test!$Y$29</definedName>
    <definedName name="Pist_Area_PackoffOD_DP5_OD" localSheetId="9" hidden="0" function="0" vbProcedure="0">[109]Test!$Y$30</definedName>
    <definedName name="Pist_Area_PackoffOD_to_DP1_OD" localSheetId="9" hidden="0" function="0" vbProcedure="0">[109]Test!$Y$26</definedName>
    <definedName name="Pist_Area_PackoffOD_to_DP3_OD" localSheetId="9" hidden="0" function="0" vbProcedure="0">[109]Test!$Y$28</definedName>
    <definedName name="plotm" localSheetId="9" hidden="0" function="0" vbProcedure="0">'[61]tool backload dt'!plotm</definedName>
    <definedName name="PlugMethod" localSheetId="9" hidden="0" function="0" vbProcedure="0">[109]DATA!$BI$2:$BI$6</definedName>
    <definedName name="Plugs" localSheetId="9" hidden="0" function="0" vbProcedure="0">[109]DATA!$AL$2:$AL$13</definedName>
    <definedName name="Plug_Bmp_Hngr_Ovr_Ld" localSheetId="9" hidden="0" function="0" vbProcedure="0">[109]Test!$M$25</definedName>
    <definedName name="Plug_Bmp_psi_wo_DP" localSheetId="9" hidden="0" function="0" vbProcedure="0">[109]Test!$M$23</definedName>
    <definedName name="Plug_Bmp_psi_w_DP" localSheetId="9" hidden="0" function="0" vbProcedure="0">[109]Test!$M$24</definedName>
    <definedName name="Plug_Press_Rating" localSheetId="9" hidden="0" function="0" vbProcedure="0">'[109]Metric Conversions'!$B$51</definedName>
    <definedName name="Plug_Press_Ratingz" localSheetId="9" hidden="0" function="0" vbProcedure="0">'[109]Liner Job Info'!$D$43</definedName>
    <definedName name="Plug_Temp_Rating" localSheetId="9" hidden="0" function="0" vbProcedure="0">'[109]Liner Job Info'!$D$44</definedName>
    <definedName name="PNINE_TOTAL" localSheetId="9" hidden="0" function="0" vbProcedure="0">[234]index!#ref!</definedName>
    <definedName name="po" localSheetId="9" hidden="0" function="0" vbProcedure="0">[159]Drillers!$O$20</definedName>
    <definedName name="Ported_Sub" localSheetId="9" hidden="0" function="0" vbProcedure="0">'[108]TCP-BHA'!$H$30</definedName>
    <definedName name="Pos_of_Ball" localSheetId="9" hidden="0" function="0" vbProcedure="0">'[108]Tester Valve Calcs'!$F$12</definedName>
    <definedName name="PoundConversion" localSheetId="9" hidden="0" function="0" vbProcedure="0">[94]Lists!$AD$4</definedName>
    <definedName name="POWERV_TO" localSheetId="9" hidden="0" function="0" vbProcedure="0">[129]RSS!$A$206</definedName>
    <definedName name="ppgsggcc" localSheetId="9" hidden="0" function="0" vbProcedure="0">'[109]Metric Conversions'!$B$65</definedName>
    <definedName name="pph" localSheetId="9" hidden="0" function="0" vbProcedure="0">[40]!Calculate_Pipe</definedName>
    <definedName name="pre.Macro220" localSheetId="9" hidden="0" function="0" vbProcedure="0">[49]!Prev.Macro110</definedName>
    <definedName name="pregpstim" localSheetId="9" hidden="0" function="0" vbProcedure="0">[5]WTR!$G$48</definedName>
    <definedName name="PREPACK_MIX_RATIO" localSheetId="9" hidden="0" function="0" vbProcedure="0">'[113]#REF'!$K$44</definedName>
    <definedName name="pressure1" localSheetId="9" hidden="0" function="0" vbProcedure="0">[106]Data!$C$2</definedName>
    <definedName name="pressure10" localSheetId="9" hidden="0" function="0" vbProcedure="0">[106]Data!$C$11</definedName>
    <definedName name="pressure2" localSheetId="9" hidden="0" function="0" vbProcedure="0">[106]Data!$C$3</definedName>
    <definedName name="pressure3" localSheetId="9" hidden="0" function="0" vbProcedure="0">[106]Data!$C$4</definedName>
    <definedName name="pressure4" localSheetId="9" hidden="0" function="0" vbProcedure="0">[106]Data!$C$5</definedName>
    <definedName name="pressure5" localSheetId="9" hidden="0" function="0" vbProcedure="0">[106]Data!$C$6</definedName>
    <definedName name="pressure6" localSheetId="9" hidden="0" function="0" vbProcedure="0">[106]Data!$C$7</definedName>
    <definedName name="pressure7" localSheetId="9" hidden="0" function="0" vbProcedure="0">[106]Data!$C$8</definedName>
    <definedName name="pressure8" localSheetId="9" hidden="0" function="0" vbProcedure="0">[106]Data!$C$9</definedName>
    <definedName name="pressure9" localSheetId="9" hidden="0" function="0" vbProcedure="0">[106]Data!$C$10</definedName>
    <definedName name="pressurea" localSheetId="9" hidden="0" function="0" vbProcedure="0">[106]Data!$D$2</definedName>
    <definedName name="pressureb" localSheetId="9" hidden="0" function="0" vbProcedure="0">[106]Data!$D$3</definedName>
    <definedName name="pressurec" localSheetId="9" hidden="0" function="0" vbProcedure="0">[106]Data!$D$4</definedName>
    <definedName name="pressured" localSheetId="9" hidden="0" function="0" vbProcedure="0">[106]Data!$D$5</definedName>
    <definedName name="pressuree" localSheetId="9" hidden="0" function="0" vbProcedure="0">[106]Data!$D$6</definedName>
    <definedName name="pressuref" localSheetId="9" hidden="0" function="0" vbProcedure="0">[106]Data!$D$7</definedName>
    <definedName name="pressureg" localSheetId="9" hidden="0" function="0" vbProcedure="0">[106]Data!$D$8</definedName>
    <definedName name="pressureh" localSheetId="9" hidden="0" function="0" vbProcedure="0">[106]Data!$D$9</definedName>
    <definedName name="pressurei" localSheetId="9" hidden="0" function="0" vbProcedure="0">[106]Data!$D$10</definedName>
    <definedName name="pressurej" localSheetId="9" hidden="0" function="0" vbProcedure="0">[106]Data!$D$11</definedName>
    <definedName name="Pressures" localSheetId="9" hidden="0" function="0" vbProcedure="0">'[116]Kill Sheet - Horizontal'!$W$27,'[116]Kill Sheet - Horizontal'!$W$31,'[116]Kill Sheet - Horizontal'!$W$32</definedName>
    <definedName name="prev.Macro150" localSheetId="9" hidden="0" function="0" vbProcedure="0">[49]!Prev.Macro122</definedName>
    <definedName name="prev.Macro200" localSheetId="9" hidden="0" function="0" vbProcedure="0">[49]!Prev.Macro128</definedName>
    <definedName name="Prev.Macro242" localSheetId="9" hidden="0" function="0" vbProcedure="0">[49]!Prev.Macro106</definedName>
    <definedName name="pricelist" localSheetId="9" hidden="0" function="0" vbProcedure="0">[139]Pricelist!$A$8:$B$11</definedName>
    <definedName name="print" localSheetId="9" hidden="0" function="0" vbProcedure="0">'[160]2003 SSWE LINE ITEMS'!$A$1:$V$302</definedName>
    <definedName name="PRODPKR" localSheetId="9" hidden="0" function="0" vbProcedure="0">INDEX([78]PKR!$A$2:$B$15,MATCH([78]INPUT!$H$37,[78]PKR!$A$2:$A$15,0),2)</definedName>
    <definedName name="production" localSheetId="9" hidden="0" function="0" vbProcedure="0">[162]WTR!$L$6</definedName>
    <definedName name="Production_History_by_Well" localSheetId="9" hidden="0" function="0" vbProcedure="0">'[243]neb-wells'!#ref!</definedName>
    <definedName name="profitcntr1" localSheetId="9" hidden="0" function="0" vbProcedure="0">[132]Data!$I$1:$I$65536</definedName>
    <definedName name="Project" localSheetId="9" hidden="0" function="0" vbProcedure="0">'[94]Job Technical Info'!$G$12</definedName>
    <definedName name="ProppantName" localSheetId="9" hidden="0" function="0" vbProcedure="0">'[94]Installation Results #1'!$B$326</definedName>
    <definedName name="PSEVEN_TOTAL" localSheetId="9" hidden="0" function="0" vbProcedure="0">[234]index!#ref!</definedName>
    <definedName name="PSI" localSheetId="9" hidden="0" function="0" vbProcedure="0">'[75]tester valve calcs'!#ref!</definedName>
    <definedName name="psia_array" localSheetId="9" hidden="0" function="0" vbProcedure="0">{"HMR","HMR-GT","ZI Probe","Spartek","Omega SP"}</definedName>
    <definedName name="psibarkpa" localSheetId="9" hidden="0" function="0" vbProcedure="0">'[109]Metric Conversions'!$B$42</definedName>
    <definedName name="psig_array" localSheetId="9" hidden="0" function="0" vbProcedure="0">{"RPG-3","RPG-4"}</definedName>
    <definedName name="PSIX_TOTAL" localSheetId="9" hidden="0" function="0" vbProcedure="0">[234]index!#ref!</definedName>
    <definedName name="psl" localSheetId="9" hidden="0" function="0" vbProcedure="0">[54]data!#ref!</definedName>
    <definedName name="Pstn_Force_Actual" localSheetId="9" hidden="0" function="0" vbProcedure="0">'[109]Weight Calculations'!$H$26</definedName>
    <definedName name="PS_pricelist" localSheetId="9" hidden="0" function="0" vbProcedure="0">[139]Pricelist!$A$22:$B$35</definedName>
    <definedName name="ptdtr" localSheetId="9" hidden="0" function="0" vbProcedure="0">'[115]Max-Torq'!$P$71</definedName>
    <definedName name="PTHREE_TOTAL" localSheetId="9" hidden="0" function="0" vbProcedure="0">[234]index!#ref!</definedName>
    <definedName name="PTWO_TOTAL" localSheetId="9" hidden="0" function="0" vbProcedure="0">[234]index!#ref!</definedName>
    <definedName name="PU_Dogs" localSheetId="9" hidden="0" function="0" vbProcedure="0">'[109]Metric Conversions'!$B$25</definedName>
    <definedName name="PU_Dogsz" localSheetId="9" hidden="0" function="0" vbProcedure="0">'[109]Liner Job Info'!$P$47</definedName>
    <definedName name="PU_Packoffz" localSheetId="9" hidden="0" function="0" vbProcedure="0">'[109]Liner Job Info'!$P$48</definedName>
    <definedName name="pv" localSheetId="9" hidden="0" function="0" vbProcedure="0">'[7]Drop-Down Items'!$R$7:$R$9</definedName>
    <definedName name="q" localSheetId="9" hidden="0" function="0" vbProcedure="0">'[88]Report Long(Esso)'!$E$2</definedName>
    <definedName name="qewadc" localSheetId="9" hidden="0" function="0" vbProcedure="0">[246]!Calculate_Pipe</definedName>
    <definedName name="QPNum" localSheetId="9" hidden="0" function="0" vbProcedure="0">'[94]Job Technical Info'!$K$11</definedName>
    <definedName name="qqq" localSheetId="9" hidden="1" function="0" vbProcedure="0">{#N/A,#N/A,FALSE,"Drlg Param Run 1-1";#N/A,#N/A,FALSE,"DDR (3)";#N/A,#N/A,FALSE,"BHA AT (1)";#N/A,#N/A,FALSE,"Downlinkbha";#N/A,#N/A,FALSE,"Job Status Report"}</definedName>
    <definedName name="quantum" localSheetId="9" hidden="0" function="0" vbProcedure="0">'[140]tally checklist'!quantum</definedName>
    <definedName name="Range1" localSheetId="9" hidden="0" function="0" vbProcedure="0">OFFSET([249]sheet1!$e$5, 1, 0,[249]sheet1!$e$2,1)</definedName>
    <definedName name="rate" localSheetId="9" hidden="0" function="0" vbProcedure="0">[106]Data!$F$7</definedName>
    <definedName name="rate1" localSheetId="9" hidden="0" function="0" vbProcedure="0">[106]Data!$A$2</definedName>
    <definedName name="rate10" localSheetId="9" hidden="0" function="0" vbProcedure="0">[106]Data!$A$11</definedName>
    <definedName name="rate2" localSheetId="9" hidden="0" function="0" vbProcedure="0">[106]Data!$A$3</definedName>
    <definedName name="rate3" localSheetId="9" hidden="0" function="0" vbProcedure="0">[106]Data!$A$4</definedName>
    <definedName name="rate4" localSheetId="9" hidden="0" function="0" vbProcedure="0">[106]Data!$A$5</definedName>
    <definedName name="rate5" localSheetId="9" hidden="0" function="0" vbProcedure="0">[106]Data!$A$6</definedName>
    <definedName name="rate6" localSheetId="9" hidden="0" function="0" vbProcedure="0">[106]Data!$A$7</definedName>
    <definedName name="rate7" localSheetId="9" hidden="0" function="0" vbProcedure="0">[106]Data!$A$8</definedName>
    <definedName name="rate8" localSheetId="9" hidden="0" function="0" vbProcedure="0">[106]Data!$A$9</definedName>
    <definedName name="rate9" localSheetId="9" hidden="0" function="0" vbProcedure="0">[106]Data!$A$10</definedName>
    <definedName name="raw_tally_lower" localSheetId="9" hidden="0" function="0" vbProcedure="0">'[164]2B Raw Rig Tally'!$B$13:$D$501</definedName>
    <definedName name="raw_tally_upper" localSheetId="9" hidden="0" function="0" vbProcedure="0">'[164]2B Raw Rig Tally'!$F$13:$H$501</definedName>
    <definedName name="Reasons" localSheetId="9" hidden="0" function="0" vbProcedure="0">'[146]Title Page'!$O$2:$O$23</definedName>
    <definedName name="Recalc" localSheetId="9" hidden="0" function="0" vbProcedure="0">[115]!Recalc</definedName>
    <definedName name="Region" localSheetId="9" hidden="0" function="0" vbProcedure="0">'[94]SetUp Tab'!$D$15</definedName>
    <definedName name="Regions" localSheetId="9" hidden="0" function="0" vbProcedure="0">[18]Criteria!$B$2:$B$11</definedName>
    <definedName name="Rem_DP1_Tens" localSheetId="9" hidden="0" function="0" vbProcedure="0">'[109]Weight Calculations'!$W$53</definedName>
    <definedName name="Rem_DP2_Tens" localSheetId="9" hidden="0" function="0" vbProcedure="0">'[109]Weight Calculations'!$W$54</definedName>
    <definedName name="Rem_DP3_Tens" localSheetId="9" hidden="0" function="0" vbProcedure="0">'[109]Weight Calculations'!$W$55</definedName>
    <definedName name="Rem_DP4_Tens" localSheetId="9" hidden="0" function="0" vbProcedure="0">'[109]Weight Calculations'!$W$59</definedName>
    <definedName name="Rem_DP5_Tens" localSheetId="9" hidden="0" function="0" vbProcedure="0">'[109]Weight Calculations'!$W$60</definedName>
    <definedName name="Rentalequipment" localSheetId="9" hidden="0" function="0" vbProcedure="0">[109]DATA!$R$2:$R$79</definedName>
    <definedName name="Rental_Tool_ID" localSheetId="9" hidden="0" function="0" vbProcedure="0">[109]DATA!$S$2:$S$79</definedName>
    <definedName name="RESE" localSheetId="9" hidden="0" function="0" vbProcedure="0">'[140]tally checklist'!rese</definedName>
    <definedName name="reservoir15" localSheetId="9" hidden="0" function="0" vbProcedure="0">'[70]geological prognosis'!#ref!</definedName>
    <definedName name="reservoir16" localSheetId="9" hidden="0" function="0" vbProcedure="0">'[70]geological prognosis'!#ref!</definedName>
    <definedName name="reservoir17" localSheetId="9" hidden="0" function="0" vbProcedure="0">'[70]geological prognosis'!#ref!</definedName>
    <definedName name="reservoir18" localSheetId="9" hidden="0" function="0" vbProcedure="0">'[70]geological prognosis'!#ref!</definedName>
    <definedName name="reservoir19" localSheetId="9" hidden="0" function="0" vbProcedure="0">'[70]geological prognosis'!#ref!</definedName>
    <definedName name="reservoir20" localSheetId="9" hidden="0" function="0" vbProcedure="0">'[70]geological prognosis'!#ref!</definedName>
    <definedName name="reservoir21" localSheetId="9" hidden="0" function="0" vbProcedure="0">'[70]geological prognosis'!#ref!</definedName>
    <definedName name="reservoir22" localSheetId="9" hidden="0" function="0" vbProcedure="0">'[70]geological prognosis'!#ref!</definedName>
    <definedName name="reservoir23" localSheetId="9" hidden="0" function="0" vbProcedure="0">'[70]geological prognosis'!#ref!</definedName>
    <definedName name="reservoir24" localSheetId="9" hidden="0" function="0" vbProcedure="0">'[70]geological prognosis'!#ref!</definedName>
    <definedName name="reservoir25" localSheetId="9" hidden="0" function="0" vbProcedure="0">'[70]geological prognosis'!#ref!</definedName>
    <definedName name="reservoir26" localSheetId="9" hidden="0" function="0" vbProcedure="0">'[70]geological prognosis'!#ref!</definedName>
    <definedName name="reservoir27" localSheetId="9" hidden="0" function="0" vbProcedure="0">'[70]geological prognosis'!#ref!</definedName>
    <definedName name="reservoir28" localSheetId="9" hidden="0" function="0" vbProcedure="0">'[70]geological prognosis'!#ref!</definedName>
    <definedName name="reservoir29" localSheetId="9" hidden="0" function="0" vbProcedure="0">'[70]geological prognosis'!#ref!</definedName>
    <definedName name="resrevoir09" localSheetId="9" hidden="0" function="0" vbProcedure="0">'[70]geological prognosis'!#ref!</definedName>
    <definedName name="resrevoir10" localSheetId="9" hidden="0" function="0" vbProcedure="0">'[70]geological prognosis'!#ref!</definedName>
    <definedName name="resrevoir12" localSheetId="9" hidden="0" function="0" vbProcedure="0">'[70]geological prognosis'!#ref!</definedName>
    <definedName name="resrevoir13" localSheetId="9" hidden="0" function="0" vbProcedure="0">'[70]geological prognosis'!#ref!</definedName>
    <definedName name="resrevoir14" localSheetId="9" hidden="0" function="0" vbProcedure="0">'[70]geological prognosis'!#ref!</definedName>
    <definedName name="ret" localSheetId="9" hidden="0" function="0" vbProcedure="0">[119]钻井日报表!$G$3</definedName>
    <definedName name="Rev_XX" localSheetId="9" hidden="0" function="0" vbProcedure="0">'[94]Job Technical Info'!$L$4</definedName>
    <definedName name="rhstretchz" localSheetId="9" hidden="0" function="0" vbProcedure="0">'[109]Metric Conversions'!$C$38</definedName>
    <definedName name="RH_SHEAR" localSheetId="9" hidden="0" function="0" vbProcedure="0">'[109]Weight Calculations'!$H$21</definedName>
    <definedName name="RH_SHEAR_LNGTH" localSheetId="9" hidden="0" function="0" vbProcedure="0">'[109]Metric Conversions'!$B$37</definedName>
    <definedName name="RH_SHEAR_LNGTHz" localSheetId="9" hidden="0" function="0" vbProcedure="0">'[109]Metric Conversions'!$C$37</definedName>
    <definedName name="Rig" localSheetId="9" hidden="0" function="0" vbProcedure="0">'[130]Liner Job Info'!$E$8</definedName>
    <definedName name="rigcontractor1" localSheetId="9" hidden="0" function="0" vbProcedure="0">[132]Data!$G$1:$G$65536</definedName>
    <definedName name="Rigname1" localSheetId="9" hidden="0" function="0" vbProcedure="0">[132]Data!$E$1:$E$65536</definedName>
    <definedName name="RigPh" localSheetId="9" hidden="0" function="0" vbProcedure="0">'[94]Job Technical Info'!$G$17</definedName>
    <definedName name="Rig_Name" localSheetId="9" hidden="0" function="0" vbProcedure="0">'[108]Pre-Job Info Sheet'!$D$11</definedName>
    <definedName name="Rig_Output" localSheetId="9" hidden="0" function="0" vbProcedure="0">'[109]Displacement Cal.'!$G$7</definedName>
    <definedName name="RI_LC_Z2_ANSWERS_SCPacker1" localSheetId="9" hidden="0" function="0" vbProcedure="0">'[165]LowerCompletions - Risk Index'!$G$56</definedName>
    <definedName name="RI_LC_Z3_ANSWERS_SCPacker1" localSheetId="9" hidden="0" function="0" vbProcedure="0">'[165]LowerCompletions - Risk Index'!$G$69</definedName>
    <definedName name="RI_LC_Z4_ANSWERS_SCPacker1" localSheetId="9" hidden="0" function="0" vbProcedure="0">'[165]LowerCompletions - Risk Index'!$G$82</definedName>
    <definedName name="RI_LC_Z5_ANSWERS_SCPacker1" localSheetId="9" hidden="0" function="0" vbProcedure="0">'[165]LowerCompletions - Risk Index'!$G$95</definedName>
    <definedName name="Rotation" localSheetId="9" hidden="0" function="0" vbProcedure="0">[109]DATA!$AK$2:$AK$10</definedName>
    <definedName name="Rpt_Average_Header1" localSheetId="9" hidden="0" function="0" vbProcedure="0">#ref!</definedName>
    <definedName name="Rpt_Average_Header2" localSheetId="9" hidden="0" function="0" vbProcedure="0">#ref!</definedName>
    <definedName name="Rpt_Comments" localSheetId="9" hidden="0" function="0" vbProcedure="0">#ref!</definedName>
    <definedName name="Rpt_Logo_Left" localSheetId="9" hidden="0" function="0" vbProcedure="0">#ref!</definedName>
    <definedName name="Rpt_Logo_Right" localSheetId="9" hidden="0" function="0" vbProcedure="0">#ref!</definedName>
    <definedName name="rrr" localSheetId="9" hidden="1" function="0" vbProcedure="0">{#N/A,#N/A,FALSE,"Sheet1"}</definedName>
    <definedName name="RSS_TO_COMPLETE" localSheetId="9" hidden="0" function="0" vbProcedure="0">[129]RSS!$K$197</definedName>
    <definedName name="rtb" localSheetId="9" hidden="0" function="0" vbProcedure="0">'[115]Max-Torq'!$P$61</definedName>
    <definedName name="Runningtool" localSheetId="9" hidden="0" function="0" vbProcedure="0">[109]DATA!$AO$2:$AO$8</definedName>
    <definedName name="Rupees" localSheetId="9" hidden="0" function="0" vbProcedure="0">'[141]Cash Expense March-96'!$H$6</definedName>
    <definedName name="R_Group_ID" localSheetId="9" hidden="0" function="0" vbProcedure="0">[109]DATA!$T$2:$T$79</definedName>
    <definedName name="S" localSheetId="9" hidden="0" function="0" vbProcedure="0">'[1]run sheet'!#ref!</definedName>
    <definedName name="Salesequipment" localSheetId="9" hidden="0" function="0" vbProcedure="0">[109]DATA!$O$2:$O$268</definedName>
    <definedName name="Salesman" localSheetId="9" hidden="0" function="0" vbProcedure="0">'[108]Pre-Job Info Sheet'!$B$7</definedName>
    <definedName name="Sales_Explosive_Type" localSheetId="9" hidden="0" function="0" vbProcedure="0">'[108]Pre-Job Info Sheet'!$B$24</definedName>
    <definedName name="Sales_Gun_Size" localSheetId="9" hidden="0" function="0" vbProcedure="0">'[108]Pre-Job Info Sheet'!$B$21</definedName>
    <definedName name="Sales_Lease" localSheetId="9" hidden="0" function="0" vbProcedure="0">'[108]Pre-Job Info Sheet'!$D$8</definedName>
    <definedName name="Sales_SPF" localSheetId="9" hidden="0" function="0" vbProcedure="0">'[108]Pre-Job Info Sheet'!$B$22</definedName>
    <definedName name="Sales_Ticket_Number" localSheetId="9" hidden="0" function="0" vbProcedure="0">'[30]Liner Job Info'!$E$11</definedName>
    <definedName name="Sales_Underbalance" localSheetId="9" hidden="0" function="0" vbProcedure="0">'[108]Pre-Job Info Sheet'!$D$35</definedName>
    <definedName name="Sales_Well_Name" localSheetId="9" hidden="0" function="0" vbProcedure="0">'[108]Pre-Job Info Sheet'!$D$6</definedName>
    <definedName name="salinity" localSheetId="9" hidden="0" function="0" vbProcedure="0">'[93]well test sheet'!#ref!</definedName>
    <definedName name="SANDOUT_PRESSURE" localSheetId="9" hidden="0" function="0" vbProcedure="0">'[113]#REF'!$I$107</definedName>
    <definedName name="SAND_ABOVE_PERFS_PREPACK" localSheetId="9" hidden="0" function="0" vbProcedure="0">'[113]#REF'!$F$175</definedName>
    <definedName name="SAND_DIVERTER" localSheetId="9" hidden="0" function="0" vbProcedure="0">'[113]#REF'!$F$56</definedName>
    <definedName name="SAND_GP" localSheetId="9" hidden="0" function="0" vbProcedure="0">'[113]#REF'!$F$64</definedName>
    <definedName name="SAND_IN_CAS_BLNK" localSheetId="9" hidden="0" function="0" vbProcedure="0">'[6]#ref'!#ref!</definedName>
    <definedName name="SAND_IN_CAS_EXT" localSheetId="9" hidden="0" function="0" vbProcedure="0">'[6]#ref'!#ref!</definedName>
    <definedName name="SAND_IN_CAS_PREPACK" localSheetId="9" hidden="0" function="0" vbProcedure="0">'[113]#REF'!$F$81</definedName>
    <definedName name="SAND_IN_CAS_SCR" localSheetId="9" hidden="0" function="0" vbProcedure="0">'[6]#ref'!#ref!</definedName>
    <definedName name="SAND_IN_PERFS" localSheetId="9" hidden="0" function="0" vbProcedure="0">'[113]#REF'!$I$185</definedName>
    <definedName name="SAND_IN_PERFS_PP" localSheetId="9" hidden="0" function="0" vbProcedure="0">'[113]#REF'!$F$82</definedName>
    <definedName name="SAND_PASS_XO_PORT" localSheetId="9" hidden="0" function="0" vbProcedure="0">'[113]#REF'!$E$195</definedName>
    <definedName name="SAND_PERMEABILITY" localSheetId="9" hidden="0" function="0" vbProcedure="0">'[113]#REF'!$I$105</definedName>
    <definedName name="SAND_PLACED_GP" localSheetId="9" hidden="0" function="0" vbProcedure="0">'[113]#REF'!$F$95</definedName>
    <definedName name="SAND_PREPACK" localSheetId="9" hidden="0" function="0" vbProcedure="0">'[113]#REF'!$F$44</definedName>
    <definedName name="SAND_PUMPED_GP" localSheetId="9" hidden="0" function="0" vbProcedure="0">'[113]#REF'!$F$92</definedName>
    <definedName name="SAND_PUMPED_PREPACK" localSheetId="9" hidden="0" function="0" vbProcedure="0">'[113]#REF'!$F$78</definedName>
    <definedName name="SAND_REVOUT_GP" localSheetId="9" hidden="0" function="0" vbProcedure="0">'[113]#REF'!$F$93</definedName>
    <definedName name="SAND_REVOUT_PREPACK" localSheetId="9" hidden="0" function="0" vbProcedure="0">'[113]#REF'!$F$79</definedName>
    <definedName name="Save_Document" localSheetId="9" hidden="0" function="0" vbProcedure="0">[27]!Save_Document</definedName>
    <definedName name="Save_Document_1" localSheetId="9" hidden="0" function="0" vbProcedure="0">'JOB ORDER '!Save_Document</definedName>
    <definedName name="Save_Document_10" localSheetId="9" hidden="0" function="0" vbProcedure="0">'JOB ORDER '!Save_Document</definedName>
    <definedName name="Save_Document_11" localSheetId="9" hidden="0" function="0" vbProcedure="0">'JOB ORDER '!Save_Document</definedName>
    <definedName name="Save_Document_2" localSheetId="9" hidden="0" function="0" vbProcedure="0">'JOB ORDER '!Save_Document</definedName>
    <definedName name="Save_Document_3" localSheetId="9" hidden="0" function="0" vbProcedure="0">'JOB ORDER '!Save_Document</definedName>
    <definedName name="Save_Document_4" localSheetId="9" hidden="0" function="0" vbProcedure="0">'JOB ORDER '!Save_Document</definedName>
    <definedName name="Save_Document_5" localSheetId="9" hidden="0" function="0" vbProcedure="0">'JOB ORDER '!Save_Document</definedName>
    <definedName name="Save_Document_6" localSheetId="9" hidden="0" function="0" vbProcedure="0">'JOB ORDER '!Save_Document</definedName>
    <definedName name="Save_Document_7" localSheetId="9" hidden="0" function="0" vbProcedure="0">'JOB ORDER '!Save_Document</definedName>
    <definedName name="Save_Document_8" localSheetId="9" hidden="0" function="0" vbProcedure="0">'JOB ORDER '!Save_Document</definedName>
    <definedName name="Save_Document_9" localSheetId="9" hidden="0" function="0" vbProcedure="0">'JOB ORDER '!Save_Document</definedName>
    <definedName name="SCB" localSheetId="9" hidden="0" function="0" vbProcedure="0">[129]RSS!$B$136:$B$144</definedName>
    <definedName name="SCHE" localSheetId="9" hidden="0" function="0" vbProcedure="0">[16]!Macro1</definedName>
    <definedName name="Schemati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9" hidden="0" function="0" vbProcedure="0">'[113]#REF'!$H$14</definedName>
    <definedName name="screenidlist" localSheetId="9" hidden="0" function="0" vbProcedure="0">[106]Data!$E$79:$F$127</definedName>
    <definedName name="screenlength" localSheetId="9" hidden="0" function="0" vbProcedure="0">'[113]#REF'!$J$14</definedName>
    <definedName name="screenod" localSheetId="9" hidden="0" function="0" vbProcedure="0">'[113]#REF'!$F$14</definedName>
    <definedName name="screentype" localSheetId="9" hidden="0" function="0" vbProcedure="0">'[113]#REF'!$M$14</definedName>
    <definedName name="SCREEN_LENGTH" localSheetId="9" hidden="0" function="0" vbProcedure="0">'[113]#REF'!$J$13</definedName>
    <definedName name="SCREEN_OD" localSheetId="9" hidden="0" function="0" vbProcedure="0">'[113]#REF'!$F$14</definedName>
    <definedName name="sd" localSheetId="9" hidden="0" function="0" vbProcedure="0">null</definedName>
    <definedName name="SDE_23" localSheetId="9" hidden="0" function="0" vbProcedure="0">[72]!Calculate_Pipe</definedName>
    <definedName name="se" localSheetId="9" hidden="0" function="0" vbProcedure="0">'[262]calculo de gas total'!#ref!</definedName>
    <definedName name="SeatID" localSheetId="9" hidden="0" function="0" vbProcedure="0">[109]DATA!$BC$2:$BC$6</definedName>
    <definedName name="SeatNumber" localSheetId="9" hidden="0" function="0" vbProcedure="0">[109]DATA!$BD$2:$BD$7</definedName>
    <definedName name="SeatShear" localSheetId="9" hidden="0" function="0" vbProcedure="0">[109]DATA!$BE$2:$BE$4</definedName>
    <definedName name="SeatType" localSheetId="9" hidden="0" function="0" vbProcedure="0">[109]DATA!$BB$2:$BB$4</definedName>
    <definedName name="sep_press" localSheetId="9" hidden="0" function="0" vbProcedure="0">'[93]well test sheet'!#ref!</definedName>
    <definedName name="sep_temp" localSheetId="9" hidden="0" function="0" vbProcedure="0">'[93]well test sheet'!#ref!</definedName>
    <definedName name="serialselect1" localSheetId="9" hidden="0" function="0" vbProcedure="0">'JOB ORDER '!serialselect1</definedName>
    <definedName name="serialselect2" localSheetId="9" hidden="0" function="0" vbProcedure="0">'JOB ORDER '!serialselect2</definedName>
    <definedName name="serialselect3" localSheetId="9" hidden="0" function="0" vbProcedure="0">'JOB ORDER '!serialselect3</definedName>
    <definedName name="serialselect4" localSheetId="9" hidden="0" function="0" vbProcedure="0">'JOB ORDER '!serialselect4</definedName>
    <definedName name="ServiceCenter" localSheetId="9" hidden="0" function="0" vbProcedure="0">'[117]Well Installation Drawing'!$L$13</definedName>
    <definedName name="SETTLEMENT_RATE" localSheetId="9" hidden="0" function="0" vbProcedure="0">'[113]#REF'!$I$120</definedName>
    <definedName name="Sett_Tool_Tens" localSheetId="9" hidden="0" function="0" vbProcedure="0">'[109]Liner Job Info'!$P$44</definedName>
    <definedName name="Shear_HR_Mech_Release" localSheetId="9" hidden="0" function="0" vbProcedure="0">'[109]Liner Job Info'!$P$49</definedName>
    <definedName name="SHER" localSheetId="9" hidden="0" function="0" vbProcedure="0">'[140]tally checklist'!sher</definedName>
    <definedName name="shippedvia" localSheetId="9" hidden="0" function="0" vbProcedure="0">'[31]data '!#ref!</definedName>
    <definedName name="shit" localSheetId="9" hidden="1" function="0" vbProcedure="0">{#N/A,#N/A,FALSE,"Sheet1"}</definedName>
    <definedName name="SHO" localSheetId="9" hidden="0" function="0" vbProcedure="0">[119]钻井日报表!$G$3</definedName>
    <definedName name="ShoeTrack_Vol" localSheetId="9" hidden="0" function="0" vbProcedure="0">'[109]Metric Conversions'!$B$76</definedName>
    <definedName name="ShoeTrack_Volz" localSheetId="9" hidden="0" function="0" vbProcedure="0">'[109]Metric Conversions'!$C$76</definedName>
    <definedName name="Shoe_Track_Length" localSheetId="9" hidden="0" function="0" vbProcedure="0">'[109]Metric Conversions'!$B$19</definedName>
    <definedName name="Shoe_Track_Lengthz" localSheetId="9" hidden="0" function="0" vbProcedure="0">'[109]Liner Job Info'!$D$19</definedName>
    <definedName name="Show_1" localSheetId="9" hidden="0" function="0" vbProcedure="0">[41]!Show_1</definedName>
    <definedName name="Show_1_1" localSheetId="9" hidden="0" function="0" vbProcedure="0">[27]!Show_1</definedName>
    <definedName name="Show_1_10" localSheetId="9" hidden="0" function="0" vbProcedure="0">[27]!Show_1</definedName>
    <definedName name="Show_1_11" localSheetId="9" hidden="0" function="0" vbProcedure="0">[27]!Show_1</definedName>
    <definedName name="Show_1_2" localSheetId="9" hidden="0" function="0" vbProcedure="0">[27]!Show_1</definedName>
    <definedName name="Show_1_3" localSheetId="9" hidden="0" function="0" vbProcedure="0">[27]!Show_1</definedName>
    <definedName name="Show_1_4" localSheetId="9" hidden="0" function="0" vbProcedure="0">[27]!Show_1</definedName>
    <definedName name="Show_1_5" localSheetId="9" hidden="0" function="0" vbProcedure="0">[27]!Show_1</definedName>
    <definedName name="Show_1_6" localSheetId="9" hidden="0" function="0" vbProcedure="0">[27]!Show_1</definedName>
    <definedName name="Show_1_7" localSheetId="9" hidden="0" function="0" vbProcedure="0">[27]!Show_1</definedName>
    <definedName name="Show_1_8" localSheetId="9" hidden="0" function="0" vbProcedure="0">[27]!Show_1</definedName>
    <definedName name="Show_1_9" localSheetId="9" hidden="0" function="0" vbProcedure="0">[27]!Show_1</definedName>
    <definedName name="Show_2" localSheetId="9" hidden="0" function="0" vbProcedure="0">[41]!Show_2</definedName>
    <definedName name="Show_2_1" localSheetId="9" hidden="0" function="0" vbProcedure="0">[27]!Show_2</definedName>
    <definedName name="Show_2_10" localSheetId="9" hidden="0" function="0" vbProcedure="0">[27]!Show_2</definedName>
    <definedName name="Show_2_11" localSheetId="9" hidden="0" function="0" vbProcedure="0">[27]!Show_2</definedName>
    <definedName name="Show_2_2" localSheetId="9" hidden="0" function="0" vbProcedure="0">[27]!Show_2</definedName>
    <definedName name="Show_2_3" localSheetId="9" hidden="0" function="0" vbProcedure="0">[27]!Show_2</definedName>
    <definedName name="Show_2_4" localSheetId="9" hidden="0" function="0" vbProcedure="0">[27]!Show_2</definedName>
    <definedName name="Show_2_5" localSheetId="9" hidden="0" function="0" vbProcedure="0">[27]!Show_2</definedName>
    <definedName name="Show_2_6" localSheetId="9" hidden="0" function="0" vbProcedure="0">[27]!Show_2</definedName>
    <definedName name="Show_2_7" localSheetId="9" hidden="0" function="0" vbProcedure="0">[27]!Show_2</definedName>
    <definedName name="Show_2_8" localSheetId="9" hidden="0" function="0" vbProcedure="0">[27]!Show_2</definedName>
    <definedName name="Show_2_9" localSheetId="9" hidden="0" function="0" vbProcedure="0">[27]!Show_2</definedName>
    <definedName name="Size" localSheetId="9" hidden="0" function="0" vbProcedure="0">#ref!</definedName>
    <definedName name="SJT_DEPTH" localSheetId="9" hidden="0" function="0" vbProcedure="0">'[113]#REF'!$F$22</definedName>
    <definedName name="SJ_DEPTH" localSheetId="9" hidden="0" function="0" vbProcedure="0">'[113]#REF'!$F$22</definedName>
    <definedName name="SL" localSheetId="9" hidden="0" function="0" vbProcedure="0">[149]BHA!$C$3</definedName>
    <definedName name="SleeveLength" localSheetId="9" hidden="0" function="0" vbProcedure="0">[109]DATA!$AV$2:$AV$4</definedName>
    <definedName name="SLURRY_DENSITY" localSheetId="9" hidden="0" function="0" vbProcedure="0">'[113]#REF'!$F$70</definedName>
    <definedName name="SLURRY_VOL_PREPACK" localSheetId="9" hidden="0" function="0" vbProcedure="0">'[113]#REF'!$F$48</definedName>
    <definedName name="soldto" localSheetId="9" hidden="0" function="0" vbProcedure="0">'[126]Call Sheet'!$AL$3</definedName>
    <definedName name="sort" localSheetId="9" hidden="1" function="0" vbProcedure="0">[166]Sheet1!$A$181:$H$210</definedName>
    <definedName name="SORT_AREA" localSheetId="9" hidden="0" function="0" vbProcedure="0">'[167]DI-ESTI'!$A$8:$R$489</definedName>
    <definedName name="Spacedout" localSheetId="9" hidden="1" function="0" vbProcedure="0">{#N/A,#N/A,FALSE,"Drlg Param Run 1-1";#N/A,#N/A,FALSE,"DDR (3)";#N/A,#N/A,FALSE,"BHA AT (1)";#N/A,#N/A,FALSE,"Downlinkbha";#N/A,#N/A,FALSE,"Job Status Report"}</definedName>
    <definedName name="SpacerType" localSheetId="9" hidden="0" function="0" vbProcedure="0">[109]DATA!$BK$2:$BK$7</definedName>
    <definedName name="Spiral_Type" localSheetId="9" hidden="0" function="0" vbProcedure="0">[109]DATA!$BM$2:$BM$5</definedName>
    <definedName name="SSA" localSheetId="9" hidden="0" function="0" vbProcedure="0">[267]!Macro46</definedName>
    <definedName name="ssdsd" localSheetId="9" hidden="0" function="0" vbProcedure="0">'[140]tally checklist'!ssdsd</definedName>
    <definedName name="SSID" localSheetId="9" hidden="0" function="0" vbProcedure="0">'[109]Liner Job Info'!$O$6</definedName>
    <definedName name="sss" localSheetId="9" hidden="1" function="0" vbProcedure="0">{#N/A,#N/A,FALSE,"Drlg Param Run 1-1";#N/A,#N/A,FALSE,"DDR (3)";#N/A,#N/A,FALSE,"BHA AT (1)";#N/A,#N/A,FALSE,"Downlinkbha";#N/A,#N/A,FALSE,"Job Status Report"}</definedName>
    <definedName name="stages" localSheetId="9" hidden="0" function="0" vbProcedure="0">[5]WTR!$G$52</definedName>
    <definedName name="Stage_Number" localSheetId="9" hidden="0" function="0" vbProcedure="0">'[108]Pre-Job Info Sheet'!$B$15</definedName>
    <definedName name="Start_Here" localSheetId="9" hidden="0" function="0" vbProcedure="0">'[168]9.625 TCP String'!$B$10</definedName>
    <definedName name="state" localSheetId="9" hidden="0" function="0" vbProcedure="0">'[40]CPS Call Sheet'!$AC$7</definedName>
    <definedName name="status" localSheetId="9" hidden="0" function="0" vbProcedure="0">'[154]BPR LOG'!$H$1:$H$1048576</definedName>
    <definedName name="Stretch_DP1_Lnr_Wt" localSheetId="9" hidden="0" function="0" vbProcedure="0">'[109]Metric Conversions'!$B$30</definedName>
    <definedName name="Stretch_DP1_Lnr_Wtz" localSheetId="9" hidden="0" function="0" vbProcedure="0">'[109]Metric Conversions'!$C$30</definedName>
    <definedName name="Stretch_DP2_Lnr_Wt" localSheetId="9" hidden="0" function="0" vbProcedure="0">'[109]Metric Conversions'!$B$31</definedName>
    <definedName name="Stretch_DP2_Lnr_Wtz" localSheetId="9" hidden="0" function="0" vbProcedure="0">'[109]Metric Conversions'!$C$31</definedName>
    <definedName name="Stretch_DP3_Lnr_Wt" localSheetId="9" hidden="0" function="0" vbProcedure="0">'[109]Metric Conversions'!$B$32</definedName>
    <definedName name="Stretch_DP3_Lnr_Wtz" localSheetId="9" hidden="0" function="0" vbProcedure="0">'[109]Metric Conversions'!$C$32</definedName>
    <definedName name="Stretch_DP4_Lnr_Wt" localSheetId="9" hidden="0" function="0" vbProcedure="0">'[109]Metric Conversions'!$B$33</definedName>
    <definedName name="Stretch_DP4_Lnr_Wtz" localSheetId="9" hidden="0" function="0" vbProcedure="0">'[109]Metric Conversions'!$C$33</definedName>
    <definedName name="Stretch_DP5_Lnr_Wt" localSheetId="9" hidden="0" function="0" vbProcedure="0">'[109]Metric Conversions'!$B$34</definedName>
    <definedName name="Stretch_DP5_Lnr_Wtz" localSheetId="9" hidden="0" function="0" vbProcedure="0">'[109]Metric Conversions'!$C$34</definedName>
    <definedName name="Stretch_TTL_Lnr_Wt" localSheetId="9" hidden="0" function="0" vbProcedure="0">'[109]Metric Conversions'!$B$36</definedName>
    <definedName name="Stretch_TTL_Lnr_Wtz" localSheetId="9" hidden="0" function="0" vbProcedure="0">'[109]Metric Conversions'!$C$36</definedName>
    <definedName name="SubSeaTVD_Column" localSheetId="9" hidden="0" function="0" vbProcedure="0">null</definedName>
    <definedName name="SubSeaTVD_Unit" localSheetId="9" hidden="0" function="0" vbProcedure="0">null</definedName>
    <definedName name="SUMP_DEPTH" localSheetId="9" hidden="0" function="0" vbProcedure="0">'[113]#REF'!$F$23</definedName>
    <definedName name="Surfaceequipment" localSheetId="9" hidden="0" function="0" vbProcedure="0">[109]DATA!$AQ$2:$AQ$11</definedName>
    <definedName name="surfacefracpressure" localSheetId="9" hidden="0" function="0" vbProcedure="0">[106]Data!$F$4</definedName>
    <definedName name="Surf_Equip_Tens" localSheetId="9" hidden="0" function="0" vbProcedure="0">'[109]Liner Job Info'!$P$46</definedName>
    <definedName name="Svy_Print_Area" localSheetId="9" hidden="0" function="0" vbProcedure="0">'[168]9.625 TCP String'!$B$12:$I$3772</definedName>
    <definedName name="SWELL_PKR" localSheetId="9" hidden="0" function="0" vbProcedure="0">INDEX([111]PKR!$F$2:$G$10,MATCH([111]PKR!$H$1,[111]PKR!$F$2:$F$10,0),2)</definedName>
    <definedName name="t." localSheetId="9" hidden="0" function="0" vbProcedure="0">[49]!Prev.Macro102</definedName>
    <definedName name="Tally" localSheetId="9" hidden="0" function="0" vbProcedure="0">[169]Tally!$A$5:$C$1004</definedName>
    <definedName name="Tally_2" localSheetId="9" hidden="0" function="0" vbProcedure="0">[169]Tally!$E$5:$G$1004</definedName>
    <definedName name="Tally_3" localSheetId="9" hidden="0" function="0" vbProcedure="0">[169]Tally!$I$5:$K$1004</definedName>
    <definedName name="Taper_String_Grade" localSheetId="9" hidden="0" function="0" vbProcedure="0">'[108]Pre-Job Info Sheet'!$D$31</definedName>
    <definedName name="Taper_String_Size" localSheetId="9" hidden="0" function="0" vbProcedure="0">'[108]Pre-Job Info Sheet'!$D$29</definedName>
    <definedName name="Taper_String_Type" localSheetId="9" hidden="0" function="0" vbProcedure="0">'[108]Pre-Job Info Sheet'!$D$28</definedName>
    <definedName name="Taper_String_Wt._Ft." localSheetId="9" hidden="0" function="0" vbProcedure="0">'[108]Pre-Job Info Sheet'!$D$30</definedName>
    <definedName name="targe"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9" hidden="0" function="0" vbProcedure="0">#ref!,#ref!</definedName>
    <definedName name="TARIQ" localSheetId="9" hidden="0" function="0" vbProcedure="0">[145]!Calculate_Pipe</definedName>
    <definedName name="TbgDrift1" localSheetId="9" hidden="0" function="0" vbProcedure="0">'[94]Job Technical Info'!$G$35</definedName>
    <definedName name="TbgDrift2" localSheetId="9" hidden="0" function="0" vbProcedure="0">'[94]Job Technical Info'!$G$36</definedName>
    <definedName name="TbgDrift3" localSheetId="9" hidden="0" function="0" vbProcedure="0">'[94]Job Technical Info'!$G$37</definedName>
    <definedName name="TbgDrift4" localSheetId="9" hidden="0" function="0" vbProcedure="0">'[94]Job Technical Info'!$G$38</definedName>
    <definedName name="TbgGrade" localSheetId="9" hidden="0" function="0" vbProcedure="0">[170]MUT!$O$3:$O$4</definedName>
    <definedName name="TbgGrd1" localSheetId="9" hidden="0" function="0" vbProcedure="0">'[94]Job Technical Info'!$H$35</definedName>
    <definedName name="TbgGrd2" localSheetId="9" hidden="0" function="0" vbProcedure="0">'[94]Job Technical Info'!$H$36</definedName>
    <definedName name="TbgGrd3" localSheetId="9" hidden="0" function="0" vbProcedure="0">'[94]Job Technical Info'!$H$37</definedName>
    <definedName name="TbgGrd4" localSheetId="9" hidden="0" function="0" vbProcedure="0">'[94]Job Technical Info'!$H$38</definedName>
    <definedName name="TbgID1" localSheetId="9" hidden="0" function="0" vbProcedure="0">'[94]Job Technical Info'!$F$35</definedName>
    <definedName name="TbgID2" localSheetId="9" hidden="0" function="0" vbProcedure="0">'[94]Job Technical Info'!$F$36</definedName>
    <definedName name="TbgID3" localSheetId="9" hidden="0" function="0" vbProcedure="0">'[94]Job Technical Info'!$F$37</definedName>
    <definedName name="TbgID4" localSheetId="9" hidden="0" function="0" vbProcedure="0">'[94]Job Technical Info'!$F$38</definedName>
    <definedName name="TbgSz1" localSheetId="9" hidden="0" function="0" vbProcedure="0">'[94]Job Technical Info'!$D$35</definedName>
    <definedName name="TbgSz2" localSheetId="9" hidden="0" function="0" vbProcedure="0">'[94]Job Technical Info'!$D$36</definedName>
    <definedName name="TbgSz3" localSheetId="9" hidden="0" function="0" vbProcedure="0">'[94]Job Technical Info'!$D$37</definedName>
    <definedName name="TbgSz4" localSheetId="9" hidden="0" function="0" vbProcedure="0">'[94]Job Technical Info'!$D$38</definedName>
    <definedName name="TbgThd1" localSheetId="9" hidden="0" function="0" vbProcedure="0">'[94]Job Technical Info'!$J$35</definedName>
    <definedName name="TbgThd2" localSheetId="9" hidden="0" function="0" vbProcedure="0">'[94]Job Technical Info'!$J$36</definedName>
    <definedName name="TbgThd3" localSheetId="9" hidden="0" function="0" vbProcedure="0">'[94]Job Technical Info'!$J$37</definedName>
    <definedName name="TbgThd4" localSheetId="9" hidden="0" function="0" vbProcedure="0">'[94]Job Technical Info'!$J$38</definedName>
    <definedName name="TbgWt1" localSheetId="9" hidden="0" function="0" vbProcedure="0">'[94]Job Technical Info'!$E$35</definedName>
    <definedName name="TbgWt2" localSheetId="9" hidden="0" function="0" vbProcedure="0">'[94]Job Technical Info'!$E$36</definedName>
    <definedName name="TbgWt3" localSheetId="9" hidden="0" function="0" vbProcedure="0">'[94]Job Technical Info'!$E$37</definedName>
    <definedName name="TbgWt4" localSheetId="9" hidden="0" function="0" vbProcedure="0">'[94]Job Technical Info'!$E$38</definedName>
    <definedName name="TB_Ext_API_Coll" localSheetId="9" hidden="0" function="0" vbProcedure="0">'[109]Metric Conversions'!$B$55</definedName>
    <definedName name="TB_Ext_API_Collz" localSheetId="9" hidden="0" function="0" vbProcedure="0">'[109]Liner Job Info'!$P$37</definedName>
    <definedName name="TB_Ext_Bst" localSheetId="9" hidden="0" function="0" vbProcedure="0">'[109]Metric Conversions'!$B$54</definedName>
    <definedName name="TB_Ext_Bstz" localSheetId="9" hidden="0" function="0" vbProcedure="0">'[109]Liner Job Info'!$P$36</definedName>
    <definedName name="TB_EXT_ID" localSheetId="9" hidden="0" function="0" vbProcedure="0">'[109]Liner Job Info'!$P$35</definedName>
    <definedName name="TB_Ext_Yield_Collz" localSheetId="9" hidden="0" function="0" vbProcedure="0">'[109]Liner Job Info'!$P$38</definedName>
    <definedName name="TCPSTRING" localSheetId="9" hidden="0" function="0" vbProcedure="0">[279]!ADDSTAB</definedName>
    <definedName name="TD_Depth_md" localSheetId="9" hidden="0" function="0" vbProcedure="0">'[70]well specification'!#ref!</definedName>
    <definedName name="TD_md" localSheetId="9" hidden="0" function="0" vbProcedure="0">'[70]well specification'!#ref!</definedName>
    <definedName name="tedtr" localSheetId="9" hidden="0" function="0" vbProcedure="0">'[115]Max-Torq'!$P$72</definedName>
    <definedName name="teks"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ns" localSheetId="9" hidden="0" function="0" vbProcedure="0">'[115]Max-Torq'!$N$58</definedName>
    <definedName name="terry1" localSheetId="9" hidden="0" function="0" vbProcedure="0">{#N/A,#N/A,FALSE,"Volume"}</definedName>
    <definedName name="terry2" localSheetId="9" hidden="0" function="0" vbProcedure="0">{#N/A,#N/A,FALSE,"Volume"}</definedName>
    <definedName name="terry3" localSheetId="9" hidden="0" function="0" vbProcedure="0">{#N/A,#N/A,FALSE,"Volume"}</definedName>
    <definedName name="terry4" localSheetId="9" hidden="0" function="0" vbProcedure="0">{#N/A,#N/A,FALSE,"Volume"}</definedName>
    <definedName name="terry5" localSheetId="9" hidden="0" function="0" vbProcedure="0">{#N/A,#N/A,FALSE,"Volume"}</definedName>
    <definedName name="TEST" localSheetId="9" hidden="0" function="0" vbProcedure="0">#ref!</definedName>
    <definedName name="Test_po_out_1" localSheetId="9" hidden="0" function="0" vbProcedure="0">[109]Test!$M$28</definedName>
    <definedName name="Test_po_out_2" localSheetId="9" hidden="0" function="0" vbProcedure="0">[109]Test!$M$29</definedName>
    <definedName name="textfive" localSheetId="9" hidden="0" function="0" vbProcedure="0">'[140]tally checklist'!textfive</definedName>
    <definedName name="textfivehalf" localSheetId="9" hidden="0" function="0" vbProcedure="0">'[140]tally checklist'!textfivehalf</definedName>
    <definedName name="textninefiveeightfourfirst" localSheetId="9" hidden="0" function="0" vbProcedure="0">'[140]tally checklist'!textninefiveeightfourfirst</definedName>
    <definedName name="textninefiveeightfoursecond" localSheetId="9" hidden="0" function="0" vbProcedure="0">'[140]tally checklist'!textninefiveeightfoursecond</definedName>
    <definedName name="textninefiveeightsixfirst" localSheetId="9" hidden="0" function="0" vbProcedure="0">'[140]tally checklist'!textninefiveeightsixfirst</definedName>
    <definedName name="textninefiveeightsixsecond" localSheetId="9" hidden="0" function="0" vbProcedure="0">'[140]tally checklist'!textninefiveeightsixsecond</definedName>
    <definedName name="textsevenfiveeightfour" localSheetId="9" hidden="0" function="0" vbProcedure="0">'[140]tally checklist'!textsevenfiveeightfour</definedName>
    <definedName name="textsevenfiveeightthree" localSheetId="9" hidden="0" function="0" vbProcedure="0">'[140]tally checklist'!textsevenfiveeightthree</definedName>
    <definedName name="textsevenfour" localSheetId="9" hidden="0" function="0" vbProcedure="0">'[140]tally checklist'!textsevenfour</definedName>
    <definedName name="textseventhree" localSheetId="9" hidden="0" function="0" vbProcedure="0">'[140]tally checklist'!textseventhree</definedName>
    <definedName name="text_five" localSheetId="9" hidden="0" function="0" vbProcedure="0">'[140]tally checklist'!text_five</definedName>
    <definedName name="text_fivehalf" localSheetId="9" hidden="0" function="0" vbProcedure="0">'[140]tally checklist'!text_fivehalf</definedName>
    <definedName name="text_ninefiveeightfourfirst" localSheetId="9" hidden="0" function="0" vbProcedure="0">'[140]tally checklist'!text_ninefiveeightfourfirst</definedName>
    <definedName name="text_ninefiveeightfoursecond" localSheetId="9" hidden="0" function="0" vbProcedure="0">'[140]tally checklist'!text_ninefiveeightfoursecond</definedName>
    <definedName name="text_ninefiveeightsixfirst" localSheetId="9" hidden="0" function="0" vbProcedure="0">'[140]tally checklist'!text_ninefiveeightsixfirst</definedName>
    <definedName name="text_ninefiveeightsixsecond" localSheetId="9" hidden="0" function="0" vbProcedure="0">'[140]tally checklist'!text_ninefiveeightsixsecond</definedName>
    <definedName name="text_sevenfiveeightfour" localSheetId="9" hidden="0" function="0" vbProcedure="0">'[140]tally checklist'!text_sevenfiveeightfour</definedName>
    <definedName name="text_sevenfiveeightthree" localSheetId="9" hidden="0" function="0" vbProcedure="0">'[140]tally checklist'!text_sevenfiveeightthree</definedName>
    <definedName name="text_sevenfour" localSheetId="9" hidden="0" function="0" vbProcedure="0">'[140]tally checklist'!text_sevenfour</definedName>
    <definedName name="text_seventhree" localSheetId="9" hidden="0" function="0" vbProcedure="0">'[140]tally checklist'!text_seventhree</definedName>
    <definedName name="tgrade" localSheetId="9" hidden="0" function="0" vbProcedure="0">[157]Control!$D$9</definedName>
    <definedName name="TGW" localSheetId="9" hidden="0" function="0" vbProcedure="0">'[140]tally checklist'!tgw</definedName>
    <definedName name="ThreadCon" localSheetId="9" hidden="0" function="0" vbProcedure="0">[171]MUT!$R$3:$R$9</definedName>
    <definedName name="ticketdate" localSheetId="9" hidden="0" function="0" vbProcedure="0">'[126]Call Sheet'!$AH$1</definedName>
    <definedName name="tickettype" localSheetId="9" hidden="0" function="0" vbProcedure="0">[54]data!#ref!</definedName>
    <definedName name="time" localSheetId="9" hidden="0" function="0" vbProcedure="0">'[93]well test sheet'!#ref!</definedName>
    <definedName name="TLCENG" localSheetId="9" hidden="0" function="0" vbProcedure="0">[182]Reference!$D$2</definedName>
    <definedName name="TLDENG" localSheetId="9" hidden="0" function="0" vbProcedure="0">[182]Reference!$C$2</definedName>
    <definedName name="TLDOPS" localSheetId="9" hidden="0" function="0" vbProcedure="0">[182]Reference!$E$2:$E$3</definedName>
    <definedName name="TOL" localSheetId="9" hidden="0" function="0" vbProcedure="0">'[130]Metric Conversions'!$B$28</definedName>
    <definedName name="TOLz" localSheetId="9" hidden="0" function="0" vbProcedure="0">'[109]Liner Job Info'!$I$19</definedName>
    <definedName name="ToolMaterial" localSheetId="9" hidden="0" function="0" vbProcedure="0">[109]DATA!$BN$2:$BN$8</definedName>
    <definedName name="Tool_ID" localSheetId="9" hidden="0" function="0" vbProcedure="0">[109]DATA!$P$2:$P$268</definedName>
    <definedName name="TOPPKRIMG" localSheetId="9" hidden="0" function="0" vbProcedure="0">INDEX([172]PKR!$A$16:$B$17,MATCH([172]INPUT!$G$56,[172]PKR!$A$16:$A$17,0),2)</definedName>
    <definedName name="TOPPKRIMG_1" localSheetId="9" hidden="0" function="0" vbProcedure="0">INDEX([78]PKR!$A$16:$B$18,MATCH([78]INPUT!$G$56,[78]PKR!$A$16:$A$18,0),2)</definedName>
    <definedName name="Top_Drive_y_n" localSheetId="9" hidden="0" function="0" vbProcedure="0">'[46]liner job info'!#ref!</definedName>
    <definedName name="Top_Perf._TVD" localSheetId="9" hidden="0" function="0" vbProcedure="0">'[108]Pre-Job Info Sheet'!$B$30</definedName>
    <definedName name="Top_Perforation" localSheetId="9" hidden="0" function="0" vbProcedure="0">'[108]Pre-Job Info Sheet'!$B$28</definedName>
    <definedName name="Total_DP_Wt" localSheetId="9" hidden="0" function="0" vbProcedure="0">'[109]Weight Calculations'!$H$13</definedName>
    <definedName name="Total_Length_of_BHA" localSheetId="9" hidden="0" function="0" vbProcedure="0">'[108]TCP-BHA'!$H$47</definedName>
    <definedName name="TOT_ANN_CAP" localSheetId="9" hidden="0" function="0" vbProcedure="0">'[113]#REF'!$G$189</definedName>
    <definedName name="Tot_Bottoms_Upz" localSheetId="9" hidden="0" function="0" vbProcedure="0">'[109]Metric Conversions'!$C$90</definedName>
    <definedName name="TOT_CAP_HOLE" localSheetId="9" hidden="0" function="0" vbProcedure="0">'[113]#REF'!$G$190</definedName>
    <definedName name="Tot_DP_Vol" localSheetId="9" hidden="0" function="0" vbProcedure="0">'[109]Metric Conversions'!$B$75</definedName>
    <definedName name="Tot_DP_Volz" localSheetId="9" hidden="0" function="0" vbProcedure="0">'[109]Metric Conversions'!$C$75</definedName>
    <definedName name="Tot_Liner_Wt" localSheetId="9" hidden="0" function="0" vbProcedure="0">'[109]Weight Calculations'!$H$18</definedName>
    <definedName name="Tot_Lnr_Vol_to_LC" localSheetId="9" hidden="0" function="0" vbProcedure="0">'[109]Metric Conversions'!$B$79</definedName>
    <definedName name="Tot_Lnr_Vol_to_LCz" localSheetId="9" hidden="0" function="0" vbProcedure="0">'[109]Metric Conversions'!$C$79</definedName>
    <definedName name="TOT_SAND_2B_PUMPED" localSheetId="9" hidden="0" function="0" vbProcedure="0">'[6]#ref'!#ref!</definedName>
    <definedName name="TOT_SAND_COV_BLANK" localSheetId="9" hidden="0" function="0" vbProcedure="0">'[113]#REF'!$H$136</definedName>
    <definedName name="TOT_SAND_COV_SCREEN" localSheetId="9" hidden="0" function="0" vbProcedure="0">'[113]#REF'!$H$135</definedName>
    <definedName name="TOT_SAND_IN_PERFS" localSheetId="9" hidden="0" function="0" vbProcedure="0">'[113]#REF'!$F$137</definedName>
    <definedName name="TOT_SAND_PLACED" localSheetId="9" hidden="0" function="0" vbProcedure="0">'[113]#REF'!$F$131</definedName>
    <definedName name="TOT_SAND_REVOUT" localSheetId="9" hidden="0" function="0" vbProcedure="0">'[6]#ref'!#ref!</definedName>
    <definedName name="Tot_Vol_to_Bump_Plugs" localSheetId="9" hidden="0" function="0" vbProcedure="0">'[109]Metric Conversions'!$B$80</definedName>
    <definedName name="Tot_Vol_to_Bump_Plugsz" localSheetId="9" hidden="0" function="0" vbProcedure="0">'[109]Metric Conversions'!$C$80</definedName>
    <definedName name="Tot_Vol_to_Shoez" localSheetId="9" hidden="0" function="0" vbProcedure="0">'[109]Metric Conversions'!$C$81</definedName>
    <definedName name="tpermit" localSheetId="9" hidden="0" function="0" vbProcedure="0">[157]Control!$D$5</definedName>
    <definedName name="TQW" localSheetId="9" hidden="0" function="0" vbProcedure="0">'[140]tally checklist'!tqw</definedName>
    <definedName name="tr" localSheetId="9" hidden="0" function="0" vbProcedure="0">null</definedName>
    <definedName name="transport" localSheetId="9" hidden="0" function="0" vbProcedure="0">[54]data!#ref!</definedName>
    <definedName name="treatment" localSheetId="9" hidden="0" function="0" vbProcedure="0">[54]data!#ref!</definedName>
    <definedName name="try" localSheetId="9" hidden="0" function="0" vbProcedure="0">[173]Calculos!$K$3:$V$31</definedName>
    <definedName name="TR_Column" localSheetId="9" hidden="0" function="0" vbProcedure="0">null</definedName>
    <definedName name="TR_Unit" localSheetId="9" hidden="0" function="0" vbProcedure="0">null</definedName>
    <definedName name="tshoe" localSheetId="9" hidden="0" function="0" vbProcedure="0">[157]Drillers!$Q$20</definedName>
    <definedName name="tsize" localSheetId="9" hidden="0" function="0" vbProcedure="0">[157]Control!$D$7</definedName>
    <definedName name="TST" localSheetId="9" hidden="0" function="0" vbProcedure="0">'[30]Liner Job Info'!$O$5</definedName>
    <definedName name="tstickup" localSheetId="9" hidden="0" function="0" vbProcedure="0">[157]Drillers!$O$20</definedName>
    <definedName name="TS_pricelist" localSheetId="9" hidden="0" function="0" vbProcedure="0">[139]Pricelist!$A$57:$B$65</definedName>
    <definedName name="Tubing" localSheetId="9" hidden="0" function="0" vbProcedure="0">[174]Tubing!$B$7:$I$142</definedName>
    <definedName name="TubingAverage" localSheetId="9" hidden="0" function="0" vbProcedure="0">((SUM(NosOfTubing))-(MakeupLoss*COUNT(NosOfTubing)))/COUNT(NosOfTubing)</definedName>
    <definedName name="TubingOD" localSheetId="9" hidden="0" function="0" vbProcedure="0">[94]Lists!$AH$3:$AH$297</definedName>
    <definedName name="TubingSizes" localSheetId="9" hidden="0" function="0" vbProcedure="0">[94]Lists!$H$2:$H$14</definedName>
    <definedName name="tubingweight" localSheetId="9" hidden="0" function="0" vbProcedure="0">[83]!TubTable[id LIST (in)]</definedName>
    <definedName name="TVD_MID_PERF" localSheetId="9" hidden="0" function="0" vbProcedure="0">'[113]#REF'!$F$25</definedName>
    <definedName name="TV_TVD" localSheetId="9" hidden="0" function="0" vbProcedure="0">'[108]Tester Valve Calcs'!$F$20</definedName>
    <definedName name="TV_Vol" localSheetId="9" hidden="0" function="0" vbProcedure="0">'[108]Tester Valve Calcs'!$M$17</definedName>
    <definedName name="tweight" localSheetId="9" hidden="0" function="0" vbProcedure="0">[157]Control!$D$8</definedName>
    <definedName name="twell" localSheetId="9" hidden="0" function="0" vbProcedure="0">[157]Control!$D$4</definedName>
    <definedName name="twstes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9" hidden="0" function="0" vbProcedure="0">'[140]tally checklist'!tyjeje</definedName>
    <definedName name="TYPE" localSheetId="9" hidden="0" function="0" vbProcedure="0">'[58]7-30-04'!#ref!</definedName>
    <definedName name="TYPEOFPLUG" localSheetId="9" hidden="0" function="0" vbProcedure="0">'[175]DATA CALL OUT'!$C$1:$C$65536</definedName>
    <definedName name="T_ABOP" localSheetId="9" hidden="0" function="0" vbProcedure="0">'[94]Physical Barrier Check Form'!$B$15</definedName>
    <definedName name="T_BFluidColumn" localSheetId="9" hidden="0" function="0" vbProcedure="0">'[94]Physical Barrier Check Form'!$B$19</definedName>
    <definedName name="T_BHP" localSheetId="9" hidden="0" function="0" vbProcedure="0">'[94]Job Technical Info'!$A$42</definedName>
    <definedName name="T_BHT" localSheetId="9" hidden="0" function="0" vbProcedure="0">'[94]Job Technical Info'!$C$42</definedName>
    <definedName name="T_Casing1" localSheetId="9" hidden="0" function="0" vbProcedure="0">'[94]Job Technical Info'!$B$25</definedName>
    <definedName name="T_Casing2" localSheetId="9" hidden="0" function="0" vbProcedure="0">'[94]Job Technical Info'!$B$26</definedName>
    <definedName name="T_Casing3" localSheetId="9" hidden="0" function="0" vbProcedure="0">'[94]Job Technical Info'!$B$27</definedName>
    <definedName name="T_Casing4" localSheetId="9" hidden="0" function="0" vbProcedure="0">'[94]Job Technical Info'!$B$28</definedName>
    <definedName name="T_Ccasing" localSheetId="9" hidden="0" function="0" vbProcedure="0">'[94]Physical Barrier Check Form'!$B$23</definedName>
    <definedName name="T_CustomerProject" localSheetId="9" hidden="0" function="0" vbProcedure="0">[94]Schematic!$A$8</definedName>
    <definedName name="T_C_H" localSheetId="9" hidden="0" function="0" vbProcedure="0">'[47]12(762mm)套管'!#ref!</definedName>
    <definedName name="T_Description" localSheetId="9" hidden="0" function="0" vbProcedure="0">[94]Schematic!$D$31</definedName>
    <definedName name="T_District" localSheetId="9" hidden="0" function="0" vbProcedure="0">'[94]Physical Barrier Check Form'!$B$4</definedName>
    <definedName name="T_DProductionPacker" localSheetId="9" hidden="0" function="0" vbProcedure="0">'[94]Physical Barrier Check Form'!$B$27</definedName>
    <definedName name="T_Drift" localSheetId="9" hidden="0" function="0" vbProcedure="0">'[94]Job Technical Info'!$G$23</definedName>
    <definedName name="T_EBridgePlug" localSheetId="9" hidden="0" function="0" vbProcedure="0">'[94]Physical Barrier Check Form'!$B$31</definedName>
    <definedName name="T_FluidType" localSheetId="9" hidden="0" function="0" vbProcedure="0">'[94]Job Technical Info'!$E$42</definedName>
    <definedName name="T_FluidWeight" localSheetId="9" hidden="0" function="0" vbProcedure="0">'[94]Job Technical Info'!$G$42</definedName>
    <definedName name="T_FOtherBarriers" localSheetId="9" hidden="0" function="0" vbProcedure="0">'[94]Physical Barrier Check Form'!$B$35</definedName>
    <definedName name="T_Grade" localSheetId="9" hidden="0" function="0" vbProcedure="0">'[94]Job Technical Info'!$H$23</definedName>
    <definedName name="T_ID" localSheetId="9" hidden="0" function="0" vbProcedure="0">'[94]Job Technical Info'!$F$23</definedName>
    <definedName name="T_Length" localSheetId="9" hidden="0" function="0" vbProcedure="0">[94]Schematic!$M$31</definedName>
    <definedName name="T_Liner1" localSheetId="9" hidden="0" function="0" vbProcedure="0">'[94]Job Technical Info'!$B$29</definedName>
    <definedName name="T_Liner2" localSheetId="9" hidden="0" function="0" vbProcedure="0">'[94]Job Technical Info'!$B$30</definedName>
    <definedName name="T_MaxDev" localSheetId="9" hidden="0" function="0" vbProcedure="0">[94]Schematic!$M$10</definedName>
    <definedName name="T_No" localSheetId="9" hidden="0" function="0" vbProcedure="0">[94]Schematic!$C$31</definedName>
    <definedName name="T_Notes" localSheetId="9" hidden="0" function="0" vbProcedure="0">'[94]Physical Barrier Check Form'!$H$13</definedName>
    <definedName name="T_OD" localSheetId="9" hidden="0" function="0" vbProcedure="0">'[94]Job Technical Info'!$D$23</definedName>
    <definedName name="T_Thread" localSheetId="9" hidden="0" function="0" vbProcedure="0">'[94]Job Technical Info'!$J$23</definedName>
    <definedName name="T_Tubing1" localSheetId="9" hidden="0" function="0" vbProcedure="0">'[94]Job Technical Info'!$B$35</definedName>
    <definedName name="T_Tubing2" localSheetId="9" hidden="0" function="0" vbProcedure="0">'[94]Job Technical Info'!$B$36</definedName>
    <definedName name="T_Tubing3" localSheetId="9" hidden="0" function="0" vbProcedure="0">'[94]Job Technical Info'!$B$37</definedName>
    <definedName name="T_Tubing4" localSheetId="9" hidden="0" function="0" vbProcedure="0">'[94]Job Technical Info'!$B$38</definedName>
    <definedName name="T_Tubulars" localSheetId="9" hidden="0" function="0" vbProcedure="0">'[94]Job Technical Info'!$B$23</definedName>
    <definedName name="T_Weight" localSheetId="9" hidden="0" function="0" vbProcedure="0">'[94]Job Technical Info'!$E$23</definedName>
    <definedName name="T_Workstring1" localSheetId="9" hidden="0" function="0" vbProcedure="0">'[94]Job Technical Info'!$B$31</definedName>
    <definedName name="T_Workstring2" localSheetId="9" hidden="0" function="0" vbProcedure="0">'[94]Job Technical Info'!$B$32</definedName>
    <definedName name="T_Workstring3" localSheetId="9" hidden="0" function="0" vbProcedure="0">'[94]Job Technical Info'!$B$33</definedName>
    <definedName name="T_Workstring4" localSheetId="9" hidden="0" function="0" vbProcedure="0">'[94]Job Technical Info'!$B$34</definedName>
    <definedName name="U" localSheetId="9" hidden="0" function="0" vbProcedure="0">[176]Lists!$A$1:$A$3</definedName>
    <definedName name="Underbalance" localSheetId="9" hidden="0" function="0" vbProcedure="0">'[108]Job Calculation Sheet'!$H$34</definedName>
    <definedName name="UNI_AA_VERSION" localSheetId="9" hidden="1" function="0" vbProcedure="0">"322.2.0"</definedName>
    <definedName name="Used" localSheetId="9" hidden="0" function="0" vbProcedure="0">[109]DATA!$AR$2:$AR$3</definedName>
    <definedName name="Using_Hanger" localSheetId="9" hidden="0" function="0" vbProcedure="0">'[109]Liner Job Info'!$D$38</definedName>
    <definedName name="Using_Packer" localSheetId="9" hidden="0" function="0" vbProcedure="0">'[109]Liner Job Info'!$P$30</definedName>
    <definedName name="VALIDCURR" localSheetId="9" hidden="0" function="0" vbProcedure="0">[177]Currency!$A$1:$A$170</definedName>
    <definedName name="Vallist" localSheetId="9" hidden="0" function="0" vbProcedure="0">'[109]Casing Info'!$A$2:$A$34</definedName>
    <definedName name="vallist2" localSheetId="9" hidden="0" function="0" vbProcedure="0">#N/A</definedName>
    <definedName name="vbcode.draw_blanks" localSheetId="9" hidden="0" function="0" vbProcedure="0">'[140]tally checklist'!vbcode.draw_blanks</definedName>
    <definedName name="vbcode.draw_linerfirst" localSheetId="9" hidden="0" function="0" vbProcedure="0">'[140]tally checklist'!vbcode.draw_linerfirst</definedName>
    <definedName name="vbcode.draw_linersecond" localSheetId="9" hidden="0" function="0" vbProcedure="0">'[140]tally checklist'!vbcode.draw_linersecond</definedName>
    <definedName name="vbcode.draw_miscellaneous" localSheetId="9" hidden="0" function="0" vbProcedure="0">'[140]tally checklist'!vbcode.draw_miscellaneous</definedName>
    <definedName name="vbcode.draw_productionfirst" localSheetId="9" hidden="0" function="0" vbProcedure="0">'[140]tally checklist'!vbcode.draw_productionfirst</definedName>
    <definedName name="vbcode.draw_productionsecond" localSheetId="9" hidden="0" function="0" vbProcedure="0">'[140]tally checklist'!vbcode.draw_productionsecond</definedName>
    <definedName name="vbcode.draw_quantum" localSheetId="9" hidden="0" function="0" vbProcedure="0">'[140]tally checklist'!vbcode.draw_quantum</definedName>
    <definedName name="vbcode.draw_screens" localSheetId="9" hidden="0" function="0" vbProcedure="0">'[140]tally checklist'!vbcode.draw_screens</definedName>
    <definedName name="vbcode.draw_shearsubs" localSheetId="9" hidden="0" function="0" vbProcedure="0">'[140]tally checklist'!vbcode.draw_shearsubs</definedName>
    <definedName name="vbcode.draw_sump" localSheetId="9" hidden="0" function="0" vbProcedure="0">'[140]tally checklist'!vbcode.draw_sump</definedName>
    <definedName name="vbcode.text_five" localSheetId="9" hidden="0" function="0" vbProcedure="0">'[140]tally checklist'!vbcode.text_five</definedName>
    <definedName name="vbcode.text_fivehalf" localSheetId="9" hidden="0" function="0" vbProcedure="0">'[140]tally checklist'!vbcode.text_fivehalf</definedName>
    <definedName name="vbcode.text_ninefiveeightfourfirst" localSheetId="9" hidden="0" function="0" vbProcedure="0">'[140]tally checklist'!vbcode.text_ninefiveeightfourfirst</definedName>
    <definedName name="vbcode.text_ninefiveeightfoursecond" localSheetId="9" hidden="0" function="0" vbProcedure="0">'[140]tally checklist'!vbcode.text_ninefiveeightfoursecond</definedName>
    <definedName name="vbcode.text_ninefiveeightsixfirst" localSheetId="9" hidden="0" function="0" vbProcedure="0">'[140]tally checklist'!vbcode.text_ninefiveeightsixfirst</definedName>
    <definedName name="vbcode.text_ninefiveeightsixsecond" localSheetId="9" hidden="0" function="0" vbProcedure="0">'[140]tally checklist'!vbcode.text_ninefiveeightsixsecond</definedName>
    <definedName name="vbcode.text_sevenfiveeightfour" localSheetId="9" hidden="0" function="0" vbProcedure="0">'[140]tally checklist'!vbcode.text_sevenfiveeightfour</definedName>
    <definedName name="vbcode.text_sevenfiveeightthree" localSheetId="9" hidden="0" function="0" vbProcedure="0">'[140]tally checklist'!vbcode.text_sevenfiveeightthree</definedName>
    <definedName name="vbcode.text_sevenfour" localSheetId="9" hidden="0" function="0" vbProcedure="0">'[140]tally checklist'!vbcode.text_sevenfour</definedName>
    <definedName name="vbcode.text_seventhree" localSheetId="9" hidden="0" function="0" vbProcedure="0">'[140]tally checklist'!vbcode.text_seventhree</definedName>
    <definedName name="Verticaldepth" localSheetId="9" hidden="0" function="0" vbProcedure="0">'[129]Front Page Info'!$C$18</definedName>
    <definedName name="vfdvf" localSheetId="9" hidden="0" function="0" vbProcedure="0">[174]!Macro61</definedName>
    <definedName name="volume1" localSheetId="9" hidden="0" function="0" vbProcedure="0">{#N/A,#N/A,FALSE,"Volume"}</definedName>
    <definedName name="VOL_MULE_SHOE" localSheetId="9" hidden="0" function="0" vbProcedure="0">'[113]#REF'!$F$178</definedName>
    <definedName name="VS" localSheetId="9" hidden="0" function="0" vbProcedure="0">'[95]MACRO125 '!$F$6</definedName>
    <definedName name="vvv" localSheetId="9" hidden="0" function="0" vbProcedure="0">[119]钻井日报表!$E$7</definedName>
    <definedName name="vvvdf" localSheetId="9" hidden="0" function="0" vbProcedure="0">[119]钻井日报表!$G$8</definedName>
    <definedName name="vvvvv" localSheetId="9" hidden="0" function="0" vbProcedure="0">[79]!Macro60</definedName>
    <definedName name="w" localSheetId="9" hidden="0" function="0" vbProcedure="0">'[298]run sheet'!#ref!</definedName>
    <definedName name="WBJobRev" localSheetId="9" hidden="0" function="0" vbProcedure="0">'[94]Job Technical Info'!$C$11</definedName>
    <definedName name="Weak_DP" localSheetId="9" hidden="0" function="0" vbProcedure="0">'[109]Weight Calculations'!$V$63</definedName>
    <definedName name="Weak_link" localSheetId="9" hidden="0" function="0" vbProcedure="0">'[109]Weight Calculations'!$R$61</definedName>
    <definedName name="Week" localSheetId="9" hidden="0" function="0" vbProcedure="0">[18]Criteria!$A$2:$A$51</definedName>
    <definedName name="weight" localSheetId="9" hidden="0" function="0" vbProcedure="0">'[7]Drop-Down Items'!$M$7:$M$10</definedName>
    <definedName name="well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9" hidden="0" function="0" vbProcedure="0">[132]Data!$K$1:$K$65536</definedName>
    <definedName name="Welllocation1" localSheetId="9" hidden="0" function="0" vbProcedure="0">[132]Data!$M$1:$M$65536</definedName>
    <definedName name="WellMD" localSheetId="9" hidden="0" function="0" vbProcedure="0">'[94]Job Technical Info'!$H$41</definedName>
    <definedName name="WellNo" localSheetId="9" hidden="0" function="0" vbProcedure="0">'[30]Liner Job Info'!$E$6</definedName>
    <definedName name="Wells" localSheetId="9" hidden="0" function="0" vbProcedure="0">[299]welltest!#ref!</definedName>
    <definedName name="WellTVD" localSheetId="9" hidden="0" function="0" vbProcedure="0">'[94]Job Technical Info'!$J$41</definedName>
    <definedName name="welltype" localSheetId="9" hidden="0" function="0" vbProcedure="0">'[113]#REF'!$F$18</definedName>
    <definedName name="Welltype2" localSheetId="9" hidden="0" function="0" vbProcedure="0">[178]Data!$H$1:$H$65536</definedName>
    <definedName name="Well_Name" localSheetId="9" hidden="0" function="0" vbProcedure="0">'[108]TCP-BHA'!$C$7</definedName>
    <definedName name="Well_Number" localSheetId="9" hidden="0" function="0" vbProcedure="0">'[62]Liner Job Info'!$E$6</definedName>
    <definedName name="well_type" localSheetId="9" hidden="0" function="0" vbProcedure="0">'[7]Drop-Down Items'!$D$43:$D$48</definedName>
    <definedName name="Well_Type__Oil_Gas" localSheetId="9" hidden="0" function="0" vbProcedure="0">'[108]Pre-Job Info Sheet'!$B$31</definedName>
    <definedName name="WHP" localSheetId="9" hidden="0" function="0" vbProcedure="0">#ref!</definedName>
    <definedName name="wht" localSheetId="9" hidden="0" function="0" vbProcedure="0">'[93]well test sheet'!#ref!</definedName>
    <definedName name="wiperplugunity" localSheetId="9" hidden="0" function="0" vbProcedure="0">[109]Test!$G$18</definedName>
    <definedName name="WkstrDrift1" localSheetId="9" hidden="0" function="0" vbProcedure="0">'[94]Job Technical Info'!$G$31</definedName>
    <definedName name="WkstrDrift2" localSheetId="9" hidden="0" function="0" vbProcedure="0">'[94]Job Technical Info'!$G$32</definedName>
    <definedName name="WkstrDrift3" localSheetId="9" hidden="0" function="0" vbProcedure="0">'[94]Job Technical Info'!$G$33</definedName>
    <definedName name="WkstrDrift4" localSheetId="9" hidden="0" function="0" vbProcedure="0">'[94]Job Technical Info'!$G$34</definedName>
    <definedName name="WkstrGrd1" localSheetId="9" hidden="0" function="0" vbProcedure="0">'[94]Job Technical Info'!$H$31</definedName>
    <definedName name="WkstrGrd2" localSheetId="9" hidden="0" function="0" vbProcedure="0">'[94]Job Technical Info'!$H$32</definedName>
    <definedName name="WkstrGrd3" localSheetId="9" hidden="0" function="0" vbProcedure="0">'[94]Job Technical Info'!$H$33</definedName>
    <definedName name="WkstrGrd4" localSheetId="9" hidden="0" function="0" vbProcedure="0">'[94]Job Technical Info'!$H$34</definedName>
    <definedName name="WkstrID1" localSheetId="9" hidden="0" function="0" vbProcedure="0">'[94]Job Technical Info'!$F$31</definedName>
    <definedName name="WkstrID2" localSheetId="9" hidden="0" function="0" vbProcedure="0">'[94]Job Technical Info'!$F$32</definedName>
    <definedName name="WkstrID3" localSheetId="9" hidden="0" function="0" vbProcedure="0">'[94]Job Technical Info'!$F$33</definedName>
    <definedName name="WkstrID4" localSheetId="9" hidden="0" function="0" vbProcedure="0">'[94]Job Technical Info'!$F$34</definedName>
    <definedName name="WkstrSz1" localSheetId="9" hidden="0" function="0" vbProcedure="0">'[94]Job Technical Info'!$D$31</definedName>
    <definedName name="WkstrSz2" localSheetId="9" hidden="0" function="0" vbProcedure="0">'[94]Job Technical Info'!$D$32</definedName>
    <definedName name="WkstrSz3" localSheetId="9" hidden="0" function="0" vbProcedure="0">'[94]Job Technical Info'!$D$33</definedName>
    <definedName name="WkstrSz4" localSheetId="9" hidden="0" function="0" vbProcedure="0">'[94]Job Technical Info'!$D$34</definedName>
    <definedName name="WkstrThd1" localSheetId="9" hidden="0" function="0" vbProcedure="0">'[94]Job Technical Info'!$J$31</definedName>
    <definedName name="WkstrThd2" localSheetId="9" hidden="0" function="0" vbProcedure="0">'[94]Job Technical Info'!$J$32</definedName>
    <definedName name="WkstrThd3" localSheetId="9" hidden="0" function="0" vbProcedure="0">'[94]Job Technical Info'!$J$33</definedName>
    <definedName name="WkstrThd4" localSheetId="9" hidden="0" function="0" vbProcedure="0">'[94]Job Technical Info'!$J$34</definedName>
    <definedName name="WkstrWt1" localSheetId="9" hidden="0" function="0" vbProcedure="0">'[94]Job Technical Info'!$E$31</definedName>
    <definedName name="WkstrWt2" localSheetId="9" hidden="0" function="0" vbProcedure="0">'[94]Job Technical Info'!$E$32</definedName>
    <definedName name="WkstrWt3" localSheetId="9" hidden="0" function="0" vbProcedure="0">'[94]Job Technical Info'!$E$33</definedName>
    <definedName name="WkstrWt4" localSheetId="9" hidden="0" function="0" vbProcedure="0">'[94]Job Technical Info'!$E$34</definedName>
    <definedName name="workstringid" localSheetId="9" hidden="0" function="0" vbProcedure="0">'[113]#REF'!$H$12</definedName>
    <definedName name="workstringidref" localSheetId="9" hidden="0" function="0" vbProcedure="0">[106]Data!$GC$3</definedName>
    <definedName name="workstringlength" localSheetId="9" hidden="0" function="0" vbProcedure="0">'[113]#REF'!$J$12</definedName>
    <definedName name="workstringod" localSheetId="9" hidden="0" function="0" vbProcedure="0">'[113]#REF'!$F$12</definedName>
    <definedName name="workstringtable" localSheetId="9" hidden="0" function="0" vbProcedure="0">[83]!CasingTable[#data]</definedName>
    <definedName name="workstringwt" localSheetId="9" hidden="0" function="0" vbProcedure="0">'[113]#REF'!$M$12</definedName>
    <definedName name="Workstring_Grade" localSheetId="9" hidden="0" function="0" vbProcedure="0">'[108]Pre-Job Info Sheet'!$D$27</definedName>
    <definedName name="Workstring_ID" localSheetId="9" hidden="0" function="0" vbProcedure="0">'[108]Job Calculation Sheet'!$F$16</definedName>
    <definedName name="Workstring_Length" localSheetId="9" hidden="0" function="0" vbProcedure="0">'[108]TCP-BHA'!$G$12</definedName>
    <definedName name="Workstring_Size" localSheetId="9" hidden="0" function="0" vbProcedure="0">'[108]Pre-Job Info Sheet'!$D$25</definedName>
    <definedName name="Workstring_Type" localSheetId="9" hidden="0" function="0" vbProcedure="0">'[108]Pre-Job Info Sheet'!$D$24</definedName>
    <definedName name="Workstring_Wt._Ft." localSheetId="9" hidden="0" function="0" vbProcedure="0">'[108]Pre-Job Info Sheet'!$D$26</definedName>
    <definedName name="wrn.ASDF." localSheetId="9" hidden="1" function="0" vbProcedure="0">{#N/A,#N/A,FALSE,"SHEET 1";#N/A,#N/A,FALSE,"Sheet4"}</definedName>
    <definedName name="wrn.AT._.Reports." localSheetId="9" hidden="1" function="0" vbProcedure="0">{#N/A,#N/A,FALSE,"Drlg Param Run 1-1";#N/A,#N/A,FALSE,"DDR (3)";#N/A,#N/A,FALSE,"BHA AT (1)";#N/A,#N/A,FALSE,"Downlinkbha";#N/A,#N/A,FALSE,"Job Status Report"}</definedName>
    <definedName name="wrn.CD_MST." localSheetId="9" hidden="1" function="0" vbProcedure="0">{#N/A,#N/A,FALSE,"Sheet1"}</definedName>
    <definedName name="wrn.DST_TCP." localSheetId="9" hidden="1" function="0" vbProcedure="0">{#N/A,#N/A,FALSE,"INFO";#N/A,#N/A,FALSE,"PCT";#N/A,#N/A,FALSE,"DISCS";#N/A,#N/A,FALSE,"DISC TABLE";#N/A,#N/A,FALSE,"CUSHION";#N/A,#N/A,FALSE,"HYDRAULICS";#N/A,#N/A,FALSE,"MCCV";#N/A,#N/A,FALSE,"HDF";#N/A,#N/A,FALSE,"GUNS";#N/A,#N/A,FALSE,"GUNDATA"}</definedName>
    <definedName name="wrn.SUMMARY." localSheetId="9" hidden="1" function="0" vbProcedure="0">{#N/A,#N/A,FALSE,"JUNK"}</definedName>
    <definedName name="wrn.VOLUME." localSheetId="9" hidden="0" function="0" vbProcedure="0">{#N/A,#N/A,FALSE,"Volume"}</definedName>
    <definedName name="wrn.volume.2" localSheetId="9" hidden="0" function="0" vbProcedure="0">{#N/A,#N/A,FALSE,"Volume"}</definedName>
    <definedName name="wrn.volume.2_1" localSheetId="9" hidden="0" function="0" vbProcedure="0">{#N/A,#N/A,FALSE,"Volume"}</definedName>
    <definedName name="wrn.volume.2_2" localSheetId="9" hidden="0" function="0" vbProcedure="0">{#N/A,#N/A,FALSE,"Volume"}</definedName>
    <definedName name="wrn.volume.2_3" localSheetId="9" hidden="0" function="0" vbProcedure="0">{#N/A,#N/A,FALSE,"Volume"}</definedName>
    <definedName name="wrn.volume.2_4" localSheetId="9" hidden="0" function="0" vbProcedure="0">{#N/A,#N/A,FALSE,"Volume"}</definedName>
    <definedName name="wrn.volume.2_5" localSheetId="9" hidden="0" function="0" vbProcedure="0">{#N/A,#N/A,FALSE,"Volume"}</definedName>
    <definedName name="wrn.volume.3" localSheetId="9" hidden="0" function="0" vbProcedure="0">{#N/A,#N/A,FALSE,"Volume"}</definedName>
    <definedName name="wrn.volume.3_1" localSheetId="9" hidden="0" function="0" vbProcedure="0">{#N/A,#N/A,FALSE,"Volume"}</definedName>
    <definedName name="wrn.volume.3_2" localSheetId="9" hidden="0" function="0" vbProcedure="0">{#N/A,#N/A,FALSE,"Volume"}</definedName>
    <definedName name="wrn.volume.3_3" localSheetId="9" hidden="0" function="0" vbProcedure="0">{#N/A,#N/A,FALSE,"Volume"}</definedName>
    <definedName name="wrn.volume.3_4" localSheetId="9" hidden="0" function="0" vbProcedure="0">{#N/A,#N/A,FALSE,"Volume"}</definedName>
    <definedName name="wrn.volume.3_5" localSheetId="9" hidden="0" function="0" vbProcedure="0">{#N/A,#N/A,FALSE,"Volume"}</definedName>
    <definedName name="wrn.VOLUME._1" localSheetId="9" hidden="0" function="0" vbProcedure="0">{#N/A,#N/A,FALSE,"Volume"}</definedName>
    <definedName name="wrn.VOLUME._2" localSheetId="9" hidden="0" function="0" vbProcedure="0">{#N/A,#N/A,FALSE,"Volume"}</definedName>
    <definedName name="wrn.VOLUME._3" localSheetId="9" hidden="0" function="0" vbProcedure="0">{#N/A,#N/A,FALSE,"Volume"}</definedName>
    <definedName name="wrn.VOLUME._4" localSheetId="9" hidden="0" function="0" vbProcedure="0">{#N/A,#N/A,FALSE,"Volume"}</definedName>
    <definedName name="wrn.VOLUME._5" localSheetId="9" hidden="0" function="0" vbProcedure="0">{#N/A,#N/A,FALSE,"Volume"}</definedName>
    <definedName name="WRN.VULUME" localSheetId="9" hidden="0" function="0" vbProcedure="0">{#N/A,#N/A,FALSE,"Volume"}</definedName>
    <definedName name="wrn.Wellplan."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9" hidden="1" function="0" vbProcedure="0">{#N/A,#N/A,FALSE,"SHEET 1";#N/A,#N/A,FALSE,"Sheet4"}</definedName>
    <definedName name="wscolumn" localSheetId="9" hidden="0" function="0" vbProcedure="0">[106]Data!$W$19</definedName>
    <definedName name="WS_ID" localSheetId="9" hidden="0" function="0" vbProcedure="0">'[113]#REF'!$H$12</definedName>
    <definedName name="WS_LENGTH" localSheetId="9" hidden="0" function="0" vbProcedure="0">'[113]#REF'!$J$12</definedName>
    <definedName name="WS_OD" localSheetId="9" hidden="0" function="0" vbProcedure="0">'[113]#REF'!$F$12</definedName>
    <definedName name="wt" localSheetId="9" hidden="0" function="0" vbProcedure="0">'[115]Max-Torq'!$P$64</definedName>
    <definedName name="wtcasing" localSheetId="9" hidden="0" function="0" vbProcedure="0">[106]Data!$J$19</definedName>
    <definedName name="wtr_cumm" localSheetId="9" hidden="0" function="0" vbProcedure="0">'[93]well test sheet'!#ref!</definedName>
    <definedName name="wtr_rate" localSheetId="9" hidden="0" function="0" vbProcedure="0">'[93]well test sheet'!#ref!</definedName>
    <definedName name="wtworkstring" localSheetId="9" hidden="0" function="0" vbProcedure="0">[106]Data!$W$21</definedName>
    <definedName name="Wtype" localSheetId="9" hidden="0" function="0" vbProcedure="0">'[109]Liner Job Info'!$E$9</definedName>
    <definedName name="Wt_Bouyant" localSheetId="9" hidden="0" function="0" vbProcedure="0">'[108]Packer Calculation Sheet'!$I$34</definedName>
    <definedName name="Wt_w_Cmt" localSheetId="9" hidden="0" function="0" vbProcedure="0">'[109]Liner Job Info'!$D$34</definedName>
    <definedName name="Wt_W_Pkr_Tst" localSheetId="9" hidden="0" function="0" vbProcedure="0">'[109]Liner Job Info'!$D$36</definedName>
    <definedName name="X" localSheetId="9" hidden="0" function="0" vbProcedure="0">#ref!</definedName>
    <definedName name="X5_TO" localSheetId="9" hidden="0" function="0" vbProcedure="0">[129]RSS!$C$197</definedName>
    <definedName name="XCEED_TO" localSheetId="9" hidden="0" function="0" vbProcedure="0">[129]RSS!$G$201</definedName>
    <definedName name="xoportdepth" localSheetId="9" hidden="0" function="0" vbProcedure="0">'[113]#REF'!$F$21</definedName>
    <definedName name="XO_DEPTH" localSheetId="9" hidden="0" function="0" vbProcedure="0">'[113]#REF'!$F$21</definedName>
    <definedName name="XO_PORT_DEPTH" localSheetId="9" hidden="0" function="0" vbProcedure="0">'[113]#REF'!$F$21</definedName>
    <definedName name="XTRA_TO" localSheetId="9" hidden="0" function="0" vbProcedure="0">[129]RSS!$E$201</definedName>
    <definedName name="xxx" localSheetId="9" hidden="1" function="0" vbProcedure="0">{#N/A,#N/A,FALSE,"Sheet1"}</definedName>
    <definedName name="xxxx" localSheetId="9" hidden="0" function="0" vbProcedure="0">[301]!Macro46</definedName>
    <definedName name="Y" localSheetId="9" hidden="0" function="0" vbProcedure="0">'[302]#ref'!#ref!</definedName>
    <definedName name="YESNO" localSheetId="9" hidden="0" function="0" vbProcedure="0">[129]RSS!$E$139:$E$141</definedName>
    <definedName name="YJEJD" localSheetId="9" hidden="0" function="0" vbProcedure="0">'[140]tally checklist'!yjejd</definedName>
    <definedName name="yp" localSheetId="9" hidden="0" function="0" vbProcedure="0">'[115]Max-Torq'!$N$59</definedName>
    <definedName name="ypa" localSheetId="9" hidden="0" function="0" vbProcedure="0">'[115]Max-Torq'!$P$63</definedName>
    <definedName name="ypdtr" localSheetId="9" hidden="0" function="0" vbProcedure="0">'[115]Max-Torq'!$P$70</definedName>
    <definedName name="zone" localSheetId="9" hidden="0" function="0" vbProcedure="0">[5]WTR!$L$4</definedName>
    <definedName name="Zone1BHP" localSheetId="9" hidden="0" function="0" vbProcedure="0">'[94]Job Technical Info'!$G$49</definedName>
    <definedName name="Zone1BHT" localSheetId="9" hidden="0" function="0" vbProcedure="0">'[94]Job Technical Info'!$H$49</definedName>
    <definedName name="Zone1Bottom" localSheetId="9" hidden="0" function="0" vbProcedure="0">'[94]Job Technical Info'!$E$49</definedName>
    <definedName name="Zone1Dev" localSheetId="9" hidden="0" function="0" vbProcedure="0">'[94]Job Technical Info'!$F$49</definedName>
    <definedName name="Zone1FluidType" localSheetId="9" hidden="0" function="0" vbProcedure="0">'[94]Job Technical Info'!$I$49</definedName>
    <definedName name="Zone1FluidWt" localSheetId="9" hidden="0" function="0" vbProcedure="0">'[94]Job Technical Info'!$J$49</definedName>
    <definedName name="Zone1Name" localSheetId="9" hidden="0" function="0" vbProcedure="0">'[94]Job Technical Info'!$C$49</definedName>
    <definedName name="Zone1Top" localSheetId="9" hidden="0" function="0" vbProcedure="0">'[94]Job Technical Info'!$D$49</definedName>
    <definedName name="Zone2BHP" localSheetId="9" hidden="0" function="0" vbProcedure="0">'[94]Job Technical Info'!$G$50</definedName>
    <definedName name="Zone2BHT" localSheetId="9" hidden="0" function="0" vbProcedure="0">'[94]Job Technical Info'!$H$50</definedName>
    <definedName name="Zone2Bottom" localSheetId="9" hidden="0" function="0" vbProcedure="0">'[94]Job Technical Info'!$E$50</definedName>
    <definedName name="Zone2Dev" localSheetId="9" hidden="0" function="0" vbProcedure="0">'[94]Job Technical Info'!$F$50</definedName>
    <definedName name="Zone2FluidType" localSheetId="9" hidden="0" function="0" vbProcedure="0">'[94]Job Technical Info'!$I$50</definedName>
    <definedName name="Zone2FluidWt" localSheetId="9" hidden="0" function="0" vbProcedure="0">'[94]Job Technical Info'!$J$50</definedName>
    <definedName name="Zone2Name" localSheetId="9" hidden="0" function="0" vbProcedure="0">'[94]Job Technical Info'!$C$50</definedName>
    <definedName name="Zone2Top" localSheetId="9" hidden="0" function="0" vbProcedure="0">'[94]Job Technical Info'!$D$50</definedName>
    <definedName name="Zone3BHP" localSheetId="9" hidden="0" function="0" vbProcedure="0">'[94]Job Technical Info'!$G$51</definedName>
    <definedName name="Zone3BHT" localSheetId="9" hidden="0" function="0" vbProcedure="0">'[94]Job Technical Info'!$H$51</definedName>
    <definedName name="Zone3Bottom" localSheetId="9" hidden="0" function="0" vbProcedure="0">'[94]Job Technical Info'!$E$51</definedName>
    <definedName name="Zone3Dev" localSheetId="9" hidden="0" function="0" vbProcedure="0">'[94]Job Technical Info'!$F$51</definedName>
    <definedName name="Zone3FluidType" localSheetId="9" hidden="0" function="0" vbProcedure="0">'[94]Job Technical Info'!$I$51</definedName>
    <definedName name="Zone3FluidWt" localSheetId="9" hidden="0" function="0" vbProcedure="0">'[94]Job Technical Info'!$J$51</definedName>
    <definedName name="Zone3Name" localSheetId="9" hidden="0" function="0" vbProcedure="0">'[94]Job Technical Info'!$C$51</definedName>
    <definedName name="Zone3Top" localSheetId="9" hidden="0" function="0" vbProcedure="0">'[94]Job Technical Info'!$D$51</definedName>
    <definedName name="Zone4BHP" localSheetId="9" hidden="0" function="0" vbProcedure="0">'[94]Job Technical Info'!$G$52</definedName>
    <definedName name="Zone4BHT" localSheetId="9" hidden="0" function="0" vbProcedure="0">'[94]Job Technical Info'!$H$52</definedName>
    <definedName name="Zone4Bottom" localSheetId="9" hidden="0" function="0" vbProcedure="0">'[94]Job Technical Info'!$E$52</definedName>
    <definedName name="Zone4Dev" localSheetId="9" hidden="0" function="0" vbProcedure="0">'[94]Job Technical Info'!$F$52</definedName>
    <definedName name="Zone4FluidType" localSheetId="9" hidden="0" function="0" vbProcedure="0">'[94]Job Technical Info'!$I$52</definedName>
    <definedName name="Zone4FluidWt" localSheetId="9" hidden="0" function="0" vbProcedure="0">'[94]Job Technical Info'!$J$52</definedName>
    <definedName name="Zone4Name" localSheetId="9" hidden="0" function="0" vbProcedure="0">'[94]Job Technical Info'!$C$52</definedName>
    <definedName name="Zone4Top" localSheetId="9" hidden="0" function="0" vbProcedure="0">'[94]Job Technical Info'!$D$52</definedName>
    <definedName name="Zone5BHP" localSheetId="9" hidden="0" function="0" vbProcedure="0">'[94]Job Technical Info'!$G$53</definedName>
    <definedName name="Zone5BHT" localSheetId="9" hidden="0" function="0" vbProcedure="0">'[94]Job Technical Info'!$H$53</definedName>
    <definedName name="Zone5Bottom" localSheetId="9" hidden="0" function="0" vbProcedure="0">'[94]Job Technical Info'!$E$53</definedName>
    <definedName name="Zone5Dev" localSheetId="9" hidden="0" function="0" vbProcedure="0">'[94]Job Technical Info'!$F$53</definedName>
    <definedName name="Zone5FluidType" localSheetId="9" hidden="0" function="0" vbProcedure="0">'[94]Job Technical Info'!$I$53</definedName>
    <definedName name="Zone5FluidWt" localSheetId="9" hidden="0" function="0" vbProcedure="0">'[94]Job Technical Info'!$J$53</definedName>
    <definedName name="Zone5Name" localSheetId="9" hidden="0" function="0" vbProcedure="0">'[94]Job Technical Info'!$C$53</definedName>
    <definedName name="Zone5Top" localSheetId="9" hidden="0" function="0" vbProcedure="0">'[94]Job Technical Info'!$D$53</definedName>
    <definedName name="ZXP_Seal_Area" localSheetId="9" hidden="0" function="0" vbProcedure="0">[109]Test!$Z$38</definedName>
    <definedName name="zzzzzz" localSheetId="9" hidden="0" function="0" vbProcedure="0">[301]!'[module4 formula].macro1'</definedName>
    <definedName name="Z_Fact_DH" localSheetId="9" hidden="0" function="0" vbProcedure="0">'[108]Tester Valve Calcs'!$F$23</definedName>
    <definedName name="Z_Fact_Surf" localSheetId="9" hidden="0" function="0" vbProcedure="0">'[108]Tester Valve Calcs'!$F$18</definedName>
    <definedName name="_A" localSheetId="9" hidden="0" function="0" vbProcedure="0">'[1]run sheet'!#ref!</definedName>
    <definedName name="_C" localSheetId="9" hidden="0" function="0" vbProcedure="0">'[1]run sheet'!#ref!</definedName>
    <definedName name="_D" localSheetId="9" hidden="0" function="0" vbProcedure="0">'[1]run sheet'!#ref!</definedName>
    <definedName name="_E" localSheetId="9" hidden="0" function="0" vbProcedure="0">'[1]run sheet'!#ref!</definedName>
    <definedName name="_f" localSheetId="9" hidden="0" function="0" vbProcedure="0">{#N/A,#N/A,FALSE,"Volume"}</definedName>
    <definedName name="_g" localSheetId="9" hidden="0" function="0" vbProcedure="0">{#N/A,#N/A,FALSE,"Volume"}</definedName>
    <definedName name="_h" localSheetId="9" hidden="0" function="0" vbProcedure="0">{#N/A,#N/A,FALSE,"Volume"}</definedName>
    <definedName name="_I" localSheetId="9" hidden="0" function="0" vbProcedure="0">'[1]run sheet'!#ref!</definedName>
    <definedName name="_L" localSheetId="9" hidden="0" function="0" vbProcedure="0">'[1]run sheet'!#ref!</definedName>
    <definedName name="_N" localSheetId="9" hidden="0" function="0" vbProcedure="0">'[1]run sheet'!#ref!</definedName>
    <definedName name="_q" localSheetId="9" hidden="0" function="0" vbProcedure="0">'[3]run sheet'!#ref!</definedName>
    <definedName name="_T" localSheetId="9" hidden="0" function="0" vbProcedure="0">{#N/A,#N/A,FALSE,"Volume"}</definedName>
    <definedName name="_Z" localSheetId="9" hidden="0" function="0" vbProcedure="0">'[1]run sheet'!#ref!</definedName>
    <definedName name="_" localSheetId="9" hidden="0" function="0" vbProcedure="0">[5]readings!#ref!</definedName>
    <definedName name="_1" localSheetId="9" hidden="0" function="0" vbProcedure="0">{#N/A,#N/A,FALSE,"Volume"}</definedName>
    <definedName name="_11Druckbereich" localSheetId="9" hidden="0" function="0" vbProcedure="0">[34]run_s!#ref!</definedName>
    <definedName name="_1234GRAPH_G" localSheetId="9" hidden="1" function="0" vbProcedure="0">[179]Run!$F$16:$F$514</definedName>
    <definedName name="_1Module2__2__.gaugeconok2" localSheetId="9" hidden="0" function="0" vbProcedure="0">'JOB ORDER '!_1Module2__2__.gaugeconok2</definedName>
    <definedName name="_2" localSheetId="9" hidden="0" function="0" vbProcedure="0">{#N/A,#N/A,FALSE,"Volume"}</definedName>
    <definedName name="_2Module2__2__.gaugeok2" localSheetId="9" hidden="0" function="0" vbProcedure="0">'JOB ORDER '!_2Module2__2__.gaugeok2</definedName>
    <definedName name="_3Module2__2__.gaugeselect2" localSheetId="9" hidden="0" function="0" vbProcedure="0">'JOB ORDER '!_3Module2__2__.gaugeselect2</definedName>
    <definedName name="_4Module2__2__.serialselect3" localSheetId="9" hidden="0" function="0" vbProcedure="0">'JOB ORDER '!_4Module2__2__.serialselect3</definedName>
    <definedName name="_5" localSheetId="9" hidden="0" function="0" vbProcedure="0">{#N/A,#N/A,FALSE,"Volume"}</definedName>
    <definedName name="_5Module2__2__.serialselect4" localSheetId="9" hidden="0" function="0" vbProcedure="0">'JOB ORDER '!_5Module2__2__.serialselect4</definedName>
    <definedName name="_a" localSheetId="9" hidden="0" function="0" vbProcedure="0">{#N/A,#N/A,FALSE,"Volume"}</definedName>
    <definedName name="_a1" localSheetId="9" hidden="0" function="0" vbProcedure="0">{#N/A,#N/A,FALSE,"Volume"}</definedName>
    <definedName name="_a2" localSheetId="9" hidden="0" function="0" vbProcedure="0">{#N/A,#N/A,FALSE,"Volume"}</definedName>
    <definedName name="_a3" localSheetId="9" hidden="0" function="0" vbProcedure="0">{#N/A,#N/A,FALSE,"Volume"}</definedName>
    <definedName name="_A4" localSheetId="9" hidden="1" function="0" vbProcedure="0">[179]Run!$B$18:$B$512</definedName>
    <definedName name="_aa" localSheetId="9" hidden="0" function="0" vbProcedure="0">{#N/A,#N/A,FALSE,"Volume"}</definedName>
    <definedName name="_aaa" localSheetId="9" hidden="0" function="0" vbProcedure="0">{#N/A,#N/A,FALSE,"Volume"}</definedName>
    <definedName name="_aaaaa" localSheetId="9" hidden="0" function="0" vbProcedure="0">{#N/A,#N/A,FALSE,"Volume"}</definedName>
    <definedName name="_aaaaaa" localSheetId="9" hidden="0" function="0" vbProcedure="0">{#N/A,#N/A,FALSE,"Volume"}</definedName>
    <definedName name="_ab" localSheetId="9" hidden="0" function="0" vbProcedure="0">{#N/A,#N/A,FALSE,"Volume"}</definedName>
    <definedName name="_ac" localSheetId="9" hidden="0" function="0" vbProcedure="0">{#N/A,#N/A,FALSE,"Volume"}</definedName>
    <definedName name="_acasdf" localSheetId="9" hidden="0" function="0" vbProcedure="0">{#N/A,#N/A,FALSE,"Volume"}</definedName>
    <definedName name="_acc" localSheetId="9" hidden="0" function="0" vbProcedure="0">{#N/A,#N/A,FALSE,"Volume"}</definedName>
    <definedName name="_ap1" localSheetId="9" hidden="0" function="0" vbProcedure="0">{#N/A,#N/A,FALSE,"Volume"}</definedName>
    <definedName name="_ap2" localSheetId="9" hidden="0" function="0" vbProcedure="0">{#N/A,#N/A,FALSE,"Volume"}</definedName>
    <definedName name="_ap3" localSheetId="9" hidden="0" function="0" vbProcedure="0">{#N/A,#N/A,FALSE,"Volume"}</definedName>
    <definedName name="_app1" localSheetId="9" hidden="0" function="0" vbProcedure="0">{#N/A,#N/A,FALSE,"Volume"}</definedName>
    <definedName name="_app2" localSheetId="9" hidden="0" function="0" vbProcedure="0">{#N/A,#N/A,FALSE,"Volume"}</definedName>
    <definedName name="_app3" localSheetId="9" hidden="0" function="0" vbProcedure="0">{#N/A,#N/A,FALSE,"Volume"}</definedName>
    <definedName name="_app4" localSheetId="9" hidden="0" function="0" vbProcedure="0">{#N/A,#N/A,FALSE,"Volume"}</definedName>
    <definedName name="_app5" localSheetId="9" hidden="0" function="0" vbProcedure="0">{#N/A,#N/A,FALSE,"Volume"}</definedName>
    <definedName name="_asdfas" localSheetId="9" hidden="0" function="0" vbProcedure="0">{#N/A,#N/A,FALSE,"Volume"}</definedName>
    <definedName name="_b" localSheetId="9" hidden="0" function="0" vbProcedure="0">{#N/A,#N/A,FALSE,"Volume"}</definedName>
    <definedName name="_b1" localSheetId="9" hidden="0" function="0" vbProcedure="0">{#N/A,#N/A,FALSE,"Volume"}</definedName>
    <definedName name="_b2" localSheetId="9" hidden="0" function="0" vbProcedure="0">{#N/A,#N/A,FALSE,"Volume"}</definedName>
    <definedName name="_b3" localSheetId="9" hidden="0" function="0" vbProcedure="0">{#N/A,#N/A,FALSE,"Volume"}</definedName>
    <definedName name="_b4" localSheetId="9" hidden="0" function="0" vbProcedure="0">{#N/A,#N/A,FALSE,"Volume"}</definedName>
    <definedName name="_b5" localSheetId="9" hidden="0" function="0" vbProcedure="0">{#N/A,#N/A,FALSE,"Volume"}</definedName>
    <definedName name="_bb2789" localSheetId="9" hidden="0" function="0" vbProcedure="0">[9]!Calculate_Pipe</definedName>
    <definedName name="_bgn1" localSheetId="9" hidden="1" function="0" vbProcedure="0">{#N/A,#N/A,FALSE,"Sheet1"}</definedName>
    <definedName name="_c" localSheetId="9" hidden="0" function="0" vbProcedure="0">{#N/A,#N/A,FALSE,"Volume"}</definedName>
    <definedName name="_c1" localSheetId="9" hidden="0" function="0" vbProcedure="0">{#N/A,#N/A,FALSE,"Volume"}</definedName>
    <definedName name="_c2" localSheetId="9" hidden="0" function="0" vbProcedure="0">{#N/A,#N/A,FALSE,"Volume"}</definedName>
    <definedName name="_c3" localSheetId="9" hidden="0" function="0" vbProcedure="0">{#N/A,#N/A,FALSE,"Volume"}</definedName>
    <definedName name="_c4" localSheetId="9" hidden="0" function="0" vbProcedure="0">{#N/A,#N/A,FALSE,"Volume"}</definedName>
    <definedName name="_cd1" localSheetId="9" hidden="1" function="0" vbProcedure="0">{#N/A,#N/A,FALSE,"Sheet1"}</definedName>
    <definedName name="_cf1" localSheetId="9" hidden="1" function="0" vbProcedure="0">{#N/A,#N/A,FALSE,"Sheet1"}</definedName>
    <definedName name="_d" localSheetId="9" hidden="0" function="0" vbProcedure="0">{#N/A,#N/A,FALSE,"Volume"}</definedName>
    <definedName name="_d1" localSheetId="9" hidden="0" function="0" vbProcedure="0">{#N/A,#N/A,FALSE,"Volume"}</definedName>
    <definedName name="_d2_" localSheetId="9" hidden="0" function="0" vbProcedure="0">{#N/A,#N/A,FALSE,"Volume"}</definedName>
    <definedName name="_d3" localSheetId="9" hidden="0" function="0" vbProcedure="0">{#N/A,#N/A,FALSE,"Volume"}</definedName>
    <definedName name="_d4" localSheetId="9" hidden="0" function="0" vbProcedure="0">{#N/A,#N/A,FALSE,"Volume"}</definedName>
    <definedName name="_DAT16" localSheetId="9" hidden="0" function="0" vbProcedure="0">'[37]sap serv 06-02'!#ref!</definedName>
    <definedName name="_DAT17" localSheetId="9" hidden="0" function="0" vbProcedure="0">'[37]sap serv 06-02'!#ref!</definedName>
    <definedName name="_DAT19" localSheetId="9" hidden="0" function="0" vbProcedure="0">'[37]sap serv 06-02'!#ref!</definedName>
    <definedName name="_DAT20" localSheetId="9" hidden="0" function="0" vbProcedure="0">'[37]sap serv 06-02'!#ref!</definedName>
    <definedName name="_DAT25" localSheetId="9" hidden="0" function="0" vbProcedure="0">'[37]sap serv 06-02'!#ref!</definedName>
    <definedName name="_DAT26" localSheetId="9" hidden="0" function="0" vbProcedure="0">'[37]sap serv 06-02'!#ref!</definedName>
    <definedName name="_DAT27" localSheetId="9" hidden="0" function="0" vbProcedure="0">'[37]sap serv 06-02'!#ref!</definedName>
    <definedName name="_DAT28" localSheetId="9" hidden="0" function="0" vbProcedure="0">'[37]sap serv 06-02'!#ref!</definedName>
    <definedName name="_DAT29" localSheetId="9" hidden="0" function="0" vbProcedure="0">'[37]sap serv 06-02'!#ref!</definedName>
    <definedName name="_DAT31" localSheetId="9" hidden="0" function="0" vbProcedure="0">'[37]sap serv 06-02'!#ref!</definedName>
    <definedName name="_DAT32" localSheetId="9" hidden="0" function="0" vbProcedure="0">'[37]sap serv 06-02'!#ref!</definedName>
    <definedName name="_DAT34" localSheetId="9" hidden="0" function="0" vbProcedure="0">'[37]sap serv 06-02'!#ref!</definedName>
    <definedName name="_DAT35" localSheetId="9" hidden="0" function="0" vbProcedure="0">'[37]sap serv 06-02'!#ref!</definedName>
    <definedName name="_DAT36" localSheetId="9" hidden="0" function="0" vbProcedure="0">'[37]sap serv 06-02'!#ref!</definedName>
    <definedName name="_DAT40" localSheetId="9" hidden="0" function="0" vbProcedure="0">'[37]sap serv 06-02'!#ref!</definedName>
    <definedName name="_DAT41" localSheetId="9" hidden="0" function="0" vbProcedure="0">'[37]sap serv 06-02'!#ref!</definedName>
    <definedName name="_DAT42" localSheetId="9" hidden="0" function="0" vbProcedure="0">'[37]sap serv 06-02'!#ref!</definedName>
    <definedName name="_DAT44" localSheetId="9" hidden="0" function="0" vbProcedure="0">'[37]sap serv 06-02'!#ref!</definedName>
    <definedName name="_DAT45" localSheetId="9" hidden="0" function="0" vbProcedure="0">'[37]sap serv 06-02'!#ref!</definedName>
    <definedName name="_DAT46" localSheetId="9" hidden="0" function="0" vbProcedure="0">'[37]sap serv 06-02'!#ref!</definedName>
    <definedName name="_DAT47" localSheetId="9" hidden="0" function="0" vbProcedure="0">'[37]sap serv 06-02'!#ref!</definedName>
    <definedName name="_DAT48" localSheetId="9" hidden="0" function="0" vbProcedure="0">'[37]sap serv 06-02'!#ref!</definedName>
    <definedName name="_DAT49" localSheetId="9" hidden="0" function="0" vbProcedure="0">'[37]sap serv 06-02'!#ref!</definedName>
    <definedName name="_DAT50" localSheetId="9" hidden="0" function="0" vbProcedure="0">'[37]sap serv 06-02'!#ref!</definedName>
    <definedName name="_DAT52" localSheetId="9" hidden="0" function="0" vbProcedure="0">'[37]sap serv 06-02'!#ref!</definedName>
    <definedName name="_DAT53" localSheetId="9" hidden="0" function="0" vbProcedure="0">'[37]sap serv 06-02'!#ref!</definedName>
    <definedName name="_DAT54" localSheetId="9" hidden="0" function="0" vbProcedure="0">'[37]sap serv 06-02'!#ref!</definedName>
    <definedName name="_DAT56" localSheetId="9" hidden="0" function="0" vbProcedure="0">'[37]sap serv 06-02'!#ref!</definedName>
    <definedName name="_DAT57" localSheetId="9" hidden="0" function="0" vbProcedure="0">'[37]sap serv 06-02'!#ref!</definedName>
    <definedName name="_DAT62" localSheetId="9" hidden="0" function="0" vbProcedure="0">'[37]sap serv 06-02'!#ref!</definedName>
    <definedName name="_DAT63" localSheetId="9" hidden="0" function="0" vbProcedure="0">'[37]sap serv 06-02'!#ref!</definedName>
    <definedName name="_e" localSheetId="9" hidden="0" function="0" vbProcedure="0">{#N/A,#N/A,FALSE,"Volume"}</definedName>
    <definedName name="_e1" localSheetId="9" hidden="0" function="0" vbProcedure="0">{#N/A,#N/A,FALSE,"Volume"}</definedName>
    <definedName name="_e2" localSheetId="9" hidden="0" function="0" vbProcedure="0">{#N/A,#N/A,FALSE,"Volume"}</definedName>
    <definedName name="_e3" localSheetId="9" hidden="0" function="0" vbProcedure="0">{#N/A,#N/A,FALSE,"Volume"}</definedName>
    <definedName name="_e4" localSheetId="9" hidden="0" function="0" vbProcedure="0">{#N/A,#N/A,FALSE,"Volume"}</definedName>
    <definedName name="_f1" localSheetId="9" hidden="0" function="0" vbProcedure="0">{#N/A,#N/A,FALSE,"Volume"}</definedName>
    <definedName name="_f2" localSheetId="9" hidden="0" function="0" vbProcedure="0">{#N/A,#N/A,FALSE,"Volume"}</definedName>
    <definedName name="_f3" localSheetId="9" hidden="0" function="0" vbProcedure="0">{#N/A,#N/A,FALSE,"Volume"}</definedName>
    <definedName name="_f4" localSheetId="9" hidden="0" function="0" vbProcedure="0">{#N/A,#N/A,FALSE,"Volume"}</definedName>
    <definedName name="_f5" localSheetId="9" hidden="0" function="0" vbProcedure="0">{#N/A,#N/A,FALSE,"Volume"}</definedName>
    <definedName name="_f6" localSheetId="9" hidden="0" function="0" vbProcedure="0">{#N/A,#N/A,FALSE,"Volume"}</definedName>
    <definedName name="_f7" localSheetId="9" hidden="0" function="0" vbProcedure="0">{#N/A,#N/A,FALSE,"Volume"}</definedName>
    <definedName name="_Fill" localSheetId="9" hidden="1" function="0" vbProcedure="0">#ref!</definedName>
    <definedName name="_gmh1" localSheetId="9" hidden="1" function="0" vbProcedure="0">{#N/A,#N/A,FALSE,"Sheet1"}</definedName>
    <definedName name="_i" localSheetId="9" hidden="0" function="0" vbProcedure="0">{#N/A,#N/A,FALSE,"Volume"}</definedName>
    <definedName name="_Key1" localSheetId="9" hidden="1" function="0" vbProcedure="0">#ref!</definedName>
    <definedName name="_lyc7" localSheetId="9" hidden="0" function="0" vbProcedure="0">[119]钻井日报表!$G$5</definedName>
    <definedName name="_num15" localSheetId="9" hidden="0" function="0" vbProcedure="0">'[31]data '!#ref!</definedName>
    <definedName name="_Order2" localSheetId="9" hidden="1" function="0" vbProcedure="0">255</definedName>
    <definedName name="_P" localSheetId="9" hidden="0" function="0" vbProcedure="0">{#N/A,#N/A,FALSE,"Volume"}</definedName>
    <definedName name="_P1" localSheetId="9" hidden="0" function="0" vbProcedure="0">{#N/A,#N/A,FALSE,"Volume"}</definedName>
    <definedName name="_P2" localSheetId="9" hidden="0" function="0" vbProcedure="0">{#N/A,#N/A,FALSE,"Volume"}</definedName>
    <definedName name="_P3" localSheetId="9" hidden="0" function="0" vbProcedure="0">{#N/A,#N/A,FALSE,"Volume"}</definedName>
    <definedName name="_P4" localSheetId="9" hidden="0" function="0" vbProcedure="0">{#N/A,#N/A,FALSE,"Volume"}</definedName>
    <definedName name="_pap1" localSheetId="9" hidden="0" function="0" vbProcedure="0">{#N/A,#N/A,FALSE,"Volume"}</definedName>
    <definedName name="_pap2" localSheetId="9" hidden="0" function="0" vbProcedure="0">{#N/A,#N/A,FALSE,"Volume"}</definedName>
    <definedName name="_pap3" localSheetId="9" hidden="0" function="0" vbProcedure="0">{#N/A,#N/A,FALSE,"Volume"}</definedName>
    <definedName name="_pap4" localSheetId="9" hidden="0" function="0" vbProcedure="0">{#N/A,#N/A,FALSE,"Volume"}</definedName>
    <definedName name="_pap5" localSheetId="9" hidden="0" function="0" vbProcedure="0">{#N/A,#N/A,FALSE,"Volume"}</definedName>
    <definedName name="_PPH1" localSheetId="9" hidden="0" function="0" vbProcedure="0">[40]!Calculate_Pipe</definedName>
    <definedName name="_r06" localSheetId="9" hidden="0" function="0" vbProcedure="0">[41]!AutoCAD</definedName>
    <definedName name="_Sort" localSheetId="9" hidden="1" function="0" vbProcedure="0">#ref!</definedName>
    <definedName name="_SPM1" localSheetId="9" hidden="0" function="0" vbProcedure="0">[16]!Macro1</definedName>
    <definedName name="_SSA1" localSheetId="9" hidden="0" function="0" vbProcedure="0">[43]!Macro46</definedName>
    <definedName name="_Table1_In1" localSheetId="9" hidden="1" function="0" vbProcedure="0">[103]Run!$E$575</definedName>
    <definedName name="_Table1_Out" localSheetId="9" hidden="1" function="0" vbProcedure="0">[103]Run!$C$16:$E$577</definedName>
    <definedName name="_TST2" localSheetId="9" hidden="0" function="0" vbProcedure="0">'[109]Liner Job Info'!$O$7</definedName>
    <definedName name="_UA38" localSheetId="9" hidden="0" function="0" vbProcedure="0">'JOB ORDER '!_UA38</definedName>
    <definedName name="_wrn1" localSheetId="9" hidden="0" function="0" vbProcedure="0">{#N/A,#N/A,FALSE,"Volume"}</definedName>
    <definedName name="_x" localSheetId="9" hidden="0" function="0" vbProcedure="0">{#N/A,#N/A,FALSE,"Volume"}</definedName>
    <definedName name="_xa" localSheetId="9" hidden="0" function="0" vbProcedure="0">{#N/A,#N/A,FALSE,"Volume"}</definedName>
    <definedName name="_xb" localSheetId="9" hidden="0" function="0" vbProcedure="0">{#N/A,#N/A,FALSE,"Volume"}</definedName>
    <definedName name="_xc" localSheetId="9" hidden="0" function="0" vbProcedure="0">{#N/A,#N/A,FALSE,"Volume"}</definedName>
    <definedName name="_z" localSheetId="9" hidden="0" function="0" vbProcedure="0">{#N/A,#N/A,FALSE,"Volume"}</definedName>
    <definedName name="_z1" localSheetId="9" hidden="0" function="0" vbProcedure="0">{#N/A,#N/A,FALSE,"Volume"}</definedName>
    <definedName name="_z2" localSheetId="9" hidden="0" function="0" vbProcedure="0">{#N/A,#N/A,FALSE,"Volume"}</definedName>
    <definedName name="_z3" localSheetId="9" hidden="0" function="0" vbProcedure="0">{#N/A,#N/A,FALSE,"Volume"}</definedName>
    <definedName name="_z4" localSheetId="9" hidden="0" function="0" vbProcedure="0">{#N/A,#N/A,FALSE,"Volume"}</definedName>
    <definedName name="__" localSheetId="9" hidden="0" function="0" vbProcedure="0">'[113]#REF'!$E$29</definedName>
    <definedName name="__123Graph_A" localSheetId="9" hidden="1" function="0" vbProcedure="0">[103]Run!$B$18:$B$512</definedName>
    <definedName name="__123Graph_B" localSheetId="9" hidden="1" function="0" vbProcedure="0">'[102]Minimum Curve Method'!$K$9:$K$152</definedName>
    <definedName name="__123Graph_C" localSheetId="9" hidden="1" function="0" vbProcedure="0">[103]Run!$C$16:$C$512</definedName>
    <definedName name="__123Graph_D" localSheetId="9" hidden="1" function="0" vbProcedure="0">[103]Run!$D$15:$D$512</definedName>
    <definedName name="__123Graph_E" localSheetId="9" hidden="1" function="0" vbProcedure="0">[103]Run!$E$16:$E$514</definedName>
    <definedName name="__123Graph_F" localSheetId="9" hidden="1" function="0" vbProcedure="0">[103]Run!$F$16:$F$514</definedName>
    <definedName name="__123Graph_X" localSheetId="9" hidden="1" function="0" vbProcedure="0">'[102]Minimum Curve Method'!$K$9:$K$152</definedName>
    <definedName name="__1Module2__2__.gaugeconok2" localSheetId="9" hidden="0" function="0" vbProcedure="0">'JOB ORDER '!__1Module2__2__.gaugeconok2</definedName>
    <definedName name="__2Module2__2__.gaugeok2" localSheetId="9" hidden="0" function="0" vbProcedure="0">'JOB ORDER '!__2Module2__2__.gaugeok2</definedName>
    <definedName name="__3Module2__2__.gaugeselect2" localSheetId="9" hidden="0" function="0" vbProcedure="0">'JOB ORDER '!__3Module2__2__.gaugeselect2</definedName>
    <definedName name="__4Module2__2__.serialselect3" localSheetId="9" hidden="0" function="0" vbProcedure="0">'JOB ORDER '!__4Module2__2__.serialselect3</definedName>
    <definedName name="__5Module2__2__.serialselect4" localSheetId="9" hidden="0" function="0" vbProcedure="0">'JOB ORDER '!__5Module2__2__.serialselect4</definedName>
    <definedName name="__A4" localSheetId="9" hidden="1" function="0" vbProcedure="0">[179]Run!$B$18:$B$512</definedName>
    <definedName name="__bb2789" localSheetId="9" hidden="0" function="0" vbProcedure="0">[9]!Calculate_Pipe</definedName>
    <definedName name="__SPM1" localSheetId="9" hidden="0" function="0" vbProcedure="0">[16]!Macro1</definedName>
    <definedName name="__UA38" localSheetId="9" hidden="0" function="0" vbProcedure="0">'JOB ORDER '!__UA38</definedName>
    <definedName name="__wrn1" localSheetId="9" hidden="0" function="0" vbProcedure="0">{#N/A,#N/A,FALSE,"Volume"}</definedName>
    <definedName name="___A4" localSheetId="9" hidden="1" function="0" vbProcedure="0">[179]Run!$B$18:$B$512</definedName>
    <definedName name="___bb2789" localSheetId="9" hidden="0" function="0" vbProcedure="0">[9]!Calculate_Pipe</definedName>
    <definedName name="___SPM1" localSheetId="9" hidden="0" function="0" vbProcedure="0">[16]!Macro1</definedName>
    <definedName name="___wrn1" localSheetId="9" hidden="0" function="0" vbProcedure="0">{#N/A,#N/A,FALSE,"Volume"}</definedName>
    <definedName name="____A4" localSheetId="9" hidden="1" function="0" vbProcedure="0">[179]Run!$B$18:$B$512</definedName>
    <definedName name="____bb2789" localSheetId="9" hidden="0" function="0" vbProcedure="0">[9]!Calculate_Pipe</definedName>
    <definedName name="____SPM1" localSheetId="9" hidden="0" function="0" vbProcedure="0">[16]!Macro1</definedName>
    <definedName name="____wrn1" localSheetId="9" hidden="0" function="0" vbProcedure="0">{#N/A,#N/A,FALSE,"Volume"}</definedName>
    <definedName name="_____A4" localSheetId="9" hidden="1" function="0" vbProcedure="0">[179]Run!$B$18:$B$512</definedName>
    <definedName name="_____bb2789" localSheetId="9" hidden="0" function="0" vbProcedure="0">[14]!Calculate_Pipe</definedName>
    <definedName name="_____SPM1" localSheetId="9" hidden="0" function="0" vbProcedure="0">[16]!Macro1</definedName>
    <definedName name="_____wrn1" localSheetId="9" hidden="0" function="0" vbProcedure="0">{#N/A,#N/A,FALSE,"Volume"}</definedName>
    <definedName name="______A4" localSheetId="9" hidden="1" function="0" vbProcedure="0">[179]Run!$B$18:$B$512</definedName>
    <definedName name="______bb2789" localSheetId="9" hidden="0" function="0" vbProcedure="0">[14]!Calculate_Pipe</definedName>
    <definedName name="______SPM1" localSheetId="9" hidden="0" function="0" vbProcedure="0">[16]!Macro1</definedName>
    <definedName name="_______A4" localSheetId="9" hidden="1" function="0" vbProcedure="0">[179]Run!$B$18:$B$512</definedName>
    <definedName name="_______bb2789" localSheetId="9" hidden="0" function="0" vbProcedure="0">[14]!Calculate_Pipe</definedName>
    <definedName name="_______wrn1" localSheetId="9" hidden="0" function="0" vbProcedure="0">{#N/A,#N/A,FALSE,"Volume"}</definedName>
    <definedName name="________A4" localSheetId="9" hidden="1" function="0" vbProcedure="0">[179]Run!$B$18:$B$512</definedName>
    <definedName name="________bb2789" localSheetId="9" hidden="0" function="0" vbProcedure="0">[14]!Calculate_Pipe</definedName>
    <definedName name="_________A4" localSheetId="9" hidden="1" function="0" vbProcedure="0">[179]Run!$B$18:$B$512</definedName>
    <definedName name="_________bb2789" localSheetId="9" hidden="0" function="0" vbProcedure="0">[14]!Calculate_Pipe</definedName>
    <definedName name="_________wrn1" localSheetId="9" hidden="0" function="0" vbProcedure="0">{#N/A,#N/A,FALSE,"Volume"}</definedName>
    <definedName name="__________A4" localSheetId="9" hidden="1" function="0" vbProcedure="0">[179]Run!$B$18:$B$512</definedName>
    <definedName name="__________bb2789" localSheetId="9" hidden="0" function="0" vbProcedure="0">[14]!Calculate_Pipe</definedName>
    <definedName name="___________A4" localSheetId="9" hidden="1" function="0" vbProcedure="0">[179]Run!$B$18:$B$512</definedName>
    <definedName name="___________bb2789" localSheetId="9" hidden="0" function="0" vbProcedure="0">[14]!Calculate_Pipe</definedName>
    <definedName name="___________wrn1" localSheetId="9" hidden="0" function="0" vbProcedure="0">{#N/A,#N/A,FALSE,"Volume"}</definedName>
    <definedName name="____________A4" localSheetId="9" hidden="1" function="0" vbProcedure="0">[179]Run!$B$18:$B$512</definedName>
    <definedName name="____________bb2789" localSheetId="9" hidden="0" function="0" vbProcedure="0">[14]!Calculate_Pipe</definedName>
    <definedName name="____________wrn1" localSheetId="9" hidden="0" function="0" vbProcedure="0">{#N/A,#N/A,FALSE,"Volume"}</definedName>
    <definedName name="_____________A4" localSheetId="9" hidden="1" function="0" vbProcedure="0">[179]Run!$B$18:$B$512</definedName>
    <definedName name="_____________bb2789" localSheetId="9" hidden="0" function="0" vbProcedure="0">[14]!Calculate_Pipe</definedName>
    <definedName name="______________A4" localSheetId="9" hidden="1" function="0" vbProcedure="0">[179]Run!$B$18:$B$512</definedName>
    <definedName name="______________bb2789" localSheetId="9" hidden="0" function="0" vbProcedure="0">[14]!Calculate_Pipe</definedName>
    <definedName name="_______________A4" localSheetId="9" hidden="1" function="0" vbProcedure="0">[179]Run!$B$18:$B$512</definedName>
    <definedName name="_______________bb2789" localSheetId="9" hidden="0" function="0" vbProcedure="0">[14]!Calculate_Pipe</definedName>
    <definedName name="________________A4" localSheetId="9" hidden="1" function="0" vbProcedure="0">[179]Run!$B$18:$B$512</definedName>
    <definedName name="________________bb2789" localSheetId="9" hidden="0" function="0" vbProcedure="0">[9]!Calculate_Pipe</definedName>
    <definedName name="_________________A4" localSheetId="9" hidden="1" function="0" vbProcedure="0">[179]Run!$B$18:$B$512</definedName>
    <definedName name="_________________bb2789" localSheetId="9" hidden="0" function="0" vbProcedure="0">[9]!Calculate_Pipe</definedName>
    <definedName name="__________________A4" localSheetId="9" hidden="1" function="0" vbProcedure="0">[179]Run!$B$18:$B$512</definedName>
    <definedName name="__________________bb2789" localSheetId="9" hidden="0" function="0" vbProcedure="0">[11]!Calculate_Pipe</definedName>
    <definedName name="___________________A4" localSheetId="9" hidden="1" function="0" vbProcedure="0">[179]Run!$B$18:$B$512</definedName>
    <definedName name="___________________bb2789" localSheetId="9" hidden="0" function="0" vbProcedure="0">[11]!Calculate_Pipe</definedName>
    <definedName name="____________________A4" localSheetId="9" hidden="1" function="0" vbProcedure="0">[184]Run!$B$18:$B$512</definedName>
    <definedName name="____________________bb2789" localSheetId="9" hidden="0" function="0" vbProcedure="0">[9]!Calculate_Pipe</definedName>
    <definedName name="_____________________A4" localSheetId="9" hidden="1" function="0" vbProcedure="0">[179]Run!$B$18:$B$512</definedName>
    <definedName name="_____________________bb2789" localSheetId="9" hidden="0" function="0" vbProcedure="0">[12]!Calculate_Pipe</definedName>
    <definedName name="______________________A4" localSheetId="9" hidden="1" function="0" vbProcedure="0">[179]Run!$B$18:$B$512</definedName>
    <definedName name="______________________bb2789" localSheetId="9" hidden="0" function="0" vbProcedure="0">[9]!Calculate_Pipe</definedName>
    <definedName name="_______________________A4" localSheetId="9" hidden="1" function="0" vbProcedure="0">[184]Run!$B$18:$B$512</definedName>
    <definedName name="_______________________bb2789" localSheetId="9" hidden="0" function="0" vbProcedure="0">[9]!Calculate_Pipe</definedName>
    <definedName name="________________________A4" localSheetId="9" hidden="1" function="0" vbProcedure="0">[179]Run!$B$18:$B$512</definedName>
    <definedName name="________________________bb2789" localSheetId="9" hidden="0" function="0" vbProcedure="0">[11]!Calculate_Pipe</definedName>
    <definedName name="_________________________bb2789" localSheetId="9" hidden="0" function="0" vbProcedure="0">[9]!Calculate_Pipe</definedName>
    <definedName name="__________________________A4" localSheetId="9" hidden="1" function="0" vbProcedure="0">[184]Run!$B$18:$B$512</definedName>
    <definedName name="歼击机" localSheetId="9" hidden="0" function="0" vbProcedure="0">[119]钻井日报表!$E$7</definedName>
    <definedName name="起始日期" localSheetId="9" hidden="0" function="0" vbProcedure="0">[181]钻井日报表!$B$1</definedName>
    <definedName name="_xlnm.Print_Area" localSheetId="9">'JOB ORDER '!$A$1:$L$109</definedName>
    <definedName name="a" localSheetId="10" hidden="1" function="0" vbProcedure="0">#ref!</definedName>
    <definedName name="AA" localSheetId="10" hidden="0" function="0" vbProcedure="0">#ref!</definedName>
    <definedName name="aa.macro111" localSheetId="10" hidden="0" function="0" vbProcedure="0">[48]!Prev.Macro111</definedName>
    <definedName name="aaaa" localSheetId="10" hidden="0" function="0" vbProcedure="0">[49]!Macro59</definedName>
    <definedName name="ABX" localSheetId="10" hidden="1" function="0" vbProcedure="0">[1]Run!$B$18:$B$512</definedName>
    <definedName name="addresstwo" localSheetId="10" hidden="0" function="0" vbProcedure="0">[53]data!#ref!</definedName>
    <definedName name="ADDSTAB" localSheetId="10" hidden="0" function="0" vbProcedure="0">[55]!ADDSTAB</definedName>
    <definedName name="adf" localSheetId="10" hidden="0" function="0" vbProcedure="0">[56]!Macro60</definedName>
    <definedName name="ae" localSheetId="10" hidden="0" function="0" vbProcedure="0">'[104]forecast 3YP'!$AD$6</definedName>
    <definedName name="AFE19R"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10" hidden="0" function="0" vbProcedure="0">'[44]7-30-04'!$W$55:$IV$7457</definedName>
    <definedName name="alwyn1" localSheetId="10" hidden="0" function="0" vbProcedure="0">#ref!</definedName>
    <definedName name="AMACRO.n2foam" localSheetId="10" hidden="0" function="0" vbProcedure="0">'[61]tool backload dt'!amacro.n2foam</definedName>
    <definedName name="Ambient_temp" localSheetId="10" hidden="0" function="0" vbProcedure="0">'[6]#ref'!#ref!</definedName>
    <definedName name="amis" localSheetId="10" hidden="0" function="0" vbProcedure="0">[105]Tally!$A$5:$J$825</definedName>
    <definedName name="ANDERGAUGE" localSheetId="10" hidden="0" function="0" vbProcedure="0">[55]!ANDERGAUGE</definedName>
    <definedName name="annularvol" localSheetId="10" hidden="0" function="0" vbProcedure="0">[106]Data!$F$13</definedName>
    <definedName name="Ao" localSheetId="10" hidden="0" function="0" vbProcedure="0">[107]Piston!$F$5</definedName>
    <definedName name="Ap" localSheetId="10" hidden="0" function="0" vbProcedure="0">[107]Piston!$F$6</definedName>
    <definedName name="Approver_Objectives" localSheetId="10" hidden="0" function="0" vbProcedure="0">'[70]well team goals'!#ref!</definedName>
    <definedName name="Approver_Well_Plan" localSheetId="10" hidden="0" function="0" vbProcedure="0">'[70]well team goals'!#ref!</definedName>
    <definedName name="ASDA" localSheetId="10" hidden="0" function="0" vbProcedure="0">[71]!Calculate_Pipe</definedName>
    <definedName name="ASS" localSheetId="10" hidden="0" function="0" vbProcedure="0">[72]!JointNumber</definedName>
    <definedName name="Assembly1" localSheetId="10" hidden="0" function="0" vbProcedure="0">[72]!Calculate_Pipe</definedName>
    <definedName name="assy.3" localSheetId="10" hidden="0" function="0" vbProcedure="0">[72]!Calculate_Pipe</definedName>
    <definedName name="ASSY.6" localSheetId="10" hidden="0" function="0" vbProcedure="0">[72]!Calculate_Pipe</definedName>
    <definedName name="ASSY2312" localSheetId="10" hidden="0" function="0" vbProcedure="0">[26]!Macro1</definedName>
    <definedName name="ASSY7" localSheetId="10" hidden="0" function="0" vbProcedure="0">[40]!Calculate_Pipe</definedName>
    <definedName name="ASSY_098" localSheetId="10" hidden="0" function="0" vbProcedure="0">[72]!JointNumber</definedName>
    <definedName name="ASSY_122" localSheetId="10" hidden="0" function="0" vbProcedure="0">[26]!Macro1</definedName>
    <definedName name="ASSY_123" localSheetId="10" hidden="0" function="0" vbProcedure="0">[72]!JointNumber</definedName>
    <definedName name="ASSY_2111" localSheetId="10" hidden="0" function="0" vbProcedure="0">[26]!Macro1</definedName>
    <definedName name="ASSY_231" localSheetId="10" hidden="0" function="0" vbProcedure="0">[26]!Macro1</definedName>
    <definedName name="ASSY_342" localSheetId="10" hidden="0" function="0" vbProcedure="0">[26]!Macro1</definedName>
    <definedName name="ASSY_36" localSheetId="10" hidden="0" function="0" vbProcedure="0">[26]!Macro1</definedName>
    <definedName name="ASSY_4" localSheetId="10" hidden="0" function="0" vbProcedure="0">[26]!Macro1</definedName>
    <definedName name="ASSY_432" localSheetId="10" hidden="0" function="0" vbProcedure="0">[26]!Macro1</definedName>
    <definedName name="assy_5" localSheetId="10" hidden="0" function="0" vbProcedure="0">[72]!JointNumber</definedName>
    <definedName name="assy_543" localSheetId="10" hidden="0" function="0" vbProcedure="0">[72]!JointNumber</definedName>
    <definedName name="Assy_765" localSheetId="10" hidden="0" function="0" vbProcedure="0">[72]!Calculate_Pipe</definedName>
    <definedName name="ASSy_blast" localSheetId="10" hidden="0" function="0" vbProcedure="0">[72]!Calculate_Pipe</definedName>
    <definedName name="ASSY_W2" localSheetId="10" hidden="0" function="0" vbProcedure="0">[72]!Calculate_Pipe</definedName>
    <definedName name="AutoCAD" localSheetId="10" hidden="0" function="0" vbProcedure="0">[41]!AutoCAD</definedName>
    <definedName name="AutoCAD_1" localSheetId="10" hidden="0" function="0" vbProcedure="0">'FINAL TALLY'!AutoCAD</definedName>
    <definedName name="AutoCAD_10" localSheetId="10" hidden="0" function="0" vbProcedure="0">'FINAL TALLY'!AutoCAD</definedName>
    <definedName name="AutoCAD_11" localSheetId="10" hidden="0" function="0" vbProcedure="0">'FINAL TALLY'!AutoCAD</definedName>
    <definedName name="AutoCAD_2" localSheetId="10" hidden="0" function="0" vbProcedure="0">'FINAL TALLY'!AutoCAD</definedName>
    <definedName name="AutoCAD_3" localSheetId="10" hidden="0" function="0" vbProcedure="0">'FINAL TALLY'!AutoCAD</definedName>
    <definedName name="AutoCAD_4" localSheetId="10" hidden="0" function="0" vbProcedure="0">'FINAL TALLY'!AutoCAD</definedName>
    <definedName name="AutoCAD_5" localSheetId="10" hidden="0" function="0" vbProcedure="0">'FINAL TALLY'!AutoCAD</definedName>
    <definedName name="AutoCAD_6" localSheetId="10" hidden="0" function="0" vbProcedure="0">'FINAL TALLY'!AutoCAD</definedName>
    <definedName name="AutoCAD_7" localSheetId="10" hidden="0" function="0" vbProcedure="0">'FINAL TALLY'!AutoCAD</definedName>
    <definedName name="AutoCAD_8" localSheetId="10" hidden="0" function="0" vbProcedure="0">'FINAL TALLY'!AutoCAD</definedName>
    <definedName name="AutoCAD_9" localSheetId="10" hidden="0" function="0" vbProcedure="0">'FINAL TALLY'!AutoCAD</definedName>
    <definedName name="Aux_BHA_ID" localSheetId="10" hidden="0" function="0" vbProcedure="0">'[108]Job Calculation Sheet'!$F$20</definedName>
    <definedName name="Aux_BHA_OD" localSheetId="10" hidden="0" function="0" vbProcedure="0">'[108]Job Calculation Sheet'!$E$20</definedName>
    <definedName name="AvgJoint" localSheetId="10" hidden="0" function="0" vbProcedure="0">[11]DATA!$BO$2:$BO$9</definedName>
    <definedName name="AvgLength" localSheetId="10" hidden="0" function="0" vbProcedure="0">'[76]casing talley'!#ref!</definedName>
    <definedName name="axj" localSheetId="10" hidden="1" function="0" vbProcedure="0">{#N/A,#N/A,FALSE,"Sheet1"}</definedName>
    <definedName name="A_L" localSheetId="10" hidden="0" function="0" vbProcedure="0">'[47]12(762mm)套管'!#ref!</definedName>
    <definedName name="b" localSheetId="10" hidden="1" function="0" vbProcedure="0">#ref!</definedName>
    <definedName name="back" localSheetId="10" hidden="0" function="0" vbProcedure="0">'[61]tool backload dt'!back</definedName>
    <definedName name="BallMaterial" localSheetId="10" hidden="0" function="0" vbProcedure="0">[11]DATA!$BL$2:$BL$11</definedName>
    <definedName name="Ballooning_Area" localSheetId="10" hidden="0" function="0" vbProcedure="0">[11]Test!$M$18</definedName>
    <definedName name="Ballseat" localSheetId="10" hidden="0" function="0" vbProcedure="0">[11]DATA!$AG$2:$AG$9</definedName>
    <definedName name="BallSize" localSheetId="10" hidden="0" function="0" vbProcedure="0">[11]DATA!$BF$3:$BF$8</definedName>
    <definedName name="basicok" localSheetId="10" hidden="0" function="0" vbProcedure="0">[26]!basicok</definedName>
    <definedName name="BBB" localSheetId="10" hidden="0" function="0" vbProcedure="0">'[110]DD Worksheet'!$C$1</definedName>
    <definedName name="bbbbb" localSheetId="10" hidden="0" function="0" vbProcedure="0">[79]!Macro61</definedName>
    <definedName name="bbllm3" localSheetId="10" hidden="0" function="0" vbProcedure="0">'[11]Metric Conversions'!$B$69</definedName>
    <definedName name="bblstk" localSheetId="10" hidden="0" function="0" vbProcedure="0">'[11]Displacement Cal.'!$B$7</definedName>
    <definedName name="BD" localSheetId="10" hidden="0" function="0" vbProcedure="0">INDEX([111]DRAW!$A$2:$B$13,MATCH([112]AUTO_DHWS!$AV$15,[111]DRAW!$A$2:$A$13,0),2)</definedName>
    <definedName name="BD_SC" localSheetId="10" hidden="0" function="0" vbProcedure="0">INDEX([111]DRAW!$A$2:$B$13,MATCH([112]AUTO_DHWS!$AV$16,[111]DRAW!$A$2:$A$13,0),2)</definedName>
    <definedName name="BD_TB" localSheetId="10" hidden="0" function="0" vbProcedure="0">INDEX([111]DRAW!$A$2:$B$13,MATCH([112]AUTO_DHWS!$AV$9,[111]DRAW!$A$2:$A$13,0),2)</definedName>
    <definedName name="bgn" localSheetId="10" hidden="1" function="0" vbProcedure="0">{#N/A,#N/A,FALSE,"Sheet1"}</definedName>
    <definedName name="bhr" localSheetId="10" hidden="0" function="0" vbProcedure="0">#ref!</definedName>
    <definedName name="BHRR" localSheetId="10" hidden="0" function="0" vbProcedure="0">#ref!</definedName>
    <definedName name="BHT" localSheetId="10" hidden="0" function="0" vbProcedure="0">'[94]Job Technical Info'!$D$42</definedName>
    <definedName name="Bitsize" localSheetId="10" hidden="0" function="0" vbProcedure="0">[11]DATA!$L$2:$L$41</definedName>
    <definedName name="bj_stroke" localSheetId="10" hidden="0" function="0" vbProcedure="0">'[11]Metric Conversions'!$B$35</definedName>
    <definedName name="bj_strokez" localSheetId="10" hidden="0" function="0" vbProcedure="0">'[11]Metric Conversions'!$C$35</definedName>
    <definedName name="BJ_Tens" localSheetId="10" hidden="0" function="0" vbProcedure="0">'[11]Liner Job Info'!$P$45</definedName>
    <definedName name="blanklength" localSheetId="10" hidden="0" function="0" vbProcedure="0">'[113]#REF'!$J$13</definedName>
    <definedName name="blankod" localSheetId="10" hidden="0" function="0" vbProcedure="0">'[113]#REF'!$F$13</definedName>
    <definedName name="BLANK_COVERED_NV" localSheetId="10" hidden="0" function="0" vbProcedure="0">'[113]#REF'!$G$111</definedName>
    <definedName name="BLANK_LENGTH" localSheetId="10" hidden="0" function="0" vbProcedure="0">'[113]#REF'!$J$13</definedName>
    <definedName name="BLANK_OD" localSheetId="10" hidden="0" function="0" vbProcedure="0">'[113]#REF'!$F$13</definedName>
    <definedName name="BlFl" localSheetId="10" hidden="0" function="0" vbProcedure="0">#ref!</definedName>
    <definedName name="block" localSheetId="10" hidden="0" function="0" vbProcedure="0">[5]WTR!$I$5</definedName>
    <definedName name="Block_Field" localSheetId="10" hidden="0" function="0" vbProcedure="0">'[108]Pre-Job Info Sheet'!$D$7</definedName>
    <definedName name="BLock_TD_Wt" localSheetId="10" hidden="0" function="0" vbProcedure="0">'[30]Liner Job Info'!$D$33</definedName>
    <definedName name="Block_Wt" localSheetId="10" hidden="0" function="0" vbProcedure="0">'[11]Weight Calculations'!$H$14</definedName>
    <definedName name="bOB" localSheetId="10" hidden="0" function="0" vbProcedure="0">[114]Volumes!$K$1:$Y$76</definedName>
    <definedName name="BOT" localSheetId="10" hidden="0" function="0" vbProcedure="0">'[94]Job Technical Info'!$A$4</definedName>
    <definedName name="Bottom_Hole_Temp." localSheetId="10" hidden="0" function="0" vbProcedure="0">'[108]Pre-Job Info Sheet'!$B$34</definedName>
    <definedName name="Bottom_Perforation" localSheetId="10" hidden="0" function="0" vbProcedure="0">'[108]Pre-Job Info Sheet'!$B$29</definedName>
    <definedName name="Bottom_Shot" localSheetId="10" hidden="0" function="0" vbProcedure="0">'[108]TCP-BHA'!$H$36</definedName>
    <definedName name="BPLimit" localSheetId="10" hidden="0" function="0" vbProcedure="0">[83]!TubTable[[340]:[438]]</definedName>
    <definedName name="BR_Column" localSheetId="10" hidden="0" function="0" vbProcedure="0">null</definedName>
    <definedName name="BR_Unit" localSheetId="10" hidden="0" function="0" vbProcedure="0">null</definedName>
    <definedName name="bs" localSheetId="10" hidden="0" function="0" vbProcedure="0">'[115]Max-Torq'!$Q$79</definedName>
    <definedName name="bsw" localSheetId="10" hidden="0" function="0" vbProcedure="0">'[93]well test sheet'!#ref!</definedName>
    <definedName name="Budget_owner" localSheetId="10" hidden="0" function="0" vbProcedure="0">'[70]well specification'!#ref!</definedName>
    <definedName name="Buoy_Factor" localSheetId="10" hidden="0" function="0" vbProcedure="0">'[30]Liner Job Info'!$D$32</definedName>
    <definedName name="bxf" localSheetId="10" hidden="0" function="0" vbProcedure="0">'[115]Max-Torq'!$P$62</definedName>
    <definedName name="BypassRate" localSheetId="10" hidden="0" function="0" vbProcedure="0">[83]!TubTable[[340]:[438]]</definedName>
    <definedName name="Ca" localSheetId="10" hidden="1" function="0" vbProcedure="0">{#N/A,#N/A,FALSE,"Drlg Param Run 1-1";#N/A,#N/A,FALSE,"DDR (3)";#N/A,#N/A,FALSE,"BHA AT (1)";#N/A,#N/A,FALSE,"Downlinkbha";#N/A,#N/A,FALSE,"Job Status Report"}</definedName>
    <definedName name="CABLE2_1" localSheetId="10" hidden="0" function="0" vbProcedure="0">INDEX([111]DRAW!$L$52:$M$54,MATCH([112]AUTO_DHWS!$AY$8,[111]DRAW!$L$52:$L$54,0),2)</definedName>
    <definedName name="CABLE2_2" localSheetId="10" hidden="0" function="0" vbProcedure="0">INDEX([111]DRAW!$L$52:$M$56,MATCH([112]AUTO_DHWS!$AY$9,[111]DRAW!$L$52:$L$56,0),2)</definedName>
    <definedName name="CABLE_1" localSheetId="10" hidden="0" function="0" vbProcedure="0">INDEX([111]DRAW!$L$52:$M$53,MATCH([112]AUTO_DHWS!$AY$4,[111]DRAW!$L$52:$L$53,0),2)</definedName>
    <definedName name="CABLE_2" localSheetId="10" hidden="0" function="0" vbProcedure="0">INDEX([111]DRAW!$L$52:$M$56,MATCH([112]AUTO_DHWS!$AY$5,[111]DRAW!$L$52:$L$56,0),2)</definedName>
    <definedName name="CABLE_3" localSheetId="10" hidden="0" function="0" vbProcedure="0">INDEX([111]DRAW!$M$57:$N$63,MATCH([112]AUTO_DHWS!$AY$6,[111]DRAW!$M$57:$M$63,0),2)</definedName>
    <definedName name="CalculatePipe" localSheetId="10" hidden="0" function="0" vbProcedure="0">[72]!Calculate_Pipe</definedName>
    <definedName name="Calculate_Pipe" localSheetId="10" hidden="0" function="0" vbProcedure="0">[96]!Calculate_Pipe</definedName>
    <definedName name="Cancel" localSheetId="10" hidden="0" function="0" vbProcedure="0">[97]!Cancel</definedName>
    <definedName name="Capacities" localSheetId="10"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0" hidden="0" function="0" vbProcedure="0">'[113]#REF'!$G$188</definedName>
    <definedName name="CARRIER_FL_WT" localSheetId="10" hidden="0" function="0" vbProcedure="0">'[113]#REF'!$F$67</definedName>
    <definedName name="CARR_FL_VISCOSITY" localSheetId="10" hidden="0" function="0" vbProcedure="0">'[113]#REF'!$I$106</definedName>
    <definedName name="CARR_FL_VOL_PREPACK" localSheetId="10" hidden="0" function="0" vbProcedure="0">'[113]#REF'!$F$47</definedName>
    <definedName name="Carr_fl_wt_prepack" localSheetId="10" hidden="0" function="0" vbProcedure="0">'[113]#REF'!$F$46</definedName>
    <definedName name="casingcolumn" localSheetId="10" hidden="0" function="0" vbProcedure="0">[106]Data!$J$17</definedName>
    <definedName name="casingid" localSheetId="10" hidden="0" function="0" vbProcedure="0">'[113]#REF'!$H$11</definedName>
    <definedName name="casingidref" localSheetId="10" hidden="0" function="0" vbProcedure="0">[106]Data!$GC$1</definedName>
    <definedName name="casinginfuserate" localSheetId="10" hidden="0" function="0" vbProcedure="0">'[113]#REF'!$K$50</definedName>
    <definedName name="casingliner" localSheetId="10" hidden="0" function="0" vbProcedure="0">[106]Data!$E$45</definedName>
    <definedName name="casingod" localSheetId="10" hidden="0" function="0" vbProcedure="0">'[113]#REF'!$F$11</definedName>
    <definedName name="CasingSize" localSheetId="10" hidden="0" function="0" vbProcedure="0">'[117]Well Installation Drawing'!$E$15</definedName>
    <definedName name="CasingWeight" localSheetId="10" hidden="0" function="0" vbProcedure="0">'[117]Well Installation Drawing'!$G$15</definedName>
    <definedName name="casingwt" localSheetId="10" hidden="0" function="0" vbProcedure="0">'[113]#REF'!$J$11</definedName>
    <definedName name="Casing_Collapsez" localSheetId="10" hidden="0" function="0" vbProcedure="0">'[11]Liner Job Info'!$J$14</definedName>
    <definedName name="Casing_I.D." localSheetId="10" hidden="0" function="0" vbProcedure="0">'[108]Job Calculation Sheet'!$F$13</definedName>
    <definedName name="Casing_Liner" localSheetId="10" hidden="0" function="0" vbProcedure="0">'[94]Installation Results #1'!$C$27</definedName>
    <definedName name="Casing_Size" localSheetId="10" hidden="0" function="0" vbProcedure="0">'[108]Pre-Job Info Sheet'!$D$15</definedName>
    <definedName name="Casing_Size_Weight" localSheetId="10" hidden="0" function="0" vbProcedure="0">'[108]TCP-BHA'!$I$5</definedName>
    <definedName name="Casing_Weight" localSheetId="10" hidden="0" function="0" vbProcedure="0">'[108]Pre-Job Info Sheet'!$D$16</definedName>
    <definedName name="CAS_BLNK_ANNULUS" localSheetId="10" hidden="0" function="0" vbProcedure="0">'[113]#REF'!$I$108</definedName>
    <definedName name="CAS_BLNK_VOL" localSheetId="10" hidden="0" function="0" vbProcedure="0">'[6]#ref'!#ref!</definedName>
    <definedName name="CAS_EXT_VOL" localSheetId="10" hidden="0" function="0" vbProcedure="0">'[6]#ref'!#ref!</definedName>
    <definedName name="CAS_ID" localSheetId="10" hidden="0" function="0" vbProcedure="0">'[113]#REF'!$H$11</definedName>
    <definedName name="CAS_OD" localSheetId="10" hidden="0" function="0" vbProcedure="0">'[113]#REF'!$J$11</definedName>
    <definedName name="CAS_SCR_VOL" localSheetId="10" hidden="0" function="0" vbProcedure="0">'[6]#ref'!#ref!</definedName>
    <definedName name="CAS_WT" localSheetId="10" hidden="0" function="0" vbProcedure="0">'[113]#REF'!$J$11</definedName>
    <definedName name="category" localSheetId="10" hidden="0" function="0" vbProcedure="0">[118]Sheet2!$A$70:$A$73</definedName>
    <definedName name="Cc" localSheetId="10" hidden="0" function="0" vbProcedure="0">0.3</definedName>
    <definedName name="ccc" localSheetId="10" hidden="0" function="0" vbProcedure="0">[119]钻井日报表!$I$7</definedName>
    <definedName name="ccccc" localSheetId="10" hidden="0" function="0" vbProcedure="0">[79]!Macro59</definedName>
    <definedName name="cdr" localSheetId="10" hidden="0" function="0" vbProcedure="0">'[93]well test sheet'!#ref!</definedName>
    <definedName name="CDWimdbase" localSheetId="10" hidden="0" function="0" vbProcedure="0">'[120]CD''s'!$A$2:$G$374</definedName>
    <definedName name="CementCompany" localSheetId="10" hidden="0" function="0" vbProcedure="0">[11]DATA!$BJ$2:$BJ$8</definedName>
    <definedName name="CENG" localSheetId="10" hidden="0" function="0" vbProcedure="0">[185]Reference!$A$2:$A$4</definedName>
    <definedName name="Centralizers" localSheetId="10" hidden="0" function="0" vbProcedure="0">[11]DATA!$AI$2:$AI$9</definedName>
    <definedName name="cf" localSheetId="10" hidden="1" function="0" vbProcedure="0">{#N/A,#N/A,FALSE,"Sheet1"}</definedName>
    <definedName name="Chart" localSheetId="10" hidden="1" function="0" vbProcedure="0">{#N/A,#N/A,FALSE,"Sheet1"}</definedName>
    <definedName name="chart1" localSheetId="10" hidden="1" function="0" vbProcedure="0">{#N/A,#N/A,FALSE,"Sheet1"}</definedName>
    <definedName name="Chemmac" localSheetId="10" hidden="0" function="0" vbProcedure="0">'[61]tool backload dt'!chemmac</definedName>
    <definedName name="Choice" localSheetId="10" hidden="0" function="0" vbProcedure="0">[26]Lists!$A$1:$A$3</definedName>
    <definedName name="cim" localSheetId="10" hidden="0" function="0" vbProcedure="0">[112]!Calculate_Pipe</definedName>
    <definedName name="CIPMACRO.n2foam" localSheetId="10" hidden="0" function="0" vbProcedure="0">'[61]tool backload dt'!cipmacro.n2foam</definedName>
    <definedName name="circsqz" localSheetId="10" hidden="0" function="0" vbProcedure="0">[5]WTR!$M$86</definedName>
    <definedName name="CIR_RATE_RESTRESS" localSheetId="10" hidden="0" function="0" vbProcedure="0">'[113]#REF'!$I$109</definedName>
    <definedName name="CIV" localSheetId="10" hidden="0" function="0" vbProcedure="0">INDEX([111]DRAW!$A$2:$B$13,MATCH([112]AUTO_DHWS!$AV$10,[111]DRAW!$A$2:$A$13,0),2)</definedName>
    <definedName name="CIV_2" localSheetId="10" hidden="0" function="0" vbProcedure="0">INDEX([111]DRAW!$A$2:$B$14,MATCH([112]AUTO_DHWS!$AV$14,[111]DRAW!$A$2:$A$13,0),2)</definedName>
    <definedName name="CIV_PDHG" localSheetId="10" hidden="0" function="0" vbProcedure="0">INDEX([111]DRAW!$A$2:$B$13,MATCH([112]AUTO_DHWS!$AV$11,[111]DRAW!$A$2:$A$13,0),2)</definedName>
    <definedName name="CLAMPON" localSheetId="10" hidden="0" function="0" vbProcedure="0">[55]!CLAMPON</definedName>
    <definedName name="CLEARCONTENTS" localSheetId="10" hidden="0" function="0" vbProcedure="0">[115]!CLEARCONTENTS</definedName>
    <definedName name="CLFluid1" localSheetId="10" hidden="0" function="0" vbProcedure="0">'[94]Installation Results #1'!$E$270</definedName>
    <definedName name="CLFluid10" localSheetId="10" hidden="0" function="0" vbProcedure="0">'[94]Installation Results #1'!$E$279</definedName>
    <definedName name="CLFluid11" localSheetId="10" hidden="0" function="0" vbProcedure="0">'[94]Installation Results #1'!$E$280</definedName>
    <definedName name="CLFluid12" localSheetId="10" hidden="0" function="0" vbProcedure="0">'[94]Installation Results #1'!$E$281</definedName>
    <definedName name="CLFluid13" localSheetId="10" hidden="0" function="0" vbProcedure="0">'[94]Installation Results #1'!$E$282</definedName>
    <definedName name="CLFluid14" localSheetId="10" hidden="0" function="0" vbProcedure="0">'[94]Installation Results #1'!$E$283</definedName>
    <definedName name="CLFluid15" localSheetId="10" hidden="0" function="0" vbProcedure="0">'[94]Installation Results #1'!$E$284</definedName>
    <definedName name="CLFluid2" localSheetId="10" hidden="0" function="0" vbProcedure="0">'[94]Installation Results #1'!$E$271</definedName>
    <definedName name="CLFluid3" localSheetId="10" hidden="0" function="0" vbProcedure="0">'[94]Installation Results #1'!$E$272</definedName>
    <definedName name="CLFluid4" localSheetId="10" hidden="0" function="0" vbProcedure="0">'[94]Installation Results #1'!$E$273</definedName>
    <definedName name="CLFluid5" localSheetId="10" hidden="0" function="0" vbProcedure="0">'[94]Installation Results #1'!$E$274</definedName>
    <definedName name="CLFluid6" localSheetId="10" hidden="0" function="0" vbProcedure="0">'[94]Installation Results #1'!$E$275</definedName>
    <definedName name="CLFluid7" localSheetId="10" hidden="0" function="0" vbProcedure="0">'[94]Installation Results #1'!$E$276</definedName>
    <definedName name="CLFluid8" localSheetId="10" hidden="0" function="0" vbProcedure="0">'[94]Installation Results #1'!$E$277</definedName>
    <definedName name="CLFluid9" localSheetId="10" hidden="0" function="0" vbProcedure="0">'[94]Installation Results #1'!$E$278</definedName>
    <definedName name="Clist" localSheetId="10" hidden="0" function="0" vbProcedure="0">OFFSET(INDIRECT(ADDRESS(MATCH('FINAL TALLY'!CL_Wt,'FINAL TALLY'!Objects,0)+1,2,,,"Casing Info")),0,1,COUNTIF('FINAL TALLY'!Objects,'FINAL TALLY'!CL_Wt),1)</definedName>
    <definedName name="CL_Wt" localSheetId="10" hidden="0" function="0" vbProcedure="0">'[11]Database Pg1'!$E$28</definedName>
    <definedName name="Objects" localSheetId="10" hidden="0" function="0" vbProcedure="0">'[11]Casing Info'!$B$2:$B$241</definedName>
    <definedName name="Clist2" localSheetId="10" hidden="0" function="0" vbProcedure="0">OFFSET(INDIRECT(ADDRESS(MATCH('FINAL TALLY'!Hsize2,'FINAL TALLY'!Objects,0)+1,2,,,"Casing Info")),0,1,COUNTIF('FINAL TALLY'!Objects,'FINAL TALLY'!Hsize2),1)</definedName>
    <definedName name="Hsize2" localSheetId="10" hidden="0" function="0" vbProcedure="0">'[11]Database Pg1'!$G$81</definedName>
    <definedName name="Clist3" localSheetId="10" hidden="0" function="0" vbProcedure="0">OFFSET(INDIRECT(ADDRESS(MATCH('FINAL TALLY'!Hsize3,'FINAL TALLY'!Objects,0)+1,2,,,"Casing Info")),0,1,COUNTIF('FINAL TALLY'!Objects,'FINAL TALLY'!Hsize3),1)</definedName>
    <definedName name="Hsize3" localSheetId="10" hidden="0" function="0" vbProcedure="0">'[11]Database Pg1'!$G$83</definedName>
    <definedName name="Clrmess" localSheetId="10" hidden="0" function="0" vbProcedure="0">[115]!Clrmess</definedName>
    <definedName name="CO2_" localSheetId="10" hidden="0" function="0" vbProcedure="0">'[94]Job Technical Info'!$L$42</definedName>
    <definedName name="CODELIST" localSheetId="10" hidden="0" function="0" vbProcedure="0">#ref!</definedName>
    <definedName name="CODETAB" localSheetId="10" hidden="0" function="0" vbProcedure="0">#ref!</definedName>
    <definedName name="coections" localSheetId="10" hidden="0" function="0" vbProcedure="0">[26]!coections</definedName>
    <definedName name="COMP" localSheetId="10" hidden="0" function="0" vbProcedure="0">#ref!</definedName>
    <definedName name="company" localSheetId="10" hidden="0" function="0" vbProcedure="0">'[40]CPS Call Sheet'!$E$4</definedName>
    <definedName name="Company_Man" localSheetId="10" hidden="0" function="0" vbProcedure="0">'[62]Liner Job Info'!$E$7</definedName>
    <definedName name="Company_Name" localSheetId="10" hidden="0" function="0" vbProcedure="0">'[123]Liner Job Info'!$E$4</definedName>
    <definedName name="compfluidwt" localSheetId="10" hidden="0" function="0" vbProcedure="0">'[113]#REF'!$L$27</definedName>
    <definedName name="Compl._Fluid_Type" localSheetId="10" hidden="0" function="0" vbProcedure="0">'[108]Pre-Job Info Sheet'!$D$32</definedName>
    <definedName name="Compl._Fluid_Wt." localSheetId="10" hidden="0" function="0" vbProcedure="0">'[108]Pre-Job Info Sheet'!$D$33</definedName>
    <definedName name="COMPL_FL_VOL" localSheetId="10" hidden="0" function="0" vbProcedure="0">'[113]#REF'!$F$68</definedName>
    <definedName name="COMPL_FL_WT" localSheetId="10" hidden="0" function="0" vbProcedure="0">'[113]#REF'!$K$27</definedName>
    <definedName name="conections" localSheetId="10" hidden="0" function="0" vbProcedure="0">[26]!conections</definedName>
    <definedName name="Conflict1" localSheetId="10" hidden="1" function="0" vbProcedure="0">{#N/A,#N/A,FALSE,"Drlg Param Run 1-1";#N/A,#N/A,FALSE,"DDR (3)";#N/A,#N/A,FALSE,"BHA AT (1)";#N/A,#N/A,FALSE,"Downlinkbha";#N/A,#N/A,FALSE,"Job Status Report"}</definedName>
    <definedName name="conical" localSheetId="10" hidden="0" function="0" vbProcedure="0">#ref!</definedName>
    <definedName name="conref" localSheetId="10" hidden="0" function="0" vbProcedure="0">[124]Price!$A$1:$A$65536</definedName>
    <definedName name="consequence" localSheetId="10" hidden="0" function="0" vbProcedure="0">[125]Sheet2!$A$1:$A$5</definedName>
    <definedName name="contract" localSheetId="10" hidden="0" function="0" vbProcedure="0">'[34]Call Sheet'!$E$3</definedName>
    <definedName name="contractnum" localSheetId="10" hidden="0" function="0" vbProcedure="0">'[31]data '!#ref!</definedName>
    <definedName name="contractor" localSheetId="10" hidden="0" function="0" vbProcedure="0">'[34]Call Sheet'!$E$6</definedName>
    <definedName name="Coordinator" localSheetId="10" hidden="0" function="0" vbProcedure="0">'[94]Job Technical Info'!$G$10</definedName>
    <definedName name="COPYDESGN" localSheetId="10" hidden="0" function="0" vbProcedure="0">[55]!COPYDESGN</definedName>
    <definedName name="CoRep" localSheetId="10" hidden="0" function="0" vbProcedure="0">'[94]Job Technical Info'!$C$16</definedName>
    <definedName name="corrlist2" localSheetId="10" hidden="0" function="0" vbProcedure="0">OFFSET(INDIRECT(ADDRESS(MATCH('FINAL TALLY'!Hsize2,'FINAL TALLY'!Objects,0)+1,2,,,"Casing Info")),0,1,COUNTIF('FINAL TALLY'!Objects,[26]!Liner1_OD),1)</definedName>
    <definedName name="corrlist4" localSheetId="10" hidden="0" function="0" vbProcedure="0">OFFSET(INDIRECT(ADDRESS(MATCH('FINAL TALLY'!Hanger_Size,'FINAL TALLY'!Objects,0)+1,2,,,"Casing Info")),0,1,COUNTIF('FINAL TALLY'!Objects, 'FINAL TALLY'!Hanger_Size),1)</definedName>
    <definedName name="Hanger_Size" localSheetId="10" hidden="0" function="0" vbProcedure="0">'[11]Database Pg1'!$G$79</definedName>
    <definedName name="Cotry" localSheetId="10" hidden="0" function="0" vbProcedure="0">'[11]Liner Job Info'!$E$10</definedName>
    <definedName name="Countries" localSheetId="10" hidden="0" function="0" vbProcedure="0">[11]DATA!$BR$1:$BR$196</definedName>
    <definedName name="COUNTRY" localSheetId="10" hidden="0" function="0" vbProcedure="0">'[127]Master data'!$A$2:$A$239</definedName>
    <definedName name="county" localSheetId="10" hidden="0" function="0" vbProcedure="0">'[40]CPS Call Sheet'!$P$7</definedName>
    <definedName name="Coupls" localSheetId="10" hidden="0" function="0" vbProcedure="0">#ref!</definedName>
    <definedName name="Crack_DH" localSheetId="10" hidden="0" function="0" vbProcedure="0">'[108]Tester Valve Calcs'!$F$31</definedName>
    <definedName name="Crack_Press" localSheetId="10" hidden="0" function="0" vbProcedure="0">'[108]Tester Valve Calcs'!$F$13</definedName>
    <definedName name="Critical" localSheetId="10" hidden="0" function="0" vbProcedure="0">#ref!</definedName>
    <definedName name="crs" localSheetId="10" hidden="0" function="0" vbProcedure="0">[128]RSS!$E$199:$E$205</definedName>
    <definedName name="CRS_FLOAT_VALVE" localSheetId="10" hidden="0" function="0" vbProcedure="0">[129]RSS!$O$177:$O$180</definedName>
    <definedName name="CRS_FLOW_KIT" localSheetId="10" hidden="0" function="0" vbProcedure="0">[129]RSS!$E$181:$E$184</definedName>
    <definedName name="CRS_STAB" localSheetId="10" hidden="0" function="0" vbProcedure="0">[129]RSS!$E$191:$E$197</definedName>
    <definedName name="Csg" localSheetId="10" hidden="0" function="0" vbProcedure="0">[6]Sheet1!$G$1:$G$3</definedName>
    <definedName name="CsgDrift1" localSheetId="10" hidden="0" function="0" vbProcedure="0">'[94]Job Technical Info'!$G$25</definedName>
    <definedName name="CsgDrift2" localSheetId="10" hidden="0" function="0" vbProcedure="0">'[94]Job Technical Info'!$G$26</definedName>
    <definedName name="CsgDrift3" localSheetId="10" hidden="0" function="0" vbProcedure="0">'[94]Job Technical Info'!$G$27</definedName>
    <definedName name="CsgDrift4" localSheetId="10" hidden="0" function="0" vbProcedure="0">'[94]Job Technical Info'!$G$28</definedName>
    <definedName name="CsgGrd1" localSheetId="10" hidden="0" function="0" vbProcedure="0">'[94]Job Technical Info'!$H$25</definedName>
    <definedName name="CsgGrd2" localSheetId="10" hidden="0" function="0" vbProcedure="0">'[94]Job Technical Info'!$H$26</definedName>
    <definedName name="CsgGrd3" localSheetId="10" hidden="0" function="0" vbProcedure="0">'[94]Job Technical Info'!$H$27</definedName>
    <definedName name="CsgGrd4" localSheetId="10" hidden="0" function="0" vbProcedure="0">'[94]Job Technical Info'!$H$28</definedName>
    <definedName name="CsgID1" localSheetId="10" hidden="0" function="0" vbProcedure="0">'[94]Job Technical Info'!$F$25</definedName>
    <definedName name="CsgID2" localSheetId="10" hidden="0" function="0" vbProcedure="0">'[94]Job Technical Info'!$F$26</definedName>
    <definedName name="CsgID3" localSheetId="10" hidden="0" function="0" vbProcedure="0">'[94]Job Technical Info'!$F$27</definedName>
    <definedName name="CsgID4" localSheetId="10" hidden="0" function="0" vbProcedure="0">'[94]Job Technical Info'!$F$28</definedName>
    <definedName name="CsgSz1" localSheetId="10" hidden="0" function="0" vbProcedure="0">'[94]Job Technical Info'!$D$25</definedName>
    <definedName name="CsgSz2" localSheetId="10" hidden="0" function="0" vbProcedure="0">'[94]Job Technical Info'!$D$26</definedName>
    <definedName name="CsgSz3" localSheetId="10" hidden="0" function="0" vbProcedure="0">'[94]Job Technical Info'!$D$27</definedName>
    <definedName name="CsgSz4" localSheetId="10" hidden="0" function="0" vbProcedure="0">'[94]Job Technical Info'!$D$28</definedName>
    <definedName name="CsgThd1" localSheetId="10" hidden="0" function="0" vbProcedure="0">'[94]Job Technical Info'!$J$25</definedName>
    <definedName name="CsgThd2" localSheetId="10" hidden="0" function="0" vbProcedure="0">'[94]Job Technical Info'!$J$26</definedName>
    <definedName name="CsgThd3" localSheetId="10" hidden="0" function="0" vbProcedure="0">'[94]Job Technical Info'!$J$27</definedName>
    <definedName name="CsgThd4" localSheetId="10" hidden="0" function="0" vbProcedure="0">'[94]Job Technical Info'!$J$28</definedName>
    <definedName name="CsgWt" localSheetId="10" hidden="0" function="0" vbProcedure="0">[6]Sheet1!$H$1:$H$10</definedName>
    <definedName name="CsgWt1" localSheetId="10" hidden="0" function="0" vbProcedure="0">'[94]Job Technical Info'!$E$25</definedName>
    <definedName name="CsgWt2" localSheetId="10" hidden="0" function="0" vbProcedure="0">'[94]Job Technical Info'!$E$26</definedName>
    <definedName name="CsgWt3" localSheetId="10" hidden="0" function="0" vbProcedure="0">'[94]Job Technical Info'!$E$27</definedName>
    <definedName name="CsgWt4" localSheetId="10" hidden="0" function="0" vbProcedure="0">'[94]Job Technical Info'!$E$28</definedName>
    <definedName name="Csg_Bst" localSheetId="10" hidden="0" function="0" vbProcedure="0">'[11]Metric Conversions'!$B$43</definedName>
    <definedName name="Csg_Burstz" localSheetId="10" hidden="0" function="0" vbProcedure="0">'[11]Liner Job Info'!$H$14</definedName>
    <definedName name="Csg_Dft" localSheetId="10" hidden="0" function="0" vbProcedure="0">'[11]Liner Job Info'!$L$14</definedName>
    <definedName name="CSG_DPTH" localSheetId="10" hidden="0" function="0" vbProcedure="0">'[130]Metric Conversions'!$B$15</definedName>
    <definedName name="CSG_DPTHz" localSheetId="10" hidden="0" function="0" vbProcedure="0">'[11]Liner Job Info'!$P$14</definedName>
    <definedName name="CSG_Grd" localSheetId="10" hidden="0" function="0" vbProcedure="0">'[130]Liner Job Info'!$D$14</definedName>
    <definedName name="CSG_ID" localSheetId="10" hidden="0" function="0" vbProcedure="0">'[11]Liner Job Info'!$B$14</definedName>
    <definedName name="CSG_ID_Area" localSheetId="10" hidden="0" function="0" vbProcedure="0">[11]Test!$Z$39</definedName>
    <definedName name="CSG_MYS" localSheetId="10" hidden="0" function="0" vbProcedure="0">[57]DATA!$J$3:$J$22</definedName>
    <definedName name="CSG_OD" localSheetId="10" hidden="0" function="0" vbProcedure="0">'[130]Liner Job Info'!$A$14</definedName>
    <definedName name="CSG_Thread" localSheetId="10" hidden="0" function="0" vbProcedure="0">'[130]Liner Job Info'!$E$14</definedName>
    <definedName name="Csg_Wt" localSheetId="10" hidden="0" function="0" vbProcedure="0">'[130]Liner Job Info'!$C$14</definedName>
    <definedName name="CsShoeDepth" localSheetId="10" hidden="0" function="0" vbProcedure="0">'[94]Job Technical Info'!$F$40</definedName>
    <definedName name="CU.FT." localSheetId="10" hidden="0" function="0" vbProcedure="0">'[113]#REF'!$E$23</definedName>
    <definedName name="currency" localSheetId="10" hidden="0" function="0" vbProcedure="0">[53]data!#ref!</definedName>
    <definedName name="Customer" localSheetId="10" hidden="0" function="0" vbProcedure="0">'[94]Job Technical Info'!$C$12</definedName>
    <definedName name="customer1" localSheetId="10" hidden="0" function="0" vbProcedure="0">[186]Data!$A$1:$A$65536</definedName>
    <definedName name="Customer2" localSheetId="10" hidden="0" function="0" vbProcedure="0">[186]Data!$B$1:$B$65536</definedName>
    <definedName name="CustomerName" localSheetId="10" hidden="0" function="0" vbProcedure="0">'[138]job info sheet'!#ref!</definedName>
    <definedName name="customerrep" localSheetId="10" hidden="0" function="0" vbProcedure="0">'[113]#REF'!$E$6</definedName>
    <definedName name="Cyl_Yield" localSheetId="10" hidden="0" function="0" vbProcedure="0">'[45]liner job info'!#ref!</definedName>
    <definedName name="d" localSheetId="10" hidden="0" function="0" vbProcedure="0">'[1]run sheet'!#ref!</definedName>
    <definedName name="DAADA" localSheetId="10" hidden="0" function="0" vbProcedure="0">[112]!Calculate_Pipe</definedName>
    <definedName name="DAD" localSheetId="10" hidden="0" function="0" vbProcedure="0">'FINAL TALLY'!DAD</definedName>
    <definedName name="DADAA" localSheetId="10" hidden="0" function="0" vbProcedure="0">'FINAL TALLY'!DADAA</definedName>
    <definedName name="DAEFF" localSheetId="10" hidden="0" function="0" vbProcedure="0">'FINAL TALLY'!DAEFF</definedName>
    <definedName name="DAPage" localSheetId="10" hidden="0" function="0" vbProcedure="0">'[94]Data Acq. Results'!$S$5</definedName>
    <definedName name="data1" localSheetId="10" hidden="0" function="0" vbProcedure="0">#ref!</definedName>
    <definedName name="Date" localSheetId="10" hidden="0" function="0" vbProcedure="0">#ref!</definedName>
    <definedName name="DAVCO" localSheetId="10" hidden="0" function="0" vbProcedure="0">#ref!</definedName>
    <definedName name="DC" localSheetId="10" hidden="0" function="0" vbProcedure="0">'[44]7-30-04'!$GO$7457</definedName>
    <definedName name="dd" localSheetId="10" hidden="0" function="0" vbProcedure="0">null</definedName>
    <definedName name="dddd" localSheetId="10" hidden="0" function="0" vbProcedure="0">[142]试油成果记录!#ref!</definedName>
    <definedName name="decdhm" localSheetId="10" hidden="0" function="0" vbProcedure="0">'[133]Personal Expense Dec-95 (MH)'!$K$5</definedName>
    <definedName name="decdlr" localSheetId="10" hidden="0" function="0" vbProcedure="0">'[133]Personal Expense Dec-95 (MH)'!$H$5</definedName>
    <definedName name="decfrc" localSheetId="10" hidden="0" function="0" vbProcedure="0">'[133]Personal Expense Dec-95 (MH)'!$I$5</definedName>
    <definedName name="decpnd" localSheetId="10" hidden="0" function="0" vbProcedure="0">'[133]Personal Expense Dec-95 (MH)'!$G$5</definedName>
    <definedName name="decrl" localSheetId="10" hidden="0" function="0" vbProcedure="0">'[133]Personal Expense Dec-95 (MH)'!$J$5</definedName>
    <definedName name="decrup" localSheetId="10" hidden="0" function="0" vbProcedure="0">'[133]Personal Expense Dec-95 (MH)'!$L$5</definedName>
    <definedName name="decrupees" localSheetId="10" hidden="0" function="0" vbProcedure="0">'[133]Cash Expense December-95'!$H$6</definedName>
    <definedName name="Delay" localSheetId="10" hidden="0" function="0" vbProcedure="0">#ref!</definedName>
    <definedName name="DelayDual1" localSheetId="10" hidden="0" function="0" vbProcedure="0">#ref!</definedName>
    <definedName name="DelayDual2" localSheetId="10" hidden="0" function="0" vbProcedure="0">#ref!</definedName>
    <definedName name="deliveredto" localSheetId="10" hidden="0" function="0" vbProcedure="0">'[31]data '!#ref!</definedName>
    <definedName name="deliverto" localSheetId="10" hidden="0" function="0" vbProcedure="0">[53]data!#ref!</definedName>
    <definedName name="delma" localSheetId="10" hidden="0" function="0" vbProcedure="0">[145]!JointNumber</definedName>
    <definedName name="DEM" localSheetId="10" hidden="0" function="0" vbProcedure="0">[185]Reference!$F$2:$F$3</definedName>
    <definedName name="DENG" localSheetId="10" hidden="0" function="0" vbProcedure="0">[185]Reference!$B$2:$B$12</definedName>
    <definedName name="DEPTH_TAGGED_PREPACK" localSheetId="10" hidden="0" function="0" vbProcedure="0">'[113]#REF'!$F$80</definedName>
    <definedName name="DEQ" localSheetId="10" hidden="0" function="0" vbProcedure="0">'FINAL TALLY'!DEQ</definedName>
    <definedName name="Desired_Set_Down" localSheetId="10" hidden="0" function="0" vbProcedure="0">'[108]Packer Calculation Sheet'!$G$47</definedName>
    <definedName name="Dev" localSheetId="10" hidden="0" function="0" vbProcedure="0">'[11]Liner Job Info'!$D$30</definedName>
    <definedName name="DEVIATION" localSheetId="10" hidden="0" function="0" vbProcedure="0">'[113]#REF'!$F$24</definedName>
    <definedName name="dftg" localSheetId="10" hidden="0" function="0" vbProcedure="0">'[134]井口装置示意图-4'!$E$1:$E$65536</definedName>
    <definedName name="DiameterConversion" localSheetId="10" hidden="0" function="0" vbProcedure="0">[94]Lists!$AD$3</definedName>
    <definedName name="Diff_Across_Ball" localSheetId="10" hidden="0" function="0" vbProcedure="0">'[108]Tester Valve Calcs'!$F$30</definedName>
    <definedName name="Disp._Fluid_Type" localSheetId="10" hidden="0" function="0" vbProcedure="0">'[108]Pre-Job Info Sheet'!$D$37</definedName>
    <definedName name="Disp._Fluid_Weight" localSheetId="10" hidden="0" function="0" vbProcedure="0">'[108]Pre-Job Info Sheet'!$D$38</definedName>
    <definedName name="Displacement" localSheetId="10" hidden="0" function="0" vbProcedure="0">[11]DATA!$AJ$2:$AJ$12</definedName>
    <definedName name="DisplacementMethod" localSheetId="10" hidden="0" function="0" vbProcedure="0">[11]DATA!$AS$2:$AS$4</definedName>
    <definedName name="Disp_Fluid_Wt" localSheetId="10" hidden="0" function="0" vbProcedure="0">'[108]Job Calculation Sheet'!$D$30</definedName>
    <definedName name="District" localSheetId="10" hidden="0" function="0" vbProcedure="0">'[30]Liner Job Info'!$O$4</definedName>
    <definedName name="DistrictPh" localSheetId="10" hidden="0" function="0" vbProcedure="0">'[94]Job Technical Info'!$G$11</definedName>
    <definedName name="Districts" localSheetId="10" hidden="0" function="0" vbProcedure="0">[11]DATA!$A$6:$A$437</definedName>
    <definedName name="diverterlbs" localSheetId="10" hidden="0" function="0" vbProcedure="0">[5]WTR!$G$59</definedName>
    <definedName name="DIV_MIX_RATIO" localSheetId="10" hidden="0" function="0" vbProcedure="0">'[113]#REF'!$K$55</definedName>
    <definedName name="DL" localSheetId="10" hidden="0" function="0" vbProcedure="0">[107]Piston!$F$21</definedName>
    <definedName name="do" localSheetId="10" hidden="0" function="0" vbProcedure="0">[145]!JointNumber</definedName>
    <definedName name="docNum" localSheetId="10" hidden="0" function="0" vbProcedure="0">[49]Revision_History!$G$6&amp;" "&amp;[49]Revision_History!$H$6</definedName>
    <definedName name="DocTitle" localSheetId="10" hidden="0" function="0" vbProcedure="0">'[94]Job Technical Info'!$C$2</definedName>
    <definedName name="Doc_Rev" localSheetId="10" hidden="0" function="0" vbProcedure="0">'[30]Liner Job Info'!$A$2</definedName>
    <definedName name="DP1_Cap" localSheetId="10" hidden="0" function="0" vbProcedure="0">'[11]Liner Job Info'!$G$22</definedName>
    <definedName name="DP1_conn" localSheetId="10" hidden="0" function="0" vbProcedure="0">'[130]Liner Job Info'!$J$22</definedName>
    <definedName name="DP1_Grd" localSheetId="10" hidden="0" function="0" vbProcedure="0">'[130]Liner Job Info'!$F$22</definedName>
    <definedName name="DP1_ID" localSheetId="10" hidden="0" function="0" vbProcedure="0">'[11]Liner Job Info'!$E$22</definedName>
    <definedName name="DP1_Leng" localSheetId="10" hidden="0" function="0" vbProcedure="0">'[130]Metric Conversions'!$B$20</definedName>
    <definedName name="DP1_Lengz" localSheetId="10" hidden="0" function="0" vbProcedure="0">'[11]Liner Job Info'!$I$22</definedName>
    <definedName name="DP1_MYS" localSheetId="10" hidden="0" function="0" vbProcedure="0">'[11]Liner Job Info'!$AD$31</definedName>
    <definedName name="DP1_OD" localSheetId="10" hidden="0" function="0" vbProcedure="0">'[130]Liner Job Info'!$C$22</definedName>
    <definedName name="DP1_Tens" localSheetId="10" hidden="0" function="0" vbProcedure="0">'[11]Liner Job Info'!$M$22</definedName>
    <definedName name="DP1_Volz" localSheetId="10" hidden="0" function="0" vbProcedure="0">'[11]Metric Conversions'!$C$70</definedName>
    <definedName name="DP1_Wt_inmud" localSheetId="10" hidden="0" function="0" vbProcedure="0">'[11]Weight Calculations'!$H$8</definedName>
    <definedName name="DP1_Wt_Per_Ft" localSheetId="10" hidden="0" function="0" vbProcedure="0">'[130]Liner Job Info'!$D$22</definedName>
    <definedName name="DP1_X_Csg_Volz" localSheetId="10" hidden="0" function="0" vbProcedure="0">'[11]Metric Conversions'!$C$85</definedName>
    <definedName name="DP2_Cap" localSheetId="10" hidden="0" function="0" vbProcedure="0">'[11]Liner Job Info'!$G$23</definedName>
    <definedName name="DP2_conn" localSheetId="10" hidden="0" function="0" vbProcedure="0">'[130]Liner Job Info'!$J$23</definedName>
    <definedName name="DP2_Cross_Sect" localSheetId="10" hidden="0" function="0" vbProcedure="0">'[45]liner job info'!#ref!</definedName>
    <definedName name="DP2_Grd" localSheetId="10" hidden="0" function="0" vbProcedure="0">'[130]Liner Job Info'!$F$23</definedName>
    <definedName name="DP2_ID" localSheetId="10" hidden="0" function="0" vbProcedure="0">'[11]Liner Job Info'!$E$23</definedName>
    <definedName name="DP2_Leng" localSheetId="10" hidden="0" function="0" vbProcedure="0">'[130]Metric Conversions'!$B$21</definedName>
    <definedName name="DP2_Lengz" localSheetId="10" hidden="0" function="0" vbProcedure="0">'[11]Liner Job Info'!$I$23</definedName>
    <definedName name="DP2_MYS" localSheetId="10" hidden="0" function="0" vbProcedure="0">'[11]Liner Job Info'!$AD$32</definedName>
    <definedName name="DP2_OD" localSheetId="10" hidden="0" function="0" vbProcedure="0">'[130]Liner Job Info'!$C$23</definedName>
    <definedName name="DP2_Tens" localSheetId="10" hidden="0" function="0" vbProcedure="0">'[11]Liner Job Info'!$M$23</definedName>
    <definedName name="DP2_Volz" localSheetId="10" hidden="0" function="0" vbProcedure="0">'[11]Metric Conversions'!$C$71</definedName>
    <definedName name="DP2_Wt_inmud" localSheetId="10" hidden="0" function="0" vbProcedure="0">'[11]Weight Calculations'!$H$9</definedName>
    <definedName name="DP2_Wt_Per_Ft" localSheetId="10" hidden="0" function="0" vbProcedure="0">'[130]Liner Job Info'!$D$23</definedName>
    <definedName name="DP2_X_Csg_Volz" localSheetId="10" hidden="0" function="0" vbProcedure="0">'[11]Metric Conversions'!$C$86</definedName>
    <definedName name="DP3_bbl_per_ft" localSheetId="10" hidden="0" function="0" vbProcedure="0">'[45]liner job info'!#ref!</definedName>
    <definedName name="DP3_Cap" localSheetId="10" hidden="0" function="0" vbProcedure="0">'[11]Liner Job Info'!$G$24</definedName>
    <definedName name="DP3_COnn" localSheetId="10" hidden="0" function="0" vbProcedure="0">'[130]Liner Job Info'!$J$24</definedName>
    <definedName name="DP3_Grd" localSheetId="10" hidden="0" function="0" vbProcedure="0">'[130]Liner Job Info'!$F$24</definedName>
    <definedName name="DP3_ID" localSheetId="10" hidden="0" function="0" vbProcedure="0">'[11]Liner Job Info'!$E$24</definedName>
    <definedName name="DP3_Leng" localSheetId="10" hidden="0" function="0" vbProcedure="0">'[130]Metric Conversions'!$B$22</definedName>
    <definedName name="DP3_Lengz" localSheetId="10" hidden="0" function="0" vbProcedure="0">'[11]Liner Job Info'!$I$24</definedName>
    <definedName name="DP3_MYS" localSheetId="10" hidden="0" function="0" vbProcedure="0">'[11]Liner Job Info'!$AD$33</definedName>
    <definedName name="DP3_OD" localSheetId="10" hidden="0" function="0" vbProcedure="0">'[130]Liner Job Info'!$C$24</definedName>
    <definedName name="DP3_Tens" localSheetId="10" hidden="0" function="0" vbProcedure="0">'[11]Liner Job Info'!$M$24</definedName>
    <definedName name="DP3_Volz" localSheetId="10" hidden="0" function="0" vbProcedure="0">'[11]Metric Conversions'!$C$72</definedName>
    <definedName name="DP3_Wt_inmud" localSheetId="10" hidden="0" function="0" vbProcedure="0">'[11]Weight Calculations'!$H$10</definedName>
    <definedName name="DP3_Wt_Per_Ft" localSheetId="10" hidden="0" function="0" vbProcedure="0">'[130]Liner Job Info'!$D$24</definedName>
    <definedName name="DP3_X_Csg_Volz" localSheetId="10" hidden="0" function="0" vbProcedure="0">'[11]Metric Conversions'!$C$87</definedName>
    <definedName name="DP4_Cap" localSheetId="10" hidden="0" function="0" vbProcedure="0">'[11]Liner Job Info'!$G$25</definedName>
    <definedName name="DP4_COnn" localSheetId="10" hidden="0" function="0" vbProcedure="0">'[130]Liner Job Info'!$J$25</definedName>
    <definedName name="DP4_Grd" localSheetId="10" hidden="0" function="0" vbProcedure="0">'[130]Liner Job Info'!$F$25</definedName>
    <definedName name="DP4_ID" localSheetId="10" hidden="0" function="0" vbProcedure="0">'[11]Liner Job Info'!$E$25</definedName>
    <definedName name="DP4_Leng" localSheetId="10" hidden="0" function="0" vbProcedure="0">'[130]Metric Conversions'!$B$23</definedName>
    <definedName name="DP4_Lengz" localSheetId="10" hidden="0" function="0" vbProcedure="0">'[11]Liner Job Info'!$I$25</definedName>
    <definedName name="DP4_MYS" localSheetId="10" hidden="0" function="0" vbProcedure="0">'[11]Liner Job Info'!$AD$34</definedName>
    <definedName name="DP4_OD" localSheetId="10" hidden="0" function="0" vbProcedure="0">'[130]Liner Job Info'!$C$25</definedName>
    <definedName name="DP4_Tens" localSheetId="10" hidden="0" function="0" vbProcedure="0">'[11]Liner Job Info'!$M$25</definedName>
    <definedName name="DP4_Volz" localSheetId="10" hidden="0" function="0" vbProcedure="0">'[11]Metric Conversions'!$C$73</definedName>
    <definedName name="DP4_Wt_inmud" localSheetId="10" hidden="0" function="0" vbProcedure="0">'[11]Weight Calculations'!$H$11</definedName>
    <definedName name="DP4_Wt_Per_Ft" localSheetId="10" hidden="0" function="0" vbProcedure="0">'[130]Liner Job Info'!$D$25</definedName>
    <definedName name="DP4_X_Csg_Volz" localSheetId="10" hidden="0" function="0" vbProcedure="0">'[11]Metric Conversions'!$C$88</definedName>
    <definedName name="DP5_bbl_per_ft" localSheetId="10" hidden="0" function="0" vbProcedure="0">'[11]Liner Job Info'!$AT$73</definedName>
    <definedName name="DP5_COnn" localSheetId="10" hidden="0" function="0" vbProcedure="0">'[130]Liner Job Info'!$J$26</definedName>
    <definedName name="DP5_Grd" localSheetId="10" hidden="0" function="0" vbProcedure="0">'[130]Liner Job Info'!$F$26</definedName>
    <definedName name="DP5_ID" localSheetId="10" hidden="0" function="0" vbProcedure="0">'[11]Liner Job Info'!$E$26</definedName>
    <definedName name="DP5_Leng" localSheetId="10" hidden="0" function="0" vbProcedure="0">'[130]Metric Conversions'!$B$24</definedName>
    <definedName name="DP5_Lengz" localSheetId="10" hidden="0" function="0" vbProcedure="0">'[11]Liner Job Info'!$I$26</definedName>
    <definedName name="DP5_MYS" localSheetId="10" hidden="0" function="0" vbProcedure="0">'[11]Liner Job Info'!$AD$35</definedName>
    <definedName name="DP5_OD" localSheetId="10" hidden="0" function="0" vbProcedure="0">'[130]Liner Job Info'!$C$26</definedName>
    <definedName name="DP5_Tens" localSheetId="10" hidden="0" function="0" vbProcedure="0">'[11]Liner Job Info'!$M$26</definedName>
    <definedName name="DP5_Volz" localSheetId="10" hidden="0" function="0" vbProcedure="0">'[11]Metric Conversions'!$C$74</definedName>
    <definedName name="DP5_Wt_inmud" localSheetId="10" hidden="0" function="0" vbProcedure="0">'[11]Weight Calculations'!$H$12</definedName>
    <definedName name="DP5_Wt_Per_Ft" localSheetId="10" hidden="0" function="0" vbProcedure="0">'[130]Liner Job Info'!$D$26</definedName>
    <definedName name="DP5_X_Csg_Volz" localSheetId="10" hidden="0" function="0" vbProcedure="0">'[11]Metric Conversions'!$C$89</definedName>
    <definedName name="dpdt" localSheetId="10" hidden="0" function="0" vbProcedure="0">'[136]WCT-Ft'!$Q$4:$X$18</definedName>
    <definedName name="DPi" localSheetId="10" hidden="0" function="0" vbProcedure="0">[107]Piston!$F$10</definedName>
    <definedName name="DPia" localSheetId="10" hidden="0" function="0" vbProcedure="0">[107]Balooning!$F$9</definedName>
    <definedName name="DPNumber_35" localSheetId="10" hidden="0" function="0" vbProcedure="0">'[137]DP Length'!$A$3:$A$1000</definedName>
    <definedName name="DPNumber_5" localSheetId="10" hidden="0" function="0" vbProcedure="0">'[137]DP Length'!$C$3:$C$1000</definedName>
    <definedName name="DPo" localSheetId="10" hidden="0" function="0" vbProcedure="0">[107]Piston!$F$11</definedName>
    <definedName name="DPoa" localSheetId="10" hidden="0" function="0" vbProcedure="0">[107]Balooning!$F$10</definedName>
    <definedName name="DPThread" localSheetId="10" hidden="0" function="0" vbProcedure="0">[11]DATA!$AA$44:$AA$94</definedName>
    <definedName name="DPTTL_HYD_LENTH" localSheetId="10" hidden="0" function="0" vbProcedure="0">'[11]Weight Calculations'!$F$46</definedName>
    <definedName name="DP_MYS" localSheetId="10" hidden="0" function="0" vbProcedure="0">[11]DATA!$AB$2:$AB$6</definedName>
    <definedName name="DP_Plus_Block" localSheetId="10" hidden="0" function="0" vbProcedure="0">'[11]Weight Calculations'!$H$15</definedName>
    <definedName name="DP_PSI" localSheetId="10" hidden="0" function="0" vbProcedure="0">'[11]Metric Conversions'!$B$49</definedName>
    <definedName name="DP_PSIz" localSheetId="10" hidden="0" function="0" vbProcedure="0">'[11]Liner Job Info'!$D$35</definedName>
    <definedName name="DP_SF" localSheetId="10" hidden="0" function="0" vbProcedure="0">'[11]Liner Job Info'!$R$27</definedName>
    <definedName name="DRAFT" localSheetId="10" hidden="0" function="0" vbProcedure="0">'[1]run sheet'!#ref!</definedName>
    <definedName name="drawblanks" localSheetId="10" hidden="0" function="0" vbProcedure="0">'FINAL TALLY'!drawblanks</definedName>
    <definedName name="drawlinerfirst" localSheetId="10" hidden="0" function="0" vbProcedure="0">'FINAL TALLY'!drawlinerfirst</definedName>
    <definedName name="drawlinersecond" localSheetId="10" hidden="0" function="0" vbProcedure="0">'FINAL TALLY'!drawlinersecond</definedName>
    <definedName name="drawmiscellaneous" localSheetId="10" hidden="0" function="0" vbProcedure="0">'FINAL TALLY'!drawmiscellaneous</definedName>
    <definedName name="drawproductionfirst" localSheetId="10" hidden="0" function="0" vbProcedure="0">'FINAL TALLY'!drawproductionfirst</definedName>
    <definedName name="drawproductionsecond" localSheetId="10" hidden="0" function="0" vbProcedure="0">'FINAL TALLY'!drawproductionsecond</definedName>
    <definedName name="drawquantum" localSheetId="10" hidden="0" function="0" vbProcedure="0">'FINAL TALLY'!drawquantum</definedName>
    <definedName name="drawscreens" localSheetId="10" hidden="0" function="0" vbProcedure="0">'FINAL TALLY'!drawscreens</definedName>
    <definedName name="drawshearsubs" localSheetId="10" hidden="0" function="0" vbProcedure="0">'FINAL TALLY'!drawshearsubs</definedName>
    <definedName name="drawsump" localSheetId="10" hidden="0" function="0" vbProcedure="0">'FINAL TALLY'!drawsump</definedName>
    <definedName name="draw_blanks" localSheetId="10" hidden="0" function="0" vbProcedure="0">'FINAL TALLY'!draw_blanks</definedName>
    <definedName name="draw_linerfirst" localSheetId="10" hidden="0" function="0" vbProcedure="0">'FINAL TALLY'!draw_linerfirst</definedName>
    <definedName name="draw_linersecond" localSheetId="10" hidden="0" function="0" vbProcedure="0">'FINAL TALLY'!draw_linersecond</definedName>
    <definedName name="draw_miscellaneous" localSheetId="10" hidden="0" function="0" vbProcedure="0">'FINAL TALLY'!draw_miscellaneous</definedName>
    <definedName name="draw_productionfirst" localSheetId="10" hidden="0" function="0" vbProcedure="0">'FINAL TALLY'!draw_productionfirst</definedName>
    <definedName name="draw_productionsecond" localSheetId="10" hidden="0" function="0" vbProcedure="0">'FINAL TALLY'!draw_productionsecond</definedName>
    <definedName name="draw_quantum" localSheetId="10" hidden="0" function="0" vbProcedure="0">'FINAL TALLY'!draw_quantum</definedName>
    <definedName name="draw_screens" localSheetId="10" hidden="0" function="0" vbProcedure="0">'FINAL TALLY'!draw_screens</definedName>
    <definedName name="draw_shearsubs" localSheetId="10" hidden="0" function="0" vbProcedure="0">'FINAL TALLY'!draw_shearsubs</definedName>
    <definedName name="draw_sump" localSheetId="10" hidden="0" function="0" vbProcedure="0">'FINAL TALLY'!draw_sump</definedName>
    <definedName name="DRILLER" localSheetId="10" hidden="0" function="0" vbProcedure="0">#ref!</definedName>
    <definedName name="DRILLER2" localSheetId="10" hidden="0" function="0" vbProcedure="0">[155]!Calculate_Pipe</definedName>
    <definedName name="Drillpipesize" localSheetId="10" hidden="0" function="0" vbProcedure="0">[11]DATA!$X$2:$X$10</definedName>
    <definedName name="Drillpipetype" localSheetId="10" hidden="0" function="0" vbProcedure="0">[11]DATA!$AA$2:$AA$6</definedName>
    <definedName name="Drillpipeweight" localSheetId="10" hidden="0" function="0" vbProcedure="0">[11]DATA!$Z$2:$Z$36</definedName>
    <definedName name="Druckbereich_MI" localSheetId="10" hidden="0" function="0" vbProcedure="0">'[138]Dev-Baker'!$A$1:$J$46</definedName>
    <definedName name="Druckbereich_S3" localSheetId="10" hidden="0" function="0" vbProcedure="0">'[158]run_s.xls'!#ref!</definedName>
    <definedName name="dtr" localSheetId="10" hidden="0" function="0" vbProcedure="0">'[115]Max-Torq'!$P$77</definedName>
    <definedName name="DualTally" localSheetId="10" hidden="0" function="0" vbProcedure="0">#ref!</definedName>
    <definedName name="DWS" localSheetId="10" hidden="0" function="0" vbProcedure="0">'[111]DWS2023'!$A$4:$AD$257</definedName>
    <definedName name="E" localSheetId="10" hidden="0" function="0" vbProcedure="0">#ref!</definedName>
    <definedName name="ED" localSheetId="10" hidden="0" function="0" vbProcedure="0">[72]!Calculate_Pipe</definedName>
    <definedName name="edd" localSheetId="10" hidden="0" function="0" vbProcedure="0">[160]!Calculate_Pipe</definedName>
    <definedName name="Eff_Date" localSheetId="10" hidden="0" function="0" vbProcedure="0">'[94]Job Technical Info'!$L$3</definedName>
    <definedName name="EJYETYJEJ" localSheetId="10" hidden="0" function="0" vbProcedure="0">'FINAL TALLY'!EJYETYJEJ</definedName>
    <definedName name="EKIKO2" localSheetId="10" hidden="0" function="0" vbProcedure="0">#ref!</definedName>
    <definedName name="Element_Rating" localSheetId="10" hidden="0" function="0" vbProcedure="0">'[11]Metric Conversions'!$B$57</definedName>
    <definedName name="Element_Ratingz" localSheetId="10" hidden="0" function="0" vbProcedure="0">'[11]Liner Job Info'!$P$41</definedName>
    <definedName name="equipmenttype" localSheetId="10" hidden="0" function="0" vbProcedure="0">[53]data!#ref!</definedName>
    <definedName name="error" localSheetId="10" hidden="0" function="0" vbProcedure="0">[106]Data!$F$10</definedName>
    <definedName name="ertert" localSheetId="10" hidden="0" function="0" vbProcedure="0">[164]试压!#ref!</definedName>
    <definedName name="ES_pricelist" localSheetId="10" hidden="0" function="0" vbProcedure="0">[139]Pricelist!$A$8:$B$18</definedName>
    <definedName name="ex" localSheetId="10" hidden="0" function="0" vbProcedure="0">[145]!JointNumber</definedName>
    <definedName name="Expected_Job_Date" localSheetId="10" hidden="0" function="0" vbProcedure="0">'[108]Pre-Job Info Sheet'!$D$5</definedName>
    <definedName name="Explosive_Type" localSheetId="10" hidden="0" function="0" vbProcedure="0">'[108]TCP-BHA'!$E$7</definedName>
    <definedName name="EXP_1" localSheetId="10" hidden="0" function="0" vbProcedure="0">INDEX([111]DRAW!$A$2:$B$13,MATCH([112]AUTO_DHWS!$AV$7,[111]DRAW!$A$2:$A$13,0),2)</definedName>
    <definedName name="Extra" localSheetId="10" hidden="0" function="0" vbProcedure="0">#ref!</definedName>
    <definedName name="EXT_LENGTH" localSheetId="10" hidden="0" function="0" vbProcedure="0">'[6]#ref'!#ref!</definedName>
    <definedName name="F" localSheetId="10" hidden="0" function="0" vbProcedure="0">[140]Parts!$A$1:$I$65536</definedName>
    <definedName name="FB" localSheetId="10" hidden="0" function="0" vbProcedure="0">[170]!Calculate_Pipe</definedName>
    <definedName name="fdg" localSheetId="10" hidden="0" function="0" vbProcedure="0">[119]钻井日报表!$G$7</definedName>
    <definedName name="februpees" localSheetId="10" hidden="0" function="0" vbProcedure="0">'[141]Cash Expense March-96'!$H$6</definedName>
    <definedName name="fe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0" hidden="0" function="0" vbProcedure="0">'FINAL TALLY'!FEWFW</definedName>
    <definedName name="fff" localSheetId="10" hidden="0" function="0" vbProcedure="0">'FINAL TALLY'!fff</definedName>
    <definedName name="ffff" localSheetId="10" hidden="0" function="0" vbProcedure="0">[174]!Prev.Macro113</definedName>
    <definedName name="FIELD" localSheetId="10" hidden="0" function="0" vbProcedure="0">[187]References!$L$1:$M$7</definedName>
    <definedName name="final" localSheetId="10" hidden="0" function="0" vbProcedure="0">[145]!JointNumber</definedName>
    <definedName name="FJNDEF" localSheetId="10" hidden="0" function="0" vbProcedure="0">'FINAL TALLY'!FJNDEF</definedName>
    <definedName name="Floatequipment" localSheetId="10" hidden="0" function="0" vbProcedure="0">[11]DATA!$AM$2:$AM$9</definedName>
    <definedName name="FluidType" localSheetId="10" hidden="0" function="0" vbProcedure="0">'[94]Job Technical Info'!$F$42</definedName>
    <definedName name="FluidWt" localSheetId="10" hidden="0" function="0" vbProcedure="0">'[94]Job Technical Info'!$H$42</definedName>
    <definedName name="Form._Pressure" localSheetId="10" hidden="0" function="0" vbProcedure="0">'[108]Pre-Job Info Sheet'!$B$33</definedName>
    <definedName name="formation" localSheetId="10" hidden="0" function="0" vbProcedure="0">[53]data!#ref!</definedName>
    <definedName name="fracgrad" localSheetId="10" hidden="0" function="0" vbProcedure="0">[5]WTR!$L$38</definedName>
    <definedName name="fracpress" localSheetId="10" hidden="0" function="0" vbProcedure="0">'[113]#REF'!$L$25</definedName>
    <definedName name="frictionpressure" localSheetId="10" hidden="0" function="0" vbProcedure="0">[106]Data!$F$8</definedName>
    <definedName name="FRONT" localSheetId="10" hidden="0" function="0" vbProcedure="0">'[142]DAILY RPT'!$A$1:$Y$67</definedName>
    <definedName name="ftormeters" localSheetId="10" hidden="0" function="0" vbProcedure="0">'[11]Metric Conversions'!$B$14</definedName>
    <definedName name="Gamma_Quadrant" localSheetId="10" hidden="0" function="0" vbProcedure="0">[129]RSS!$N$139:$N$144</definedName>
    <definedName name="gasrate" localSheetId="10" hidden="0" function="0" vbProcedure="0">'[93]well test sheet'!#ref!</definedName>
    <definedName name="gas_cumm" localSheetId="10" hidden="0" function="0" vbProcedure="0">'[93]well test sheet'!#ref!</definedName>
    <definedName name="Gauge" localSheetId="10" hidden="0" function="0" vbProcedure="0">'[7]Drop-Down Items'!$D$74:$D$92</definedName>
    <definedName name="Gaugecancel" localSheetId="10" hidden="0" function="0" vbProcedure="0">[26]!Gaugecancel</definedName>
    <definedName name="gaugeconok" localSheetId="10" hidden="0" function="0" vbProcedure="0">[26]!gaugeconok</definedName>
    <definedName name="gaugeconok2" localSheetId="10" hidden="0" function="0" vbProcedure="0">[26]!gaugeconok2</definedName>
    <definedName name="gaugeok" localSheetId="10" hidden="0" function="0" vbProcedure="0">[26]!gaugeok</definedName>
    <definedName name="gaugeok2" localSheetId="10" hidden="0" function="0" vbProcedure="0">[26]!gaugeok2</definedName>
    <definedName name="gaugeselect" localSheetId="10" hidden="0" function="0" vbProcedure="0">[26]!gaugeselect</definedName>
    <definedName name="gaugeselect2" localSheetId="10" hidden="0" function="0" vbProcedure="0">[26]!gaugeselect2</definedName>
    <definedName name="gdsg" localSheetId="10" hidden="1" function="0" vbProcedure="0">[103]Run!$C$16:$C$512</definedName>
    <definedName name="GFTTC" localSheetId="10" hidden="0" function="0" vbProcedure="0">[145]!JointNumber</definedName>
    <definedName name="GGGR" localSheetId="10" hidden="0" function="0" vbProcedure="0">'FINAL TALLY'!GGGR</definedName>
    <definedName name="GL" localSheetId="10" hidden="0" function="0" vbProcedure="0">'[182]offset data'!#ref!</definedName>
    <definedName name="GLM" localSheetId="10" hidden="0" function="0" vbProcedure="0">[72]!Calculate_Pipe</definedName>
    <definedName name="GLM_1" localSheetId="10" hidden="0" function="0" vbProcedure="0">INDEX([111]DRAW!$A$2:$B$13,MATCH([112]AUTO_DHWS!$AV$3,[111]DRAW!$A$2:$A$13,0),2)</definedName>
    <definedName name="GLM_2" localSheetId="10" hidden="0" function="0" vbProcedure="0">INDEX([111]DRAW!$A$2:$B$13,MATCH([112]AUTO_DHWS!$AV$4,[111]DRAW!$A$2:$A$13,0),2)</definedName>
    <definedName name="GLM_3" localSheetId="10" hidden="0" function="0" vbProcedure="0">INDEX([111]DRAW!$A$2:$B$13,MATCH([112]AUTO_DHWS!$AV$5,[111]DRAW!$A$2:$A$13,0),2)</definedName>
    <definedName name="GLM_4" localSheetId="10" hidden="0" function="0" vbProcedure="0">INDEX([111]DRAW!$A$2:$B$13,MATCH([112]AUTO_DHWS!$AV$6,[111]DRAW!$A$2:$A$13,0),2)</definedName>
    <definedName name="Gmh" localSheetId="10" hidden="1" function="0" vbProcedure="0">{#N/A,#N/A,FALSE,"Sheet1"}</definedName>
    <definedName name="gor" localSheetId="10" hidden="0" function="0" vbProcedure="0">'[93]well test sheet'!#ref!</definedName>
    <definedName name="gpbreakerconc" localSheetId="10" hidden="0" function="0" vbProcedure="0">'[113]#REF'!$K$68</definedName>
    <definedName name="gpbreakertype" localSheetId="10" hidden="0" function="0" vbProcedure="0">'[113]#REF'!$K$67</definedName>
    <definedName name="gpcarriertype" localSheetId="10" hidden="0" function="0" vbProcedure="0">[5]WTR!$G$83</definedName>
    <definedName name="gpcarriervis" localSheetId="10" hidden="0" function="0" vbProcedure="0">'[113]#REF'!$K$66</definedName>
    <definedName name="gpcarriervol" localSheetId="10" hidden="0" function="0" vbProcedure="0">'[113]#REF'!$F$69</definedName>
    <definedName name="gpcarrierwt" localSheetId="10" hidden="0" function="0" vbProcedure="0">'[113]#REF'!$F$67</definedName>
    <definedName name="gpextlength" localSheetId="10" hidden="0" function="0" vbProcedure="0">'[113]#REF'!$J$15</definedName>
    <definedName name="gpextod" localSheetId="10" hidden="0" function="0" vbProcedure="0">'[113]#REF'!$F$15</definedName>
    <definedName name="gpgel" localSheetId="10" hidden="0" function="0" vbProcedure="0">'[113]#REF'!$K$65</definedName>
    <definedName name="gplbs" localSheetId="10" hidden="0" function="0" vbProcedure="0">'[113]#REF'!$F$64</definedName>
    <definedName name="gpmixratio" localSheetId="10" hidden="0" function="0" vbProcedure="0">[5]WTR!$M$81</definedName>
    <definedName name="gppumprate" localSheetId="10" hidden="0" function="0" vbProcedure="0">[5]WTR!$F$88</definedName>
    <definedName name="gpslurrydens" localSheetId="10" hidden="0" function="0" vbProcedure="0">'[113]#REF'!$F$70</definedName>
    <definedName name="GP_EXT_OD" localSheetId="10" hidden="0" function="0" vbProcedure="0">'[113]#REF'!$F$15</definedName>
    <definedName name="GP_MIX_RATIO" localSheetId="10" hidden="0" function="0" vbProcedure="0">'[113]#REF'!$K$64</definedName>
    <definedName name="GP_SLURRY_VOL" localSheetId="10" hidden="0" function="0" vbProcedure="0">'[113]#REF'!$F$69</definedName>
    <definedName name="GQGQ" localSheetId="10" hidden="0" function="0" vbProcedure="0">'FINAL TALLY'!GQGQ</definedName>
    <definedName name="GQQ" localSheetId="10" hidden="0" function="0" vbProcedure="0">'FINAL TALLY'!GQQ</definedName>
    <definedName name="gravelsize" localSheetId="10" hidden="0" function="0" vbProcedure="0">[5]WTR!$G$82</definedName>
    <definedName name="GRAVEL_IN_CSG." localSheetId="10" hidden="0" function="0" vbProcedure="0">'[113]#REF'!XEP1048377</definedName>
    <definedName name="GroupID" localSheetId="10" hidden="0" function="0" vbProcedure="0">[11]DATA!$Q$2:$Q$268</definedName>
    <definedName name="Group_ID" localSheetId="10" hidden="0" function="0" vbProcedure="0">[57]DATA!$Q$2:$Q$268</definedName>
    <definedName name="GRQ" localSheetId="10" hidden="0" function="0" vbProcedure="0">'FINAL TALLY'!GRQ</definedName>
    <definedName name="GUB24SECWELL" localSheetId="10" hidden="1" function="0" vbProcedure="0">[143]Sheet1!$A$181:$H$210</definedName>
    <definedName name="GudCont" localSheetId="10" hidden="0" function="0" vbProcedure="0">#ref!</definedName>
    <definedName name="Gun_Size" localSheetId="10" hidden="0" function="0" vbProcedure="0">'[108]TCP-BHA'!$F$5</definedName>
    <definedName name="GWS" localSheetId="10" hidden="0" function="0" vbProcedure="0">'FINAL TALLY'!GWS</definedName>
    <definedName name="h" localSheetId="10" hidden="0" function="0" vbProcedure="0">[144]Tally!$A$5:$H$1064</definedName>
    <definedName name="H2S" localSheetId="10" hidden="0" function="0" vbProcedure="0">'[94]Job Technical Info'!$L$41</definedName>
    <definedName name="Hangerfunction" localSheetId="10" hidden="0" function="0" vbProcedure="0">[11]DATA!$AH$2:$AH$9</definedName>
    <definedName name="Hassan" localSheetId="10" hidden="0" function="0" vbProcedure="0">[185]!Macro1</definedName>
    <definedName name="HAUL_Thread" localSheetId="10" hidden="0" function="0" vbProcedure="0">[11]DATA!$BM$22:$BM$114</definedName>
    <definedName name="HEAD" localSheetId="10" hidden="0" function="0" vbProcedure="0">#ref!</definedName>
    <definedName name="hesfluid" localSheetId="10" hidden="0" function="0" vbProcedure="0">[53]data!#ref!</definedName>
    <definedName name="hgh" localSheetId="10" hidden="1" function="0" vbProcedure="0">[1]Run!$D$15:$D$512</definedName>
    <definedName name="HGR_OL_Packoff_In" localSheetId="10" hidden="0" function="0" vbProcedure="0">[11]Test!$M$36</definedName>
    <definedName name="hhp" localSheetId="10" hidden="0" function="0" vbProcedure="0">'[93]well test sheet'!#ref!</definedName>
    <definedName name="hj" localSheetId="10" hidden="0" function="0" vbProcedure="0">[187]bha!#ref!</definedName>
    <definedName name="HKWT" localSheetId="10" hidden="0" function="0" vbProcedure="0">[188]钻井日报表!$E$7</definedName>
    <definedName name="Hngr_Bst" localSheetId="10" hidden="0" function="0" vbProcedure="0">'[11]Metric Conversions'!$B$50</definedName>
    <definedName name="Hngr_Bstz" localSheetId="10" hidden="0" function="0" vbProcedure="0">'[11]Liner Job Info'!$D$39</definedName>
    <definedName name="Hngr_OL_PO_out" localSheetId="10" hidden="0" function="0" vbProcedure="0">[11]Test!$M$30</definedName>
    <definedName name="Hngr_Overload_Cmt_Setup" localSheetId="10" hidden="0" function="0" vbProcedure="0">[11]Test!$M$42</definedName>
    <definedName name="Hngr_Tens" localSheetId="10" hidden="0" function="0" vbProcedure="0">'[11]Liner Job Info'!$D$40</definedName>
    <definedName name="Hng_Cap" localSheetId="10" hidden="0" function="0" vbProcedure="0">'[11]Liner Job Info'!$D$41</definedName>
    <definedName name="holevol" localSheetId="10" hidden="0" function="0" vbProcedure="0">'[61]tool backload dt'!holevol</definedName>
    <definedName name="hpb" localSheetId="10" hidden="0" function="0" vbProcedure="0">'[93]well test sheet'!#ref!</definedName>
    <definedName name="HR_Turns" localSheetId="10" hidden="0" function="0" vbProcedure="0">'[11]Weight Calculations'!$Q$36</definedName>
    <definedName name="HTML_Control" localSheetId="10" hidden="1" function="0" vbProcedure="0">{"'Operator &amp; Well Info.'!$A$1:$F$16"}</definedName>
    <definedName name="hwdpdt" localSheetId="10" hidden="0" function="0" vbProcedure="0">'[136]WCT-Ft'!$Q$19:$X$24</definedName>
    <definedName name="hy" localSheetId="10" hidden="0" function="0" vbProcedure="0">[49]!Prev.Macro106</definedName>
    <definedName name="Hyd._Pressure" localSheetId="10" hidden="0" function="0" vbProcedure="0">'[108]Job Calculation Sheet'!$H$28</definedName>
    <definedName name="Hyd_at_TV" localSheetId="10" hidden="0" function="0" vbProcedure="0">'[108]Tester Valve Calcs'!$F$21</definedName>
    <definedName name="Hyd_Effect_Force" localSheetId="10" hidden="0" function="0" vbProcedure="0">'[11]Weight Calculations'!$F$47</definedName>
    <definedName name="Hyd_force_element" localSheetId="10" hidden="0" function="0" vbProcedure="0">[11]Test!$M$17</definedName>
    <definedName name="HyfloSeatID" localSheetId="10" hidden="0" function="0" vbProcedure="0">[11]DATA!$AY$2:$AY$4</definedName>
    <definedName name="HyfloSeatNumber" localSheetId="10" hidden="0" function="0" vbProcedure="0">[11]DATA!$AZ$2:$AZ$5</definedName>
    <definedName name="HyfloSupplier" localSheetId="10" hidden="0" function="0" vbProcedure="0">[11]DATA!$BA$2:$BA$5</definedName>
    <definedName name="I" localSheetId="10" hidden="0" function="0" vbProcedure="0">#ref!</definedName>
    <definedName name="idlist" localSheetId="10" hidden="0" function="0" vbProcedure="0">[106]Data!$GD$2:$GE$237</definedName>
    <definedName name="IDUnit" localSheetId="10" hidden="0" function="0" vbProcedure="0">'[94]Job Technical Info'!$F$24</definedName>
    <definedName name="impdwg" localSheetId="10" hidden="0" function="0" vbProcedure="0">[26]!impdwg</definedName>
    <definedName name="impdwg_1" localSheetId="10" hidden="0" function="0" vbProcedure="0">'FINAL TALLY'!impdwg</definedName>
    <definedName name="impdwg_10" localSheetId="10" hidden="0" function="0" vbProcedure="0">'FINAL TALLY'!impdwg</definedName>
    <definedName name="impdwg_11" localSheetId="10" hidden="0" function="0" vbProcedure="0">'FINAL TALLY'!impdwg</definedName>
    <definedName name="impdwg_2" localSheetId="10" hidden="0" function="0" vbProcedure="0">'FINAL TALLY'!impdwg</definedName>
    <definedName name="impdwg_3" localSheetId="10" hidden="0" function="0" vbProcedure="0">'FINAL TALLY'!impdwg</definedName>
    <definedName name="impdwg_4" localSheetId="10" hidden="0" function="0" vbProcedure="0">'FINAL TALLY'!impdwg</definedName>
    <definedName name="impdwg_5" localSheetId="10" hidden="0" function="0" vbProcedure="0">'FINAL TALLY'!impdwg</definedName>
    <definedName name="impdwg_6" localSheetId="10" hidden="0" function="0" vbProcedure="0">'FINAL TALLY'!impdwg</definedName>
    <definedName name="impdwg_7" localSheetId="10" hidden="0" function="0" vbProcedure="0">'FINAL TALLY'!impdwg</definedName>
    <definedName name="impdwg_8" localSheetId="10" hidden="0" function="0" vbProcedure="0">'FINAL TALLY'!impdwg</definedName>
    <definedName name="impdwg_9" localSheetId="10" hidden="0" function="0" vbProcedure="0">'FINAL TALLY'!impdwg</definedName>
    <definedName name="Inc" localSheetId="10" hidden="0" function="0" vbProcedure="0">[188]钻井日报表!$G$8</definedName>
    <definedName name="InclinationData" localSheetId="10" hidden="0" function="0" vbProcedure="0">OFFSET([26]!Inclination,2,0,COUNT(#ref!),1)</definedName>
    <definedName name="incrementa"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0" hidden="0" function="0" vbProcedure="0">'[145]Job File Index'!$B$7</definedName>
    <definedName name="INFUSER_RATE" localSheetId="10" hidden="0" function="0" vbProcedure="0">'[113]#REF'!$F$71</definedName>
    <definedName name="INFUSER_RATE_PREPACK" localSheetId="10" hidden="0" function="0" vbProcedure="0">'[113]#REF'!$F$50</definedName>
    <definedName name="Insert_New_Page" localSheetId="10" hidden="0" function="0" vbProcedure="0">[41]!Insert_New_Page</definedName>
    <definedName name="Insert_New_Page_1" localSheetId="10" hidden="0" function="0" vbProcedure="0">'FINAL TALLY'!Insert_New_Page</definedName>
    <definedName name="Insert_New_Page_10" localSheetId="10" hidden="0" function="0" vbProcedure="0">'FINAL TALLY'!Insert_New_Page</definedName>
    <definedName name="Insert_New_Page_11" localSheetId="10" hidden="0" function="0" vbProcedure="0">'FINAL TALLY'!Insert_New_Page</definedName>
    <definedName name="Insert_New_Page_2" localSheetId="10" hidden="0" function="0" vbProcedure="0">'FINAL TALLY'!Insert_New_Page</definedName>
    <definedName name="Insert_New_Page_3" localSheetId="10" hidden="0" function="0" vbProcedure="0">'FINAL TALLY'!Insert_New_Page</definedName>
    <definedName name="Insert_New_Page_4" localSheetId="10" hidden="0" function="0" vbProcedure="0">'FINAL TALLY'!Insert_New_Page</definedName>
    <definedName name="Insert_New_Page_5" localSheetId="10" hidden="0" function="0" vbProcedure="0">'FINAL TALLY'!Insert_New_Page</definedName>
    <definedName name="Insert_New_Page_6" localSheetId="10" hidden="0" function="0" vbProcedure="0">'FINAL TALLY'!Insert_New_Page</definedName>
    <definedName name="Insert_New_Page_7" localSheetId="10" hidden="0" function="0" vbProcedure="0">'FINAL TALLY'!Insert_New_Page</definedName>
    <definedName name="Insert_New_Page_8" localSheetId="10" hidden="0" function="0" vbProcedure="0">'FINAL TALLY'!Insert_New_Page</definedName>
    <definedName name="Insert_New_Page_9" localSheetId="10" hidden="0" function="0" vbProcedure="0">'FINAL TALLY'!Insert_New_Page</definedName>
    <definedName name="Inverse_Balloon_Area" localSheetId="10" hidden="0" function="0" vbProcedure="0">[11]Test!$M$19</definedName>
    <definedName name="isip" localSheetId="10" hidden="0" function="0" vbProcedure="0">[5]WTR!$G$41</definedName>
    <definedName name="Issue" localSheetId="10" hidden="0" function="0" vbProcedure="0">'[146]Title Page'!$Q$2:$Q$20</definedName>
    <definedName name="Item1" localSheetId="10" hidden="0" function="0" vbProcedure="0">INDEX(#ref!,0,MATCH('[59]ENG Input'!$A$12,Categories,0))</definedName>
    <definedName name="Item10" localSheetId="10" hidden="0" function="0" vbProcedure="0">INDEX(#ref!,0,MATCH('[59]ENG Input'!$A$128,Categories,0))</definedName>
    <definedName name="Item11" localSheetId="10" hidden="0" function="0" vbProcedure="0">INDEX(#ref!,0,MATCH('[59]ENG Input'!$A$139,Categories,0))</definedName>
    <definedName name="Item12" localSheetId="10" hidden="0" function="0" vbProcedure="0">INDEX(#ref!,0,MATCH('[59]ENG Input'!$A$155,Categories,0))</definedName>
    <definedName name="Item13" localSheetId="10" hidden="0" function="0" vbProcedure="0">INDEX(#ref!,0,MATCH('[59]ENG Input'!$A$171,Categories,0))</definedName>
    <definedName name="Item14" localSheetId="10" hidden="0" function="0" vbProcedure="0">INDEX(#ref!,0,MATCH('[59]ENG Input'!$A$182,Categories,0))</definedName>
    <definedName name="Item15" localSheetId="10" hidden="0" function="0" vbProcedure="0">INDEX(#ref!,0,MATCH('[59]ENG Input'!$A$193,Categories,0))</definedName>
    <definedName name="Item16" localSheetId="10" hidden="0" function="0" vbProcedure="0">INDEX(#ref!,0,MATCH('[59]ENG Input'!$A$204,Categories,0))</definedName>
    <definedName name="Item17" localSheetId="10" hidden="0" function="0" vbProcedure="0">INDEX(#ref!,0,MATCH('[59]ENG Input'!$A$215,Categories,0))</definedName>
    <definedName name="Item18" localSheetId="10" hidden="0" function="0" vbProcedure="0">INDEX(#ref!,0,MATCH('[59]ENG Input'!$A$226,Categories,0))</definedName>
    <definedName name="Item19" localSheetId="10" hidden="0" function="0" vbProcedure="0">INDEX(#ref!,0,MATCH('[59]ENG Input'!$A$237,Categories,0))</definedName>
    <definedName name="Item2" localSheetId="10" hidden="0" function="0" vbProcedure="0">INDEX(#ref!,0,MATCH('[59]ENG Input'!$A$32,Categories,0))</definedName>
    <definedName name="Item20" localSheetId="10" hidden="0" function="0" vbProcedure="0">INDEX(#ref!,0,MATCH('[59]ENG Input'!$A$248,Categories,0))</definedName>
    <definedName name="Item3" localSheetId="10" hidden="0" function="0" vbProcedure="0">INDEX(#ref!,0,MATCH('[59]ENG Input'!$A$48,Categories,0))</definedName>
    <definedName name="Item4" localSheetId="10" hidden="0" function="0" vbProcedure="0">INDEX(#ref!,0,MATCH('[59]ENG Input'!$A$59,Categories,0))</definedName>
    <definedName name="Item5" localSheetId="10" hidden="0" function="0" vbProcedure="0">INDEX(#ref!,0,MATCH('[59]ENG Input'!$A$73,Categories,0))</definedName>
    <definedName name="Item6" localSheetId="10" hidden="0" function="0" vbProcedure="0">INDEX(#ref!,0,MATCH('[59]ENG Input'!$A$84,Categories,0))</definedName>
    <definedName name="Item7" localSheetId="10" hidden="0" function="0" vbProcedure="0">INDEX(#ref!,0,MATCH('[59]ENG Input'!$A$95,Categories,0))</definedName>
    <definedName name="Item8" localSheetId="10" hidden="0" function="0" vbProcedure="0">INDEX(#ref!,0,MATCH('[59]ENG Input'!$A$106,Categories,0))</definedName>
    <definedName name="Item9" localSheetId="10" hidden="0" function="0" vbProcedure="0">INDEX(#ref!,0,MATCH('[59]ENG Input'!$A$117,Categories,0))</definedName>
    <definedName name="J" localSheetId="10" hidden="1" function="0" vbProcedure="0">#ref!</definedName>
    <definedName name="janrupees" localSheetId="10" hidden="0" function="0" vbProcedure="0">'[147]Cash Expense January-96'!$H$6</definedName>
    <definedName name="jena_9" localSheetId="10" hidden="0" function="0" vbProcedure="0">#ref!</definedName>
    <definedName name="JEYJD" localSheetId="10" hidden="0" function="0" vbProcedure="0">'FINAL TALLY'!JEYJD</definedName>
    <definedName name="JK" localSheetId="10" hidden="0" function="0" vbProcedure="0">'[148]CSG13'!$B$5</definedName>
    <definedName name="JobCenterID" localSheetId="10" hidden="0" function="0" vbProcedure="0">'[94]Job Technical Info'!$C$10</definedName>
    <definedName name="JobEndDate" localSheetId="10" hidden="0" function="0" vbProcedure="0">'[138]job info sheet'!#ref!</definedName>
    <definedName name="JobNumber" localSheetId="10" hidden="0" function="0" vbProcedure="0">'[129]Front Page Info'!$C$4</definedName>
    <definedName name="jobpurpose1" localSheetId="10" hidden="0" function="0" vbProcedure="0">[186]Data!$L$1:$L$65536</definedName>
    <definedName name="JobType" localSheetId="10" hidden="0" function="0" vbProcedure="0">[6]Sheet1!$A$11:$A$16</definedName>
    <definedName name="Jobtype1" localSheetId="10" hidden="0" function="0" vbProcedure="0">[186]Data!$N$1:$N$65536</definedName>
    <definedName name="Job_date" localSheetId="10" hidden="0" function="0" vbProcedure="0">'[108]TCP-BHA'!$D$5</definedName>
    <definedName name="Job_Name" localSheetId="10" hidden="0" function="0" vbProcedure="0">'[30]Liner Job Info'!$E$5</definedName>
    <definedName name="Job_Type" localSheetId="10" hidden="0" function="0" vbProcedure="0">'[12]JCSI 12'!$AB$29:$AB$42</definedName>
    <definedName name="JointNumber" localSheetId="10" hidden="0" function="0" vbProcedure="0">[96]!JointNumber</definedName>
    <definedName name="JOINTNUMBER23" localSheetId="10" hidden="0" function="0" vbProcedure="0">[72]!JointNumber</definedName>
    <definedName name="JOINTNYMBER4" localSheetId="10" hidden="0" function="0" vbProcedure="0">[72]!JointNumber</definedName>
    <definedName name="JOYCE" localSheetId="10" hidden="1" function="0" vbProcedure="0">#ref!</definedName>
    <definedName name="JRJTRJT" localSheetId="10" hidden="0" function="0" vbProcedure="0">'FINAL TALLY'!JRJTRJT</definedName>
    <definedName name="JT" localSheetId="10" hidden="0" function="0" vbProcedure="0">[197]!JointNumber</definedName>
    <definedName name="JtCount" localSheetId="10" hidden="0" function="0" vbProcedure="0">'[76]casing talley'!#ref!</definedName>
    <definedName name="JTNFN" localSheetId="10" hidden="0" function="0" vbProcedure="0">'FINAL TALLY'!JTNFN</definedName>
    <definedName name="jun" localSheetId="10" hidden="1" function="0" vbProcedure="0">{#N/A,#N/A,FALSE,"Sheet1"}</definedName>
    <definedName name="June" localSheetId="10" hidden="1" function="0" vbProcedure="0">{#N/A,#N/A,FALSE,"Sheet1"}</definedName>
    <definedName name="June1" localSheetId="10" hidden="1" function="0" vbProcedure="0">{#N/A,#N/A,FALSE,"Sheet1"}</definedName>
    <definedName name="junk" localSheetId="10" hidden="0" function="0" vbProcedure="0">{#N/A,#N/A,FALSE,"Volume"}</definedName>
    <definedName name="junk1" localSheetId="10" hidden="0" function="0" vbProcedure="0">{#N/A,#N/A,FALSE,"Volume"}</definedName>
    <definedName name="junk2" localSheetId="10" hidden="0" function="0" vbProcedure="0">{#N/A,#N/A,FALSE,"Volume"}</definedName>
    <definedName name="junk3" localSheetId="10" hidden="0" function="0" vbProcedure="0">{#N/A,#N/A,FALSE,"Volume"}</definedName>
    <definedName name="junk4" localSheetId="10" hidden="0" function="0" vbProcedure="0">{#N/A,#N/A,FALSE,"Volume"}</definedName>
    <definedName name="k" localSheetId="10" hidden="1" function="0" vbProcedure="0">#ref!</definedName>
    <definedName name="Kill_Fluid_Type" localSheetId="10" hidden="0" function="0" vbProcedure="0">'[108]TCP-BHA'!$G$7</definedName>
    <definedName name="Kill_Fluid_Wt" localSheetId="10" hidden="0" function="0" vbProcedure="0">'[108]TCP-BHA'!$F$7</definedName>
    <definedName name="KK" localSheetId="10" hidden="0" function="0" vbProcedure="0">[26]!Macro1</definedName>
    <definedName name="KL" localSheetId="10" hidden="0" function="0" vbProcedure="0">[149]BHA!$C$4</definedName>
    <definedName name="KO" localSheetId="10" hidden="0" function="0" vbProcedure="0">'[148]CSG13'!$F$6</definedName>
    <definedName name="KRR" localSheetId="10" hidden="0" function="0" vbProcedure="0">'FINAL TALLY'!KRR</definedName>
    <definedName name="KUYUKR" localSheetId="10" hidden="0" function="0" vbProcedure="0">'FINAL TALLY'!KUYUKR</definedName>
    <definedName name="K_1" localSheetId="10" hidden="0" function="0" vbProcedure="0">#ref!</definedName>
    <definedName name="K_2" localSheetId="10" hidden="0" function="0" vbProcedure="0">#ref!</definedName>
    <definedName name="K_Dual" localSheetId="10" hidden="0" function="0" vbProcedure="0">#ref!</definedName>
    <definedName name="L" localSheetId="10" hidden="0" function="0" vbProcedure="0">#ref!</definedName>
    <definedName name="landoffshore" localSheetId="10" hidden="0" function="0" vbProcedure="0">[53]data!#ref!</definedName>
    <definedName name="LastCsgString" localSheetId="10" hidden="0" function="0" vbProcedure="0">[11]DATA!$AU$2:$AU$4</definedName>
    <definedName name="latlong" localSheetId="10" hidden="0" function="0" vbProcedure="0">'[34]Call Sheet'!$P$7</definedName>
    <definedName name="LC" localSheetId="10" hidden="0" function="0" vbProcedure="0">INDEX([111]DRAW!$J$13:$K$22,MATCH([112]AUTO_DHWS!$BC$4,[111]DRAW!$J$13:$J$22,0),2)</definedName>
    <definedName name="LCJobType" localSheetId="10" hidden="0" function="0" vbProcedure="0">'[94]Installation Results #1'!$C$306</definedName>
    <definedName name="LC_TYPE" localSheetId="10" hidden="0" function="0" vbProcedure="0">INDEX([111]DRAW!$P$68:$Q$70,MATCH([111]DRAW!$Q$67,[111]DRAW!$P$68:$P$70,0),2)</definedName>
    <definedName name="Lead_Slurry_in_12.25__OH" localSheetId="10" hidden="0" function="0" vbProcedure="0">'[150]Cmt Csg'!$C$6</definedName>
    <definedName name="lease" localSheetId="10" hidden="0" function="0" vbProcedure="0">[5]WTR!$I$6</definedName>
    <definedName name="Lease1" localSheetId="10" hidden="0" function="0" vbProcedure="0">'[108]TCP-BHA'!$A$7</definedName>
    <definedName name="Length" localSheetId="10" hidden="0" function="0" vbProcedure="0">#ref!</definedName>
    <definedName name="Lengths" localSheetId="10"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10" hidden="0" function="0" vbProcedure="0">[125]Sheet2!$C$1:$C$5</definedName>
    <definedName name="Liner1_Burst" localSheetId="10" hidden="0" function="0" vbProcedure="0">'[11]Metric Conversions'!$B$45</definedName>
    <definedName name="Liner1_Burstz" localSheetId="10" hidden="0" function="0" vbProcedure="0">'[11]Liner Job Info'!$J$17</definedName>
    <definedName name="Liner1_Cap" localSheetId="10" hidden="0" function="0" vbProcedure="0">'[11]Liner Job Info'!$P$17</definedName>
    <definedName name="Liner1_Collapsez" localSheetId="10" hidden="0" function="0" vbProcedure="0">'[11]Liner Job Info'!$L$17</definedName>
    <definedName name="Liner1_ID" localSheetId="10" hidden="0" function="0" vbProcedure="0">'[11]Liner Job Info'!$D$17</definedName>
    <definedName name="Liner1_Length" localSheetId="10" hidden="0" function="0" vbProcedure="0">'[130]Metric Conversions'!$B$17</definedName>
    <definedName name="Liner1_Lengthz" localSheetId="10" hidden="0" function="0" vbProcedure="0">'[11]Liner Job Info'!$R$17</definedName>
    <definedName name="Liner1_OD" localSheetId="10" hidden="0" function="0" vbProcedure="0">'[130]Liner Job Info'!$C$17</definedName>
    <definedName name="Liner1_Thread" localSheetId="10" hidden="0" function="0" vbProcedure="0">'[130]Liner Job Info'!$H$17</definedName>
    <definedName name="Liner1_Wt_in_Mud" localSheetId="10" hidden="0" function="0" vbProcedure="0">'[11]Weight Calculations'!$H$16</definedName>
    <definedName name="Liner1_Wt_Per_Ft" localSheetId="10" hidden="0" function="0" vbProcedure="0">'[130]Liner Job Info'!$E$17</definedName>
    <definedName name="Liner2_Burst" localSheetId="10" hidden="0" function="0" vbProcedure="0">'[11]Metric Conversions'!$B$46</definedName>
    <definedName name="Liner2_Burstz" localSheetId="10" hidden="0" function="0" vbProcedure="0">'[11]Liner Job Info'!$J$18</definedName>
    <definedName name="Liner2_Cap" localSheetId="10" hidden="0" function="0" vbProcedure="0">'[11]Liner Job Info'!$P$18</definedName>
    <definedName name="Liner2_Collapsez" localSheetId="10" hidden="0" function="0" vbProcedure="0">'[11]Liner Job Info'!$L$18</definedName>
    <definedName name="Liner2_ID" localSheetId="10" hidden="0" function="0" vbProcedure="0">'[11]Liner Job Info'!$D$18</definedName>
    <definedName name="Liner2_Length" localSheetId="10" hidden="0" function="0" vbProcedure="0">'[130]Metric Conversions'!$B$18</definedName>
    <definedName name="Liner2_Lengthz" localSheetId="10" hidden="0" function="0" vbProcedure="0">'[11]Liner Job Info'!$R$18</definedName>
    <definedName name="Liner2_OD" localSheetId="10" hidden="0" function="0" vbProcedure="0">'[130]Liner Job Info'!$C$18</definedName>
    <definedName name="Liner2_Thread" localSheetId="10" hidden="0" function="0" vbProcedure="0">'[130]Liner Job Info'!$H$18</definedName>
    <definedName name="Liner2_Wt_in_Mud" localSheetId="10" hidden="0" function="0" vbProcedure="0">'[11]Weight Calculations'!$H$17</definedName>
    <definedName name="Liner2_Wt_Per_FT" localSheetId="10" hidden="0" function="0" vbProcedure="0">'[130]Liner Job Info'!$E$18</definedName>
    <definedName name="Linertype" localSheetId="10" hidden="0" function="0" vbProcedure="0">[11]DATA!$W$2:$W$12</definedName>
    <definedName name="Liner_I.D." localSheetId="10" hidden="0" function="0" vbProcedure="0">'[108]Job Calculation Sheet'!$F$14</definedName>
    <definedName name="Liner_ID_Area" localSheetId="10" hidden="0" function="0" vbProcedure="0">[11]Test!$V$40</definedName>
    <definedName name="Liner_Size" localSheetId="10" hidden="0" function="0" vbProcedure="0">'[108]Pre-Job Info Sheet'!$D$17</definedName>
    <definedName name="Liner_Top__MD" localSheetId="10" hidden="0" function="0" vbProcedure="0">'[108]Pre-Job Info Sheet'!$D$19</definedName>
    <definedName name="Liner_Weight" localSheetId="10" hidden="0" function="0" vbProcedure="0">'[108]Pre-Job Info Sheet'!$D$18</definedName>
    <definedName name="Lithology" localSheetId="10" hidden="0" function="0" vbProcedure="0">#ref!</definedName>
    <definedName name="lkj" localSheetId="10" hidden="1" function="0" vbProcedure="0">[103]Run!$B$18:$B$512</definedName>
    <definedName name="Lnr1_Grade" localSheetId="10" hidden="0" function="0" vbProcedure="0">'[130]Liner Job Info'!$F$17</definedName>
    <definedName name="Lnr1_Vol" localSheetId="10" hidden="0" function="0" vbProcedure="0">'[11]Metric Conversions'!$B$77</definedName>
    <definedName name="Lnr1_Volz" localSheetId="10" hidden="0" function="0" vbProcedure="0">'[11]Metric Conversions'!$C$77</definedName>
    <definedName name="Lnr1_X_OH_Volz" localSheetId="10" hidden="0" function="0" vbProcedure="0">'[11]Metric Conversions'!$C$82</definedName>
    <definedName name="Lnr2_Grade" localSheetId="10" hidden="0" function="0" vbProcedure="0">'[130]Liner Job Info'!$F$18</definedName>
    <definedName name="Lnr2_Vol" localSheetId="10" hidden="0" function="0" vbProcedure="0">'[11]Metric Conversions'!$B$78</definedName>
    <definedName name="Lnr2_Volz" localSheetId="10" hidden="0" function="0" vbProcedure="0">'[11]Metric Conversions'!$C$78</definedName>
    <definedName name="Lnr2_X_OH_Volz" localSheetId="10" hidden="0" function="0" vbProcedure="0">'[11]Metric Conversions'!$C$83</definedName>
    <definedName name="LnrDrift1" localSheetId="10" hidden="0" function="0" vbProcedure="0">'[94]Job Technical Info'!$G$29</definedName>
    <definedName name="LnrDrift2" localSheetId="10" hidden="0" function="0" vbProcedure="0">'[94]Job Technical Info'!$G$30</definedName>
    <definedName name="LnrGrd1" localSheetId="10" hidden="0" function="0" vbProcedure="0">'[94]Job Technical Info'!$H$29</definedName>
    <definedName name="LnrGrd2" localSheetId="10" hidden="0" function="0" vbProcedure="0">'[94]Job Technical Info'!$H$30</definedName>
    <definedName name="LnrID1" localSheetId="10" hidden="0" function="0" vbProcedure="0">'[94]Job Technical Info'!$F$29</definedName>
    <definedName name="LnrID2" localSheetId="10" hidden="0" function="0" vbProcedure="0">'[94]Job Technical Info'!$F$30</definedName>
    <definedName name="LnrSz1" localSheetId="10" hidden="0" function="0" vbProcedure="0">'[94]Job Technical Info'!$D$29</definedName>
    <definedName name="LnrSz2" localSheetId="10" hidden="0" function="0" vbProcedure="0">'[94]Job Technical Info'!$D$30</definedName>
    <definedName name="LnrThd1" localSheetId="10" hidden="0" function="0" vbProcedure="0">'[94]Job Technical Info'!$J$29</definedName>
    <definedName name="LnrThd2" localSheetId="10" hidden="0" function="0" vbProcedure="0">'[94]Job Technical Info'!$J$30</definedName>
    <definedName name="LnrWt1" localSheetId="10" hidden="0" function="0" vbProcedure="0">'[94]Job Technical Info'!$E$29</definedName>
    <definedName name="LnrWt2" localSheetId="10" hidden="0" function="0" vbProcedure="0">'[94]Job Technical Info'!$E$30</definedName>
    <definedName name="Lnr_Shoe_Depth" localSheetId="10" hidden="0" function="0" vbProcedure="0">'[130]Metric Conversions'!$B$29</definedName>
    <definedName name="Loaded" localSheetId="10" hidden="0" function="0" vbProcedure="0">'[108]Pre-Job Info Sheet'!$B$19</definedName>
    <definedName name="Location" localSheetId="10" hidden="0" function="0" vbProcedure="0">[60]auf_screen!#ref!</definedName>
    <definedName name="LOGGER" localSheetId="10" hidden="0" function="0" vbProcedure="0">[202]!Calculate_Pipe</definedName>
    <definedName name="loudout" localSheetId="10" hidden="1" function="0" vbProcedure="0">[63]Run!$D$15:$D$512</definedName>
    <definedName name="LS" localSheetId="10" hidden="0" function="0" vbProcedure="0">'[189]amberjack a32ream'!#ref!</definedName>
    <definedName name="LSA" localSheetId="10" hidden="0" function="0" vbProcedure="0">[206]!Calculate_Pipe</definedName>
    <definedName name="LSD" localSheetId="10" hidden="0" function="0" vbProcedure="0">'[138]job info sheet'!#ref!</definedName>
    <definedName name="LTP" localSheetId="10" hidden="0" function="0" vbProcedure="0">INDEX([111]DRAW!$D$14:$E$15,MATCH([112]AUTO_DHWS!$BB$7,[111]DRAW!$D$14:$D$15,0),2)</definedName>
    <definedName name="M" localSheetId="10" hidden="1" function="0" vbProcedure="0">#ref!</definedName>
    <definedName name="Macro1" localSheetId="10" hidden="0" function="0" vbProcedure="0">[16]!Macro1</definedName>
    <definedName name="Macro112" localSheetId="10" hidden="0" function="0" vbProcedure="0">[56]!Macro59</definedName>
    <definedName name="Macro2" localSheetId="10" hidden="0" function="0" vbProcedure="0">[26]!Macro2</definedName>
    <definedName name="Macro22" localSheetId="10" hidden="0" function="0" vbProcedure="0">[26]!Macro22</definedName>
    <definedName name="Macro22_1" localSheetId="10" hidden="0" function="0" vbProcedure="0">'FINAL TALLY'!Macro22</definedName>
    <definedName name="Macro22_10" localSheetId="10" hidden="0" function="0" vbProcedure="0">'FINAL TALLY'!Macro22</definedName>
    <definedName name="Macro22_11" localSheetId="10" hidden="0" function="0" vbProcedure="0">'FINAL TALLY'!Macro22</definedName>
    <definedName name="Macro22_2" localSheetId="10" hidden="0" function="0" vbProcedure="0">'FINAL TALLY'!Macro22</definedName>
    <definedName name="Macro22_3" localSheetId="10" hidden="0" function="0" vbProcedure="0">'FINAL TALLY'!Macro22</definedName>
    <definedName name="Macro22_4" localSheetId="10" hidden="0" function="0" vbProcedure="0">'FINAL TALLY'!Macro22</definedName>
    <definedName name="Macro22_5" localSheetId="10" hidden="0" function="0" vbProcedure="0">'FINAL TALLY'!Macro22</definedName>
    <definedName name="Macro22_6" localSheetId="10" hidden="0" function="0" vbProcedure="0">'FINAL TALLY'!Macro22</definedName>
    <definedName name="Macro22_7" localSheetId="10" hidden="0" function="0" vbProcedure="0">'FINAL TALLY'!Macro22</definedName>
    <definedName name="Macro22_8" localSheetId="10" hidden="0" function="0" vbProcedure="0">'FINAL TALLY'!Macro22</definedName>
    <definedName name="Macro22_9" localSheetId="10" hidden="0" function="0" vbProcedure="0">'FINAL TALLY'!Macro22</definedName>
    <definedName name="Macro233" localSheetId="10" hidden="0" function="0" vbProcedure="0">[26]!Macro1</definedName>
    <definedName name="Macro2_1" localSheetId="10" hidden="0" function="0" vbProcedure="0">'FINAL TALLY'!Macro2</definedName>
    <definedName name="Macro2_10" localSheetId="10" hidden="0" function="0" vbProcedure="0">'FINAL TALLY'!Macro2</definedName>
    <definedName name="Macro2_11" localSheetId="10" hidden="0" function="0" vbProcedure="0">'FINAL TALLY'!Macro2</definedName>
    <definedName name="Macro2_2" localSheetId="10" hidden="0" function="0" vbProcedure="0">'FINAL TALLY'!Macro2</definedName>
    <definedName name="Macro2_3" localSheetId="10" hidden="0" function="0" vbProcedure="0">'FINAL TALLY'!Macro2</definedName>
    <definedName name="Macro2_4" localSheetId="10" hidden="0" function="0" vbProcedure="0">'FINAL TALLY'!Macro2</definedName>
    <definedName name="Macro2_5" localSheetId="10" hidden="0" function="0" vbProcedure="0">'FINAL TALLY'!Macro2</definedName>
    <definedName name="Macro2_6" localSheetId="10" hidden="0" function="0" vbProcedure="0">'FINAL TALLY'!Macro2</definedName>
    <definedName name="Macro2_7" localSheetId="10" hidden="0" function="0" vbProcedure="0">'FINAL TALLY'!Macro2</definedName>
    <definedName name="Macro2_8" localSheetId="10" hidden="0" function="0" vbProcedure="0">'FINAL TALLY'!Macro2</definedName>
    <definedName name="Macro2_9" localSheetId="10" hidden="0" function="0" vbProcedure="0">'FINAL TALLY'!Macro2</definedName>
    <definedName name="Macro3" localSheetId="10" hidden="0" function="0" vbProcedure="0">[26]!Macro3</definedName>
    <definedName name="Macro3_1" localSheetId="10" hidden="0" function="0" vbProcedure="0">'FINAL TALLY'!Macro3</definedName>
    <definedName name="Macro3_10" localSheetId="10" hidden="0" function="0" vbProcedure="0">'FINAL TALLY'!Macro3</definedName>
    <definedName name="Macro3_11" localSheetId="10" hidden="0" function="0" vbProcedure="0">'FINAL TALLY'!Macro3</definedName>
    <definedName name="Macro3_2" localSheetId="10" hidden="0" function="0" vbProcedure="0">'FINAL TALLY'!Macro3</definedName>
    <definedName name="Macro3_3" localSheetId="10" hidden="0" function="0" vbProcedure="0">'FINAL TALLY'!Macro3</definedName>
    <definedName name="Macro3_4" localSheetId="10" hidden="0" function="0" vbProcedure="0">'FINAL TALLY'!Macro3</definedName>
    <definedName name="Macro3_5" localSheetId="10" hidden="0" function="0" vbProcedure="0">'FINAL TALLY'!Macro3</definedName>
    <definedName name="Macro3_6" localSheetId="10" hidden="0" function="0" vbProcedure="0">'FINAL TALLY'!Macro3</definedName>
    <definedName name="Macro3_7" localSheetId="10" hidden="0" function="0" vbProcedure="0">'FINAL TALLY'!Macro3</definedName>
    <definedName name="Macro3_8" localSheetId="10" hidden="0" function="0" vbProcedure="0">'FINAL TALLY'!Macro3</definedName>
    <definedName name="Macro3_9" localSheetId="10" hidden="0" function="0" vbProcedure="0">'FINAL TALLY'!Macro3</definedName>
    <definedName name="Make_Up_Torque_Of_Weak_Link" localSheetId="10" hidden="0" function="0" vbProcedure="0">'[11]Liner Job Info'!$P$50</definedName>
    <definedName name="MaPSDensity" localSheetId="10" hidden="0" function="0" vbProcedure="0">'[94]SetUp Tab'!$G$25</definedName>
    <definedName name="MaPSDiameter" localSheetId="10" hidden="0" function="0" vbProcedure="0">'[94]SetUp Tab'!$G$23</definedName>
    <definedName name="MaPSFlowRate" localSheetId="10" hidden="0" function="0" vbProcedure="0">'[94]SetUp Tab'!$G$26</definedName>
    <definedName name="MaPSLength" localSheetId="10" hidden="0" function="0" vbProcedure="0">'[94]SetUp Tab'!$E$23</definedName>
    <definedName name="MaPSMass" localSheetId="10" hidden="0" function="0" vbProcedure="0">[94]Lists!$BJ$3</definedName>
    <definedName name="MaPSPressure" localSheetId="10" hidden="0" function="0" vbProcedure="0">'[94]SetUp Tab'!$G$24</definedName>
    <definedName name="MaPSTemp" localSheetId="10" hidden="0" function="0" vbProcedure="0">'[94]SetUp Tab'!$E$26</definedName>
    <definedName name="MaPSWeight" localSheetId="10" hidden="0" function="0" vbProcedure="0">'[94]SetUp Tab'!$E$24</definedName>
    <definedName name="marrupees" localSheetId="10" hidden="0" function="0" vbProcedure="0">'[152]Cash Expsense March-96'!$H$6</definedName>
    <definedName name="Material" localSheetId="10" hidden="0" function="0" vbProcedure="0">[11]DATA!$I$3:$I$22</definedName>
    <definedName name="Max._Deviation" localSheetId="10" hidden="0" function="0" vbProcedure="0">'[108]Pre-Job Info Sheet'!$B$36</definedName>
    <definedName name="MaxDev" localSheetId="10" hidden="0" function="0" vbProcedure="0">'[94]Job Technical Info'!$F$41</definedName>
    <definedName name="Max_Bump_psi" localSheetId="10" hidden="0" function="0" vbProcedure="0">'[11]Metric Conversions'!$B$59</definedName>
    <definedName name="Max_Bump_psiz" localSheetId="10" hidden="0" function="0" vbProcedure="0">'[11]Metric Conversions'!$C$59</definedName>
    <definedName name="Max_Test_Cmt_Setup" localSheetId="10" hidden="0" function="0" vbProcedure="0">'[11]Metric Conversions'!$B$62</definedName>
    <definedName name="Max_Test_Cmt_Setupz" localSheetId="10" hidden="0" function="0" vbProcedure="0">'[11]Metric Conversions'!$C$62</definedName>
    <definedName name="Max_Test_Seals_In" localSheetId="10" hidden="0" function="0" vbProcedure="0">'[11]Metric Conversions'!$B$61</definedName>
    <definedName name="Max_Test_Seals_Inz" localSheetId="10" hidden="0" function="0" vbProcedure="0">'[11]Metric Conversions'!$C$61</definedName>
    <definedName name="Max_test_seals_out" localSheetId="10" hidden="0" function="0" vbProcedure="0">'[11]Metric Conversions'!$B$60</definedName>
    <definedName name="Max_test_seals_outz" localSheetId="10" hidden="0" function="0" vbProcedure="0">'[11]Metric Conversions'!$C$60</definedName>
    <definedName name="Max_Turns" localSheetId="10" hidden="0" function="0" vbProcedure="0">'[11]Weight Calculations'!$T$36</definedName>
    <definedName name="MDData" localSheetId="10" hidden="0" function="0" vbProcedure="0">OFFSET([26]!MDForInclination,2,0,COUNT(#ref!),1)</definedName>
    <definedName name="MeteringTime" localSheetId="10" hidden="0" function="0" vbProcedure="0">[11]DATA!$BG$2:$BG$42</definedName>
    <definedName name="Min._Ten_Sett_Tool_Assy" localSheetId="10" hidden="0" function="0" vbProcedure="0">'[11]Weight Calculations'!$S$60</definedName>
    <definedName name="Min_DP_Tens" localSheetId="10" hidden="0" function="0" vbProcedure="0">'[11]Weight Calculations'!$W$61</definedName>
    <definedName name="Min_Ft_Release_RH" localSheetId="10" hidden="0" function="0" vbProcedure="0">'[11]Metric Conversions'!$B$39</definedName>
    <definedName name="Min_Ft_Release_RHz" localSheetId="10" hidden="0" function="0" vbProcedure="0">'[11]Metric Conversions'!$C$39</definedName>
    <definedName name="mobile" localSheetId="10" hidden="0" function="0" vbProcedure="0">'[34]Call Sheet'!$R$5</definedName>
    <definedName name="Module1.draw_productionfirst" localSheetId="10" hidden="0" function="0" vbProcedure="0">'FINAL TALLY'!Module1.draw_productionfirst</definedName>
    <definedName name="Module1.draw_productionsecond" localSheetId="10" hidden="0" function="0" vbProcedure="0">'FINAL TALLY'!Module1.draw_productionsecond</definedName>
    <definedName name="Module1.impdwg" localSheetId="10" hidden="0" function="0" vbProcedure="0">[26]!Module1.impdwg</definedName>
    <definedName name="Module1.impdwg_1" localSheetId="10" hidden="0" function="0" vbProcedure="0">'FINAL TALLY'!Module1.impdwg</definedName>
    <definedName name="Module1.impdwg_10" localSheetId="10" hidden="0" function="0" vbProcedure="0">'FINAL TALLY'!Module1.impdwg</definedName>
    <definedName name="Module1.impdwg_11" localSheetId="10" hidden="0" function="0" vbProcedure="0">'FINAL TALLY'!Module1.impdwg</definedName>
    <definedName name="Module1.impdwg_2" localSheetId="10" hidden="0" function="0" vbProcedure="0">'FINAL TALLY'!Module1.impdwg</definedName>
    <definedName name="Module1.impdwg_3" localSheetId="10" hidden="0" function="0" vbProcedure="0">'FINAL TALLY'!Module1.impdwg</definedName>
    <definedName name="Module1.impdwg_4" localSheetId="10" hidden="0" function="0" vbProcedure="0">'FINAL TALLY'!Module1.impdwg</definedName>
    <definedName name="Module1.impdwg_5" localSheetId="10" hidden="0" function="0" vbProcedure="0">'FINAL TALLY'!Module1.impdwg</definedName>
    <definedName name="Module1.impdwg_6" localSheetId="10" hidden="0" function="0" vbProcedure="0">'FINAL TALLY'!Module1.impdwg</definedName>
    <definedName name="Module1.impdwg_7" localSheetId="10" hidden="0" function="0" vbProcedure="0">'FINAL TALLY'!Module1.impdwg</definedName>
    <definedName name="Module1.impdwg_8" localSheetId="10" hidden="0" function="0" vbProcedure="0">'FINAL TALLY'!Module1.impdwg</definedName>
    <definedName name="Module1.impdwg_9" localSheetId="10" hidden="0" function="0" vbProcedure="0">'FINAL TALLY'!Module1.impdwg</definedName>
    <definedName name="Module4.drawblanks" localSheetId="10" hidden="0" function="0" vbProcedure="0">'FINAL TALLY'!Module4.drawblanks</definedName>
    <definedName name="Module4.drawlinerfirst" localSheetId="10" hidden="0" function="0" vbProcedure="0">'FINAL TALLY'!Module4.drawlinerfirst</definedName>
    <definedName name="Module4.drawlinersecond" localSheetId="10" hidden="0" function="0" vbProcedure="0">'FINAL TALLY'!Module4.drawlinersecond</definedName>
    <definedName name="Module4.drawmiscellaneous" localSheetId="10" hidden="0" function="0" vbProcedure="0">'FINAL TALLY'!Module4.drawmiscellaneous</definedName>
    <definedName name="Module4.drawproductionfirst" localSheetId="10" hidden="0" function="0" vbProcedure="0">'FINAL TALLY'!Module4.drawproductionfirst</definedName>
    <definedName name="Module4.drawproductionsecond" localSheetId="10" hidden="0" function="0" vbProcedure="0">'FINAL TALLY'!Module4.drawproductionsecond</definedName>
    <definedName name="Module4.drawquantum" localSheetId="10" hidden="0" function="0" vbProcedure="0">'FINAL TALLY'!Module4.drawquantum</definedName>
    <definedName name="Module4.drawscreens" localSheetId="10" hidden="0" function="0" vbProcedure="0">'FINAL TALLY'!Module4.drawscreens</definedName>
    <definedName name="Module4.drawshearsubs" localSheetId="10" hidden="0" function="0" vbProcedure="0">'FINAL TALLY'!Module4.drawshearsubs</definedName>
    <definedName name="Module4.drawsump" localSheetId="10" hidden="0" function="0" vbProcedure="0">'FINAL TALLY'!Module4.drawsump</definedName>
    <definedName name="Module4.textfive" localSheetId="10" hidden="0" function="0" vbProcedure="0">'FINAL TALLY'!Module4.textfive</definedName>
    <definedName name="Module4.textfivehalf" localSheetId="10" hidden="0" function="0" vbProcedure="0">'FINAL TALLY'!Module4.textfivehalf</definedName>
    <definedName name="Module4.textninefiveeightfourfirst" localSheetId="10" hidden="0" function="0" vbProcedure="0">'FINAL TALLY'!Module4.textninefiveeightfourfirst</definedName>
    <definedName name="Module4.textninefiveeightfoursecond" localSheetId="10" hidden="0" function="0" vbProcedure="0">'FINAL TALLY'!Module4.textninefiveeightfoursecond</definedName>
    <definedName name="Module4.textninefiveeightsixfirst" localSheetId="10" hidden="0" function="0" vbProcedure="0">'FINAL TALLY'!Module4.textninefiveeightsixfirst</definedName>
    <definedName name="Module4.textninefiveeightsixsecond" localSheetId="10" hidden="0" function="0" vbProcedure="0">'FINAL TALLY'!Module4.textninefiveeightsixsecond</definedName>
    <definedName name="Module4.textsevenfiveeightfour" localSheetId="10" hidden="0" function="0" vbProcedure="0">'FINAL TALLY'!Module4.textsevenfiveeightfour</definedName>
    <definedName name="Module4.textsevenfiveeightthree" localSheetId="10" hidden="0" function="0" vbProcedure="0">'FINAL TALLY'!Module4.textsevenfiveeightthree</definedName>
    <definedName name="Module4.textsevenfour" localSheetId="10" hidden="0" function="0" vbProcedure="0">'FINAL TALLY'!Module4.textsevenfour</definedName>
    <definedName name="Module4.textseventhree" localSheetId="10" hidden="0" function="0" vbProcedure="0">'FINAL TALLY'!Module4.textseventhree</definedName>
    <definedName name="MOE" localSheetId="10" hidden="0" function="0" vbProcedure="0">#ref!</definedName>
    <definedName name="Month" localSheetId="10" hidden="0" function="0" vbProcedure="0">[60]auf_screen!#ref!</definedName>
    <definedName name="monthref" localSheetId="10" hidden="0" function="0" vbProcedure="0">[187]References!$H$1:$I$12</definedName>
    <definedName name="MorningReport" localSheetId="10" hidden="0" function="0" vbProcedure="0">'[211]morning report'!#ref!</definedName>
    <definedName name="mr" localSheetId="10" hidden="1" function="0" vbProcedure="0">{#N/A,#N/A,FALSE,"Sheet1"}</definedName>
    <definedName name="Mudtype" localSheetId="10" hidden="0" function="0" vbProcedure="0">[11]DATA!$N$2:$N$18</definedName>
    <definedName name="Mudwt" localSheetId="10" hidden="0" function="0" vbProcedure="0">"Dialog2_Edit Box 5"</definedName>
    <definedName name="Mud_Type" localSheetId="10" hidden="0" function="0" vbProcedure="0">'[7]Drop-Down Items'!$D$4:$D$14</definedName>
    <definedName name="Mud_Wt" localSheetId="10" hidden="0" function="0" vbProcedure="0">'[130]Metric Conversions'!$B$66</definedName>
    <definedName name="Mud_Wtz" localSheetId="10" hidden="0" function="0" vbProcedure="0">'[11]Liner Job Info'!$D$31</definedName>
    <definedName name="MULE_SHOE_DEPTH" localSheetId="10" hidden="0" function="0" vbProcedure="0">'[113]#REF'!$F$182</definedName>
    <definedName name="MW" localSheetId="10" hidden="0" function="0" vbProcedure="0">#ref!,#ref!,#ref!,#ref!,#ref!</definedName>
    <definedName name="MWD" localSheetId="10" hidden="0" function="0" vbProcedure="0">[6]Sheet1!$F$10:$F$12</definedName>
    <definedName name="my" localSheetId="10" hidden="0" function="0" vbProcedure="0">[145]!JointNumber</definedName>
    <definedName name="m_choke" localSheetId="10" hidden="0" function="0" vbProcedure="0">'[93]well test sheet'!#ref!</definedName>
    <definedName name="M_Dual" localSheetId="10" hidden="0" function="0" vbProcedure="0">#ref!</definedName>
    <definedName name="n" localSheetId="10" hidden="0" function="0" vbProcedure="0">'FINAL TALLY'!n</definedName>
    <definedName name="N2_Precharge" localSheetId="10" hidden="0" function="0" vbProcedure="0">'[108]Tester Valve Calcs'!$F$16</definedName>
    <definedName name="N2_Press_DH" localSheetId="10" hidden="0" function="0" vbProcedure="0">'[108]Tester Valve Calcs'!$F$29</definedName>
    <definedName name="N2_Stroke" localSheetId="10" hidden="0" function="0" vbProcedure="0">'[108]Tester Valve Calcs'!$M$18</definedName>
    <definedName name="N2_Temp_DH" localSheetId="10" hidden="0" function="0" vbProcedure="0">'[108]Tester Valve Calcs'!$F$22</definedName>
    <definedName name="N2_Temp_Surf" localSheetId="10" hidden="0" function="0" vbProcedure="0">'[108]Tester Valve Calcs'!$F$17</definedName>
    <definedName name="N2_Vol_DH" localSheetId="10" hidden="0" function="0" vbProcedure="0">'[108]Tester Valve Calcs'!$F$25</definedName>
    <definedName name="N2_Vol_Surf" localSheetId="10" hidden="0" function="0" vbProcedure="0">'[108]Tester Valve Calcs'!$F$14</definedName>
    <definedName name="nb" localSheetId="10" hidden="0" function="0" vbProcedure="0">'[189]井口装置示意图-4'!$E$1:$E$65536</definedName>
    <definedName name="NEBRIGS" localSheetId="10" hidden="0" function="0" vbProcedure="0">[187]References!$D$1:$D$15</definedName>
    <definedName name="netperf" localSheetId="10" hidden="0" function="0" vbProcedure="0">[5]WTR!$G$33</definedName>
    <definedName name="NET_PERFS" localSheetId="10" hidden="0" function="0" vbProcedure="0">'[113]#REF'!$F$20</definedName>
    <definedName name="NewData" localSheetId="10" hidden="0" function="0" vbProcedure="0">'[186]New Contract'!$A$1:$G$65536</definedName>
    <definedName name="NewDes" localSheetId="10" hidden="0" function="0" vbProcedure="0">'[186]New Contract'!$A$1:$A$65536</definedName>
    <definedName name="newrisk" localSheetId="10" hidden="0" function="0" vbProcedure="0">[125]Sheet2!$D$1:$D$3</definedName>
    <definedName name="NextTD" localSheetId="10" hidden="0" function="0" vbProcedure="0">'[153]Lookahd EA'!$E$1:$N$3</definedName>
    <definedName name="ng"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0" hidden="0" function="0" vbProcedure="0">'[6]#ref'!#ref!</definedName>
    <definedName name="Nipples" localSheetId="10" hidden="0" function="0" vbProcedure="0">#ref!</definedName>
    <definedName name="NM" localSheetId="10" hidden="0" function="0" vbProcedure="0">[16]!Macro1</definedName>
    <definedName name="No" localSheetId="10" hidden="0" function="0" vbProcedure="0">'[154]BPR LOG'!$A$1:$A$1048576</definedName>
    <definedName name="NOofTools" localSheetId="10" hidden="0" function="0" vbProcedure="0">[11]DATA!$BP$2:$BP$12</definedName>
    <definedName name="NosOfTubing" localSheetId="10" hidden="0" function="0" vbProcedure="0">#ref!</definedName>
    <definedName name="O" localSheetId="10" hidden="0" function="0" vbProcedure="0">'[155]Report Long(Esso)'!$E$4</definedName>
    <definedName name="odcasing" localSheetId="10" hidden="0" function="0" vbProcedure="0">[106]Data!$J$16</definedName>
    <definedName name="ODSizes" localSheetId="10" hidden="0" function="0" vbProcedure="0">[94]Lists!$AF$3:$AF$42</definedName>
    <definedName name="ODUnit" localSheetId="10" hidden="0" function="0" vbProcedure="0">'[94]Job Technical Info'!$D$24</definedName>
    <definedName name="odworkstring" localSheetId="10" hidden="0" function="0" vbProcedure="0">[106]Data!$W$18</definedName>
    <definedName name="office" localSheetId="10" hidden="0" function="0" vbProcedure="0">'[34]Call Sheet'!$AH$5</definedName>
    <definedName name="Offshore_Block" localSheetId="10" hidden="0" function="0" vbProcedure="0">'[108]TCP-BHA'!$A$9</definedName>
    <definedName name="ogr" localSheetId="10" hidden="0" function="0" vbProcedure="0">'[156]Test Data'!$T$8:$T$16,'[156]Test Data'!$T$18:$T$122,'[156]Test Data'!$T$132:$T$247</definedName>
    <definedName name="OHoleID" localSheetId="10" hidden="0" function="0" vbProcedure="0">'[94]Job Technical Info'!$B$40</definedName>
    <definedName name="OHoleLength" localSheetId="10" hidden="0" function="0" vbProcedure="0">'[94]Job Technical Info'!$D$40</definedName>
    <definedName name="OH_Dia" localSheetId="10" hidden="0" function="0" vbProcedure="0">'[11]Liner Job Info'!$Q$14</definedName>
    <definedName name="oilrate" localSheetId="10" hidden="0" function="0" vbProcedure="0">'[93]well test sheet'!#ref!</definedName>
    <definedName name="oil_cumm" localSheetId="10" hidden="0" function="0" vbProcedure="0">'[93]well test sheet'!#ref!</definedName>
    <definedName name="omdo"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0" hidden="0" function="0" vbProcedure="0">'[157]Initial Tally'!$G$4</definedName>
    <definedName name="onefive" localSheetId="10" hidden="0" function="0" vbProcedure="0">[53]data!#ref!</definedName>
    <definedName name="OP_1" localSheetId="10" hidden="0" function="0" vbProcedure="0">[190]Inputs!$F$1:$F$3</definedName>
    <definedName name="Overbalance" localSheetId="10" hidden="0" function="0" vbProcedure="0">'[108]Pre-Job Info Sheet'!$D$34</definedName>
    <definedName name="Overlap" localSheetId="10" hidden="0" function="0" vbProcedure="0">'[11]Metric Conversions'!$B$16</definedName>
    <definedName name="Overlapz" localSheetId="10" hidden="0" function="0" vbProcedure="0">'[11]Liner Job Info'!$R$14</definedName>
    <definedName name="Overlap_Volz" localSheetId="10" hidden="0" function="0" vbProcedure="0">'[11]Metric Conversions'!$C$84</definedName>
    <definedName name="P" localSheetId="10" hidden="1" function="0" vbProcedure="0">{#N/A,#N/A,FALSE,"Drlg Param Run 1-1";#N/A,#N/A,FALSE,"DDR (3)";#N/A,#N/A,FALSE,"BHA AT (1)";#N/A,#N/A,FALSE,"Downlinkbha";#N/A,#N/A,FALSE,"Job Status Report"}</definedName>
    <definedName name="PACKER" localSheetId="10" hidden="0" function="0" vbProcedure="0">INDEX([111]DRAW!$A$2:$B$13,MATCH([112]AUTO_DHWS!$AV$8,[111]DRAW!$A$2:$A$13,0),2)</definedName>
    <definedName name="PackerDepth" localSheetId="10" hidden="0" function="0" vbProcedure="0">'[76]casing talley'!#ref!</definedName>
    <definedName name="PACKER_2" localSheetId="10" hidden="0" function="0" vbProcedure="0">INDEX([111]DRAW!$D$13:$E$14,MATCH([112]AUTO_DHWS!$AV$12,[111]DRAW!$D$13:$D$14,0),2)</definedName>
    <definedName name="Packer_Rotation" localSheetId="10" hidden="0" function="0" vbProcedure="0">'[11]Liner Job Info'!$P$40</definedName>
    <definedName name="Packer_Set_In" localSheetId="10" hidden="0" function="0" vbProcedure="0">'[108]Pre-Job Info Sheet'!$D$22</definedName>
    <definedName name="PackOff" localSheetId="10" hidden="0" function="0" vbProcedure="0">[11]DATA!$AP$2:$AP$6</definedName>
    <definedName name="PackoffXDP1_Pist_Area" localSheetId="10" hidden="0" function="0" vbProcedure="0">'[11]Liner Job Info'!$AF$2</definedName>
    <definedName name="PackoffXDP2_Pist_Area" localSheetId="10" hidden="0" function="0" vbProcedure="0">'[11]Liner Job Info'!$AF$3</definedName>
    <definedName name="PackoffXDP3_Pist_Area" localSheetId="10" hidden="0" function="0" vbProcedure="0">'[11]Liner Job Info'!$AG$28</definedName>
    <definedName name="PackoffXDP4_Pist_Area" localSheetId="10" hidden="0" function="0" vbProcedure="0">'[11]Liner Job Info'!$AG$29</definedName>
    <definedName name="PackoffXDP5_Pist_Area" localSheetId="10" hidden="0" function="0" vbProcedure="0">'[11]Liner Job Info'!$AG$30</definedName>
    <definedName name="Packoff_Pist_Area" localSheetId="10" hidden="0" function="0" vbProcedure="0">'[11]Liner Job Info'!$AG$31</definedName>
    <definedName name="Packoff_Stinger_OD" localSheetId="10" hidden="0" function="0" vbProcedure="0">'[11]Liner Job Info'!$P$42</definedName>
    <definedName name="Para3" localSheetId="10" hidden="1" function="0" vbProcedure="0">{#N/A,#N/A,FALSE,"Drlg Param Run 1-1";#N/A,#N/A,FALSE,"DDR (3)";#N/A,#N/A,FALSE,"BHA AT (1)";#N/A,#N/A,FALSE,"Downlinkbha";#N/A,#N/A,FALSE,"Job Status Report"}</definedName>
    <definedName name="Parish" localSheetId="10" hidden="0" function="0" vbProcedure="0">'[108]TCP-BHA'!$C$9</definedName>
    <definedName name="Parish_County" localSheetId="10" hidden="0" function="0" vbProcedure="0">'[108]Pre-Job Info Sheet'!$D$9</definedName>
    <definedName name="Parts" localSheetId="10" hidden="0" function="0" vbProcedure="0">#ref!</definedName>
    <definedName name="PBTD" localSheetId="10" hidden="0" function="0" vbProcedure="0">'[76]casing talley'!#ref!</definedName>
    <definedName name="Pckr_Body_Bst" localSheetId="10" hidden="0" function="0" vbProcedure="0">'[11]Metric Conversions'!$B$52</definedName>
    <definedName name="Pckr_Body_Bstz" localSheetId="10" hidden="0" function="0" vbProcedure="0">'[11]Liner Job Info'!$P$32</definedName>
    <definedName name="Pckr_Body_Collz" localSheetId="10" hidden="0" function="0" vbProcedure="0">'[11]Liner Job Info'!$P$33</definedName>
    <definedName name="Pckr_Body_Tens" localSheetId="10" hidden="0" function="0" vbProcedure="0">'[11]Liner Job Info'!$P$34</definedName>
    <definedName name="Pckr_Seal_Surf_OD" localSheetId="10" hidden="0" function="0" vbProcedure="0">'[11]Liner Job Info'!$P$31</definedName>
    <definedName name="Pckr_Sett_Force" localSheetId="10" hidden="0" function="0" vbProcedure="0">'[11]Liner Job Info'!$P$39</definedName>
    <definedName name="PDHG_2" localSheetId="10" hidden="0" function="0" vbProcedure="0">INDEX([111]DRAW!$A$2:$B$13,MATCH([112]AUTO_DHWS!$AV$13,[111]DRAW!$A$2:$A$13,0),2)</definedName>
    <definedName name="PD_SOFTWARE" localSheetId="10" hidden="0" function="0" vbProcedure="0">[129]RSS!$J$148:$J$152</definedName>
    <definedName name="PD_STAB" localSheetId="10" hidden="0" function="0" vbProcedure="0">[129]RSS!$R$131:$R$160</definedName>
    <definedName name="PEIGHT_TOTAL" localSheetId="10" hidden="0" function="0" vbProcedure="0">[234]index!#ref!</definedName>
    <definedName name="Perf._Interval" localSheetId="10" hidden="0" function="0" vbProcedure="0">'[108]Pre-Job Info Sheet'!$B$17</definedName>
    <definedName name="Perf._Interval_2" localSheetId="10" hidden="0" function="0" vbProcedure="0">'[108]Pre-Job Info Sheet'!$B$18</definedName>
    <definedName name="perfbottom" localSheetId="10" hidden="0" function="0" vbProcedure="0">[5]WTR!$I$32</definedName>
    <definedName name="PerfDepth" localSheetId="10" hidden="0" function="0" vbProcedure="0">'[76]casing talley'!#ref!</definedName>
    <definedName name="perftop" localSheetId="10" hidden="0" function="0" vbProcedure="0">[5]WTR!$G$32</definedName>
    <definedName name="PERF_BOTTOM" localSheetId="10" hidden="0" function="0" vbProcedure="0">'[113]#REF'!$H$19</definedName>
    <definedName name="PERF_SLURRY" localSheetId="10" hidden="0" function="0" vbProcedure="0">'[113]#REF'!$H$198</definedName>
    <definedName name="PERF_TOP" localSheetId="10" hidden="0" function="0" vbProcedure="0">'[113]#REF'!$F$19</definedName>
    <definedName name="PERF_VOL" localSheetId="10" hidden="0" function="0" vbProcedure="0">'[113]#REF'!$J$12</definedName>
    <definedName name="perm" localSheetId="10" hidden="0" function="0" vbProcedure="0">[106]Data!$G$56</definedName>
    <definedName name="perm1" localSheetId="10" hidden="0" function="0" vbProcedure="0">[106]Data!$G$57</definedName>
    <definedName name="Personnel1" localSheetId="10" hidden="0" function="0" vbProcedure="0">[186]Data!$P$1:$P$65536</definedName>
    <definedName name="Perv.Macro140" localSheetId="10" hidden="0" function="0" vbProcedure="0">[49]!Prev.Macro102</definedName>
    <definedName name="PFIVE_TOTAL" localSheetId="10" hidden="0" function="0" vbProcedure="0">[234]index!#ref!</definedName>
    <definedName name="PFOUR_TOTAL" localSheetId="10" hidden="0" function="0" vbProcedure="0">[234]index!#ref!</definedName>
    <definedName name="Phasing" localSheetId="10" hidden="0" function="0" vbProcedure="0">'[108]Pre-Job Info Sheet'!$B$23</definedName>
    <definedName name="Phone" localSheetId="10" hidden="0" function="0" vbProcedure="0">'[117]Well Installation Drawing'!$K$11</definedName>
    <definedName name="pick1_958x475_system" localSheetId="10" hidden="0" function="0" vbProcedure="0">'FINAL TALLY'!pick1_958x475_system</definedName>
    <definedName name="pick1_958x6_system" localSheetId="10" hidden="0" function="0" vbProcedure="0">'FINAL TALLY'!pick1_958x6_system</definedName>
    <definedName name="pick1_production" localSheetId="10" hidden="0" function="0" vbProcedure="0">'FINAL TALLY'!pick1_production</definedName>
    <definedName name="pick2_958x475_system" localSheetId="10" hidden="0" function="0" vbProcedure="0">'FINAL TALLY'!pick2_958x475_system</definedName>
    <definedName name="pick2_958x6_system" localSheetId="10" hidden="0" function="0" vbProcedure="0">'FINAL TALLY'!pick2_958x6_system</definedName>
    <definedName name="pick2_production" localSheetId="10" hidden="0" function="0" vbProcedure="0">'FINAL TALLY'!pick2_production</definedName>
    <definedName name="pick_512_system" localSheetId="10" hidden="0" function="0" vbProcedure="0">'FINAL TALLY'!pick_512_system</definedName>
    <definedName name="pick_5_system" localSheetId="10" hidden="0" function="0" vbProcedure="0">'FINAL TALLY'!pick_5_system</definedName>
    <definedName name="pick_758x314_system" localSheetId="10" hidden="0" function="0" vbProcedure="0">'FINAL TALLY'!pick_758x314_system</definedName>
    <definedName name="pick_758x4_system" localSheetId="10" hidden="0" function="0" vbProcedure="0">'FINAL TALLY'!pick_758x4_system</definedName>
    <definedName name="pick_7x314_system" localSheetId="10" hidden="0" function="0" vbProcedure="0">'FINAL TALLY'!pick_7x314_system</definedName>
    <definedName name="pick_7x4_system" localSheetId="10" hidden="0" function="0" vbProcedure="0">'FINAL TALLY'!pick_7x4_system</definedName>
    <definedName name="pick_blanks" localSheetId="10" hidden="0" function="0" vbProcedure="0">'FINAL TALLY'!pick_blanks</definedName>
    <definedName name="pick_liner" localSheetId="10" hidden="0" function="0" vbProcedure="0">'FINAL TALLY'!pick_liner</definedName>
    <definedName name="pick_liner2" localSheetId="10" hidden="0" function="0" vbProcedure="0">'FINAL TALLY'!pick_liner2</definedName>
    <definedName name="pick_miscellaneous" localSheetId="10" hidden="0" function="0" vbProcedure="0">'FINAL TALLY'!pick_miscellaneous</definedName>
    <definedName name="pick_quantum" localSheetId="10" hidden="0" function="0" vbProcedure="0">'FINAL TALLY'!pick_quantum</definedName>
    <definedName name="pick_screens" localSheetId="10" hidden="0" function="0" vbProcedure="0">'FINAL TALLY'!pick_screens</definedName>
    <definedName name="pick_shearsubs" localSheetId="10" hidden="0" function="0" vbProcedure="0">'FINAL TALLY'!pick_shearsubs</definedName>
    <definedName name="pick_sump" localSheetId="10" hidden="0" function="0" vbProcedure="0">'FINAL TALLY'!pick_sump</definedName>
    <definedName name="Pilot" localSheetId="10" hidden="0" function="0" vbProcedure="0">[235]!'[module4 formula].macro1'</definedName>
    <definedName name="PistArea_Packoff_to_DP_OD" localSheetId="10" hidden="0" function="0" vbProcedure="0">[11]Test!$M$16</definedName>
    <definedName name="Piston_Disp" localSheetId="10" hidden="0" function="0" vbProcedure="0">'[108]Tester Valve Calcs'!$M$16</definedName>
    <definedName name="Pist_Area_Csg_ID_to_DP1_OD" localSheetId="10" hidden="0" function="0" vbProcedure="0">[11]Test!$U$26</definedName>
    <definedName name="Pist_Area_Csg_ID_to_DP2_OD" localSheetId="10" hidden="0" function="0" vbProcedure="0">[11]Test!$U$27</definedName>
    <definedName name="Pist_Area_Csg_ID_to_DP3_OD" localSheetId="10" hidden="0" function="0" vbProcedure="0">[11]Test!$U$28</definedName>
    <definedName name="Pist_Area_Csg_ID_to_DP4_OD" localSheetId="10" hidden="0" function="0" vbProcedure="0">[11]Test!$U$29</definedName>
    <definedName name="Pist_Area_Csg_ID_to_DP5_OD" localSheetId="10" hidden="0" function="0" vbProcedure="0">[11]Test!$U$30</definedName>
    <definedName name="Pist_Area_from_CsgID_to_Packoff_OD" localSheetId="10" hidden="0" function="0" vbProcedure="0">[11]Test!$M$14</definedName>
    <definedName name="Pist_Area_PackoffOD_DP2_OD" localSheetId="10" hidden="0" function="0" vbProcedure="0">[11]Test!$Y$27</definedName>
    <definedName name="Pist_Area_PackoffOD_DP4_OD" localSheetId="10" hidden="0" function="0" vbProcedure="0">[11]Test!$Y$29</definedName>
    <definedName name="Pist_Area_PackoffOD_DP5_OD" localSheetId="10" hidden="0" function="0" vbProcedure="0">[11]Test!$Y$30</definedName>
    <definedName name="Pist_Area_PackoffOD_to_DP1_OD" localSheetId="10" hidden="0" function="0" vbProcedure="0">[11]Test!$Y$26</definedName>
    <definedName name="Pist_Area_PackoffOD_to_DP3_OD" localSheetId="10" hidden="0" function="0" vbProcedure="0">[11]Test!$Y$28</definedName>
    <definedName name="Pkrs" localSheetId="10" hidden="0" function="0" vbProcedure="0">#ref!</definedName>
    <definedName name="plotm" localSheetId="10" hidden="0" function="0" vbProcedure="0">'[61]tool backload dt'!plotm</definedName>
    <definedName name="PlugMethod" localSheetId="10" hidden="0" function="0" vbProcedure="0">[11]DATA!$BI$2:$BI$6</definedName>
    <definedName name="Plugs" localSheetId="10" hidden="0" function="0" vbProcedure="0">[11]DATA!$AL$2:$AL$13</definedName>
    <definedName name="Plug_Bmp_Hngr_Ovr_Ld" localSheetId="10" hidden="0" function="0" vbProcedure="0">[11]Test!$M$25</definedName>
    <definedName name="Plug_Bmp_psi_wo_DP" localSheetId="10" hidden="0" function="0" vbProcedure="0">[11]Test!$M$23</definedName>
    <definedName name="Plug_Bmp_psi_w_DP" localSheetId="10" hidden="0" function="0" vbProcedure="0">[11]Test!$M$24</definedName>
    <definedName name="Plug_Press_Rating" localSheetId="10" hidden="0" function="0" vbProcedure="0">'[11]Metric Conversions'!$B$51</definedName>
    <definedName name="Plug_Press_Ratingz" localSheetId="10" hidden="0" function="0" vbProcedure="0">'[11]Liner Job Info'!$D$43</definedName>
    <definedName name="Plug_Temp_Rating" localSheetId="10" hidden="0" function="0" vbProcedure="0">'[11]Liner Job Info'!$D$44</definedName>
    <definedName name="PNINE_TOTAL" localSheetId="10" hidden="0" function="0" vbProcedure="0">[234]index!#ref!</definedName>
    <definedName name="po" localSheetId="10" hidden="0" function="0" vbProcedure="0">[159]Drillers!$O$20</definedName>
    <definedName name="Ported_Sub" localSheetId="10" hidden="0" function="0" vbProcedure="0">'[108]TCP-BHA'!$H$30</definedName>
    <definedName name="Pos_of_Ball" localSheetId="10" hidden="0" function="0" vbProcedure="0">'[108]Tester Valve Calcs'!$F$12</definedName>
    <definedName name="PoundConversion" localSheetId="10" hidden="0" function="0" vbProcedure="0">[94]Lists!$AD$4</definedName>
    <definedName name="POWERV_TO" localSheetId="10" hidden="0" function="0" vbProcedure="0">[129]RSS!$A$206</definedName>
    <definedName name="ppgsggcc" localSheetId="10" hidden="0" function="0" vbProcedure="0">'[11]Metric Conversions'!$B$65</definedName>
    <definedName name="pph" localSheetId="10" hidden="0" function="0" vbProcedure="0">[40]!Calculate_Pipe</definedName>
    <definedName name="pre.Macro220" localSheetId="10" hidden="0" function="0" vbProcedure="0">[49]!Prev.Macro110</definedName>
    <definedName name="pregpstim" localSheetId="10" hidden="0" function="0" vbProcedure="0">[5]WTR!$G$48</definedName>
    <definedName name="PREPACK_MIX_RATIO" localSheetId="10" hidden="0" function="0" vbProcedure="0">'[113]#REF'!$K$44</definedName>
    <definedName name="Pressure" localSheetId="10" hidden="0" function="0" vbProcedure="0">#ref!</definedName>
    <definedName name="pressure1" localSheetId="10" hidden="0" function="0" vbProcedure="0">[106]Data!$C$2</definedName>
    <definedName name="pressure10" localSheetId="10" hidden="0" function="0" vbProcedure="0">[106]Data!$C$11</definedName>
    <definedName name="pressure2" localSheetId="10" hidden="0" function="0" vbProcedure="0">[106]Data!$C$3</definedName>
    <definedName name="pressure3" localSheetId="10" hidden="0" function="0" vbProcedure="0">[106]Data!$C$4</definedName>
    <definedName name="pressure4" localSheetId="10" hidden="0" function="0" vbProcedure="0">[106]Data!$C$5</definedName>
    <definedName name="pressure5" localSheetId="10" hidden="0" function="0" vbProcedure="0">[106]Data!$C$6</definedName>
    <definedName name="pressure6" localSheetId="10" hidden="0" function="0" vbProcedure="0">[106]Data!$C$7</definedName>
    <definedName name="pressure7" localSheetId="10" hidden="0" function="0" vbProcedure="0">[106]Data!$C$8</definedName>
    <definedName name="pressure8" localSheetId="10" hidden="0" function="0" vbProcedure="0">[106]Data!$C$9</definedName>
    <definedName name="pressure9" localSheetId="10" hidden="0" function="0" vbProcedure="0">[106]Data!$C$10</definedName>
    <definedName name="pressurea" localSheetId="10" hidden="0" function="0" vbProcedure="0">[106]Data!$D$2</definedName>
    <definedName name="pressureb" localSheetId="10" hidden="0" function="0" vbProcedure="0">[106]Data!$D$3</definedName>
    <definedName name="pressurec" localSheetId="10" hidden="0" function="0" vbProcedure="0">[106]Data!$D$4</definedName>
    <definedName name="pressured" localSheetId="10" hidden="0" function="0" vbProcedure="0">[106]Data!$D$5</definedName>
    <definedName name="pressuree" localSheetId="10" hidden="0" function="0" vbProcedure="0">[106]Data!$D$6</definedName>
    <definedName name="pressuref" localSheetId="10" hidden="0" function="0" vbProcedure="0">[106]Data!$D$7</definedName>
    <definedName name="pressureg" localSheetId="10" hidden="0" function="0" vbProcedure="0">[106]Data!$D$8</definedName>
    <definedName name="pressureh" localSheetId="10" hidden="0" function="0" vbProcedure="0">[106]Data!$D$9</definedName>
    <definedName name="pressurei" localSheetId="10" hidden="0" function="0" vbProcedure="0">[106]Data!$D$10</definedName>
    <definedName name="pressurej" localSheetId="10" hidden="0" function="0" vbProcedure="0">[106]Data!$D$11</definedName>
    <definedName name="Pressures" localSheetId="10" hidden="0" function="0" vbProcedure="0">'[116]Kill Sheet - Horizontal'!$W$27,'[116]Kill Sheet - Horizontal'!$W$31,'[116]Kill Sheet - Horizontal'!$W$32</definedName>
    <definedName name="Pressure_1" localSheetId="10" hidden="0" function="0" vbProcedure="0">#ref!</definedName>
    <definedName name="Pressure_2" localSheetId="10" hidden="0" function="0" vbProcedure="0">#ref!</definedName>
    <definedName name="prev.Macro150" localSheetId="10" hidden="0" function="0" vbProcedure="0">[49]!Prev.Macro122</definedName>
    <definedName name="prev.Macro200" localSheetId="10" hidden="0" function="0" vbProcedure="0">[49]!Prev.Macro128</definedName>
    <definedName name="Prev.Macro242" localSheetId="10" hidden="0" function="0" vbProcedure="0">[49]!Prev.Macro106</definedName>
    <definedName name="pricelist" localSheetId="10" hidden="0" function="0" vbProcedure="0">[139]Pricelist!$A$8:$B$11</definedName>
    <definedName name="print" localSheetId="10" hidden="0" function="0" vbProcedure="0">'[160]2003 SSWE LINE ITEMS'!$A$1:$V$302</definedName>
    <definedName name="PRODPKR" localSheetId="10" hidden="0" function="0" vbProcedure="0">INDEX([161]PKR!$A$2:$B$15,MATCH([161]INPUT!$H$37,[161]PKR!$A$2:$A$15,0),2)</definedName>
    <definedName name="production" localSheetId="10" hidden="0" function="0" vbProcedure="0">[162]WTR!$L$6</definedName>
    <definedName name="Production_History_by_Well" localSheetId="10" hidden="0" function="0" vbProcedure="0">'[243]neb-wells'!#ref!</definedName>
    <definedName name="profitcntr1" localSheetId="10" hidden="0" function="0" vbProcedure="0">[186]Data!$I$1:$I$65536</definedName>
    <definedName name="Prog" localSheetId="10" hidden="0" function="0" vbProcedure="0">[187]References!$E$1:$E$4</definedName>
    <definedName name="Project" localSheetId="10" hidden="0" function="0" vbProcedure="0">'[94]Job Technical Info'!$G$12</definedName>
    <definedName name="ProppantName" localSheetId="10" hidden="0" function="0" vbProcedure="0">'[94]Installation Results #1'!$B$326</definedName>
    <definedName name="PSEVEN_TOTAL" localSheetId="10" hidden="0" function="0" vbProcedure="0">[234]index!#ref!</definedName>
    <definedName name="PSI" localSheetId="10" hidden="0" function="0" vbProcedure="0">'[75]tester valve calcs'!#ref!</definedName>
    <definedName name="psia_array" localSheetId="10" hidden="0" function="0" vbProcedure="0">{"HMR","HMR-GT","ZI Probe","Spartek","Omega SP"}</definedName>
    <definedName name="psibarkpa" localSheetId="10" hidden="0" function="0" vbProcedure="0">'[11]Metric Conversions'!$B$42</definedName>
    <definedName name="psig_array" localSheetId="10" hidden="0" function="0" vbProcedure="0">{"RPG-3","RPG-4"}</definedName>
    <definedName name="PSIX_TOTAL" localSheetId="10" hidden="0" function="0" vbProcedure="0">[234]index!#ref!</definedName>
    <definedName name="psl" localSheetId="10" hidden="0" function="0" vbProcedure="0">[53]data!#ref!</definedName>
    <definedName name="Pstn_Force_Actual" localSheetId="10" hidden="0" function="0" vbProcedure="0">'[11]Weight Calculations'!$H$26</definedName>
    <definedName name="PS_pricelist" localSheetId="10" hidden="0" function="0" vbProcedure="0">[139]Pricelist!$A$22:$B$35</definedName>
    <definedName name="ptdtr" localSheetId="10" hidden="0" function="0" vbProcedure="0">'[115]Max-Torq'!$P$71</definedName>
    <definedName name="PTHREE_TOTAL" localSheetId="10" hidden="0" function="0" vbProcedure="0">[234]index!#ref!</definedName>
    <definedName name="PTWO_TOTAL" localSheetId="10" hidden="0" function="0" vbProcedure="0">[234]index!#ref!</definedName>
    <definedName name="Pups" localSheetId="10" hidden="0" function="0" vbProcedure="0">#ref!</definedName>
    <definedName name="PU_Dogs" localSheetId="10" hidden="0" function="0" vbProcedure="0">'[11]Metric Conversions'!$B$25</definedName>
    <definedName name="PU_Dogsz" localSheetId="10" hidden="0" function="0" vbProcedure="0">'[11]Liner Job Info'!$P$47</definedName>
    <definedName name="PU_Packoffz" localSheetId="10" hidden="0" function="0" vbProcedure="0">'[11]Liner Job Info'!$P$48</definedName>
    <definedName name="pv" localSheetId="10" hidden="0" function="0" vbProcedure="0">'[7]Drop-Down Items'!$R$7:$R$9</definedName>
    <definedName name="q" localSheetId="10" hidden="0" function="0" vbProcedure="0">'[88]Report Long(Esso)'!$E$2</definedName>
    <definedName name="qewadc" localSheetId="10" hidden="0" function="0" vbProcedure="0">[246]!Calculate_Pipe</definedName>
    <definedName name="QPNum" localSheetId="10" hidden="0" function="0" vbProcedure="0">'[94]Job Technical Info'!$K$11</definedName>
    <definedName name="qqq" localSheetId="10" hidden="1" function="0" vbProcedure="0">{#N/A,#N/A,FALSE,"Drlg Param Run 1-1";#N/A,#N/A,FALSE,"DDR (3)";#N/A,#N/A,FALSE,"BHA AT (1)";#N/A,#N/A,FALSE,"Downlinkbha";#N/A,#N/A,FALSE,"Job Status Report"}</definedName>
    <definedName name="quantum" localSheetId="10" hidden="0" function="0" vbProcedure="0">'FINAL TALLY'!quantum</definedName>
    <definedName name="Range1" localSheetId="10" hidden="0" function="0" vbProcedure="0">OFFSET([249]sheet1!$e$5, 1, 0,[249]sheet1!$e$2,1)</definedName>
    <definedName name="rate" localSheetId="10" hidden="0" function="0" vbProcedure="0">[106]Data!$F$7</definedName>
    <definedName name="rate1" localSheetId="10" hidden="0" function="0" vbProcedure="0">[106]Data!$A$2</definedName>
    <definedName name="rate10" localSheetId="10" hidden="0" function="0" vbProcedure="0">[106]Data!$A$11</definedName>
    <definedName name="rate2" localSheetId="10" hidden="0" function="0" vbProcedure="0">[106]Data!$A$3</definedName>
    <definedName name="rate3" localSheetId="10" hidden="0" function="0" vbProcedure="0">[106]Data!$A$4</definedName>
    <definedName name="rate4" localSheetId="10" hidden="0" function="0" vbProcedure="0">[106]Data!$A$5</definedName>
    <definedName name="rate5" localSheetId="10" hidden="0" function="0" vbProcedure="0">[106]Data!$A$6</definedName>
    <definedName name="rate6" localSheetId="10" hidden="0" function="0" vbProcedure="0">[106]Data!$A$7</definedName>
    <definedName name="rate7" localSheetId="10" hidden="0" function="0" vbProcedure="0">[106]Data!$A$8</definedName>
    <definedName name="rate8" localSheetId="10" hidden="0" function="0" vbProcedure="0">[106]Data!$A$9</definedName>
    <definedName name="rate9" localSheetId="10" hidden="0" function="0" vbProcedure="0">[106]Data!$A$10</definedName>
    <definedName name="raw_tally_lower" localSheetId="10" hidden="0" function="0" vbProcedure="0">'[191]2B Raw Rig Tally'!$B$13:$D$501</definedName>
    <definedName name="raw_tally_upper" localSheetId="10" hidden="0" function="0" vbProcedure="0">'[191]2B Raw Rig Tally'!$F$13:$H$501</definedName>
    <definedName name="Reasons" localSheetId="10" hidden="0" function="0" vbProcedure="0">'[146]Title Page'!$O$2:$O$23</definedName>
    <definedName name="Recalc" localSheetId="10" hidden="0" function="0" vbProcedure="0">[115]!Recalc</definedName>
    <definedName name="Region" localSheetId="10" hidden="0" function="0" vbProcedure="0">'[94]SetUp Tab'!$D$15</definedName>
    <definedName name="Regions" localSheetId="10" hidden="0" function="0" vbProcedure="0">[18]Criteria!$B$2:$B$11</definedName>
    <definedName name="Rem_DP1_Tens" localSheetId="10" hidden="0" function="0" vbProcedure="0">'[11]Weight Calculations'!$W$53</definedName>
    <definedName name="Rem_DP2_Tens" localSheetId="10" hidden="0" function="0" vbProcedure="0">'[11]Weight Calculations'!$W$54</definedName>
    <definedName name="Rem_DP3_Tens" localSheetId="10" hidden="0" function="0" vbProcedure="0">'[11]Weight Calculations'!$W$55</definedName>
    <definedName name="Rem_DP4_Tens" localSheetId="10" hidden="0" function="0" vbProcedure="0">'[11]Weight Calculations'!$W$59</definedName>
    <definedName name="Rem_DP5_Tens" localSheetId="10" hidden="0" function="0" vbProcedure="0">'[11]Weight Calculations'!$W$60</definedName>
    <definedName name="Rentalequipment" localSheetId="10" hidden="0" function="0" vbProcedure="0">[11]DATA!$R$2:$R$79</definedName>
    <definedName name="Rental_Tool_ID" localSheetId="10" hidden="0" function="0" vbProcedure="0">[11]DATA!$S$2:$S$79</definedName>
    <definedName name="REPORT3" localSheetId="10" hidden="0" function="0" vbProcedure="0">'[1]run sheet'!#ref!</definedName>
    <definedName name="RESE" localSheetId="10" hidden="0" function="0" vbProcedure="0">'FINAL TALLY'!RESE</definedName>
    <definedName name="reservoir15" localSheetId="10" hidden="0" function="0" vbProcedure="0">'[70]geological prognosis'!#ref!</definedName>
    <definedName name="reservoir16" localSheetId="10" hidden="0" function="0" vbProcedure="0">'[70]geological prognosis'!#ref!</definedName>
    <definedName name="reservoir17" localSheetId="10" hidden="0" function="0" vbProcedure="0">'[70]geological prognosis'!#ref!</definedName>
    <definedName name="reservoir18" localSheetId="10" hidden="0" function="0" vbProcedure="0">'[70]geological prognosis'!#ref!</definedName>
    <definedName name="reservoir19" localSheetId="10" hidden="0" function="0" vbProcedure="0">'[70]geological prognosis'!#ref!</definedName>
    <definedName name="reservoir20" localSheetId="10" hidden="0" function="0" vbProcedure="0">'[70]geological prognosis'!#ref!</definedName>
    <definedName name="reservoir21" localSheetId="10" hidden="0" function="0" vbProcedure="0">'[70]geological prognosis'!#ref!</definedName>
    <definedName name="reservoir22" localSheetId="10" hidden="0" function="0" vbProcedure="0">'[70]geological prognosis'!#ref!</definedName>
    <definedName name="reservoir23" localSheetId="10" hidden="0" function="0" vbProcedure="0">'[70]geological prognosis'!#ref!</definedName>
    <definedName name="reservoir24" localSheetId="10" hidden="0" function="0" vbProcedure="0">'[70]geological prognosis'!#ref!</definedName>
    <definedName name="reservoir25" localSheetId="10" hidden="0" function="0" vbProcedure="0">'[70]geological prognosis'!#ref!</definedName>
    <definedName name="reservoir26" localSheetId="10" hidden="0" function="0" vbProcedure="0">'[70]geological prognosis'!#ref!</definedName>
    <definedName name="reservoir27" localSheetId="10" hidden="0" function="0" vbProcedure="0">'[70]geological prognosis'!#ref!</definedName>
    <definedName name="reservoir28" localSheetId="10" hidden="0" function="0" vbProcedure="0">'[70]geological prognosis'!#ref!</definedName>
    <definedName name="reservoir29" localSheetId="10" hidden="0" function="0" vbProcedure="0">'[70]geological prognosis'!#ref!</definedName>
    <definedName name="resrevoir09" localSheetId="10" hidden="0" function="0" vbProcedure="0">'[70]geological prognosis'!#ref!</definedName>
    <definedName name="resrevoir10" localSheetId="10" hidden="0" function="0" vbProcedure="0">'[70]geological prognosis'!#ref!</definedName>
    <definedName name="resrevoir12" localSheetId="10" hidden="0" function="0" vbProcedure="0">'[70]geological prognosis'!#ref!</definedName>
    <definedName name="resrevoir13" localSheetId="10" hidden="0" function="0" vbProcedure="0">'[70]geological prognosis'!#ref!</definedName>
    <definedName name="resrevoir14" localSheetId="10" hidden="0" function="0" vbProcedure="0">'[70]geological prognosis'!#ref!</definedName>
    <definedName name="ret" localSheetId="10" hidden="0" function="0" vbProcedure="0">[119]钻井日报表!$G$3</definedName>
    <definedName name="Rev_XX" localSheetId="10" hidden="0" function="0" vbProcedure="0">'[94]Job Technical Info'!$L$4</definedName>
    <definedName name="rhstretchz" localSheetId="10" hidden="0" function="0" vbProcedure="0">'[11]Metric Conversions'!$C$38</definedName>
    <definedName name="RH_SHEAR" localSheetId="10" hidden="0" function="0" vbProcedure="0">'[11]Weight Calculations'!$H$21</definedName>
    <definedName name="RH_SHEAR_LNGTH" localSheetId="10" hidden="0" function="0" vbProcedure="0">'[11]Metric Conversions'!$B$37</definedName>
    <definedName name="RH_SHEAR_LNGTHz" localSheetId="10" hidden="0" function="0" vbProcedure="0">'[11]Metric Conversions'!$C$37</definedName>
    <definedName name="Rig" localSheetId="10" hidden="0" function="0" vbProcedure="0">'[88]Report Long(Esso)'!$E$4</definedName>
    <definedName name="rigcontractor1" localSheetId="10" hidden="0" function="0" vbProcedure="0">[186]Data!$G$1:$G$65536</definedName>
    <definedName name="Rigname1" localSheetId="10" hidden="0" function="0" vbProcedure="0">[186]Data!$E$1:$E$65536</definedName>
    <definedName name="RigPh" localSheetId="10" hidden="0" function="0" vbProcedure="0">'[94]Job Technical Info'!$G$17</definedName>
    <definedName name="Rig_Name" localSheetId="10" hidden="0" function="0" vbProcedure="0">'[108]Pre-Job Info Sheet'!$D$11</definedName>
    <definedName name="Rig_Output" localSheetId="10" hidden="0" function="0" vbProcedure="0">'[11]Displacement Cal.'!$G$7</definedName>
    <definedName name="RI_LC_Z2_ANSWERS_SCPacker1" localSheetId="10" hidden="0" function="0" vbProcedure="0">'[165]LowerCompletions - Risk Index'!$G$56</definedName>
    <definedName name="RI_LC_Z3_ANSWERS_SCPacker1" localSheetId="10" hidden="0" function="0" vbProcedure="0">'[165]LowerCompletions - Risk Index'!$G$69</definedName>
    <definedName name="RI_LC_Z4_ANSWERS_SCPacker1" localSheetId="10" hidden="0" function="0" vbProcedure="0">'[165]LowerCompletions - Risk Index'!$G$82</definedName>
    <definedName name="RI_LC_Z5_ANSWERS_SCPacker1" localSheetId="10" hidden="0" function="0" vbProcedure="0">'[165]LowerCompletions - Risk Index'!$G$95</definedName>
    <definedName name="ROMR" localSheetId="10" hidden="0" function="0" vbProcedure="0">[187]References!$A$1:$A$3</definedName>
    <definedName name="Rotation" localSheetId="10" hidden="0" function="0" vbProcedure="0">[11]DATA!$AK$2:$AK$10</definedName>
    <definedName name="Rpt_Average_Header1" localSheetId="10" hidden="0" function="0" vbProcedure="0">#ref!</definedName>
    <definedName name="Rpt_Average_Header2" localSheetId="10" hidden="0" function="0" vbProcedure="0">#ref!</definedName>
    <definedName name="Rpt_Comments" localSheetId="10" hidden="0" function="0" vbProcedure="0">#ref!</definedName>
    <definedName name="Rpt_Logo_Left" localSheetId="10" hidden="0" function="0" vbProcedure="0">#ref!</definedName>
    <definedName name="Rpt_Logo_Right" localSheetId="10" hidden="0" function="0" vbProcedure="0">#ref!</definedName>
    <definedName name="rrr" localSheetId="10" hidden="1" function="0" vbProcedure="0">{#N/A,#N/A,FALSE,"Sheet1"}</definedName>
    <definedName name="RSS_TO_COMPLETE" localSheetId="10" hidden="0" function="0" vbProcedure="0">[129]RSS!$K$197</definedName>
    <definedName name="rtb" localSheetId="10" hidden="0" function="0" vbProcedure="0">'[115]Max-Torq'!$P$61</definedName>
    <definedName name="RthLth" localSheetId="10" hidden="0" function="0" vbProcedure="0">#ref!</definedName>
    <definedName name="Runningtool" localSheetId="10" hidden="0" function="0" vbProcedure="0">[11]DATA!$AO$2:$AO$8</definedName>
    <definedName name="Rupees" localSheetId="10" hidden="0" function="0" vbProcedure="0">'[141]Cash Expense March-96'!$H$6</definedName>
    <definedName name="R_Group_ID" localSheetId="10" hidden="0" function="0" vbProcedure="0">[11]DATA!$T$2:$T$79</definedName>
    <definedName name="S" localSheetId="10" hidden="0" function="0" vbProcedure="0">'[1]run sheet'!#ref!</definedName>
    <definedName name="Salesequipment" localSheetId="10" hidden="0" function="0" vbProcedure="0">[11]DATA!$O$2:$O$268</definedName>
    <definedName name="Salesman" localSheetId="10" hidden="0" function="0" vbProcedure="0">'[108]Pre-Job Info Sheet'!$B$7</definedName>
    <definedName name="Sales_Explosive_Type" localSheetId="10" hidden="0" function="0" vbProcedure="0">'[108]Pre-Job Info Sheet'!$B$24</definedName>
    <definedName name="Sales_Gun_Size" localSheetId="10" hidden="0" function="0" vbProcedure="0">'[108]Pre-Job Info Sheet'!$B$21</definedName>
    <definedName name="Sales_Lease" localSheetId="10" hidden="0" function="0" vbProcedure="0">'[108]Pre-Job Info Sheet'!$D$8</definedName>
    <definedName name="Sales_SPF" localSheetId="10" hidden="0" function="0" vbProcedure="0">'[108]Pre-Job Info Sheet'!$B$22</definedName>
    <definedName name="Sales_Ticket_Number" localSheetId="10" hidden="0" function="0" vbProcedure="0">'[30]Liner Job Info'!$E$11</definedName>
    <definedName name="Sales_Underbalance" localSheetId="10" hidden="0" function="0" vbProcedure="0">'[108]Pre-Job Info Sheet'!$D$35</definedName>
    <definedName name="Sales_Well_Name" localSheetId="10" hidden="0" function="0" vbProcedure="0">'[108]Pre-Job Info Sheet'!$D$6</definedName>
    <definedName name="salinity" localSheetId="10" hidden="0" function="0" vbProcedure="0">'[93]well test sheet'!#ref!</definedName>
    <definedName name="SANDOUT_PRESSURE" localSheetId="10" hidden="0" function="0" vbProcedure="0">'[113]#REF'!$I$107</definedName>
    <definedName name="SAND_ABOVE_PERFS_PREPACK" localSheetId="10" hidden="0" function="0" vbProcedure="0">'[113]#REF'!$F$175</definedName>
    <definedName name="SAND_DIVERTER" localSheetId="10" hidden="0" function="0" vbProcedure="0">'[113]#REF'!$F$56</definedName>
    <definedName name="SAND_GP" localSheetId="10" hidden="0" function="0" vbProcedure="0">'[113]#REF'!$F$64</definedName>
    <definedName name="SAND_IN_CAS_BLNK" localSheetId="10" hidden="0" function="0" vbProcedure="0">'[6]#ref'!#ref!</definedName>
    <definedName name="SAND_IN_CAS_EXT" localSheetId="10" hidden="0" function="0" vbProcedure="0">'[6]#ref'!#ref!</definedName>
    <definedName name="SAND_IN_CAS_PREPACK" localSheetId="10" hidden="0" function="0" vbProcedure="0">'[113]#REF'!$F$81</definedName>
    <definedName name="SAND_IN_CAS_SCR" localSheetId="10" hidden="0" function="0" vbProcedure="0">'[6]#ref'!#ref!</definedName>
    <definedName name="SAND_IN_PERFS" localSheetId="10" hidden="0" function="0" vbProcedure="0">'[113]#REF'!$I$185</definedName>
    <definedName name="SAND_IN_PERFS_PP" localSheetId="10" hidden="0" function="0" vbProcedure="0">'[113]#REF'!$F$82</definedName>
    <definedName name="SAND_PASS_XO_PORT" localSheetId="10" hidden="0" function="0" vbProcedure="0">'[113]#REF'!$E$195</definedName>
    <definedName name="SAND_PERMEABILITY" localSheetId="10" hidden="0" function="0" vbProcedure="0">'[113]#REF'!$I$105</definedName>
    <definedName name="SAND_PLACED_GP" localSheetId="10" hidden="0" function="0" vbProcedure="0">'[113]#REF'!$F$95</definedName>
    <definedName name="SAND_PREPACK" localSheetId="10" hidden="0" function="0" vbProcedure="0">'[113]#REF'!$F$44</definedName>
    <definedName name="SAND_PUMPED_GP" localSheetId="10" hidden="0" function="0" vbProcedure="0">'[113]#REF'!$F$92</definedName>
    <definedName name="SAND_PUMPED_PREPACK" localSheetId="10" hidden="0" function="0" vbProcedure="0">'[113]#REF'!$F$78</definedName>
    <definedName name="SAND_REVOUT_GP" localSheetId="10" hidden="0" function="0" vbProcedure="0">'[113]#REF'!$F$93</definedName>
    <definedName name="SAND_REVOUT_PREPACK" localSheetId="10" hidden="0" function="0" vbProcedure="0">'[113]#REF'!$F$79</definedName>
    <definedName name="Save_Document" localSheetId="10" hidden="0" function="0" vbProcedure="0">[26]!Save_Document</definedName>
    <definedName name="Save_Document_1" localSheetId="10" hidden="0" function="0" vbProcedure="0">'FINAL TALLY'!Save_Document</definedName>
    <definedName name="Save_Document_10" localSheetId="10" hidden="0" function="0" vbProcedure="0">'FINAL TALLY'!Save_Document</definedName>
    <definedName name="Save_Document_11" localSheetId="10" hidden="0" function="0" vbProcedure="0">'FINAL TALLY'!Save_Document</definedName>
    <definedName name="Save_Document_2" localSheetId="10" hidden="0" function="0" vbProcedure="0">'FINAL TALLY'!Save_Document</definedName>
    <definedName name="Save_Document_3" localSheetId="10" hidden="0" function="0" vbProcedure="0">'FINAL TALLY'!Save_Document</definedName>
    <definedName name="Save_Document_4" localSheetId="10" hidden="0" function="0" vbProcedure="0">'FINAL TALLY'!Save_Document</definedName>
    <definedName name="Save_Document_5" localSheetId="10" hidden="0" function="0" vbProcedure="0">'FINAL TALLY'!Save_Document</definedName>
    <definedName name="Save_Document_6" localSheetId="10" hidden="0" function="0" vbProcedure="0">'FINAL TALLY'!Save_Document</definedName>
    <definedName name="Save_Document_7" localSheetId="10" hidden="0" function="0" vbProcedure="0">'FINAL TALLY'!Save_Document</definedName>
    <definedName name="Save_Document_8" localSheetId="10" hidden="0" function="0" vbProcedure="0">'FINAL TALLY'!Save_Document</definedName>
    <definedName name="Save_Document_9" localSheetId="10" hidden="0" function="0" vbProcedure="0">'FINAL TALLY'!Save_Document</definedName>
    <definedName name="SBE" localSheetId="10" hidden="0" function="0" vbProcedure="0">#ref!</definedName>
    <definedName name="SCB" localSheetId="10" hidden="0" function="0" vbProcedure="0">[129]RSS!$B$136:$B$144</definedName>
    <definedName name="SCHE" localSheetId="10" hidden="0" function="0" vbProcedure="0">[16]!Macro1</definedName>
    <definedName name="Schemati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10" hidden="0" function="0" vbProcedure="0">'[113]#REF'!$H$14</definedName>
    <definedName name="screenidlist" localSheetId="10" hidden="0" function="0" vbProcedure="0">[106]Data!$E$79:$F$127</definedName>
    <definedName name="screenlength" localSheetId="10" hidden="0" function="0" vbProcedure="0">'[113]#REF'!$J$14</definedName>
    <definedName name="screenod" localSheetId="10" hidden="0" function="0" vbProcedure="0">'[113]#REF'!$F$14</definedName>
    <definedName name="screentype" localSheetId="10" hidden="0" function="0" vbProcedure="0">'[113]#REF'!$M$14</definedName>
    <definedName name="SCREEN_LENGTH" localSheetId="10" hidden="0" function="0" vbProcedure="0">'[113]#REF'!$J$13</definedName>
    <definedName name="SCREEN_OD" localSheetId="10" hidden="0" function="0" vbProcedure="0">'[113]#REF'!$F$14</definedName>
    <definedName name="sd" localSheetId="10" hidden="0" function="0" vbProcedure="0">null</definedName>
    <definedName name="SDE_23" localSheetId="10" hidden="0" function="0" vbProcedure="0">[72]!Calculate_Pipe</definedName>
    <definedName name="se" localSheetId="10" hidden="0" function="0" vbProcedure="0">'[262]calculo de gas total'!#ref!</definedName>
    <definedName name="Seals" localSheetId="10" hidden="0" function="0" vbProcedure="0">#ref!</definedName>
    <definedName name="SeatID" localSheetId="10" hidden="0" function="0" vbProcedure="0">[11]DATA!$BC$2:$BC$6</definedName>
    <definedName name="SeatNumber" localSheetId="10" hidden="0" function="0" vbProcedure="0">[11]DATA!$BD$2:$BD$7</definedName>
    <definedName name="SeatShear" localSheetId="10" hidden="0" function="0" vbProcedure="0">[11]DATA!$BE$2:$BE$4</definedName>
    <definedName name="SeatType" localSheetId="10" hidden="0" function="0" vbProcedure="0">[11]DATA!$BB$2:$BB$4</definedName>
    <definedName name="sep_press" localSheetId="10" hidden="0" function="0" vbProcedure="0">'[93]well test sheet'!#ref!</definedName>
    <definedName name="sep_temp" localSheetId="10" hidden="0" function="0" vbProcedure="0">'[93]well test sheet'!#ref!</definedName>
    <definedName name="serialselect1" localSheetId="10" hidden="0" function="0" vbProcedure="0">[26]!serialselect1</definedName>
    <definedName name="serialselect2" localSheetId="10" hidden="0" function="0" vbProcedure="0">[26]!serialselect2</definedName>
    <definedName name="serialselect3" localSheetId="10" hidden="0" function="0" vbProcedure="0">[26]!serialselect3</definedName>
    <definedName name="serialselect4" localSheetId="10" hidden="0" function="0" vbProcedure="0">[26]!serialselect4</definedName>
    <definedName name="ServiceCenter" localSheetId="10" hidden="0" function="0" vbProcedure="0">'[117]Well Installation Drawing'!$L$13</definedName>
    <definedName name="SETTLEMENT_RATE" localSheetId="10" hidden="0" function="0" vbProcedure="0">'[113]#REF'!$I$120</definedName>
    <definedName name="Sett_Tool_Tens" localSheetId="10" hidden="0" function="0" vbProcedure="0">'[11]Liner Job Info'!$P$44</definedName>
    <definedName name="Shear_HR_Mech_Release" localSheetId="10" hidden="0" function="0" vbProcedure="0">'[11]Liner Job Info'!$P$49</definedName>
    <definedName name="SHER" localSheetId="10" hidden="0" function="0" vbProcedure="0">'FINAL TALLY'!SHER</definedName>
    <definedName name="shippedvia" localSheetId="10" hidden="0" function="0" vbProcedure="0">'[31]data '!#ref!</definedName>
    <definedName name="shit" localSheetId="10" hidden="1" function="0" vbProcedure="0">{#N/A,#N/A,FALSE,"Sheet1"}</definedName>
    <definedName name="SHO" localSheetId="10" hidden="0" function="0" vbProcedure="0">[188]钻井日报表!$G$3</definedName>
    <definedName name="ShoeTrack_Vol" localSheetId="10" hidden="0" function="0" vbProcedure="0">'[11]Metric Conversions'!$B$76</definedName>
    <definedName name="ShoeTrack_Volz" localSheetId="10" hidden="0" function="0" vbProcedure="0">'[11]Metric Conversions'!$C$76</definedName>
    <definedName name="Shoe_Track_Length" localSheetId="10" hidden="0" function="0" vbProcedure="0">'[11]Metric Conversions'!$B$19</definedName>
    <definedName name="Shoe_Track_Lengthz" localSheetId="10" hidden="0" function="0" vbProcedure="0">'[11]Liner Job Info'!$D$19</definedName>
    <definedName name="Show_1" localSheetId="10" hidden="0" function="0" vbProcedure="0">[41]!Show_1</definedName>
    <definedName name="Show_1_1" localSheetId="10" hidden="0" function="0" vbProcedure="0">'FINAL TALLY'!Show_1</definedName>
    <definedName name="Show_1_10" localSheetId="10" hidden="0" function="0" vbProcedure="0">'FINAL TALLY'!Show_1</definedName>
    <definedName name="Show_1_11" localSheetId="10" hidden="0" function="0" vbProcedure="0">'FINAL TALLY'!Show_1</definedName>
    <definedName name="Show_1_2" localSheetId="10" hidden="0" function="0" vbProcedure="0">'FINAL TALLY'!Show_1</definedName>
    <definedName name="Show_1_3" localSheetId="10" hidden="0" function="0" vbProcedure="0">'FINAL TALLY'!Show_1</definedName>
    <definedName name="Show_1_4" localSheetId="10" hidden="0" function="0" vbProcedure="0">'FINAL TALLY'!Show_1</definedName>
    <definedName name="Show_1_5" localSheetId="10" hidden="0" function="0" vbProcedure="0">'FINAL TALLY'!Show_1</definedName>
    <definedName name="Show_1_6" localSheetId="10" hidden="0" function="0" vbProcedure="0">'FINAL TALLY'!Show_1</definedName>
    <definedName name="Show_1_7" localSheetId="10" hidden="0" function="0" vbProcedure="0">'FINAL TALLY'!Show_1</definedName>
    <definedName name="Show_1_8" localSheetId="10" hidden="0" function="0" vbProcedure="0">'FINAL TALLY'!Show_1</definedName>
    <definedName name="Show_1_9" localSheetId="10" hidden="0" function="0" vbProcedure="0">'FINAL TALLY'!Show_1</definedName>
    <definedName name="Show_2" localSheetId="10" hidden="0" function="0" vbProcedure="0">[41]!Show_2</definedName>
    <definedName name="Show_2_1" localSheetId="10" hidden="0" function="0" vbProcedure="0">'FINAL TALLY'!Show_2</definedName>
    <definedName name="Show_2_10" localSheetId="10" hidden="0" function="0" vbProcedure="0">'FINAL TALLY'!Show_2</definedName>
    <definedName name="Show_2_11" localSheetId="10" hidden="0" function="0" vbProcedure="0">'FINAL TALLY'!Show_2</definedName>
    <definedName name="Show_2_2" localSheetId="10" hidden="0" function="0" vbProcedure="0">'FINAL TALLY'!Show_2</definedName>
    <definedName name="Show_2_3" localSheetId="10" hidden="0" function="0" vbProcedure="0">'FINAL TALLY'!Show_2</definedName>
    <definedName name="Show_2_4" localSheetId="10" hidden="0" function="0" vbProcedure="0">'FINAL TALLY'!Show_2</definedName>
    <definedName name="Show_2_5" localSheetId="10" hidden="0" function="0" vbProcedure="0">'FINAL TALLY'!Show_2</definedName>
    <definedName name="Show_2_6" localSheetId="10" hidden="0" function="0" vbProcedure="0">'FINAL TALLY'!Show_2</definedName>
    <definedName name="Show_2_7" localSheetId="10" hidden="0" function="0" vbProcedure="0">'FINAL TALLY'!Show_2</definedName>
    <definedName name="Show_2_8" localSheetId="10" hidden="0" function="0" vbProcedure="0">'FINAL TALLY'!Show_2</definedName>
    <definedName name="Show_2_9" localSheetId="10" hidden="0" function="0" vbProcedure="0">'FINAL TALLY'!Show_2</definedName>
    <definedName name="Size" localSheetId="10" hidden="0" function="0" vbProcedure="0">#ref!</definedName>
    <definedName name="SJT_DEPTH" localSheetId="10" hidden="0" function="0" vbProcedure="0">'[113]#REF'!$F$22</definedName>
    <definedName name="SJ_DEPTH" localSheetId="10" hidden="0" function="0" vbProcedure="0">'[113]#REF'!$F$22</definedName>
    <definedName name="SL" localSheetId="10" hidden="0" function="0" vbProcedure="0">[149]BHA!$C$3</definedName>
    <definedName name="SleeveLength" localSheetId="10" hidden="0" function="0" vbProcedure="0">[11]DATA!$AV$2:$AV$4</definedName>
    <definedName name="SLURRY_DENSITY" localSheetId="10" hidden="0" function="0" vbProcedure="0">'[113]#REF'!$F$70</definedName>
    <definedName name="SLURRY_VOL_PREPACK" localSheetId="10" hidden="0" function="0" vbProcedure="0">'[113]#REF'!$F$48</definedName>
    <definedName name="soldto" localSheetId="10" hidden="0" function="0" vbProcedure="0">'[34]Call Sheet'!$AL$3</definedName>
    <definedName name="sort" localSheetId="10" hidden="1" function="0" vbProcedure="0">[166]Sheet1!$A$181:$H$210</definedName>
    <definedName name="SORT_AREA" localSheetId="10" hidden="0" function="0" vbProcedure="0">'[167]DI-ESTI'!$A$8:$R$489</definedName>
    <definedName name="Spacedout" localSheetId="10" hidden="1" function="0" vbProcedure="0">{#N/A,#N/A,FALSE,"Drlg Param Run 1-1";#N/A,#N/A,FALSE,"DDR (3)";#N/A,#N/A,FALSE,"BHA AT (1)";#N/A,#N/A,FALSE,"Downlinkbha";#N/A,#N/A,FALSE,"Job Status Report"}</definedName>
    <definedName name="SpacerType" localSheetId="10" hidden="0" function="0" vbProcedure="0">[11]DATA!$BK$2:$BK$7</definedName>
    <definedName name="Spiral_Type" localSheetId="10" hidden="0" function="0" vbProcedure="0">[11]DATA!$BM$2:$BM$5</definedName>
    <definedName name="SPM" localSheetId="10" hidden="0" function="0" vbProcedure="0">#ref!</definedName>
    <definedName name="SSA" localSheetId="10" hidden="0" function="0" vbProcedure="0">[267]!Macro46</definedName>
    <definedName name="SSDHGR" localSheetId="10" hidden="0" function="0" vbProcedure="0">#ref!</definedName>
    <definedName name="ssdsd" localSheetId="10" hidden="0" function="0" vbProcedure="0">'FINAL TALLY'!ssdsd</definedName>
    <definedName name="SSID" localSheetId="10" hidden="0" function="0" vbProcedure="0">'[11]Liner Job Info'!$O$6</definedName>
    <definedName name="sss" localSheetId="10" hidden="1" function="0" vbProcedure="0">{#N/A,#N/A,FALSE,"Drlg Param Run 1-1";#N/A,#N/A,FALSE,"DDR (3)";#N/A,#N/A,FALSE,"BHA AT (1)";#N/A,#N/A,FALSE,"Downlinkbha";#N/A,#N/A,FALSE,"Job Status Report"}</definedName>
    <definedName name="SSSV" localSheetId="10" hidden="0" function="0" vbProcedure="0">#ref!</definedName>
    <definedName name="stages" localSheetId="10" hidden="0" function="0" vbProcedure="0">[5]WTR!$G$52</definedName>
    <definedName name="Stage_Number" localSheetId="10" hidden="0" function="0" vbProcedure="0">'[108]Pre-Job Info Sheet'!$B$15</definedName>
    <definedName name="Start_Here" localSheetId="10" hidden="0" function="0" vbProcedure="0">'[168]9.625 TCP String'!$B$10</definedName>
    <definedName name="state" localSheetId="10" hidden="0" function="0" vbProcedure="0">'[40]CPS Call Sheet'!$AC$7</definedName>
    <definedName name="status" localSheetId="10" hidden="0" function="0" vbProcedure="0">'[154]BPR LOG'!$H$1:$H$1048576</definedName>
    <definedName name="Stretch_DP1_Lnr_Wt" localSheetId="10" hidden="0" function="0" vbProcedure="0">'[11]Metric Conversions'!$B$30</definedName>
    <definedName name="Stretch_DP1_Lnr_Wtz" localSheetId="10" hidden="0" function="0" vbProcedure="0">'[11]Metric Conversions'!$C$30</definedName>
    <definedName name="Stretch_DP2_Lnr_Wt" localSheetId="10" hidden="0" function="0" vbProcedure="0">'[11]Metric Conversions'!$B$31</definedName>
    <definedName name="Stretch_DP2_Lnr_Wtz" localSheetId="10" hidden="0" function="0" vbProcedure="0">'[11]Metric Conversions'!$C$31</definedName>
    <definedName name="Stretch_DP3_Lnr_Wt" localSheetId="10" hidden="0" function="0" vbProcedure="0">'[11]Metric Conversions'!$B$32</definedName>
    <definedName name="Stretch_DP3_Lnr_Wtz" localSheetId="10" hidden="0" function="0" vbProcedure="0">'[11]Metric Conversions'!$C$32</definedName>
    <definedName name="Stretch_DP4_Lnr_Wt" localSheetId="10" hidden="0" function="0" vbProcedure="0">'[11]Metric Conversions'!$B$33</definedName>
    <definedName name="Stretch_DP4_Lnr_Wtz" localSheetId="10" hidden="0" function="0" vbProcedure="0">'[11]Metric Conversions'!$C$33</definedName>
    <definedName name="Stretch_DP5_Lnr_Wt" localSheetId="10" hidden="0" function="0" vbProcedure="0">'[11]Metric Conversions'!$B$34</definedName>
    <definedName name="Stretch_DP5_Lnr_Wtz" localSheetId="10" hidden="0" function="0" vbProcedure="0">'[11]Metric Conversions'!$C$34</definedName>
    <definedName name="Stretch_TTL_Lnr_Wt" localSheetId="10" hidden="0" function="0" vbProcedure="0">'[11]Metric Conversions'!$B$36</definedName>
    <definedName name="Stretch_TTL_Lnr_Wtz" localSheetId="10" hidden="0" function="0" vbProcedure="0">'[11]Metric Conversions'!$C$36</definedName>
    <definedName name="SUBJECT" localSheetId="10" hidden="0" function="0" vbProcedure="0">[187]References!$B$1:$B$15</definedName>
    <definedName name="SubSeaTVD_Column" localSheetId="10" hidden="0" function="0" vbProcedure="0">null</definedName>
    <definedName name="SubSeaTVD_Unit" localSheetId="10" hidden="0" function="0" vbProcedure="0">null</definedName>
    <definedName name="SUMP_DEPTH" localSheetId="10" hidden="0" function="0" vbProcedure="0">'[113]#REF'!$F$23</definedName>
    <definedName name="Surfaceequipment" localSheetId="10" hidden="0" function="0" vbProcedure="0">[11]DATA!$AQ$2:$AQ$11</definedName>
    <definedName name="surfacefracpressure" localSheetId="10" hidden="0" function="0" vbProcedure="0">[106]Data!$F$4</definedName>
    <definedName name="Surf_Equip_Tens" localSheetId="10" hidden="0" function="0" vbProcedure="0">'[11]Liner Job Info'!$P$46</definedName>
    <definedName name="Svy_Print_Area" localSheetId="10" hidden="0" function="0" vbProcedure="0">'[168]9.625 TCP String'!$B$12:$I$3772</definedName>
    <definedName name="SWELL_PKR" localSheetId="10" hidden="0" function="0" vbProcedure="0">INDEX([111]PKR!$F$2:$G$10,MATCH([111]PKR!$H$1,[111]PKR!$F$2:$F$10,0),2)</definedName>
    <definedName name="T" localSheetId="10" hidden="0" function="0" vbProcedure="0">#ref!</definedName>
    <definedName name="t." localSheetId="10" hidden="0" function="0" vbProcedure="0">[49]!Prev.Macro102</definedName>
    <definedName name="Tally" localSheetId="10" hidden="0" function="0" vbProcedure="0">#ref!</definedName>
    <definedName name="tallyc" localSheetId="10" hidden="0" function="0" vbProcedure="0">'[2]run sheet'!#ref!</definedName>
    <definedName name="Tally_2" localSheetId="10" hidden="0" function="0" vbProcedure="0">[192]Tally!$E$5:$G$1004</definedName>
    <definedName name="Tally_3" localSheetId="10" hidden="0" function="0" vbProcedure="0">[192]Tally!$I$5:$K$1004</definedName>
    <definedName name="Taper_String_Grade" localSheetId="10" hidden="0" function="0" vbProcedure="0">'[108]Pre-Job Info Sheet'!$D$31</definedName>
    <definedName name="Taper_String_Size" localSheetId="10" hidden="0" function="0" vbProcedure="0">'[108]Pre-Job Info Sheet'!$D$29</definedName>
    <definedName name="Taper_String_Type" localSheetId="10" hidden="0" function="0" vbProcedure="0">'[108]Pre-Job Info Sheet'!$D$28</definedName>
    <definedName name="Taper_String_Wt._Ft." localSheetId="10" hidden="0" function="0" vbProcedure="0">'[108]Pre-Job Info Sheet'!$D$30</definedName>
    <definedName name="targe"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0" hidden="0" function="0" vbProcedure="0">#ref!,#ref!</definedName>
    <definedName name="TARIQ" localSheetId="10" hidden="0" function="0" vbProcedure="0">[145]!Calculate_Pipe</definedName>
    <definedName name="Tbg" localSheetId="10" hidden="0" function="0" vbProcedure="0">#ref!</definedName>
    <definedName name="TbgDrift1" localSheetId="10" hidden="0" function="0" vbProcedure="0">'[94]Job Technical Info'!$G$35</definedName>
    <definedName name="TbgDrift2" localSheetId="10" hidden="0" function="0" vbProcedure="0">'[94]Job Technical Info'!$G$36</definedName>
    <definedName name="TbgDrift3" localSheetId="10" hidden="0" function="0" vbProcedure="0">'[94]Job Technical Info'!$G$37</definedName>
    <definedName name="TbgDrift4" localSheetId="10" hidden="0" function="0" vbProcedure="0">'[94]Job Technical Info'!$G$38</definedName>
    <definedName name="TbgGrade" localSheetId="10" hidden="0" function="0" vbProcedure="0">#ref!</definedName>
    <definedName name="TbgGrd1" localSheetId="10" hidden="0" function="0" vbProcedure="0">'[94]Job Technical Info'!$H$35</definedName>
    <definedName name="TbgGrd2" localSheetId="10" hidden="0" function="0" vbProcedure="0">'[94]Job Technical Info'!$H$36</definedName>
    <definedName name="TbgGrd3" localSheetId="10" hidden="0" function="0" vbProcedure="0">'[94]Job Technical Info'!$H$37</definedName>
    <definedName name="TbgGrd4" localSheetId="10" hidden="0" function="0" vbProcedure="0">'[94]Job Technical Info'!$H$38</definedName>
    <definedName name="TbgID1" localSheetId="10" hidden="0" function="0" vbProcedure="0">'[94]Job Technical Info'!$F$35</definedName>
    <definedName name="TbgID2" localSheetId="10" hidden="0" function="0" vbProcedure="0">'[94]Job Technical Info'!$F$36</definedName>
    <definedName name="TbgID3" localSheetId="10" hidden="0" function="0" vbProcedure="0">'[94]Job Technical Info'!$F$37</definedName>
    <definedName name="TbgID4" localSheetId="10" hidden="0" function="0" vbProcedure="0">'[94]Job Technical Info'!$F$38</definedName>
    <definedName name="TbgSize" localSheetId="10" hidden="0" function="0" vbProcedure="0">#ref!</definedName>
    <definedName name="TbgSz1" localSheetId="10" hidden="0" function="0" vbProcedure="0">'[94]Job Technical Info'!$D$35</definedName>
    <definedName name="TbgSz2" localSheetId="10" hidden="0" function="0" vbProcedure="0">'[94]Job Technical Info'!$D$36</definedName>
    <definedName name="TbgSz3" localSheetId="10" hidden="0" function="0" vbProcedure="0">'[94]Job Technical Info'!$D$37</definedName>
    <definedName name="TbgSz4" localSheetId="10" hidden="0" function="0" vbProcedure="0">'[94]Job Technical Info'!$D$38</definedName>
    <definedName name="TbgThd1" localSheetId="10" hidden="0" function="0" vbProcedure="0">'[94]Job Technical Info'!$J$35</definedName>
    <definedName name="TbgThd2" localSheetId="10" hidden="0" function="0" vbProcedure="0">'[94]Job Technical Info'!$J$36</definedName>
    <definedName name="TbgThd3" localSheetId="10" hidden="0" function="0" vbProcedure="0">'[94]Job Technical Info'!$J$37</definedName>
    <definedName name="TbgThd4" localSheetId="10" hidden="0" function="0" vbProcedure="0">'[94]Job Technical Info'!$J$38</definedName>
    <definedName name="TbgWt1" localSheetId="10" hidden="0" function="0" vbProcedure="0">'[94]Job Technical Info'!$E$35</definedName>
    <definedName name="TbgWt2" localSheetId="10" hidden="0" function="0" vbProcedure="0">'[94]Job Technical Info'!$E$36</definedName>
    <definedName name="TbgWt3" localSheetId="10" hidden="0" function="0" vbProcedure="0">'[94]Job Technical Info'!$E$37</definedName>
    <definedName name="TbgWt4" localSheetId="10" hidden="0" function="0" vbProcedure="0">'[94]Job Technical Info'!$E$38</definedName>
    <definedName name="TB_Ext_API_Coll" localSheetId="10" hidden="0" function="0" vbProcedure="0">'[11]Metric Conversions'!$B$55</definedName>
    <definedName name="TB_Ext_API_Collz" localSheetId="10" hidden="0" function="0" vbProcedure="0">'[11]Liner Job Info'!$P$37</definedName>
    <definedName name="TB_Ext_Bst" localSheetId="10" hidden="0" function="0" vbProcedure="0">'[11]Metric Conversions'!$B$54</definedName>
    <definedName name="TB_Ext_Bstz" localSheetId="10" hidden="0" function="0" vbProcedure="0">'[11]Liner Job Info'!$P$36</definedName>
    <definedName name="TB_EXT_ID" localSheetId="10" hidden="0" function="0" vbProcedure="0">'[11]Liner Job Info'!$P$35</definedName>
    <definedName name="TB_Ext_Yield_Collz" localSheetId="10" hidden="0" function="0" vbProcedure="0">'[11]Liner Job Info'!$P$38</definedName>
    <definedName name="TCPSTRING" localSheetId="10" hidden="0" function="0" vbProcedure="0">[279]!ADDSTAB</definedName>
    <definedName name="TD_Depth_md" localSheetId="10" hidden="0" function="0" vbProcedure="0">'[70]well specification'!#ref!</definedName>
    <definedName name="TD_md" localSheetId="10" hidden="0" function="0" vbProcedure="0">'[70]well specification'!#ref!</definedName>
    <definedName name="tedtr" localSheetId="10" hidden="0" function="0" vbProcedure="0">'[115]Max-Torq'!$P$72</definedName>
    <definedName name="teks"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10" hidden="0" function="0" vbProcedure="0">#ref!</definedName>
    <definedName name="Temperature" localSheetId="10" hidden="0" function="0" vbProcedure="0">#ref!</definedName>
    <definedName name="TENDER" localSheetId="10" hidden="0" function="0" vbProcedure="0">'[88]Report Long(Esso)'!$E$4</definedName>
    <definedName name="tens" localSheetId="10" hidden="0" function="0" vbProcedure="0">'[115]Max-Torq'!$N$58</definedName>
    <definedName name="terry1" localSheetId="10" hidden="0" function="0" vbProcedure="0">{#N/A,#N/A,FALSE,"Volume"}</definedName>
    <definedName name="terry2" localSheetId="10" hidden="0" function="0" vbProcedure="0">{#N/A,#N/A,FALSE,"Volume"}</definedName>
    <definedName name="terry3" localSheetId="10" hidden="0" function="0" vbProcedure="0">{#N/A,#N/A,FALSE,"Volume"}</definedName>
    <definedName name="terry4" localSheetId="10" hidden="0" function="0" vbProcedure="0">{#N/A,#N/A,FALSE,"Volume"}</definedName>
    <definedName name="terry5" localSheetId="10" hidden="0" function="0" vbProcedure="0">{#N/A,#N/A,FALSE,"Volume"}</definedName>
    <definedName name="TEST" localSheetId="10" hidden="0" function="0" vbProcedure="0">#ref!</definedName>
    <definedName name="Test_po_out_1" localSheetId="10" hidden="0" function="0" vbProcedure="0">[11]Test!$M$28</definedName>
    <definedName name="Test_po_out_2" localSheetId="10" hidden="0" function="0" vbProcedure="0">[11]Test!$M$29</definedName>
    <definedName name="textfive" localSheetId="10" hidden="0" function="0" vbProcedure="0">'FINAL TALLY'!textfive</definedName>
    <definedName name="textfivehalf" localSheetId="10" hidden="0" function="0" vbProcedure="0">'FINAL TALLY'!textfivehalf</definedName>
    <definedName name="textninefiveeightfourfirst" localSheetId="10" hidden="0" function="0" vbProcedure="0">'FINAL TALLY'!textninefiveeightfourfirst</definedName>
    <definedName name="textninefiveeightfoursecond" localSheetId="10" hidden="0" function="0" vbProcedure="0">'FINAL TALLY'!textninefiveeightfoursecond</definedName>
    <definedName name="textninefiveeightsixfirst" localSheetId="10" hidden="0" function="0" vbProcedure="0">'FINAL TALLY'!textninefiveeightsixfirst</definedName>
    <definedName name="textninefiveeightsixsecond" localSheetId="10" hidden="0" function="0" vbProcedure="0">'FINAL TALLY'!textninefiveeightsixsecond</definedName>
    <definedName name="textsevenfiveeightfour" localSheetId="10" hidden="0" function="0" vbProcedure="0">'FINAL TALLY'!textsevenfiveeightfour</definedName>
    <definedName name="textsevenfiveeightthree" localSheetId="10" hidden="0" function="0" vbProcedure="0">'FINAL TALLY'!textsevenfiveeightthree</definedName>
    <definedName name="textsevenfour" localSheetId="10" hidden="0" function="0" vbProcedure="0">'FINAL TALLY'!textsevenfour</definedName>
    <definedName name="textseventhree" localSheetId="10" hidden="0" function="0" vbProcedure="0">'FINAL TALLY'!textseventhree</definedName>
    <definedName name="text_five" localSheetId="10" hidden="0" function="0" vbProcedure="0">'FINAL TALLY'!text_five</definedName>
    <definedName name="text_fivehalf" localSheetId="10" hidden="0" function="0" vbProcedure="0">'FINAL TALLY'!text_fivehalf</definedName>
    <definedName name="text_ninefiveeightfourfirst" localSheetId="10" hidden="0" function="0" vbProcedure="0">'FINAL TALLY'!text_ninefiveeightfourfirst</definedName>
    <definedName name="text_ninefiveeightfoursecond" localSheetId="10" hidden="0" function="0" vbProcedure="0">'FINAL TALLY'!text_ninefiveeightfoursecond</definedName>
    <definedName name="text_ninefiveeightsixfirst" localSheetId="10" hidden="0" function="0" vbProcedure="0">'FINAL TALLY'!text_ninefiveeightsixfirst</definedName>
    <definedName name="text_ninefiveeightsixsecond" localSheetId="10" hidden="0" function="0" vbProcedure="0">'FINAL TALLY'!text_ninefiveeightsixsecond</definedName>
    <definedName name="text_sevenfiveeightfour" localSheetId="10" hidden="0" function="0" vbProcedure="0">'FINAL TALLY'!text_sevenfiveeightfour</definedName>
    <definedName name="text_sevenfiveeightthree" localSheetId="10" hidden="0" function="0" vbProcedure="0">'FINAL TALLY'!text_sevenfiveeightthree</definedName>
    <definedName name="text_sevenfour" localSheetId="10" hidden="0" function="0" vbProcedure="0">'FINAL TALLY'!text_sevenfour</definedName>
    <definedName name="text_seventhree" localSheetId="10" hidden="0" function="0" vbProcedure="0">'FINAL TALLY'!text_seventhree</definedName>
    <definedName name="tgrade" localSheetId="10" hidden="0" function="0" vbProcedure="0">[157]Control!$D$9</definedName>
    <definedName name="TGW" localSheetId="10" hidden="0" function="0" vbProcedure="0">'FINAL TALLY'!TGW</definedName>
    <definedName name="ThreadCon" localSheetId="10" hidden="0" function="0" vbProcedure="0">#ref!</definedName>
    <definedName name="ticketdate" localSheetId="10" hidden="0" function="0" vbProcedure="0">'[34]Call Sheet'!$AH$1</definedName>
    <definedName name="tickettype" localSheetId="10" hidden="0" function="0" vbProcedure="0">[53]data!#ref!</definedName>
    <definedName name="time" localSheetId="10" hidden="0" function="0" vbProcedure="0">'[93]well test sheet'!#ref!</definedName>
    <definedName name="Time_1" localSheetId="10" hidden="0" function="0" vbProcedure="0">#ref!</definedName>
    <definedName name="Time_1__Time_2" localSheetId="10" hidden="0" function="0" vbProcedure="0">'[282]k factor'!#ref!</definedName>
    <definedName name="Time_2" localSheetId="10" hidden="0" function="0" vbProcedure="0">#ref!</definedName>
    <definedName name="TLCENG" localSheetId="10" hidden="0" function="0" vbProcedure="0">[185]Reference!$D$2</definedName>
    <definedName name="TLDENG" localSheetId="10" hidden="0" function="0" vbProcedure="0">[185]Reference!$C$2</definedName>
    <definedName name="TLDOPS" localSheetId="10" hidden="0" function="0" vbProcedure="0">[185]Reference!$E$2:$E$3</definedName>
    <definedName name="TOL" localSheetId="10" hidden="0" function="0" vbProcedure="0">'[130]Metric Conversions'!$B$28</definedName>
    <definedName name="TOLz" localSheetId="10" hidden="0" function="0" vbProcedure="0">'[11]Liner Job Info'!$I$19</definedName>
    <definedName name="ToolMaterial" localSheetId="10" hidden="0" function="0" vbProcedure="0">[11]DATA!$BN$2:$BN$8</definedName>
    <definedName name="Tool_ID" localSheetId="10" hidden="0" function="0" vbProcedure="0">[11]DATA!$P$2:$P$268</definedName>
    <definedName name="TOPPKRIMG" localSheetId="10" hidden="0" function="0" vbProcedure="0">INDEX([172]PKR!$A$16:$B$17,MATCH([172]INPUT!$G$56,[172]PKR!$A$16:$A$17,0),2)</definedName>
    <definedName name="TOPPKRIMG_1" localSheetId="10" hidden="0" function="0" vbProcedure="0">INDEX([161]PKR!$A$16:$B$18,MATCH([161]INPUT!$G$56,[161]PKR!$A$16:$A$18,0),2)</definedName>
    <definedName name="Top_Drive_y_n" localSheetId="10" hidden="0" function="0" vbProcedure="0">'[45]liner job info'!#ref!</definedName>
    <definedName name="Top_Perf._TVD" localSheetId="10" hidden="0" function="0" vbProcedure="0">'[108]Pre-Job Info Sheet'!$B$30</definedName>
    <definedName name="Top_Perforation" localSheetId="10" hidden="0" function="0" vbProcedure="0">'[108]Pre-Job Info Sheet'!$B$28</definedName>
    <definedName name="Total_DP_Wt" localSheetId="10" hidden="0" function="0" vbProcedure="0">'[11]Weight Calculations'!$H$13</definedName>
    <definedName name="Total_Length_of_BHA" localSheetId="10" hidden="0" function="0" vbProcedure="0">'[108]TCP-BHA'!$H$47</definedName>
    <definedName name="TOT_ANN_CAP" localSheetId="10" hidden="0" function="0" vbProcedure="0">'[113]#REF'!$G$189</definedName>
    <definedName name="Tot_Bottoms_Upz" localSheetId="10" hidden="0" function="0" vbProcedure="0">'[11]Metric Conversions'!$C$90</definedName>
    <definedName name="TOT_CAP_HOLE" localSheetId="10" hidden="0" function="0" vbProcedure="0">'[113]#REF'!$G$190</definedName>
    <definedName name="Tot_DP_Vol" localSheetId="10" hidden="0" function="0" vbProcedure="0">'[11]Metric Conversions'!$B$75</definedName>
    <definedName name="Tot_DP_Volz" localSheetId="10" hidden="0" function="0" vbProcedure="0">'[11]Metric Conversions'!$C$75</definedName>
    <definedName name="Tot_Liner_Wt" localSheetId="10" hidden="0" function="0" vbProcedure="0">'[11]Weight Calculations'!$H$18</definedName>
    <definedName name="Tot_Lnr_Vol_to_LC" localSheetId="10" hidden="0" function="0" vbProcedure="0">'[11]Metric Conversions'!$B$79</definedName>
    <definedName name="Tot_Lnr_Vol_to_LCz" localSheetId="10" hidden="0" function="0" vbProcedure="0">'[11]Metric Conversions'!$C$79</definedName>
    <definedName name="TOT_SAND_2B_PUMPED" localSheetId="10" hidden="0" function="0" vbProcedure="0">'[6]#ref'!#ref!</definedName>
    <definedName name="TOT_SAND_COV_BLANK" localSheetId="10" hidden="0" function="0" vbProcedure="0">'[113]#REF'!$H$136</definedName>
    <definedName name="TOT_SAND_COV_SCREEN" localSheetId="10" hidden="0" function="0" vbProcedure="0">'[113]#REF'!$H$135</definedName>
    <definedName name="TOT_SAND_IN_PERFS" localSheetId="10" hidden="0" function="0" vbProcedure="0">'[113]#REF'!$F$137</definedName>
    <definedName name="TOT_SAND_PLACED" localSheetId="10" hidden="0" function="0" vbProcedure="0">'[113]#REF'!$F$131</definedName>
    <definedName name="TOT_SAND_REVOUT" localSheetId="10" hidden="0" function="0" vbProcedure="0">'[6]#ref'!#ref!</definedName>
    <definedName name="Tot_Vol_to_Bump_Plugs" localSheetId="10" hidden="0" function="0" vbProcedure="0">'[11]Metric Conversions'!$B$80</definedName>
    <definedName name="Tot_Vol_to_Bump_Plugsz" localSheetId="10" hidden="0" function="0" vbProcedure="0">'[11]Metric Conversions'!$C$80</definedName>
    <definedName name="Tot_Vol_to_Shoez" localSheetId="10" hidden="0" function="0" vbProcedure="0">'[11]Metric Conversions'!$C$81</definedName>
    <definedName name="tpermit" localSheetId="10" hidden="0" function="0" vbProcedure="0">[157]Control!$D$5</definedName>
    <definedName name="TQW" localSheetId="10" hidden="0" function="0" vbProcedure="0">'FINAL TALLY'!TQW</definedName>
    <definedName name="tr" localSheetId="10" hidden="0" function="0" vbProcedure="0">null</definedName>
    <definedName name="transport" localSheetId="10" hidden="0" function="0" vbProcedure="0">[53]data!#ref!</definedName>
    <definedName name="treatment" localSheetId="10" hidden="0" function="0" vbProcedure="0">[53]data!#ref!</definedName>
    <definedName name="try" localSheetId="10" hidden="0" function="0" vbProcedure="0">[173]Calculos!$K$3:$V$31</definedName>
    <definedName name="TR_Column" localSheetId="10" hidden="0" function="0" vbProcedure="0">null</definedName>
    <definedName name="TR_Unit" localSheetId="10" hidden="0" function="0" vbProcedure="0">null</definedName>
    <definedName name="tshoe" localSheetId="10" hidden="0" function="0" vbProcedure="0">[157]Drillers!$Q$20</definedName>
    <definedName name="tsize" localSheetId="10" hidden="0" function="0" vbProcedure="0">[157]Control!$D$7</definedName>
    <definedName name="TST" localSheetId="10" hidden="0" function="0" vbProcedure="0">'[30]Liner Job Info'!$O$5</definedName>
    <definedName name="tstickup" localSheetId="10" hidden="0" function="0" vbProcedure="0">[157]Drillers!$O$20</definedName>
    <definedName name="TS_pricelist" localSheetId="10" hidden="0" function="0" vbProcedure="0">[139]Pricelist!$A$57:$B$65</definedName>
    <definedName name="Tubing" localSheetId="10" hidden="0" function="0" vbProcedure="0">[174]Tubing!$B$7:$I$142</definedName>
    <definedName name="TubingAverage" localSheetId="10" hidden="0" function="0" vbProcedure="0">((SUM([26]!NosOfTubing))-(MakeupLoss*COUNT([26]!NosOfTubing)))/COUNT([26]!NosOfTubing)</definedName>
    <definedName name="tubingInfo" localSheetId="10" hidden="0" function="0" vbProcedure="0">#ref!</definedName>
    <definedName name="TubingLength" localSheetId="10" hidden="0" function="0" vbProcedure="0">#ref!</definedName>
    <definedName name="tubingmat" localSheetId="10" hidden="0" function="0" vbProcedure="0">#ref!</definedName>
    <definedName name="TubingOD" localSheetId="10" hidden="0" function="0" vbProcedure="0">[94]Lists!$AH$3:$AH$297</definedName>
    <definedName name="tubingSG" localSheetId="10" hidden="0" function="0" vbProcedure="0">#ref!</definedName>
    <definedName name="tubingsize" localSheetId="10" hidden="0" function="0" vbProcedure="0">#ref!</definedName>
    <definedName name="TubingSizes" localSheetId="10" hidden="0" function="0" vbProcedure="0">[94]Lists!$H$2:$H$14</definedName>
    <definedName name="tubingtype" localSheetId="10" hidden="0" function="0" vbProcedure="0">#ref!</definedName>
    <definedName name="tubingW" localSheetId="10" hidden="0" function="0" vbProcedure="0">#ref!</definedName>
    <definedName name="tubingweight" localSheetId="10" hidden="0" function="0" vbProcedure="0">[83]!TubTable[id LIST (in)]</definedName>
    <definedName name="tubingweigth" localSheetId="10" hidden="0" function="0" vbProcedure="0">#ref!</definedName>
    <definedName name="TVD_MID_PERF" localSheetId="10" hidden="0" function="0" vbProcedure="0">'[113]#REF'!$F$25</definedName>
    <definedName name="TV_TVD" localSheetId="10" hidden="0" function="0" vbProcedure="0">'[108]Tester Valve Calcs'!$F$20</definedName>
    <definedName name="TV_Vol" localSheetId="10" hidden="0" function="0" vbProcedure="0">'[108]Tester Valve Calcs'!$M$17</definedName>
    <definedName name="tweight" localSheetId="10" hidden="0" function="0" vbProcedure="0">[157]Control!$D$8</definedName>
    <definedName name="twell" localSheetId="10" hidden="0" function="0" vbProcedure="0">[157]Control!$D$4</definedName>
    <definedName name="twstes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10" hidden="0" function="0" vbProcedure="0">'FINAL TALLY'!TYJEJE</definedName>
    <definedName name="TYPE" localSheetId="10" hidden="0" function="0" vbProcedure="0">[187]References!$F$1:$F$2</definedName>
    <definedName name="TYPEOFPLUG" localSheetId="10" hidden="0" function="0" vbProcedure="0">'[193]DATA CALL OUT'!$C$1:$C$65536</definedName>
    <definedName name="T_ABOP" localSheetId="10" hidden="0" function="0" vbProcedure="0">'[94]Physical Barrier Check Form'!$B$15</definedName>
    <definedName name="T_BFluidColumn" localSheetId="10" hidden="0" function="0" vbProcedure="0">'[94]Physical Barrier Check Form'!$B$19</definedName>
    <definedName name="T_BHP" localSheetId="10" hidden="0" function="0" vbProcedure="0">'[94]Job Technical Info'!$A$42</definedName>
    <definedName name="T_BHT" localSheetId="10" hidden="0" function="0" vbProcedure="0">'[94]Job Technical Info'!$C$42</definedName>
    <definedName name="T_Casing1" localSheetId="10" hidden="0" function="0" vbProcedure="0">'[94]Job Technical Info'!$B$25</definedName>
    <definedName name="T_Casing2" localSheetId="10" hidden="0" function="0" vbProcedure="0">'[94]Job Technical Info'!$B$26</definedName>
    <definedName name="T_Casing3" localSheetId="10" hidden="0" function="0" vbProcedure="0">'[94]Job Technical Info'!$B$27</definedName>
    <definedName name="T_Casing4" localSheetId="10" hidden="0" function="0" vbProcedure="0">'[94]Job Technical Info'!$B$28</definedName>
    <definedName name="T_Ccasing" localSheetId="10" hidden="0" function="0" vbProcedure="0">'[94]Physical Barrier Check Form'!$B$23</definedName>
    <definedName name="T_CustomerProject" localSheetId="10" hidden="0" function="0" vbProcedure="0">[94]Schematic!$A$8</definedName>
    <definedName name="T_C_H" localSheetId="10" hidden="0" function="0" vbProcedure="0">'[47]12(762mm)套管'!#ref!</definedName>
    <definedName name="T_Description" localSheetId="10" hidden="0" function="0" vbProcedure="0">[94]Schematic!$D$31</definedName>
    <definedName name="T_District" localSheetId="10" hidden="0" function="0" vbProcedure="0">'[94]Physical Barrier Check Form'!$B$4</definedName>
    <definedName name="T_DProductionPacker" localSheetId="10" hidden="0" function="0" vbProcedure="0">'[94]Physical Barrier Check Form'!$B$27</definedName>
    <definedName name="T_Drift" localSheetId="10" hidden="0" function="0" vbProcedure="0">'[94]Job Technical Info'!$G$23</definedName>
    <definedName name="T_Dual" localSheetId="10" hidden="0" function="0" vbProcedure="0">#ref!</definedName>
    <definedName name="T_EBridgePlug" localSheetId="10" hidden="0" function="0" vbProcedure="0">'[94]Physical Barrier Check Form'!$B$31</definedName>
    <definedName name="T_FluidType" localSheetId="10" hidden="0" function="0" vbProcedure="0">'[94]Job Technical Info'!$E$42</definedName>
    <definedName name="T_FluidWeight" localSheetId="10" hidden="0" function="0" vbProcedure="0">'[94]Job Technical Info'!$G$42</definedName>
    <definedName name="T_FOtherBarriers" localSheetId="10" hidden="0" function="0" vbProcedure="0">'[94]Physical Barrier Check Form'!$B$35</definedName>
    <definedName name="T_Grade" localSheetId="10" hidden="0" function="0" vbProcedure="0">'[94]Job Technical Info'!$H$23</definedName>
    <definedName name="T_ID" localSheetId="10" hidden="0" function="0" vbProcedure="0">'[94]Job Technical Info'!$F$23</definedName>
    <definedName name="T_Length" localSheetId="10" hidden="0" function="0" vbProcedure="0">[94]Schematic!$M$31</definedName>
    <definedName name="T_Liner1" localSheetId="10" hidden="0" function="0" vbProcedure="0">'[94]Job Technical Info'!$B$29</definedName>
    <definedName name="T_Liner2" localSheetId="10" hidden="0" function="0" vbProcedure="0">'[94]Job Technical Info'!$B$30</definedName>
    <definedName name="T_MaxDev" localSheetId="10" hidden="0" function="0" vbProcedure="0">[94]Schematic!$M$10</definedName>
    <definedName name="T_No" localSheetId="10" hidden="0" function="0" vbProcedure="0">[94]Schematic!$C$31</definedName>
    <definedName name="T_Notes" localSheetId="10" hidden="0" function="0" vbProcedure="0">'[94]Physical Barrier Check Form'!$H$13</definedName>
    <definedName name="T_OD" localSheetId="10" hidden="0" function="0" vbProcedure="0">'[94]Job Technical Info'!$D$23</definedName>
    <definedName name="T_Thread" localSheetId="10" hidden="0" function="0" vbProcedure="0">'[94]Job Technical Info'!$J$23</definedName>
    <definedName name="T_Tubing1" localSheetId="10" hidden="0" function="0" vbProcedure="0">'[94]Job Technical Info'!$B$35</definedName>
    <definedName name="T_Tubing2" localSheetId="10" hidden="0" function="0" vbProcedure="0">'[94]Job Technical Info'!$B$36</definedName>
    <definedName name="T_Tubing3" localSheetId="10" hidden="0" function="0" vbProcedure="0">'[94]Job Technical Info'!$B$37</definedName>
    <definedName name="T_Tubing4" localSheetId="10" hidden="0" function="0" vbProcedure="0">'[94]Job Technical Info'!$B$38</definedName>
    <definedName name="T_Tubulars" localSheetId="10" hidden="0" function="0" vbProcedure="0">'[94]Job Technical Info'!$B$23</definedName>
    <definedName name="T_Weight" localSheetId="10" hidden="0" function="0" vbProcedure="0">'[94]Job Technical Info'!$E$23</definedName>
    <definedName name="T_Workstring1" localSheetId="10" hidden="0" function="0" vbProcedure="0">'[94]Job Technical Info'!$B$31</definedName>
    <definedName name="T_Workstring2" localSheetId="10" hidden="0" function="0" vbProcedure="0">'[94]Job Technical Info'!$B$32</definedName>
    <definedName name="T_Workstring3" localSheetId="10" hidden="0" function="0" vbProcedure="0">'[94]Job Technical Info'!$B$33</definedName>
    <definedName name="T_Workstring4" localSheetId="10" hidden="0" function="0" vbProcedure="0">'[94]Job Technical Info'!$B$34</definedName>
    <definedName name="U" localSheetId="10" hidden="0" function="0" vbProcedure="0">[176]Lists!$A$1:$A$3</definedName>
    <definedName name="Underbalance" localSheetId="10" hidden="0" function="0" vbProcedure="0">'[108]Job Calculation Sheet'!$H$34</definedName>
    <definedName name="UNI_AA_VERSION" localSheetId="10" hidden="1" function="0" vbProcedure="0">"322.2.0"</definedName>
    <definedName name="Used" localSheetId="10" hidden="0" function="0" vbProcedure="0">[11]DATA!$AR$2:$AR$3</definedName>
    <definedName name="Using_Hanger" localSheetId="10" hidden="0" function="0" vbProcedure="0">'[11]Liner Job Info'!$D$38</definedName>
    <definedName name="Using_Packer" localSheetId="10" hidden="0" function="0" vbProcedure="0">'[11]Liner Job Info'!$P$30</definedName>
    <definedName name="VALIDCURR" localSheetId="10" hidden="0" function="0" vbProcedure="0">[177]Currency!$A$1:$A$170</definedName>
    <definedName name="Vallist" localSheetId="10" hidden="0" function="0" vbProcedure="0">'[11]Casing Info'!$A$2:$A$34</definedName>
    <definedName name="vallist2" localSheetId="10" hidden="0" function="0" vbProcedure="0">#N/A</definedName>
    <definedName name="vbcode.draw_blanks" localSheetId="10" hidden="0" function="0" vbProcedure="0">'FINAL TALLY'!vbcode.draw_blanks</definedName>
    <definedName name="vbcode.draw_linerfirst" localSheetId="10" hidden="0" function="0" vbProcedure="0">'FINAL TALLY'!vbcode.draw_linerfirst</definedName>
    <definedName name="vbcode.draw_linersecond" localSheetId="10" hidden="0" function="0" vbProcedure="0">'FINAL TALLY'!vbcode.draw_linersecond</definedName>
    <definedName name="vbcode.draw_miscellaneous" localSheetId="10" hidden="0" function="0" vbProcedure="0">'FINAL TALLY'!vbcode.draw_miscellaneous</definedName>
    <definedName name="vbcode.draw_productionfirst" localSheetId="10" hidden="0" function="0" vbProcedure="0">'FINAL TALLY'!vbcode.draw_productionfirst</definedName>
    <definedName name="vbcode.draw_productionsecond" localSheetId="10" hidden="0" function="0" vbProcedure="0">'FINAL TALLY'!vbcode.draw_productionsecond</definedName>
    <definedName name="vbcode.draw_quantum" localSheetId="10" hidden="0" function="0" vbProcedure="0">'FINAL TALLY'!vbcode.draw_quantum</definedName>
    <definedName name="vbcode.draw_screens" localSheetId="10" hidden="0" function="0" vbProcedure="0">'FINAL TALLY'!vbcode.draw_screens</definedName>
    <definedName name="vbcode.draw_shearsubs" localSheetId="10" hidden="0" function="0" vbProcedure="0">'FINAL TALLY'!vbcode.draw_shearsubs</definedName>
    <definedName name="vbcode.draw_sump" localSheetId="10" hidden="0" function="0" vbProcedure="0">'FINAL TALLY'!vbcode.draw_sump</definedName>
    <definedName name="vbcode.text_five" localSheetId="10" hidden="0" function="0" vbProcedure="0">'FINAL TALLY'!vbcode.text_five</definedName>
    <definedName name="vbcode.text_fivehalf" localSheetId="10" hidden="0" function="0" vbProcedure="0">'FINAL TALLY'!vbcode.text_fivehalf</definedName>
    <definedName name="vbcode.text_ninefiveeightfourfirst" localSheetId="10" hidden="0" function="0" vbProcedure="0">'FINAL TALLY'!vbcode.text_ninefiveeightfourfirst</definedName>
    <definedName name="vbcode.text_ninefiveeightfoursecond" localSheetId="10" hidden="0" function="0" vbProcedure="0">'FINAL TALLY'!vbcode.text_ninefiveeightfoursecond</definedName>
    <definedName name="vbcode.text_ninefiveeightsixfirst" localSheetId="10" hidden="0" function="0" vbProcedure="0">'FINAL TALLY'!vbcode.text_ninefiveeightsixfirst</definedName>
    <definedName name="vbcode.text_ninefiveeightsixsecond" localSheetId="10" hidden="0" function="0" vbProcedure="0">'FINAL TALLY'!vbcode.text_ninefiveeightsixsecond</definedName>
    <definedName name="vbcode.text_sevenfiveeightfour" localSheetId="10" hidden="0" function="0" vbProcedure="0">'FINAL TALLY'!vbcode.text_sevenfiveeightfour</definedName>
    <definedName name="vbcode.text_sevenfiveeightthree" localSheetId="10" hidden="0" function="0" vbProcedure="0">'FINAL TALLY'!vbcode.text_sevenfiveeightthree</definedName>
    <definedName name="vbcode.text_sevenfour" localSheetId="10" hidden="0" function="0" vbProcedure="0">'FINAL TALLY'!vbcode.text_sevenfour</definedName>
    <definedName name="vbcode.text_seventhree" localSheetId="10" hidden="0" function="0" vbProcedure="0">'FINAL TALLY'!vbcode.text_seventhree</definedName>
    <definedName name="Verticaldepth" localSheetId="10" hidden="0" function="0" vbProcedure="0">'[129]Front Page Info'!$C$18</definedName>
    <definedName name="vfdvf" localSheetId="10" hidden="0" function="0" vbProcedure="0">[174]!Macro61</definedName>
    <definedName name="volume1" localSheetId="10" hidden="0" function="0" vbProcedure="0">{#N/A,#N/A,FALSE,"Volume"}</definedName>
    <definedName name="VOL_MULE_SHOE" localSheetId="10" hidden="0" function="0" vbProcedure="0">'[113]#REF'!$F$178</definedName>
    <definedName name="VS" localSheetId="10" hidden="0" function="0" vbProcedure="0">'[95]MACRO125 '!$F$6</definedName>
    <definedName name="vvv" localSheetId="10" hidden="0" function="0" vbProcedure="0">[119]钻井日报表!$E$7</definedName>
    <definedName name="vvvdf" localSheetId="10" hidden="0" function="0" vbProcedure="0">[119]钻井日报表!$G$8</definedName>
    <definedName name="vvvvv" localSheetId="10" hidden="0" function="0" vbProcedure="0">[79]!Macro60</definedName>
    <definedName name="w" localSheetId="10" hidden="0" function="0" vbProcedure="0">'[298]run sheet'!#ref!</definedName>
    <definedName name="WBJobRev" localSheetId="10" hidden="0" function="0" vbProcedure="0">'[94]Job Technical Info'!$C$11</definedName>
    <definedName name="Weak_DP" localSheetId="10" hidden="0" function="0" vbProcedure="0">'[11]Weight Calculations'!$V$63</definedName>
    <definedName name="Weak_link" localSheetId="10" hidden="0" function="0" vbProcedure="0">'[11]Weight Calculations'!$R$61</definedName>
    <definedName name="Week" localSheetId="10" hidden="0" function="0" vbProcedure="0">[18]Criteria!$A$2:$A$51</definedName>
    <definedName name="weight" localSheetId="10" hidden="0" function="0" vbProcedure="0">'[7]Drop-Down Items'!$M$7:$M$10</definedName>
    <definedName name="well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10" hidden="0" function="0" vbProcedure="0">[186]Data!$K$1:$K$65536</definedName>
    <definedName name="Welllocation1" localSheetId="10" hidden="0" function="0" vbProcedure="0">[186]Data!$M$1:$M$65536</definedName>
    <definedName name="WellMD" localSheetId="10" hidden="0" function="0" vbProcedure="0">'[94]Job Technical Info'!$H$41</definedName>
    <definedName name="WellNo" localSheetId="10" hidden="0" function="0" vbProcedure="0">'[88]Report Long(Esso)'!$E$2</definedName>
    <definedName name="Wells" localSheetId="10" hidden="0" function="0" vbProcedure="0">[299]welltest!#ref!</definedName>
    <definedName name="WellTVD" localSheetId="10" hidden="0" function="0" vbProcedure="0">'[94]Job Technical Info'!$J$41</definedName>
    <definedName name="welltype" localSheetId="10" hidden="0" function="0" vbProcedure="0">'[113]#REF'!$F$18</definedName>
    <definedName name="Welltype2" localSheetId="10" hidden="0" function="0" vbProcedure="0">[178]Data!$H$1:$H$65536</definedName>
    <definedName name="Well_Name" localSheetId="10" hidden="0" function="0" vbProcedure="0">'[108]TCP-BHA'!$C$7</definedName>
    <definedName name="Well_Number" localSheetId="10" hidden="0" function="0" vbProcedure="0">'[62]Liner Job Info'!$E$6</definedName>
    <definedName name="well_type" localSheetId="10" hidden="0" function="0" vbProcedure="0">'[7]Drop-Down Items'!$D$43:$D$48</definedName>
    <definedName name="Well_Type__Oil_Gas" localSheetId="10" hidden="0" function="0" vbProcedure="0">'[108]Pre-Job Info Sheet'!$B$31</definedName>
    <definedName name="WHP" localSheetId="10" hidden="0" function="0" vbProcedure="0">#ref!</definedName>
    <definedName name="wht" localSheetId="10" hidden="0" function="0" vbProcedure="0">'[93]well test sheet'!#ref!</definedName>
    <definedName name="wiperplugunity" localSheetId="10" hidden="0" function="0" vbProcedure="0">[11]Test!$G$18</definedName>
    <definedName name="WkstrDrift1" localSheetId="10" hidden="0" function="0" vbProcedure="0">'[94]Job Technical Info'!$G$31</definedName>
    <definedName name="WkstrDrift2" localSheetId="10" hidden="0" function="0" vbProcedure="0">'[94]Job Technical Info'!$G$32</definedName>
    <definedName name="WkstrDrift3" localSheetId="10" hidden="0" function="0" vbProcedure="0">'[94]Job Technical Info'!$G$33</definedName>
    <definedName name="WkstrDrift4" localSheetId="10" hidden="0" function="0" vbProcedure="0">'[94]Job Technical Info'!$G$34</definedName>
    <definedName name="WkstrGrd1" localSheetId="10" hidden="0" function="0" vbProcedure="0">'[94]Job Technical Info'!$H$31</definedName>
    <definedName name="WkstrGrd2" localSheetId="10" hidden="0" function="0" vbProcedure="0">'[94]Job Technical Info'!$H$32</definedName>
    <definedName name="WkstrGrd3" localSheetId="10" hidden="0" function="0" vbProcedure="0">'[94]Job Technical Info'!$H$33</definedName>
    <definedName name="WkstrGrd4" localSheetId="10" hidden="0" function="0" vbProcedure="0">'[94]Job Technical Info'!$H$34</definedName>
    <definedName name="WkstrID1" localSheetId="10" hidden="0" function="0" vbProcedure="0">'[94]Job Technical Info'!$F$31</definedName>
    <definedName name="WkstrID2" localSheetId="10" hidden="0" function="0" vbProcedure="0">'[94]Job Technical Info'!$F$32</definedName>
    <definedName name="WkstrID3" localSheetId="10" hidden="0" function="0" vbProcedure="0">'[94]Job Technical Info'!$F$33</definedName>
    <definedName name="WkstrID4" localSheetId="10" hidden="0" function="0" vbProcedure="0">'[94]Job Technical Info'!$F$34</definedName>
    <definedName name="WkstrSz1" localSheetId="10" hidden="0" function="0" vbProcedure="0">'[94]Job Technical Info'!$D$31</definedName>
    <definedName name="WkstrSz2" localSheetId="10" hidden="0" function="0" vbProcedure="0">'[94]Job Technical Info'!$D$32</definedName>
    <definedName name="WkstrSz3" localSheetId="10" hidden="0" function="0" vbProcedure="0">'[94]Job Technical Info'!$D$33</definedName>
    <definedName name="WkstrSz4" localSheetId="10" hidden="0" function="0" vbProcedure="0">'[94]Job Technical Info'!$D$34</definedName>
    <definedName name="WkstrThd1" localSheetId="10" hidden="0" function="0" vbProcedure="0">'[94]Job Technical Info'!$J$31</definedName>
    <definedName name="WkstrThd2" localSheetId="10" hidden="0" function="0" vbProcedure="0">'[94]Job Technical Info'!$J$32</definedName>
    <definedName name="WkstrThd3" localSheetId="10" hidden="0" function="0" vbProcedure="0">'[94]Job Technical Info'!$J$33</definedName>
    <definedName name="WkstrThd4" localSheetId="10" hidden="0" function="0" vbProcedure="0">'[94]Job Technical Info'!$J$34</definedName>
    <definedName name="WkstrWt1" localSheetId="10" hidden="0" function="0" vbProcedure="0">'[94]Job Technical Info'!$E$31</definedName>
    <definedName name="WkstrWt2" localSheetId="10" hidden="0" function="0" vbProcedure="0">'[94]Job Technical Info'!$E$32</definedName>
    <definedName name="WkstrWt3" localSheetId="10" hidden="0" function="0" vbProcedure="0">'[94]Job Technical Info'!$E$33</definedName>
    <definedName name="WkstrWt4" localSheetId="10" hidden="0" function="0" vbProcedure="0">'[94]Job Technical Info'!$E$34</definedName>
    <definedName name="workstringid" localSheetId="10" hidden="0" function="0" vbProcedure="0">'[113]#REF'!$H$12</definedName>
    <definedName name="workstringidref" localSheetId="10" hidden="0" function="0" vbProcedure="0">[106]Data!$GC$3</definedName>
    <definedName name="workstringlength" localSheetId="10" hidden="0" function="0" vbProcedure="0">'[113]#REF'!$J$12</definedName>
    <definedName name="workstringod" localSheetId="10" hidden="0" function="0" vbProcedure="0">'[113]#REF'!$F$12</definedName>
    <definedName name="workstringtable" localSheetId="10" hidden="0" function="0" vbProcedure="0">[83]!CasingTable[#data]</definedName>
    <definedName name="workstringwt" localSheetId="10" hidden="0" function="0" vbProcedure="0">'[113]#REF'!$M$12</definedName>
    <definedName name="Workstring_Grade" localSheetId="10" hidden="0" function="0" vbProcedure="0">'[108]Pre-Job Info Sheet'!$D$27</definedName>
    <definedName name="Workstring_ID" localSheetId="10" hidden="0" function="0" vbProcedure="0">'[108]Job Calculation Sheet'!$F$16</definedName>
    <definedName name="Workstring_Length" localSheetId="10" hidden="0" function="0" vbProcedure="0">'[108]TCP-BHA'!$G$12</definedName>
    <definedName name="Workstring_Size" localSheetId="10" hidden="0" function="0" vbProcedure="0">'[108]Pre-Job Info Sheet'!$D$25</definedName>
    <definedName name="Workstring_Type" localSheetId="10" hidden="0" function="0" vbProcedure="0">'[108]Pre-Job Info Sheet'!$D$24</definedName>
    <definedName name="Workstring_Wt._Ft." localSheetId="10" hidden="0" function="0" vbProcedure="0">'[108]Pre-Job Info Sheet'!$D$26</definedName>
    <definedName name="wrn.ASDF." localSheetId="10" hidden="1" function="0" vbProcedure="0">{#N/A,#N/A,FALSE,"SHEET 1";#N/A,#N/A,FALSE,"Sheet4"}</definedName>
    <definedName name="wrn.AT._.Reports." localSheetId="10" hidden="1" function="0" vbProcedure="0">{#N/A,#N/A,FALSE,"Drlg Param Run 1-1";#N/A,#N/A,FALSE,"DDR (3)";#N/A,#N/A,FALSE,"BHA AT (1)";#N/A,#N/A,FALSE,"Downlinkbha";#N/A,#N/A,FALSE,"Job Status Report"}</definedName>
    <definedName name="wrn.CD_MST." localSheetId="10" hidden="1" function="0" vbProcedure="0">{#N/A,#N/A,FALSE,"Sheet1"}</definedName>
    <definedName name="wrn.DST_TCP." localSheetId="10" hidden="1" function="0" vbProcedure="0">{#N/A,#N/A,FALSE,"INFO";#N/A,#N/A,FALSE,"PCT";#N/A,#N/A,FALSE,"DISCS";#N/A,#N/A,FALSE,"DISC TABLE";#N/A,#N/A,FALSE,"CUSHION";#N/A,#N/A,FALSE,"HYDRAULICS";#N/A,#N/A,FALSE,"MCCV";#N/A,#N/A,FALSE,"HDF";#N/A,#N/A,FALSE,"GUNS";#N/A,#N/A,FALSE,"GUNDATA"}</definedName>
    <definedName name="wrn.FULL._.DTL." localSheetId="10" hidden="1" function="0" vbProcedure="0">{"CF",#N/A,FALSE,"FULL COST";"MANUFACT",#N/A,FALSE,"FULL COST";"PAYNMENT",#N/A,FALSE,"FULL COST"}</definedName>
    <definedName name="wrn.FULLSUM." localSheetId="10" hidden="1" function="0" vbProcedure="0">{#N/A,#N/A,FALSE,"SUM-1";#N/A,#N/A,FALSE,"SUM-2";#N/A,#N/A,FALSE,"TENDER"}</definedName>
    <definedName name="wrn.ratios." localSheetId="10" hidden="1" function="0" vbProcedure="0">{"raatios",#N/A,FALSE,"A";"ratios",#N/A,FALSE,"B";"ratios",#N/A,FALSE,"C";"ratios",#N/A,FALSE,"D";"ratios",#N/A,FALSE,"F"}</definedName>
    <definedName name="wrn.SUMMARY." localSheetId="10" hidden="1" function="0" vbProcedure="0">{#N/A,#N/A,FALSE,"JUNK"}</definedName>
    <definedName name="wrn.VOLUME." localSheetId="10" hidden="0" function="0" vbProcedure="0">{#N/A,#N/A,FALSE,"Volume"}</definedName>
    <definedName name="wrn.volume.2" localSheetId="10" hidden="0" function="0" vbProcedure="0">{#N/A,#N/A,FALSE,"Volume"}</definedName>
    <definedName name="wrn.volume.2_1" localSheetId="10" hidden="0" function="0" vbProcedure="0">{#N/A,#N/A,FALSE,"Volume"}</definedName>
    <definedName name="wrn.volume.2_2" localSheetId="10" hidden="0" function="0" vbProcedure="0">{#N/A,#N/A,FALSE,"Volume"}</definedName>
    <definedName name="wrn.volume.2_3" localSheetId="10" hidden="0" function="0" vbProcedure="0">{#N/A,#N/A,FALSE,"Volume"}</definedName>
    <definedName name="wrn.volume.2_4" localSheetId="10" hidden="0" function="0" vbProcedure="0">{#N/A,#N/A,FALSE,"Volume"}</definedName>
    <definedName name="wrn.volume.2_5" localSheetId="10" hidden="0" function="0" vbProcedure="0">{#N/A,#N/A,FALSE,"Volume"}</definedName>
    <definedName name="wrn.volume.3" localSheetId="10" hidden="0" function="0" vbProcedure="0">{#N/A,#N/A,FALSE,"Volume"}</definedName>
    <definedName name="wrn.volume.3_1" localSheetId="10" hidden="0" function="0" vbProcedure="0">{#N/A,#N/A,FALSE,"Volume"}</definedName>
    <definedName name="wrn.volume.3_2" localSheetId="10" hidden="0" function="0" vbProcedure="0">{#N/A,#N/A,FALSE,"Volume"}</definedName>
    <definedName name="wrn.volume.3_3" localSheetId="10" hidden="0" function="0" vbProcedure="0">{#N/A,#N/A,FALSE,"Volume"}</definedName>
    <definedName name="wrn.volume.3_4" localSheetId="10" hidden="0" function="0" vbProcedure="0">{#N/A,#N/A,FALSE,"Volume"}</definedName>
    <definedName name="wrn.volume.3_5" localSheetId="10" hidden="0" function="0" vbProcedure="0">{#N/A,#N/A,FALSE,"Volume"}</definedName>
    <definedName name="wrn.VOLUME._1" localSheetId="10" hidden="0" function="0" vbProcedure="0">{#N/A,#N/A,FALSE,"Volume"}</definedName>
    <definedName name="wrn.VOLUME._2" localSheetId="10" hidden="0" function="0" vbProcedure="0">{#N/A,#N/A,FALSE,"Volume"}</definedName>
    <definedName name="wrn.VOLUME._3" localSheetId="10" hidden="0" function="0" vbProcedure="0">{#N/A,#N/A,FALSE,"Volume"}</definedName>
    <definedName name="wrn.VOLUME._4" localSheetId="10" hidden="0" function="0" vbProcedure="0">{#N/A,#N/A,FALSE,"Volume"}</definedName>
    <definedName name="wrn.VOLUME._5" localSheetId="10" hidden="0" function="0" vbProcedure="0">{#N/A,#N/A,FALSE,"Volume"}</definedName>
    <definedName name="WRN.VULUME" localSheetId="10" hidden="0" function="0" vbProcedure="0">{#N/A,#N/A,FALSE,"Volume"}</definedName>
    <definedName name="wrn.Wellplan."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0" hidden="1" function="0" vbProcedure="0">{#N/A,#N/A,FALSE,"SHEET 1";#N/A,#N/A,FALSE,"Sheet4"}</definedName>
    <definedName name="wscolumn" localSheetId="10" hidden="0" function="0" vbProcedure="0">[106]Data!$W$19</definedName>
    <definedName name="WS_ID" localSheetId="10" hidden="0" function="0" vbProcedure="0">'[113]#REF'!$H$12</definedName>
    <definedName name="WS_LENGTH" localSheetId="10" hidden="0" function="0" vbProcedure="0">'[113]#REF'!$J$12</definedName>
    <definedName name="WS_OD" localSheetId="10" hidden="0" function="0" vbProcedure="0">'[113]#REF'!$F$12</definedName>
    <definedName name="wt" localSheetId="10" hidden="0" function="0" vbProcedure="0">'[115]Max-Torq'!$P$64</definedName>
    <definedName name="wtcasing" localSheetId="10" hidden="0" function="0" vbProcedure="0">[106]Data!$J$19</definedName>
    <definedName name="wtr_cumm" localSheetId="10" hidden="0" function="0" vbProcedure="0">'[93]well test sheet'!#ref!</definedName>
    <definedName name="wtr_rate" localSheetId="10" hidden="0" function="0" vbProcedure="0">'[93]well test sheet'!#ref!</definedName>
    <definedName name="wtworkstring" localSheetId="10" hidden="0" function="0" vbProcedure="0">[106]Data!$W$21</definedName>
    <definedName name="Wtype" localSheetId="10" hidden="0" function="0" vbProcedure="0">'[11]Liner Job Info'!$E$9</definedName>
    <definedName name="Wt_Bouyant" localSheetId="10" hidden="0" function="0" vbProcedure="0">'[108]Packer Calculation Sheet'!$I$34</definedName>
    <definedName name="Wt_w_Cmt" localSheetId="10" hidden="0" function="0" vbProcedure="0">'[11]Liner Job Info'!$D$34</definedName>
    <definedName name="Wt_W_Pkr_Tst" localSheetId="10" hidden="0" function="0" vbProcedure="0">'[11]Liner Job Info'!$D$36</definedName>
    <definedName name="X" localSheetId="10" hidden="0" function="0" vbProcedure="0">#ref!</definedName>
    <definedName name="X5_TO" localSheetId="10" hidden="0" function="0" vbProcedure="0">[129]RSS!$C$197</definedName>
    <definedName name="XCEED_TO" localSheetId="10" hidden="0" function="0" vbProcedure="0">[129]RSS!$G$201</definedName>
    <definedName name="XO" localSheetId="10" hidden="0" function="0" vbProcedure="0">#ref!</definedName>
    <definedName name="xoportdepth" localSheetId="10" hidden="0" function="0" vbProcedure="0">'[113]#REF'!$F$21</definedName>
    <definedName name="XO_DEPTH" localSheetId="10" hidden="0" function="0" vbProcedure="0">'[113]#REF'!$F$21</definedName>
    <definedName name="XO_PORT_DEPTH" localSheetId="10" hidden="0" function="0" vbProcedure="0">'[113]#REF'!$F$21</definedName>
    <definedName name="XTRA_TO" localSheetId="10" hidden="0" function="0" vbProcedure="0">[129]RSS!$E$201</definedName>
    <definedName name="xxx" localSheetId="10" hidden="0" function="0" vbProcedure="0">[139]tonmiles!#ref!</definedName>
    <definedName name="xxxx" localSheetId="10" hidden="0" function="0" vbProcedure="0">[301]!Macro46</definedName>
    <definedName name="Y" localSheetId="10" hidden="0" function="0" vbProcedure="0">'[302]#ref'!#ref!</definedName>
    <definedName name="YESNO" localSheetId="10" hidden="0" function="0" vbProcedure="0">[129]RSS!$E$139:$E$141</definedName>
    <definedName name="YJEJD" localSheetId="10" hidden="0" function="0" vbProcedure="0">'FINAL TALLY'!YJEJD</definedName>
    <definedName name="yp" localSheetId="10" hidden="0" function="0" vbProcedure="0">'[115]Max-Torq'!$N$59</definedName>
    <definedName name="ypa" localSheetId="10" hidden="0" function="0" vbProcedure="0">'[115]Max-Torq'!$P$63</definedName>
    <definedName name="ypdtr" localSheetId="10" hidden="0" function="0" vbProcedure="0">'[115]Max-Torq'!$P$70</definedName>
    <definedName name="yyyyyyyyyyyy" localSheetId="10" hidden="1" function="0" vbProcedure="0">{"raatios",#N/A,FALSE,"A";"ratios",#N/A,FALSE,"B";"ratios",#N/A,FALSE,"C";"ratios",#N/A,FALSE,"D";"ratios",#N/A,FALSE,"F"}</definedName>
    <definedName name="Z" localSheetId="10" hidden="0" function="0" vbProcedure="0">#ref!</definedName>
    <definedName name="zone" localSheetId="10" hidden="0" function="0" vbProcedure="0">[5]WTR!$L$4</definedName>
    <definedName name="Zone1BHP" localSheetId="10" hidden="0" function="0" vbProcedure="0">'[94]Job Technical Info'!$G$49</definedName>
    <definedName name="Zone1BHT" localSheetId="10" hidden="0" function="0" vbProcedure="0">'[94]Job Technical Info'!$H$49</definedName>
    <definedName name="Zone1Bottom" localSheetId="10" hidden="0" function="0" vbProcedure="0">'[94]Job Technical Info'!$E$49</definedName>
    <definedName name="Zone1Dev" localSheetId="10" hidden="0" function="0" vbProcedure="0">'[94]Job Technical Info'!$F$49</definedName>
    <definedName name="Zone1FluidType" localSheetId="10" hidden="0" function="0" vbProcedure="0">'[94]Job Technical Info'!$I$49</definedName>
    <definedName name="Zone1FluidWt" localSheetId="10" hidden="0" function="0" vbProcedure="0">'[94]Job Technical Info'!$J$49</definedName>
    <definedName name="Zone1Name" localSheetId="10" hidden="0" function="0" vbProcedure="0">'[94]Job Technical Info'!$C$49</definedName>
    <definedName name="Zone1Top" localSheetId="10" hidden="0" function="0" vbProcedure="0">'[94]Job Technical Info'!$D$49</definedName>
    <definedName name="Zone2BHP" localSheetId="10" hidden="0" function="0" vbProcedure="0">'[94]Job Technical Info'!$G$50</definedName>
    <definedName name="Zone2BHT" localSheetId="10" hidden="0" function="0" vbProcedure="0">'[94]Job Technical Info'!$H$50</definedName>
    <definedName name="Zone2Bottom" localSheetId="10" hidden="0" function="0" vbProcedure="0">'[94]Job Technical Info'!$E$50</definedName>
    <definedName name="Zone2Dev" localSheetId="10" hidden="0" function="0" vbProcedure="0">'[94]Job Technical Info'!$F$50</definedName>
    <definedName name="Zone2FluidType" localSheetId="10" hidden="0" function="0" vbProcedure="0">'[94]Job Technical Info'!$I$50</definedName>
    <definedName name="Zone2FluidWt" localSheetId="10" hidden="0" function="0" vbProcedure="0">'[94]Job Technical Info'!$J$50</definedName>
    <definedName name="Zone2Name" localSheetId="10" hidden="0" function="0" vbProcedure="0">'[94]Job Technical Info'!$C$50</definedName>
    <definedName name="Zone2Top" localSheetId="10" hidden="0" function="0" vbProcedure="0">'[94]Job Technical Info'!$D$50</definedName>
    <definedName name="Zone3BHP" localSheetId="10" hidden="0" function="0" vbProcedure="0">'[94]Job Technical Info'!$G$51</definedName>
    <definedName name="Zone3BHT" localSheetId="10" hidden="0" function="0" vbProcedure="0">'[94]Job Technical Info'!$H$51</definedName>
    <definedName name="Zone3Bottom" localSheetId="10" hidden="0" function="0" vbProcedure="0">'[94]Job Technical Info'!$E$51</definedName>
    <definedName name="Zone3Dev" localSheetId="10" hidden="0" function="0" vbProcedure="0">'[94]Job Technical Info'!$F$51</definedName>
    <definedName name="Zone3FluidType" localSheetId="10" hidden="0" function="0" vbProcedure="0">'[94]Job Technical Info'!$I$51</definedName>
    <definedName name="Zone3FluidWt" localSheetId="10" hidden="0" function="0" vbProcedure="0">'[94]Job Technical Info'!$J$51</definedName>
    <definedName name="Zone3Name" localSheetId="10" hidden="0" function="0" vbProcedure="0">'[94]Job Technical Info'!$C$51</definedName>
    <definedName name="Zone3Top" localSheetId="10" hidden="0" function="0" vbProcedure="0">'[94]Job Technical Info'!$D$51</definedName>
    <definedName name="Zone4BHP" localSheetId="10" hidden="0" function="0" vbProcedure="0">'[94]Job Technical Info'!$G$52</definedName>
    <definedName name="Zone4BHT" localSheetId="10" hidden="0" function="0" vbProcedure="0">'[94]Job Technical Info'!$H$52</definedName>
    <definedName name="Zone4Bottom" localSheetId="10" hidden="0" function="0" vbProcedure="0">'[94]Job Technical Info'!$E$52</definedName>
    <definedName name="Zone4Dev" localSheetId="10" hidden="0" function="0" vbProcedure="0">'[94]Job Technical Info'!$F$52</definedName>
    <definedName name="Zone4FluidType" localSheetId="10" hidden="0" function="0" vbProcedure="0">'[94]Job Technical Info'!$I$52</definedName>
    <definedName name="Zone4FluidWt" localSheetId="10" hidden="0" function="0" vbProcedure="0">'[94]Job Technical Info'!$J$52</definedName>
    <definedName name="Zone4Name" localSheetId="10" hidden="0" function="0" vbProcedure="0">'[94]Job Technical Info'!$C$52</definedName>
    <definedName name="Zone4Top" localSheetId="10" hidden="0" function="0" vbProcedure="0">'[94]Job Technical Info'!$D$52</definedName>
    <definedName name="Zone5BHP" localSheetId="10" hidden="0" function="0" vbProcedure="0">'[94]Job Technical Info'!$G$53</definedName>
    <definedName name="Zone5BHT" localSheetId="10" hidden="0" function="0" vbProcedure="0">'[94]Job Technical Info'!$H$53</definedName>
    <definedName name="Zone5Bottom" localSheetId="10" hidden="0" function="0" vbProcedure="0">'[94]Job Technical Info'!$E$53</definedName>
    <definedName name="Zone5Dev" localSheetId="10" hidden="0" function="0" vbProcedure="0">'[94]Job Technical Info'!$F$53</definedName>
    <definedName name="Zone5FluidType" localSheetId="10" hidden="0" function="0" vbProcedure="0">'[94]Job Technical Info'!$I$53</definedName>
    <definedName name="Zone5FluidWt" localSheetId="10" hidden="0" function="0" vbProcedure="0">'[94]Job Technical Info'!$J$53</definedName>
    <definedName name="Zone5Name" localSheetId="10" hidden="0" function="0" vbProcedure="0">'[94]Job Technical Info'!$C$53</definedName>
    <definedName name="Zone5Top" localSheetId="10" hidden="0" function="0" vbProcedure="0">'[94]Job Technical Info'!$D$53</definedName>
    <definedName name="ZXP_Seal_Area" localSheetId="10" hidden="0" function="0" vbProcedure="0">[11]Test!$Z$38</definedName>
    <definedName name="zzzzzz" localSheetId="10" hidden="0" function="0" vbProcedure="0">[301]!'[module4 formula].macro1'</definedName>
    <definedName name="Z_Fact_DH" localSheetId="10" hidden="0" function="0" vbProcedure="0">'[108]Tester Valve Calcs'!$F$23</definedName>
    <definedName name="Z_Fact_Surf" localSheetId="10" hidden="0" function="0" vbProcedure="0">'[108]Tester Valve Calcs'!$F$18</definedName>
    <definedName name="_A" localSheetId="10" hidden="0" function="0" vbProcedure="0">'[1]run sheet'!#ref!</definedName>
    <definedName name="_B" localSheetId="10" hidden="0" function="0" vbProcedure="0">#ref!</definedName>
    <definedName name="_C" localSheetId="10" hidden="0" function="0" vbProcedure="0">'[1]run sheet'!#ref!</definedName>
    <definedName name="_D" localSheetId="10" hidden="0" function="0" vbProcedure="0">'[1]run sheet'!#ref!</definedName>
    <definedName name="_E" localSheetId="10" hidden="0" function="0" vbProcedure="0">'[1]run sheet'!#ref!</definedName>
    <definedName name="_f" localSheetId="10" hidden="0" function="0" vbProcedure="0">{#N/A,#N/A,FALSE,"Volume"}</definedName>
    <definedName name="_g" localSheetId="10" hidden="0" function="0" vbProcedure="0">{#N/A,#N/A,FALSE,"Volume"}</definedName>
    <definedName name="_h" localSheetId="10" hidden="0" function="0" vbProcedure="0">{#N/A,#N/A,FALSE,"Volume"}</definedName>
    <definedName name="_I" localSheetId="10" hidden="0" function="0" vbProcedure="0">'[1]run sheet'!#ref!</definedName>
    <definedName name="_J" localSheetId="10" hidden="0" function="0" vbProcedure="0">'[1]run sheet'!#ref!</definedName>
    <definedName name="_L" localSheetId="10" hidden="0" function="0" vbProcedure="0">'[1]run sheet'!#ref!</definedName>
    <definedName name="_N" localSheetId="10" hidden="0" function="0" vbProcedure="0">'[1]run sheet'!#ref!</definedName>
    <definedName name="_q" localSheetId="10" hidden="0" function="0" vbProcedure="0">'[3]run sheet'!#ref!</definedName>
    <definedName name="_T" localSheetId="10" hidden="0" function="0" vbProcedure="0">{#N/A,#N/A,FALSE,"Volume"}</definedName>
    <definedName name="_V" localSheetId="10" hidden="0" function="0" vbProcedure="0">#ref!</definedName>
    <definedName name="_X" localSheetId="10" hidden="0" function="0" vbProcedure="0">'[1]run sheet'!#ref!</definedName>
    <definedName name="_Z" localSheetId="10" hidden="0" function="0" vbProcedure="0">'[1]run sheet'!#ref!</definedName>
    <definedName name="_" localSheetId="10" hidden="0" function="0" vbProcedure="0">[5]readings!#ref!</definedName>
    <definedName name="_1" localSheetId="10" hidden="0" function="0" vbProcedure="0">{#N/A,#N/A,FALSE,"Volume"}</definedName>
    <definedName name="_11Druckbereich" localSheetId="10" hidden="0" function="0" vbProcedure="0">[34]run_s!#ref!</definedName>
    <definedName name="_1234GRAPH_G" localSheetId="10" hidden="1" function="0" vbProcedure="0">[100]Run!$F$16:$F$514</definedName>
    <definedName name="_1Module2__2__.gaugeconok2" localSheetId="10" hidden="0" function="0" vbProcedure="0">[26]!_1Module2__2__.gaugeconok2</definedName>
    <definedName name="_2" localSheetId="10" hidden="0" function="0" vbProcedure="0">{#N/A,#N/A,FALSE,"Volume"}</definedName>
    <definedName name="_2Module2__2__.gaugeok2" localSheetId="10" hidden="0" function="0" vbProcedure="0">[26]!_2Module2__2__.gaugeok2</definedName>
    <definedName name="_3Module2__2__.gaugeselect2" localSheetId="10" hidden="0" function="0" vbProcedure="0">[26]!_3Module2__2__.gaugeselect2</definedName>
    <definedName name="_4Module2__2__.serialselect3" localSheetId="10" hidden="0" function="0" vbProcedure="0">[26]!_4Module2__2__.serialselect3</definedName>
    <definedName name="_5" localSheetId="10" hidden="0" function="0" vbProcedure="0">{#N/A,#N/A,FALSE,"Volume"}</definedName>
    <definedName name="_5Module2__2__.serialselect4" localSheetId="10" hidden="0" function="0" vbProcedure="0">[26]!_5Module2__2__.serialselect4</definedName>
    <definedName name="_a" localSheetId="10" hidden="0" function="0" vbProcedure="0">{#N/A,#N/A,FALSE,"Volume"}</definedName>
    <definedName name="_a1" localSheetId="10" hidden="0" function="0" vbProcedure="0">{#N/A,#N/A,FALSE,"Volume"}</definedName>
    <definedName name="_a2" localSheetId="10" hidden="0" function="0" vbProcedure="0">{#N/A,#N/A,FALSE,"Volume"}</definedName>
    <definedName name="_a3" localSheetId="10" hidden="0" function="0" vbProcedure="0">{#N/A,#N/A,FALSE,"Volume"}</definedName>
    <definedName name="_A4" localSheetId="10" hidden="1" function="0" vbProcedure="0">[100]Run!$B$18:$B$512</definedName>
    <definedName name="_aa" localSheetId="10" hidden="0" function="0" vbProcedure="0">{#N/A,#N/A,FALSE,"Volume"}</definedName>
    <definedName name="_aaa" localSheetId="10" hidden="0" function="0" vbProcedure="0">{#N/A,#N/A,FALSE,"Volume"}</definedName>
    <definedName name="_aaaaa" localSheetId="10" hidden="0" function="0" vbProcedure="0">{#N/A,#N/A,FALSE,"Volume"}</definedName>
    <definedName name="_aaaaaa" localSheetId="10" hidden="0" function="0" vbProcedure="0">{#N/A,#N/A,FALSE,"Volume"}</definedName>
    <definedName name="_ab" localSheetId="10" hidden="0" function="0" vbProcedure="0">{#N/A,#N/A,FALSE,"Volume"}</definedName>
    <definedName name="_ac" localSheetId="10" hidden="0" function="0" vbProcedure="0">{#N/A,#N/A,FALSE,"Volume"}</definedName>
    <definedName name="_acasdf" localSheetId="10" hidden="0" function="0" vbProcedure="0">{#N/A,#N/A,FALSE,"Volume"}</definedName>
    <definedName name="_acc" localSheetId="10" hidden="0" function="0" vbProcedure="0">{#N/A,#N/A,FALSE,"Volume"}</definedName>
    <definedName name="_ap1" localSheetId="10" hidden="0" function="0" vbProcedure="0">{#N/A,#N/A,FALSE,"Volume"}</definedName>
    <definedName name="_ap2" localSheetId="10" hidden="0" function="0" vbProcedure="0">{#N/A,#N/A,FALSE,"Volume"}</definedName>
    <definedName name="_ap3" localSheetId="10" hidden="0" function="0" vbProcedure="0">{#N/A,#N/A,FALSE,"Volume"}</definedName>
    <definedName name="_app1" localSheetId="10" hidden="0" function="0" vbProcedure="0">{#N/A,#N/A,FALSE,"Volume"}</definedName>
    <definedName name="_app2" localSheetId="10" hidden="0" function="0" vbProcedure="0">{#N/A,#N/A,FALSE,"Volume"}</definedName>
    <definedName name="_app3" localSheetId="10" hidden="0" function="0" vbProcedure="0">{#N/A,#N/A,FALSE,"Volume"}</definedName>
    <definedName name="_app4" localSheetId="10" hidden="0" function="0" vbProcedure="0">{#N/A,#N/A,FALSE,"Volume"}</definedName>
    <definedName name="_app5" localSheetId="10" hidden="0" function="0" vbProcedure="0">{#N/A,#N/A,FALSE,"Volume"}</definedName>
    <definedName name="_asdfas" localSheetId="10" hidden="0" function="0" vbProcedure="0">{#N/A,#N/A,FALSE,"Volume"}</definedName>
    <definedName name="_b" localSheetId="10" hidden="0" function="0" vbProcedure="0">{#N/A,#N/A,FALSE,"Volume"}</definedName>
    <definedName name="_b1" localSheetId="10" hidden="0" function="0" vbProcedure="0">{#N/A,#N/A,FALSE,"Volume"}</definedName>
    <definedName name="_b2" localSheetId="10" hidden="0" function="0" vbProcedure="0">{#N/A,#N/A,FALSE,"Volume"}</definedName>
    <definedName name="_b3" localSheetId="10" hidden="0" function="0" vbProcedure="0">{#N/A,#N/A,FALSE,"Volume"}</definedName>
    <definedName name="_b4" localSheetId="10" hidden="0" function="0" vbProcedure="0">{#N/A,#N/A,FALSE,"Volume"}</definedName>
    <definedName name="_b5" localSheetId="10" hidden="0" function="0" vbProcedure="0">{#N/A,#N/A,FALSE,"Volume"}</definedName>
    <definedName name="_bb2789" localSheetId="10" hidden="0" function="0" vbProcedure="0">[9]!Calculate_Pipe</definedName>
    <definedName name="_bgn1" localSheetId="10" hidden="1" function="0" vbProcedure="0">{#N/A,#N/A,FALSE,"Sheet1"}</definedName>
    <definedName name="_c" localSheetId="10" hidden="0" function="0" vbProcedure="0">{#N/A,#N/A,FALSE,"Volume"}</definedName>
    <definedName name="_c1" localSheetId="10" hidden="0" function="0" vbProcedure="0">{#N/A,#N/A,FALSE,"Volume"}</definedName>
    <definedName name="_c2" localSheetId="10" hidden="0" function="0" vbProcedure="0">{#N/A,#N/A,FALSE,"Volume"}</definedName>
    <definedName name="_c3" localSheetId="10" hidden="0" function="0" vbProcedure="0">{#N/A,#N/A,FALSE,"Volume"}</definedName>
    <definedName name="_c4" localSheetId="10" hidden="0" function="0" vbProcedure="0">{#N/A,#N/A,FALSE,"Volume"}</definedName>
    <definedName name="_cd1" localSheetId="10" hidden="1" function="0" vbProcedure="0">{#N/A,#N/A,FALSE,"Sheet1"}</definedName>
    <definedName name="_cf1" localSheetId="10" hidden="1" function="0" vbProcedure="0">{#N/A,#N/A,FALSE,"Sheet1"}</definedName>
    <definedName name="_d" localSheetId="10" hidden="0" function="0" vbProcedure="0">{#N/A,#N/A,FALSE,"Volume"}</definedName>
    <definedName name="_d1" localSheetId="10" hidden="0" function="0" vbProcedure="0">{#N/A,#N/A,FALSE,"Volume"}</definedName>
    <definedName name="_d2_" localSheetId="10" hidden="0" function="0" vbProcedure="0">{#N/A,#N/A,FALSE,"Volume"}</definedName>
    <definedName name="_d3" localSheetId="10" hidden="0" function="0" vbProcedure="0">{#N/A,#N/A,FALSE,"Volume"}</definedName>
    <definedName name="_d4" localSheetId="10" hidden="0" function="0" vbProcedure="0">{#N/A,#N/A,FALSE,"Volume"}</definedName>
    <definedName name="_DAT16" localSheetId="10" hidden="0" function="0" vbProcedure="0">'[37]sap serv 06-02'!#ref!</definedName>
    <definedName name="_DAT17" localSheetId="10" hidden="0" function="0" vbProcedure="0">'[37]sap serv 06-02'!#ref!</definedName>
    <definedName name="_DAT19" localSheetId="10" hidden="0" function="0" vbProcedure="0">'[37]sap serv 06-02'!#ref!</definedName>
    <definedName name="_DAT20" localSheetId="10" hidden="0" function="0" vbProcedure="0">'[37]sap serv 06-02'!#ref!</definedName>
    <definedName name="_DAT25" localSheetId="10" hidden="0" function="0" vbProcedure="0">'[37]sap serv 06-02'!#ref!</definedName>
    <definedName name="_DAT26" localSheetId="10" hidden="0" function="0" vbProcedure="0">'[37]sap serv 06-02'!#ref!</definedName>
    <definedName name="_DAT27" localSheetId="10" hidden="0" function="0" vbProcedure="0">'[37]sap serv 06-02'!#ref!</definedName>
    <definedName name="_DAT28" localSheetId="10" hidden="0" function="0" vbProcedure="0">'[37]sap serv 06-02'!#ref!</definedName>
    <definedName name="_DAT29" localSheetId="10" hidden="0" function="0" vbProcedure="0">'[37]sap serv 06-02'!#ref!</definedName>
    <definedName name="_DAT31" localSheetId="10" hidden="0" function="0" vbProcedure="0">'[37]sap serv 06-02'!#ref!</definedName>
    <definedName name="_DAT32" localSheetId="10" hidden="0" function="0" vbProcedure="0">'[37]sap serv 06-02'!#ref!</definedName>
    <definedName name="_DAT34" localSheetId="10" hidden="0" function="0" vbProcedure="0">'[37]sap serv 06-02'!#ref!</definedName>
    <definedName name="_DAT35" localSheetId="10" hidden="0" function="0" vbProcedure="0">'[37]sap serv 06-02'!#ref!</definedName>
    <definedName name="_DAT36" localSheetId="10" hidden="0" function="0" vbProcedure="0">'[37]sap serv 06-02'!#ref!</definedName>
    <definedName name="_DAT40" localSheetId="10" hidden="0" function="0" vbProcedure="0">'[37]sap serv 06-02'!#ref!</definedName>
    <definedName name="_DAT41" localSheetId="10" hidden="0" function="0" vbProcedure="0">'[37]sap serv 06-02'!#ref!</definedName>
    <definedName name="_DAT42" localSheetId="10" hidden="0" function="0" vbProcedure="0">'[37]sap serv 06-02'!#ref!</definedName>
    <definedName name="_DAT44" localSheetId="10" hidden="0" function="0" vbProcedure="0">'[37]sap serv 06-02'!#ref!</definedName>
    <definedName name="_DAT45" localSheetId="10" hidden="0" function="0" vbProcedure="0">'[37]sap serv 06-02'!#ref!</definedName>
    <definedName name="_DAT46" localSheetId="10" hidden="0" function="0" vbProcedure="0">'[37]sap serv 06-02'!#ref!</definedName>
    <definedName name="_DAT47" localSheetId="10" hidden="0" function="0" vbProcedure="0">'[37]sap serv 06-02'!#ref!</definedName>
    <definedName name="_DAT48" localSheetId="10" hidden="0" function="0" vbProcedure="0">'[37]sap serv 06-02'!#ref!</definedName>
    <definedName name="_DAT49" localSheetId="10" hidden="0" function="0" vbProcedure="0">'[37]sap serv 06-02'!#ref!</definedName>
    <definedName name="_DAT50" localSheetId="10" hidden="0" function="0" vbProcedure="0">'[37]sap serv 06-02'!#ref!</definedName>
    <definedName name="_DAT52" localSheetId="10" hidden="0" function="0" vbProcedure="0">'[37]sap serv 06-02'!#ref!</definedName>
    <definedName name="_DAT53" localSheetId="10" hidden="0" function="0" vbProcedure="0">'[37]sap serv 06-02'!#ref!</definedName>
    <definedName name="_DAT54" localSheetId="10" hidden="0" function="0" vbProcedure="0">'[37]sap serv 06-02'!#ref!</definedName>
    <definedName name="_DAT56" localSheetId="10" hidden="0" function="0" vbProcedure="0">'[37]sap serv 06-02'!#ref!</definedName>
    <definedName name="_DAT57" localSheetId="10" hidden="0" function="0" vbProcedure="0">'[37]sap serv 06-02'!#ref!</definedName>
    <definedName name="_DAT62" localSheetId="10" hidden="0" function="0" vbProcedure="0">'[37]sap serv 06-02'!#ref!</definedName>
    <definedName name="_DAT63" localSheetId="10" hidden="0" function="0" vbProcedure="0">'[37]sap serv 06-02'!#ref!</definedName>
    <definedName name="_e" localSheetId="10" hidden="0" function="0" vbProcedure="0">{#N/A,#N/A,FALSE,"Volume"}</definedName>
    <definedName name="_e1" localSheetId="10" hidden="0" function="0" vbProcedure="0">{#N/A,#N/A,FALSE,"Volume"}</definedName>
    <definedName name="_e2" localSheetId="10" hidden="0" function="0" vbProcedure="0">{#N/A,#N/A,FALSE,"Volume"}</definedName>
    <definedName name="_e3" localSheetId="10" hidden="0" function="0" vbProcedure="0">{#N/A,#N/A,FALSE,"Volume"}</definedName>
    <definedName name="_e4" localSheetId="10" hidden="0" function="0" vbProcedure="0">{#N/A,#N/A,FALSE,"Volume"}</definedName>
    <definedName name="_f1" localSheetId="10" hidden="0" function="0" vbProcedure="0">{#N/A,#N/A,FALSE,"Volume"}</definedName>
    <definedName name="_f2" localSheetId="10" hidden="0" function="0" vbProcedure="0">{#N/A,#N/A,FALSE,"Volume"}</definedName>
    <definedName name="_f3" localSheetId="10" hidden="0" function="0" vbProcedure="0">{#N/A,#N/A,FALSE,"Volume"}</definedName>
    <definedName name="_f4" localSheetId="10" hidden="0" function="0" vbProcedure="0">{#N/A,#N/A,FALSE,"Volume"}</definedName>
    <definedName name="_f5" localSheetId="10" hidden="0" function="0" vbProcedure="0">{#N/A,#N/A,FALSE,"Volume"}</definedName>
    <definedName name="_f6" localSheetId="10" hidden="0" function="0" vbProcedure="0">{#N/A,#N/A,FALSE,"Volume"}</definedName>
    <definedName name="_f7" localSheetId="10" hidden="0" function="0" vbProcedure="0">{#N/A,#N/A,FALSE,"Volume"}</definedName>
    <definedName name="_Fill" localSheetId="10" hidden="1" function="0" vbProcedure="0">#ref!</definedName>
    <definedName name="_gmh1" localSheetId="10" hidden="1" function="0" vbProcedure="0">{#N/A,#N/A,FALSE,"Sheet1"}</definedName>
    <definedName name="_i" localSheetId="10" hidden="0" function="0" vbProcedure="0">{#N/A,#N/A,FALSE,"Volume"}</definedName>
    <definedName name="_Key1" localSheetId="10" hidden="1" function="0" vbProcedure="0">#ref!</definedName>
    <definedName name="_lyc7" localSheetId="10" hidden="0" function="0" vbProcedure="0">[119]钻井日报表!$G$5</definedName>
    <definedName name="_num15" localSheetId="10" hidden="0" function="0" vbProcedure="0">'[31]data '!#ref!</definedName>
    <definedName name="_Order2" localSheetId="10" hidden="1" function="0" vbProcedure="0">255</definedName>
    <definedName name="_P" localSheetId="10" hidden="0" function="0" vbProcedure="0">{#N/A,#N/A,FALSE,"Volume"}</definedName>
    <definedName name="_P1" localSheetId="10" hidden="0" function="0" vbProcedure="0">{#N/A,#N/A,FALSE,"Volume"}</definedName>
    <definedName name="_P2" localSheetId="10" hidden="0" function="0" vbProcedure="0">{#N/A,#N/A,FALSE,"Volume"}</definedName>
    <definedName name="_P3" localSheetId="10" hidden="0" function="0" vbProcedure="0">{#N/A,#N/A,FALSE,"Volume"}</definedName>
    <definedName name="_P4" localSheetId="10" hidden="0" function="0" vbProcedure="0">{#N/A,#N/A,FALSE,"Volume"}</definedName>
    <definedName name="_pap1" localSheetId="10" hidden="0" function="0" vbProcedure="0">{#N/A,#N/A,FALSE,"Volume"}</definedName>
    <definedName name="_pap2" localSheetId="10" hidden="0" function="0" vbProcedure="0">{#N/A,#N/A,FALSE,"Volume"}</definedName>
    <definedName name="_pap3" localSheetId="10" hidden="0" function="0" vbProcedure="0">{#N/A,#N/A,FALSE,"Volume"}</definedName>
    <definedName name="_pap4" localSheetId="10" hidden="0" function="0" vbProcedure="0">{#N/A,#N/A,FALSE,"Volume"}</definedName>
    <definedName name="_pap5" localSheetId="10" hidden="0" function="0" vbProcedure="0">{#N/A,#N/A,FALSE,"Volume"}</definedName>
    <definedName name="_PPH1" localSheetId="10" hidden="0" function="0" vbProcedure="0">[40]!Calculate_Pipe</definedName>
    <definedName name="_r06" localSheetId="10" hidden="0" function="0" vbProcedure="0">[41]!AutoCAD</definedName>
    <definedName name="_Sort" localSheetId="10" hidden="1" function="0" vbProcedure="0">#ref!</definedName>
    <definedName name="_SPM1" localSheetId="10" hidden="0" function="0" vbProcedure="0">[16]!Macro1</definedName>
    <definedName name="_SSA1" localSheetId="10" hidden="0" function="0" vbProcedure="0">[43]!Macro46</definedName>
    <definedName name="_Table1_In1" localSheetId="10" hidden="1" function="0" vbProcedure="0">[103]Run!$E$575</definedName>
    <definedName name="_Table1_Out" localSheetId="10" hidden="1" function="0" vbProcedure="0">[103]Run!$C$16:$E$577</definedName>
    <definedName name="_TST2" localSheetId="10" hidden="0" function="0" vbProcedure="0">'[11]Liner Job Info'!$O$7</definedName>
    <definedName name="_UA38" localSheetId="10" hidden="0" function="0" vbProcedure="0">[26]!_UA38</definedName>
    <definedName name="_wrn1" localSheetId="10" hidden="0" function="0" vbProcedure="0">{#N/A,#N/A,FALSE,"Volume"}</definedName>
    <definedName name="_x" localSheetId="10" hidden="0" function="0" vbProcedure="0">{#N/A,#N/A,FALSE,"Volume"}</definedName>
    <definedName name="_xa" localSheetId="10" hidden="0" function="0" vbProcedure="0">{#N/A,#N/A,FALSE,"Volume"}</definedName>
    <definedName name="_xb" localSheetId="10" hidden="0" function="0" vbProcedure="0">{#N/A,#N/A,FALSE,"Volume"}</definedName>
    <definedName name="_xc" localSheetId="10" hidden="0" function="0" vbProcedure="0">{#N/A,#N/A,FALSE,"Volume"}</definedName>
    <definedName name="_z" localSheetId="10" hidden="0" function="0" vbProcedure="0">{#N/A,#N/A,FALSE,"Volume"}</definedName>
    <definedName name="_z1" localSheetId="10" hidden="0" function="0" vbProcedure="0">{#N/A,#N/A,FALSE,"Volume"}</definedName>
    <definedName name="_z2" localSheetId="10" hidden="0" function="0" vbProcedure="0">{#N/A,#N/A,FALSE,"Volume"}</definedName>
    <definedName name="_z3" localSheetId="10" hidden="0" function="0" vbProcedure="0">{#N/A,#N/A,FALSE,"Volume"}</definedName>
    <definedName name="_z4" localSheetId="10" hidden="0" function="0" vbProcedure="0">{#N/A,#N/A,FALSE,"Volume"}</definedName>
    <definedName name="__" localSheetId="10" hidden="0" function="0" vbProcedure="0">'[113]#REF'!$E$29</definedName>
    <definedName name="__123Graph_A" localSheetId="10" hidden="1" function="0" vbProcedure="0">[103]Run!$B$18:$B$512</definedName>
    <definedName name="__123Graph_B" localSheetId="10" hidden="1" function="0" vbProcedure="0">'[102]Minimum Curve Method'!$K$9:$K$152</definedName>
    <definedName name="__123Graph_C" localSheetId="10" hidden="1" function="0" vbProcedure="0">[103]Run!$C$16:$C$512</definedName>
    <definedName name="__123Graph_D" localSheetId="10" hidden="1" function="0" vbProcedure="0">[103]Run!$D$15:$D$512</definedName>
    <definedName name="__123Graph_E" localSheetId="10" hidden="1" function="0" vbProcedure="0">[103]Run!$E$16:$E$514</definedName>
    <definedName name="__123Graph_F" localSheetId="10" hidden="1" function="0" vbProcedure="0">[103]Run!$F$16:$F$514</definedName>
    <definedName name="__123Graph_X" localSheetId="10" hidden="1" function="0" vbProcedure="0">'[102]Minimum Curve Method'!$K$9:$K$152</definedName>
    <definedName name="__1Module2__2__.gaugeconok2" localSheetId="10" hidden="0" function="0" vbProcedure="0">[26]!__1Module2__2__.gaugeconok2</definedName>
    <definedName name="__2Module2__2__.gaugeok2" localSheetId="10" hidden="0" function="0" vbProcedure="0">[26]!__2Module2__2__.gaugeok2</definedName>
    <definedName name="__3Module2__2__.gaugeselect2" localSheetId="10" hidden="0" function="0" vbProcedure="0">[26]!__3Module2__2__.gaugeselect2</definedName>
    <definedName name="__4Module2__2__.serialselect3" localSheetId="10" hidden="0" function="0" vbProcedure="0">[26]!__4Module2__2__.serialselect3</definedName>
    <definedName name="__5Module2__2__.serialselect4" localSheetId="10" hidden="0" function="0" vbProcedure="0">[26]!__5Module2__2__.serialselect4</definedName>
    <definedName name="__A4" localSheetId="10" hidden="1" function="0" vbProcedure="0">[100]Run!$B$18:$B$512</definedName>
    <definedName name="__bb2789" localSheetId="10" hidden="0" function="0" vbProcedure="0">[9]!Calculate_Pipe</definedName>
    <definedName name="__SPM1" localSheetId="10" hidden="0" function="0" vbProcedure="0">[16]!Macro1</definedName>
    <definedName name="__UA38" localSheetId="10" hidden="0" function="0" vbProcedure="0">[26]!__UA38</definedName>
    <definedName name="__wrn1" localSheetId="10" hidden="0" function="0" vbProcedure="0">{#N/A,#N/A,FALSE,"Volume"}</definedName>
    <definedName name="___A4" localSheetId="10" hidden="1" function="0" vbProcedure="0">[179]Run!$B$18:$B$512</definedName>
    <definedName name="___bb2789" localSheetId="10" hidden="0" function="0" vbProcedure="0">[9]!Calculate_Pipe</definedName>
    <definedName name="___SPM1" localSheetId="10" hidden="0" function="0" vbProcedure="0">[16]!Macro1</definedName>
    <definedName name="___wrn1" localSheetId="10" hidden="0" function="0" vbProcedure="0">{#N/A,#N/A,FALSE,"Volume"}</definedName>
    <definedName name="____A4" localSheetId="10" hidden="1" function="0" vbProcedure="0">[179]Run!$B$18:$B$512</definedName>
    <definedName name="____bb2789" localSheetId="10" hidden="0" function="0" vbProcedure="0">[9]!Calculate_Pipe</definedName>
    <definedName name="____SPM1" localSheetId="10" hidden="0" function="0" vbProcedure="0">[16]!Macro1</definedName>
    <definedName name="____wrn1" localSheetId="10" hidden="0" function="0" vbProcedure="0">{#N/A,#N/A,FALSE,"Volume"}</definedName>
    <definedName name="_____A4" localSheetId="10" hidden="1" function="0" vbProcedure="0">[179]Run!$B$18:$B$512</definedName>
    <definedName name="_____bb2789" localSheetId="10" hidden="0" function="0" vbProcedure="0">[14]!Calculate_Pipe</definedName>
    <definedName name="_____SPM1" localSheetId="10" hidden="0" function="0" vbProcedure="0">[16]!Macro1</definedName>
    <definedName name="_____wrn1" localSheetId="10" hidden="0" function="0" vbProcedure="0">{#N/A,#N/A,FALSE,"Volume"}</definedName>
    <definedName name="______A4" localSheetId="10" hidden="1" function="0" vbProcedure="0">[179]Run!$B$18:$B$512</definedName>
    <definedName name="______bb2789" localSheetId="10" hidden="0" function="0" vbProcedure="0">[14]!Calculate_Pipe</definedName>
    <definedName name="______SPM1" localSheetId="10" hidden="0" function="0" vbProcedure="0">[16]!Macro1</definedName>
    <definedName name="_______A4" localSheetId="10" hidden="1" function="0" vbProcedure="0">[179]Run!$B$18:$B$512</definedName>
    <definedName name="_______bb2789" localSheetId="10" hidden="0" function="0" vbProcedure="0">[14]!Calculate_Pipe</definedName>
    <definedName name="_______wrn1" localSheetId="10" hidden="0" function="0" vbProcedure="0">{#N/A,#N/A,FALSE,"Volume"}</definedName>
    <definedName name="________A4" localSheetId="10" hidden="1" function="0" vbProcedure="0">[179]Run!$B$18:$B$512</definedName>
    <definedName name="________bb2789" localSheetId="10" hidden="0" function="0" vbProcedure="0">[14]!Calculate_Pipe</definedName>
    <definedName name="_________A4" localSheetId="10" hidden="1" function="0" vbProcedure="0">[179]Run!$B$18:$B$512</definedName>
    <definedName name="_________bb2789" localSheetId="10" hidden="0" function="0" vbProcedure="0">[14]!Calculate_Pipe</definedName>
    <definedName name="_________wrn1" localSheetId="10" hidden="0" function="0" vbProcedure="0">{#N/A,#N/A,FALSE,"Volume"}</definedName>
    <definedName name="__________A4" localSheetId="10" hidden="1" function="0" vbProcedure="0">[179]Run!$B$18:$B$512</definedName>
    <definedName name="__________bb2789" localSheetId="10" hidden="0" function="0" vbProcedure="0">[14]!Calculate_Pipe</definedName>
    <definedName name="___________A4" localSheetId="10" hidden="1" function="0" vbProcedure="0">[179]Run!$B$18:$B$512</definedName>
    <definedName name="___________bb2789" localSheetId="10" hidden="0" function="0" vbProcedure="0">[14]!Calculate_Pipe</definedName>
    <definedName name="___________wrn1" localSheetId="10" hidden="0" function="0" vbProcedure="0">{#N/A,#N/A,FALSE,"Volume"}</definedName>
    <definedName name="____________A4" localSheetId="10" hidden="1" function="0" vbProcedure="0">[179]Run!$B$18:$B$512</definedName>
    <definedName name="____________bb2789" localSheetId="10" hidden="0" function="0" vbProcedure="0">[14]!Calculate_Pipe</definedName>
    <definedName name="____________wrn1" localSheetId="10" hidden="0" function="0" vbProcedure="0">{#N/A,#N/A,FALSE,"Volume"}</definedName>
    <definedName name="_____________A4" localSheetId="10" hidden="1" function="0" vbProcedure="0">[179]Run!$B$18:$B$512</definedName>
    <definedName name="_____________bb2789" localSheetId="10" hidden="0" function="0" vbProcedure="0">[14]!Calculate_Pipe</definedName>
    <definedName name="______________A4" localSheetId="10" hidden="1" function="0" vbProcedure="0">[179]Run!$B$18:$B$512</definedName>
    <definedName name="______________bb2789" localSheetId="10" hidden="0" function="0" vbProcedure="0">[14]!Calculate_Pipe</definedName>
    <definedName name="_______________A4" localSheetId="10" hidden="1" function="0" vbProcedure="0">[179]Run!$B$18:$B$512</definedName>
    <definedName name="_______________bb2789" localSheetId="10" hidden="0" function="0" vbProcedure="0">[14]!Calculate_Pipe</definedName>
    <definedName name="________________A4" localSheetId="10" hidden="1" function="0" vbProcedure="0">[179]Run!$B$18:$B$512</definedName>
    <definedName name="________________bb2789" localSheetId="10" hidden="0" function="0" vbProcedure="0">[9]!Calculate_Pipe</definedName>
    <definedName name="_________________A4" localSheetId="10" hidden="1" function="0" vbProcedure="0">[179]Run!$B$18:$B$512</definedName>
    <definedName name="_________________bb2789" localSheetId="10" hidden="0" function="0" vbProcedure="0">[9]!Calculate_Pipe</definedName>
    <definedName name="__________________A4" localSheetId="10" hidden="1" function="0" vbProcedure="0">[179]Run!$B$18:$B$512</definedName>
    <definedName name="__________________bb2789" localSheetId="10" hidden="0" function="0" vbProcedure="0">[11]!Calculate_Pipe</definedName>
    <definedName name="___________________A4" localSheetId="10" hidden="1" function="0" vbProcedure="0">[179]Run!$B$18:$B$512</definedName>
    <definedName name="___________________bb2789" localSheetId="10" hidden="0" function="0" vbProcedure="0">[11]!Calculate_Pipe</definedName>
    <definedName name="____________________A4" localSheetId="10" hidden="1" function="0" vbProcedure="0">[184]Run!$B$18:$B$512</definedName>
    <definedName name="____________________bb2789" localSheetId="10" hidden="0" function="0" vbProcedure="0">[9]!Calculate_Pipe</definedName>
    <definedName name="_____________________A4" localSheetId="10" hidden="1" function="0" vbProcedure="0">[179]Run!$B$18:$B$512</definedName>
    <definedName name="_____________________bb2789" localSheetId="10" hidden="0" function="0" vbProcedure="0">[12]!Calculate_Pipe</definedName>
    <definedName name="______________________A4" localSheetId="10" hidden="1" function="0" vbProcedure="0">[179]Run!$B$18:$B$512</definedName>
    <definedName name="______________________bb2789" localSheetId="10" hidden="0" function="0" vbProcedure="0">[9]!Calculate_Pipe</definedName>
    <definedName name="_______________________A4" localSheetId="10" hidden="1" function="0" vbProcedure="0">[184]Run!$B$18:$B$512</definedName>
    <definedName name="_______________________bb2789" localSheetId="10" hidden="0" function="0" vbProcedure="0">[9]!Calculate_Pipe</definedName>
    <definedName name="________________________A4" localSheetId="10" hidden="1" function="0" vbProcedure="0">[179]Run!$B$18:$B$512</definedName>
    <definedName name="________________________bb2789" localSheetId="10" hidden="0" function="0" vbProcedure="0">[11]!Calculate_Pipe</definedName>
    <definedName name="_________________________bb2789" localSheetId="10" hidden="0" function="0" vbProcedure="0">[9]!Calculate_Pipe</definedName>
    <definedName name="__________________________A4" localSheetId="10" hidden="1" function="0" vbProcedure="0">[184]Run!$B$18:$B$512</definedName>
    <definedName name="歼击机" localSheetId="10" hidden="0" function="0" vbProcedure="0">[194]钻井日报表!$E$7</definedName>
    <definedName name="起始日期" localSheetId="10" hidden="0" function="0" vbProcedure="0">[181]钻井日报表!$B$1</definedName>
    <definedName name="_xlnm.Print_Area" localSheetId="10">'FINAL TALLY'!$A$1:$H$423</definedName>
  </definedNames>
  <calcPr calcId="124519" fullCalcOnLoad="1" refMode="A1" iterate="0" iterateCount="100" iterateDelta="0.0001"/>
</workbook>
</file>

<file path=xl/styles.xml><?xml version="1.0" encoding="utf-8"?>
<styleSheet xmlns="http://schemas.openxmlformats.org/spreadsheetml/2006/main">
  <numFmts count="16">
    <numFmt numFmtId="164" formatCode="[$-F800]dddd&quot;, &quot;mmmm\ dd&quot;, &quot;yyyy"/>
    <numFmt numFmtId="165" formatCode="[&lt;=9999999]###\-####;\(###&quot;) &quot;###\-####"/>
    <numFmt numFmtId="166" formatCode="[$-409]d\-mmm\-yy;@"/>
    <numFmt numFmtId="167" formatCode="[$-409]dd\-mmm\-yyyy\ hh:mm;@"/>
    <numFmt numFmtId="168" formatCode="d\-mmm\-yy"/>
    <numFmt numFmtId="169" formatCode="[$-409]dd\-mmm\-yy;@"/>
    <numFmt numFmtId="170" formatCode="0.0"/>
    <numFmt numFmtId="171" formatCode="_(* #,##0.00_);_(* \(#,##0.00\);_(* \-??_);_(@_)"/>
    <numFmt numFmtId="172" formatCode="d\-mmm"/>
    <numFmt numFmtId="173" formatCode="[$-409]d\-mmm;@"/>
    <numFmt numFmtId="174" formatCode="m/d/yyyy"/>
    <numFmt numFmtId="175" formatCode="0&quot; JTS&quot;"/>
    <numFmt numFmtId="176" formatCode="0.0000"/>
    <numFmt numFmtId="177" formatCode="0.000"/>
    <numFmt numFmtId="178" formatCode="0;[RED]0"/>
    <numFmt numFmtId="179" formatCode="dd-mmm-yy"/>
  </numFmts>
  <fonts count="144">
    <font>
      <name val="Calibri"/>
      <charset val="1"/>
      <family val="2"/>
      <color theme="1"/>
      <sz val="11"/>
    </font>
    <font>
      <name val="Arial"/>
      <family val="0"/>
      <sz val="10"/>
    </font>
    <font>
      <name val="Arial"/>
      <family val="0"/>
      <sz val="10"/>
    </font>
    <font>
      <name val="Arial"/>
      <family val="0"/>
      <sz val="10"/>
    </font>
    <font>
      <name val="Arial"/>
      <charset val="1"/>
      <family val="2"/>
      <color rgb="FF0000FF"/>
      <sz val="10"/>
      <u val="single"/>
    </font>
    <font>
      <name val="Arial"/>
      <charset val="1"/>
      <family val="2"/>
      <sz val="10"/>
    </font>
    <font>
      <name val="Times New Roman"/>
      <charset val="1"/>
      <family val="1"/>
      <color rgb="FF000000"/>
      <sz val="10"/>
    </font>
    <font>
      <name val="Arial"/>
      <charset val="1"/>
      <family val="0"/>
      <sz val="10"/>
    </font>
    <font>
      <name val="Univers 57 Condensed"/>
      <charset val="1"/>
      <family val="2"/>
      <b val="1"/>
      <color theme="1"/>
      <sz val="14"/>
    </font>
    <font>
      <name val="Univers 57 Condensed"/>
      <charset val="1"/>
      <family val="0"/>
      <color theme="1"/>
      <sz val="14"/>
    </font>
    <font>
      <name val="Univers 57 Condensed"/>
      <charset val="1"/>
      <family val="2"/>
      <b val="1"/>
      <color rgb="FF000000"/>
      <sz val="10"/>
    </font>
    <font>
      <name val="Univers 57 Condensed"/>
      <charset val="1"/>
      <family val="0"/>
      <sz val="10"/>
    </font>
    <font>
      <name val="Univers 57 Condensed"/>
      <charset val="1"/>
      <family val="2"/>
      <b val="1"/>
      <color theme="1"/>
      <sz val="10"/>
    </font>
    <font>
      <name val="Univers 57 Condensed"/>
      <charset val="1"/>
      <family val="0"/>
      <color theme="1"/>
      <sz val="10"/>
    </font>
    <font>
      <name val="Univers 57 Condensed"/>
      <charset val="1"/>
      <family val="0"/>
      <color rgb="FF000000"/>
      <sz val="10"/>
    </font>
    <font>
      <name val="Univers 57 Condensed"/>
      <charset val="1"/>
      <family val="0"/>
      <b val="1"/>
      <sz val="10"/>
    </font>
    <font>
      <name val="Univers 57 Condensed"/>
      <charset val="1"/>
      <family val="0"/>
      <b val="1"/>
      <color rgb="FF000000"/>
      <sz val="10"/>
    </font>
    <font>
      <name val="Univers 57 Condensed"/>
      <charset val="1"/>
      <family val="0"/>
      <b val="1"/>
      <color theme="1"/>
      <sz val="10"/>
    </font>
    <font>
      <name val="Univers 57 Condensed"/>
      <charset val="1"/>
      <family val="2"/>
      <b val="1"/>
      <color theme="1"/>
      <sz val="8"/>
    </font>
    <font>
      <name val="Calibri"/>
      <charset val="1"/>
      <family val="2"/>
      <b val="1"/>
      <color theme="1"/>
      <sz val="10"/>
    </font>
    <font>
      <name val="Calibri"/>
      <charset val="1"/>
      <family val="2"/>
      <b val="1"/>
      <color theme="1"/>
      <sz val="14"/>
    </font>
    <font>
      <name val="Calibri"/>
      <charset val="1"/>
      <family val="2"/>
      <color theme="1"/>
      <sz val="9"/>
    </font>
    <font>
      <name val="Calibri"/>
      <charset val="1"/>
      <family val="2"/>
      <sz val="11"/>
    </font>
    <font>
      <name val="Calibri"/>
      <charset val="1"/>
      <family val="0"/>
      <color rgb="FF000000"/>
      <sz val="11"/>
    </font>
    <font>
      <name val="Arial"/>
      <charset val="1"/>
      <family val="2"/>
      <sz val="9"/>
    </font>
    <font>
      <name val="Arial"/>
      <charset val="1"/>
      <family val="2"/>
      <b val="1"/>
      <sz val="24"/>
    </font>
    <font>
      <name val="Arial"/>
      <charset val="1"/>
      <family val="2"/>
      <b val="1"/>
      <sz val="9"/>
    </font>
    <font>
      <name val="Arial"/>
      <charset val="1"/>
      <family val="2"/>
      <b val="1"/>
      <sz val="10"/>
    </font>
    <font>
      <name val="Arial"/>
      <charset val="1"/>
      <family val="2"/>
      <b val="1"/>
      <color theme="1"/>
      <sz val="9"/>
    </font>
    <font>
      <name val="Arial"/>
      <charset val="1"/>
      <family val="2"/>
      <b val="1"/>
      <sz val="11"/>
    </font>
    <font>
      <name val="Calibri"/>
      <charset val="1"/>
      <family val="2"/>
      <b val="1"/>
      <color theme="1"/>
      <sz val="11"/>
    </font>
    <font>
      <name val="Calibri"/>
      <charset val="1"/>
      <family val="2"/>
      <sz val="12"/>
    </font>
    <font>
      <name val="Calibri"/>
      <charset val="1"/>
      <family val="2"/>
      <b val="1"/>
      <sz val="12"/>
    </font>
    <font>
      <name val="Calibri"/>
      <charset val="1"/>
      <family val="2"/>
      <b val="1"/>
      <sz val="18"/>
    </font>
    <font>
      <name val="Calibri"/>
      <charset val="1"/>
      <family val="2"/>
      <b val="1"/>
      <color theme="1"/>
      <sz val="9"/>
    </font>
    <font>
      <name val="Calibri"/>
      <charset val="1"/>
      <family val="2"/>
      <b val="1"/>
      <sz val="20"/>
    </font>
    <font>
      <name val="Arial"/>
      <charset val="1"/>
      <family val="2"/>
      <b val="1"/>
      <color theme="0" tint="-0.35"/>
      <sz val="8"/>
    </font>
    <font>
      <name val="Arial"/>
      <charset val="1"/>
      <family val="2"/>
      <color theme="0" tint="-0.35"/>
      <sz val="9"/>
    </font>
    <font>
      <name val="Calibri"/>
      <charset val="1"/>
      <family val="2"/>
      <color rgb="FF000000"/>
      <sz val="10"/>
    </font>
    <font>
      <name val="Calibri"/>
      <charset val="1"/>
      <family val="2"/>
      <b val="1"/>
      <color rgb="FF000000"/>
      <sz val="10"/>
    </font>
    <font>
      <name val="Calibri"/>
      <charset val="1"/>
      <family val="2"/>
      <b val="1"/>
      <sz val="10"/>
    </font>
    <font>
      <name val="Calibri"/>
      <charset val="1"/>
      <family val="2"/>
      <sz val="10"/>
    </font>
    <font>
      <name val="Calibri"/>
      <charset val="1"/>
      <family val="2"/>
      <b val="1"/>
      <color theme="1"/>
      <sz val="12"/>
    </font>
    <font>
      <name val="Segoe UI Light"/>
      <charset val="1"/>
      <family val="2"/>
      <b val="1"/>
      <color theme="1"/>
      <sz val="9"/>
    </font>
    <font>
      <name val="Calibri"/>
      <charset val="1"/>
      <family val="2"/>
      <color theme="0"/>
      <sz val="11"/>
    </font>
    <font>
      <name val="Calibri"/>
      <charset val="1"/>
      <family val="2"/>
      <b val="1"/>
      <color theme="1"/>
      <sz val="11"/>
      <u val="single"/>
    </font>
    <font>
      <name val="Calibri"/>
      <charset val="1"/>
      <family val="2"/>
      <color theme="1"/>
      <sz val="10"/>
    </font>
    <font>
      <name val="Calibri"/>
      <charset val="1"/>
      <family val="2"/>
      <b val="1"/>
      <sz val="11"/>
    </font>
    <font>
      <name val="Calibri"/>
      <charset val="1"/>
      <family val="2"/>
      <b val="1"/>
      <color theme="1"/>
      <sz val="12"/>
      <u val="single"/>
    </font>
    <font>
      <name val="Franklin Gothic Book"/>
      <charset val="1"/>
      <family val="2"/>
      <sz val="10"/>
    </font>
    <font>
      <name val="Franklin Gothic Book"/>
      <charset val="1"/>
      <family val="2"/>
      <sz val="9"/>
    </font>
    <font>
      <name val="Arial"/>
      <charset val="1"/>
      <family val="2"/>
      <b val="1"/>
      <sz val="15"/>
    </font>
    <font>
      <name val="Calibri"/>
      <charset val="1"/>
      <family val="2"/>
      <color rgb="FFFFFFFF"/>
      <sz val="12"/>
    </font>
    <font>
      <name val="Calibri"/>
      <charset val="1"/>
      <family val="2"/>
      <color theme="1" tint="0.4999"/>
      <sz val="9"/>
    </font>
    <font>
      <name val="Calibri"/>
      <charset val="1"/>
      <family val="2"/>
      <b val="1"/>
      <color rgb="FFFFFFFF"/>
      <sz val="12"/>
    </font>
    <font>
      <name val="Calibri"/>
      <charset val="1"/>
      <family val="2"/>
      <color rgb="FF333333"/>
      <sz val="12"/>
    </font>
    <font>
      <name val="Calibri"/>
      <charset val="1"/>
      <family val="2"/>
      <sz val="14"/>
    </font>
    <font>
      <name val="Calibri"/>
      <charset val="1"/>
      <family val="2"/>
      <color rgb="FF808080"/>
      <sz val="9"/>
    </font>
    <font>
      <name val="Calibri"/>
      <charset val="1"/>
      <family val="2"/>
      <color rgb="FF333333"/>
      <sz val="9"/>
    </font>
    <font>
      <name val="Franklin Gothic Book"/>
      <charset val="1"/>
      <family val="2"/>
      <b val="1"/>
      <sz val="14"/>
    </font>
    <font>
      <name val="Franklin Gothic Book"/>
      <charset val="1"/>
      <family val="2"/>
      <color rgb="FFFFFFFF"/>
      <sz val="10"/>
    </font>
    <font>
      <name val="Calibri"/>
      <charset val="1"/>
      <family val="2"/>
      <sz val="9"/>
    </font>
    <font>
      <name val="Calibri"/>
      <charset val="1"/>
      <family val="2"/>
      <sz val="8"/>
    </font>
    <font>
      <name val="Calibri"/>
      <charset val="1"/>
      <family val="2"/>
      <color theme="1" tint="0.4999"/>
      <sz val="6.5"/>
    </font>
    <font>
      <name val="Arial"/>
      <charset val="1"/>
      <family val="2"/>
      <color theme="1" tint="0.4999"/>
      <sz val="6.5"/>
    </font>
    <font>
      <name val="Univers LT Std 47 Cn Lt"/>
      <charset val="1"/>
      <family val="2"/>
      <b val="1"/>
      <color theme="1"/>
      <sz val="16"/>
    </font>
    <font>
      <name val="Univers LT Std 47 Cn Lt"/>
      <charset val="1"/>
      <family val="0"/>
      <color theme="0" tint="-0.5"/>
      <sz val="9"/>
    </font>
    <font>
      <name val="Univers LT Std 47 Cn Lt"/>
      <charset val="1"/>
      <family val="0"/>
      <sz val="8"/>
    </font>
    <font>
      <name val="Univers LT Std 47 Cn Lt"/>
      <charset val="1"/>
      <family val="0"/>
      <sz val="9"/>
    </font>
    <font>
      <name val="Calibri"/>
      <charset val="1"/>
      <family val="2"/>
      <b val="1"/>
      <sz val="14"/>
    </font>
    <font>
      <name val="Univers 47 CondensedLight"/>
      <charset val="1"/>
      <family val="0"/>
      <b val="1"/>
      <sz val="11"/>
    </font>
    <font>
      <name val="Univers 47 CondensedLight"/>
      <charset val="1"/>
      <family val="0"/>
      <sz val="10"/>
    </font>
    <font>
      <name val="Univers 47 CondensedLight"/>
      <charset val="1"/>
      <family val="0"/>
      <sz val="8"/>
    </font>
    <font>
      <name val="Calibri"/>
      <charset val="1"/>
      <family val="2"/>
      <b val="1"/>
      <color rgb="FFFF0000"/>
      <sz val="11"/>
    </font>
    <font>
      <name val="Calibri"/>
      <charset val="1"/>
      <family val="2"/>
      <color theme="0" tint="-0.5"/>
      <sz val="8"/>
    </font>
    <font>
      <name val="Arial"/>
      <charset val="1"/>
      <family val="2"/>
      <color theme="1"/>
      <sz val="15"/>
    </font>
    <font>
      <name val="Arial"/>
      <charset val="1"/>
      <family val="2"/>
      <b val="1"/>
      <color theme="1"/>
      <sz val="6.5"/>
    </font>
    <font>
      <name val="Arial"/>
      <charset val="1"/>
      <family val="2"/>
      <color theme="1"/>
      <sz val="6.5"/>
    </font>
    <font>
      <name val="Arial"/>
      <charset val="1"/>
      <family val="2"/>
      <b val="1"/>
      <color theme="1"/>
      <sz val="11.5"/>
    </font>
    <font>
      <name val="Calibri"/>
      <charset val="1"/>
      <family val="2"/>
      <color theme="1"/>
      <sz val="6.5"/>
    </font>
    <font>
      <name val="Calibri"/>
      <charset val="1"/>
      <family val="2"/>
      <color theme="1"/>
      <sz val="14"/>
    </font>
    <font>
      <name val="Calibri"/>
      <charset val="1"/>
      <family val="2"/>
      <color theme="1"/>
      <sz val="8"/>
    </font>
    <font>
      <name val="Calibri"/>
      <charset val="1"/>
      <family val="2"/>
      <color theme="1"/>
      <sz val="22"/>
    </font>
    <font>
      <name val="Arial"/>
      <charset val="1"/>
      <family val="2"/>
      <b val="1"/>
      <color rgb="FFC0C0C0"/>
      <sz val="8"/>
    </font>
    <font>
      <name val="Arial"/>
      <charset val="1"/>
      <family val="2"/>
      <color rgb="FFBFBFBF"/>
      <sz val="6.5"/>
    </font>
    <font>
      <name val="Arial"/>
      <charset val="1"/>
      <family val="2"/>
      <b val="1"/>
      <color rgb="FF333399"/>
      <sz val="10"/>
    </font>
    <font>
      <name val="Arial"/>
      <charset val="1"/>
      <family val="2"/>
      <b val="1"/>
      <color theme="1"/>
      <sz val="14"/>
    </font>
    <font>
      <name val="Arial"/>
      <charset val="1"/>
      <family val="2"/>
      <b val="1"/>
      <color theme="1"/>
      <sz val="36"/>
      <u val="single"/>
    </font>
    <font>
      <name val="Arial"/>
      <charset val="1"/>
      <family val="2"/>
      <b val="1"/>
      <color rgb="FF333399"/>
      <sz val="26"/>
      <u val="single"/>
    </font>
    <font>
      <name val="comic"/>
      <charset val="1"/>
      <family val="5"/>
      <b val="1"/>
      <color rgb="FF333399"/>
      <sz val="36"/>
      <u val="single"/>
    </font>
    <font>
      <name val="Arial"/>
      <charset val="1"/>
      <family val="2"/>
      <b val="1"/>
      <color rgb="FF333399"/>
      <sz val="14"/>
    </font>
    <font>
      <name val="Arial"/>
      <charset val="1"/>
      <family val="2"/>
      <sz val="14"/>
    </font>
    <font>
      <name val="Arial"/>
      <charset val="1"/>
      <family val="2"/>
      <b val="1"/>
      <sz val="14"/>
    </font>
    <font>
      <name val="Arial"/>
      <charset val="1"/>
      <family val="2"/>
      <b val="1"/>
      <sz val="14"/>
      <u val="single"/>
    </font>
    <font>
      <name val="Arial"/>
      <charset val="1"/>
      <family val="2"/>
      <b val="1"/>
      <sz val="18"/>
    </font>
    <font>
      <name val="Arial"/>
      <charset val="1"/>
      <family val="2"/>
      <sz val="14"/>
      <u val="single"/>
    </font>
    <font>
      <name val="Calibri Light"/>
      <charset val="1"/>
      <family val="1"/>
      <b val="1"/>
      <color rgb="FF333399"/>
      <sz val="14"/>
    </font>
    <font>
      <name val="Cambria"/>
      <charset val="1"/>
      <family val="1"/>
      <b val="1"/>
      <sz val="14"/>
    </font>
    <font>
      <name val="Arial Nova Cond"/>
      <charset val="1"/>
      <family val="2"/>
      <b val="1"/>
      <color theme="1"/>
      <sz val="14"/>
    </font>
    <font>
      <name val="Calibri"/>
      <charset val="1"/>
      <family val="2"/>
      <color theme="3"/>
      <sz val="11"/>
    </font>
    <font>
      <name val="Calibri"/>
      <charset val="1"/>
      <family val="2"/>
      <color theme="1"/>
      <sz val="20"/>
    </font>
    <font>
      <name val="Calibri"/>
      <charset val="1"/>
      <family val="2"/>
      <sz val="20"/>
    </font>
    <font>
      <name val="Calibri"/>
      <charset val="1"/>
      <family val="2"/>
      <color theme="3"/>
      <sz val="9"/>
    </font>
    <font>
      <name val="Calibri"/>
      <charset val="1"/>
      <family val="2"/>
      <color theme="3"/>
      <sz val="10"/>
    </font>
    <font>
      <name val="Calibri"/>
      <charset val="1"/>
      <family val="2"/>
      <color theme="0"/>
      <sz val="10"/>
    </font>
    <font>
      <name val="Calibri"/>
      <charset val="1"/>
      <family val="2"/>
      <b val="1"/>
      <color theme="1"/>
      <sz val="20"/>
    </font>
    <font>
      <name val="Abadi"/>
      <charset val="1"/>
      <family val="2"/>
      <b val="1"/>
      <sz val="10"/>
    </font>
    <font>
      <name val="Abadi"/>
      <charset val="1"/>
      <family val="2"/>
      <b val="1"/>
      <sz val="11"/>
    </font>
    <font>
      <name val="Abadi"/>
      <charset val="1"/>
      <family val="2"/>
      <b val="1"/>
      <sz val="12"/>
    </font>
    <font>
      <name val="Abadi"/>
      <charset val="1"/>
      <family val="2"/>
      <sz val="12"/>
    </font>
    <font>
      <name val="Abadi"/>
      <charset val="1"/>
      <family val="2"/>
      <color theme="1"/>
      <sz val="12"/>
    </font>
    <font>
      <name val="Abadi"/>
      <charset val="1"/>
      <family val="2"/>
      <b val="1"/>
      <color rgb="FFFF0000"/>
      <sz val="12"/>
    </font>
    <font>
      <name val="Abadi"/>
      <charset val="1"/>
      <family val="2"/>
      <color rgb="FFFF0000"/>
      <sz val="12"/>
    </font>
    <font>
      <name val="Calibri"/>
      <charset val="1"/>
      <family val="2"/>
      <color rgb="FFFF0000"/>
      <sz val="11"/>
    </font>
    <font>
      <name val="Abadi"/>
      <charset val="1"/>
      <family val="2"/>
      <i val="1"/>
      <sz val="12"/>
    </font>
    <font>
      <name val="Abadi"/>
      <charset val="1"/>
      <family val="2"/>
      <b val="1"/>
      <sz val="9"/>
    </font>
    <font>
      <name val="Abadi"/>
      <charset val="1"/>
      <family val="2"/>
      <b val="1"/>
      <color theme="1"/>
      <sz val="12"/>
    </font>
    <font>
      <name val="Abadi"/>
      <charset val="1"/>
      <family val="2"/>
      <b val="1"/>
      <i val="1"/>
      <sz val="12"/>
    </font>
    <font>
      <name val="Abadi"/>
      <charset val="1"/>
      <family val="2"/>
      <b val="1"/>
      <color theme="1"/>
      <sz val="10"/>
    </font>
    <font>
      <name val="Abadi"/>
      <charset val="1"/>
      <family val="2"/>
      <color rgb="FFFF0000"/>
      <sz val="26"/>
    </font>
    <font>
      <name val="Abadi"/>
      <charset val="1"/>
      <family val="2"/>
      <color rgb="FF000000"/>
      <sz val="12"/>
    </font>
    <font>
      <name val="Calibri"/>
      <charset val="1"/>
      <family val="2"/>
      <i val="1"/>
      <sz val="10"/>
    </font>
    <font>
      <name val="Arial"/>
      <charset val="1"/>
      <family val="2"/>
      <sz val="16"/>
    </font>
    <font>
      <name val="Arial"/>
      <charset val="1"/>
      <family val="2"/>
      <b val="1"/>
      <sz val="16"/>
    </font>
    <font>
      <name val="Arial"/>
      <charset val="1"/>
      <family val="2"/>
      <sz val="20"/>
    </font>
    <font>
      <name val="Calibri"/>
      <charset val="1"/>
      <family val="2"/>
      <sz val="16"/>
    </font>
    <font>
      <name val="Calibri"/>
      <charset val="1"/>
      <family val="2"/>
      <color theme="1"/>
      <sz val="16"/>
    </font>
    <font>
      <name val="Calibri"/>
      <charset val="1"/>
      <family val="2"/>
      <b val="1"/>
      <sz val="16"/>
    </font>
    <font>
      <name val="Arial"/>
      <charset val="1"/>
      <family val="2"/>
      <sz val="18"/>
    </font>
    <font>
      <name val="Arial"/>
      <charset val="1"/>
      <family val="2"/>
      <sz val="26"/>
    </font>
    <font>
      <name val="Arial"/>
      <charset val="1"/>
      <family val="2"/>
      <b val="1"/>
      <color rgb="FFFF0000"/>
      <sz val="16"/>
    </font>
    <font>
      <name val="Arial"/>
      <charset val="1"/>
      <family val="2"/>
      <b val="1"/>
      <sz val="12"/>
    </font>
    <font>
      <name val="Arial"/>
      <charset val="1"/>
      <family val="2"/>
      <sz val="22"/>
    </font>
    <font>
      <name val="Arial Narrow"/>
      <charset val="204"/>
      <family val="2"/>
      <b val="1"/>
      <sz val="16"/>
    </font>
    <font>
      <name val="Calibri"/>
      <charset val="1"/>
      <family val="2"/>
      <color theme="1"/>
      <sz val="19"/>
    </font>
    <font>
      <name val="Calibri"/>
      <charset val="1"/>
      <family val="2"/>
      <b val="1"/>
      <color theme="1"/>
      <sz val="19"/>
    </font>
    <font>
      <name val="Arial"/>
      <charset val="1"/>
      <family val="2"/>
      <sz val="24"/>
    </font>
    <font>
      <name val="Calibri"/>
      <charset val="1"/>
      <family val="2"/>
      <sz val="18"/>
    </font>
    <font>
      <name val="Calibri"/>
      <charset val="1"/>
      <family val="2"/>
      <b val="1"/>
      <sz val="28"/>
    </font>
    <font>
      <name val="Arial"/>
      <charset val="1"/>
      <family val="2"/>
      <sz val="12"/>
    </font>
    <font>
      <name val="Calibri"/>
      <charset val="1"/>
      <family val="2"/>
      <b val="1"/>
      <sz val="24"/>
    </font>
    <font>
      <name val="Calibri"/>
      <charset val="1"/>
      <family val="2"/>
      <color theme="10"/>
      <sz val="11"/>
      <u val="single"/>
    </font>
    <font>
      <name val="Calibri"/>
      <charset val="1"/>
      <family val="2"/>
      <sz val="22"/>
    </font>
    <font>
      <name val="Calibri"/>
      <charset val="1"/>
      <family val="2"/>
      <b val="1"/>
      <color rgb="FFFFFFFF"/>
      <sz val="11"/>
    </font>
  </fonts>
  <fills count="51">
    <fill>
      <patternFill/>
    </fill>
    <fill>
      <patternFill patternType="gray125"/>
    </fill>
    <fill>
      <patternFill patternType="solid">
        <fgColor theme="0"/>
        <bgColor rgb="FFF2F2F2"/>
      </patternFill>
    </fill>
    <fill>
      <patternFill patternType="solid">
        <fgColor theme="9" tint="0.3999"/>
        <bgColor rgb="FFBECBBD"/>
      </patternFill>
    </fill>
    <fill>
      <patternFill patternType="solid">
        <fgColor rgb="FFFFFF00"/>
        <bgColor rgb="FFFFCC00"/>
      </patternFill>
    </fill>
    <fill>
      <patternFill patternType="solid">
        <fgColor theme="0" tint="-0.15"/>
        <bgColor rgb="FFDBDBDB"/>
      </patternFill>
    </fill>
    <fill>
      <patternFill patternType="solid">
        <fgColor rgb="FFFF0000"/>
        <bgColor rgb="FFFF6600"/>
      </patternFill>
    </fill>
    <fill>
      <patternFill patternType="solid">
        <fgColor theme="0" tint="-0.25"/>
        <bgColor rgb="FFC0C0C0"/>
      </patternFill>
    </fill>
    <fill>
      <patternFill patternType="solid">
        <fgColor theme="0" tint="-0.05"/>
        <bgColor rgb="FFE1EFED"/>
      </patternFill>
    </fill>
    <fill>
      <patternFill patternType="solid">
        <fgColor theme="6" tint="0.5999"/>
        <bgColor rgb="FFD9D9D9"/>
      </patternFill>
    </fill>
    <fill>
      <patternFill patternType="solid">
        <fgColor rgb="FF333333"/>
        <bgColor rgb="FF44546A"/>
      </patternFill>
    </fill>
    <fill>
      <patternFill patternType="solid">
        <fgColor rgb="FFFF6600"/>
        <bgColor rgb="FFFF0000"/>
      </patternFill>
    </fill>
    <fill>
      <patternFill patternType="solid">
        <fgColor rgb="FFFFCC00"/>
        <bgColor rgb="FFFFFF00"/>
      </patternFill>
    </fill>
    <fill>
      <patternFill patternType="darkGray">
        <fgColor rgb="FFA6EA00"/>
        <bgColor rgb="FFFFFF00"/>
      </patternFill>
    </fill>
    <fill>
      <patternFill patternType="darkGray">
        <fgColor rgb="FFA6EA00"/>
        <bgColor rgb="FFA9D18E"/>
      </patternFill>
    </fill>
    <fill>
      <patternFill patternType="darkGray">
        <fgColor rgb="FF00A01B"/>
        <bgColor rgb="FF44546A"/>
      </patternFill>
    </fill>
    <fill>
      <patternFill patternType="solid">
        <fgColor rgb="FFC0C0C0"/>
        <bgColor rgb="FFBFBFBF"/>
      </patternFill>
    </fill>
    <fill>
      <patternFill patternType="solid">
        <fgColor theme="8" tint="0.5999"/>
        <bgColor rgb="FFC3C7E6"/>
      </patternFill>
    </fill>
    <fill>
      <patternFill patternType="solid">
        <fgColor theme="5" tint="0.5999"/>
        <bgColor rgb="FFE9CACD"/>
      </patternFill>
    </fill>
    <fill>
      <patternFill patternType="solid">
        <fgColor rgb="FFD4C6C7"/>
        <bgColor rgb="FFCBC8CE"/>
      </patternFill>
    </fill>
    <fill>
      <patternFill patternType="solid">
        <fgColor theme="4" tint="0.5999"/>
        <bgColor rgb="FFBAD7E3"/>
      </patternFill>
    </fill>
    <fill>
      <patternFill patternType="solid">
        <fgColor rgb="FFDDBDD0"/>
        <bgColor rgb="FFDEB6D8"/>
      </patternFill>
    </fill>
    <fill>
      <patternFill patternType="solid">
        <fgColor rgb="FFB7BACF"/>
        <bgColor rgb="FFBFBFBF"/>
      </patternFill>
    </fill>
    <fill>
      <patternFill patternType="solid">
        <fgColor rgb="FFBED0E9"/>
        <bgColor rgb="FFBDD7EE"/>
      </patternFill>
    </fill>
    <fill>
      <patternFill patternType="solid">
        <fgColor rgb="FFE3CCEA"/>
        <bgColor rgb="FFE3C7DB"/>
      </patternFill>
    </fill>
    <fill>
      <patternFill patternType="solid">
        <fgColor rgb="FFC3C7E6"/>
        <bgColor rgb="FFBED0E9"/>
      </patternFill>
    </fill>
    <fill>
      <patternFill patternType="solid">
        <fgColor rgb="FFCFCCDD"/>
        <bgColor rgb="FFCBC8CE"/>
      </patternFill>
    </fill>
    <fill>
      <patternFill patternType="solid">
        <fgColor rgb="FFE9CACD"/>
        <bgColor rgb="FFE4C7CE"/>
      </patternFill>
    </fill>
    <fill>
      <patternFill patternType="solid">
        <fgColor rgb="FFD8D6CC"/>
        <bgColor rgb="FFD9D9D9"/>
      </patternFill>
    </fill>
    <fill>
      <patternFill patternType="solid">
        <fgColor rgb="FFDEB6D8"/>
        <bgColor rgb="FFDDBDD0"/>
      </patternFill>
    </fill>
    <fill>
      <patternFill patternType="solid">
        <fgColor rgb="FFBEDED8"/>
        <bgColor rgb="FFC0E2DA"/>
      </patternFill>
    </fill>
    <fill>
      <patternFill patternType="solid">
        <fgColor rgb="FFC7BACE"/>
        <bgColor rgb="FFCDB5CD"/>
      </patternFill>
    </fill>
    <fill>
      <patternFill patternType="solid">
        <fgColor rgb="FFC0E2DA"/>
        <bgColor rgb="FFBEDED8"/>
      </patternFill>
    </fill>
    <fill>
      <patternFill patternType="solid">
        <fgColor rgb="FFCDB5CD"/>
        <bgColor rgb="FFC7BACE"/>
      </patternFill>
    </fill>
    <fill>
      <patternFill patternType="solid">
        <fgColor rgb="FFCACAB5"/>
        <bgColor rgb="FFBECBBD"/>
      </patternFill>
    </fill>
    <fill>
      <patternFill patternType="solid">
        <fgColor rgb="FFE3EBBA"/>
        <bgColor rgb="FFF0E7C4"/>
      </patternFill>
    </fill>
    <fill>
      <patternFill patternType="solid">
        <fgColor rgb="FFE2D7E1"/>
        <bgColor rgb="FFDBDBDB"/>
      </patternFill>
    </fill>
    <fill>
      <patternFill patternType="solid">
        <fgColor rgb="FFBECBBD"/>
        <bgColor rgb="FFBBC7C0"/>
      </patternFill>
    </fill>
    <fill>
      <patternFill patternType="darkGray">
        <fgColor rgb="FFF0E7C4"/>
        <bgColor rgb="FFE3EBBA"/>
      </patternFill>
    </fill>
    <fill>
      <patternFill patternType="solid">
        <fgColor rgb="FFBEBCE9"/>
        <bgColor rgb="FFC3C7E6"/>
      </patternFill>
    </fill>
    <fill>
      <patternFill patternType="mediumGray">
        <fgColor rgb="FF1A57A4"/>
        <bgColor rgb="FF44546A"/>
      </patternFill>
    </fill>
    <fill>
      <patternFill patternType="solid">
        <fgColor rgb="FFE2CCC2"/>
        <bgColor rgb="FFE9CACD"/>
      </patternFill>
    </fill>
    <fill>
      <patternFill patternType="solid">
        <fgColor rgb="FFD4D4BD"/>
        <bgColor rgb="FFD8D6CC"/>
      </patternFill>
    </fill>
    <fill>
      <patternFill patternType="solid">
        <fgColor rgb="FFE4C7CE"/>
        <bgColor rgb="FFE9CACD"/>
      </patternFill>
    </fill>
    <fill>
      <patternFill patternType="solid">
        <fgColor rgb="FFCBC8CE"/>
        <bgColor rgb="FFD4C6C7"/>
      </patternFill>
    </fill>
    <fill>
      <patternFill patternType="solid">
        <fgColor rgb="FFBAD7E3"/>
        <bgColor rgb="FFBDD7EE"/>
      </patternFill>
    </fill>
    <fill>
      <patternFill patternType="solid">
        <fgColor rgb="FFBBC7C0"/>
        <bgColor rgb="FFBECBBD"/>
      </patternFill>
    </fill>
    <fill>
      <patternFill patternType="solid">
        <fgColor rgb="FFC5E0E5"/>
        <bgColor rgb="FFC0E2DA"/>
      </patternFill>
    </fill>
    <fill>
      <patternFill patternType="solid">
        <fgColor rgb="FFC4EACB"/>
        <bgColor rgb="FFC0E2DA"/>
      </patternFill>
    </fill>
    <fill>
      <patternFill patternType="solid">
        <fgColor rgb="FFE3C7DB"/>
        <bgColor rgb="FFE4C7CE"/>
      </patternFill>
    </fill>
    <fill>
      <patternFill patternType="solid">
        <fgColor rgb="FFE1DFE6"/>
        <bgColor rgb="FFDBDBDB"/>
      </patternFill>
    </fill>
  </fills>
  <borders count="111">
    <border>
      <left/>
      <right/>
      <top/>
      <bottom/>
      <diagonal/>
    </border>
    <border>
      <left style="medium"/>
      <right/>
      <top style="medium"/>
      <bottom style="medium"/>
      <diagonal/>
    </border>
    <border>
      <left/>
      <right/>
      <top style="medium"/>
      <bottom style="medium"/>
      <diagonal/>
    </border>
    <border>
      <left/>
      <right style="medium"/>
      <top style="medium"/>
      <bottom style="medium"/>
      <diagonal/>
    </border>
    <border>
      <left style="medium"/>
      <right style="medium"/>
      <top style="medium"/>
      <bottom style="medium"/>
      <diagonal/>
    </border>
    <border>
      <left style="medium"/>
      <right style="thin"/>
      <top style="medium"/>
      <bottom style="thin"/>
      <diagonal/>
    </border>
    <border>
      <left style="thin"/>
      <right style="thin"/>
      <top style="thin"/>
      <bottom style="thin"/>
      <diagonal/>
    </border>
    <border>
      <left style="thin"/>
      <right style="thin"/>
      <top style="medium"/>
      <bottom style="thin"/>
      <diagonal/>
    </border>
    <border>
      <left style="thin"/>
      <right style="medium"/>
      <top style="thin"/>
      <bottom style="thin"/>
      <diagonal/>
    </border>
    <border>
      <left style="medium"/>
      <right style="thin"/>
      <top style="thin"/>
      <bottom style="thin"/>
      <diagonal/>
    </border>
    <border>
      <left style="medium"/>
      <right style="thin"/>
      <top style="thin"/>
      <bottom style="medium"/>
      <diagonal/>
    </border>
    <border>
      <left style="thin"/>
      <right style="thin"/>
      <top style="thin"/>
      <bottom style="medium"/>
      <diagonal/>
    </border>
    <border>
      <left style="thin"/>
      <right style="medium"/>
      <top style="thin"/>
      <bottom style="medium"/>
      <diagonal/>
    </border>
    <border>
      <left style="medium"/>
      <right style="thin"/>
      <top/>
      <bottom style="thin"/>
      <diagonal/>
    </border>
    <border>
      <left/>
      <right style="thin"/>
      <top/>
      <bottom style="thin"/>
      <diagonal/>
    </border>
    <border>
      <left style="thin"/>
      <right style="thin"/>
      <top/>
      <bottom style="thin"/>
      <diagonal/>
    </border>
    <border>
      <left/>
      <right style="thin"/>
      <top style="thin"/>
      <bottom style="medium"/>
      <diagonal/>
    </border>
    <border>
      <left style="medium"/>
      <right style="thin"/>
      <top style="medium"/>
      <bottom/>
      <diagonal/>
    </border>
    <border>
      <left style="thin"/>
      <right style="thin"/>
      <top style="medium"/>
      <bottom/>
      <diagonal/>
    </border>
    <border>
      <left style="thin"/>
      <right style="medium"/>
      <top style="medium"/>
      <bottom/>
      <diagonal/>
    </border>
    <border>
      <left style="thin">
        <color theme="1"/>
      </left>
      <right style="thin">
        <color theme="1"/>
      </right>
      <top style="thin">
        <color theme="1"/>
      </top>
      <bottom/>
      <diagonal/>
    </border>
    <border>
      <left style="thin"/>
      <right style="medium"/>
      <top style="medium"/>
      <bottom style="thin"/>
      <diagonal/>
    </border>
    <border>
      <left style="medium"/>
      <right style="thin"/>
      <top style="thin"/>
      <bottom/>
      <diagonal/>
    </border>
    <border>
      <left style="thin"/>
      <right style="medium"/>
      <top style="thin"/>
      <bottom/>
      <diagonal/>
    </border>
    <border>
      <left style="medium"/>
      <right style="medium"/>
      <top style="thin"/>
      <bottom style="thin"/>
      <diagonal/>
    </border>
    <border>
      <left style="thin"/>
      <right style="medium"/>
      <top/>
      <bottom style="thin"/>
      <diagonal/>
    </border>
    <border>
      <left style="medium"/>
      <right style="medium"/>
      <top/>
      <bottom/>
      <diagonal/>
    </border>
    <border>
      <left style="medium"/>
      <right style="medium"/>
      <top style="thin"/>
      <bottom/>
      <diagonal/>
    </border>
    <border>
      <left/>
      <right/>
      <top style="medium"/>
      <bottom/>
      <diagonal/>
    </border>
    <border>
      <left/>
      <right style="medium"/>
      <top style="medium"/>
      <bottom/>
      <diagonal/>
    </border>
    <border>
      <left/>
      <right style="medium"/>
      <top/>
      <bottom/>
      <diagonal/>
    </border>
    <border>
      <left style="medium"/>
      <right style="medium"/>
      <top/>
      <bottom style="medium"/>
      <diagonal/>
    </border>
    <border>
      <left/>
      <right/>
      <top/>
      <bottom style="medium"/>
      <diagonal/>
    </border>
    <border>
      <left style="medium"/>
      <right/>
      <top style="medium"/>
      <bottom/>
      <diagonal/>
    </border>
    <border>
      <left style="medium"/>
      <right/>
      <top/>
      <bottom/>
      <diagonal/>
    </border>
    <border>
      <left style="medium"/>
      <right/>
      <top/>
      <bottom style="medium"/>
      <diagonal/>
    </border>
    <border>
      <left/>
      <right style="medium"/>
      <top/>
      <bottom style="medium"/>
      <diagonal/>
    </border>
    <border>
      <left style="medium"/>
      <right style="thin"/>
      <top/>
      <bottom style="medium"/>
      <diagonal/>
    </border>
    <border>
      <left style="thin"/>
      <right/>
      <top/>
      <bottom style="medium"/>
      <diagonal/>
    </border>
    <border>
      <left style="thin"/>
      <right style="thin"/>
      <top/>
      <bottom style="medium"/>
      <diagonal/>
    </border>
    <border>
      <left style="thin"/>
      <right style="medium"/>
      <top/>
      <bottom style="medium"/>
      <diagonal/>
    </border>
    <border>
      <left style="medium"/>
      <right/>
      <top/>
      <bottom style="thin"/>
      <diagonal/>
    </border>
    <border>
      <left/>
      <right/>
      <top/>
      <bottom style="thin"/>
      <diagonal/>
    </border>
    <border>
      <left style="thin"/>
      <right/>
      <top style="thin"/>
      <bottom style="thin"/>
      <diagonal/>
    </border>
    <border>
      <left/>
      <right style="thin"/>
      <top style="thin"/>
      <bottom style="thin"/>
      <diagonal/>
    </border>
    <border>
      <left style="thin"/>
      <right/>
      <top style="thin"/>
      <bottom style="medium"/>
      <diagonal/>
    </border>
    <border>
      <left style="medium"/>
      <right/>
      <top style="medium"/>
      <bottom style="thin"/>
      <diagonal/>
    </border>
    <border>
      <left/>
      <right style="thin"/>
      <top style="medium"/>
      <bottom style="thin"/>
      <diagonal/>
    </border>
    <border>
      <left/>
      <right style="medium"/>
      <top/>
      <bottom style="thin"/>
      <diagonal/>
    </border>
    <border>
      <left style="medium"/>
      <right/>
      <top style="thin"/>
      <bottom style="thin"/>
      <diagonal/>
    </border>
    <border>
      <left/>
      <right style="medium"/>
      <top style="thin"/>
      <bottom style="thin"/>
      <diagonal/>
    </border>
    <border>
      <left style="medium"/>
      <right style="medium"/>
      <top style="thin"/>
      <bottom style="medium"/>
      <diagonal/>
    </border>
    <border>
      <left style="medium"/>
      <right style="thin"/>
      <top/>
      <bottom/>
      <diagonal/>
    </border>
    <border>
      <left style="thin"/>
      <right style="medium"/>
      <top/>
      <bottom/>
      <diagonal/>
    </border>
    <border>
      <left/>
      <right/>
      <top style="medium">
        <color rgb="FF333333"/>
      </top>
      <bottom/>
      <diagonal/>
    </border>
    <border>
      <left/>
      <right style="medium">
        <color rgb="FF333333"/>
      </right>
      <top style="medium">
        <color rgb="FF333333"/>
      </top>
      <bottom style="thin">
        <color rgb="FFA1A1A1"/>
      </bottom>
      <diagonal/>
    </border>
    <border>
      <left/>
      <right style="medium">
        <color rgb="FF333333"/>
      </right>
      <top style="thin">
        <color rgb="FFA1A1A1"/>
      </top>
      <bottom style="thin">
        <color rgb="FFA1A1A1"/>
      </bottom>
      <diagonal/>
    </border>
    <border>
      <left/>
      <right/>
      <top/>
      <bottom style="medium">
        <color rgb="FF333333"/>
      </bottom>
      <diagonal/>
    </border>
    <border>
      <left/>
      <right style="medium">
        <color rgb="FF333333"/>
      </right>
      <top style="thin">
        <color rgb="FFA1A1A1"/>
      </top>
      <bottom style="medium">
        <color rgb="FF333333"/>
      </bottom>
      <diagonal/>
    </border>
    <border>
      <left/>
      <right style="thin">
        <color rgb="FF333333"/>
      </right>
      <top style="medium">
        <color rgb="FF333333"/>
      </top>
      <bottom style="medium">
        <color rgb="FF333333"/>
      </bottom>
      <diagonal/>
    </border>
    <border>
      <left style="thin">
        <color rgb="FF333333"/>
      </left>
      <right style="thin">
        <color rgb="FF333333"/>
      </right>
      <top style="medium">
        <color rgb="FF333333"/>
      </top>
      <bottom style="thin">
        <color rgb="FF808080"/>
      </bottom>
      <diagonal/>
    </border>
    <border>
      <left style="thin">
        <color rgb="FF333333"/>
      </left>
      <right style="medium">
        <color rgb="FF333333"/>
      </right>
      <top style="medium">
        <color rgb="FF333333"/>
      </top>
      <bottom style="thin">
        <color rgb="FF808080"/>
      </bottom>
      <diagonal/>
    </border>
    <border>
      <left style="thin">
        <color rgb="FF333333"/>
      </left>
      <right style="thin">
        <color rgb="FF333333"/>
      </right>
      <top style="thin">
        <color rgb="FF808080"/>
      </top>
      <bottom style="thin">
        <color rgb="FF333333"/>
      </bottom>
      <diagonal/>
    </border>
    <border>
      <left style="thin">
        <color rgb="FF333333"/>
      </left>
      <right style="medium">
        <color rgb="FF333333"/>
      </right>
      <top style="thin">
        <color rgb="FF808080"/>
      </top>
      <bottom style="thin">
        <color rgb="FF333333"/>
      </bottom>
      <diagonal/>
    </border>
    <border>
      <left style="thin">
        <color rgb="FF333333"/>
      </left>
      <right style="thin">
        <color rgb="FF333333"/>
      </right>
      <top style="thin">
        <color rgb="FF333333"/>
      </top>
      <bottom/>
      <diagonal/>
    </border>
    <border>
      <left style="thin">
        <color rgb="FF333333"/>
      </left>
      <right style="medium">
        <color rgb="FF333333"/>
      </right>
      <top style="thin">
        <color rgb="FF333333"/>
      </top>
      <bottom/>
      <diagonal/>
    </border>
    <border>
      <left style="thin">
        <color rgb="FF333333"/>
      </left>
      <right style="thin">
        <color rgb="FF333333"/>
      </right>
      <top/>
      <bottom style="medium">
        <color rgb="FF333333"/>
      </bottom>
      <diagonal/>
    </border>
    <border>
      <left style="thin">
        <color rgb="FF333333"/>
      </left>
      <right style="medium">
        <color rgb="FF333333"/>
      </right>
      <top/>
      <bottom style="medium">
        <color rgb="FF333333"/>
      </bottom>
      <diagonal/>
    </border>
    <border>
      <left/>
      <right/>
      <top style="medium">
        <color rgb="FF333333"/>
      </top>
      <bottom style="medium">
        <color rgb="FF333333"/>
      </bottom>
      <diagonal/>
    </border>
    <border>
      <left/>
      <right/>
      <top style="medium">
        <color rgb="FF333333"/>
      </top>
      <bottom style="thin">
        <color rgb="FF333333"/>
      </bottom>
      <diagonal/>
    </border>
    <border>
      <left/>
      <right style="medium">
        <color rgb="FF333333"/>
      </right>
      <top style="medium">
        <color rgb="FF333333"/>
      </top>
      <bottom style="thin">
        <color rgb="FF333333"/>
      </bottom>
      <diagonal/>
    </border>
    <border>
      <left/>
      <right/>
      <top style="thin"/>
      <bottom/>
      <diagonal/>
    </border>
    <border>
      <left/>
      <right/>
      <top style="thin"/>
      <bottom style="thin"/>
      <diagonal/>
    </border>
    <border>
      <left/>
      <right style="thin"/>
      <top/>
      <bottom style="medium"/>
      <diagonal/>
    </border>
    <border>
      <left/>
      <right style="thin"/>
      <top/>
      <bottom/>
      <diagonal/>
    </border>
    <border>
      <left style="thin"/>
      <right style="thin"/>
      <top/>
      <bottom/>
      <diagonal/>
    </border>
    <border>
      <left style="medium"/>
      <right style="medium"/>
      <top style="medium"/>
      <bottom style="thin"/>
      <diagonal/>
    </border>
    <border>
      <left/>
      <right style="thin"/>
      <top style="medium"/>
      <bottom/>
      <diagonal/>
    </border>
    <border>
      <left/>
      <right style="thin"/>
      <top style="thin"/>
      <bottom/>
      <diagonal/>
    </border>
    <border>
      <left/>
      <right style="medium"/>
      <top style="thin"/>
      <bottom/>
      <diagonal/>
    </border>
    <border>
      <left/>
      <right/>
      <top style="thin"/>
      <bottom style="medium"/>
      <diagonal/>
    </border>
    <border>
      <left/>
      <right style="medium"/>
      <top style="thin"/>
      <bottom style="medium"/>
      <diagonal/>
    </border>
    <border>
      <left/>
      <right/>
      <top style="medium"/>
      <bottom style="thin"/>
      <diagonal/>
    </border>
    <border>
      <left/>
      <right/>
      <top style="thin">
        <color theme="1"/>
      </top>
      <bottom/>
      <diagonal/>
    </border>
    <border>
      <left/>
      <right style="thin">
        <color theme="1"/>
      </right>
      <top style="thin">
        <color theme="1"/>
      </top>
      <bottom/>
      <diagonal/>
    </border>
    <border>
      <left style="thin"/>
      <right/>
      <top/>
      <bottom/>
      <diagonal/>
    </border>
    <border>
      <left/>
      <right style="medium"/>
      <top style="medium"/>
      <bottom style="thin"/>
      <diagonal/>
    </border>
    <border>
      <left/>
      <right style="medium">
        <color rgb="FF333333"/>
      </right>
      <top style="medium">
        <color rgb="FF333333"/>
      </top>
      <bottom/>
      <diagonal/>
    </border>
    <border>
      <left/>
      <right/>
      <top style="medium">
        <color rgb="FF333333"/>
      </top>
      <bottom style="thin">
        <color rgb="FFA1A1A1"/>
      </bottom>
      <diagonal/>
    </border>
    <border>
      <left/>
      <right/>
      <top style="thin">
        <color rgb="FFA1A1A1"/>
      </top>
      <bottom/>
      <diagonal/>
    </border>
    <border>
      <left/>
      <right style="medium">
        <color rgb="FF333333"/>
      </right>
      <top style="thin">
        <color rgb="FFA1A1A1"/>
      </top>
      <bottom/>
      <diagonal/>
    </border>
    <border>
      <left/>
      <right/>
      <top style="thin">
        <color rgb="FFA1A1A1"/>
      </top>
      <bottom style="thin">
        <color rgb="FFA1A1A1"/>
      </bottom>
      <diagonal/>
    </border>
    <border>
      <left/>
      <right/>
      <top style="thin">
        <color rgb="FFA1A1A1"/>
      </top>
      <bottom style="medium">
        <color rgb="FF333333"/>
      </bottom>
      <diagonal/>
    </border>
    <border>
      <left/>
      <right style="thin">
        <color rgb="FF333333"/>
      </right>
      <top/>
      <bottom/>
      <diagonal/>
    </border>
    <border>
      <left/>
      <right style="thin">
        <color rgb="FF333333"/>
      </right>
      <top/>
      <bottom style="medium">
        <color rgb="FF333333"/>
      </bottom>
      <diagonal/>
    </border>
    <border>
      <left/>
      <right style="thin">
        <color rgb="FF333333"/>
      </right>
      <top style="medium">
        <color rgb="FF333333"/>
      </top>
      <bottom/>
      <diagonal/>
    </border>
    <border>
      <left/>
      <right style="thin">
        <color rgb="FF333333"/>
      </right>
      <top style="medium">
        <color rgb="FF333333"/>
      </top>
      <bottom style="thin">
        <color rgb="FF808080"/>
      </bottom>
      <diagonal/>
    </border>
    <border>
      <left/>
      <right style="medium">
        <color rgb="FF333333"/>
      </right>
      <top style="medium">
        <color rgb="FF333333"/>
      </top>
      <bottom style="thin">
        <color rgb="FF808080"/>
      </bottom>
      <diagonal/>
    </border>
    <border>
      <left/>
      <right/>
      <top style="thin">
        <color rgb="FF808080"/>
      </top>
      <bottom/>
      <diagonal/>
    </border>
    <border>
      <left/>
      <right style="thin">
        <color rgb="FF333333"/>
      </right>
      <top style="thin">
        <color rgb="FF808080"/>
      </top>
      <bottom/>
      <diagonal/>
    </border>
    <border>
      <left/>
      <right style="thin">
        <color rgb="FF333333"/>
      </right>
      <top style="thin">
        <color rgb="FF808080"/>
      </top>
      <bottom style="thin">
        <color rgb="FF333333"/>
      </bottom>
      <diagonal/>
    </border>
    <border>
      <left/>
      <right style="medium">
        <color rgb="FF333333"/>
      </right>
      <top style="thin">
        <color rgb="FF808080"/>
      </top>
      <bottom/>
      <diagonal/>
    </border>
    <border>
      <left/>
      <right style="medium">
        <color rgb="FF333333"/>
      </right>
      <top style="thin">
        <color rgb="FF808080"/>
      </top>
      <bottom style="thin">
        <color rgb="FF333333"/>
      </bottom>
      <diagonal/>
    </border>
    <border>
      <left/>
      <right/>
      <top style="thin">
        <color rgb="FF333333"/>
      </top>
      <bottom/>
      <diagonal/>
    </border>
    <border>
      <left/>
      <right style="thin">
        <color rgb="FF333333"/>
      </right>
      <top style="thin">
        <color rgb="FF333333"/>
      </top>
      <bottom/>
      <diagonal/>
    </border>
    <border>
      <left/>
      <right style="medium">
        <color rgb="FF333333"/>
      </right>
      <top style="thin">
        <color rgb="FF333333"/>
      </top>
      <bottom/>
      <diagonal/>
    </border>
    <border>
      <left/>
      <right style="medium">
        <color rgb="FF333333"/>
      </right>
      <top/>
      <bottom/>
      <diagonal/>
    </border>
    <border>
      <left/>
      <right style="medium">
        <color rgb="FF333333"/>
      </right>
      <top/>
      <bottom style="medium">
        <color rgb="FF333333"/>
      </bottom>
      <diagonal/>
    </border>
    <border>
      <left style="thin">
        <color rgb="FF333333"/>
      </left>
      <right/>
      <top/>
      <bottom/>
      <diagonal/>
    </border>
    <border>
      <left style="thin">
        <color rgb="FF333333"/>
      </left>
      <right/>
      <top/>
      <bottom style="medium">
        <color rgb="FF333333"/>
      </bottom>
      <diagonal/>
    </border>
    <border>
      <left style="thin"/>
      <right/>
      <top/>
      <bottom style="thin"/>
      <diagonal/>
    </border>
  </borders>
  <cellStyleXfs count="19">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0" fillId="0" borderId="0" applyAlignment="1">
      <alignment horizontal="general" vertical="bottom"/>
    </xf>
    <xf numFmtId="0" fontId="141" fillId="0" borderId="0" applyAlignment="1">
      <alignment horizontal="general" vertical="bottom"/>
    </xf>
    <xf numFmtId="171" fontId="0" fillId="0" borderId="0" applyAlignment="1">
      <alignment horizontal="general" vertical="bottom"/>
    </xf>
    <xf numFmtId="0" fontId="4" fillId="0" borderId="0" applyAlignment="1">
      <alignment horizontal="general" vertical="bottom"/>
    </xf>
    <xf numFmtId="0" fontId="5" fillId="0" borderId="0" applyAlignment="1">
      <alignment horizontal="general" vertical="bottom"/>
    </xf>
    <xf numFmtId="0" fontId="0"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6" fillId="0" borderId="0" applyAlignment="1">
      <alignment horizontal="general" vertical="bottom"/>
    </xf>
    <xf numFmtId="0" fontId="7"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cellStyleXfs>
  <cellXfs count="1861">
    <xf numFmtId="0" fontId="0" fillId="0" borderId="0" applyAlignment="1" pivotButton="0" quotePrefix="0" xfId="0">
      <alignment horizontal="general" vertical="bottom"/>
    </xf>
    <xf numFmtId="0" fontId="0" fillId="2" borderId="0" applyAlignment="1" pivotButton="0" quotePrefix="0" xfId="0">
      <alignment horizontal="general" vertical="bottom"/>
    </xf>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11" fillId="3" borderId="6" applyAlignment="1" pivotButton="0" quotePrefix="0" xfId="0">
      <alignment horizontal="center" vertical="center" wrapText="1"/>
    </xf>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18" fillId="3" borderId="6" applyAlignment="1" pivotButton="0" quotePrefix="0" xfId="0">
      <alignment horizontal="left" vertical="center" wrapText="1"/>
    </xf>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0" fillId="0" borderId="0" applyAlignment="1" pivotButton="0" quotePrefix="0" xfId="0">
      <alignment horizontal="general" vertical="center"/>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center" vertical="center"/>
      <protection locked="0" hidden="0"/>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4" fillId="0" borderId="5" applyAlignment="1" pivotButton="0" quotePrefix="0" xfId="0">
      <alignment horizontal="center" vertical="center" wrapText="1"/>
    </xf>
    <xf numFmtId="0" fontId="25" fillId="0" borderId="7" applyAlignment="1" pivotButton="0" quotePrefix="0" xfId="0">
      <alignment horizontal="center" vertical="center" wrapText="1"/>
    </xf>
    <xf numFmtId="0" fontId="24" fillId="0" borderId="21" applyAlignment="1" pivotButton="0" quotePrefix="0" xfId="0">
      <alignment horizontal="general" vertical="center" wrapText="1"/>
    </xf>
    <xf numFmtId="0" fontId="21" fillId="0" borderId="0" applyAlignment="1" pivotButton="0" quotePrefix="0" xfId="0">
      <alignment horizontal="general" vertical="bottom"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2" applyAlignment="1" pivotButton="0" quotePrefix="0" xfId="0">
      <alignment horizontal="center" vertical="center" wrapText="1"/>
    </xf>
    <xf numFmtId="0" fontId="24" fillId="0" borderId="20" applyAlignment="1" pivotButton="0" quotePrefix="0" xfId="0">
      <alignment horizontal="center" vertical="center" wrapText="1"/>
    </xf>
    <xf numFmtId="168" fontId="24" fillId="0" borderId="20" applyAlignment="1" pivotButton="0" quotePrefix="0" xfId="0">
      <alignment horizontal="center" vertical="center" wrapText="1"/>
    </xf>
    <xf numFmtId="0" fontId="24" fillId="0" borderId="23" applyAlignment="1" pivotButton="0" quotePrefix="0" xfId="0">
      <alignment horizontal="center" vertical="center" wrapText="1"/>
    </xf>
    <xf numFmtId="0" fontId="24" fillId="0" borderId="24" applyAlignment="1" pivotButton="0" quotePrefix="0" xfId="0">
      <alignment horizontal="center"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5" applyAlignment="1" pivotButton="0" quotePrefix="0" xfId="0">
      <alignment horizontal="center" vertical="center" wrapText="1"/>
    </xf>
    <xf numFmtId="0" fontId="24" fillId="0" borderId="0" applyAlignment="1" pivotButton="0" quotePrefix="0" xfId="0">
      <alignment horizontal="general" vertical="bottom" wrapText="1"/>
    </xf>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66" fontId="29" fillId="4" borderId="9" applyAlignment="1" applyProtection="1" pivotButton="0" quotePrefix="0" xfId="0">
      <alignment horizontal="center" vertical="center" wrapText="1"/>
      <protection locked="0" hidden="0"/>
    </xf>
    <xf numFmtId="20" fontId="29" fillId="6" borderId="6" applyAlignment="1" applyProtection="1" pivotButton="0" quotePrefix="0" xfId="0">
      <alignment horizontal="center" vertical="center" wrapText="1"/>
      <protection locked="0" hidden="0"/>
    </xf>
    <xf numFmtId="0" fontId="27" fillId="3" borderId="8" applyAlignment="1" applyProtection="1" pivotButton="0" quotePrefix="0" xfId="0">
      <alignment horizontal="general" vertical="center" wrapText="1"/>
      <protection locked="0" hidden="0"/>
    </xf>
    <xf numFmtId="166" fontId="29" fillId="2" borderId="9" applyAlignment="1" applyProtection="1" pivotButton="0" quotePrefix="0" xfId="0">
      <alignment horizontal="center" vertical="center" wrapText="1"/>
      <protection locked="0" hidden="0"/>
    </xf>
    <xf numFmtId="2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center" wrapText="1"/>
      <protection locked="0" hidden="0"/>
    </xf>
    <xf numFmtId="0" fontId="21" fillId="2" borderId="0" applyAlignment="1" applyProtection="1" pivotButton="0" quotePrefix="0" xfId="0">
      <alignment horizontal="general" vertical="bottom" wrapText="1"/>
      <protection locked="0" hidden="0"/>
    </xf>
    <xf numFmtId="20" fontId="30" fillId="0" borderId="6" applyAlignment="1" applyProtection="1" pivotButton="0" quotePrefix="0" xfId="0">
      <alignment horizontal="center" vertical="center" wrapText="1"/>
      <protection locked="0" hidden="0"/>
    </xf>
    <xf numFmtId="20" fontId="30"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applyProtection="1" pivotButton="0" quotePrefix="0" xfId="0">
      <alignment horizontal="general" vertical="center"/>
      <protection locked="0" hidden="0"/>
    </xf>
    <xf numFmtId="0" fontId="31"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32" fillId="0" borderId="31" applyAlignment="1" applyProtection="1" pivotButton="0" quotePrefix="0" xfId="0">
      <alignment horizontal="center" vertical="center"/>
      <protection locked="0" hidden="0"/>
    </xf>
    <xf numFmtId="169" fontId="33" fillId="0" borderId="31" applyAlignment="1" applyProtection="1" pivotButton="0" quotePrefix="0" xfId="0">
      <alignment horizontal="center" vertical="center"/>
      <protection locked="0" hidden="0"/>
    </xf>
    <xf numFmtId="0" fontId="34" fillId="0" borderId="32" applyAlignment="1" applyProtection="1" pivotButton="0" quotePrefix="0" xfId="0">
      <alignment horizontal="center" vertical="bottom" wrapText="1"/>
      <protection locked="0" hidden="0"/>
    </xf>
    <xf numFmtId="169" fontId="35" fillId="0" borderId="4" applyAlignment="1" applyProtection="1" pivotButton="0" quotePrefix="0" xfId="0">
      <alignment horizontal="center" vertical="center"/>
      <protection locked="0" hidden="0"/>
    </xf>
    <xf numFmtId="0" fontId="36" fillId="2" borderId="31" applyAlignment="1" applyProtection="1" pivotButton="0" quotePrefix="0" xfId="0">
      <alignment horizontal="center" vertical="center" wrapText="1"/>
      <protection locked="0" hidden="0"/>
    </xf>
    <xf numFmtId="0" fontId="37" fillId="2" borderId="0" applyAlignment="1" applyProtection="1" pivotButton="0" quotePrefix="0" xfId="0">
      <alignment horizontal="general" vertical="center" wrapText="1"/>
      <protection locked="0" hidden="0"/>
    </xf>
    <xf numFmtId="0" fontId="38" fillId="0" borderId="0" applyAlignment="1" applyProtection="1" pivotButton="0" quotePrefix="0" xfId="29">
      <alignment horizontal="left" vertical="top"/>
      <protection locked="0" hidden="0"/>
    </xf>
    <xf numFmtId="0" fontId="38" fillId="0" borderId="1" applyAlignment="1" pivotButton="0" quotePrefix="0" xfId="29">
      <alignment horizontal="left" vertical="top"/>
    </xf>
    <xf numFmtId="0" fontId="38" fillId="0" borderId="2" applyAlignment="1" pivotButton="0" quotePrefix="0" xfId="29">
      <alignment horizontal="left" vertical="top"/>
    </xf>
    <xf numFmtId="0" fontId="38" fillId="0" borderId="3" applyAlignment="1" pivotButton="0" quotePrefix="0" xfId="29">
      <alignment horizontal="left" vertical="top"/>
    </xf>
    <xf numFmtId="0" fontId="39" fillId="7" borderId="4" applyAlignment="1" pivotButton="0" quotePrefix="0" xfId="29">
      <alignment horizontal="center" vertical="top"/>
    </xf>
    <xf numFmtId="0" fontId="40" fillId="0" borderId="33" applyAlignment="1" pivotButton="0" quotePrefix="0" xfId="29">
      <alignment horizontal="center" vertical="top" wrapText="1"/>
    </xf>
    <xf numFmtId="0" fontId="40" fillId="0" borderId="28" applyAlignment="1" pivotButton="0" quotePrefix="0" xfId="29">
      <alignment horizontal="left" vertical="center" wrapText="1"/>
    </xf>
    <xf numFmtId="0" fontId="40" fillId="0" borderId="28" applyAlignment="1" pivotButton="0" quotePrefix="0" xfId="29">
      <alignment horizontal="left" vertical="top" wrapText="1"/>
    </xf>
    <xf numFmtId="1" fontId="39" fillId="0" borderId="29" applyAlignment="1" pivotButton="0" quotePrefix="0" xfId="29">
      <alignment horizontal="left" vertical="top" shrinkToFit="1" indent="1"/>
    </xf>
    <xf numFmtId="0" fontId="40" fillId="0" borderId="34" applyAlignment="1" pivotButton="0" quotePrefix="0" xfId="29">
      <alignment horizontal="center" vertical="top" wrapText="1"/>
    </xf>
    <xf numFmtId="0" fontId="40" fillId="0" borderId="0" applyAlignment="1" pivotButton="0" quotePrefix="0" xfId="29">
      <alignment horizontal="left" vertical="center" wrapText="1"/>
    </xf>
    <xf numFmtId="0" fontId="40" fillId="0" borderId="0" applyAlignment="1" pivotButton="0" quotePrefix="0" xfId="29">
      <alignment horizontal="left" vertical="top" wrapText="1"/>
    </xf>
    <xf numFmtId="1" fontId="39" fillId="0" borderId="30" applyAlignment="1" pivotButton="0" quotePrefix="0" xfId="29">
      <alignment horizontal="left" vertical="top" shrinkToFit="1" indent="1"/>
    </xf>
    <xf numFmtId="0" fontId="40" fillId="0" borderId="32" applyAlignment="1" pivotButton="0" quotePrefix="0" xfId="29">
      <alignment horizontal="left" vertical="top" wrapText="1"/>
    </xf>
    <xf numFmtId="0" fontId="40" fillId="0" borderId="35" applyAlignment="1" pivotButton="0" quotePrefix="0" xfId="29">
      <alignment horizontal="center" vertical="top" wrapText="1"/>
    </xf>
    <xf numFmtId="1" fontId="39" fillId="0" borderId="36" applyAlignment="1" pivotButton="0" quotePrefix="0" xfId="29">
      <alignment horizontal="left" vertical="top" shrinkToFit="1" indent="1"/>
    </xf>
    <xf numFmtId="0" fontId="40" fillId="7" borderId="37" applyAlignment="1" pivotButton="0" quotePrefix="0" xfId="29">
      <alignment horizontal="center" vertical="center" wrapText="1"/>
    </xf>
    <xf numFmtId="0" fontId="40" fillId="7" borderId="38" applyAlignment="1" pivotButton="0" quotePrefix="0" xfId="29">
      <alignment horizontal="center" vertical="center" wrapText="1"/>
    </xf>
    <xf numFmtId="0" fontId="40" fillId="7" borderId="39" applyAlignment="1" pivotButton="0" quotePrefix="0" xfId="29">
      <alignment horizontal="center" vertical="center" wrapText="1"/>
    </xf>
    <xf numFmtId="0" fontId="40" fillId="7" borderId="40" applyAlignment="1" pivotButton="0" quotePrefix="0" xfId="29">
      <alignment horizontal="center" vertical="center" wrapText="1"/>
    </xf>
    <xf numFmtId="0" fontId="38" fillId="0" borderId="0" applyAlignment="1" applyProtection="1" pivotButton="0" quotePrefix="0" xfId="29">
      <alignment horizontal="center" vertical="center"/>
      <protection locked="0" hidden="0"/>
    </xf>
    <xf numFmtId="0" fontId="41" fillId="0" borderId="13" applyAlignment="1" applyProtection="1" pivotButton="0" quotePrefix="0" xfId="29">
      <alignment horizontal="center" vertical="center" wrapText="1"/>
      <protection locked="0" hidden="0"/>
    </xf>
    <xf numFmtId="0" fontId="41" fillId="0" borderId="7" applyAlignment="1" applyProtection="1" pivotButton="0" quotePrefix="0" xfId="29">
      <alignment horizontal="general" vertical="center" wrapText="1"/>
      <protection locked="0" hidden="0"/>
    </xf>
    <xf numFmtId="4" fontId="41" fillId="0" borderId="6" applyAlignment="1" applyProtection="1" pivotButton="0" quotePrefix="0" xfId="29">
      <alignment horizontal="right" vertical="center" shrinkToFit="1"/>
      <protection locked="0" hidden="0"/>
    </xf>
    <xf numFmtId="1" fontId="41" fillId="0" borderId="15" applyAlignment="1" applyProtection="1" pivotButton="0" quotePrefix="0" xfId="29">
      <alignment horizontal="center" vertical="center" shrinkToFit="1"/>
      <protection locked="0" hidden="0"/>
    </xf>
    <xf numFmtId="4" fontId="41" fillId="0" borderId="25" applyAlignment="1" applyProtection="1" pivotButton="0" quotePrefix="0" xfId="29">
      <alignment horizontal="right" vertical="center" shrinkToFit="1"/>
      <protection locked="0" hidden="0"/>
    </xf>
    <xf numFmtId="0" fontId="41" fillId="0" borderId="9" applyAlignment="1" applyProtection="1" pivotButton="0" quotePrefix="0" xfId="29">
      <alignment horizontal="center" vertical="center" wrapText="1"/>
      <protection locked="0" hidden="0"/>
    </xf>
    <xf numFmtId="0" fontId="41" fillId="0" borderId="6" applyAlignment="1" applyProtection="1" pivotButton="0" quotePrefix="0" xfId="29">
      <alignment horizontal="general" vertical="center" wrapText="1"/>
      <protection locked="0" hidden="0"/>
    </xf>
    <xf numFmtId="1" fontId="41" fillId="0" borderId="6" applyAlignment="1" applyProtection="1" pivotButton="0" quotePrefix="0" xfId="29">
      <alignment horizontal="center" vertical="center" shrinkToFit="1"/>
      <protection locked="0" hidden="0"/>
    </xf>
    <xf numFmtId="4" fontId="38" fillId="0" borderId="6" applyAlignment="1" applyProtection="1" pivotButton="0" quotePrefix="0" xfId="29">
      <alignment horizontal="right" vertical="center" shrinkToFit="1"/>
      <protection locked="0" hidden="0"/>
    </xf>
    <xf numFmtId="170" fontId="38" fillId="0" borderId="6" applyAlignment="1" applyProtection="1" pivotButton="0" quotePrefix="0" xfId="29">
      <alignment horizontal="center" vertical="center" shrinkToFit="1"/>
      <protection locked="0" hidden="0"/>
    </xf>
    <xf numFmtId="4" fontId="38" fillId="0" borderId="25" applyAlignment="1" applyProtection="1" pivotButton="0" quotePrefix="0" xfId="29">
      <alignment horizontal="right" vertical="center" shrinkToFit="1"/>
      <protection locked="0" hidden="0"/>
    </xf>
    <xf numFmtId="1" fontId="38" fillId="0" borderId="6" applyAlignment="1" applyProtection="1" pivotButton="0" quotePrefix="0" xfId="29">
      <alignment horizontal="center" vertical="center" shrinkToFit="1"/>
      <protection locked="0" hidden="0"/>
    </xf>
    <xf numFmtId="0" fontId="40" fillId="0" borderId="10" applyAlignment="1" applyProtection="1" pivotButton="0" quotePrefix="0" xfId="29">
      <alignment horizontal="left" vertical="top" wrapText="1"/>
      <protection locked="0" hidden="0"/>
    </xf>
    <xf numFmtId="0" fontId="40" fillId="0" borderId="6" applyAlignment="1" applyProtection="1" pivotButton="0" quotePrefix="0" xfId="29">
      <alignment horizontal="center" vertical="center" wrapText="1"/>
      <protection locked="0" hidden="0"/>
    </xf>
    <xf numFmtId="4" fontId="39" fillId="0" borderId="8" applyAlignment="1" applyProtection="1" pivotButton="0" quotePrefix="0" xfId="29">
      <alignment horizontal="general" vertical="center" shrinkToFit="1"/>
      <protection locked="0" hidden="0"/>
    </xf>
    <xf numFmtId="0" fontId="40" fillId="0" borderId="11" applyAlignment="1" applyProtection="1" pivotButton="0" quotePrefix="0" xfId="29">
      <alignment horizontal="center" vertical="center" wrapText="1"/>
      <protection locked="0" hidden="0"/>
    </xf>
    <xf numFmtId="4" fontId="39" fillId="0" borderId="12" applyAlignment="1" applyProtection="1" pivotButton="0" quotePrefix="0" xfId="29">
      <alignment horizontal="general" vertical="center" shrinkToFit="1"/>
      <protection locked="0" hidden="0"/>
    </xf>
    <xf numFmtId="0" fontId="40" fillId="0" borderId="0" applyAlignment="1" applyProtection="1" pivotButton="0" quotePrefix="0" xfId="29">
      <alignment horizontal="left" vertical="center" wrapText="1"/>
      <protection locked="0" hidden="0"/>
    </xf>
    <xf numFmtId="171" fontId="38" fillId="0" borderId="0" applyAlignment="1" applyProtection="1" pivotButton="0" quotePrefix="0" xfId="21">
      <alignment horizontal="left" vertical="top"/>
      <protection locked="0" hidden="0"/>
    </xf>
    <xf numFmtId="0" fontId="42"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2"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3"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6" applyAlignment="1" pivotButton="0" quotePrefix="0" xfId="0">
      <alignment horizontal="general" vertical="bottom"/>
    </xf>
    <xf numFmtId="0" fontId="21" fillId="0" borderId="44" applyAlignment="1" pivotButton="0" quotePrefix="0" xfId="0">
      <alignment horizontal="center" vertical="bottom"/>
    </xf>
    <xf numFmtId="0" fontId="44"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30" fillId="5" borderId="4" applyAlignment="1" pivotButton="0" quotePrefix="0" xfId="0">
      <alignment horizontal="center" vertical="center"/>
    </xf>
    <xf numFmtId="1" fontId="30" fillId="5" borderId="4" applyAlignment="1" pivotButton="0" quotePrefix="0" xfId="0">
      <alignment horizontal="center" vertical="center"/>
    </xf>
    <xf numFmtId="1" fontId="30" fillId="5" borderId="47" applyAlignment="1" pivotButton="0" quotePrefix="0" xfId="0">
      <alignment horizontal="center" vertical="bottom"/>
    </xf>
    <xf numFmtId="0" fontId="30" fillId="5" borderId="21" applyAlignment="1" pivotButton="0" quotePrefix="0" xfId="0">
      <alignment horizontal="general" vertical="bottom"/>
    </xf>
    <xf numFmtId="0" fontId="42" fillId="0" borderId="41" applyAlignment="1" pivotButton="0" quotePrefix="0" xfId="0">
      <alignment horizontal="general" vertical="bottom"/>
    </xf>
    <xf numFmtId="0" fontId="42" fillId="0" borderId="42" applyAlignment="1" pivotButton="0" quotePrefix="0" xfId="0">
      <alignment horizontal="general" vertical="bottom"/>
    </xf>
    <xf numFmtId="0" fontId="42" fillId="0" borderId="48" applyAlignment="1" pivotButton="0" quotePrefix="0" xfId="0">
      <alignment horizontal="general" vertical="bottom"/>
    </xf>
    <xf numFmtId="0" fontId="30" fillId="5" borderId="49" applyAlignment="1" pivotButton="0" quotePrefix="0" xfId="0">
      <alignment horizontal="left" vertical="bottom" wrapText="1"/>
    </xf>
    <xf numFmtId="1" fontId="30" fillId="5" borderId="14" applyAlignment="1" pivotButton="0" quotePrefix="0" xfId="0">
      <alignment horizontal="center" vertical="bottom"/>
    </xf>
    <xf numFmtId="0" fontId="30"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30"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30" fillId="7" borderId="24" applyAlignment="1" pivotButton="0" quotePrefix="0" xfId="0">
      <alignment horizontal="left" vertical="bottom" wrapText="1"/>
    </xf>
    <xf numFmtId="1" fontId="0" fillId="0" borderId="44" applyAlignment="1" pivotButton="0" quotePrefix="0" xfId="0">
      <alignment horizontal="center" vertical="bottom"/>
    </xf>
    <xf numFmtId="0" fontId="30" fillId="0" borderId="9" applyAlignment="1" pivotButton="0" quotePrefix="0" xfId="0">
      <alignment horizontal="left" vertical="center" wrapText="1"/>
    </xf>
    <xf numFmtId="9" fontId="30" fillId="8" borderId="8" applyAlignment="1" applyProtection="1" pivotButton="0" quotePrefix="0" xfId="0">
      <alignment horizontal="center" vertical="center" wrapText="1"/>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1" fontId="0" fillId="0" borderId="44" applyAlignment="1" pivotButton="0" quotePrefix="0" xfId="0">
      <alignment horizontal="general" vertical="bottom"/>
    </xf>
    <xf numFmtId="172" fontId="46"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7" fillId="9" borderId="52" applyAlignment="1" pivotButton="0" quotePrefix="0" xfId="0">
      <alignment horizontal="general" vertical="center"/>
    </xf>
    <xf numFmtId="0" fontId="47" fillId="9" borderId="53" applyAlignment="1" pivotButton="0" quotePrefix="0" xfId="0">
      <alignment horizontal="center" vertical="center"/>
    </xf>
    <xf numFmtId="2" fontId="30" fillId="9" borderId="4" applyAlignment="1" pivotButton="0" quotePrefix="0" xfId="0">
      <alignment horizontal="center" vertical="center"/>
    </xf>
    <xf numFmtId="0" fontId="30" fillId="9" borderId="4" applyAlignment="1" pivotButton="0" quotePrefix="0" xfId="0">
      <alignment horizontal="center" vertical="center"/>
    </xf>
    <xf numFmtId="0" fontId="0" fillId="0" borderId="5" applyAlignment="1" pivotButton="0" quotePrefix="0" xfId="0">
      <alignment horizontal="center" vertical="bottom" wrapText="1"/>
    </xf>
    <xf numFmtId="0" fontId="0" fillId="0" borderId="19" applyAlignment="1" pivotButton="0" quotePrefix="0" xfId="0">
      <alignment horizontal="center" vertical="bottom"/>
    </xf>
    <xf numFmtId="2" fontId="30" fillId="0" borderId="41" applyAlignment="1" pivotButton="0" quotePrefix="0" xfId="0">
      <alignment horizontal="center" vertical="center"/>
    </xf>
    <xf numFmtId="2" fontId="30" fillId="0" borderId="6" applyAlignment="1" pivotButton="0" quotePrefix="0" xfId="0">
      <alignment horizontal="center" vertical="center" wrapText="1"/>
    </xf>
    <xf numFmtId="169" fontId="48" fillId="0" borderId="25" applyAlignment="1" applyProtection="1" pivotButton="0" quotePrefix="0" xfId="0">
      <alignment horizontal="center" vertical="center"/>
      <protection locked="0" hidden="0"/>
    </xf>
    <xf numFmtId="0" fontId="0" fillId="0" borderId="10" applyAlignment="1" pivotButton="0" quotePrefix="0" xfId="0">
      <alignment horizontal="center" vertical="bottom"/>
    </xf>
    <xf numFmtId="0" fontId="0" fillId="0" borderId="12" applyAlignment="1" pivotButton="0" quotePrefix="0" xfId="0">
      <alignment horizontal="center" vertical="bottom"/>
    </xf>
    <xf numFmtId="2" fontId="30" fillId="0" borderId="9" applyAlignment="1" pivotButton="0" quotePrefix="0" xfId="0">
      <alignment horizontal="center" vertical="center" wrapText="1"/>
    </xf>
    <xf numFmtId="0" fontId="0" fillId="0" borderId="0" applyAlignment="1" pivotButton="0" quotePrefix="0" xfId="0">
      <alignment horizontal="general" vertical="bottom" wrapText="1"/>
    </xf>
    <xf numFmtId="0" fontId="0" fillId="0" borderId="0" applyAlignment="1" pivotButton="0" quotePrefix="0" xfId="0">
      <alignment horizontal="general" vertical="bottom"/>
    </xf>
    <xf numFmtId="1" fontId="0" fillId="0" borderId="0" applyAlignment="1" pivotButton="0" quotePrefix="0" xfId="0">
      <alignment horizontal="general" vertical="bottom"/>
    </xf>
    <xf numFmtId="2" fontId="30" fillId="0" borderId="28" applyAlignment="1" pivotButton="0" quotePrefix="0" xfId="0">
      <alignment horizontal="general" vertical="center"/>
    </xf>
    <xf numFmtId="2" fontId="30" fillId="0" borderId="0" applyAlignment="1" pivotButton="0" quotePrefix="0" xfId="0">
      <alignment horizontal="general" vertical="center"/>
    </xf>
    <xf numFmtId="0" fontId="49" fillId="0" borderId="0" applyAlignment="1" pivotButton="0" quotePrefix="0" xfId="0">
      <alignment horizontal="general" vertical="center"/>
    </xf>
    <xf numFmtId="0" fontId="50" fillId="0" borderId="0" applyAlignment="1" pivotButton="0" quotePrefix="0" xfId="0">
      <alignment horizontal="center" vertical="center"/>
    </xf>
    <xf numFmtId="0" fontId="50" fillId="0" borderId="0" applyAlignment="1" pivotButton="0" quotePrefix="0" xfId="0">
      <alignment horizontal="general" vertical="center"/>
    </xf>
    <xf numFmtId="0" fontId="49" fillId="0" borderId="6" applyAlignment="1" pivotButton="0" quotePrefix="0" xfId="0">
      <alignment horizontal="general" vertical="center"/>
    </xf>
    <xf numFmtId="0" fontId="51" fillId="0" borderId="6" applyAlignment="1" pivotButton="0" quotePrefix="0" xfId="0">
      <alignment horizontal="center" vertical="center"/>
    </xf>
    <xf numFmtId="0" fontId="50"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2" fillId="10" borderId="54" applyAlignment="1" pivotButton="0" quotePrefix="0" xfId="0">
      <alignment horizontal="left" vertical="center" indent="1"/>
    </xf>
    <xf numFmtId="166" fontId="31" fillId="0" borderId="55" applyAlignment="1" applyProtection="1" pivotButton="0" quotePrefix="0" xfId="0">
      <alignment horizontal="center" vertical="center"/>
      <protection locked="0" hidden="0"/>
    </xf>
    <xf numFmtId="0" fontId="0" fillId="0" borderId="0" applyAlignment="1" pivotButton="0" quotePrefix="0" xfId="0">
      <alignment horizontal="left" vertical="center"/>
    </xf>
    <xf numFmtId="0" fontId="52" fillId="10" borderId="0" applyAlignment="1" pivotButton="0" quotePrefix="0" xfId="0">
      <alignment horizontal="left" vertical="center" indent="1"/>
    </xf>
    <xf numFmtId="0" fontId="31" fillId="0" borderId="56" applyAlignment="1" applyProtection="1" pivotButton="0" quotePrefix="0" xfId="0">
      <alignment horizontal="center" vertical="center"/>
      <protection locked="0" hidden="0"/>
    </xf>
    <xf numFmtId="0" fontId="0" fillId="0" borderId="0" applyAlignment="1" applyProtection="1" pivotButton="0" quotePrefix="0" xfId="0">
      <alignment horizontal="left" vertical="center"/>
      <protection locked="0" hidden="0"/>
    </xf>
    <xf numFmtId="0" fontId="52" fillId="10" borderId="57" applyAlignment="1" pivotButton="0" quotePrefix="0" xfId="0">
      <alignment horizontal="left" vertical="center" indent="1"/>
    </xf>
    <xf numFmtId="0" fontId="31" fillId="0" borderId="58" applyAlignment="1" applyProtection="1" pivotButton="0" quotePrefix="0" xfId="0">
      <alignment horizontal="center" vertical="center"/>
      <protection locked="0" hidden="0"/>
    </xf>
    <xf numFmtId="0" fontId="53" fillId="0" borderId="0" applyAlignment="1" pivotButton="0" quotePrefix="0" xfId="0">
      <alignment horizontal="right" vertical="bottom"/>
    </xf>
    <xf numFmtId="0" fontId="54" fillId="10" borderId="59" applyAlignment="1" pivotButton="0" quotePrefix="0" xfId="0">
      <alignment horizontal="left" vertical="center" wrapText="1" indent="1"/>
    </xf>
    <xf numFmtId="0" fontId="52" fillId="6" borderId="60" applyAlignment="1" pivotButton="0" quotePrefix="0" xfId="0">
      <alignment horizontal="center" vertical="center"/>
    </xf>
    <xf numFmtId="0" fontId="52" fillId="11" borderId="60" applyAlignment="1" pivotButton="0" quotePrefix="0" xfId="0">
      <alignment horizontal="center" vertical="center"/>
    </xf>
    <xf numFmtId="0" fontId="55" fillId="12" borderId="60" applyAlignment="1" pivotButton="0" quotePrefix="0" xfId="0">
      <alignment horizontal="center" vertical="center"/>
    </xf>
    <xf numFmtId="0" fontId="55" fillId="13" borderId="60" applyAlignment="1" pivotButton="0" quotePrefix="0" xfId="0">
      <alignment horizontal="center" vertical="center"/>
    </xf>
    <xf numFmtId="0" fontId="55" fillId="14" borderId="60" applyAlignment="1" pivotButton="0" quotePrefix="0" xfId="0">
      <alignment horizontal="center" vertical="center"/>
    </xf>
    <xf numFmtId="0" fontId="52" fillId="15" borderId="61" applyAlignment="1" pivotButton="0" quotePrefix="0" xfId="0">
      <alignment horizontal="center" vertical="center"/>
    </xf>
    <xf numFmtId="0" fontId="32" fillId="0" borderId="62" applyAlignment="1" applyProtection="1" pivotButton="0" quotePrefix="0" xfId="0">
      <alignment horizontal="center" vertical="center"/>
      <protection locked="0" hidden="0"/>
    </xf>
    <xf numFmtId="0" fontId="32" fillId="0" borderId="63" applyAlignment="1" applyProtection="1" pivotButton="0" quotePrefix="0" xfId="0">
      <alignment horizontal="center" vertical="center"/>
      <protection locked="0" hidden="0"/>
    </xf>
    <xf numFmtId="0" fontId="56" fillId="8" borderId="64" applyAlignment="1" pivotButton="0" quotePrefix="0" xfId="0">
      <alignment horizontal="center" vertical="bottom"/>
    </xf>
    <xf numFmtId="0" fontId="56" fillId="8" borderId="65" applyAlignment="1" pivotButton="0" quotePrefix="0" xfId="0">
      <alignment horizontal="center" vertical="bottom"/>
    </xf>
    <xf numFmtId="0" fontId="57" fillId="8" borderId="66" applyAlignment="1" pivotButton="0" quotePrefix="0" xfId="0">
      <alignment horizontal="center" vertical="top" wrapText="1"/>
    </xf>
    <xf numFmtId="0" fontId="53" fillId="8" borderId="66" applyAlignment="1" pivotButton="0" quotePrefix="0" xfId="0">
      <alignment horizontal="center" vertical="top" wrapText="1"/>
    </xf>
    <xf numFmtId="0" fontId="53" fillId="8" borderId="67" applyAlignment="1" pivotButton="0" quotePrefix="0" xfId="0">
      <alignment horizontal="center" vertical="top" wrapText="1"/>
    </xf>
    <xf numFmtId="0" fontId="49" fillId="0" borderId="0" applyAlignment="1" pivotButton="0" quotePrefix="0" xfId="0">
      <alignment horizontal="left" vertical="center" indent="1"/>
    </xf>
    <xf numFmtId="0" fontId="50" fillId="0" borderId="0" applyAlignment="1" pivotButton="0" quotePrefix="0" xfId="0">
      <alignment horizontal="center" vertical="center" wrapText="1"/>
    </xf>
    <xf numFmtId="0" fontId="59" fillId="0" borderId="62" applyAlignment="1" applyProtection="1" pivotButton="0" quotePrefix="0" xfId="0">
      <alignment horizontal="center" vertical="center"/>
      <protection locked="0" hidden="0"/>
    </xf>
    <xf numFmtId="0" fontId="59"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4" fillId="10" borderId="68" applyAlignment="1" pivotButton="0" quotePrefix="0" xfId="0">
      <alignment horizontal="left" vertical="center" wrapText="1" indent="1"/>
    </xf>
    <xf numFmtId="0" fontId="60" fillId="10" borderId="69" applyAlignment="1" pivotButton="0" quotePrefix="0" xfId="0">
      <alignment horizontal="center" vertical="center"/>
    </xf>
    <xf numFmtId="0" fontId="60" fillId="10" borderId="70" applyAlignment="1" pivotButton="0" quotePrefix="0" xfId="0">
      <alignment horizontal="center" vertical="center"/>
    </xf>
    <xf numFmtId="0" fontId="31" fillId="0" borderId="67" applyAlignment="1" applyProtection="1" pivotButton="0" quotePrefix="0" xfId="0">
      <alignment horizontal="left" vertical="center" wrapText="1" indent="1"/>
      <protection locked="0" hidden="0"/>
    </xf>
    <xf numFmtId="0" fontId="41" fillId="0" borderId="0" applyAlignment="1" pivotButton="0" quotePrefix="0" xfId="0">
      <alignment horizontal="general" vertical="center"/>
    </xf>
    <xf numFmtId="0" fontId="61" fillId="0" borderId="0" applyAlignment="1" pivotButton="0" quotePrefix="0" xfId="0">
      <alignment horizontal="center" vertical="center"/>
    </xf>
    <xf numFmtId="0" fontId="61" fillId="0" borderId="0" applyAlignment="1" pivotButton="0" quotePrefix="0" xfId="0">
      <alignment horizontal="general" vertical="center"/>
    </xf>
    <xf numFmtId="0" fontId="62" fillId="0" borderId="0" applyAlignment="1" pivotButton="0" quotePrefix="0" xfId="0">
      <alignment horizontal="left" vertical="center" wrapText="1"/>
    </xf>
    <xf numFmtId="0" fontId="31" fillId="0" borderId="42" applyAlignment="1" pivotButton="0" quotePrefix="0" xfId="0">
      <alignment horizontal="left" vertical="center"/>
    </xf>
    <xf numFmtId="0" fontId="61" fillId="0" borderId="0" applyAlignment="1" applyProtection="1" pivotButton="0" quotePrefix="0" xfId="0">
      <alignment horizontal="general" vertical="center"/>
      <protection locked="0" hidden="0"/>
    </xf>
    <xf numFmtId="0" fontId="31" fillId="0" borderId="71" applyAlignment="1" pivotButton="0" quotePrefix="0" xfId="0">
      <alignment horizontal="left" vertical="center"/>
    </xf>
    <xf numFmtId="0" fontId="31" fillId="0" borderId="71" applyAlignment="1" pivotButton="0" quotePrefix="0" xfId="0">
      <alignment horizontal="center" vertical="center"/>
    </xf>
    <xf numFmtId="0" fontId="31" fillId="0" borderId="0" applyAlignment="1" pivotButton="0" quotePrefix="0" xfId="0">
      <alignment horizontal="center" vertical="center"/>
    </xf>
    <xf numFmtId="0" fontId="31" fillId="0" borderId="0" applyAlignment="1" pivotButton="0" quotePrefix="0" xfId="0">
      <alignment horizontal="general" vertical="center"/>
    </xf>
    <xf numFmtId="0" fontId="63" fillId="0" borderId="0" applyAlignment="1" pivotButton="0" quotePrefix="0" xfId="0">
      <alignment horizontal="general" vertical="center" wrapText="1"/>
    </xf>
    <xf numFmtId="0" fontId="64"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5" fillId="0" borderId="43" applyAlignment="1" applyProtection="1" pivotButton="0" quotePrefix="0" xfId="24">
      <alignment horizontal="center" vertical="center"/>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0" fontId="67" fillId="0" borderId="6" applyAlignment="1" applyProtection="1" pivotButton="0" quotePrefix="0" xfId="24">
      <alignment horizontal="center" vertical="center"/>
      <protection locked="1" hidden="1"/>
    </xf>
    <xf numFmtId="0" fontId="68" fillId="0" borderId="6" applyAlignment="1" applyProtection="1" pivotButton="0" quotePrefix="0" xfId="24">
      <alignment horizontal="center" vertical="center"/>
      <protection locked="1" hidden="1"/>
    </xf>
    <xf numFmtId="168" fontId="68" fillId="0" borderId="6" applyAlignment="1" applyProtection="1" pivotButton="0" quotePrefix="0" xfId="24">
      <alignment horizontal="center" vertical="center"/>
      <protection locked="1" hidden="1"/>
    </xf>
    <xf numFmtId="0" fontId="30" fillId="5" borderId="6" applyAlignment="1" applyProtection="1" pivotButton="0" quotePrefix="0" xfId="24">
      <alignment horizontal="general" vertical="center"/>
      <protection locked="1" hidden="1"/>
    </xf>
    <xf numFmtId="0" fontId="32"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6" fillId="2" borderId="43" applyAlignment="1" applyProtection="1" pivotButton="0" quotePrefix="0" xfId="24">
      <alignment horizontal="center" vertical="center"/>
      <protection locked="1" hidden="1"/>
    </xf>
    <xf numFmtId="0" fontId="56" fillId="2" borderId="44" applyAlignment="1" applyProtection="1" pivotButton="0" quotePrefix="0" xfId="24">
      <alignment horizontal="center" vertical="center"/>
      <protection locked="1" hidden="1"/>
    </xf>
    <xf numFmtId="0" fontId="69" fillId="2" borderId="43" applyAlignment="1" applyProtection="1" pivotButton="0" quotePrefix="0" xfId="24">
      <alignment horizontal="center" vertical="center"/>
      <protection locked="1" hidden="1"/>
    </xf>
    <xf numFmtId="166" fontId="69" fillId="2" borderId="72" applyAlignment="1" applyProtection="1" pivotButton="0" quotePrefix="0" xfId="24">
      <alignment horizontal="center" vertical="center"/>
      <protection locked="1" hidden="1"/>
    </xf>
    <xf numFmtId="0" fontId="69" fillId="2" borderId="72" applyAlignment="1" applyProtection="1" pivotButton="0" quotePrefix="0" xfId="24">
      <alignment horizontal="general" vertical="center"/>
      <protection locked="1" hidden="1"/>
    </xf>
    <xf numFmtId="166" fontId="69" fillId="2" borderId="44" applyAlignment="1" applyProtection="1" pivotButton="0" quotePrefix="0" xfId="24">
      <alignment horizontal="center" vertical="center"/>
      <protection locked="1" hidden="1"/>
    </xf>
    <xf numFmtId="0" fontId="40" fillId="2" borderId="6" applyAlignment="1" applyProtection="1" pivotButton="0" quotePrefix="0" xfId="24">
      <alignment horizontal="center" vertical="center"/>
      <protection locked="1" hidden="1"/>
    </xf>
    <xf numFmtId="173" fontId="70" fillId="2" borderId="6" applyAlignment="1" applyProtection="1" pivotButton="0" quotePrefix="0" xfId="24">
      <alignment horizontal="center" vertical="center"/>
      <protection locked="1" hidden="1"/>
    </xf>
    <xf numFmtId="0" fontId="46"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71" fillId="5" borderId="6" applyAlignment="1" applyProtection="1" pivotButton="0" quotePrefix="0" xfId="24">
      <alignment horizontal="center" vertical="center"/>
      <protection locked="1" hidden="1"/>
    </xf>
    <xf numFmtId="0" fontId="46" fillId="5" borderId="6" applyAlignment="1" applyProtection="1" pivotButton="0" quotePrefix="0" xfId="24">
      <alignment horizontal="center" vertical="center" wrapText="1"/>
      <protection locked="1" hidden="1"/>
    </xf>
    <xf numFmtId="49" fontId="30" fillId="0" borderId="0" applyAlignment="1" applyProtection="1" pivotButton="0" quotePrefix="0" xfId="24">
      <alignment horizontal="general" vertical="bottom"/>
      <protection locked="1" hidden="1"/>
    </xf>
    <xf numFmtId="0" fontId="30" fillId="5" borderId="6" applyAlignment="1" applyProtection="1" pivotButton="0" quotePrefix="0" xfId="24">
      <alignment horizontal="center" vertical="center"/>
      <protection locked="1" hidden="1"/>
    </xf>
    <xf numFmtId="173" fontId="72" fillId="8" borderId="6" applyAlignment="1" applyProtection="1" pivotButton="0" quotePrefix="0" xfId="24">
      <alignment horizontal="center" vertical="center" textRotation="90"/>
      <protection locked="1" hidden="1"/>
    </xf>
    <xf numFmtId="0" fontId="30" fillId="5" borderId="15" applyAlignment="1" applyProtection="1" pivotButton="0" quotePrefix="0" xfId="24">
      <alignment horizontal="center" vertical="center" wrapText="1"/>
      <protection locked="1" hidden="1"/>
    </xf>
    <xf numFmtId="0" fontId="0" fillId="0" borderId="0" applyAlignment="1" applyProtection="1" pivotButton="0" quotePrefix="0" xfId="24">
      <alignment horizontal="general" vertical="center"/>
      <protection locked="1" hidden="1"/>
    </xf>
    <xf numFmtId="0" fontId="47" fillId="0" borderId="6" applyAlignment="1" applyProtection="1" pivotButton="0" quotePrefix="0" xfId="24">
      <alignment horizontal="center" vertical="center"/>
      <protection locked="1" hidden="1"/>
    </xf>
    <xf numFmtId="0" fontId="30"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0" fillId="0" borderId="0" applyAlignment="1" pivotButton="0" quotePrefix="0" xfId="24">
      <alignment horizontal="general" vertical="center"/>
    </xf>
    <xf numFmtId="0" fontId="73" fillId="0" borderId="6" applyAlignment="1" applyProtection="1" pivotButton="0" quotePrefix="0" xfId="24">
      <alignment horizontal="center" vertical="center"/>
      <protection locked="0" hidden="0"/>
    </xf>
    <xf numFmtId="0" fontId="30" fillId="5" borderId="6" applyAlignment="1" applyProtection="1" pivotButton="0" quotePrefix="0" xfId="24">
      <alignment horizontal="general" vertical="center"/>
      <protection locked="0" hidden="0"/>
    </xf>
    <xf numFmtId="0" fontId="47"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30" fillId="0" borderId="15" applyAlignment="1" applyProtection="1" pivotButton="0" quotePrefix="0" xfId="24">
      <alignment horizontal="center" vertical="bottom"/>
      <protection locked="0" hidden="0"/>
    </xf>
    <xf numFmtId="0" fontId="30"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7"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30" fillId="0" borderId="6" applyAlignment="1" applyProtection="1" pivotButton="0" quotePrefix="0" xfId="24">
      <alignment horizontal="general" vertical="bottom"/>
      <protection locked="1" hidden="1"/>
    </xf>
    <xf numFmtId="0" fontId="30" fillId="0" borderId="6" applyAlignment="1" applyProtection="1" pivotButton="0" quotePrefix="0" xfId="24">
      <alignment horizontal="center" vertical="top" wrapText="1"/>
      <protection locked="1" hidden="1"/>
    </xf>
    <xf numFmtId="0" fontId="30" fillId="0" borderId="6" applyAlignment="1" applyProtection="1" pivotButton="0" quotePrefix="0" xfId="24">
      <alignment horizontal="center" vertical="bottom"/>
      <protection locked="1" hidden="1"/>
    </xf>
    <xf numFmtId="0" fontId="74" fillId="0" borderId="6" applyAlignment="1" applyProtection="1" pivotButton="0" quotePrefix="0" xfId="24">
      <alignment horizontal="left" vertical="top"/>
      <protection locked="1" hidden="1"/>
    </xf>
    <xf numFmtId="166" fontId="30"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5"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8" fillId="0" borderId="4" applyAlignment="1" pivotButton="0" quotePrefix="0" xfId="0">
      <alignment horizontal="center" vertical="center" wrapText="1"/>
    </xf>
    <xf numFmtId="0" fontId="79"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46"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center" vertical="center"/>
      <protection locked="1" hidden="1"/>
    </xf>
    <xf numFmtId="0" fontId="46" fillId="0" borderId="4" applyAlignment="1" pivotButton="0" quotePrefix="0" xfId="0">
      <alignment horizontal="center" vertical="center"/>
    </xf>
    <xf numFmtId="0" fontId="80"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81"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2"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61"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6"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4"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3" fillId="0" borderId="0" applyAlignment="1" pivotButton="0" quotePrefix="0" xfId="0">
      <alignment horizontal="center" vertical="center"/>
    </xf>
    <xf numFmtId="0" fontId="83" fillId="0" borderId="0" applyAlignment="1" pivotButton="0" quotePrefix="0" xfId="0">
      <alignment horizontal="center" vertical="bottom"/>
    </xf>
    <xf numFmtId="0" fontId="84" fillId="0" borderId="0" applyAlignment="1" pivotButton="0" quotePrefix="0" xfId="0">
      <alignment horizontal="center" vertical="top" wrapText="1"/>
    </xf>
    <xf numFmtId="0" fontId="5" fillId="2" borderId="0" applyAlignment="1" pivotButton="0" quotePrefix="0" xfId="28">
      <alignment horizontal="general" vertical="bottom"/>
    </xf>
    <xf numFmtId="0" fontId="85" fillId="2" borderId="0" applyAlignment="1" pivotButton="0" quotePrefix="0" xfId="28">
      <alignment horizontal="general" vertical="bottom"/>
    </xf>
    <xf numFmtId="0" fontId="5" fillId="2" borderId="33" applyAlignment="1" pivotButton="0" quotePrefix="0" xfId="28">
      <alignment horizontal="general" vertical="bottom"/>
    </xf>
    <xf numFmtId="0" fontId="85"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6" fillId="2" borderId="0" applyAlignment="1" pivotButton="0" quotePrefix="0" xfId="28">
      <alignment horizontal="center" vertical="center"/>
    </xf>
    <xf numFmtId="0" fontId="87" fillId="2" borderId="0" applyAlignment="1" pivotButton="0" quotePrefix="0" xfId="28">
      <alignment horizontal="center" vertical="center"/>
    </xf>
    <xf numFmtId="0" fontId="88" fillId="2" borderId="30" applyAlignment="1" pivotButton="0" quotePrefix="0" xfId="28">
      <alignment horizontal="general" vertical="center"/>
    </xf>
    <xf numFmtId="0" fontId="88" fillId="2" borderId="0" applyAlignment="1" pivotButton="0" quotePrefix="0" xfId="28">
      <alignment horizontal="general" vertical="center"/>
    </xf>
    <xf numFmtId="0" fontId="89" fillId="2" borderId="0" applyAlignment="1" pivotButton="0" quotePrefix="0" xfId="28">
      <alignment horizontal="center" vertical="center"/>
    </xf>
    <xf numFmtId="0" fontId="90" fillId="2" borderId="0" applyAlignment="1" pivotButton="0" quotePrefix="0" xfId="28">
      <alignment horizontal="general" vertical="bottom"/>
    </xf>
    <xf numFmtId="0" fontId="91" fillId="2" borderId="0" applyAlignment="1" pivotButton="0" quotePrefix="0" xfId="28">
      <alignment horizontal="general" vertical="bottom"/>
    </xf>
    <xf numFmtId="0" fontId="92" fillId="2" borderId="0" applyAlignment="1" pivotButton="0" quotePrefix="0" xfId="28">
      <alignment horizontal="general" vertical="bottom"/>
    </xf>
    <xf numFmtId="0" fontId="92" fillId="2" borderId="30" applyAlignment="1" pivotButton="0" quotePrefix="0" xfId="28">
      <alignment horizontal="general" vertical="bottom"/>
    </xf>
    <xf numFmtId="0" fontId="93" fillId="2" borderId="0" applyAlignment="1" pivotButton="0" quotePrefix="0" xfId="28">
      <alignment horizontal="right" vertical="center"/>
    </xf>
    <xf numFmtId="0" fontId="91" fillId="2" borderId="0" applyAlignment="1" pivotButton="0" quotePrefix="0" xfId="28">
      <alignment horizontal="general" vertical="center"/>
    </xf>
    <xf numFmtId="168" fontId="92" fillId="2" borderId="0" applyAlignment="1" pivotButton="0" quotePrefix="0" xfId="28">
      <alignment horizontal="left" vertical="center"/>
    </xf>
    <xf numFmtId="0" fontId="93" fillId="2" borderId="0" applyAlignment="1" pivotButton="0" quotePrefix="0" xfId="28">
      <alignment horizontal="general" vertical="bottom"/>
    </xf>
    <xf numFmtId="168" fontId="92" fillId="2" borderId="0" applyAlignment="1" pivotButton="0" quotePrefix="0" xfId="28">
      <alignment horizontal="left" vertical="center"/>
    </xf>
    <xf numFmtId="0" fontId="93" fillId="2" borderId="0" applyAlignment="1" pivotButton="0" quotePrefix="0" xfId="28">
      <alignment horizontal="right" vertical="top"/>
    </xf>
    <xf numFmtId="168" fontId="94" fillId="2" borderId="0" applyAlignment="1" pivotButton="0" quotePrefix="0" xfId="28">
      <alignment horizontal="left" vertical="top" wrapText="1"/>
    </xf>
    <xf numFmtId="0" fontId="92" fillId="2" borderId="0" applyAlignment="1" pivotButton="0" quotePrefix="0" xfId="28">
      <alignment horizontal="right" vertical="center"/>
    </xf>
    <xf numFmtId="0" fontId="95" fillId="2" borderId="0" applyAlignment="1" pivotButton="0" quotePrefix="0" xfId="28">
      <alignment horizontal="general" vertical="bottom"/>
    </xf>
    <xf numFmtId="0" fontId="96" fillId="2" borderId="0" applyAlignment="1" pivotButton="0" quotePrefix="0" xfId="28">
      <alignment horizontal="general" vertical="bottom"/>
    </xf>
    <xf numFmtId="0" fontId="97" fillId="2" borderId="0" applyAlignment="1" pivotButton="0" quotePrefix="0" xfId="28">
      <alignment horizontal="general" vertical="center"/>
    </xf>
    <xf numFmtId="0" fontId="97" fillId="2" borderId="0" applyAlignment="1" pivotButton="0" quotePrefix="0" xfId="28">
      <alignment horizontal="left" vertical="center"/>
    </xf>
    <xf numFmtId="0" fontId="97" fillId="2" borderId="0" applyAlignment="1" pivotButton="0" quotePrefix="0" xfId="28">
      <alignment horizontal="general" vertical="bottom"/>
    </xf>
    <xf numFmtId="0" fontId="98" fillId="0" borderId="4" applyAlignment="1" pivotButton="0" quotePrefix="0" xfId="0">
      <alignment horizontal="left" vertical="bottom" wrapText="1"/>
    </xf>
    <xf numFmtId="0" fontId="5" fillId="2" borderId="35" applyAlignment="1" pivotButton="0" quotePrefix="0" xfId="28">
      <alignment horizontal="general" vertical="bottom"/>
    </xf>
    <xf numFmtId="0" fontId="85"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left" vertical="bottom"/>
    </xf>
    <xf numFmtId="0" fontId="32" fillId="3" borderId="0" applyAlignment="1" pivotButton="0" quotePrefix="0" xfId="26">
      <alignment horizontal="general" vertical="bottom"/>
    </xf>
    <xf numFmtId="0" fontId="31" fillId="3" borderId="0" applyAlignment="1" pivotButton="0" quotePrefix="0" xfId="26">
      <alignment horizontal="general" vertical="bottom"/>
    </xf>
    <xf numFmtId="0" fontId="0" fillId="3" borderId="0" applyAlignment="1" pivotButton="0" quotePrefix="0" xfId="0">
      <alignment horizontal="general" vertical="bottom"/>
    </xf>
    <xf numFmtId="168" fontId="32" fillId="3" borderId="0" applyAlignment="1" pivotButton="0" quotePrefix="0" xfId="26">
      <alignment horizontal="general" vertical="bottom"/>
    </xf>
    <xf numFmtId="0" fontId="41" fillId="3" borderId="0" applyAlignment="1" pivotButton="0" quotePrefix="0" xfId="26">
      <alignment horizontal="general" vertical="bottom"/>
    </xf>
    <xf numFmtId="0" fontId="99" fillId="3" borderId="0" applyAlignment="1" pivotButton="0" quotePrefix="0" xfId="0">
      <alignment horizontal="general" vertical="bottom"/>
    </xf>
    <xf numFmtId="0" fontId="100" fillId="3" borderId="0" applyAlignment="1" pivotButton="0" quotePrefix="0" xfId="0">
      <alignment horizontal="general" vertical="bottom"/>
    </xf>
    <xf numFmtId="0" fontId="35" fillId="3" borderId="0" applyAlignment="1" pivotButton="0" quotePrefix="0" xfId="26">
      <alignment horizontal="right" vertical="bottom"/>
    </xf>
    <xf numFmtId="0" fontId="35" fillId="3" borderId="0" applyAlignment="1" pivotButton="0" quotePrefix="0" xfId="26">
      <alignment horizontal="general" vertical="bottom"/>
    </xf>
    <xf numFmtId="0" fontId="35" fillId="3" borderId="0" applyAlignment="1" pivotButton="0" quotePrefix="0" xfId="26">
      <alignment horizontal="left"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0" fontId="103" fillId="3" borderId="0" applyAlignment="1" pivotButton="0" quotePrefix="0" xfId="26">
      <alignment horizontal="general" vertical="bottom"/>
    </xf>
    <xf numFmtId="0" fontId="104" fillId="3" borderId="0" applyAlignment="1" pivotButton="0" quotePrefix="0" xfId="26">
      <alignment horizontal="general" vertical="bottom"/>
    </xf>
    <xf numFmtId="12" fontId="41" fillId="3" borderId="0" applyAlignment="1" pivotButton="0" quotePrefix="0" xfId="26">
      <alignment horizontal="center" vertical="bottom"/>
    </xf>
    <xf numFmtId="2" fontId="40" fillId="3" borderId="0" applyAlignment="1" pivotButton="0" quotePrefix="0" xfId="26">
      <alignment horizontal="center" vertical="bottom"/>
    </xf>
    <xf numFmtId="49" fontId="40" fillId="3" borderId="0" applyAlignment="1" pivotButton="0" quotePrefix="0" xfId="26">
      <alignment horizontal="center" vertical="bottom"/>
    </xf>
    <xf numFmtId="0" fontId="40" fillId="3" borderId="0" applyAlignment="1" pivotButton="0" quotePrefix="0" xfId="26">
      <alignment horizontal="center" vertical="bottom"/>
    </xf>
    <xf numFmtId="0" fontId="80" fillId="3" borderId="0" applyAlignment="1" pivotButton="0" quotePrefix="0" xfId="0">
      <alignment horizontal="left" vertical="bottom"/>
    </xf>
    <xf numFmtId="0" fontId="80" fillId="3" borderId="0" applyAlignment="1" pivotButton="0" quotePrefix="0" xfId="0">
      <alignment horizontal="general" vertical="bottom"/>
    </xf>
    <xf numFmtId="49" fontId="69" fillId="3" borderId="0" applyAlignment="1" pivotButton="0" quotePrefix="0" xfId="26">
      <alignment horizontal="left" vertical="bottom"/>
    </xf>
    <xf numFmtId="0" fontId="56" fillId="3" borderId="34" applyAlignment="1" pivotButton="0" quotePrefix="0" xfId="23">
      <alignment horizontal="general" vertical="bottom"/>
    </xf>
    <xf numFmtId="0" fontId="69" fillId="3" borderId="0" applyAlignment="1" pivotButton="0" quotePrefix="0" xfId="23">
      <alignment horizontal="left" vertical="bottom"/>
    </xf>
    <xf numFmtId="0" fontId="22" fillId="3" borderId="0" applyAlignment="1" pivotButton="0" quotePrefix="0" xfId="23">
      <alignment horizontal="general" vertical="bottom"/>
    </xf>
    <xf numFmtId="0" fontId="105" fillId="3" borderId="1" applyAlignment="1" pivotButton="0" quotePrefix="0" xfId="0">
      <alignment horizontal="left" vertical="bottom"/>
    </xf>
    <xf numFmtId="0" fontId="105" fillId="3" borderId="1" applyAlignment="1" pivotButton="0" quotePrefix="0" xfId="0">
      <alignment horizontal="center" vertical="bottom" wrapText="1"/>
    </xf>
    <xf numFmtId="0" fontId="41" fillId="3" borderId="0" applyAlignment="1" pivotButton="0" quotePrefix="0" xfId="23">
      <alignment horizontal="general" vertical="bottom"/>
    </xf>
    <xf numFmtId="0" fontId="106" fillId="3" borderId="28" applyAlignment="1" pivotButton="0" quotePrefix="0" xfId="27">
      <alignment horizontal="left" vertical="bottom"/>
    </xf>
    <xf numFmtId="0" fontId="106" fillId="3" borderId="0" applyAlignment="1" pivotButton="0" quotePrefix="0" xfId="27">
      <alignment horizontal="left" vertical="bottom" wrapText="1"/>
    </xf>
    <xf numFmtId="0" fontId="107" fillId="3" borderId="0" applyAlignment="1" pivotButton="0" quotePrefix="0" xfId="27">
      <alignment horizontal="general" vertical="bottom"/>
    </xf>
    <xf numFmtId="0" fontId="106" fillId="3" borderId="0" applyAlignment="1" pivotButton="0" quotePrefix="0" xfId="27">
      <alignment horizontal="general" vertical="bottom" wrapText="1"/>
    </xf>
    <xf numFmtId="0" fontId="106" fillId="3" borderId="0" applyAlignment="1" pivotButton="0" quotePrefix="0" xfId="27">
      <alignment horizontal="left" vertical="bottom"/>
    </xf>
    <xf numFmtId="0" fontId="108" fillId="3" borderId="0" applyAlignment="1" pivotButton="0" quotePrefix="0" xfId="27">
      <alignment horizontal="left" vertical="bottom"/>
    </xf>
    <xf numFmtId="0" fontId="108" fillId="3" borderId="0" applyAlignment="1" pivotButton="0" quotePrefix="0" xfId="23">
      <alignment horizontal="left" vertical="bottom"/>
    </xf>
    <xf numFmtId="0" fontId="108" fillId="4" borderId="0" applyAlignment="1" pivotButton="0" quotePrefix="0" xfId="26">
      <alignment horizontal="left" vertical="bottom"/>
    </xf>
    <xf numFmtId="1" fontId="109" fillId="4" borderId="0" applyAlignment="1" pivotButton="0" quotePrefix="0" xfId="26">
      <alignment horizontal="general"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99" fillId="4" borderId="0" applyAlignment="1" pivotButton="0" quotePrefix="0" xfId="0">
      <alignment horizontal="general" vertical="bottom"/>
    </xf>
    <xf numFmtId="0" fontId="0" fillId="4" borderId="0" applyAlignment="1" pivotButton="0" quotePrefix="0" xfId="0">
      <alignment horizontal="general" vertical="bottom"/>
    </xf>
    <xf numFmtId="0" fontId="111" fillId="4" borderId="0" applyAlignment="1" pivotButton="0" quotePrefix="0" xfId="26">
      <alignment horizontal="left" vertical="bottom"/>
    </xf>
    <xf numFmtId="1" fontId="112" fillId="4" borderId="0" applyAlignment="1" pivotButton="0" quotePrefix="0" xfId="26">
      <alignment horizontal="general" vertical="bottom"/>
    </xf>
    <xf numFmtId="0" fontId="112" fillId="4" borderId="0" applyAlignment="1" pivotButton="0" quotePrefix="0" xfId="26">
      <alignment horizontal="general" vertical="bottom"/>
    </xf>
    <xf numFmtId="0" fontId="111" fillId="4" borderId="6" applyAlignment="1" pivotButton="0" quotePrefix="0" xfId="26">
      <alignment horizontal="center" vertical="bottom"/>
    </xf>
    <xf numFmtId="0" fontId="111" fillId="4" borderId="0" applyAlignment="1" pivotButton="0" quotePrefix="0" xfId="26">
      <alignment horizontal="general" vertical="bottom"/>
    </xf>
    <xf numFmtId="0" fontId="112" fillId="4" borderId="0" applyAlignment="1" pivotButton="0" quotePrefix="0" xfId="0">
      <alignment horizontal="general" vertical="bottom"/>
    </xf>
    <xf numFmtId="0" fontId="113" fillId="4" borderId="0" applyAlignment="1" pivotButton="0" quotePrefix="0" xfId="0">
      <alignment horizontal="general" vertical="bottom"/>
    </xf>
    <xf numFmtId="0" fontId="108" fillId="4" borderId="0" applyAlignment="1" pivotButton="0" quotePrefix="0" xfId="26">
      <alignment horizontal="center" vertical="bottom"/>
    </xf>
    <xf numFmtId="0" fontId="108" fillId="4" borderId="0" applyAlignment="1" pivotButton="0" quotePrefix="0" xfId="26">
      <alignment horizontal="general" vertical="bottom"/>
    </xf>
    <xf numFmtId="1" fontId="108" fillId="4" borderId="6" applyAlignment="1" pivotButton="0" quotePrefix="0" xfId="26">
      <alignment horizontal="center" vertical="bottom"/>
    </xf>
    <xf numFmtId="49" fontId="108" fillId="4" borderId="6" applyAlignment="1" pivotButton="0" quotePrefix="0" xfId="26">
      <alignment horizontal="center" vertical="bottom"/>
    </xf>
    <xf numFmtId="175" fontId="114" fillId="4" borderId="0" applyAlignment="1" pivotButton="0" quotePrefix="0" xfId="26">
      <alignment horizontal="right" vertical="center"/>
    </xf>
    <xf numFmtId="0" fontId="115" fillId="4" borderId="0" applyAlignment="1" pivotButton="0" quotePrefix="0" xfId="26">
      <alignment horizontal="center" vertical="bottom"/>
    </xf>
    <xf numFmtId="1" fontId="108" fillId="4" borderId="0" applyAlignment="1" pivotButton="0" quotePrefix="0" xfId="26">
      <alignment horizontal="center" vertical="bottom"/>
    </xf>
    <xf numFmtId="49" fontId="108" fillId="4" borderId="0" applyAlignment="1" pivotButton="0" quotePrefix="0" xfId="26">
      <alignment horizontal="center" vertical="bottom"/>
    </xf>
    <xf numFmtId="175" fontId="114" fillId="4" borderId="0" applyAlignment="1" pivotButton="0" quotePrefix="0" xfId="26">
      <alignment horizontal="right" vertical="bottom"/>
    </xf>
    <xf numFmtId="0" fontId="108" fillId="4" borderId="33" applyAlignment="1" pivotButton="0" quotePrefix="0" xfId="26">
      <alignment horizontal="center" vertical="bottom"/>
    </xf>
    <xf numFmtId="0" fontId="116" fillId="4" borderId="4" applyAlignment="1" pivotButton="0" quotePrefix="0" xfId="0">
      <alignment horizontal="center" vertical="bottom" wrapText="1"/>
    </xf>
    <xf numFmtId="0" fontId="108" fillId="4" borderId="6" applyAlignment="1" pivotButton="0" quotePrefix="0" xfId="26">
      <alignment horizontal="center" vertical="bottom"/>
    </xf>
    <xf numFmtId="0" fontId="108" fillId="4" borderId="0" applyAlignment="1" pivotButton="0" quotePrefix="0" xfId="26">
      <alignment horizontal="center" vertical="bottom"/>
    </xf>
    <xf numFmtId="0" fontId="116" fillId="4" borderId="34" applyAlignment="1" pivotButton="0" quotePrefix="0" xfId="0">
      <alignment horizontal="general" vertical="bottom"/>
    </xf>
    <xf numFmtId="0" fontId="116" fillId="4" borderId="35" applyAlignment="1" pivotButton="0" quotePrefix="0" xfId="0">
      <alignment horizontal="general" vertical="bottom"/>
    </xf>
    <xf numFmtId="0" fontId="116" fillId="4" borderId="0" applyAlignment="1" pivotButton="0" quotePrefix="0" xfId="0">
      <alignment horizontal="left" vertical="bottom"/>
    </xf>
    <xf numFmtId="0" fontId="117" fillId="4" borderId="0" applyAlignment="1" pivotButton="0" quotePrefix="0" xfId="26">
      <alignment horizontal="general" vertical="center" wrapText="1"/>
    </xf>
    <xf numFmtId="1" fontId="21" fillId="4" borderId="0" applyAlignment="1" pivotButton="0" quotePrefix="0" xfId="0">
      <alignment horizontal="general" vertical="bottom"/>
    </xf>
    <xf numFmtId="0" fontId="108" fillId="4" borderId="30" applyAlignment="1" pivotButton="0" quotePrefix="0" xfId="26">
      <alignment horizontal="center" vertical="bottom" wrapText="1"/>
    </xf>
    <xf numFmtId="0" fontId="108" fillId="4" borderId="0" applyAlignment="1" pivotButton="0" quotePrefix="0" xfId="26">
      <alignment horizontal="general" vertical="bottom" wrapText="1"/>
    </xf>
    <xf numFmtId="0" fontId="110" fillId="4" borderId="0" applyAlignment="1" pivotButton="0" quotePrefix="0" xfId="0">
      <alignment horizontal="general" vertical="center"/>
    </xf>
    <xf numFmtId="0" fontId="117" fillId="4" borderId="0" applyAlignment="1" pivotButton="0" quotePrefix="0" xfId="26">
      <alignment horizontal="general" vertical="bottom"/>
    </xf>
    <xf numFmtId="0" fontId="117" fillId="4" borderId="0" applyAlignment="1" pivotButton="0" quotePrefix="0" xfId="26">
      <alignment horizontal="left" vertical="center" wrapText="1"/>
    </xf>
    <xf numFmtId="0" fontId="117" fillId="4" borderId="0" applyAlignment="1" pivotButton="0" quotePrefix="0" xfId="26">
      <alignment horizontal="left" vertical="bottom"/>
    </xf>
    <xf numFmtId="0" fontId="116" fillId="4" borderId="0" applyAlignment="1" pivotButton="0" quotePrefix="0" xfId="0">
      <alignment horizontal="left" vertical="center"/>
    </xf>
    <xf numFmtId="0" fontId="116" fillId="4" borderId="0" applyAlignment="1" pivotButton="0" quotePrefix="0" xfId="0">
      <alignment horizontal="general" vertical="center"/>
    </xf>
    <xf numFmtId="0" fontId="117" fillId="4" borderId="0" applyAlignment="1" pivotButton="0" quotePrefix="0" xfId="26">
      <alignment horizontal="left" vertical="center"/>
    </xf>
    <xf numFmtId="0" fontId="108" fillId="4" borderId="0" applyAlignment="1" pivotButton="0" quotePrefix="0" xfId="26">
      <alignment horizontal="general" vertical="center"/>
    </xf>
    <xf numFmtId="0" fontId="30" fillId="4" borderId="0" applyAlignment="1" pivotButton="0" quotePrefix="0" xfId="0">
      <alignment horizontal="general" vertical="center"/>
    </xf>
    <xf numFmtId="0" fontId="108" fillId="4" borderId="6" applyAlignment="1" pivotButton="0" quotePrefix="0" xfId="26">
      <alignment horizontal="center" vertical="center" shrinkToFit="1"/>
    </xf>
    <xf numFmtId="0" fontId="108" fillId="4" borderId="0" applyAlignment="1" pivotButton="0" quotePrefix="0" xfId="26">
      <alignment horizontal="left" vertical="bottom" wrapText="1"/>
    </xf>
    <xf numFmtId="0" fontId="108" fillId="4" borderId="0" applyAlignment="1" pivotButton="0" quotePrefix="0" xfId="23">
      <alignment horizontal="left" vertical="center"/>
    </xf>
    <xf numFmtId="1" fontId="108" fillId="4" borderId="0" applyAlignment="1" pivotButton="0" quotePrefix="0" xfId="23">
      <alignment horizontal="general" vertical="center"/>
    </xf>
    <xf numFmtId="0" fontId="117" fillId="4" borderId="0" applyAlignment="1" pivotButton="0" quotePrefix="0" xfId="26">
      <alignment horizontal="left" vertical="center"/>
    </xf>
    <xf numFmtId="0" fontId="118" fillId="4" borderId="0" applyAlignment="1" pivotButton="0" quotePrefix="0" xfId="0">
      <alignment horizontal="general" vertical="center"/>
    </xf>
    <xf numFmtId="0" fontId="108" fillId="4" borderId="0" applyAlignment="1" pivotButton="0" quotePrefix="0" xfId="23">
      <alignment horizontal="general" vertical="center"/>
    </xf>
    <xf numFmtId="0" fontId="40" fillId="4" borderId="0" applyAlignment="1" pivotButton="0" quotePrefix="0" xfId="23">
      <alignment horizontal="general" vertical="center"/>
    </xf>
    <xf numFmtId="0" fontId="108" fillId="4" borderId="0" applyAlignment="1" pivotButton="0" quotePrefix="0" xfId="26">
      <alignment horizontal="left" vertical="center"/>
    </xf>
    <xf numFmtId="1" fontId="109" fillId="4" borderId="0" applyAlignment="1" pivotButton="0" quotePrefix="0" xfId="26">
      <alignment horizontal="general" vertical="center"/>
    </xf>
    <xf numFmtId="0" fontId="109" fillId="4" borderId="0" applyAlignment="1" pivotButton="0" quotePrefix="0" xfId="26">
      <alignment horizontal="general" vertical="center"/>
    </xf>
    <xf numFmtId="1" fontId="108" fillId="4" borderId="6" applyAlignment="1" pivotButton="0" quotePrefix="0" xfId="26">
      <alignment horizontal="center" vertical="center"/>
    </xf>
    <xf numFmtId="0" fontId="0" fillId="4" borderId="0" applyAlignment="1" pivotButton="0" quotePrefix="0" xfId="0">
      <alignment horizontal="general" vertical="center"/>
    </xf>
    <xf numFmtId="0" fontId="108" fillId="4" borderId="0" applyAlignment="1" pivotButton="0" quotePrefix="0" xfId="26">
      <alignment horizontal="left" vertical="center" wrapText="1"/>
    </xf>
    <xf numFmtId="1" fontId="108" fillId="4" borderId="0" applyAlignment="1" pivotButton="0" quotePrefix="0" xfId="26">
      <alignment horizontal="center" vertical="center"/>
    </xf>
    <xf numFmtId="175" fontId="108" fillId="4" borderId="0" applyAlignment="1" pivotButton="0" quotePrefix="0" xfId="26">
      <alignment horizontal="right" vertical="center"/>
    </xf>
    <xf numFmtId="0" fontId="108" fillId="4" borderId="0" applyAlignment="1" pivotButton="0" quotePrefix="0" xfId="26">
      <alignment horizontal="center" vertical="bottom" wrapText="1"/>
    </xf>
    <xf numFmtId="0" fontId="108" fillId="4" borderId="34" applyAlignment="1" pivotButton="0" quotePrefix="0" xfId="23">
      <alignment horizontal="left" vertical="center"/>
    </xf>
    <xf numFmtId="0" fontId="108" fillId="4" borderId="6" applyAlignment="1" pivotButton="0" quotePrefix="0" xfId="26">
      <alignment horizontal="center" vertical="center"/>
    </xf>
    <xf numFmtId="0" fontId="108" fillId="2" borderId="34" applyAlignment="1" pivotButton="0" quotePrefix="0" xfId="23">
      <alignment horizontal="left" vertical="center"/>
    </xf>
    <xf numFmtId="0" fontId="109" fillId="2" borderId="0" applyAlignment="1" pivotButton="0" quotePrefix="0" xfId="26">
      <alignment horizontal="general" vertical="center"/>
    </xf>
    <xf numFmtId="0" fontId="119" fillId="2" borderId="0" applyAlignment="1" pivotButton="0" quotePrefix="0" xfId="26">
      <alignment horizontal="center" vertical="center"/>
    </xf>
    <xf numFmtId="0" fontId="108" fillId="0" borderId="34" applyAlignment="1" pivotButton="0" quotePrefix="0" xfId="23">
      <alignment horizontal="left" vertical="center"/>
    </xf>
    <xf numFmtId="0" fontId="109" fillId="0" borderId="0" applyAlignment="1" pivotButton="0" quotePrefix="0" xfId="26">
      <alignment horizontal="general" vertical="center"/>
    </xf>
    <xf numFmtId="0" fontId="108" fillId="0" borderId="0" applyAlignment="1" pivotButton="0" quotePrefix="0" xfId="26">
      <alignment horizontal="left" vertical="center" wrapText="1"/>
    </xf>
    <xf numFmtId="0" fontId="116" fillId="0" borderId="0" applyAlignment="1" pivotButton="0" quotePrefix="0" xfId="0">
      <alignment horizontal="left" vertical="center"/>
    </xf>
    <xf numFmtId="0" fontId="108" fillId="0" borderId="0" applyAlignment="1" pivotButton="0" quotePrefix="0" xfId="26">
      <alignment horizontal="general" vertical="center"/>
    </xf>
    <xf numFmtId="0" fontId="108" fillId="0" borderId="0" applyAlignment="1" pivotButton="0" quotePrefix="0" xfId="26">
      <alignment horizontal="left" vertical="center"/>
    </xf>
    <xf numFmtId="0" fontId="30" fillId="0" borderId="0" applyAlignment="1" pivotButton="0" quotePrefix="0" xfId="0">
      <alignment horizontal="general" vertical="center"/>
    </xf>
    <xf numFmtId="0" fontId="108" fillId="0" borderId="0" applyAlignment="1" pivotButton="0" quotePrefix="0" xfId="23">
      <alignment horizontal="left" vertical="center"/>
    </xf>
    <xf numFmtId="0" fontId="108" fillId="0" borderId="0" applyAlignment="1" pivotButton="0" quotePrefix="0" xfId="26">
      <alignment horizontal="general" vertical="bottom"/>
    </xf>
    <xf numFmtId="0" fontId="108" fillId="0" borderId="0" applyAlignment="1" pivotButton="0" quotePrefix="0" xfId="26">
      <alignment horizontal="left" vertical="bottom"/>
    </xf>
    <xf numFmtId="0" fontId="30" fillId="0" borderId="0" applyAlignment="1" pivotButton="0" quotePrefix="0" xfId="0">
      <alignment horizontal="general" vertical="bottom"/>
    </xf>
    <xf numFmtId="0" fontId="116" fillId="0" borderId="0" applyAlignment="1" pivotButton="0" quotePrefix="0" xfId="0">
      <alignment horizontal="left" vertical="bottom"/>
    </xf>
    <xf numFmtId="0" fontId="108" fillId="2" borderId="0" applyAlignment="1" pivotButton="0" quotePrefix="0" xfId="26">
      <alignment horizontal="general" vertical="bottom"/>
    </xf>
    <xf numFmtId="0" fontId="109" fillId="0" borderId="0" applyAlignment="1" pivotButton="0" quotePrefix="0" xfId="26">
      <alignment horizontal="general" vertical="bottom"/>
    </xf>
    <xf numFmtId="0" fontId="109" fillId="0" borderId="0" applyAlignment="1" pivotButton="0" quotePrefix="0" xfId="26">
      <alignment horizontal="left" vertical="bottom"/>
    </xf>
    <xf numFmtId="0" fontId="120" fillId="0" borderId="0" applyAlignment="1" pivotButton="0" quotePrefix="0" xfId="0">
      <alignment horizontal="general" vertical="center"/>
    </xf>
    <xf numFmtId="0" fontId="110" fillId="0" borderId="0" applyAlignment="1" pivotButton="0" quotePrefix="0" xfId="0">
      <alignment horizontal="general" vertical="center"/>
    </xf>
    <xf numFmtId="0" fontId="116" fillId="0" borderId="0" applyAlignment="1" pivotButton="0" quotePrefix="0" xfId="0">
      <alignment horizontal="general" vertical="center"/>
    </xf>
    <xf numFmtId="0" fontId="116" fillId="0" borderId="0" applyAlignment="1" pivotButton="0" quotePrefix="0" xfId="0">
      <alignment horizontal="left" vertical="center" wrapText="1"/>
    </xf>
    <xf numFmtId="0" fontId="109" fillId="2" borderId="0" applyAlignment="1" pivotButton="0" quotePrefix="0" xfId="26">
      <alignment horizontal="left" vertical="bottom"/>
    </xf>
    <xf numFmtId="0" fontId="109" fillId="2" borderId="0" applyAlignment="1" pivotButton="0" quotePrefix="0" xfId="26">
      <alignment horizontal="general" vertical="bottom"/>
    </xf>
    <xf numFmtId="0" fontId="109" fillId="0" borderId="0" applyAlignment="1" pivotButton="0" quotePrefix="0" xfId="23">
      <alignment horizontal="general" vertical="bottom"/>
    </xf>
    <xf numFmtId="0" fontId="41" fillId="0" borderId="0" applyAlignment="1" pivotButton="0" quotePrefix="0" xfId="23">
      <alignment horizontal="general" vertical="bottom"/>
    </xf>
    <xf numFmtId="0" fontId="108" fillId="2" borderId="0" applyAlignment="1" pivotButton="0" quotePrefix="0" xfId="26">
      <alignment horizontal="left" vertical="bottom"/>
    </xf>
    <xf numFmtId="0" fontId="41" fillId="2" borderId="0" applyAlignment="1" pivotButton="0" quotePrefix="0" xfId="26">
      <alignment horizontal="left" vertical="bottom"/>
    </xf>
    <xf numFmtId="0" fontId="41" fillId="2" borderId="0" applyAlignment="1" pivotButton="0" quotePrefix="0" xfId="26">
      <alignment horizontal="general" vertical="bottom"/>
    </xf>
    <xf numFmtId="0" fontId="121"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2" fillId="0" borderId="6" applyAlignment="1" pivotButton="0" quotePrefix="0" xfId="31">
      <alignment horizontal="left" vertical="center" wrapText="1"/>
    </xf>
    <xf numFmtId="0" fontId="123" fillId="4" borderId="6" applyAlignment="1" pivotButton="0" quotePrefix="0" xfId="31">
      <alignment horizontal="left" vertical="center" wrapText="1"/>
    </xf>
    <xf numFmtId="0" fontId="123" fillId="0" borderId="7" applyAlignment="1" pivotButton="0" quotePrefix="0" xfId="31">
      <alignment horizontal="center" vertical="center" wrapText="1"/>
    </xf>
    <xf numFmtId="0" fontId="122" fillId="0" borderId="21" applyAlignment="1" pivotButton="0" quotePrefix="0" xfId="31">
      <alignment horizontal="general" vertical="center" wrapText="1"/>
    </xf>
    <xf numFmtId="2" fontId="124" fillId="0" borderId="0" applyAlignment="1" applyProtection="1" pivotButton="0" quotePrefix="0" xfId="31">
      <alignment horizontal="general" vertical="bottom"/>
      <protection locked="0" hidden="0"/>
    </xf>
    <xf numFmtId="0" fontId="123" fillId="0" borderId="6" applyAlignment="1" pivotButton="0" quotePrefix="0" xfId="31">
      <alignment horizontal="left" vertical="center" wrapText="1"/>
    </xf>
    <xf numFmtId="0" fontId="123" fillId="0" borderId="44" applyAlignment="1" pivotButton="0" quotePrefix="0" xfId="31">
      <alignment horizontal="center" vertical="center" wrapText="1"/>
    </xf>
    <xf numFmtId="0" fontId="123" fillId="0" borderId="6" applyAlignment="1" pivotButton="0" quotePrefix="0" xfId="31">
      <alignment horizontal="center" vertical="center" wrapText="1"/>
    </xf>
    <xf numFmtId="0" fontId="123" fillId="0" borderId="8" applyAlignment="1" pivotButton="0" quotePrefix="0" xfId="31">
      <alignment horizontal="center" vertical="center" wrapText="1"/>
    </xf>
    <xf numFmtId="0" fontId="125" fillId="0" borderId="6" applyAlignment="1" pivotButton="0" quotePrefix="0" xfId="31">
      <alignment horizontal="left" vertical="center" wrapText="1"/>
    </xf>
    <xf numFmtId="0" fontId="122" fillId="0" borderId="44" applyAlignment="1" pivotButton="0" quotePrefix="0" xfId="31">
      <alignment horizontal="center" vertical="center" wrapText="1"/>
    </xf>
    <xf numFmtId="0" fontId="122" fillId="0" borderId="6" applyAlignment="1" pivotButton="0" quotePrefix="0" xfId="31">
      <alignment horizontal="center" vertical="center" wrapText="1"/>
    </xf>
    <xf numFmtId="169" fontId="122" fillId="0" borderId="6" applyAlignment="1" pivotButton="0" quotePrefix="0" xfId="31">
      <alignment horizontal="center" vertical="center" wrapText="1"/>
    </xf>
    <xf numFmtId="0" fontId="122" fillId="0" borderId="8" applyAlignment="1" pivotButton="0" quotePrefix="0" xfId="31">
      <alignment horizontal="center" vertical="center" wrapText="1"/>
    </xf>
    <xf numFmtId="176" fontId="122" fillId="0" borderId="0" applyAlignment="1" pivotButton="0" quotePrefix="0" xfId="31">
      <alignment horizontal="general" vertical="bottom"/>
    </xf>
    <xf numFmtId="0" fontId="126" fillId="0" borderId="27" applyAlignment="1" pivotButton="0" quotePrefix="0" xfId="31">
      <alignment horizontal="center" vertical="bottom"/>
    </xf>
    <xf numFmtId="2" fontId="124" fillId="0" borderId="0" applyAlignment="1" pivotButton="0" quotePrefix="0" xfId="31">
      <alignment horizontal="general" vertical="bottom"/>
    </xf>
    <xf numFmtId="2" fontId="5" fillId="0" borderId="0" applyAlignment="1" pivotButton="0" quotePrefix="0" xfId="31">
      <alignment horizontal="general" vertical="bottom"/>
    </xf>
    <xf numFmtId="0" fontId="127" fillId="16" borderId="6" applyAlignment="1" pivotButton="0" quotePrefix="0" xfId="30">
      <alignment horizontal="left" vertical="center" wrapText="1"/>
    </xf>
    <xf numFmtId="0" fontId="122" fillId="17" borderId="6" applyAlignment="1" applyProtection="1" pivotButton="0" quotePrefix="0" xfId="30">
      <alignment horizontal="left" vertical="center"/>
      <protection locked="0" hidden="0"/>
    </xf>
    <xf numFmtId="169" fontId="122" fillId="0" borderId="47" applyAlignment="1" applyProtection="1" pivotButton="0" quotePrefix="0" xfId="30">
      <alignment horizontal="center" vertical="center"/>
      <protection locked="0" hidden="0"/>
    </xf>
    <xf numFmtId="0" fontId="127" fillId="16" borderId="7" applyAlignment="1" pivotButton="0" quotePrefix="0" xfId="30">
      <alignment horizontal="left" vertical="center" wrapText="1"/>
    </xf>
    <xf numFmtId="0" fontId="91" fillId="0" borderId="7" applyAlignment="1" applyProtection="1" pivotButton="0" quotePrefix="0" xfId="30">
      <alignment horizontal="left" vertical="center" wrapText="1"/>
      <protection locked="0" hidden="0"/>
    </xf>
    <xf numFmtId="0" fontId="92" fillId="2" borderId="6" applyAlignment="1" applyProtection="1" pivotButton="0" quotePrefix="0" xfId="30">
      <alignment horizontal="center" vertical="center" wrapText="1"/>
      <protection locked="0" hidden="0"/>
    </xf>
    <xf numFmtId="0" fontId="122" fillId="0" borderId="44" applyAlignment="1" applyProtection="1" pivotButton="0" quotePrefix="0" xfId="30">
      <alignment horizontal="center" vertical="center"/>
      <protection locked="0" hidden="0"/>
    </xf>
    <xf numFmtId="0" fontId="122" fillId="0" borderId="6" applyAlignment="1" applyProtection="1" pivotButton="0" quotePrefix="0" xfId="30">
      <alignment horizontal="center" vertical="center"/>
      <protection locked="0" hidden="0"/>
    </xf>
    <xf numFmtId="0" fontId="127" fillId="16" borderId="20" applyAlignment="1" pivotButton="0" quotePrefix="0" xfId="30">
      <alignment horizontal="general" vertical="center" wrapText="1"/>
    </xf>
    <xf numFmtId="0" fontId="92" fillId="0" borderId="6" applyAlignment="1" pivotButton="0" quotePrefix="0" xfId="0">
      <alignment horizontal="general" vertical="center"/>
    </xf>
    <xf numFmtId="0" fontId="128" fillId="0" borderId="0" applyAlignment="1" pivotButton="0" quotePrefix="0" xfId="31">
      <alignment horizontal="general" vertical="bottom"/>
    </xf>
    <xf numFmtId="0" fontId="122" fillId="0" borderId="16" applyAlignment="1" applyProtection="1" pivotButton="0" quotePrefix="0" xfId="30">
      <alignment horizontal="center" vertical="center"/>
      <protection locked="0" hidden="0"/>
    </xf>
    <xf numFmtId="0" fontId="127" fillId="16" borderId="11" applyAlignment="1" pivotButton="0" quotePrefix="0" xfId="30">
      <alignment horizontal="left" vertical="center" wrapText="1"/>
    </xf>
    <xf numFmtId="0" fontId="122" fillId="0" borderId="11" applyAlignment="1" applyProtection="1" pivotButton="0" quotePrefix="0" xfId="30">
      <alignment horizontal="center" vertical="center"/>
      <protection locked="0" hidden="0"/>
    </xf>
    <xf numFmtId="0" fontId="127" fillId="16" borderId="11" applyAlignment="1" pivotButton="0" quotePrefix="0" xfId="30">
      <alignment horizontal="general" vertical="center" wrapText="1"/>
    </xf>
    <xf numFmtId="0" fontId="123" fillId="0" borderId="40" applyAlignment="1" applyProtection="1" pivotButton="0" quotePrefix="0" xfId="30">
      <alignment horizontal="center" vertical="center"/>
      <protection locked="0" hidden="0"/>
    </xf>
    <xf numFmtId="0" fontId="129" fillId="0" borderId="0" applyAlignment="1" pivotButton="0" quotePrefix="0" xfId="31">
      <alignment horizontal="general" vertical="bottom"/>
    </xf>
    <xf numFmtId="0" fontId="127" fillId="18" borderId="6" applyAlignment="1" pivotButton="0" quotePrefix="0" xfId="31">
      <alignment horizontal="left" vertical="center" wrapText="1"/>
    </xf>
    <xf numFmtId="2" fontId="123" fillId="17" borderId="6" applyAlignment="1" pivotButton="0" quotePrefix="0" xfId="31">
      <alignment horizontal="left" vertical="center"/>
    </xf>
    <xf numFmtId="0" fontId="127" fillId="2" borderId="6" applyAlignment="1" pivotButton="0" quotePrefix="0" xfId="31">
      <alignment horizontal="left" vertical="center" wrapText="1"/>
    </xf>
    <xf numFmtId="0" fontId="122" fillId="2" borderId="28" applyAlignment="1" pivotButton="0" quotePrefix="0" xfId="31">
      <alignment horizontal="general" vertical="bottom"/>
    </xf>
    <xf numFmtId="0" fontId="127" fillId="2" borderId="28" applyAlignment="1" pivotButton="0" quotePrefix="0" xfId="31">
      <alignment horizontal="left" vertical="center" wrapText="1"/>
    </xf>
    <xf numFmtId="0" fontId="127" fillId="0" borderId="0" applyAlignment="1" pivotButton="0" quotePrefix="0" xfId="31">
      <alignment horizontal="left" vertical="center" wrapText="1"/>
    </xf>
    <xf numFmtId="0" fontId="94" fillId="0" borderId="29" applyAlignment="1" pivotButton="0" quotePrefix="0" xfId="31">
      <alignment horizontal="center" vertical="center"/>
    </xf>
    <xf numFmtId="0" fontId="5" fillId="2" borderId="0" applyAlignment="1" pivotButton="0" quotePrefix="0" xfId="31">
      <alignment horizontal="general" vertical="bottom"/>
    </xf>
    <xf numFmtId="0" fontId="128" fillId="2" borderId="0" applyAlignment="1" pivotButton="0" quotePrefix="0" xfId="31">
      <alignment horizontal="general" vertical="bottom"/>
    </xf>
    <xf numFmtId="2" fontId="130" fillId="17" borderId="6" applyAlignment="1" applyProtection="1" pivotButton="0" quotePrefix="0" xfId="30">
      <alignment horizontal="left" vertical="center"/>
      <protection locked="0" hidden="0"/>
    </xf>
    <xf numFmtId="0" fontId="127" fillId="16" borderId="6" applyAlignment="1" pivotButton="0" quotePrefix="0" xfId="31">
      <alignment horizontal="left" vertical="center" wrapText="1"/>
    </xf>
    <xf numFmtId="0" fontId="122" fillId="2" borderId="47" applyAlignment="1" applyProtection="1" pivotButton="0" quotePrefix="0" xfId="31">
      <alignment horizontal="center" vertical="center"/>
      <protection locked="0" hidden="0"/>
    </xf>
    <xf numFmtId="0" fontId="127" fillId="16" borderId="7" applyAlignment="1" pivotButton="0" quotePrefix="0" xfId="31">
      <alignment horizontal="left" vertical="center" wrapText="1"/>
    </xf>
    <xf numFmtId="0" fontId="122" fillId="2" borderId="7" applyAlignment="1" applyProtection="1" pivotButton="0" quotePrefix="0" xfId="31">
      <alignment horizontal="center" vertical="center"/>
      <protection locked="0" hidden="0"/>
    </xf>
    <xf numFmtId="0" fontId="127" fillId="16" borderId="7" applyAlignment="1" pivotButton="0" quotePrefix="0" xfId="0">
      <alignment horizontal="left" vertical="center" wrapText="1"/>
    </xf>
    <xf numFmtId="0" fontId="123" fillId="2" borderId="21" applyAlignment="1" applyProtection="1" pivotButton="0" quotePrefix="0" xfId="0">
      <alignment horizontal="center" vertical="center" wrapText="1"/>
      <protection locked="0" hidden="0"/>
    </xf>
    <xf numFmtId="2" fontId="128" fillId="0" borderId="0" applyAlignment="1" pivotButton="0" quotePrefix="0" xfId="31">
      <alignment horizontal="general" vertical="bottom"/>
    </xf>
    <xf numFmtId="2" fontId="123" fillId="17" borderId="6" applyAlignment="1" applyProtection="1" pivotButton="0" quotePrefix="0" xfId="31">
      <alignment horizontal="left" vertical="center"/>
      <protection locked="0" hidden="0"/>
    </xf>
    <xf numFmtId="0" fontId="131" fillId="2" borderId="73" applyAlignment="1" applyProtection="1" pivotButton="0" quotePrefix="0" xfId="31">
      <alignment horizontal="center" vertical="center"/>
      <protection locked="0" hidden="0"/>
    </xf>
    <xf numFmtId="0" fontId="123" fillId="2" borderId="6" applyAlignment="1" pivotButton="0" quotePrefix="0" xfId="31">
      <alignment horizontal="center" vertical="center"/>
    </xf>
    <xf numFmtId="0" fontId="127" fillId="16" borderId="6" applyAlignment="1" pivotButton="0" quotePrefix="0" xfId="0">
      <alignment horizontal="left" vertical="center" wrapText="1"/>
    </xf>
    <xf numFmtId="0" fontId="123" fillId="2" borderId="8" applyAlignment="1" applyProtection="1" pivotButton="0" quotePrefix="0" xfId="0">
      <alignment horizontal="center" vertical="center"/>
      <protection locked="0" hidden="0"/>
    </xf>
    <xf numFmtId="0" fontId="127" fillId="18" borderId="6" applyAlignment="1" pivotButton="0" quotePrefix="0" xfId="0">
      <alignment horizontal="left" vertical="center" wrapText="1"/>
    </xf>
    <xf numFmtId="2" fontId="123" fillId="17" borderId="6" applyAlignment="1" applyProtection="1" pivotButton="0" quotePrefix="0" xfId="0">
      <alignment horizontal="left" vertical="center"/>
      <protection locked="0" hidden="0"/>
    </xf>
    <xf numFmtId="0" fontId="127" fillId="16" borderId="15" applyAlignment="1" pivotButton="0" quotePrefix="0" xfId="31">
      <alignment horizontal="left" vertical="center" wrapText="1"/>
    </xf>
    <xf numFmtId="2" fontId="123" fillId="2" borderId="42" applyAlignment="1" applyProtection="1" pivotButton="0" quotePrefix="0" xfId="0">
      <alignment horizontal="center" vertical="center"/>
      <protection locked="0" hidden="0"/>
    </xf>
    <xf numFmtId="2" fontId="127" fillId="2" borderId="43" applyAlignment="1" pivotButton="0" quotePrefix="0" xfId="0">
      <alignment horizontal="center" vertical="center" wrapText="1"/>
    </xf>
    <xf numFmtId="0" fontId="127" fillId="2" borderId="6" applyAlignment="1" pivotButton="0" quotePrefix="0" xfId="0">
      <alignment horizontal="general" vertical="center" wrapText="1"/>
    </xf>
    <xf numFmtId="0" fontId="127" fillId="2" borderId="6" applyAlignment="1" pivotButton="0" quotePrefix="0" xfId="0">
      <alignment horizontal="center" vertical="center" wrapText="1"/>
    </xf>
    <xf numFmtId="2" fontId="132" fillId="0" borderId="0" applyAlignment="1" pivotButton="0" quotePrefix="0" xfId="31">
      <alignment horizontal="general" vertical="bottom"/>
    </xf>
    <xf numFmtId="0" fontId="126" fillId="0" borderId="6" applyAlignment="1" pivotButton="0" quotePrefix="0" xfId="31">
      <alignment horizontal="left" vertical="bottom"/>
    </xf>
    <xf numFmtId="0" fontId="126" fillId="0" borderId="32" applyAlignment="1" pivotButton="0" quotePrefix="0" xfId="31">
      <alignment horizontal="general" vertical="bottom"/>
    </xf>
    <xf numFmtId="0" fontId="133" fillId="4" borderId="6" applyAlignment="1" pivotButton="0" quotePrefix="0" xfId="31">
      <alignment horizontal="left" vertical="center" wrapText="1"/>
    </xf>
    <xf numFmtId="0" fontId="133" fillId="7" borderId="74" applyAlignment="1" pivotButton="0" quotePrefix="0" xfId="31">
      <alignment horizontal="center" vertical="center" wrapText="1"/>
    </xf>
    <xf numFmtId="0" fontId="133" fillId="7" borderId="75" applyAlignment="1" pivotButton="0" quotePrefix="0" xfId="31">
      <alignment horizontal="center" vertical="center" wrapText="1"/>
    </xf>
    <xf numFmtId="0" fontId="133"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7" borderId="0" applyAlignment="1" pivotButton="0" quotePrefix="0" xfId="31">
      <alignment horizontal="general" vertical="bottom"/>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4" fillId="17" borderId="47" applyAlignment="1" applyProtection="1" pivotButton="0" quotePrefix="0" xfId="31">
      <alignment horizontal="center" vertical="center"/>
      <protection locked="0" hidden="0"/>
    </xf>
    <xf numFmtId="2" fontId="134" fillId="17" borderId="7" applyAlignment="1" applyProtection="1" pivotButton="0" quotePrefix="0" xfId="31">
      <alignment horizontal="center" vertical="center"/>
      <protection locked="0" hidden="0"/>
    </xf>
    <xf numFmtId="2" fontId="135" fillId="17" borderId="7" applyAlignment="1" applyProtection="1" pivotButton="0" quotePrefix="0" xfId="31">
      <alignment horizontal="center" vertical="center"/>
      <protection locked="0" hidden="0"/>
    </xf>
    <xf numFmtId="2" fontId="127" fillId="17" borderId="21" applyAlignment="1" applyProtection="1" pivotButton="0" quotePrefix="0" xfId="31">
      <alignment horizontal="center" vertical="center" wrapText="1"/>
      <protection locked="0" hidden="0"/>
    </xf>
    <xf numFmtId="2" fontId="124" fillId="0" borderId="0" applyAlignment="1" applyProtection="1" pivotButton="0" quotePrefix="0" xfId="31">
      <alignment horizontal="center" vertical="center"/>
      <protection locked="0" hidden="0"/>
    </xf>
    <xf numFmtId="2" fontId="94" fillId="0" borderId="0" applyAlignment="1" applyProtection="1" pivotButton="0" quotePrefix="0" xfId="31">
      <alignment horizontal="center" vertical="center"/>
      <protection locked="0" hidden="0"/>
    </xf>
    <xf numFmtId="0" fontId="5" fillId="0" borderId="0" applyAlignment="1" applyProtection="1" pivotButton="0" quotePrefix="0" xfId="31">
      <alignment horizontal="general" vertical="bottom"/>
      <protection locked="0" hidden="0"/>
    </xf>
    <xf numFmtId="2" fontId="136" fillId="0" borderId="0" applyAlignment="1" applyProtection="1" pivotButton="0" quotePrefix="0" xfId="31">
      <alignment horizontal="general" vertical="center"/>
      <protection locked="0" hidden="0"/>
    </xf>
    <xf numFmtId="2" fontId="134" fillId="17" borderId="44" applyAlignment="1" applyProtection="1" pivotButton="0" quotePrefix="0" xfId="31">
      <alignment horizontal="center" vertical="center"/>
      <protection locked="0" hidden="0"/>
    </xf>
    <xf numFmtId="2" fontId="134" fillId="17" borderId="6" applyAlignment="1" applyProtection="1" pivotButton="0" quotePrefix="0" xfId="31">
      <alignment horizontal="center" vertical="center"/>
      <protection locked="0" hidden="0"/>
    </xf>
    <xf numFmtId="2" fontId="135" fillId="17" borderId="6" applyAlignment="1" applyProtection="1" pivotButton="0" quotePrefix="0" xfId="31">
      <alignment horizontal="center" vertical="center"/>
      <protection locked="0" hidden="0"/>
    </xf>
    <xf numFmtId="2" fontId="127" fillId="17" borderId="8" applyAlignment="1" applyProtection="1" pivotButton="0" quotePrefix="0" xfId="31">
      <alignment horizontal="center" vertical="center" wrapText="1"/>
      <protection locked="0" hidden="0"/>
    </xf>
    <xf numFmtId="2" fontId="128" fillId="0" borderId="0" applyAlignment="1" applyProtection="1" pivotButton="0" quotePrefix="0" xfId="31">
      <alignment horizontal="general" vertical="bottom"/>
      <protection locked="0" hidden="0"/>
    </xf>
    <xf numFmtId="2" fontId="94" fillId="0" borderId="0" applyAlignment="1" applyProtection="1" pivotButton="0" quotePrefix="0" xfId="31">
      <alignment horizontal="center" vertical="center"/>
      <protection locked="0" hidden="0"/>
    </xf>
    <xf numFmtId="0" fontId="94" fillId="0" borderId="0" applyAlignment="1" applyProtection="1" pivotButton="0" quotePrefix="0" xfId="31">
      <alignment horizontal="center" vertical="center"/>
      <protection locked="0" hidden="0"/>
    </xf>
    <xf numFmtId="0" fontId="132" fillId="0" borderId="0" applyAlignment="1" applyProtection="1" pivotButton="0" quotePrefix="0" xfId="31">
      <alignment horizontal="general" vertical="bottom"/>
      <protection locked="0" hidden="0"/>
    </xf>
    <xf numFmtId="0" fontId="124"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2" fillId="0" borderId="14" applyAlignment="1" applyProtection="1" pivotButton="0" quotePrefix="0" xfId="31">
      <alignment horizontal="center" vertical="center"/>
      <protection locked="0" hidden="0"/>
    </xf>
    <xf numFmtId="2" fontId="134" fillId="20" borderId="6" applyAlignment="1" applyProtection="1" pivotButton="0" quotePrefix="0" xfId="31">
      <alignment horizontal="center" vertical="center"/>
      <protection locked="0" hidden="0"/>
    </xf>
    <xf numFmtId="2" fontId="135" fillId="20" borderId="6" applyAlignment="1" applyProtection="1" pivotButton="0" quotePrefix="0" xfId="31">
      <alignment horizontal="center" vertical="center"/>
      <protection locked="0" hidden="0"/>
    </xf>
    <xf numFmtId="0" fontId="137" fillId="0" borderId="25" applyAlignment="1" applyProtection="1" pivotButton="0" quotePrefix="0" xfId="31">
      <alignment horizontal="center" vertical="center"/>
      <protection locked="0" hidden="0"/>
    </xf>
    <xf numFmtId="2" fontId="137"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8" fillId="2" borderId="25" applyAlignment="1" applyProtection="1" pivotButton="0" quotePrefix="0" xfId="31">
      <alignment horizontal="center" vertical="center"/>
      <protection locked="0" hidden="0"/>
    </xf>
    <xf numFmtId="2" fontId="139"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2" fillId="0" borderId="74" applyAlignment="1" applyProtection="1" pivotButton="0" quotePrefix="0" xfId="31">
      <alignment horizontal="center" vertical="center"/>
      <protection locked="0" hidden="0"/>
    </xf>
    <xf numFmtId="0" fontId="137" fillId="0" borderId="53" applyAlignment="1" applyProtection="1" pivotButton="0" quotePrefix="0" xfId="31">
      <alignment horizontal="center" vertical="center"/>
      <protection locked="0" hidden="0"/>
    </xf>
    <xf numFmtId="0" fontId="127" fillId="2" borderId="25" applyAlignment="1" applyProtection="1" pivotButton="0" quotePrefix="0" xfId="31">
      <alignment horizontal="center" vertical="center"/>
      <protection locked="0" hidden="0"/>
    </xf>
    <xf numFmtId="0" fontId="138" fillId="2" borderId="53" applyAlignment="1" applyProtection="1" pivotButton="0" quotePrefix="0" xfId="31">
      <alignment horizontal="center" vertical="center"/>
      <protection locked="0" hidden="0"/>
    </xf>
    <xf numFmtId="0" fontId="138" fillId="4" borderId="25" applyAlignment="1" applyProtection="1" pivotButton="0" quotePrefix="0" xfId="31">
      <alignment horizontal="center" vertical="center"/>
      <protection locked="0" hidden="0"/>
    </xf>
    <xf numFmtId="0" fontId="140" fillId="4" borderId="6" applyAlignment="1" applyProtection="1" pivotButton="0" quotePrefix="0" xfId="31">
      <alignment horizontal="center" vertical="center"/>
      <protection locked="0" hidden="0"/>
    </xf>
    <xf numFmtId="2" fontId="82" fillId="17" borderId="14" applyAlignment="1" applyProtection="1" pivotButton="0" quotePrefix="0" xfId="31">
      <alignment horizontal="center" vertical="center"/>
      <protection locked="0" hidden="0"/>
    </xf>
    <xf numFmtId="0" fontId="127" fillId="20" borderId="21" applyAlignment="1" applyProtection="1" pivotButton="0" quotePrefix="0" xfId="31">
      <alignment horizontal="center" vertical="center" wrapText="1"/>
      <protection locked="0" hidden="0"/>
    </xf>
    <xf numFmtId="2" fontId="134" fillId="20" borderId="44" applyAlignment="1" applyProtection="1" pivotButton="0" quotePrefix="0" xfId="31">
      <alignment horizontal="center" vertical="center"/>
      <protection locked="0" hidden="0"/>
    </xf>
    <xf numFmtId="0" fontId="141" fillId="20" borderId="8" applyAlignment="1" applyProtection="1" pivotButton="0" quotePrefix="0" xfId="20">
      <alignment horizontal="center" vertical="center" wrapText="1"/>
      <protection locked="0" hidden="0"/>
    </xf>
    <xf numFmtId="0" fontId="127"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2"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2"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2" fillId="20" borderId="47" applyAlignment="1" applyProtection="1" pivotButton="0" quotePrefix="0" xfId="31">
      <alignment horizontal="center" vertical="center"/>
      <protection locked="0" hidden="0"/>
    </xf>
    <xf numFmtId="178" fontId="125" fillId="20" borderId="21" applyAlignment="1" applyProtection="1" pivotButton="0" quotePrefix="0" xfId="31">
      <alignment horizontal="center" vertical="center"/>
      <protection locked="0" hidden="0"/>
    </xf>
    <xf numFmtId="2" fontId="82" fillId="20" borderId="44" applyAlignment="1" applyProtection="1" pivotButton="0" quotePrefix="0" xfId="31">
      <alignment horizontal="center" vertical="center"/>
      <protection locked="0" hidden="0"/>
    </xf>
    <xf numFmtId="0" fontId="125" fillId="20" borderId="8" applyAlignment="1" applyProtection="1" pivotButton="0" quotePrefix="0" xfId="31">
      <alignment horizontal="center" vertical="center" wrapText="1"/>
      <protection locked="0" hidden="0"/>
    </xf>
    <xf numFmtId="2" fontId="82" fillId="20" borderId="16" applyAlignment="1" applyProtection="1" pivotButton="0" quotePrefix="0" xfId="31">
      <alignment horizontal="center" vertical="center"/>
      <protection locked="0" hidden="0"/>
    </xf>
    <xf numFmtId="178" fontId="125" fillId="20" borderId="12" applyAlignment="1" applyProtection="1" pivotButton="0" quotePrefix="0" xfId="31">
      <alignment horizontal="center" vertical="center"/>
      <protection locked="0" hidden="0"/>
    </xf>
    <xf numFmtId="178" fontId="125" fillId="20" borderId="23" applyAlignment="1" applyProtection="1" pivotButton="0" quotePrefix="0" xfId="31">
      <alignment horizontal="center" vertical="center"/>
      <protection locked="0" hidden="0"/>
    </xf>
    <xf numFmtId="0" fontId="91" fillId="0" borderId="0" applyAlignment="1" applyProtection="1" pivotButton="0" quotePrefix="0" xfId="31">
      <alignment horizontal="general" vertical="bottom"/>
      <protection locked="0" hidden="0"/>
    </xf>
    <xf numFmtId="178" fontId="125" fillId="20" borderId="25" applyAlignment="1" applyProtection="1" pivotButton="0" quotePrefix="0" xfId="31">
      <alignment horizontal="center" vertical="center"/>
      <protection locked="0" hidden="0"/>
    </xf>
    <xf numFmtId="178" fontId="125" fillId="20" borderId="8" applyAlignment="1" applyProtection="1" pivotButton="0" quotePrefix="0" xfId="31">
      <alignment horizontal="center" vertical="center"/>
      <protection locked="0" hidden="0"/>
    </xf>
    <xf numFmtId="2" fontId="125" fillId="20" borderId="8" applyAlignment="1" applyProtection="1" pivotButton="0" quotePrefix="0" xfId="31">
      <alignment horizontal="center" vertical="center"/>
      <protection locked="0" hidden="0"/>
    </xf>
    <xf numFmtId="0" fontId="128"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8" fillId="0" borderId="0" applyAlignment="1" applyProtection="1" pivotButton="0" quotePrefix="0" xfId="31">
      <alignment horizontal="general" vertical="bottom"/>
      <protection locked="0" hidden="0"/>
    </xf>
    <xf numFmtId="1" fontId="125"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5" fillId="0" borderId="8" applyAlignment="1" applyProtection="1" pivotButton="0" quotePrefix="0" xfId="31">
      <alignment horizontal="center" vertical="center"/>
      <protection locked="0" hidden="0"/>
    </xf>
    <xf numFmtId="0" fontId="125" fillId="0" borderId="23" applyAlignment="1" applyProtection="1" pivotButton="0" quotePrefix="0" xfId="31">
      <alignment horizontal="center" vertical="center"/>
      <protection locked="0" hidden="0"/>
    </xf>
    <xf numFmtId="0" fontId="140" fillId="4" borderId="76" applyAlignment="1" applyProtection="1" pivotButton="0" quotePrefix="0" xfId="31">
      <alignment horizontal="center" vertical="center"/>
      <protection locked="0" hidden="0"/>
    </xf>
    <xf numFmtId="0" fontId="140" fillId="4" borderId="51" applyAlignment="1" applyProtection="1" pivotButton="0" quotePrefix="0" xfId="31">
      <alignment horizontal="center" vertical="center"/>
      <protection locked="0" hidden="0"/>
    </xf>
    <xf numFmtId="0" fontId="125" fillId="0" borderId="25" applyAlignment="1" applyProtection="1" pivotButton="0" quotePrefix="0" xfId="31">
      <alignment horizontal="center" vertical="center"/>
      <protection locked="0" hidden="0"/>
    </xf>
    <xf numFmtId="1" fontId="125"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3" fillId="4" borderId="8" applyAlignment="1" applyProtection="1" pivotButton="0" quotePrefix="0" xfId="31">
      <alignment horizontal="center" vertical="center"/>
      <protection locked="0" hidden="0"/>
    </xf>
    <xf numFmtId="0" fontId="138"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2"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6" fillId="20" borderId="8" applyAlignment="1" applyProtection="1" pivotButton="0" quotePrefix="0" xfId="31">
      <alignment horizontal="center" vertical="center" wrapText="1"/>
      <protection locked="0" hidden="0"/>
    </xf>
    <xf numFmtId="0" fontId="138" fillId="2" borderId="8" applyAlignment="1" applyProtection="1" pivotButton="0" quotePrefix="0" xfId="31">
      <alignment horizontal="center" vertical="center"/>
      <protection locked="0" hidden="0"/>
    </xf>
    <xf numFmtId="2" fontId="82" fillId="2" borderId="14"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1" fontId="126" fillId="20" borderId="21" applyAlignment="1" applyProtection="1" pivotButton="0" quotePrefix="0" xfId="31">
      <alignment horizontal="center" vertical="center"/>
      <protection locked="0" hidden="0"/>
    </xf>
    <xf numFmtId="2" fontId="142" fillId="20" borderId="44" applyAlignment="1" applyProtection="1" pivotButton="0" quotePrefix="0" xfId="31">
      <alignment horizontal="center" vertical="center"/>
      <protection locked="0" hidden="0"/>
    </xf>
    <xf numFmtId="1" fontId="126" fillId="20" borderId="8" applyAlignment="1" applyProtection="1" pivotButton="0" quotePrefix="0" xfId="31">
      <alignment horizontal="center" vertical="center" wrapText="1"/>
      <protection locked="0" hidden="0"/>
    </xf>
    <xf numFmtId="2" fontId="142" fillId="20" borderId="16" applyAlignment="1" applyProtection="1" pivotButton="0" quotePrefix="0" xfId="31">
      <alignment horizontal="center" vertical="center"/>
      <protection locked="0" hidden="0"/>
    </xf>
    <xf numFmtId="0" fontId="125" fillId="20" borderId="12" applyAlignment="1" applyProtection="1" pivotButton="0" quotePrefix="0" xfId="31">
      <alignment horizontal="center" vertical="center" wrapText="1"/>
      <protection locked="0" hidden="0"/>
    </xf>
    <xf numFmtId="2" fontId="142" fillId="4" borderId="74" applyAlignment="1" applyProtection="1" pivotButton="0" quotePrefix="0" xfId="31">
      <alignment horizontal="center" vertical="center"/>
      <protection locked="0" hidden="0"/>
    </xf>
    <xf numFmtId="0" fontId="126"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3"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0" fontId="0" fillId="2" borderId="0" applyAlignment="1" pivotButton="0" quotePrefix="0" xfId="0">
      <alignment horizontal="general" vertical="bottom"/>
    </xf>
    <xf numFmtId="0" fontId="0" fillId="0" borderId="0" pivotButton="0" quotePrefix="0" xfId="0"/>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0" fillId="0" borderId="2" pivotButton="0" quotePrefix="0" xfId="0"/>
    <xf numFmtId="0" fontId="0" fillId="0" borderId="3" pivotButton="0" quotePrefix="0" xfId="0"/>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0" fillId="0" borderId="47" pivotButton="0" quotePrefix="0" xfId="0"/>
    <xf numFmtId="0" fontId="11" fillId="3" borderId="6" applyAlignment="1" pivotButton="0" quotePrefix="0" xfId="0">
      <alignment horizontal="center" vertical="center" wrapText="1"/>
    </xf>
    <xf numFmtId="0" fontId="0" fillId="0" borderId="44" pivotButton="0" quotePrefix="0" xfId="0"/>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0" fillId="0" borderId="72" pivotButton="0" quotePrefix="0" xfId="0"/>
    <xf numFmtId="0" fontId="0" fillId="0" borderId="50" pivotButton="0" quotePrefix="0" xfId="0"/>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0" fillId="0" borderId="16" pivotButton="0" quotePrefix="0" xfId="0"/>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0" borderId="80" pivotButton="0" quotePrefix="0" xfId="0"/>
    <xf numFmtId="0" fontId="0" fillId="0" borderId="81" pivotButton="0" quotePrefix="0" xfId="0"/>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0" fillId="0" borderId="42" pivotButton="0" quotePrefix="0" xfId="0"/>
    <xf numFmtId="0" fontId="0" fillId="0" borderId="14" pivotButton="0" quotePrefix="0" xfId="0"/>
    <xf numFmtId="0" fontId="18" fillId="3" borderId="6" applyAlignment="1" pivotButton="0" quotePrefix="0" xfId="0">
      <alignment horizontal="left" vertical="center" wrapText="1"/>
    </xf>
    <xf numFmtId="0" fontId="0" fillId="0" borderId="13" pivotButton="0" quotePrefix="0" xfId="0"/>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0" fontId="0" fillId="2" borderId="0" applyAlignment="1" pivotButton="0" quotePrefix="0" xfId="0">
      <alignment horizontal="general" vertical="center"/>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0" borderId="0" applyAlignment="1" pivotButton="0" quotePrefix="0" xfId="0">
      <alignment horizontal="general" vertical="center"/>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1" fillId="0" borderId="0" applyAlignment="1" pivotButton="0" quotePrefix="0" xfId="0">
      <alignment horizontal="general" vertical="bottom" wrapText="1"/>
    </xf>
    <xf numFmtId="0" fontId="24" fillId="0" borderId="5" applyAlignment="1" pivotButton="0" quotePrefix="0" xfId="0">
      <alignment horizontal="center" vertical="center" wrapText="1"/>
    </xf>
    <xf numFmtId="0" fontId="0" fillId="0" borderId="82" pivotButton="0" quotePrefix="0" xfId="0"/>
    <xf numFmtId="0" fontId="25" fillId="0" borderId="7" applyAlignment="1" pivotButton="0" quotePrefix="0" xfId="0">
      <alignment horizontal="center" vertical="center" wrapText="1"/>
    </xf>
    <xf numFmtId="0" fontId="24" fillId="0" borderId="21" applyAlignment="1" pivotButton="0" quotePrefix="0" xfId="0">
      <alignment horizontal="general" vertical="center"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2" applyAlignment="1" pivotButton="0" quotePrefix="0" xfId="0">
      <alignment horizontal="center" vertical="center" wrapText="1"/>
    </xf>
    <xf numFmtId="0" fontId="0" fillId="0" borderId="71" pivotButton="0" quotePrefix="0" xfId="0"/>
    <xf numFmtId="0" fontId="0" fillId="0" borderId="78" pivotButton="0" quotePrefix="0" xfId="0"/>
    <xf numFmtId="0" fontId="24" fillId="0" borderId="20" applyAlignment="1" pivotButton="0" quotePrefix="0" xfId="0">
      <alignment horizontal="center" vertical="center" wrapText="1"/>
    </xf>
    <xf numFmtId="0" fontId="0" fillId="0" borderId="84" pivotButton="0" quotePrefix="0" xfId="0"/>
    <xf numFmtId="0" fontId="0" fillId="0" borderId="83" pivotButton="0" quotePrefix="0" xfId="0"/>
    <xf numFmtId="168" fontId="24" fillId="0" borderId="20" applyAlignment="1" pivotButton="0" quotePrefix="0" xfId="0">
      <alignment horizontal="center" vertical="center" wrapText="1"/>
    </xf>
    <xf numFmtId="0" fontId="24" fillId="0" borderId="23" applyAlignment="1" pivotButton="0" quotePrefix="0" xfId="0">
      <alignment horizontal="center" vertical="center" wrapText="1"/>
    </xf>
    <xf numFmtId="0" fontId="24" fillId="0" borderId="24" applyAlignment="1" pivotButton="0" quotePrefix="0" xfId="0">
      <alignment horizontal="center" vertical="bottom" wrapText="1"/>
    </xf>
    <xf numFmtId="0" fontId="24" fillId="0" borderId="0" applyAlignment="1" pivotButton="0" quotePrefix="0" xfId="0">
      <alignment horizontal="general"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5" applyAlignment="1" pivotButton="0" quotePrefix="0" xfId="0">
      <alignment horizontal="center" vertical="center" wrapText="1"/>
    </xf>
    <xf numFmtId="0" fontId="0" fillId="0" borderId="48" pivotButton="0" quotePrefix="0" xfId="0"/>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0" fillId="0" borderId="30" pivotButton="0" quotePrefix="0" xfId="0"/>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79" fontId="29" fillId="2" borderId="9" applyAlignment="1" applyProtection="1" pivotButton="0" quotePrefix="0" xfId="0">
      <alignment horizontal="center" vertical="center" wrapText="1"/>
      <protection locked="0" hidden="0"/>
    </xf>
    <xf numFmtId="0" fontId="0" fillId="0" borderId="72" applyProtection="1" pivotButton="0" quotePrefix="0" xfId="0">
      <protection locked="0" hidden="0"/>
    </xf>
    <xf numFmtId="0" fontId="0" fillId="0" borderId="44" applyProtection="1" pivotButton="0" quotePrefix="0" xfId="0">
      <protection locked="0" hidden="0"/>
    </xf>
    <xf numFmtId="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top" wrapText="1"/>
      <protection locked="0" hidden="0"/>
    </xf>
    <xf numFmtId="0" fontId="0" fillId="0" borderId="50" applyProtection="1" pivotButton="0" quotePrefix="0" xfId="0">
      <protection locked="0" hidden="0"/>
    </xf>
    <xf numFmtId="0" fontId="21" fillId="2" borderId="0" applyAlignment="1" applyProtection="1" pivotButton="0" quotePrefix="0" xfId="0">
      <alignment horizontal="general" vertical="bottom" wrapText="1"/>
      <protection locked="0" hidden="0"/>
    </xf>
    <xf numFmtId="0" fontId="29" fillId="0" borderId="1" applyAlignment="1" applyProtection="1" pivotButton="0" quotePrefix="0" xfId="0">
      <alignment horizontal="general" vertical="center" wrapText="1"/>
      <protection locked="0" hidden="0"/>
    </xf>
    <xf numFmtId="0" fontId="29" fillId="0" borderId="4" applyAlignment="1" applyProtection="1" pivotButton="0" quotePrefix="0" xfId="0">
      <alignment horizontal="general" vertical="center"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pivotButton="0" quotePrefix="0" xfId="0">
      <alignment horizontal="general" vertical="center"/>
    </xf>
    <xf numFmtId="0" fontId="21" fillId="0" borderId="30" applyAlignment="1" pivotButton="0" quotePrefix="0" xfId="0">
      <alignment horizontal="general" vertical="bottom" wrapText="1"/>
    </xf>
    <xf numFmtId="0" fontId="29" fillId="0" borderId="30" applyAlignment="1" pivotButton="0" quotePrefix="0" xfId="0">
      <alignment horizontal="general" vertical="center" wrapText="1"/>
    </xf>
    <xf numFmtId="0" fontId="0" fillId="0" borderId="35" applyProtection="1" pivotButton="0" quotePrefix="0" xfId="0">
      <protection locked="0" hidden="0"/>
    </xf>
    <xf numFmtId="0" fontId="0" fillId="0" borderId="71" applyProtection="1" pivotButton="0" quotePrefix="0" xfId="0">
      <protection locked="0" hidden="0"/>
    </xf>
    <xf numFmtId="0" fontId="0" fillId="0" borderId="78" applyProtection="1" pivotButton="0" quotePrefix="0" xfId="0">
      <protection locked="0" hidden="0"/>
    </xf>
    <xf numFmtId="0" fontId="0" fillId="0" borderId="79" applyProtection="1" pivotButton="0" quotePrefix="0" xfId="0">
      <protection locked="0" hidden="0"/>
    </xf>
    <xf numFmtId="0" fontId="0" fillId="0" borderId="32" pivotButton="0" quotePrefix="0" xfId="0"/>
    <xf numFmtId="0" fontId="0" fillId="0" borderId="35" pivotButton="0" quotePrefix="0" xfId="0"/>
    <xf numFmtId="0" fontId="0" fillId="0" borderId="41" applyProtection="1" pivotButton="0" quotePrefix="0" xfId="0">
      <protection locked="0" hidden="0"/>
    </xf>
    <xf numFmtId="0" fontId="0" fillId="0" borderId="42" applyProtection="1" pivotButton="0" quotePrefix="0" xfId="0">
      <protection locked="0" hidden="0"/>
    </xf>
    <xf numFmtId="0" fontId="0" fillId="0" borderId="14" applyProtection="1" pivotButton="0" quotePrefix="0" xfId="0">
      <protection locked="0" hidden="0"/>
    </xf>
    <xf numFmtId="0" fontId="0" fillId="0" borderId="110" applyProtection="1" pivotButton="0" quotePrefix="0" xfId="0">
      <protection locked="0" hidden="0"/>
    </xf>
    <xf numFmtId="0" fontId="0" fillId="0" borderId="48" applyProtection="1" pivotButton="0" quotePrefix="0" xfId="0">
      <protection locked="0" hidden="0"/>
    </xf>
    <xf numFmtId="0" fontId="0" fillId="0" borderId="34" applyProtection="1" pivotButton="0" quotePrefix="0" xfId="0">
      <protection locked="0" hidden="0"/>
    </xf>
    <xf numFmtId="0" fontId="0" fillId="0" borderId="0" applyProtection="1" pivotButton="0" quotePrefix="0" xfId="0">
      <protection locked="0" hidden="0"/>
    </xf>
    <xf numFmtId="0" fontId="0" fillId="0" borderId="74" applyProtection="1" pivotButton="0" quotePrefix="0" xfId="0">
      <protection locked="0" hidden="0"/>
    </xf>
    <xf numFmtId="166" fontId="29" fillId="2" borderId="9" applyAlignment="1" applyProtection="1" pivotButton="0" quotePrefix="0" xfId="0">
      <alignment horizontal="center" vertical="center" wrapText="1"/>
      <protection locked="0" hidden="0"/>
    </xf>
    <xf numFmtId="20" fontId="30" fillId="0"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center" wrapText="1"/>
      <protection locked="0" hidden="0"/>
    </xf>
    <xf numFmtId="20" fontId="30" fillId="0" borderId="0" applyAlignment="1" applyProtection="1" pivotButton="0" quotePrefix="0" xfId="0">
      <alignment horizontal="center" vertical="bottom" wrapText="1"/>
      <protection locked="0" hidden="0"/>
    </xf>
    <xf numFmtId="20" fontId="29" fillId="2" borderId="6" applyAlignment="1" applyProtection="1" pivotButton="0" quotePrefix="0" xfId="0">
      <alignment horizontal="center" vertical="center" wrapText="1"/>
      <protection locked="0" hidden="0"/>
    </xf>
    <xf numFmtId="0" fontId="0" fillId="5" borderId="27" applyAlignment="1" pivotButton="0" quotePrefix="0" xfId="0">
      <alignment horizontal="center" vertical="bottom" wrapText="1"/>
    </xf>
    <xf numFmtId="0" fontId="0" fillId="0" borderId="79" pivotButton="0" quotePrefix="0" xfId="0"/>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applyProtection="1" pivotButton="0" quotePrefix="0" xfId="0">
      <alignment horizontal="general" vertical="center"/>
      <protection locked="0" hidden="0"/>
    </xf>
    <xf numFmtId="0" fontId="31"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32" fillId="0" borderId="31" applyAlignment="1" applyProtection="1" pivotButton="0" quotePrefix="0" xfId="0">
      <alignment horizontal="center" vertical="center"/>
      <protection locked="0" hidden="0"/>
    </xf>
    <xf numFmtId="169" fontId="33" fillId="0" borderId="31" applyAlignment="1" applyProtection="1" pivotButton="0" quotePrefix="0" xfId="0">
      <alignment horizontal="center" vertical="center"/>
      <protection locked="0" hidden="0"/>
    </xf>
    <xf numFmtId="0" fontId="34" fillId="0" borderId="32" applyAlignment="1" applyProtection="1" pivotButton="0" quotePrefix="0" xfId="0">
      <alignment horizontal="center" vertical="bottom" wrapText="1"/>
      <protection locked="0" hidden="0"/>
    </xf>
    <xf numFmtId="169" fontId="35" fillId="0" borderId="4" applyAlignment="1" applyProtection="1" pivotButton="0" quotePrefix="0" xfId="0">
      <alignment horizontal="center" vertical="center"/>
      <protection locked="0" hidden="0"/>
    </xf>
    <xf numFmtId="0" fontId="36" fillId="2" borderId="31" applyAlignment="1" applyProtection="1" pivotButton="0" quotePrefix="0" xfId="0">
      <alignment horizontal="center" vertical="center" wrapText="1"/>
      <protection locked="0" hidden="0"/>
    </xf>
    <xf numFmtId="0" fontId="37" fillId="2" borderId="0" applyAlignment="1" applyProtection="1" pivotButton="0" quotePrefix="0" xfId="0">
      <alignment horizontal="general" vertical="center" wrapText="1"/>
      <protection locked="0" hidden="0"/>
    </xf>
    <xf numFmtId="0" fontId="38" fillId="0" borderId="0" applyAlignment="1" applyProtection="1" pivotButton="0" quotePrefix="0" xfId="29">
      <alignment horizontal="left" vertical="top"/>
      <protection locked="0" hidden="0"/>
    </xf>
    <xf numFmtId="0" fontId="38" fillId="0" borderId="1" applyAlignment="1" pivotButton="0" quotePrefix="0" xfId="29">
      <alignment horizontal="left" vertical="top"/>
    </xf>
    <xf numFmtId="0" fontId="38" fillId="0" borderId="2" applyAlignment="1" pivotButton="0" quotePrefix="0" xfId="29">
      <alignment horizontal="left" vertical="top"/>
    </xf>
    <xf numFmtId="0" fontId="38" fillId="0" borderId="3" applyAlignment="1" pivotButton="0" quotePrefix="0" xfId="29">
      <alignment horizontal="left" vertical="top"/>
    </xf>
    <xf numFmtId="0" fontId="39" fillId="7" borderId="4" applyAlignment="1" pivotButton="0" quotePrefix="0" xfId="29">
      <alignment horizontal="center" vertical="top"/>
    </xf>
    <xf numFmtId="0" fontId="40" fillId="0" borderId="33" applyAlignment="1" pivotButton="0" quotePrefix="0" xfId="29">
      <alignment horizontal="center" vertical="top" wrapText="1"/>
    </xf>
    <xf numFmtId="0" fontId="0" fillId="0" borderId="28" pivotButton="0" quotePrefix="0" xfId="0"/>
    <xf numFmtId="0" fontId="40" fillId="0" borderId="28" applyAlignment="1" pivotButton="0" quotePrefix="0" xfId="29">
      <alignment horizontal="left" vertical="center" wrapText="1"/>
    </xf>
    <xf numFmtId="0" fontId="40" fillId="0" borderId="28" applyAlignment="1" pivotButton="0" quotePrefix="0" xfId="29">
      <alignment horizontal="left" vertical="top" wrapText="1"/>
    </xf>
    <xf numFmtId="1" fontId="39" fillId="0" borderId="29" applyAlignment="1" pivotButton="0" quotePrefix="0" xfId="29">
      <alignment horizontal="left" vertical="top" shrinkToFit="1" indent="1"/>
    </xf>
    <xf numFmtId="0" fontId="0" fillId="0" borderId="29" pivotButton="0" quotePrefix="0" xfId="0"/>
    <xf numFmtId="0" fontId="40" fillId="0" borderId="34" applyAlignment="1" pivotButton="0" quotePrefix="0" xfId="29">
      <alignment horizontal="center" vertical="top" wrapText="1"/>
    </xf>
    <xf numFmtId="0" fontId="40" fillId="0" borderId="0" applyAlignment="1" pivotButton="0" quotePrefix="0" xfId="29">
      <alignment horizontal="left" vertical="center" wrapText="1"/>
    </xf>
    <xf numFmtId="0" fontId="40" fillId="0" borderId="0" applyAlignment="1" pivotButton="0" quotePrefix="0" xfId="29">
      <alignment horizontal="left" vertical="top" wrapText="1"/>
    </xf>
    <xf numFmtId="1" fontId="39" fillId="0" borderId="30" applyAlignment="1" pivotButton="0" quotePrefix="0" xfId="29">
      <alignment horizontal="left" vertical="top" shrinkToFit="1" indent="1"/>
    </xf>
    <xf numFmtId="0" fontId="40" fillId="0" borderId="32" applyAlignment="1" pivotButton="0" quotePrefix="0" xfId="29">
      <alignment horizontal="left" vertical="top" wrapText="1"/>
    </xf>
    <xf numFmtId="0" fontId="40" fillId="0" borderId="35" applyAlignment="1" pivotButton="0" quotePrefix="0" xfId="29">
      <alignment horizontal="center" vertical="top" wrapText="1"/>
    </xf>
    <xf numFmtId="1" fontId="39" fillId="0" borderId="36" applyAlignment="1" pivotButton="0" quotePrefix="0" xfId="29">
      <alignment horizontal="left" vertical="top" shrinkToFit="1" indent="1"/>
    </xf>
    <xf numFmtId="0" fontId="0" fillId="0" borderId="36" pivotButton="0" quotePrefix="0" xfId="0"/>
    <xf numFmtId="0" fontId="38" fillId="0" borderId="0" applyAlignment="1" applyProtection="1" pivotButton="0" quotePrefix="0" xfId="29">
      <alignment horizontal="center" vertical="center"/>
      <protection locked="0" hidden="0"/>
    </xf>
    <xf numFmtId="0" fontId="40" fillId="7" borderId="37" applyAlignment="1" pivotButton="0" quotePrefix="0" xfId="29">
      <alignment horizontal="center" vertical="center" wrapText="1"/>
    </xf>
    <xf numFmtId="0" fontId="40" fillId="7" borderId="38" applyAlignment="1" pivotButton="0" quotePrefix="0" xfId="29">
      <alignment horizontal="center" vertical="center" wrapText="1"/>
    </xf>
    <xf numFmtId="0" fontId="40" fillId="7" borderId="39" applyAlignment="1" pivotButton="0" quotePrefix="0" xfId="29">
      <alignment horizontal="center" vertical="center" wrapText="1"/>
    </xf>
    <xf numFmtId="0" fontId="40" fillId="7" borderId="40" applyAlignment="1" pivotButton="0" quotePrefix="0" xfId="29">
      <alignment horizontal="center" vertical="center" wrapText="1"/>
    </xf>
    <xf numFmtId="0" fontId="41" fillId="0" borderId="13" applyAlignment="1" applyProtection="1" pivotButton="0" quotePrefix="0" xfId="29">
      <alignment horizontal="center" vertical="center" wrapText="1"/>
      <protection locked="0" hidden="0"/>
    </xf>
    <xf numFmtId="0" fontId="41" fillId="0" borderId="7" applyAlignment="1" applyProtection="1" pivotButton="0" quotePrefix="0" xfId="29">
      <alignment horizontal="general" vertical="center" wrapText="1"/>
      <protection locked="0" hidden="0"/>
    </xf>
    <xf numFmtId="0" fontId="0" fillId="0" borderId="47" applyProtection="1" pivotButton="0" quotePrefix="0" xfId="0">
      <protection locked="0" hidden="0"/>
    </xf>
    <xf numFmtId="4" fontId="41" fillId="0" borderId="6" applyAlignment="1" applyProtection="1" pivotButton="0" quotePrefix="0" xfId="29">
      <alignment horizontal="right" vertical="center" shrinkToFit="1"/>
      <protection locked="0" hidden="0"/>
    </xf>
    <xf numFmtId="1" fontId="41" fillId="0" borderId="15" applyAlignment="1" applyProtection="1" pivotButton="0" quotePrefix="0" xfId="29">
      <alignment horizontal="center" vertical="center" shrinkToFit="1"/>
      <protection locked="0" hidden="0"/>
    </xf>
    <xf numFmtId="4" fontId="41" fillId="0" borderId="25" applyAlignment="1" applyProtection="1" pivotButton="0" quotePrefix="0" xfId="29">
      <alignment horizontal="right" vertical="center" shrinkToFit="1"/>
      <protection locked="0" hidden="0"/>
    </xf>
    <xf numFmtId="0" fontId="41" fillId="0" borderId="9" applyAlignment="1" applyProtection="1" pivotButton="0" quotePrefix="0" xfId="29">
      <alignment horizontal="center" vertical="center" wrapText="1"/>
      <protection locked="0" hidden="0"/>
    </xf>
    <xf numFmtId="0" fontId="41" fillId="0" borderId="6" applyAlignment="1" applyProtection="1" pivotButton="0" quotePrefix="0" xfId="29">
      <alignment horizontal="general" vertical="center" wrapText="1"/>
      <protection locked="0" hidden="0"/>
    </xf>
    <xf numFmtId="1" fontId="41" fillId="0" borderId="6" applyAlignment="1" applyProtection="1" pivotButton="0" quotePrefix="0" xfId="29">
      <alignment horizontal="center" vertical="center" shrinkToFit="1"/>
      <protection locked="0" hidden="0"/>
    </xf>
    <xf numFmtId="4" fontId="38" fillId="0" borderId="6" applyAlignment="1" applyProtection="1" pivotButton="0" quotePrefix="0" xfId="29">
      <alignment horizontal="right" vertical="center" shrinkToFit="1"/>
      <protection locked="0" hidden="0"/>
    </xf>
    <xf numFmtId="170" fontId="38" fillId="0" borderId="6" applyAlignment="1" applyProtection="1" pivotButton="0" quotePrefix="0" xfId="29">
      <alignment horizontal="center" vertical="center" shrinkToFit="1"/>
      <protection locked="0" hidden="0"/>
    </xf>
    <xf numFmtId="4" fontId="38" fillId="0" borderId="25" applyAlignment="1" applyProtection="1" pivotButton="0" quotePrefix="0" xfId="29">
      <alignment horizontal="right" vertical="center" shrinkToFit="1"/>
      <protection locked="0" hidden="0"/>
    </xf>
    <xf numFmtId="1" fontId="38" fillId="0" borderId="6" applyAlignment="1" applyProtection="1" pivotButton="0" quotePrefix="0" xfId="29">
      <alignment horizontal="center" vertical="center" shrinkToFit="1"/>
      <protection locked="0" hidden="0"/>
    </xf>
    <xf numFmtId="0" fontId="40" fillId="0" borderId="10" applyAlignment="1" applyProtection="1" pivotButton="0" quotePrefix="0" xfId="29">
      <alignment horizontal="left" vertical="top" wrapText="1"/>
      <protection locked="0" hidden="0"/>
    </xf>
    <xf numFmtId="0" fontId="40" fillId="0" borderId="6" applyAlignment="1" applyProtection="1" pivotButton="0" quotePrefix="0" xfId="29">
      <alignment horizontal="center" vertical="center" wrapText="1"/>
      <protection locked="0" hidden="0"/>
    </xf>
    <xf numFmtId="4" fontId="39" fillId="0" borderId="8" applyAlignment="1" applyProtection="1" pivotButton="0" quotePrefix="0" xfId="29">
      <alignment horizontal="general" vertical="center" shrinkToFit="1"/>
      <protection locked="0" hidden="0"/>
    </xf>
    <xf numFmtId="0" fontId="0" fillId="0" borderId="32" applyProtection="1" pivotButton="0" quotePrefix="0" xfId="0">
      <protection locked="0" hidden="0"/>
    </xf>
    <xf numFmtId="0" fontId="0" fillId="0" borderId="73" applyProtection="1" pivotButton="0" quotePrefix="0" xfId="0">
      <protection locked="0" hidden="0"/>
    </xf>
    <xf numFmtId="0" fontId="40" fillId="0" borderId="11" applyAlignment="1" applyProtection="1" pivotButton="0" quotePrefix="0" xfId="29">
      <alignment horizontal="center" vertical="center" wrapText="1"/>
      <protection locked="0" hidden="0"/>
    </xf>
    <xf numFmtId="0" fontId="0" fillId="0" borderId="16" applyProtection="1" pivotButton="0" quotePrefix="0" xfId="0">
      <protection locked="0" hidden="0"/>
    </xf>
    <xf numFmtId="4" fontId="39" fillId="0" borderId="12" applyAlignment="1" applyProtection="1" pivotButton="0" quotePrefix="0" xfId="29">
      <alignment horizontal="general" vertical="center" shrinkToFit="1"/>
      <protection locked="0" hidden="0"/>
    </xf>
    <xf numFmtId="0" fontId="40" fillId="0" borderId="0" applyAlignment="1" applyProtection="1" pivotButton="0" quotePrefix="0" xfId="29">
      <alignment horizontal="left" vertical="center" wrapText="1"/>
      <protection locked="0" hidden="0"/>
    </xf>
    <xf numFmtId="171" fontId="38" fillId="0" borderId="0" applyAlignment="1" applyProtection="1" pivotButton="0" quotePrefix="0" xfId="21">
      <alignment horizontal="left" vertical="top"/>
      <protection locked="0" hidden="0"/>
    </xf>
    <xf numFmtId="0" fontId="42"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2"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3"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34" pivotButton="0" quotePrefix="0" xfId="0"/>
    <xf numFmtId="0" fontId="21" fillId="0" borderId="44" applyAlignment="1" pivotButton="0" quotePrefix="0" xfId="0">
      <alignment horizontal="center" vertical="bottom"/>
    </xf>
    <xf numFmtId="0" fontId="44"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30" fillId="5" borderId="4" applyAlignment="1" pivotButton="0" quotePrefix="0" xfId="0">
      <alignment horizontal="center" vertical="center"/>
    </xf>
    <xf numFmtId="1" fontId="30" fillId="5" borderId="4" applyAlignment="1" pivotButton="0" quotePrefix="0" xfId="0">
      <alignment horizontal="center" vertical="center"/>
    </xf>
    <xf numFmtId="1" fontId="30" fillId="5" borderId="47" applyAlignment="1" pivotButton="0" quotePrefix="0" xfId="0">
      <alignment horizontal="center" vertical="bottom"/>
    </xf>
    <xf numFmtId="0" fontId="30" fillId="5" borderId="21" applyAlignment="1" pivotButton="0" quotePrefix="0" xfId="0">
      <alignment horizontal="general" vertical="bottom"/>
    </xf>
    <xf numFmtId="0" fontId="42" fillId="0" borderId="41" applyAlignment="1" pivotButton="0" quotePrefix="0" xfId="0">
      <alignment horizontal="general" vertical="bottom"/>
    </xf>
    <xf numFmtId="0" fontId="42" fillId="0" borderId="42" applyAlignment="1" pivotButton="0" quotePrefix="0" xfId="0">
      <alignment horizontal="general" vertical="bottom"/>
    </xf>
    <xf numFmtId="0" fontId="0" fillId="0" borderId="26" pivotButton="0" quotePrefix="0" xfId="0"/>
    <xf numFmtId="0" fontId="42" fillId="0" borderId="48" applyAlignment="1" pivotButton="0" quotePrefix="0" xfId="0">
      <alignment horizontal="general" vertical="bottom"/>
    </xf>
    <xf numFmtId="0" fontId="30" fillId="5" borderId="49" applyAlignment="1" pivotButton="0" quotePrefix="0" xfId="0">
      <alignment horizontal="left" vertical="bottom" wrapText="1"/>
    </xf>
    <xf numFmtId="0" fontId="0" fillId="0" borderId="31" pivotButton="0" quotePrefix="0" xfId="0"/>
    <xf numFmtId="1" fontId="30" fillId="5" borderId="14" applyAlignment="1" pivotButton="0" quotePrefix="0" xfId="0">
      <alignment horizontal="center" vertical="bottom"/>
    </xf>
    <xf numFmtId="0" fontId="30"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30"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0" fillId="0" borderId="53" pivotButton="0" quotePrefix="0" xfId="0"/>
    <xf numFmtId="0" fontId="0" fillId="0" borderId="25" pivotButton="0" quotePrefix="0" xfId="0"/>
    <xf numFmtId="0" fontId="30" fillId="7" borderId="24" applyAlignment="1" pivotButton="0" quotePrefix="0" xfId="0">
      <alignment horizontal="left" vertical="bottom" wrapText="1"/>
    </xf>
    <xf numFmtId="1" fontId="0" fillId="0" borderId="44" applyAlignment="1" pivotButton="0" quotePrefix="0" xfId="0">
      <alignment horizontal="center" vertical="bottom"/>
    </xf>
    <xf numFmtId="0" fontId="30" fillId="0" borderId="9" applyAlignment="1" pivotButton="0" quotePrefix="0" xfId="0">
      <alignment horizontal="left" vertical="center" wrapText="1"/>
    </xf>
    <xf numFmtId="9" fontId="30" fillId="8" borderId="8" applyAlignment="1" applyProtection="1" pivotButton="0" quotePrefix="0" xfId="0">
      <alignment horizontal="center" vertical="center" wrapText="1"/>
      <protection locked="0" hidden="0"/>
    </xf>
    <xf numFmtId="0" fontId="0" fillId="0" borderId="53" applyProtection="1" pivotButton="0" quotePrefix="0" xfId="0">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0" fontId="0" fillId="0" borderId="25" applyProtection="1" pivotButton="0" quotePrefix="0" xfId="0">
      <protection locked="0" hidden="0"/>
    </xf>
    <xf numFmtId="1" fontId="0" fillId="0" borderId="44" applyAlignment="1" pivotButton="0" quotePrefix="0" xfId="0">
      <alignment horizontal="general" vertical="bottom"/>
    </xf>
    <xf numFmtId="172" fontId="46"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86" pivotButton="0" quotePrefix="0" xfId="0"/>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7" fillId="9" borderId="52" applyAlignment="1" pivotButton="0" quotePrefix="0" xfId="0">
      <alignment horizontal="general" vertical="center"/>
    </xf>
    <xf numFmtId="0" fontId="0" fillId="0" borderId="74" pivotButton="0" quotePrefix="0" xfId="0"/>
    <xf numFmtId="0" fontId="47" fillId="9" borderId="53" applyAlignment="1" pivotButton="0" quotePrefix="0" xfId="0">
      <alignment horizontal="center" vertical="center"/>
    </xf>
    <xf numFmtId="2" fontId="30" fillId="9" borderId="4" applyAlignment="1" pivotButton="0" quotePrefix="0" xfId="0">
      <alignment horizontal="center" vertical="center"/>
    </xf>
    <xf numFmtId="0" fontId="30" fillId="9" borderId="4" applyAlignment="1" pivotButton="0" quotePrefix="0" xfId="0">
      <alignment horizontal="center" vertical="center"/>
    </xf>
    <xf numFmtId="0" fontId="0" fillId="0" borderId="85" pivotButton="0" quotePrefix="0" xfId="0"/>
    <xf numFmtId="0" fontId="0" fillId="0" borderId="5" applyAlignment="1" pivotButton="0" quotePrefix="0" xfId="0">
      <alignment horizontal="center" vertical="bottom" wrapText="1"/>
    </xf>
    <xf numFmtId="0" fontId="0" fillId="0" borderId="77" pivotButton="0" quotePrefix="0" xfId="0"/>
    <xf numFmtId="0" fontId="0" fillId="0" borderId="19" applyAlignment="1" pivotButton="0" quotePrefix="0" xfId="0">
      <alignment horizontal="center" vertical="bottom"/>
    </xf>
    <xf numFmtId="2" fontId="30" fillId="0" borderId="41" applyAlignment="1" pivotButton="0" quotePrefix="0" xfId="0">
      <alignment horizontal="center" vertical="center"/>
    </xf>
    <xf numFmtId="2" fontId="30" fillId="0" borderId="6" applyAlignment="1" pivotButton="0" quotePrefix="0" xfId="0">
      <alignment horizontal="center" vertical="center" wrapText="1"/>
    </xf>
    <xf numFmtId="169" fontId="48" fillId="0" borderId="25" applyAlignment="1" applyProtection="1" pivotButton="0" quotePrefix="0" xfId="0">
      <alignment horizontal="center" vertical="center"/>
      <protection locked="0" hidden="0"/>
    </xf>
    <xf numFmtId="0" fontId="0" fillId="0" borderId="41" pivotButton="0" quotePrefix="0" xfId="0"/>
    <xf numFmtId="0" fontId="0" fillId="0" borderId="15" pivotButton="0" quotePrefix="0" xfId="0"/>
    <xf numFmtId="0" fontId="0" fillId="0" borderId="12" applyAlignment="1" pivotButton="0" quotePrefix="0" xfId="0">
      <alignment horizontal="center" vertical="bottom"/>
    </xf>
    <xf numFmtId="2" fontId="30" fillId="0" borderId="9" applyAlignment="1" pivotButton="0" quotePrefix="0" xfId="0">
      <alignment horizontal="center" vertical="center" wrapText="1"/>
    </xf>
    <xf numFmtId="0" fontId="0" fillId="0" borderId="73" pivotButton="0" quotePrefix="0" xfId="0"/>
    <xf numFmtId="0" fontId="0" fillId="0" borderId="38" pivotButton="0" quotePrefix="0" xfId="0"/>
    <xf numFmtId="0" fontId="0" fillId="0" borderId="0" applyAlignment="1" pivotButton="0" quotePrefix="0" xfId="0">
      <alignment horizontal="general" vertical="bottom" wrapText="1"/>
    </xf>
    <xf numFmtId="2" fontId="30" fillId="0" borderId="28" applyAlignment="1" pivotButton="0" quotePrefix="0" xfId="0">
      <alignment horizontal="general" vertical="center"/>
    </xf>
    <xf numFmtId="2" fontId="30" fillId="0" borderId="0" applyAlignment="1" pivotButton="0" quotePrefix="0" xfId="0">
      <alignment horizontal="general" vertical="center"/>
    </xf>
    <xf numFmtId="0" fontId="49" fillId="0" borderId="0" applyAlignment="1" pivotButton="0" quotePrefix="0" xfId="0">
      <alignment horizontal="general" vertical="center"/>
    </xf>
    <xf numFmtId="0" fontId="50" fillId="0" borderId="0" applyAlignment="1" pivotButton="0" quotePrefix="0" xfId="0">
      <alignment horizontal="center" vertical="center"/>
    </xf>
    <xf numFmtId="0" fontId="50" fillId="0" borderId="0" applyAlignment="1" pivotButton="0" quotePrefix="0" xfId="0">
      <alignment horizontal="general" vertical="center"/>
    </xf>
    <xf numFmtId="0" fontId="49" fillId="0" borderId="6" applyAlignment="1" pivotButton="0" quotePrefix="0" xfId="0">
      <alignment horizontal="general" vertical="center"/>
    </xf>
    <xf numFmtId="0" fontId="51" fillId="0" borderId="6" applyAlignment="1" pivotButton="0" quotePrefix="0" xfId="0">
      <alignment horizontal="center" vertical="center"/>
    </xf>
    <xf numFmtId="0" fontId="50"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2" fillId="10" borderId="54" applyAlignment="1" pivotButton="0" quotePrefix="0" xfId="0">
      <alignment horizontal="left" vertical="center" indent="1"/>
    </xf>
    <xf numFmtId="166" fontId="31" fillId="0" borderId="55" applyAlignment="1" applyProtection="1" pivotButton="0" quotePrefix="0" xfId="0">
      <alignment horizontal="center" vertical="center"/>
      <protection locked="0" hidden="0"/>
    </xf>
    <xf numFmtId="0" fontId="0" fillId="0" borderId="88" applyProtection="1" pivotButton="0" quotePrefix="0" xfId="0">
      <protection locked="0" hidden="0"/>
    </xf>
    <xf numFmtId="0" fontId="0" fillId="0" borderId="55" applyProtection="1" pivotButton="0" quotePrefix="0" xfId="0">
      <protection locked="0" hidden="0"/>
    </xf>
    <xf numFmtId="0" fontId="0" fillId="0" borderId="0" applyAlignment="1" pivotButton="0" quotePrefix="0" xfId="0">
      <alignment horizontal="left" vertical="center"/>
    </xf>
    <xf numFmtId="0" fontId="52" fillId="10" borderId="0" applyAlignment="1" pivotButton="0" quotePrefix="0" xfId="0">
      <alignment horizontal="left" vertical="center" indent="1"/>
    </xf>
    <xf numFmtId="0" fontId="31" fillId="0" borderId="56" applyAlignment="1" applyProtection="1" pivotButton="0" quotePrefix="0" xfId="0">
      <alignment horizontal="center" vertical="center"/>
      <protection locked="0" hidden="0"/>
    </xf>
    <xf numFmtId="0" fontId="0" fillId="0" borderId="91" applyProtection="1" pivotButton="0" quotePrefix="0" xfId="0">
      <protection locked="0" hidden="0"/>
    </xf>
    <xf numFmtId="0" fontId="0" fillId="0" borderId="56" applyProtection="1" pivotButton="0" quotePrefix="0" xfId="0">
      <protection locked="0" hidden="0"/>
    </xf>
    <xf numFmtId="0" fontId="0" fillId="0" borderId="0" applyAlignment="1" applyProtection="1" pivotButton="0" quotePrefix="0" xfId="0">
      <alignment horizontal="left" vertical="center"/>
      <protection locked="0" hidden="0"/>
    </xf>
    <xf numFmtId="0" fontId="52" fillId="10" borderId="57" applyAlignment="1" pivotButton="0" quotePrefix="0" xfId="0">
      <alignment horizontal="left" vertical="center" indent="1"/>
    </xf>
    <xf numFmtId="0" fontId="31" fillId="0" borderId="58"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58" applyProtection="1" pivotButton="0" quotePrefix="0" xfId="0">
      <protection locked="0" hidden="0"/>
    </xf>
    <xf numFmtId="0" fontId="53" fillId="0" borderId="0" applyAlignment="1" pivotButton="0" quotePrefix="0" xfId="0">
      <alignment horizontal="right" vertical="bottom"/>
    </xf>
    <xf numFmtId="0" fontId="54" fillId="10" borderId="59" applyAlignment="1" pivotButton="0" quotePrefix="0" xfId="0">
      <alignment horizontal="left" vertical="center" wrapText="1" indent="1"/>
    </xf>
    <xf numFmtId="0" fontId="52" fillId="6" borderId="60" applyAlignment="1" pivotButton="0" quotePrefix="0" xfId="0">
      <alignment horizontal="center" vertical="center"/>
    </xf>
    <xf numFmtId="0" fontId="0" fillId="0" borderId="96" pivotButton="0" quotePrefix="0" xfId="0"/>
    <xf numFmtId="0" fontId="52" fillId="11" borderId="60" applyAlignment="1" pivotButton="0" quotePrefix="0" xfId="0">
      <alignment horizontal="center" vertical="center"/>
    </xf>
    <xf numFmtId="0" fontId="55" fillId="12" borderId="60" applyAlignment="1" pivotButton="0" quotePrefix="0" xfId="0">
      <alignment horizontal="center" vertical="center"/>
    </xf>
    <xf numFmtId="0" fontId="55" fillId="13" borderId="60" applyAlignment="1" pivotButton="0" quotePrefix="0" xfId="0">
      <alignment horizontal="center" vertical="center"/>
    </xf>
    <xf numFmtId="0" fontId="55" fillId="14" borderId="60" applyAlignment="1" pivotButton="0" quotePrefix="0" xfId="0">
      <alignment horizontal="center" vertical="center"/>
    </xf>
    <xf numFmtId="0" fontId="52" fillId="15" borderId="61" applyAlignment="1" pivotButton="0" quotePrefix="0" xfId="0">
      <alignment horizontal="center" vertical="center"/>
    </xf>
    <xf numFmtId="0" fontId="0" fillId="0" borderId="97" pivotButton="0" quotePrefix="0" xfId="0"/>
    <xf numFmtId="0" fontId="0" fillId="0" borderId="93" pivotButton="0" quotePrefix="0" xfId="0"/>
    <xf numFmtId="0" fontId="32" fillId="0" borderId="62" applyAlignment="1" applyProtection="1" pivotButton="0" quotePrefix="0" xfId="0">
      <alignment horizontal="center" vertical="center"/>
      <protection locked="0" hidden="0"/>
    </xf>
    <xf numFmtId="0" fontId="0" fillId="0" borderId="100" applyProtection="1" pivotButton="0" quotePrefix="0" xfId="0">
      <protection locked="0" hidden="0"/>
    </xf>
    <xf numFmtId="0" fontId="32" fillId="0" borderId="63" applyAlignment="1" applyProtection="1" pivotButton="0" quotePrefix="0" xfId="0">
      <alignment horizontal="center" vertical="center"/>
      <protection locked="0" hidden="0"/>
    </xf>
    <xf numFmtId="0" fontId="0" fillId="0" borderId="102" applyProtection="1" pivotButton="0" quotePrefix="0" xfId="0">
      <protection locked="0" hidden="0"/>
    </xf>
    <xf numFmtId="0" fontId="56" fillId="8" borderId="64" applyAlignment="1" pivotButton="0" quotePrefix="0" xfId="0">
      <alignment horizontal="center" vertical="bottom"/>
    </xf>
    <xf numFmtId="0" fontId="0" fillId="0" borderId="104" pivotButton="0" quotePrefix="0" xfId="0"/>
    <xf numFmtId="0" fontId="56" fillId="8" borderId="65" applyAlignment="1" pivotButton="0" quotePrefix="0" xfId="0">
      <alignment horizontal="center" vertical="bottom"/>
    </xf>
    <xf numFmtId="0" fontId="0" fillId="0" borderId="105" pivotButton="0" quotePrefix="0" xfId="0"/>
    <xf numFmtId="0" fontId="0" fillId="0" borderId="94" pivotButton="0" quotePrefix="0" xfId="0"/>
    <xf numFmtId="0" fontId="57" fillId="8" borderId="66" applyAlignment="1" pivotButton="0" quotePrefix="0" xfId="0">
      <alignment horizontal="center" vertical="top" wrapText="1"/>
    </xf>
    <xf numFmtId="0" fontId="53" fillId="8" borderId="66" applyAlignment="1" pivotButton="0" quotePrefix="0" xfId="0">
      <alignment horizontal="center" vertical="top" wrapText="1"/>
    </xf>
    <xf numFmtId="0" fontId="53" fillId="8" borderId="67" applyAlignment="1" pivotButton="0" quotePrefix="0" xfId="0">
      <alignment horizontal="center" vertical="top" wrapText="1"/>
    </xf>
    <xf numFmtId="0" fontId="0" fillId="0" borderId="107" pivotButton="0" quotePrefix="0" xfId="0"/>
    <xf numFmtId="0" fontId="49" fillId="0" borderId="0" applyAlignment="1" pivotButton="0" quotePrefix="0" xfId="0">
      <alignment horizontal="left" vertical="center" indent="1"/>
    </xf>
    <xf numFmtId="0" fontId="50" fillId="0" borderId="0" applyAlignment="1" pivotButton="0" quotePrefix="0" xfId="0">
      <alignment horizontal="center" vertical="center" wrapText="1"/>
    </xf>
    <xf numFmtId="0" fontId="59" fillId="0" borderId="62" applyAlignment="1" applyProtection="1" pivotButton="0" quotePrefix="0" xfId="0">
      <alignment horizontal="center" vertical="center"/>
      <protection locked="0" hidden="0"/>
    </xf>
    <xf numFmtId="0" fontId="59"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4" fillId="10" borderId="68" applyAlignment="1" pivotButton="0" quotePrefix="0" xfId="0">
      <alignment horizontal="left" vertical="center" wrapText="1" indent="1"/>
    </xf>
    <xf numFmtId="0" fontId="60" fillId="10" borderId="69" applyAlignment="1" pivotButton="0" quotePrefix="0" xfId="0">
      <alignment horizontal="center" vertical="center"/>
    </xf>
    <xf numFmtId="0" fontId="60" fillId="10" borderId="70" applyAlignment="1" pivotButton="0" quotePrefix="0" xfId="0">
      <alignment horizontal="center" vertical="center"/>
    </xf>
    <xf numFmtId="0" fontId="31" fillId="0" borderId="67" applyAlignment="1" applyProtection="1" pivotButton="0" quotePrefix="0" xfId="0">
      <alignment horizontal="left" vertical="center" wrapText="1" indent="1"/>
      <protection locked="0" hidden="0"/>
    </xf>
    <xf numFmtId="0" fontId="0" fillId="0" borderId="106" applyProtection="1" pivotButton="0" quotePrefix="0" xfId="0">
      <protection locked="0" hidden="0"/>
    </xf>
    <xf numFmtId="0" fontId="0" fillId="0" borderId="57" pivotButton="0" quotePrefix="0" xfId="0"/>
    <xf numFmtId="0" fontId="0" fillId="0" borderId="109" applyProtection="1" pivotButton="0" quotePrefix="0" xfId="0">
      <protection locked="0" hidden="0"/>
    </xf>
    <xf numFmtId="0" fontId="0" fillId="0" borderId="57" applyProtection="1" pivotButton="0" quotePrefix="0" xfId="0">
      <protection locked="0" hidden="0"/>
    </xf>
    <xf numFmtId="0" fontId="0" fillId="0" borderId="107" applyProtection="1" pivotButton="0" quotePrefix="0" xfId="0">
      <protection locked="0" hidden="0"/>
    </xf>
    <xf numFmtId="0" fontId="61" fillId="0" borderId="0" applyAlignment="1" pivotButton="0" quotePrefix="0" xfId="0">
      <alignment horizontal="general" vertical="center"/>
    </xf>
    <xf numFmtId="0" fontId="41" fillId="0" borderId="0" applyAlignment="1" pivotButton="0" quotePrefix="0" xfId="0">
      <alignment horizontal="general" vertical="center"/>
    </xf>
    <xf numFmtId="0" fontId="61" fillId="0" borderId="0" applyAlignment="1" pivotButton="0" quotePrefix="0" xfId="0">
      <alignment horizontal="center" vertical="center"/>
    </xf>
    <xf numFmtId="0" fontId="62" fillId="0" borderId="0" applyAlignment="1" pivotButton="0" quotePrefix="0" xfId="0">
      <alignment horizontal="left" vertical="center" wrapText="1"/>
    </xf>
    <xf numFmtId="0" fontId="31" fillId="0" borderId="42" applyAlignment="1" pivotButton="0" quotePrefix="0" xfId="0">
      <alignment horizontal="left" vertical="center"/>
    </xf>
    <xf numFmtId="0" fontId="61" fillId="0" borderId="0" applyAlignment="1" applyProtection="1" pivotButton="0" quotePrefix="0" xfId="0">
      <alignment horizontal="general" vertical="center"/>
      <protection locked="0" hidden="0"/>
    </xf>
    <xf numFmtId="0" fontId="31" fillId="0" borderId="71" applyAlignment="1" pivotButton="0" quotePrefix="0" xfId="0">
      <alignment horizontal="left" vertical="center"/>
    </xf>
    <xf numFmtId="0" fontId="31" fillId="0" borderId="71" applyAlignment="1" pivotButton="0" quotePrefix="0" xfId="0">
      <alignment horizontal="center" vertical="center"/>
    </xf>
    <xf numFmtId="0" fontId="31" fillId="0" borderId="0" applyAlignment="1" pivotButton="0" quotePrefix="0" xfId="0">
      <alignment horizontal="center" vertical="center"/>
    </xf>
    <xf numFmtId="0" fontId="31" fillId="0" borderId="0" applyAlignment="1" pivotButton="0" quotePrefix="0" xfId="0">
      <alignment horizontal="general" vertical="center"/>
    </xf>
    <xf numFmtId="0" fontId="63" fillId="0" borderId="0" applyAlignment="1" pivotButton="0" quotePrefix="0" xfId="0">
      <alignment horizontal="general" vertical="center" wrapText="1"/>
    </xf>
    <xf numFmtId="0" fontId="64"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5" fillId="0" borderId="43" applyAlignment="1" applyProtection="1" pivotButton="0" quotePrefix="0" xfId="24">
      <alignment horizontal="center" vertical="center"/>
      <protection locked="1" hidden="1"/>
    </xf>
    <xf numFmtId="0" fontId="0" fillId="0" borderId="72" applyProtection="1" pivotButton="0" quotePrefix="0" xfId="0">
      <protection locked="1" hidden="1"/>
    </xf>
    <xf numFmtId="0" fontId="65" fillId="0" borderId="6" applyAlignment="1" applyProtection="1" pivotButton="0" quotePrefix="0" xfId="24">
      <alignment horizontal="center" vertical="center"/>
      <protection locked="1" hidden="1"/>
    </xf>
    <xf numFmtId="0" fontId="0" fillId="0" borderId="71" applyProtection="1" pivotButton="0" quotePrefix="0" xfId="0">
      <protection locked="1" hidden="1"/>
    </xf>
    <xf numFmtId="0" fontId="0" fillId="0" borderId="78" applyProtection="1" pivotButton="0" quotePrefix="0" xfId="0">
      <protection locked="1" hidden="1"/>
    </xf>
    <xf numFmtId="0" fontId="0" fillId="0" borderId="75" applyProtection="1" pivotButton="0" quotePrefix="0" xfId="0">
      <protection locked="1" hidden="1"/>
    </xf>
    <xf numFmtId="0" fontId="66" fillId="0" borderId="6" applyAlignment="1" applyProtection="1" pivotButton="0" quotePrefix="0" xfId="24">
      <alignment horizontal="center" vertical="center"/>
      <protection locked="1" hidden="1"/>
    </xf>
    <xf numFmtId="0" fontId="0" fillId="0" borderId="44" applyProtection="1" pivotButton="0" quotePrefix="0" xfId="0">
      <protection locked="1" hidden="1"/>
    </xf>
    <xf numFmtId="0" fontId="0" fillId="0" borderId="85" applyProtection="1" pivotButton="0" quotePrefix="0" xfId="0">
      <protection locked="1" hidden="1"/>
    </xf>
    <xf numFmtId="0" fontId="0" fillId="0" borderId="0" applyProtection="1" pivotButton="0" quotePrefix="0" xfId="0">
      <protection locked="1" hidden="1"/>
    </xf>
    <xf numFmtId="0" fontId="0" fillId="0" borderId="74" applyProtection="1" pivotButton="0" quotePrefix="0" xfId="0">
      <protection locked="1" hidden="1"/>
    </xf>
    <xf numFmtId="0" fontId="67" fillId="0" borderId="6" applyAlignment="1" applyProtection="1" pivotButton="0" quotePrefix="0" xfId="24">
      <alignment horizontal="center" vertical="center"/>
      <protection locked="1" hidden="1"/>
    </xf>
    <xf numFmtId="0" fontId="68" fillId="0" borderId="6" applyAlignment="1" applyProtection="1" pivotButton="0" quotePrefix="0" xfId="24">
      <alignment horizontal="center" vertical="center"/>
      <protection locked="1" hidden="1"/>
    </xf>
    <xf numFmtId="168" fontId="68" fillId="0" borderId="6" applyAlignment="1" applyProtection="1" pivotButton="0" quotePrefix="0" xfId="24">
      <alignment horizontal="center" vertical="center"/>
      <protection locked="1" hidden="1"/>
    </xf>
    <xf numFmtId="0" fontId="30" fillId="5" borderId="6" applyAlignment="1" applyProtection="1" pivotButton="0" quotePrefix="0" xfId="24">
      <alignment horizontal="general" vertical="center"/>
      <protection locked="1" hidden="1"/>
    </xf>
    <xf numFmtId="0" fontId="32"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6" fillId="2" borderId="43" applyAlignment="1" applyProtection="1" pivotButton="0" quotePrefix="0" xfId="24">
      <alignment horizontal="center" vertical="center"/>
      <protection locked="1" hidden="1"/>
    </xf>
    <xf numFmtId="0" fontId="56" fillId="2" borderId="44" applyAlignment="1" applyProtection="1" pivotButton="0" quotePrefix="0" xfId="24">
      <alignment horizontal="center" vertical="center"/>
      <protection locked="1" hidden="1"/>
    </xf>
    <xf numFmtId="0" fontId="0" fillId="0" borderId="15" applyProtection="1" pivotButton="0" quotePrefix="0" xfId="0">
      <protection locked="1" hidden="1"/>
    </xf>
    <xf numFmtId="0" fontId="69" fillId="2" borderId="43" applyAlignment="1" applyProtection="1" pivotButton="0" quotePrefix="0" xfId="24">
      <alignment horizontal="center" vertical="center"/>
      <protection locked="1" hidden="1"/>
    </xf>
    <xf numFmtId="166" fontId="69" fillId="2" borderId="72" applyAlignment="1" applyProtection="1" pivotButton="0" quotePrefix="0" xfId="24">
      <alignment horizontal="center" vertical="center"/>
      <protection locked="1" hidden="1"/>
    </xf>
    <xf numFmtId="0" fontId="69" fillId="2" borderId="72" applyAlignment="1" applyProtection="1" pivotButton="0" quotePrefix="0" xfId="24">
      <alignment horizontal="general" vertical="center"/>
      <protection locked="1" hidden="1"/>
    </xf>
    <xf numFmtId="166" fontId="69" fillId="2" borderId="44" applyAlignment="1" applyProtection="1" pivotButton="0" quotePrefix="0" xfId="24">
      <alignment horizontal="center" vertical="center"/>
      <protection locked="1" hidden="1"/>
    </xf>
    <xf numFmtId="0" fontId="0" fillId="0" borderId="110" applyProtection="1" pivotButton="0" quotePrefix="0" xfId="0">
      <protection locked="1" hidden="1"/>
    </xf>
    <xf numFmtId="0" fontId="0" fillId="0" borderId="42" applyProtection="1" pivotButton="0" quotePrefix="0" xfId="0">
      <protection locked="1" hidden="1"/>
    </xf>
    <xf numFmtId="0" fontId="0" fillId="0" borderId="14" applyProtection="1" pivotButton="0" quotePrefix="0" xfId="0">
      <protection locked="1" hidden="1"/>
    </xf>
    <xf numFmtId="0" fontId="40" fillId="2" borderId="6" applyAlignment="1" applyProtection="1" pivotButton="0" quotePrefix="0" xfId="24">
      <alignment horizontal="center" vertical="center"/>
      <protection locked="1" hidden="1"/>
    </xf>
    <xf numFmtId="173" fontId="70" fillId="2" borderId="6" applyAlignment="1" applyProtection="1" pivotButton="0" quotePrefix="0" xfId="24">
      <alignment horizontal="center" vertical="center"/>
      <protection locked="1" hidden="1"/>
    </xf>
    <xf numFmtId="0" fontId="46"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71" fillId="5" borderId="6" applyAlignment="1" applyProtection="1" pivotButton="0" quotePrefix="0" xfId="24">
      <alignment horizontal="center" vertical="center"/>
      <protection locked="1" hidden="1"/>
    </xf>
    <xf numFmtId="0" fontId="46" fillId="5" borderId="6" applyAlignment="1" applyProtection="1" pivotButton="0" quotePrefix="0" xfId="24">
      <alignment horizontal="center" vertical="center" wrapText="1"/>
      <protection locked="1" hidden="1"/>
    </xf>
    <xf numFmtId="49" fontId="30" fillId="0" borderId="0" applyAlignment="1" applyProtection="1" pivotButton="0" quotePrefix="0" xfId="24">
      <alignment horizontal="general" vertical="bottom"/>
      <protection locked="1" hidden="1"/>
    </xf>
    <xf numFmtId="0" fontId="30" fillId="5" borderId="6" applyAlignment="1" applyProtection="1" pivotButton="0" quotePrefix="0" xfId="24">
      <alignment horizontal="center" vertical="center"/>
      <protection locked="1" hidden="1"/>
    </xf>
    <xf numFmtId="173" fontId="72" fillId="8" borderId="6" applyAlignment="1" applyProtection="1" pivotButton="0" quotePrefix="0" xfId="24">
      <alignment horizontal="center" vertical="center" textRotation="90"/>
      <protection locked="1" hidden="1"/>
    </xf>
    <xf numFmtId="0" fontId="30" fillId="5" borderId="15" applyAlignment="1" applyProtection="1" pivotButton="0" quotePrefix="0" xfId="24">
      <alignment horizontal="center" vertical="center" wrapText="1"/>
      <protection locked="1" hidden="1"/>
    </xf>
    <xf numFmtId="0" fontId="0" fillId="0" borderId="0" applyAlignment="1" pivotButton="0" quotePrefix="0" xfId="24">
      <alignment horizontal="general" vertical="center"/>
    </xf>
    <xf numFmtId="0" fontId="0" fillId="0" borderId="0" applyAlignment="1" applyProtection="1" pivotButton="0" quotePrefix="0" xfId="24">
      <alignment horizontal="general" vertical="center"/>
      <protection locked="1" hidden="1"/>
    </xf>
    <xf numFmtId="0" fontId="47" fillId="0" borderId="6" applyAlignment="1" applyProtection="1" pivotButton="0" quotePrefix="0" xfId="24">
      <alignment horizontal="center" vertical="center"/>
      <protection locked="1" hidden="1"/>
    </xf>
    <xf numFmtId="0" fontId="30"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73" fillId="0" borderId="6" applyAlignment="1" applyProtection="1" pivotButton="0" quotePrefix="0" xfId="24">
      <alignment horizontal="center" vertical="center"/>
      <protection locked="0" hidden="0"/>
    </xf>
    <xf numFmtId="0" fontId="30" fillId="5" borderId="6" applyAlignment="1" applyProtection="1" pivotButton="0" quotePrefix="0" xfId="24">
      <alignment horizontal="general" vertical="center"/>
      <protection locked="0" hidden="0"/>
    </xf>
    <xf numFmtId="0" fontId="47"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30" fillId="0" borderId="15" applyAlignment="1" applyProtection="1" pivotButton="0" quotePrefix="0" xfId="24">
      <alignment horizontal="center" vertical="bottom"/>
      <protection locked="0" hidden="0"/>
    </xf>
    <xf numFmtId="0" fontId="30"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7"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30" fillId="0" borderId="6" applyAlignment="1" applyProtection="1" pivotButton="0" quotePrefix="0" xfId="24">
      <alignment horizontal="general" vertical="bottom"/>
      <protection locked="1" hidden="1"/>
    </xf>
    <xf numFmtId="0" fontId="30" fillId="0" borderId="6" applyAlignment="1" applyProtection="1" pivotButton="0" quotePrefix="0" xfId="24">
      <alignment horizontal="center" vertical="top" wrapText="1"/>
      <protection locked="1" hidden="1"/>
    </xf>
    <xf numFmtId="0" fontId="30" fillId="0" borderId="6" applyAlignment="1" applyProtection="1" pivotButton="0" quotePrefix="0" xfId="24">
      <alignment horizontal="center" vertical="bottom"/>
      <protection locked="1" hidden="1"/>
    </xf>
    <xf numFmtId="0" fontId="74" fillId="0" borderId="6" applyAlignment="1" applyProtection="1" pivotButton="0" quotePrefix="0" xfId="24">
      <alignment horizontal="left" vertical="top"/>
      <protection locked="1" hidden="1"/>
    </xf>
    <xf numFmtId="166" fontId="30"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5"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8" fillId="0" borderId="4" applyAlignment="1" pivotButton="0" quotePrefix="0" xfId="0">
      <alignment horizontal="center" vertical="center" wrapText="1"/>
    </xf>
    <xf numFmtId="0" fontId="79"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46"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0" fillId="0" borderId="2" applyProtection="1" pivotButton="0" quotePrefix="0" xfId="0">
      <protection locked="0" hidden="0"/>
    </xf>
    <xf numFmtId="0" fontId="0" fillId="0" borderId="3" applyProtection="1" pivotButton="0" quotePrefix="0" xfId="0">
      <protection locked="0" hidden="0"/>
    </xf>
    <xf numFmtId="0" fontId="19" fillId="0" borderId="4" applyAlignment="1" applyProtection="1" pivotButton="0" quotePrefix="0" xfId="0">
      <alignment horizontal="center" vertical="center"/>
      <protection locked="1" hidden="1"/>
    </xf>
    <xf numFmtId="0" fontId="0" fillId="0" borderId="2" applyProtection="1" pivotButton="0" quotePrefix="0" xfId="0">
      <protection locked="1" hidden="1"/>
    </xf>
    <xf numFmtId="0" fontId="0" fillId="0" borderId="3" applyProtection="1" pivotButton="0" quotePrefix="0" xfId="0">
      <protection locked="1" hidden="1"/>
    </xf>
    <xf numFmtId="0" fontId="46" fillId="0" borderId="4" applyAlignment="1" pivotButton="0" quotePrefix="0" xfId="0">
      <alignment horizontal="center" vertical="center"/>
    </xf>
    <xf numFmtId="0" fontId="80"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0" fillId="0" borderId="28" applyProtection="1" pivotButton="0" quotePrefix="0" xfId="0">
      <protection locked="0" hidden="0"/>
    </xf>
    <xf numFmtId="0" fontId="0" fillId="0" borderId="29" applyProtection="1" pivotButton="0" quotePrefix="0" xfId="0">
      <protection locked="0" hidden="0"/>
    </xf>
    <xf numFmtId="0" fontId="0" fillId="0" borderId="31" applyProtection="1" pivotButton="0" quotePrefix="0" xfId="0">
      <protection locked="0" hidden="0"/>
    </xf>
    <xf numFmtId="0" fontId="0" fillId="0" borderId="36" applyProtection="1" pivotButton="0" quotePrefix="0" xfId="0">
      <protection locked="0" hidden="0"/>
    </xf>
    <xf numFmtId="0" fontId="81"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2"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61"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6"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4"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3" fillId="0" borderId="0" applyAlignment="1" pivotButton="0" quotePrefix="0" xfId="0">
      <alignment horizontal="center" vertical="center"/>
    </xf>
    <xf numFmtId="0" fontId="83" fillId="0" borderId="0" applyAlignment="1" pivotButton="0" quotePrefix="0" xfId="0">
      <alignment horizontal="center" vertical="bottom"/>
    </xf>
    <xf numFmtId="0" fontId="84" fillId="0" borderId="0" applyAlignment="1" pivotButton="0" quotePrefix="0" xfId="0">
      <alignment horizontal="center" vertical="top" wrapText="1"/>
    </xf>
    <xf numFmtId="0" fontId="5" fillId="2" borderId="0" applyAlignment="1" pivotButton="0" quotePrefix="0" xfId="28">
      <alignment horizontal="general" vertical="bottom"/>
    </xf>
    <xf numFmtId="0" fontId="85" fillId="2" borderId="0" applyAlignment="1" pivotButton="0" quotePrefix="0" xfId="28">
      <alignment horizontal="general" vertical="bottom"/>
    </xf>
    <xf numFmtId="0" fontId="5" fillId="2" borderId="33" applyAlignment="1" pivotButton="0" quotePrefix="0" xfId="28">
      <alignment horizontal="general" vertical="bottom"/>
    </xf>
    <xf numFmtId="0" fontId="85"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6" fillId="2" borderId="0" applyAlignment="1" pivotButton="0" quotePrefix="0" xfId="28">
      <alignment horizontal="center" vertical="center"/>
    </xf>
    <xf numFmtId="0" fontId="87" fillId="2" borderId="0" applyAlignment="1" pivotButton="0" quotePrefix="0" xfId="28">
      <alignment horizontal="center" vertical="center"/>
    </xf>
    <xf numFmtId="0" fontId="88" fillId="2" borderId="30" applyAlignment="1" pivotButton="0" quotePrefix="0" xfId="28">
      <alignment horizontal="general" vertical="center"/>
    </xf>
    <xf numFmtId="0" fontId="88" fillId="2" borderId="0" applyAlignment="1" pivotButton="0" quotePrefix="0" xfId="28">
      <alignment horizontal="general" vertical="center"/>
    </xf>
    <xf numFmtId="0" fontId="89" fillId="2" borderId="0" applyAlignment="1" pivotButton="0" quotePrefix="0" xfId="28">
      <alignment horizontal="center" vertical="center"/>
    </xf>
    <xf numFmtId="0" fontId="90" fillId="2" borderId="0" applyAlignment="1" pivotButton="0" quotePrefix="0" xfId="28">
      <alignment horizontal="general" vertical="bottom"/>
    </xf>
    <xf numFmtId="0" fontId="91" fillId="2" borderId="0" applyAlignment="1" pivotButton="0" quotePrefix="0" xfId="28">
      <alignment horizontal="general" vertical="bottom"/>
    </xf>
    <xf numFmtId="0" fontId="92" fillId="2" borderId="0" applyAlignment="1" pivotButton="0" quotePrefix="0" xfId="28">
      <alignment horizontal="general" vertical="bottom"/>
    </xf>
    <xf numFmtId="0" fontId="92" fillId="2" borderId="30" applyAlignment="1" pivotButton="0" quotePrefix="0" xfId="28">
      <alignment horizontal="general" vertical="bottom"/>
    </xf>
    <xf numFmtId="0" fontId="93" fillId="2" borderId="0" applyAlignment="1" pivotButton="0" quotePrefix="0" xfId="28">
      <alignment horizontal="right" vertical="center"/>
    </xf>
    <xf numFmtId="0" fontId="91" fillId="2" borderId="0" applyAlignment="1" pivotButton="0" quotePrefix="0" xfId="28">
      <alignment horizontal="general" vertical="center"/>
    </xf>
    <xf numFmtId="168" fontId="92" fillId="2" borderId="0" applyAlignment="1" pivotButton="0" quotePrefix="0" xfId="28">
      <alignment horizontal="left" vertical="center"/>
    </xf>
    <xf numFmtId="0" fontId="93" fillId="2" borderId="0" applyAlignment="1" pivotButton="0" quotePrefix="0" xfId="28">
      <alignment horizontal="general" vertical="bottom"/>
    </xf>
    <xf numFmtId="0" fontId="93" fillId="2" borderId="0" applyAlignment="1" pivotButton="0" quotePrefix="0" xfId="28">
      <alignment horizontal="right" vertical="top"/>
    </xf>
    <xf numFmtId="168" fontId="94" fillId="2" borderId="0" applyAlignment="1" pivotButton="0" quotePrefix="0" xfId="28">
      <alignment horizontal="left" vertical="top" wrapText="1"/>
    </xf>
    <xf numFmtId="0" fontId="92" fillId="2" borderId="0" applyAlignment="1" pivotButton="0" quotePrefix="0" xfId="28">
      <alignment horizontal="right" vertical="center"/>
    </xf>
    <xf numFmtId="0" fontId="95" fillId="2" borderId="0" applyAlignment="1" pivotButton="0" quotePrefix="0" xfId="28">
      <alignment horizontal="general" vertical="bottom"/>
    </xf>
    <xf numFmtId="0" fontId="96" fillId="2" borderId="0" applyAlignment="1" pivotButton="0" quotePrefix="0" xfId="28">
      <alignment horizontal="general" vertical="bottom"/>
    </xf>
    <xf numFmtId="0" fontId="97" fillId="2" borderId="0" applyAlignment="1" pivotButton="0" quotePrefix="0" xfId="28">
      <alignment horizontal="general" vertical="center"/>
    </xf>
    <xf numFmtId="0" fontId="97" fillId="2" borderId="0" applyAlignment="1" pivotButton="0" quotePrefix="0" xfId="28">
      <alignment horizontal="left" vertical="center"/>
    </xf>
    <xf numFmtId="0" fontId="97" fillId="2" borderId="0" applyAlignment="1" pivotButton="0" quotePrefix="0" xfId="28">
      <alignment horizontal="general" vertical="bottom"/>
    </xf>
    <xf numFmtId="0" fontId="98" fillId="0" borderId="4" applyAlignment="1" pivotButton="0" quotePrefix="0" xfId="0">
      <alignment horizontal="left" vertical="bottom" wrapText="1"/>
    </xf>
    <xf numFmtId="0" fontId="5" fillId="2" borderId="35" applyAlignment="1" pivotButton="0" quotePrefix="0" xfId="28">
      <alignment horizontal="general" vertical="bottom"/>
    </xf>
    <xf numFmtId="0" fontId="85"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general" vertical="bottom"/>
    </xf>
    <xf numFmtId="0" fontId="0" fillId="3" borderId="0" applyAlignment="1" pivotButton="0" quotePrefix="0" xfId="0">
      <alignment horizontal="left" vertical="bottom"/>
    </xf>
    <xf numFmtId="0" fontId="32" fillId="3" borderId="0" applyAlignment="1" pivotButton="0" quotePrefix="0" xfId="26">
      <alignment horizontal="general" vertical="bottom"/>
    </xf>
    <xf numFmtId="0" fontId="31" fillId="3" borderId="0" applyAlignment="1" pivotButton="0" quotePrefix="0" xfId="26">
      <alignment horizontal="general" vertical="bottom"/>
    </xf>
    <xf numFmtId="168" fontId="32" fillId="3" borderId="0" applyAlignment="1" pivotButton="0" quotePrefix="0" xfId="26">
      <alignment horizontal="general" vertical="bottom"/>
    </xf>
    <xf numFmtId="0" fontId="41" fillId="3" borderId="0" applyAlignment="1" pivotButton="0" quotePrefix="0" xfId="26">
      <alignment horizontal="general" vertical="bottom"/>
    </xf>
    <xf numFmtId="0" fontId="99" fillId="3" borderId="0" applyAlignment="1" pivotButton="0" quotePrefix="0" xfId="0">
      <alignment horizontal="general" vertical="bottom"/>
    </xf>
    <xf numFmtId="0" fontId="100" fillId="3" borderId="0" applyAlignment="1" pivotButton="0" quotePrefix="0" xfId="0">
      <alignment horizontal="general" vertical="bottom"/>
    </xf>
    <xf numFmtId="0" fontId="35" fillId="3" borderId="0" applyAlignment="1" pivotButton="0" quotePrefix="0" xfId="26">
      <alignment horizontal="right" vertical="bottom"/>
    </xf>
    <xf numFmtId="0" fontId="35" fillId="3" borderId="0" applyAlignment="1" pivotButton="0" quotePrefix="0" xfId="26">
      <alignment horizontal="general" vertical="bottom"/>
    </xf>
    <xf numFmtId="0" fontId="35" fillId="3" borderId="0" applyAlignment="1" pivotButton="0" quotePrefix="0" xfId="26">
      <alignment horizontal="left"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0" fontId="103" fillId="3" borderId="0" applyAlignment="1" pivotButton="0" quotePrefix="0" xfId="26">
      <alignment horizontal="general" vertical="bottom"/>
    </xf>
    <xf numFmtId="0" fontId="104" fillId="3" borderId="0" applyAlignment="1" pivotButton="0" quotePrefix="0" xfId="26">
      <alignment horizontal="general" vertical="bottom"/>
    </xf>
    <xf numFmtId="12" fontId="41" fillId="3" borderId="0" applyAlignment="1" pivotButton="0" quotePrefix="0" xfId="26">
      <alignment horizontal="center" vertical="bottom"/>
    </xf>
    <xf numFmtId="2" fontId="40" fillId="3" borderId="0" applyAlignment="1" pivotButton="0" quotePrefix="0" xfId="26">
      <alignment horizontal="center" vertical="bottom"/>
    </xf>
    <xf numFmtId="49" fontId="40" fillId="3" borderId="0" applyAlignment="1" pivotButton="0" quotePrefix="0" xfId="26">
      <alignment horizontal="center" vertical="bottom"/>
    </xf>
    <xf numFmtId="0" fontId="40" fillId="3" borderId="0" applyAlignment="1" pivotButton="0" quotePrefix="0" xfId="26">
      <alignment horizontal="center" vertical="bottom"/>
    </xf>
    <xf numFmtId="0" fontId="80" fillId="3" borderId="0" applyAlignment="1" pivotButton="0" quotePrefix="0" xfId="0">
      <alignment horizontal="left" vertical="bottom"/>
    </xf>
    <xf numFmtId="0" fontId="80" fillId="3" borderId="0" applyAlignment="1" pivotButton="0" quotePrefix="0" xfId="0">
      <alignment horizontal="general" vertical="bottom"/>
    </xf>
    <xf numFmtId="49" fontId="69" fillId="3" borderId="0" applyAlignment="1" pivotButton="0" quotePrefix="0" xfId="26">
      <alignment horizontal="left" vertical="bottom"/>
    </xf>
    <xf numFmtId="0" fontId="56" fillId="3" borderId="34" applyAlignment="1" pivotButton="0" quotePrefix="0" xfId="23">
      <alignment horizontal="general" vertical="bottom"/>
    </xf>
    <xf numFmtId="0" fontId="69" fillId="3" borderId="0" applyAlignment="1" pivotButton="0" quotePrefix="0" xfId="23">
      <alignment horizontal="left" vertical="bottom"/>
    </xf>
    <xf numFmtId="0" fontId="22" fillId="3" borderId="0" applyAlignment="1" pivotButton="0" quotePrefix="0" xfId="23">
      <alignment horizontal="general" vertical="bottom"/>
    </xf>
    <xf numFmtId="0" fontId="105" fillId="3" borderId="1" applyAlignment="1" pivotButton="0" quotePrefix="0" xfId="0">
      <alignment horizontal="left" vertical="bottom"/>
    </xf>
    <xf numFmtId="0" fontId="105" fillId="3" borderId="1" applyAlignment="1" pivotButton="0" quotePrefix="0" xfId="0">
      <alignment horizontal="center" vertical="bottom" wrapText="1"/>
    </xf>
    <xf numFmtId="0" fontId="41" fillId="3" borderId="0" applyAlignment="1" pivotButton="0" quotePrefix="0" xfId="23">
      <alignment horizontal="general" vertical="bottom"/>
    </xf>
    <xf numFmtId="0" fontId="106" fillId="3" borderId="28" applyAlignment="1" pivotButton="0" quotePrefix="0" xfId="27">
      <alignment horizontal="left" vertical="bottom"/>
    </xf>
    <xf numFmtId="0" fontId="106" fillId="3" borderId="0" applyAlignment="1" pivotButton="0" quotePrefix="0" xfId="27">
      <alignment horizontal="left" vertical="bottom" wrapText="1"/>
    </xf>
    <xf numFmtId="0" fontId="107" fillId="3" borderId="0" applyAlignment="1" pivotButton="0" quotePrefix="0" xfId="27">
      <alignment horizontal="general" vertical="bottom"/>
    </xf>
    <xf numFmtId="0" fontId="106" fillId="3" borderId="0" applyAlignment="1" pivotButton="0" quotePrefix="0" xfId="27">
      <alignment horizontal="general" vertical="bottom" wrapText="1"/>
    </xf>
    <xf numFmtId="0" fontId="106" fillId="3" borderId="0" applyAlignment="1" pivotButton="0" quotePrefix="0" xfId="27">
      <alignment horizontal="left" vertical="bottom"/>
    </xf>
    <xf numFmtId="0" fontId="108" fillId="3" borderId="0" applyAlignment="1" pivotButton="0" quotePrefix="0" xfId="27">
      <alignment horizontal="left" vertical="bottom"/>
    </xf>
    <xf numFmtId="0" fontId="108" fillId="3" borderId="0" applyAlignment="1" pivotButton="0" quotePrefix="0" xfId="23">
      <alignment horizontal="left" vertical="bottom"/>
    </xf>
    <xf numFmtId="0" fontId="0" fillId="4" borderId="0" applyAlignment="1" pivotButton="0" quotePrefix="0" xfId="0">
      <alignment horizontal="general" vertical="bottom"/>
    </xf>
    <xf numFmtId="0" fontId="108" fillId="4" borderId="0" applyAlignment="1" pivotButton="0" quotePrefix="0" xfId="26">
      <alignment horizontal="left" vertical="bottom"/>
    </xf>
    <xf numFmtId="1" fontId="109" fillId="4" borderId="0" applyAlignment="1" pivotButton="0" quotePrefix="0" xfId="26">
      <alignment horizontal="general"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99" fillId="4" borderId="0" applyAlignment="1" pivotButton="0" quotePrefix="0" xfId="0">
      <alignment horizontal="general" vertical="bottom"/>
    </xf>
    <xf numFmtId="0" fontId="113" fillId="4" borderId="0" applyAlignment="1" pivotButton="0" quotePrefix="0" xfId="0">
      <alignment horizontal="general" vertical="bottom"/>
    </xf>
    <xf numFmtId="0" fontId="111" fillId="4" borderId="0" applyAlignment="1" pivotButton="0" quotePrefix="0" xfId="26">
      <alignment horizontal="left" vertical="bottom"/>
    </xf>
    <xf numFmtId="1" fontId="112" fillId="4" borderId="0" applyAlignment="1" pivotButton="0" quotePrefix="0" xfId="26">
      <alignment horizontal="general" vertical="bottom"/>
    </xf>
    <xf numFmtId="0" fontId="112" fillId="4" borderId="0" applyAlignment="1" pivotButton="0" quotePrefix="0" xfId="26">
      <alignment horizontal="general" vertical="bottom"/>
    </xf>
    <xf numFmtId="0" fontId="111" fillId="4" borderId="6" applyAlignment="1" pivotButton="0" quotePrefix="0" xfId="26">
      <alignment horizontal="center" vertical="bottom"/>
    </xf>
    <xf numFmtId="0" fontId="111" fillId="4" borderId="0" applyAlignment="1" pivotButton="0" quotePrefix="0" xfId="26">
      <alignment horizontal="general" vertical="bottom"/>
    </xf>
    <xf numFmtId="0" fontId="112" fillId="4" borderId="0" applyAlignment="1" pivotButton="0" quotePrefix="0" xfId="0">
      <alignment horizontal="general" vertical="bottom"/>
    </xf>
    <xf numFmtId="0" fontId="108" fillId="4" borderId="0" applyAlignment="1" pivotButton="0" quotePrefix="0" xfId="26">
      <alignment horizontal="center" vertical="bottom"/>
    </xf>
    <xf numFmtId="0" fontId="108" fillId="4" borderId="0" applyAlignment="1" pivotButton="0" quotePrefix="0" xfId="26">
      <alignment horizontal="general" vertical="bottom"/>
    </xf>
    <xf numFmtId="1" fontId="108" fillId="4" borderId="6" applyAlignment="1" pivotButton="0" quotePrefix="0" xfId="26">
      <alignment horizontal="center" vertical="bottom"/>
    </xf>
    <xf numFmtId="49" fontId="108" fillId="4" borderId="6" applyAlignment="1" pivotButton="0" quotePrefix="0" xfId="26">
      <alignment horizontal="center" vertical="bottom"/>
    </xf>
    <xf numFmtId="175" fontId="114" fillId="4" borderId="0" applyAlignment="1" pivotButton="0" quotePrefix="0" xfId="26">
      <alignment horizontal="right" vertical="center"/>
    </xf>
    <xf numFmtId="0" fontId="115" fillId="4" borderId="0" applyAlignment="1" pivotButton="0" quotePrefix="0" xfId="26">
      <alignment horizontal="center" vertical="bottom"/>
    </xf>
    <xf numFmtId="1" fontId="108" fillId="4" borderId="0" applyAlignment="1" pivotButton="0" quotePrefix="0" xfId="26">
      <alignment horizontal="center" vertical="bottom"/>
    </xf>
    <xf numFmtId="49" fontId="108" fillId="4" borderId="0" applyAlignment="1" pivotButton="0" quotePrefix="0" xfId="26">
      <alignment horizontal="center" vertical="bottom"/>
    </xf>
    <xf numFmtId="175" fontId="114" fillId="4" borderId="0" applyAlignment="1" pivotButton="0" quotePrefix="0" xfId="26">
      <alignment horizontal="right" vertical="bottom"/>
    </xf>
    <xf numFmtId="0" fontId="108" fillId="4" borderId="33" applyAlignment="1" pivotButton="0" quotePrefix="0" xfId="26">
      <alignment horizontal="center" vertical="bottom"/>
    </xf>
    <xf numFmtId="0" fontId="116" fillId="4" borderId="4" applyAlignment="1" pivotButton="0" quotePrefix="0" xfId="0">
      <alignment horizontal="center" vertical="bottom" wrapText="1"/>
    </xf>
    <xf numFmtId="0" fontId="108" fillId="4" borderId="6" applyAlignment="1" pivotButton="0" quotePrefix="0" xfId="26">
      <alignment horizontal="center" vertical="bottom"/>
    </xf>
    <xf numFmtId="0" fontId="116" fillId="4" borderId="34" applyAlignment="1" pivotButton="0" quotePrefix="0" xfId="0">
      <alignment horizontal="general" vertical="bottom"/>
    </xf>
    <xf numFmtId="0" fontId="116" fillId="4" borderId="35" applyAlignment="1" pivotButton="0" quotePrefix="0" xfId="0">
      <alignment horizontal="general" vertical="bottom"/>
    </xf>
    <xf numFmtId="0" fontId="116" fillId="4" borderId="0" applyAlignment="1" pivotButton="0" quotePrefix="0" xfId="0">
      <alignment horizontal="left" vertical="bottom"/>
    </xf>
    <xf numFmtId="0" fontId="117" fillId="4" borderId="0" applyAlignment="1" pivotButton="0" quotePrefix="0" xfId="26">
      <alignment horizontal="general" vertical="center" wrapText="1"/>
    </xf>
    <xf numFmtId="1" fontId="21" fillId="4" borderId="0" applyAlignment="1" pivotButton="0" quotePrefix="0" xfId="0">
      <alignment horizontal="general" vertical="bottom"/>
    </xf>
    <xf numFmtId="0" fontId="108" fillId="4" borderId="30" applyAlignment="1" pivotButton="0" quotePrefix="0" xfId="26">
      <alignment horizontal="center" vertical="bottom" wrapText="1"/>
    </xf>
    <xf numFmtId="0" fontId="108" fillId="4" borderId="0" applyAlignment="1" pivotButton="0" quotePrefix="0" xfId="26">
      <alignment horizontal="general" vertical="bottom" wrapText="1"/>
    </xf>
    <xf numFmtId="0" fontId="110" fillId="4" borderId="0" applyAlignment="1" pivotButton="0" quotePrefix="0" xfId="0">
      <alignment horizontal="general" vertical="center"/>
    </xf>
    <xf numFmtId="0" fontId="117" fillId="4" borderId="0" applyAlignment="1" pivotButton="0" quotePrefix="0" xfId="26">
      <alignment horizontal="general" vertical="bottom"/>
    </xf>
    <xf numFmtId="0" fontId="117" fillId="4" borderId="0" applyAlignment="1" pivotButton="0" quotePrefix="0" xfId="26">
      <alignment horizontal="left" vertical="center" wrapText="1"/>
    </xf>
    <xf numFmtId="0" fontId="117" fillId="4" borderId="0" applyAlignment="1" pivotButton="0" quotePrefix="0" xfId="26">
      <alignment horizontal="left" vertical="bottom"/>
    </xf>
    <xf numFmtId="0" fontId="30" fillId="4" borderId="0" applyAlignment="1" pivotButton="0" quotePrefix="0" xfId="0">
      <alignment horizontal="general" vertical="center"/>
    </xf>
    <xf numFmtId="0" fontId="116" fillId="4" borderId="0" applyAlignment="1" pivotButton="0" quotePrefix="0" xfId="0">
      <alignment horizontal="left" vertical="center"/>
    </xf>
    <xf numFmtId="0" fontId="116" fillId="4" borderId="0" applyAlignment="1" pivotButton="0" quotePrefix="0" xfId="0">
      <alignment horizontal="general" vertical="center"/>
    </xf>
    <xf numFmtId="0" fontId="117" fillId="4" borderId="0" applyAlignment="1" pivotButton="0" quotePrefix="0" xfId="26">
      <alignment horizontal="left" vertical="center"/>
    </xf>
    <xf numFmtId="0" fontId="108" fillId="4" borderId="0" applyAlignment="1" pivotButton="0" quotePrefix="0" xfId="26">
      <alignment horizontal="general" vertical="center"/>
    </xf>
    <xf numFmtId="0" fontId="108" fillId="4" borderId="6" applyAlignment="1" pivotButton="0" quotePrefix="0" xfId="26">
      <alignment horizontal="center" vertical="center" shrinkToFit="1"/>
    </xf>
    <xf numFmtId="0" fontId="108" fillId="4" borderId="0" applyAlignment="1" pivotButton="0" quotePrefix="0" xfId="26">
      <alignment horizontal="left" vertical="bottom" wrapText="1"/>
    </xf>
    <xf numFmtId="0" fontId="40" fillId="4" borderId="0" applyAlignment="1" pivotButton="0" quotePrefix="0" xfId="23">
      <alignment horizontal="general" vertical="center"/>
    </xf>
    <xf numFmtId="0" fontId="108" fillId="4" borderId="0" applyAlignment="1" pivotButton="0" quotePrefix="0" xfId="23">
      <alignment horizontal="left" vertical="center"/>
    </xf>
    <xf numFmtId="1" fontId="108" fillId="4" borderId="0" applyAlignment="1" pivotButton="0" quotePrefix="0" xfId="23">
      <alignment horizontal="general" vertical="center"/>
    </xf>
    <xf numFmtId="0" fontId="118" fillId="4" borderId="0" applyAlignment="1" pivotButton="0" quotePrefix="0" xfId="0">
      <alignment horizontal="general" vertical="center"/>
    </xf>
    <xf numFmtId="0" fontId="108" fillId="4" borderId="0" applyAlignment="1" pivotButton="0" quotePrefix="0" xfId="23">
      <alignment horizontal="general" vertical="center"/>
    </xf>
    <xf numFmtId="0" fontId="0" fillId="4" borderId="0" applyAlignment="1" pivotButton="0" quotePrefix="0" xfId="0">
      <alignment horizontal="general" vertical="center"/>
    </xf>
    <xf numFmtId="0" fontId="108" fillId="4" borderId="0" applyAlignment="1" pivotButton="0" quotePrefix="0" xfId="26">
      <alignment horizontal="left" vertical="center"/>
    </xf>
    <xf numFmtId="1" fontId="109" fillId="4" borderId="0" applyAlignment="1" pivotButton="0" quotePrefix="0" xfId="26">
      <alignment horizontal="general" vertical="center"/>
    </xf>
    <xf numFmtId="0" fontId="109" fillId="4" borderId="0" applyAlignment="1" pivotButton="0" quotePrefix="0" xfId="26">
      <alignment horizontal="general" vertical="center"/>
    </xf>
    <xf numFmtId="1" fontId="108" fillId="4" borderId="6" applyAlignment="1" pivotButton="0" quotePrefix="0" xfId="26">
      <alignment horizontal="center" vertical="center"/>
    </xf>
    <xf numFmtId="0" fontId="108" fillId="4" borderId="0" applyAlignment="1" pivotButton="0" quotePrefix="0" xfId="26">
      <alignment horizontal="left" vertical="center" wrapText="1"/>
    </xf>
    <xf numFmtId="1" fontId="108" fillId="4" borderId="0" applyAlignment="1" pivotButton="0" quotePrefix="0" xfId="26">
      <alignment horizontal="center" vertical="center"/>
    </xf>
    <xf numFmtId="175" fontId="108" fillId="4" borderId="0" applyAlignment="1" pivotButton="0" quotePrefix="0" xfId="26">
      <alignment horizontal="right" vertical="center"/>
    </xf>
    <xf numFmtId="0" fontId="108" fillId="4" borderId="0" applyAlignment="1" pivotButton="0" quotePrefix="0" xfId="26">
      <alignment horizontal="center" vertical="bottom" wrapText="1"/>
    </xf>
    <xf numFmtId="0" fontId="108" fillId="4" borderId="34" applyAlignment="1" pivotButton="0" quotePrefix="0" xfId="23">
      <alignment horizontal="left" vertical="center"/>
    </xf>
    <xf numFmtId="0" fontId="108" fillId="4" borderId="6" applyAlignment="1" pivotButton="0" quotePrefix="0" xfId="26">
      <alignment horizontal="center" vertical="center"/>
    </xf>
    <xf numFmtId="0" fontId="108" fillId="2" borderId="34" applyAlignment="1" pivotButton="0" quotePrefix="0" xfId="23">
      <alignment horizontal="left" vertical="center"/>
    </xf>
    <xf numFmtId="0" fontId="109" fillId="2" borderId="0" applyAlignment="1" pivotButton="0" quotePrefix="0" xfId="26">
      <alignment horizontal="general" vertical="center"/>
    </xf>
    <xf numFmtId="0" fontId="119" fillId="2" borderId="0" applyAlignment="1" pivotButton="0" quotePrefix="0" xfId="26">
      <alignment horizontal="center" vertical="center"/>
    </xf>
    <xf numFmtId="0" fontId="108" fillId="0" borderId="34" applyAlignment="1" pivotButton="0" quotePrefix="0" xfId="23">
      <alignment horizontal="left" vertical="center"/>
    </xf>
    <xf numFmtId="0" fontId="109" fillId="0" borderId="0" applyAlignment="1" pivotButton="0" quotePrefix="0" xfId="26">
      <alignment horizontal="general" vertical="center"/>
    </xf>
    <xf numFmtId="0" fontId="108" fillId="0" borderId="0" applyAlignment="1" pivotButton="0" quotePrefix="0" xfId="26">
      <alignment horizontal="left" vertical="center" wrapText="1"/>
    </xf>
    <xf numFmtId="0" fontId="30" fillId="0" borderId="0" applyAlignment="1" pivotButton="0" quotePrefix="0" xfId="0">
      <alignment horizontal="general" vertical="center"/>
    </xf>
    <xf numFmtId="0" fontId="116" fillId="0" borderId="0" applyAlignment="1" pivotButton="0" quotePrefix="0" xfId="0">
      <alignment horizontal="left" vertical="center"/>
    </xf>
    <xf numFmtId="0" fontId="108" fillId="0" borderId="0" applyAlignment="1" pivotButton="0" quotePrefix="0" xfId="26">
      <alignment horizontal="general" vertical="center"/>
    </xf>
    <xf numFmtId="0" fontId="108" fillId="0" borderId="0" applyAlignment="1" pivotButton="0" quotePrefix="0" xfId="26">
      <alignment horizontal="left" vertical="center"/>
    </xf>
    <xf numFmtId="0" fontId="30" fillId="0" borderId="0" applyAlignment="1" pivotButton="0" quotePrefix="0" xfId="0">
      <alignment horizontal="general" vertical="bottom"/>
    </xf>
    <xf numFmtId="0" fontId="108" fillId="0" borderId="0" applyAlignment="1" pivotButton="0" quotePrefix="0" xfId="23">
      <alignment horizontal="left" vertical="center"/>
    </xf>
    <xf numFmtId="0" fontId="108" fillId="0" borderId="0" applyAlignment="1" pivotButton="0" quotePrefix="0" xfId="26">
      <alignment horizontal="general" vertical="bottom"/>
    </xf>
    <xf numFmtId="0" fontId="108" fillId="0" borderId="0" applyAlignment="1" pivotButton="0" quotePrefix="0" xfId="26">
      <alignment horizontal="left" vertical="bottom"/>
    </xf>
    <xf numFmtId="0" fontId="116" fillId="0" borderId="0" applyAlignment="1" pivotButton="0" quotePrefix="0" xfId="0">
      <alignment horizontal="left" vertical="bottom"/>
    </xf>
    <xf numFmtId="0" fontId="108" fillId="2" borderId="0" applyAlignment="1" pivotButton="0" quotePrefix="0" xfId="26">
      <alignment horizontal="general" vertical="bottom"/>
    </xf>
    <xf numFmtId="0" fontId="109" fillId="0" borderId="0" applyAlignment="1" pivotButton="0" quotePrefix="0" xfId="26">
      <alignment horizontal="general" vertical="bottom"/>
    </xf>
    <xf numFmtId="0" fontId="109" fillId="0" borderId="0" applyAlignment="1" pivotButton="0" quotePrefix="0" xfId="26">
      <alignment horizontal="left" vertical="bottom"/>
    </xf>
    <xf numFmtId="0" fontId="120" fillId="0" borderId="0" applyAlignment="1" pivotButton="0" quotePrefix="0" xfId="0">
      <alignment horizontal="general" vertical="center"/>
    </xf>
    <xf numFmtId="0" fontId="110" fillId="0" borderId="0" applyAlignment="1" pivotButton="0" quotePrefix="0" xfId="0">
      <alignment horizontal="general" vertical="center"/>
    </xf>
    <xf numFmtId="0" fontId="116" fillId="0" borderId="0" applyAlignment="1" pivotButton="0" quotePrefix="0" xfId="0">
      <alignment horizontal="general" vertical="center"/>
    </xf>
    <xf numFmtId="0" fontId="116" fillId="0" borderId="0" applyAlignment="1" pivotButton="0" quotePrefix="0" xfId="0">
      <alignment horizontal="left" vertical="center" wrapText="1"/>
    </xf>
    <xf numFmtId="0" fontId="109" fillId="2" borderId="0" applyAlignment="1" pivotButton="0" quotePrefix="0" xfId="26">
      <alignment horizontal="left" vertical="bottom"/>
    </xf>
    <xf numFmtId="0" fontId="109" fillId="2" borderId="0" applyAlignment="1" pivotButton="0" quotePrefix="0" xfId="26">
      <alignment horizontal="general" vertical="bottom"/>
    </xf>
    <xf numFmtId="0" fontId="41" fillId="0" borderId="0" applyAlignment="1" pivotButton="0" quotePrefix="0" xfId="23">
      <alignment horizontal="general" vertical="bottom"/>
    </xf>
    <xf numFmtId="0" fontId="109" fillId="0" borderId="0" applyAlignment="1" pivotButton="0" quotePrefix="0" xfId="23">
      <alignment horizontal="general" vertical="bottom"/>
    </xf>
    <xf numFmtId="0" fontId="108" fillId="2" borderId="0" applyAlignment="1" pivotButton="0" quotePrefix="0" xfId="26">
      <alignment horizontal="left" vertical="bottom"/>
    </xf>
    <xf numFmtId="0" fontId="41" fillId="2" borderId="0" applyAlignment="1" pivotButton="0" quotePrefix="0" xfId="26">
      <alignment horizontal="left" vertical="bottom"/>
    </xf>
    <xf numFmtId="0" fontId="41" fillId="2" borderId="0" applyAlignment="1" pivotButton="0" quotePrefix="0" xfId="26">
      <alignment horizontal="general" vertical="bottom"/>
    </xf>
    <xf numFmtId="0" fontId="121"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2" fillId="0" borderId="6" applyAlignment="1" pivotButton="0" quotePrefix="0" xfId="31">
      <alignment horizontal="left" vertical="center" wrapText="1"/>
    </xf>
    <xf numFmtId="0" fontId="123" fillId="4" borderId="6" applyAlignment="1" pivotButton="0" quotePrefix="0" xfId="31">
      <alignment horizontal="left" vertical="center" wrapText="1"/>
    </xf>
    <xf numFmtId="0" fontId="123" fillId="0" borderId="7" applyAlignment="1" pivotButton="0" quotePrefix="0" xfId="31">
      <alignment horizontal="center" vertical="center" wrapText="1"/>
    </xf>
    <xf numFmtId="0" fontId="122" fillId="0" borderId="21" applyAlignment="1" pivotButton="0" quotePrefix="0" xfId="31">
      <alignment horizontal="general" vertical="center" wrapText="1"/>
    </xf>
    <xf numFmtId="2" fontId="124" fillId="0" borderId="0" applyAlignment="1" applyProtection="1" pivotButton="0" quotePrefix="0" xfId="31">
      <alignment horizontal="general" vertical="bottom"/>
      <protection locked="0" hidden="0"/>
    </xf>
    <xf numFmtId="0" fontId="123" fillId="0" borderId="6" applyAlignment="1" pivotButton="0" quotePrefix="0" xfId="31">
      <alignment horizontal="left" vertical="center" wrapText="1"/>
    </xf>
    <xf numFmtId="0" fontId="123" fillId="0" borderId="44" applyAlignment="1" pivotButton="0" quotePrefix="0" xfId="31">
      <alignment horizontal="center" vertical="center" wrapText="1"/>
    </xf>
    <xf numFmtId="0" fontId="123" fillId="0" borderId="6" applyAlignment="1" pivotButton="0" quotePrefix="0" xfId="31">
      <alignment horizontal="center" vertical="center" wrapText="1"/>
    </xf>
    <xf numFmtId="0" fontId="123" fillId="0" borderId="8" applyAlignment="1" pivotButton="0" quotePrefix="0" xfId="31">
      <alignment horizontal="center" vertical="center" wrapText="1"/>
    </xf>
    <xf numFmtId="0" fontId="125" fillId="0" borderId="6" applyAlignment="1" pivotButton="0" quotePrefix="0" xfId="31">
      <alignment horizontal="left" vertical="center" wrapText="1"/>
    </xf>
    <xf numFmtId="0" fontId="122" fillId="0" borderId="44" applyAlignment="1" pivotButton="0" quotePrefix="0" xfId="31">
      <alignment horizontal="center" vertical="center" wrapText="1"/>
    </xf>
    <xf numFmtId="0" fontId="122" fillId="0" borderId="6" applyAlignment="1" pivotButton="0" quotePrefix="0" xfId="31">
      <alignment horizontal="center" vertical="center" wrapText="1"/>
    </xf>
    <xf numFmtId="169" fontId="122" fillId="0" borderId="6" applyAlignment="1" pivotButton="0" quotePrefix="0" xfId="31">
      <alignment horizontal="center" vertical="center" wrapText="1"/>
    </xf>
    <xf numFmtId="0" fontId="122" fillId="0" borderId="8" applyAlignment="1" pivotButton="0" quotePrefix="0" xfId="31">
      <alignment horizontal="center" vertical="center" wrapText="1"/>
    </xf>
    <xf numFmtId="176" fontId="122" fillId="0" borderId="0" applyAlignment="1" pivotButton="0" quotePrefix="0" xfId="31">
      <alignment horizontal="general" vertical="bottom"/>
    </xf>
    <xf numFmtId="0" fontId="126" fillId="0" borderId="27" applyAlignment="1" pivotButton="0" quotePrefix="0" xfId="31">
      <alignment horizontal="center" vertical="bottom"/>
    </xf>
    <xf numFmtId="2" fontId="124" fillId="0" borderId="0" applyAlignment="1" pivotButton="0" quotePrefix="0" xfId="31">
      <alignment horizontal="general" vertical="bottom"/>
    </xf>
    <xf numFmtId="2" fontId="5" fillId="0" borderId="0" applyAlignment="1" pivotButton="0" quotePrefix="0" xfId="31">
      <alignment horizontal="general" vertical="bottom"/>
    </xf>
    <xf numFmtId="0" fontId="127" fillId="16" borderId="6" applyAlignment="1" pivotButton="0" quotePrefix="0" xfId="30">
      <alignment horizontal="left" vertical="center" wrapText="1"/>
    </xf>
    <xf numFmtId="0" fontId="122" fillId="17" borderId="6" applyAlignment="1" applyProtection="1" pivotButton="0" quotePrefix="0" xfId="30">
      <alignment horizontal="left" vertical="center"/>
      <protection locked="0" hidden="0"/>
    </xf>
    <xf numFmtId="169" fontId="122" fillId="0" borderId="47" applyAlignment="1" applyProtection="1" pivotButton="0" quotePrefix="0" xfId="30">
      <alignment horizontal="center" vertical="center"/>
      <protection locked="0" hidden="0"/>
    </xf>
    <xf numFmtId="0" fontId="127" fillId="16" borderId="7" applyAlignment="1" pivotButton="0" quotePrefix="0" xfId="30">
      <alignment horizontal="left" vertical="center" wrapText="1"/>
    </xf>
    <xf numFmtId="0" fontId="91" fillId="0" borderId="7" applyAlignment="1" applyProtection="1" pivotButton="0" quotePrefix="0" xfId="30">
      <alignment horizontal="left" vertical="center" wrapText="1"/>
      <protection locked="0" hidden="0"/>
    </xf>
    <xf numFmtId="0" fontId="92" fillId="2" borderId="6" applyAlignment="1" applyProtection="1" pivotButton="0" quotePrefix="0" xfId="30">
      <alignment horizontal="center" vertical="center" wrapText="1"/>
      <protection locked="0" hidden="0"/>
    </xf>
    <xf numFmtId="0" fontId="122" fillId="0" borderId="44" applyAlignment="1" applyProtection="1" pivotButton="0" quotePrefix="0" xfId="30">
      <alignment horizontal="center" vertical="center"/>
      <protection locked="0" hidden="0"/>
    </xf>
    <xf numFmtId="0" fontId="122" fillId="0" borderId="6" applyAlignment="1" applyProtection="1" pivotButton="0" quotePrefix="0" xfId="30">
      <alignment horizontal="center" vertical="center"/>
      <protection locked="0" hidden="0"/>
    </xf>
    <xf numFmtId="0" fontId="127" fillId="16" borderId="20" applyAlignment="1" pivotButton="0" quotePrefix="0" xfId="30">
      <alignment horizontal="general" vertical="center" wrapText="1"/>
    </xf>
    <xf numFmtId="0" fontId="92" fillId="0" borderId="6" applyAlignment="1" pivotButton="0" quotePrefix="0" xfId="0">
      <alignment horizontal="general" vertical="center"/>
    </xf>
    <xf numFmtId="0" fontId="128" fillId="0" borderId="0" applyAlignment="1" pivotButton="0" quotePrefix="0" xfId="31">
      <alignment horizontal="general" vertical="bottom"/>
    </xf>
    <xf numFmtId="0" fontId="122" fillId="0" borderId="16" applyAlignment="1" applyProtection="1" pivotButton="0" quotePrefix="0" xfId="30">
      <alignment horizontal="center" vertical="center"/>
      <protection locked="0" hidden="0"/>
    </xf>
    <xf numFmtId="0" fontId="127" fillId="16" borderId="11" applyAlignment="1" pivotButton="0" quotePrefix="0" xfId="30">
      <alignment horizontal="left" vertical="center" wrapText="1"/>
    </xf>
    <xf numFmtId="0" fontId="122" fillId="0" borderId="11" applyAlignment="1" applyProtection="1" pivotButton="0" quotePrefix="0" xfId="30">
      <alignment horizontal="center" vertical="center"/>
      <protection locked="0" hidden="0"/>
    </xf>
    <xf numFmtId="0" fontId="127" fillId="16" borderId="11" applyAlignment="1" pivotButton="0" quotePrefix="0" xfId="30">
      <alignment horizontal="general" vertical="center" wrapText="1"/>
    </xf>
    <xf numFmtId="0" fontId="123" fillId="0" borderId="40" applyAlignment="1" applyProtection="1" pivotButton="0" quotePrefix="0" xfId="30">
      <alignment horizontal="center" vertical="center"/>
      <protection locked="0" hidden="0"/>
    </xf>
    <xf numFmtId="0" fontId="129" fillId="0" borderId="0" applyAlignment="1" pivotButton="0" quotePrefix="0" xfId="31">
      <alignment horizontal="general" vertical="bottom"/>
    </xf>
    <xf numFmtId="0" fontId="5" fillId="2" borderId="0" applyAlignment="1" pivotButton="0" quotePrefix="0" xfId="31">
      <alignment horizontal="general" vertical="bottom"/>
    </xf>
    <xf numFmtId="0" fontId="127" fillId="18" borderId="6" applyAlignment="1" pivotButton="0" quotePrefix="0" xfId="31">
      <alignment horizontal="left" vertical="center" wrapText="1"/>
    </xf>
    <xf numFmtId="2" fontId="123" fillId="17" borderId="6" applyAlignment="1" pivotButton="0" quotePrefix="0" xfId="31">
      <alignment horizontal="left" vertical="center"/>
    </xf>
    <xf numFmtId="0" fontId="127" fillId="2" borderId="6" applyAlignment="1" pivotButton="0" quotePrefix="0" xfId="31">
      <alignment horizontal="left" vertical="center" wrapText="1"/>
    </xf>
    <xf numFmtId="0" fontId="122" fillId="2" borderId="28" applyAlignment="1" pivotButton="0" quotePrefix="0" xfId="31">
      <alignment horizontal="general" vertical="bottom"/>
    </xf>
    <xf numFmtId="0" fontId="127" fillId="2" borderId="28" applyAlignment="1" pivotButton="0" quotePrefix="0" xfId="31">
      <alignment horizontal="left" vertical="center" wrapText="1"/>
    </xf>
    <xf numFmtId="0" fontId="127" fillId="0" borderId="0" applyAlignment="1" pivotButton="0" quotePrefix="0" xfId="31">
      <alignment horizontal="left" vertical="center" wrapText="1"/>
    </xf>
    <xf numFmtId="0" fontId="94" fillId="0" borderId="29" applyAlignment="1" pivotButton="0" quotePrefix="0" xfId="31">
      <alignment horizontal="center" vertical="center"/>
    </xf>
    <xf numFmtId="0" fontId="128" fillId="2" borderId="0" applyAlignment="1" pivotButton="0" quotePrefix="0" xfId="31">
      <alignment horizontal="general" vertical="bottom"/>
    </xf>
    <xf numFmtId="2" fontId="130" fillId="17" borderId="6" applyAlignment="1" applyProtection="1" pivotButton="0" quotePrefix="0" xfId="30">
      <alignment horizontal="left" vertical="center"/>
      <protection locked="0" hidden="0"/>
    </xf>
    <xf numFmtId="0" fontId="127" fillId="16" borderId="6" applyAlignment="1" pivotButton="0" quotePrefix="0" xfId="31">
      <alignment horizontal="left" vertical="center" wrapText="1"/>
    </xf>
    <xf numFmtId="0" fontId="122" fillId="2" borderId="47" applyAlignment="1" applyProtection="1" pivotButton="0" quotePrefix="0" xfId="31">
      <alignment horizontal="center" vertical="center"/>
      <protection locked="0" hidden="0"/>
    </xf>
    <xf numFmtId="0" fontId="127" fillId="16" borderId="7" applyAlignment="1" pivotButton="0" quotePrefix="0" xfId="31">
      <alignment horizontal="left" vertical="center" wrapText="1"/>
    </xf>
    <xf numFmtId="0" fontId="122" fillId="2" borderId="7" applyAlignment="1" applyProtection="1" pivotButton="0" quotePrefix="0" xfId="31">
      <alignment horizontal="center" vertical="center"/>
      <protection locked="0" hidden="0"/>
    </xf>
    <xf numFmtId="0" fontId="127" fillId="16" borderId="7" applyAlignment="1" pivotButton="0" quotePrefix="0" xfId="0">
      <alignment horizontal="left" vertical="center" wrapText="1"/>
    </xf>
    <xf numFmtId="0" fontId="123" fillId="2" borderId="21" applyAlignment="1" applyProtection="1" pivotButton="0" quotePrefix="0" xfId="0">
      <alignment horizontal="center" vertical="center" wrapText="1"/>
      <protection locked="0" hidden="0"/>
    </xf>
    <xf numFmtId="2" fontId="128" fillId="0" borderId="0" applyAlignment="1" pivotButton="0" quotePrefix="0" xfId="31">
      <alignment horizontal="general" vertical="bottom"/>
    </xf>
    <xf numFmtId="2" fontId="123" fillId="17" borderId="6" applyAlignment="1" applyProtection="1" pivotButton="0" quotePrefix="0" xfId="31">
      <alignment horizontal="left" vertical="center"/>
      <protection locked="0" hidden="0"/>
    </xf>
    <xf numFmtId="0" fontId="131" fillId="2" borderId="73" applyAlignment="1" applyProtection="1" pivotButton="0" quotePrefix="0" xfId="31">
      <alignment horizontal="center" vertical="center"/>
      <protection locked="0" hidden="0"/>
    </xf>
    <xf numFmtId="0" fontId="123" fillId="2" borderId="6" applyAlignment="1" pivotButton="0" quotePrefix="0" xfId="31">
      <alignment horizontal="center" vertical="center"/>
    </xf>
    <xf numFmtId="0" fontId="127" fillId="16" borderId="6" applyAlignment="1" pivotButton="0" quotePrefix="0" xfId="0">
      <alignment horizontal="left" vertical="center" wrapText="1"/>
    </xf>
    <xf numFmtId="0" fontId="123" fillId="2" borderId="8" applyAlignment="1" applyProtection="1" pivotButton="0" quotePrefix="0" xfId="0">
      <alignment horizontal="center" vertical="center"/>
      <protection locked="0" hidden="0"/>
    </xf>
    <xf numFmtId="0" fontId="127" fillId="18" borderId="6" applyAlignment="1" pivotButton="0" quotePrefix="0" xfId="0">
      <alignment horizontal="left" vertical="center" wrapText="1"/>
    </xf>
    <xf numFmtId="2" fontId="123" fillId="17" borderId="6" applyAlignment="1" applyProtection="1" pivotButton="0" quotePrefix="0" xfId="0">
      <alignment horizontal="left" vertical="center"/>
      <protection locked="0" hidden="0"/>
    </xf>
    <xf numFmtId="0" fontId="127" fillId="16" borderId="15" applyAlignment="1" pivotButton="0" quotePrefix="0" xfId="31">
      <alignment horizontal="left" vertical="center" wrapText="1"/>
    </xf>
    <xf numFmtId="2" fontId="123" fillId="2" borderId="42" applyAlignment="1" applyProtection="1" pivotButton="0" quotePrefix="0" xfId="0">
      <alignment horizontal="center" vertical="center"/>
      <protection locked="0" hidden="0"/>
    </xf>
    <xf numFmtId="2" fontId="127" fillId="2" borderId="43" applyAlignment="1" pivotButton="0" quotePrefix="0" xfId="0">
      <alignment horizontal="center" vertical="center" wrapText="1"/>
    </xf>
    <xf numFmtId="0" fontId="127" fillId="2" borderId="6" applyAlignment="1" pivotButton="0" quotePrefix="0" xfId="0">
      <alignment horizontal="general" vertical="center" wrapText="1"/>
    </xf>
    <xf numFmtId="0" fontId="127" fillId="2" borderId="6" applyAlignment="1" pivotButton="0" quotePrefix="0" xfId="0">
      <alignment horizontal="center" vertical="center" wrapText="1"/>
    </xf>
    <xf numFmtId="2" fontId="132" fillId="0" borderId="0" applyAlignment="1" pivotButton="0" quotePrefix="0" xfId="31">
      <alignment horizontal="general" vertical="bottom"/>
    </xf>
    <xf numFmtId="0" fontId="126" fillId="0" borderId="6" applyAlignment="1" pivotButton="0" quotePrefix="0" xfId="31">
      <alignment horizontal="left" vertical="bottom"/>
    </xf>
    <xf numFmtId="0" fontId="126" fillId="0" borderId="32" applyAlignment="1" pivotButton="0" quotePrefix="0" xfId="31">
      <alignment horizontal="general" vertical="bottom"/>
    </xf>
    <xf numFmtId="0" fontId="5" fillId="7" borderId="0" applyAlignment="1" pivotButton="0" quotePrefix="0" xfId="31">
      <alignment horizontal="general" vertical="bottom"/>
    </xf>
    <xf numFmtId="0" fontId="133" fillId="4" borderId="6" applyAlignment="1" pivotButton="0" quotePrefix="0" xfId="31">
      <alignment horizontal="left" vertical="center" wrapText="1"/>
    </xf>
    <xf numFmtId="0" fontId="133" fillId="7" borderId="74" applyAlignment="1" pivotButton="0" quotePrefix="0" xfId="31">
      <alignment horizontal="center" vertical="center" wrapText="1"/>
    </xf>
    <xf numFmtId="0" fontId="133" fillId="7" borderId="75" applyAlignment="1" pivotButton="0" quotePrefix="0" xfId="31">
      <alignment horizontal="center" vertical="center" wrapText="1"/>
    </xf>
    <xf numFmtId="0" fontId="133"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0" borderId="0" applyAlignment="1" applyProtection="1" pivotButton="0" quotePrefix="0" xfId="31">
      <alignment horizontal="general" vertical="bottom"/>
      <protection locked="0" hidden="0"/>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4" fillId="17" borderId="47" applyAlignment="1" applyProtection="1" pivotButton="0" quotePrefix="0" xfId="31">
      <alignment horizontal="center" vertical="center"/>
      <protection locked="0" hidden="0"/>
    </xf>
    <xf numFmtId="2" fontId="134" fillId="17" borderId="7" applyAlignment="1" applyProtection="1" pivotButton="0" quotePrefix="0" xfId="31">
      <alignment horizontal="center" vertical="center"/>
      <protection locked="0" hidden="0"/>
    </xf>
    <xf numFmtId="2" fontId="135" fillId="17" borderId="7" applyAlignment="1" applyProtection="1" pivotButton="0" quotePrefix="0" xfId="31">
      <alignment horizontal="center" vertical="center"/>
      <protection locked="0" hidden="0"/>
    </xf>
    <xf numFmtId="2" fontId="127" fillId="17" borderId="21" applyAlignment="1" applyProtection="1" pivotButton="0" quotePrefix="0" xfId="31">
      <alignment horizontal="center" vertical="center" wrapText="1"/>
      <protection locked="0" hidden="0"/>
    </xf>
    <xf numFmtId="2" fontId="124" fillId="0" borderId="0" applyAlignment="1" applyProtection="1" pivotButton="0" quotePrefix="0" xfId="31">
      <alignment horizontal="center" vertical="center"/>
      <protection locked="0" hidden="0"/>
    </xf>
    <xf numFmtId="2" fontId="94" fillId="0" borderId="0" applyAlignment="1" applyProtection="1" pivotButton="0" quotePrefix="0" xfId="31">
      <alignment horizontal="center" vertical="center"/>
      <protection locked="0" hidden="0"/>
    </xf>
    <xf numFmtId="2" fontId="136" fillId="0" borderId="0" applyAlignment="1" applyProtection="1" pivotButton="0" quotePrefix="0" xfId="31">
      <alignment horizontal="general" vertical="center"/>
      <protection locked="0" hidden="0"/>
    </xf>
    <xf numFmtId="2" fontId="134" fillId="17" borderId="44" applyAlignment="1" applyProtection="1" pivotButton="0" quotePrefix="0" xfId="31">
      <alignment horizontal="center" vertical="center"/>
      <protection locked="0" hidden="0"/>
    </xf>
    <xf numFmtId="2" fontId="134" fillId="17" borderId="6" applyAlignment="1" applyProtection="1" pivotButton="0" quotePrefix="0" xfId="31">
      <alignment horizontal="center" vertical="center"/>
      <protection locked="0" hidden="0"/>
    </xf>
    <xf numFmtId="2" fontId="135" fillId="17" borderId="6" applyAlignment="1" applyProtection="1" pivotButton="0" quotePrefix="0" xfId="31">
      <alignment horizontal="center" vertical="center"/>
      <protection locked="0" hidden="0"/>
    </xf>
    <xf numFmtId="2" fontId="127" fillId="17" borderId="8" applyAlignment="1" applyProtection="1" pivotButton="0" quotePrefix="0" xfId="31">
      <alignment horizontal="center" vertical="center" wrapText="1"/>
      <protection locked="0" hidden="0"/>
    </xf>
    <xf numFmtId="2" fontId="128" fillId="0" borderId="0" applyAlignment="1" applyProtection="1" pivotButton="0" quotePrefix="0" xfId="31">
      <alignment horizontal="general" vertical="bottom"/>
      <protection locked="0" hidden="0"/>
    </xf>
    <xf numFmtId="0" fontId="94" fillId="0" borderId="0" applyAlignment="1" applyProtection="1" pivotButton="0" quotePrefix="0" xfId="31">
      <alignment horizontal="center" vertical="center"/>
      <protection locked="0" hidden="0"/>
    </xf>
    <xf numFmtId="0" fontId="132" fillId="0" borderId="0" applyAlignment="1" applyProtection="1" pivotButton="0" quotePrefix="0" xfId="31">
      <alignment horizontal="general" vertical="bottom"/>
      <protection locked="0" hidden="0"/>
    </xf>
    <xf numFmtId="0" fontId="124"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2" fillId="0" borderId="14" applyAlignment="1" applyProtection="1" pivotButton="0" quotePrefix="0" xfId="31">
      <alignment horizontal="center" vertical="center"/>
      <protection locked="0" hidden="0"/>
    </xf>
    <xf numFmtId="2" fontId="134" fillId="20" borderId="6" applyAlignment="1" applyProtection="1" pivotButton="0" quotePrefix="0" xfId="31">
      <alignment horizontal="center" vertical="center"/>
      <protection locked="0" hidden="0"/>
    </xf>
    <xf numFmtId="2" fontId="135" fillId="20" borderId="6" applyAlignment="1" applyProtection="1" pivotButton="0" quotePrefix="0" xfId="31">
      <alignment horizontal="center" vertical="center"/>
      <protection locked="0" hidden="0"/>
    </xf>
    <xf numFmtId="0" fontId="137" fillId="0" borderId="25" applyAlignment="1" applyProtection="1" pivotButton="0" quotePrefix="0" xfId="31">
      <alignment horizontal="center" vertical="center"/>
      <protection locked="0" hidden="0"/>
    </xf>
    <xf numFmtId="2" fontId="137"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8" fillId="2" borderId="25" applyAlignment="1" applyProtection="1" pivotButton="0" quotePrefix="0" xfId="31">
      <alignment horizontal="center" vertical="center"/>
      <protection locked="0" hidden="0"/>
    </xf>
    <xf numFmtId="2" fontId="139"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0" borderId="75" pivotButton="0" quotePrefix="0" xfId="0"/>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2" fillId="0" borderId="74" applyAlignment="1" applyProtection="1" pivotButton="0" quotePrefix="0" xfId="31">
      <alignment horizontal="center" vertical="center"/>
      <protection locked="0" hidden="0"/>
    </xf>
    <xf numFmtId="0" fontId="137" fillId="0" borderId="53" applyAlignment="1" applyProtection="1" pivotButton="0" quotePrefix="0" xfId="31">
      <alignment horizontal="center" vertical="center"/>
      <protection locked="0" hidden="0"/>
    </xf>
    <xf numFmtId="0" fontId="127" fillId="2" borderId="25" applyAlignment="1" applyProtection="1" pivotButton="0" quotePrefix="0" xfId="31">
      <alignment horizontal="center" vertical="center"/>
      <protection locked="0" hidden="0"/>
    </xf>
    <xf numFmtId="0" fontId="138" fillId="2" borderId="53" applyAlignment="1" applyProtection="1" pivotButton="0" quotePrefix="0" xfId="31">
      <alignment horizontal="center" vertical="center"/>
      <protection locked="0" hidden="0"/>
    </xf>
    <xf numFmtId="0" fontId="138" fillId="4" borderId="25" applyAlignment="1" applyProtection="1" pivotButton="0" quotePrefix="0" xfId="31">
      <alignment horizontal="center" vertical="center"/>
      <protection locked="0" hidden="0"/>
    </xf>
    <xf numFmtId="0" fontId="140" fillId="4" borderId="6" applyAlignment="1" applyProtection="1" pivotButton="0" quotePrefix="0" xfId="31">
      <alignment horizontal="center" vertical="center"/>
      <protection locked="0" hidden="0"/>
    </xf>
    <xf numFmtId="2" fontId="82" fillId="17" borderId="14" applyAlignment="1" applyProtection="1" pivotButton="0" quotePrefix="0" xfId="31">
      <alignment horizontal="center" vertical="center"/>
      <protection locked="0" hidden="0"/>
    </xf>
    <xf numFmtId="0" fontId="127" fillId="20" borderId="21" applyAlignment="1" applyProtection="1" pivotButton="0" quotePrefix="0" xfId="31">
      <alignment horizontal="center" vertical="center" wrapText="1"/>
      <protection locked="0" hidden="0"/>
    </xf>
    <xf numFmtId="2" fontId="134" fillId="20" borderId="44" applyAlignment="1" applyProtection="1" pivotButton="0" quotePrefix="0" xfId="31">
      <alignment horizontal="center" vertical="center"/>
      <protection locked="0" hidden="0"/>
    </xf>
    <xf numFmtId="0" fontId="141" fillId="20" borderId="8" applyAlignment="1" applyProtection="1" pivotButton="0" quotePrefix="0" xfId="20">
      <alignment horizontal="center" vertical="center" wrapText="1"/>
      <protection locked="0" hidden="0"/>
    </xf>
    <xf numFmtId="0" fontId="127"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2"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2"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2" fillId="20" borderId="47" applyAlignment="1" applyProtection="1" pivotButton="0" quotePrefix="0" xfId="31">
      <alignment horizontal="center" vertical="center"/>
      <protection locked="0" hidden="0"/>
    </xf>
    <xf numFmtId="178" fontId="125" fillId="20" borderId="21" applyAlignment="1" applyProtection="1" pivotButton="0" quotePrefix="0" xfId="31">
      <alignment horizontal="center" vertical="center"/>
      <protection locked="0" hidden="0"/>
    </xf>
    <xf numFmtId="2" fontId="82" fillId="20" borderId="44" applyAlignment="1" applyProtection="1" pivotButton="0" quotePrefix="0" xfId="31">
      <alignment horizontal="center" vertical="center"/>
      <protection locked="0" hidden="0"/>
    </xf>
    <xf numFmtId="0" fontId="125" fillId="20" borderId="8" applyAlignment="1" applyProtection="1" pivotButton="0" quotePrefix="0" xfId="31">
      <alignment horizontal="center" vertical="center" wrapText="1"/>
      <protection locked="0" hidden="0"/>
    </xf>
    <xf numFmtId="2" fontId="82" fillId="20" borderId="16" applyAlignment="1" applyProtection="1" pivotButton="0" quotePrefix="0" xfId="31">
      <alignment horizontal="center" vertical="center"/>
      <protection locked="0" hidden="0"/>
    </xf>
    <xf numFmtId="178" fontId="125" fillId="20" borderId="12" applyAlignment="1" applyProtection="1" pivotButton="0" quotePrefix="0" xfId="31">
      <alignment horizontal="center" vertical="center"/>
      <protection locked="0" hidden="0"/>
    </xf>
    <xf numFmtId="178" fontId="125" fillId="20" borderId="23" applyAlignment="1" applyProtection="1" pivotButton="0" quotePrefix="0" xfId="31">
      <alignment horizontal="center" vertical="center"/>
      <protection locked="0" hidden="0"/>
    </xf>
    <xf numFmtId="0" fontId="91" fillId="0" borderId="0" applyAlignment="1" applyProtection="1" pivotButton="0" quotePrefix="0" xfId="31">
      <alignment horizontal="general" vertical="bottom"/>
      <protection locked="0" hidden="0"/>
    </xf>
    <xf numFmtId="178" fontId="125" fillId="20" borderId="25" applyAlignment="1" applyProtection="1" pivotButton="0" quotePrefix="0" xfId="31">
      <alignment horizontal="center" vertical="center"/>
      <protection locked="0" hidden="0"/>
    </xf>
    <xf numFmtId="178" fontId="125" fillId="20" borderId="8" applyAlignment="1" applyProtection="1" pivotButton="0" quotePrefix="0" xfId="31">
      <alignment horizontal="center" vertical="center"/>
      <protection locked="0" hidden="0"/>
    </xf>
    <xf numFmtId="2" fontId="125" fillId="20" borderId="8" applyAlignment="1" applyProtection="1" pivotButton="0" quotePrefix="0" xfId="31">
      <alignment horizontal="center" vertical="center"/>
      <protection locked="0" hidden="0"/>
    </xf>
    <xf numFmtId="0" fontId="128"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8" fillId="0" borderId="0" applyAlignment="1" applyProtection="1" pivotButton="0" quotePrefix="0" xfId="31">
      <alignment horizontal="general" vertical="bottom"/>
      <protection locked="0" hidden="0"/>
    </xf>
    <xf numFmtId="1" fontId="125"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5" fillId="0" borderId="8" applyAlignment="1" applyProtection="1" pivotButton="0" quotePrefix="0" xfId="31">
      <alignment horizontal="center" vertical="center"/>
      <protection locked="0" hidden="0"/>
    </xf>
    <xf numFmtId="0" fontId="125" fillId="0" borderId="23" applyAlignment="1" applyProtection="1" pivotButton="0" quotePrefix="0" xfId="31">
      <alignment horizontal="center" vertical="center"/>
      <protection locked="0" hidden="0"/>
    </xf>
    <xf numFmtId="0" fontId="140" fillId="4" borderId="76" applyAlignment="1" applyProtection="1" pivotButton="0" quotePrefix="0" xfId="31">
      <alignment horizontal="center" vertical="center"/>
      <protection locked="0" hidden="0"/>
    </xf>
    <xf numFmtId="0" fontId="140" fillId="4" borderId="51" applyAlignment="1" applyProtection="1" pivotButton="0" quotePrefix="0" xfId="31">
      <alignment horizontal="center" vertical="center"/>
      <protection locked="0" hidden="0"/>
    </xf>
    <xf numFmtId="0" fontId="125" fillId="0" borderId="25" applyAlignment="1" applyProtection="1" pivotButton="0" quotePrefix="0" xfId="31">
      <alignment horizontal="center" vertical="center"/>
      <protection locked="0" hidden="0"/>
    </xf>
    <xf numFmtId="1" fontId="125"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3" fillId="4" borderId="8" applyAlignment="1" applyProtection="1" pivotButton="0" quotePrefix="0" xfId="31">
      <alignment horizontal="center" vertical="center"/>
      <protection locked="0" hidden="0"/>
    </xf>
    <xf numFmtId="0" fontId="138"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2"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6" fillId="20" borderId="8" applyAlignment="1" applyProtection="1" pivotButton="0" quotePrefix="0" xfId="31">
      <alignment horizontal="center" vertical="center" wrapText="1"/>
      <protection locked="0" hidden="0"/>
    </xf>
    <xf numFmtId="0" fontId="138" fillId="2" borderId="8"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2" fontId="82" fillId="2" borderId="14" applyAlignment="1" applyProtection="1" pivotButton="0" quotePrefix="0" xfId="31">
      <alignment horizontal="center" vertical="center"/>
      <protection locked="0" hidden="0"/>
    </xf>
    <xf numFmtId="1" fontId="126" fillId="20" borderId="21" applyAlignment="1" applyProtection="1" pivotButton="0" quotePrefix="0" xfId="31">
      <alignment horizontal="center" vertical="center"/>
      <protection locked="0" hidden="0"/>
    </xf>
    <xf numFmtId="2" fontId="142" fillId="20" borderId="44" applyAlignment="1" applyProtection="1" pivotButton="0" quotePrefix="0" xfId="31">
      <alignment horizontal="center" vertical="center"/>
      <protection locked="0" hidden="0"/>
    </xf>
    <xf numFmtId="1" fontId="126" fillId="20" borderId="8" applyAlignment="1" applyProtection="1" pivotButton="0" quotePrefix="0" xfId="31">
      <alignment horizontal="center" vertical="center" wrapText="1"/>
      <protection locked="0" hidden="0"/>
    </xf>
    <xf numFmtId="2" fontId="142" fillId="20" borderId="16" applyAlignment="1" applyProtection="1" pivotButton="0" quotePrefix="0" xfId="31">
      <alignment horizontal="center" vertical="center"/>
      <protection locked="0" hidden="0"/>
    </xf>
    <xf numFmtId="0" fontId="125" fillId="20" borderId="12" applyAlignment="1" applyProtection="1" pivotButton="0" quotePrefix="0" xfId="31">
      <alignment horizontal="center" vertical="center" wrapText="1"/>
      <protection locked="0" hidden="0"/>
    </xf>
    <xf numFmtId="2" fontId="142" fillId="4" borderId="74" applyAlignment="1" applyProtection="1" pivotButton="0" quotePrefix="0" xfId="31">
      <alignment horizontal="center" vertical="center"/>
      <protection locked="0" hidden="0"/>
    </xf>
    <xf numFmtId="0" fontId="126"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3"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cellXfs>
  <cellStyles count="19">
    <cellStyle name="Normal" xfId="0" builtinId="0"/>
    <cellStyle name="Comma" xfId="1" builtinId="3"/>
    <cellStyle name="Comma [0]" xfId="2" builtinId="6"/>
    <cellStyle name="Currency" xfId="3" builtinId="4"/>
    <cellStyle name="Currency [0]" xfId="4" builtinId="7"/>
    <cellStyle name="Percent" xfId="5" builtinId="5"/>
    <cellStyle name="*unknown*" xfId="6" builtinId="8"/>
    <cellStyle name="Comma 2" xfId="7"/>
    <cellStyle name="Hyperlink 2" xfId="8"/>
    <cellStyle name="Normal 12" xfId="9"/>
    <cellStyle name="Normal 19 2" xfId="10"/>
    <cellStyle name="Normal 2" xfId="11"/>
    <cellStyle name="Normal 2 2" xfId="12"/>
    <cellStyle name="Normal 2 2 2" xfId="13"/>
    <cellStyle name="Normal 2 3 2" xfId="14"/>
    <cellStyle name="Normal 3" xfId="15"/>
    <cellStyle name="Normal 3 2 2" xfId="16"/>
    <cellStyle name="Normal 3 4" xfId="17"/>
    <cellStyle name="Normal_Sheet1" xfId="18"/>
  </cellStyles>
  <colors>
    <indexedColors>
      <rgbColor rgb="FF000000"/>
      <rgbColor rgb="FFFFFFFF"/>
      <rgbColor rgb="FFFF0000"/>
      <rgbColor rgb="FFC0E2DA"/>
      <rgbColor rgb="FF0000FF"/>
      <rgbColor rgb="FFFFFF00"/>
      <rgbColor rgb="FFE3C7DB"/>
      <rgbColor rgb="FFBEDED8"/>
      <rgbColor rgb="FFE3CCEA"/>
      <rgbColor rgb="FF00A01B"/>
      <rgbColor rgb="FFDBDBDB"/>
      <rgbColor rgb="FFBFBFBF"/>
      <rgbColor rgb="FFCFCCDD"/>
      <rgbColor rgb="FFBECBBD"/>
      <rgbColor rgb="FFC0C0C0"/>
      <rgbColor rgb="FF808080"/>
      <rgbColor rgb="FFB7BACF"/>
      <rgbColor rgb="FFC7BACE"/>
      <rgbColor rgb="FFF2F2F2"/>
      <rgbColor rgb="FFE1EFED"/>
      <rgbColor rgb="FFE9CACD"/>
      <rgbColor rgb="FFDDBDD0"/>
      <rgbColor rgb="FF1A57A4"/>
      <rgbColor rgb="FFC3C7E6"/>
      <rgbColor rgb="FFE1DFE6"/>
      <rgbColor rgb="FFE4C7CE"/>
      <rgbColor rgb="FFF0E7C4"/>
      <rgbColor rgb="FFBDD7EE"/>
      <rgbColor rgb="FFE2CCC2"/>
      <rgbColor rgb="FFD8D6CC"/>
      <rgbColor rgb="FFBED0E9"/>
      <rgbColor rgb="FFE2D7E1"/>
      <rgbColor rgb="FFBAD7E3"/>
      <rgbColor rgb="FFC5E0E5"/>
      <rgbColor rgb="FFC4EACB"/>
      <rgbColor rgb="FFE3EBBA"/>
      <rgbColor rgb="FFB4C7E7"/>
      <rgbColor rgb="FFDEB6D8"/>
      <rgbColor rgb="FFCDB5CD"/>
      <rgbColor rgb="FFF8CBAD"/>
      <rgbColor rgb="FFBEBCE9"/>
      <rgbColor rgb="FFA9D18E"/>
      <rgbColor rgb="FFA6EA00"/>
      <rgbColor rgb="FFFFCC00"/>
      <rgbColor rgb="FFCACAB5"/>
      <rgbColor rgb="FFFF6600"/>
      <rgbColor rgb="FF7F7F7F"/>
      <rgbColor rgb="FFA1A1A1"/>
      <rgbColor rgb="FFD4D4BD"/>
      <rgbColor rgb="FFBBC7C0"/>
      <rgbColor rgb="FFD9D9D9"/>
      <rgbColor rgb="FF44546A"/>
      <rgbColor rgb="FFCBC8CE"/>
      <rgbColor rgb="FFD4C6C7"/>
      <rgbColor rgb="FF333399"/>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externalLink" Target="/xl/externalLinks/externalLink1.xml" Id="rId14" /><Relationship Type="http://schemas.openxmlformats.org/officeDocument/2006/relationships/externalLink" Target="/xl/externalLinks/externalLink2.xml" Id="rId15" /><Relationship Type="http://schemas.openxmlformats.org/officeDocument/2006/relationships/externalLink" Target="/xl/externalLinks/externalLink3.xml" Id="rId16" /><Relationship Type="http://schemas.openxmlformats.org/officeDocument/2006/relationships/externalLink" Target="/xl/externalLinks/externalLink4.xml" Id="rId17" /><Relationship Type="http://schemas.openxmlformats.org/officeDocument/2006/relationships/externalLink" Target="/xl/externalLinks/externalLink5.xml" Id="rId18" /><Relationship Type="http://schemas.openxmlformats.org/officeDocument/2006/relationships/externalLink" Target="/xl/externalLinks/externalLink6.xml" Id="rId19" /><Relationship Type="http://schemas.openxmlformats.org/officeDocument/2006/relationships/externalLink" Target="/xl/externalLinks/externalLink7.xml" Id="rId20" /><Relationship Type="http://schemas.openxmlformats.org/officeDocument/2006/relationships/externalLink" Target="/xl/externalLinks/externalLink8.xml" Id="rId21" /><Relationship Type="http://schemas.openxmlformats.org/officeDocument/2006/relationships/externalLink" Target="/xl/externalLinks/externalLink9.xml" Id="rId22" /><Relationship Type="http://schemas.openxmlformats.org/officeDocument/2006/relationships/externalLink" Target="/xl/externalLinks/externalLink10.xml" Id="rId23" /><Relationship Type="http://schemas.openxmlformats.org/officeDocument/2006/relationships/externalLink" Target="/xl/externalLinks/externalLink11.xml" Id="rId24" /><Relationship Type="http://schemas.openxmlformats.org/officeDocument/2006/relationships/externalLink" Target="/xl/externalLinks/externalLink12.xml" Id="rId25" /><Relationship Type="http://schemas.openxmlformats.org/officeDocument/2006/relationships/externalLink" Target="/xl/externalLinks/externalLink13.xml" Id="rId26" /><Relationship Type="http://schemas.openxmlformats.org/officeDocument/2006/relationships/externalLink" Target="/xl/externalLinks/externalLink14.xml" Id="rId27" /><Relationship Type="http://schemas.openxmlformats.org/officeDocument/2006/relationships/externalLink" Target="/xl/externalLinks/externalLink15.xml" Id="rId28" /><Relationship Type="http://schemas.openxmlformats.org/officeDocument/2006/relationships/externalLink" Target="/xl/externalLinks/externalLink16.xml" Id="rId29" /><Relationship Type="http://schemas.openxmlformats.org/officeDocument/2006/relationships/externalLink" Target="/xl/externalLinks/externalLink17.xml" Id="rId30" /><Relationship Type="http://schemas.openxmlformats.org/officeDocument/2006/relationships/externalLink" Target="/xl/externalLinks/externalLink18.xml" Id="rId31" /><Relationship Type="http://schemas.openxmlformats.org/officeDocument/2006/relationships/externalLink" Target="/xl/externalLinks/externalLink19.xml" Id="rId32" /><Relationship Type="http://schemas.openxmlformats.org/officeDocument/2006/relationships/externalLink" Target="/xl/externalLinks/externalLink20.xml" Id="rId33" /><Relationship Type="http://schemas.openxmlformats.org/officeDocument/2006/relationships/externalLink" Target="/xl/externalLinks/externalLink21.xml" Id="rId34" /><Relationship Type="http://schemas.openxmlformats.org/officeDocument/2006/relationships/externalLink" Target="/xl/externalLinks/externalLink22.xml" Id="rId35" /><Relationship Type="http://schemas.openxmlformats.org/officeDocument/2006/relationships/externalLink" Target="/xl/externalLinks/externalLink23.xml" Id="rId36" /><Relationship Type="http://schemas.openxmlformats.org/officeDocument/2006/relationships/externalLink" Target="/xl/externalLinks/externalLink24.xml" Id="rId37" /><Relationship Type="http://schemas.openxmlformats.org/officeDocument/2006/relationships/externalLink" Target="/xl/externalLinks/externalLink25.xml" Id="rId38" /><Relationship Type="http://schemas.openxmlformats.org/officeDocument/2006/relationships/externalLink" Target="/xl/externalLinks/externalLink26.xml" Id="rId39" /><Relationship Type="http://schemas.openxmlformats.org/officeDocument/2006/relationships/externalLink" Target="/xl/externalLinks/externalLink27.xml" Id="rId40" /><Relationship Type="http://schemas.openxmlformats.org/officeDocument/2006/relationships/externalLink" Target="/xl/externalLinks/externalLink28.xml" Id="rId41" /><Relationship Type="http://schemas.openxmlformats.org/officeDocument/2006/relationships/externalLink" Target="/xl/externalLinks/externalLink29.xml" Id="rId42" /><Relationship Type="http://schemas.openxmlformats.org/officeDocument/2006/relationships/externalLink" Target="/xl/externalLinks/externalLink30.xml" Id="rId43" /><Relationship Type="http://schemas.openxmlformats.org/officeDocument/2006/relationships/externalLink" Target="/xl/externalLinks/externalLink31.xml" Id="rId44" /><Relationship Type="http://schemas.openxmlformats.org/officeDocument/2006/relationships/externalLink" Target="/xl/externalLinks/externalLink32.xml" Id="rId45" /><Relationship Type="http://schemas.openxmlformats.org/officeDocument/2006/relationships/externalLink" Target="/xl/externalLinks/externalLink33.xml" Id="rId46" /><Relationship Type="http://schemas.openxmlformats.org/officeDocument/2006/relationships/externalLink" Target="/xl/externalLinks/externalLink34.xml" Id="rId47" /><Relationship Type="http://schemas.openxmlformats.org/officeDocument/2006/relationships/externalLink" Target="/xl/externalLinks/externalLink35.xml" Id="rId48" /><Relationship Type="http://schemas.openxmlformats.org/officeDocument/2006/relationships/externalLink" Target="/xl/externalLinks/externalLink36.xml" Id="rId49" /><Relationship Type="http://schemas.openxmlformats.org/officeDocument/2006/relationships/externalLink" Target="/xl/externalLinks/externalLink37.xml" Id="rId50" /><Relationship Type="http://schemas.openxmlformats.org/officeDocument/2006/relationships/externalLink" Target="/xl/externalLinks/externalLink38.xml" Id="rId51" /><Relationship Type="http://schemas.openxmlformats.org/officeDocument/2006/relationships/externalLink" Target="/xl/externalLinks/externalLink39.xml" Id="rId52" /><Relationship Type="http://schemas.openxmlformats.org/officeDocument/2006/relationships/externalLink" Target="/xl/externalLinks/externalLink40.xml" Id="rId53" /><Relationship Type="http://schemas.openxmlformats.org/officeDocument/2006/relationships/externalLink" Target="/xl/externalLinks/externalLink41.xml" Id="rId54" /><Relationship Type="http://schemas.openxmlformats.org/officeDocument/2006/relationships/externalLink" Target="/xl/externalLinks/externalLink42.xml" Id="rId55" /><Relationship Type="http://schemas.openxmlformats.org/officeDocument/2006/relationships/externalLink" Target="/xl/externalLinks/externalLink43.xml" Id="rId56" /><Relationship Type="http://schemas.openxmlformats.org/officeDocument/2006/relationships/externalLink" Target="/xl/externalLinks/externalLink44.xml" Id="rId57" /><Relationship Type="http://schemas.openxmlformats.org/officeDocument/2006/relationships/externalLink" Target="/xl/externalLinks/externalLink45.xml" Id="rId58" /><Relationship Type="http://schemas.openxmlformats.org/officeDocument/2006/relationships/externalLink" Target="/xl/externalLinks/externalLink46.xml" Id="rId59" /><Relationship Type="http://schemas.openxmlformats.org/officeDocument/2006/relationships/externalLink" Target="/xl/externalLinks/externalLink47.xml" Id="rId60" /><Relationship Type="http://schemas.openxmlformats.org/officeDocument/2006/relationships/externalLink" Target="/xl/externalLinks/externalLink48.xml" Id="rId61" /><Relationship Type="http://schemas.openxmlformats.org/officeDocument/2006/relationships/externalLink" Target="/xl/externalLinks/externalLink49.xml" Id="rId62" /><Relationship Type="http://schemas.openxmlformats.org/officeDocument/2006/relationships/externalLink" Target="/xl/externalLinks/externalLink50.xml" Id="rId63" /><Relationship Type="http://schemas.openxmlformats.org/officeDocument/2006/relationships/externalLink" Target="/xl/externalLinks/externalLink51.xml" Id="rId64" /><Relationship Type="http://schemas.openxmlformats.org/officeDocument/2006/relationships/externalLink" Target="/xl/externalLinks/externalLink52.xml" Id="rId65" /><Relationship Type="http://schemas.openxmlformats.org/officeDocument/2006/relationships/externalLink" Target="/xl/externalLinks/externalLink53.xml" Id="rId66" /><Relationship Type="http://schemas.openxmlformats.org/officeDocument/2006/relationships/externalLink" Target="/xl/externalLinks/externalLink54.xml" Id="rId67" /><Relationship Type="http://schemas.openxmlformats.org/officeDocument/2006/relationships/externalLink" Target="/xl/externalLinks/externalLink55.xml" Id="rId68" /><Relationship Type="http://schemas.openxmlformats.org/officeDocument/2006/relationships/externalLink" Target="/xl/externalLinks/externalLink56.xml" Id="rId69" /><Relationship Type="http://schemas.openxmlformats.org/officeDocument/2006/relationships/externalLink" Target="/xl/externalLinks/externalLink57.xml" Id="rId70" /><Relationship Type="http://schemas.openxmlformats.org/officeDocument/2006/relationships/externalLink" Target="/xl/externalLinks/externalLink58.xml" Id="rId71" /><Relationship Type="http://schemas.openxmlformats.org/officeDocument/2006/relationships/externalLink" Target="/xl/externalLinks/externalLink59.xml" Id="rId72" /><Relationship Type="http://schemas.openxmlformats.org/officeDocument/2006/relationships/externalLink" Target="/xl/externalLinks/externalLink60.xml" Id="rId73" /><Relationship Type="http://schemas.openxmlformats.org/officeDocument/2006/relationships/externalLink" Target="/xl/externalLinks/externalLink61.xml" Id="rId74" /><Relationship Type="http://schemas.openxmlformats.org/officeDocument/2006/relationships/externalLink" Target="/xl/externalLinks/externalLink62.xml" Id="rId75" /><Relationship Type="http://schemas.openxmlformats.org/officeDocument/2006/relationships/externalLink" Target="/xl/externalLinks/externalLink63.xml" Id="rId76" /><Relationship Type="http://schemas.openxmlformats.org/officeDocument/2006/relationships/externalLink" Target="/xl/externalLinks/externalLink64.xml" Id="rId77" /><Relationship Type="http://schemas.openxmlformats.org/officeDocument/2006/relationships/externalLink" Target="/xl/externalLinks/externalLink65.xml" Id="rId78" /><Relationship Type="http://schemas.openxmlformats.org/officeDocument/2006/relationships/externalLink" Target="/xl/externalLinks/externalLink66.xml" Id="rId79" /><Relationship Type="http://schemas.openxmlformats.org/officeDocument/2006/relationships/externalLink" Target="/xl/externalLinks/externalLink67.xml" Id="rId80" /><Relationship Type="http://schemas.openxmlformats.org/officeDocument/2006/relationships/externalLink" Target="/xl/externalLinks/externalLink68.xml" Id="rId81" /><Relationship Type="http://schemas.openxmlformats.org/officeDocument/2006/relationships/externalLink" Target="/xl/externalLinks/externalLink69.xml" Id="rId82" /><Relationship Type="http://schemas.openxmlformats.org/officeDocument/2006/relationships/externalLink" Target="/xl/externalLinks/externalLink70.xml" Id="rId83" /><Relationship Type="http://schemas.openxmlformats.org/officeDocument/2006/relationships/externalLink" Target="/xl/externalLinks/externalLink71.xml" Id="rId84" /><Relationship Type="http://schemas.openxmlformats.org/officeDocument/2006/relationships/externalLink" Target="/xl/externalLinks/externalLink72.xml" Id="rId85" /><Relationship Type="http://schemas.openxmlformats.org/officeDocument/2006/relationships/externalLink" Target="/xl/externalLinks/externalLink73.xml" Id="rId86" /><Relationship Type="http://schemas.openxmlformats.org/officeDocument/2006/relationships/externalLink" Target="/xl/externalLinks/externalLink74.xml" Id="rId87" /><Relationship Type="http://schemas.openxmlformats.org/officeDocument/2006/relationships/externalLink" Target="/xl/externalLinks/externalLink75.xml" Id="rId88" /><Relationship Type="http://schemas.openxmlformats.org/officeDocument/2006/relationships/externalLink" Target="/xl/externalLinks/externalLink76.xml" Id="rId89" /><Relationship Type="http://schemas.openxmlformats.org/officeDocument/2006/relationships/externalLink" Target="/xl/externalLinks/externalLink77.xml" Id="rId90" /><Relationship Type="http://schemas.openxmlformats.org/officeDocument/2006/relationships/externalLink" Target="/xl/externalLinks/externalLink78.xml" Id="rId91" /><Relationship Type="http://schemas.openxmlformats.org/officeDocument/2006/relationships/externalLink" Target="/xl/externalLinks/externalLink79.xml" Id="rId92" /><Relationship Type="http://schemas.openxmlformats.org/officeDocument/2006/relationships/externalLink" Target="/xl/externalLinks/externalLink80.xml" Id="rId93" /><Relationship Type="http://schemas.openxmlformats.org/officeDocument/2006/relationships/externalLink" Target="/xl/externalLinks/externalLink81.xml" Id="rId94" /><Relationship Type="http://schemas.openxmlformats.org/officeDocument/2006/relationships/externalLink" Target="/xl/externalLinks/externalLink82.xml" Id="rId95" /><Relationship Type="http://schemas.openxmlformats.org/officeDocument/2006/relationships/externalLink" Target="/xl/externalLinks/externalLink83.xml" Id="rId96" /><Relationship Type="http://schemas.openxmlformats.org/officeDocument/2006/relationships/externalLink" Target="/xl/externalLinks/externalLink84.xml" Id="rId97" /><Relationship Type="http://schemas.openxmlformats.org/officeDocument/2006/relationships/externalLink" Target="/xl/externalLinks/externalLink85.xml" Id="rId98" /><Relationship Type="http://schemas.openxmlformats.org/officeDocument/2006/relationships/externalLink" Target="/xl/externalLinks/externalLink86.xml" Id="rId99" /><Relationship Type="http://schemas.openxmlformats.org/officeDocument/2006/relationships/externalLink" Target="/xl/externalLinks/externalLink87.xml" Id="rId100" /><Relationship Type="http://schemas.openxmlformats.org/officeDocument/2006/relationships/externalLink" Target="/xl/externalLinks/externalLink88.xml" Id="rId101" /><Relationship Type="http://schemas.openxmlformats.org/officeDocument/2006/relationships/externalLink" Target="/xl/externalLinks/externalLink89.xml" Id="rId102" /><Relationship Type="http://schemas.openxmlformats.org/officeDocument/2006/relationships/externalLink" Target="/xl/externalLinks/externalLink90.xml" Id="rId103" /><Relationship Type="http://schemas.openxmlformats.org/officeDocument/2006/relationships/externalLink" Target="/xl/externalLinks/externalLink91.xml" Id="rId104" /><Relationship Type="http://schemas.openxmlformats.org/officeDocument/2006/relationships/externalLink" Target="/xl/externalLinks/externalLink92.xml" Id="rId105" /><Relationship Type="http://schemas.openxmlformats.org/officeDocument/2006/relationships/externalLink" Target="/xl/externalLinks/externalLink93.xml" Id="rId106" /><Relationship Type="http://schemas.openxmlformats.org/officeDocument/2006/relationships/externalLink" Target="/xl/externalLinks/externalLink94.xml" Id="rId107" /><Relationship Type="http://schemas.openxmlformats.org/officeDocument/2006/relationships/externalLink" Target="/xl/externalLinks/externalLink95.xml" Id="rId108" /><Relationship Type="http://schemas.openxmlformats.org/officeDocument/2006/relationships/externalLink" Target="/xl/externalLinks/externalLink96.xml" Id="rId109" /><Relationship Type="http://schemas.openxmlformats.org/officeDocument/2006/relationships/externalLink" Target="/xl/externalLinks/externalLink97.xml" Id="rId110" /><Relationship Type="http://schemas.openxmlformats.org/officeDocument/2006/relationships/externalLink" Target="/xl/externalLinks/externalLink98.xml" Id="rId111" /><Relationship Type="http://schemas.openxmlformats.org/officeDocument/2006/relationships/externalLink" Target="/xl/externalLinks/externalLink99.xml" Id="rId112" /><Relationship Type="http://schemas.openxmlformats.org/officeDocument/2006/relationships/externalLink" Target="/xl/externalLinks/externalLink100.xml" Id="rId113" /><Relationship Type="http://schemas.openxmlformats.org/officeDocument/2006/relationships/externalLink" Target="/xl/externalLinks/externalLink101.xml" Id="rId114" /><Relationship Type="http://schemas.openxmlformats.org/officeDocument/2006/relationships/externalLink" Target="/xl/externalLinks/externalLink102.xml" Id="rId115" /><Relationship Type="http://schemas.openxmlformats.org/officeDocument/2006/relationships/externalLink" Target="/xl/externalLinks/externalLink103.xml" Id="rId116" /><Relationship Type="http://schemas.openxmlformats.org/officeDocument/2006/relationships/externalLink" Target="/xl/externalLinks/externalLink104.xml" Id="rId117" /><Relationship Type="http://schemas.openxmlformats.org/officeDocument/2006/relationships/externalLink" Target="/xl/externalLinks/externalLink105.xml" Id="rId118" /><Relationship Type="http://schemas.openxmlformats.org/officeDocument/2006/relationships/externalLink" Target="/xl/externalLinks/externalLink106.xml" Id="rId119" /><Relationship Type="http://schemas.openxmlformats.org/officeDocument/2006/relationships/externalLink" Target="/xl/externalLinks/externalLink107.xml" Id="rId120" /><Relationship Type="http://schemas.openxmlformats.org/officeDocument/2006/relationships/externalLink" Target="/xl/externalLinks/externalLink108.xml" Id="rId121" /><Relationship Type="http://schemas.openxmlformats.org/officeDocument/2006/relationships/externalLink" Target="/xl/externalLinks/externalLink109.xml" Id="rId122" /><Relationship Type="http://schemas.openxmlformats.org/officeDocument/2006/relationships/externalLink" Target="/xl/externalLinks/externalLink110.xml" Id="rId123" /><Relationship Type="http://schemas.openxmlformats.org/officeDocument/2006/relationships/externalLink" Target="/xl/externalLinks/externalLink111.xml" Id="rId124" /><Relationship Type="http://schemas.openxmlformats.org/officeDocument/2006/relationships/externalLink" Target="/xl/externalLinks/externalLink112.xml" Id="rId125" /><Relationship Type="http://schemas.openxmlformats.org/officeDocument/2006/relationships/externalLink" Target="/xl/externalLinks/externalLink113.xml" Id="rId126" /><Relationship Type="http://schemas.openxmlformats.org/officeDocument/2006/relationships/externalLink" Target="/xl/externalLinks/externalLink114.xml" Id="rId127" /><Relationship Type="http://schemas.openxmlformats.org/officeDocument/2006/relationships/externalLink" Target="/xl/externalLinks/externalLink115.xml" Id="rId128" /><Relationship Type="http://schemas.openxmlformats.org/officeDocument/2006/relationships/externalLink" Target="/xl/externalLinks/externalLink116.xml" Id="rId129" /><Relationship Type="http://schemas.openxmlformats.org/officeDocument/2006/relationships/externalLink" Target="/xl/externalLinks/externalLink117.xml" Id="rId130" /><Relationship Type="http://schemas.openxmlformats.org/officeDocument/2006/relationships/externalLink" Target="/xl/externalLinks/externalLink118.xml" Id="rId131" /><Relationship Type="http://schemas.openxmlformats.org/officeDocument/2006/relationships/externalLink" Target="/xl/externalLinks/externalLink119.xml" Id="rId132" /><Relationship Type="http://schemas.openxmlformats.org/officeDocument/2006/relationships/externalLink" Target="/xl/externalLinks/externalLink120.xml" Id="rId133" /><Relationship Type="http://schemas.openxmlformats.org/officeDocument/2006/relationships/externalLink" Target="/xl/externalLinks/externalLink121.xml" Id="rId134" /><Relationship Type="http://schemas.openxmlformats.org/officeDocument/2006/relationships/externalLink" Target="/xl/externalLinks/externalLink122.xml" Id="rId135" /><Relationship Type="http://schemas.openxmlformats.org/officeDocument/2006/relationships/externalLink" Target="/xl/externalLinks/externalLink123.xml" Id="rId136" /><Relationship Type="http://schemas.openxmlformats.org/officeDocument/2006/relationships/externalLink" Target="/xl/externalLinks/externalLink124.xml" Id="rId137" /><Relationship Type="http://schemas.openxmlformats.org/officeDocument/2006/relationships/externalLink" Target="/xl/externalLinks/externalLink125.xml" Id="rId138" /><Relationship Type="http://schemas.openxmlformats.org/officeDocument/2006/relationships/externalLink" Target="/xl/externalLinks/externalLink126.xml" Id="rId139" /><Relationship Type="http://schemas.openxmlformats.org/officeDocument/2006/relationships/externalLink" Target="/xl/externalLinks/externalLink127.xml" Id="rId140" /><Relationship Type="http://schemas.openxmlformats.org/officeDocument/2006/relationships/externalLink" Target="/xl/externalLinks/externalLink128.xml" Id="rId141" /><Relationship Type="http://schemas.openxmlformats.org/officeDocument/2006/relationships/externalLink" Target="/xl/externalLinks/externalLink129.xml" Id="rId142" /><Relationship Type="http://schemas.openxmlformats.org/officeDocument/2006/relationships/externalLink" Target="/xl/externalLinks/externalLink130.xml" Id="rId143" /><Relationship Type="http://schemas.openxmlformats.org/officeDocument/2006/relationships/externalLink" Target="/xl/externalLinks/externalLink131.xml" Id="rId144" /><Relationship Type="http://schemas.openxmlformats.org/officeDocument/2006/relationships/externalLink" Target="/xl/externalLinks/externalLink132.xml" Id="rId145" /><Relationship Type="http://schemas.openxmlformats.org/officeDocument/2006/relationships/externalLink" Target="/xl/externalLinks/externalLink133.xml" Id="rId146" /><Relationship Type="http://schemas.openxmlformats.org/officeDocument/2006/relationships/externalLink" Target="/xl/externalLinks/externalLink134.xml" Id="rId147" /><Relationship Type="http://schemas.openxmlformats.org/officeDocument/2006/relationships/externalLink" Target="/xl/externalLinks/externalLink135.xml" Id="rId148" /><Relationship Type="http://schemas.openxmlformats.org/officeDocument/2006/relationships/externalLink" Target="/xl/externalLinks/externalLink136.xml" Id="rId149" /><Relationship Type="http://schemas.openxmlformats.org/officeDocument/2006/relationships/externalLink" Target="/xl/externalLinks/externalLink137.xml" Id="rId150" /><Relationship Type="http://schemas.openxmlformats.org/officeDocument/2006/relationships/externalLink" Target="/xl/externalLinks/externalLink138.xml" Id="rId151" /><Relationship Type="http://schemas.openxmlformats.org/officeDocument/2006/relationships/externalLink" Target="/xl/externalLinks/externalLink139.xml" Id="rId152" /><Relationship Type="http://schemas.openxmlformats.org/officeDocument/2006/relationships/externalLink" Target="/xl/externalLinks/externalLink140.xml" Id="rId153" /><Relationship Type="http://schemas.openxmlformats.org/officeDocument/2006/relationships/externalLink" Target="/xl/externalLinks/externalLink141.xml" Id="rId154" /><Relationship Type="http://schemas.openxmlformats.org/officeDocument/2006/relationships/externalLink" Target="/xl/externalLinks/externalLink142.xml" Id="rId155" /><Relationship Type="http://schemas.openxmlformats.org/officeDocument/2006/relationships/externalLink" Target="/xl/externalLinks/externalLink143.xml" Id="rId156" /><Relationship Type="http://schemas.openxmlformats.org/officeDocument/2006/relationships/externalLink" Target="/xl/externalLinks/externalLink144.xml" Id="rId157" /><Relationship Type="http://schemas.openxmlformats.org/officeDocument/2006/relationships/externalLink" Target="/xl/externalLinks/externalLink145.xml" Id="rId158" /><Relationship Type="http://schemas.openxmlformats.org/officeDocument/2006/relationships/externalLink" Target="/xl/externalLinks/externalLink146.xml" Id="rId159" /><Relationship Type="http://schemas.openxmlformats.org/officeDocument/2006/relationships/externalLink" Target="/xl/externalLinks/externalLink147.xml" Id="rId160" /><Relationship Type="http://schemas.openxmlformats.org/officeDocument/2006/relationships/externalLink" Target="/xl/externalLinks/externalLink148.xml" Id="rId161" /><Relationship Type="http://schemas.openxmlformats.org/officeDocument/2006/relationships/externalLink" Target="/xl/externalLinks/externalLink149.xml" Id="rId162" /><Relationship Type="http://schemas.openxmlformats.org/officeDocument/2006/relationships/externalLink" Target="/xl/externalLinks/externalLink150.xml" Id="rId163" /><Relationship Type="http://schemas.openxmlformats.org/officeDocument/2006/relationships/externalLink" Target="/xl/externalLinks/externalLink151.xml" Id="rId164" /><Relationship Type="http://schemas.openxmlformats.org/officeDocument/2006/relationships/externalLink" Target="/xl/externalLinks/externalLink152.xml" Id="rId165" /><Relationship Type="http://schemas.openxmlformats.org/officeDocument/2006/relationships/externalLink" Target="/xl/externalLinks/externalLink153.xml" Id="rId166" /><Relationship Type="http://schemas.openxmlformats.org/officeDocument/2006/relationships/externalLink" Target="/xl/externalLinks/externalLink154.xml" Id="rId167" /><Relationship Type="http://schemas.openxmlformats.org/officeDocument/2006/relationships/externalLink" Target="/xl/externalLinks/externalLink155.xml" Id="rId168" /><Relationship Type="http://schemas.openxmlformats.org/officeDocument/2006/relationships/externalLink" Target="/xl/externalLinks/externalLink156.xml" Id="rId169" /><Relationship Type="http://schemas.openxmlformats.org/officeDocument/2006/relationships/externalLink" Target="/xl/externalLinks/externalLink157.xml" Id="rId170" /><Relationship Type="http://schemas.openxmlformats.org/officeDocument/2006/relationships/externalLink" Target="/xl/externalLinks/externalLink158.xml" Id="rId171" /><Relationship Type="http://schemas.openxmlformats.org/officeDocument/2006/relationships/externalLink" Target="/xl/externalLinks/externalLink159.xml" Id="rId172" /><Relationship Type="http://schemas.openxmlformats.org/officeDocument/2006/relationships/externalLink" Target="/xl/externalLinks/externalLink160.xml" Id="rId173" /><Relationship Type="http://schemas.openxmlformats.org/officeDocument/2006/relationships/externalLink" Target="/xl/externalLinks/externalLink161.xml" Id="rId174" /><Relationship Type="http://schemas.openxmlformats.org/officeDocument/2006/relationships/externalLink" Target="/xl/externalLinks/externalLink162.xml" Id="rId175" /><Relationship Type="http://schemas.openxmlformats.org/officeDocument/2006/relationships/externalLink" Target="/xl/externalLinks/externalLink163.xml" Id="rId176" /><Relationship Type="http://schemas.openxmlformats.org/officeDocument/2006/relationships/externalLink" Target="/xl/externalLinks/externalLink164.xml" Id="rId177" /><Relationship Type="http://schemas.openxmlformats.org/officeDocument/2006/relationships/externalLink" Target="/xl/externalLinks/externalLink165.xml" Id="rId178" /><Relationship Type="http://schemas.openxmlformats.org/officeDocument/2006/relationships/externalLink" Target="/xl/externalLinks/externalLink166.xml" Id="rId179" /><Relationship Type="http://schemas.openxmlformats.org/officeDocument/2006/relationships/externalLink" Target="/xl/externalLinks/externalLink167.xml" Id="rId180" /><Relationship Type="http://schemas.openxmlformats.org/officeDocument/2006/relationships/externalLink" Target="/xl/externalLinks/externalLink168.xml" Id="rId181" /><Relationship Type="http://schemas.openxmlformats.org/officeDocument/2006/relationships/externalLink" Target="/xl/externalLinks/externalLink169.xml" Id="rId182" /><Relationship Type="http://schemas.openxmlformats.org/officeDocument/2006/relationships/externalLink" Target="/xl/externalLinks/externalLink170.xml" Id="rId183" /><Relationship Type="http://schemas.openxmlformats.org/officeDocument/2006/relationships/externalLink" Target="/xl/externalLinks/externalLink171.xml" Id="rId184" /><Relationship Type="http://schemas.openxmlformats.org/officeDocument/2006/relationships/externalLink" Target="/xl/externalLinks/externalLink172.xml" Id="rId185" /><Relationship Type="http://schemas.openxmlformats.org/officeDocument/2006/relationships/externalLink" Target="/xl/externalLinks/externalLink173.xml" Id="rId186" /><Relationship Type="http://schemas.openxmlformats.org/officeDocument/2006/relationships/externalLink" Target="/xl/externalLinks/externalLink174.xml" Id="rId187" /><Relationship Type="http://schemas.openxmlformats.org/officeDocument/2006/relationships/externalLink" Target="/xl/externalLinks/externalLink175.xml" Id="rId188" /><Relationship Type="http://schemas.openxmlformats.org/officeDocument/2006/relationships/externalLink" Target="/xl/externalLinks/externalLink176.xml" Id="rId189" /><Relationship Type="http://schemas.openxmlformats.org/officeDocument/2006/relationships/externalLink" Target="/xl/externalLinks/externalLink177.xml" Id="rId190" /><Relationship Type="http://schemas.openxmlformats.org/officeDocument/2006/relationships/externalLink" Target="/xl/externalLinks/externalLink178.xml" Id="rId191" /><Relationship Type="http://schemas.openxmlformats.org/officeDocument/2006/relationships/externalLink" Target="/xl/externalLinks/externalLink179.xml" Id="rId192" /><Relationship Type="http://schemas.openxmlformats.org/officeDocument/2006/relationships/externalLink" Target="/xl/externalLinks/externalLink180.xml" Id="rId193" /><Relationship Type="http://schemas.openxmlformats.org/officeDocument/2006/relationships/externalLink" Target="/xl/externalLinks/externalLink181.xml" Id="rId194" /><Relationship Type="http://schemas.openxmlformats.org/officeDocument/2006/relationships/externalLink" Target="/xl/externalLinks/externalLink182.xml" Id="rId195" /><Relationship Type="http://schemas.openxmlformats.org/officeDocument/2006/relationships/externalLink" Target="/xl/externalLinks/externalLink183.xml" Id="rId196" /><Relationship Type="http://schemas.openxmlformats.org/officeDocument/2006/relationships/externalLink" Target="/xl/externalLinks/externalLink184.xml" Id="rId197" /><Relationship Type="http://schemas.openxmlformats.org/officeDocument/2006/relationships/externalLink" Target="/xl/externalLinks/externalLink185.xml" Id="rId198" /><Relationship Type="http://schemas.openxmlformats.org/officeDocument/2006/relationships/externalLink" Target="/xl/externalLinks/externalLink186.xml" Id="rId199" /><Relationship Type="http://schemas.openxmlformats.org/officeDocument/2006/relationships/externalLink" Target="/xl/externalLinks/externalLink187.xml" Id="rId200" /><Relationship Type="http://schemas.openxmlformats.org/officeDocument/2006/relationships/externalLink" Target="/xl/externalLinks/externalLink188.xml" Id="rId201" /><Relationship Type="http://schemas.openxmlformats.org/officeDocument/2006/relationships/externalLink" Target="/xl/externalLinks/externalLink189.xml" Id="rId202" /><Relationship Type="http://schemas.openxmlformats.org/officeDocument/2006/relationships/externalLink" Target="/xl/externalLinks/externalLink190.xml" Id="rId203" /><Relationship Type="http://schemas.openxmlformats.org/officeDocument/2006/relationships/externalLink" Target="/xl/externalLinks/externalLink191.xml" Id="rId204" /><Relationship Type="http://schemas.openxmlformats.org/officeDocument/2006/relationships/externalLink" Target="/xl/externalLinks/externalLink192.xml" Id="rId205" /><Relationship Type="http://schemas.openxmlformats.org/officeDocument/2006/relationships/externalLink" Target="/xl/externalLinks/externalLink193.xml" Id="rId206" /><Relationship Type="http://schemas.openxmlformats.org/officeDocument/2006/relationships/externalLink" Target="/xl/externalLinks/externalLink194.xml" Id="rId207" /><Relationship Type="http://schemas.openxmlformats.org/officeDocument/2006/relationships/styles" Target="styles.xml" Id="rId208" /><Relationship Type="http://schemas.openxmlformats.org/officeDocument/2006/relationships/theme" Target="theme/theme1.xml" Id="rId209" /><Relationship Type="http://schemas.microsoft.com/office/2006/relationships/vbaProject" Target="vbaProject.bin" Id="rId210" /></Relationships>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jpeg" Id="rId1" /><Relationship Type="http://schemas.openxmlformats.org/officeDocument/2006/relationships/image" Target="/xl/media/image2.jpeg" Id="rId2" /><Relationship Type="http://schemas.openxmlformats.org/officeDocument/2006/relationships/image" Target="/xl/media/image3.jpeg" Id="rId3" /><Relationship Type="http://schemas.openxmlformats.org/officeDocument/2006/relationships/image" Target="/xl/media/image4.jpeg" Id="rId4" /><Relationship Type="http://schemas.openxmlformats.org/officeDocument/2006/relationships/image" Target="/xl/media/image5.jpeg" Id="rId5" /><Relationship Type="http://schemas.openxmlformats.org/officeDocument/2006/relationships/image" Target="/xl/media/image6.jpeg" Id="rId6" /><Relationship Type="http://schemas.openxmlformats.org/officeDocument/2006/relationships/image" Target="/xl/media/image7.jpeg" Id="rId7" /></Relationships>
</file>

<file path=xl/drawings/_rels/drawing2.xml.rels><Relationships xmlns="http://schemas.openxmlformats.org/package/2006/relationships"><Relationship Type="http://schemas.openxmlformats.org/officeDocument/2006/relationships/image" Target="/xl/media/image8.png" Id="rId1" /><Relationship Type="http://schemas.openxmlformats.org/officeDocument/2006/relationships/image" Target="/xl/media/image9.png" Id="rId2" /></Relationships>
</file>

<file path=xl/drawings/_rels/drawing3.xml.rels><Relationships xmlns="http://schemas.openxmlformats.org/package/2006/relationships"><Relationship Type="http://schemas.openxmlformats.org/officeDocument/2006/relationships/image" Target="/xl/media/image10.jpeg" Id="rId1" /></Relationships>
</file>

<file path=xl/drawings/_rels/drawing4.xml.rels><Relationships xmlns="http://schemas.openxmlformats.org/package/2006/relationships"><Relationship Type="http://schemas.openxmlformats.org/officeDocument/2006/relationships/image" Target="/xl/media/image11.png" Id="rId1" /></Relationships>
</file>

<file path=xl/drawings/_rels/drawing5.xml.rels><Relationships xmlns="http://schemas.openxmlformats.org/package/2006/relationships"><Relationship Type="http://schemas.openxmlformats.org/officeDocument/2006/relationships/image" Target="/xl/media/image12.jpeg" Id="rId1" /><Relationship Type="http://schemas.openxmlformats.org/officeDocument/2006/relationships/image" Target="/xl/media/image13.png" Id="rId2" /><Relationship Type="http://schemas.openxmlformats.org/officeDocument/2006/relationships/image" Target="/xl/media/image14.png" Id="rId3" /></Relationships>
</file>

<file path=xl/drawings/_rels/drawing6.xml.rels><Relationships xmlns="http://schemas.openxmlformats.org/package/2006/relationships"><Relationship Type="http://schemas.openxmlformats.org/officeDocument/2006/relationships/image" Target="/xl/media/image15.png" Id="rId1" /><Relationship Type="http://schemas.openxmlformats.org/officeDocument/2006/relationships/image" Target="/xl/media/image16.png" Id="rId2" /></Relationships>
</file>

<file path=xl/drawings/_rels/drawing7.xml.rels><Relationships xmlns="http://schemas.openxmlformats.org/package/2006/relationships"><Relationship Type="http://schemas.openxmlformats.org/officeDocument/2006/relationships/image" Target="/xl/media/image17.png" Id="rId1" /><Relationship Type="http://schemas.openxmlformats.org/officeDocument/2006/relationships/image" Target="/xl/media/image18.png" Id="rId2" /></Relationships>
</file>

<file path=xl/drawings/_rels/drawing8.xml.rels><Relationships xmlns="http://schemas.openxmlformats.org/package/2006/relationships"><Relationship Type="http://schemas.openxmlformats.org/officeDocument/2006/relationships/image" Target="/xl/media/image19.jpeg" Id="rId1" /><Relationship Type="http://schemas.openxmlformats.org/officeDocument/2006/relationships/image" Target="/xl/media/image20.png" Id="rId2" /></Relationships>
</file>

<file path=xl/drawings/_rels/drawing9.xml.rels><Relationships xmlns="http://schemas.openxmlformats.org/package/2006/relationships"><Relationship Type="http://schemas.openxmlformats.org/officeDocument/2006/relationships/image" Target="/xl/media/image21.png" Id="rId1" /><Relationship Type="http://schemas.openxmlformats.org/officeDocument/2006/relationships/image" Target="/xl/media/image22.png" Id="rId2" /><Relationship Type="http://schemas.openxmlformats.org/officeDocument/2006/relationships/image" Target="/xl/media/image23.png" Id="rId3" /><Relationship Type="http://schemas.openxmlformats.org/officeDocument/2006/relationships/image" Target="/xl/media/image24.png" Id="rId4" /><Relationship Type="http://schemas.openxmlformats.org/officeDocument/2006/relationships/image" Target="/xl/media/image25.png" Id="rId5" /><Relationship Type="http://schemas.openxmlformats.org/officeDocument/2006/relationships/image" Target="/xl/media/image26.png" Id="rId6" /><Relationship Type="http://schemas.openxmlformats.org/officeDocument/2006/relationships/image" Target="/xl/media/image27.png" Id="rId7"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6</col>
      <colOff>1182240</colOff>
      <row>6</row>
      <rowOff>147960</rowOff>
    </from>
    <to>
      <col>6</col>
      <colOff>2264040</colOff>
      <row>6</row>
      <rowOff>549000</rowOff>
    </to>
    <pic>
      <nvPicPr>
        <cNvPr id="1" name="Picture 1"/>
        <cNvPicPr/>
      </nvPicPr>
      <blipFill>
        <a:blip r:embed="rId1"/>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2" name="Picture 2"/>
        <cNvPicPr/>
      </nvPicPr>
      <blipFill>
        <a:blip r:embed="rId2"/>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3" name="Picture 3"/>
        <cNvPicPr/>
      </nvPicPr>
      <blipFill>
        <a:blip r:embed="rId3"/>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4" name="Picture 4"/>
        <cNvPicPr/>
      </nvPicPr>
      <blipFill>
        <a:blip r:embed="rId4"/>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5" name="Picture 5"/>
        <cNvPicPr/>
      </nvPicPr>
      <blipFill>
        <a:blip r:embed="rId5"/>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6" name="Picture 7"/>
        <cNvPicPr/>
      </nvPicPr>
      <blipFill>
        <a:blip r:embed="rId6"/>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7" name="Picture 6"/>
        <cNvPicPr/>
      </nvPicPr>
      <blipFill>
        <a:blip r:embed="rId7"/>
        <a:stretch>
          <a:fillRect/>
        </a:stretch>
      </blipFill>
      <spPr>
        <a:xfrm>
          <a:off x="11334600" y="1576800"/>
          <a:ext cx="1081800" cy="401040"/>
        </a:xfrm>
        <a:prstGeom prst="rect">
          <avLst/>
        </a:prstGeom>
        <a:noFill/>
        <a:ln w="0">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twoCell">
    <from>
      <col>0</col>
      <colOff>0</colOff>
      <row>0</row>
      <rowOff>163080</rowOff>
    </from>
    <to>
      <col>2</col>
      <colOff>124200</colOff>
      <row>0</row>
      <rowOff>700200</rowOff>
    </to>
    <pic>
      <nvPicPr>
        <cNvPr id="8" name="Picture 1"/>
        <cNvPicPr/>
      </nvPicPr>
      <blipFill>
        <a:blip r:embed="rId1"/>
        <a:srcRect l="13234" t="33457" r="19440" b="30041"/>
        <a:stretch>
          <a:fillRect/>
        </a:stretch>
      </blipFill>
      <spPr>
        <a:xfrm>
          <a:off x="0" y="163080"/>
          <a:ext cx="888840" cy="537120"/>
        </a:xfrm>
        <a:prstGeom prst="rect">
          <avLst/>
        </a:prstGeom>
        <a:noFill/>
        <a:ln w="0">
          <a:noFill/>
          <a:prstDash val="solid"/>
        </a:ln>
      </spPr>
    </pic>
    <clientData/>
  </twoCellAnchor>
  <twoCellAnchor editAs="oneCell">
    <from>
      <col>18</col>
      <colOff>312480</colOff>
      <row>0</row>
      <rowOff>45720</rowOff>
    </from>
    <to>
      <col>18</col>
      <colOff>1721880</colOff>
      <row>0</row>
      <rowOff>639000</rowOff>
    </to>
    <pic>
      <nvPicPr>
        <cNvPr id="9" name="Picture 3"/>
        <cNvPicPr/>
      </nvPicPr>
      <blipFill>
        <a:blip r:embed="rId2"/>
        <a:stretch>
          <a:fillRect/>
        </a:stretch>
      </blipFill>
      <spPr>
        <a:xfrm>
          <a:off x="10127160" y="45720"/>
          <a:ext cx="1409400" cy="593280"/>
        </a:xfrm>
        <a:prstGeom prst="rect">
          <avLst/>
        </a:prstGeom>
        <a:noFill/>
        <a:ln w="0">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35280</colOff>
      <row>0</row>
      <rowOff>46800</rowOff>
    </from>
    <to>
      <col>2</col>
      <colOff>743760</colOff>
      <row>0</row>
      <rowOff>748800</rowOff>
    </to>
    <pic>
      <nvPicPr>
        <cNvPr id="10" name="Picture 1"/>
        <cNvPicPr/>
      </nvPicPr>
      <blipFill>
        <a:blip r:embed="rId1"/>
        <a:stretch>
          <a:fillRect/>
        </a:stretch>
      </blipFill>
      <spPr>
        <a:xfrm>
          <a:off x="35280" y="46800"/>
          <a:ext cx="1837440" cy="702000"/>
        </a:xfrm>
        <a:prstGeom prst="rect">
          <avLst/>
        </a:prstGeom>
        <a:noFill/>
        <a:ln w="0">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8</col>
      <colOff>200160</colOff>
      <row>1</row>
      <rowOff>9360</rowOff>
    </from>
    <to>
      <col>8</col>
      <colOff>1002960</colOff>
      <row>6</row>
      <rowOff>178920</rowOff>
    </to>
    <pic>
      <nvPicPr>
        <cNvPr id="11" name="Picture 1"/>
        <cNvPicPr/>
      </nvPicPr>
      <blipFill>
        <a:blip r:embed="rId1"/>
        <a:stretch>
          <a:fillRect/>
        </a:stretch>
      </blipFill>
      <spPr>
        <a:xfrm>
          <a:off x="13295160" y="66600"/>
          <a:ext cx="802800" cy="1112400"/>
        </a:xfrm>
        <a:prstGeom prst="rect">
          <avLst/>
        </a:prstGeom>
        <a:noFill/>
        <a:ln w="0">
          <a:noFill/>
          <a:prstDash val="soli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9</col>
      <colOff>310320</colOff>
      <row>3</row>
      <rowOff>474840</rowOff>
    </from>
    <to>
      <col>12</col>
      <colOff>782640</colOff>
      <row>11</row>
      <rowOff>54360</rowOff>
    </to>
    <pic>
      <nvPicPr>
        <cNvPr id="12" name="Picture 3"/>
        <cNvPicPr/>
      </nvPicPr>
      <blipFill>
        <a:blip r:embed="rId1"/>
        <a:stretch>
          <a:fillRect/>
        </a:stretch>
      </blipFill>
      <spPr>
        <a:xfrm>
          <a:off x="10098360" y="1779840"/>
          <a:ext cx="3512520" cy="1656000"/>
        </a:xfrm>
        <a:prstGeom prst="rect">
          <avLst/>
        </a:prstGeom>
        <a:noFill/>
        <a:ln w="0">
          <a:noFill/>
          <a:prstDash val="solid"/>
        </a:ln>
      </spPr>
    </pic>
    <clientData/>
  </twoCellAnchor>
  <twoCellAnchor editAs="oneCell">
    <from>
      <col>0</col>
      <colOff>360360</colOff>
      <row>0</row>
      <rowOff>79200</rowOff>
    </from>
    <to>
      <col>0</col>
      <colOff>1074240</colOff>
      <row>0</row>
      <rowOff>613440</rowOff>
    </to>
    <pic>
      <nvPicPr>
        <cNvPr id="13" name="Picture 3"/>
        <cNvPicPr/>
      </nvPicPr>
      <blipFill>
        <a:blip r:embed="rId2"/>
        <a:srcRect l="13395" t="33204" r="19440" b="30928"/>
        <a:stretch>
          <a:fillRect/>
        </a:stretch>
      </blipFill>
      <spPr>
        <a:xfrm>
          <a:off x="360360" y="79200"/>
          <a:ext cx="713880" cy="534240"/>
        </a:xfrm>
        <a:prstGeom prst="rect">
          <avLst/>
        </a:prstGeom>
        <a:noFill/>
        <a:ln w="0">
          <a:noFill/>
          <a:prstDash val="solid"/>
        </a:ln>
      </spPr>
    </pic>
    <clientData/>
  </twoCellAnchor>
  <twoCellAnchor editAs="oneCell">
    <from>
      <col>11</col>
      <colOff>507960</colOff>
      <row>0</row>
      <rowOff>21240</rowOff>
    </from>
    <to>
      <col>12</col>
      <colOff>118440</colOff>
      <row>0</row>
      <rowOff>747360</rowOff>
    </to>
    <pic>
      <nvPicPr>
        <cNvPr id="14" name="Picture 4"/>
        <cNvPicPr/>
      </nvPicPr>
      <blipFill>
        <a:blip r:embed="rId3"/>
        <a:stretch>
          <a:fillRect/>
        </a:stretch>
      </blipFill>
      <spPr>
        <a:xfrm>
          <a:off x="12322800" y="21240"/>
          <a:ext cx="623880" cy="726120"/>
        </a:xfrm>
        <a:prstGeom prst="rect">
          <avLst/>
        </a:prstGeom>
        <a:noFill/>
        <a:ln w="0">
          <a:noFill/>
          <a:prstDash val="soli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38</col>
      <colOff>219240</colOff>
      <row>1</row>
      <rowOff>27000</rowOff>
    </from>
    <to>
      <col>40</col>
      <colOff>573480</colOff>
      <row>5</row>
      <rowOff>215280</rowOff>
    </to>
    <pic>
      <nvPicPr>
        <cNvPr id="15" name="Picture 1"/>
        <cNvPicPr/>
      </nvPicPr>
      <blipFill>
        <a:blip r:embed="rId1"/>
        <a:stretch>
          <a:fillRect/>
        </a:stretch>
      </blipFill>
      <spPr>
        <a:xfrm>
          <a:off x="14754240" y="112680"/>
          <a:ext cx="923400" cy="1074240"/>
        </a:xfrm>
        <a:prstGeom prst="rect">
          <avLst/>
        </a:prstGeom>
        <a:noFill/>
        <a:ln w="0">
          <a:noFill/>
          <a:prstDash val="solid"/>
        </a:ln>
      </spPr>
    </pic>
    <clientData/>
  </twoCellAnchor>
  <twoCellAnchor editAs="oneCell">
    <from>
      <col>1</col>
      <colOff>200160</colOff>
      <row>1</row>
      <rowOff>0</rowOff>
    </from>
    <to>
      <col>1</col>
      <colOff>1628640</colOff>
      <row>5</row>
      <rowOff>158400</rowOff>
    </to>
    <pic>
      <nvPicPr>
        <cNvPr id="16" name="Graphic 2"/>
        <cNvPicPr/>
      </nvPicPr>
      <blipFill>
        <a:blip r:embed="rId2"/>
        <a:stretch>
          <a:fillRect/>
        </a:stretch>
      </blipFill>
      <spPr>
        <a:xfrm>
          <a:off x="333360" y="85680"/>
          <a:ext cx="1428480" cy="1044360"/>
        </a:xfrm>
        <a:prstGeom prst="rect">
          <avLst/>
        </a:prstGeom>
        <a:noFill/>
        <a:ln w="0">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twoCell">
    <from>
      <col>0</col>
      <colOff>273600</colOff>
      <row>0</row>
      <rowOff>59040</rowOff>
    </from>
    <to>
      <col>1</col>
      <colOff>263520</colOff>
      <row>0</row>
      <rowOff>538920</rowOff>
    </to>
    <pic>
      <nvPicPr>
        <cNvPr id="17" name="Picture 2"/>
        <cNvPicPr/>
      </nvPicPr>
      <blipFill>
        <a:blip r:embed="rId1"/>
        <a:srcRect l="13234" t="33457" r="19440" b="30041"/>
        <a:stretch>
          <a:fillRect/>
        </a:stretch>
      </blipFill>
      <spPr>
        <a:xfrm>
          <a:off x="273600" y="59040"/>
          <a:ext cx="677520" cy="479880"/>
        </a:xfrm>
        <a:prstGeom prst="rect">
          <avLst/>
        </a:prstGeom>
        <a:noFill/>
        <a:ln w="0">
          <a:noFill/>
          <a:prstDash val="solid"/>
        </a:ln>
      </spPr>
    </pic>
    <clientData/>
  </twoCellAnchor>
  <twoCellAnchor editAs="oneCell">
    <from>
      <col>9</col>
      <colOff>360720</colOff>
      <row>0</row>
      <rowOff>23400</rowOff>
    </from>
    <to>
      <col>10</col>
      <colOff>81000</colOff>
      <row>0</row>
      <rowOff>556560</rowOff>
    </to>
    <pic>
      <nvPicPr>
        <cNvPr id="18" name="Picture 3"/>
        <cNvPicPr/>
      </nvPicPr>
      <blipFill>
        <a:blip r:embed="rId2"/>
        <a:stretch>
          <a:fillRect/>
        </a:stretch>
      </blipFill>
      <spPr>
        <a:xfrm>
          <a:off x="7745760" y="23400"/>
          <a:ext cx="458280" cy="533160"/>
        </a:xfrm>
        <a:prstGeom prst="rect">
          <avLst/>
        </a:prstGeom>
        <a:noFill/>
        <a:ln w="0">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twoCell">
    <from>
      <col>0</col>
      <colOff>135000</colOff>
      <row>1</row>
      <rowOff>139680</rowOff>
    </from>
    <to>
      <col>2</col>
      <colOff>423000</colOff>
      <row>8</row>
      <rowOff>70200</rowOff>
    </to>
    <pic>
      <nvPicPr>
        <cNvPr id="19" name="Picture 1" descr="ADNOC_206bac93-7ae2-4997-9240-58189f455a65"/>
        <cNvPicPr/>
      </nvPicPr>
      <blipFill>
        <a:blip r:embed="rId1"/>
        <a:stretch>
          <a:fillRect/>
        </a:stretch>
      </blipFill>
      <spPr>
        <a:xfrm>
          <a:off x="135000" y="301680"/>
          <a:ext cx="1390320" cy="1149480"/>
        </a:xfrm>
        <a:prstGeom prst="rect">
          <avLst/>
        </a:prstGeom>
        <a:noFill/>
        <a:ln w="0">
          <a:noFill/>
          <a:prstDash val="solid"/>
        </a:ln>
      </spPr>
    </pic>
    <clientData/>
  </twoCellAnchor>
  <twoCellAnchor editAs="oneCell">
    <from>
      <col>9</col>
      <colOff>899640</colOff>
      <row>1</row>
      <rowOff>149760</rowOff>
    </from>
    <to>
      <col>12</col>
      <colOff>561240</colOff>
      <row>8</row>
      <rowOff>65160</rowOff>
    </to>
    <pic>
      <nvPicPr>
        <cNvPr id="20" name="Picture 2"/>
        <cNvPicPr/>
      </nvPicPr>
      <blipFill>
        <a:blip r:embed="rId2"/>
        <a:stretch>
          <a:fillRect/>
        </a:stretch>
      </blipFill>
      <spPr>
        <a:xfrm>
          <a:off x="8154000" y="311760"/>
          <a:ext cx="2755080" cy="1134360"/>
        </a:xfrm>
        <a:prstGeom prst="rect">
          <avLst/>
        </a:prstGeom>
        <a:noFill/>
        <a:ln w="0">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twoCell">
    <from>
      <col>0</col>
      <colOff>641520</colOff>
      <row>0</row>
      <rowOff>114480</rowOff>
    </from>
    <to>
      <col>0</col>
      <colOff>2346480</colOff>
      <row>0</row>
      <rowOff>355320</rowOff>
    </to>
    <pic>
      <nvPicPr>
        <cNvPr id="21" name="Picture 2"/>
        <cNvPicPr/>
      </nvPicPr>
      <blipFill>
        <a:blip r:embed="rId1"/>
        <a:srcRect l="13217" t="33481" r="19451" b="30039"/>
        <a:stretch>
          <a:fillRect/>
        </a:stretch>
      </blipFill>
      <spPr>
        <a:xfrm>
          <a:off x="641520" y="114480"/>
          <a:ext cx="1704960" cy="240840"/>
        </a:xfrm>
        <a:prstGeom prst="rect">
          <avLst/>
        </a:prstGeom>
        <a:noFill/>
        <a:ln w="0">
          <a:noFill/>
          <a:prstDash val="solid"/>
        </a:ln>
      </spPr>
    </pic>
    <clientData/>
  </twoCellAnchor>
  <twoCellAnchor editAs="oneCell">
    <from>
      <col>8</col>
      <colOff>1500840</colOff>
      <row>411</row>
      <rowOff>482760</rowOff>
    </from>
    <to>
      <col>9</col>
      <colOff>906120</colOff>
      <row>411</row>
      <rowOff>1396800</rowOff>
    </to>
    <pic>
      <nvPicPr>
        <cNvPr id="22" name="Graphic 2" descr="Bar graph with downward trend with solid fill"/>
        <cNvPicPr/>
      </nvPicPr>
      <blipFill>
        <a:blip r:embed="rId2"/>
        <a:stretch>
          <a:fillRect/>
        </a:stretch>
      </blipFill>
      <spPr>
        <a:xfrm>
          <a:off x="24223680" y="268525800"/>
          <a:ext cx="907560" cy="914040"/>
        </a:xfrm>
        <a:prstGeom prst="rect">
          <avLst/>
        </a:prstGeom>
        <a:noFill/>
        <a:ln w="0">
          <a:noFill/>
          <a:prstDash val="solid"/>
        </a:ln>
      </spPr>
    </pic>
    <clientData/>
  </twoCellAnchor>
  <twoCellAnchor editAs="oneCell">
    <from>
      <col>8</col>
      <colOff>1371600</colOff>
      <row>408</row>
      <rowOff>294480</rowOff>
    </from>
    <to>
      <col>9</col>
      <colOff>776880</colOff>
      <row>408</row>
      <rowOff>1208520</rowOff>
    </to>
    <pic>
      <nvPicPr>
        <cNvPr id="23" name="Graphic 3" descr="Bar graph with upward trend with solid fill"/>
        <cNvPicPr/>
      </nvPicPr>
      <blipFill>
        <a:blip r:embed="rId3"/>
        <a:stretch>
          <a:fillRect/>
        </a:stretch>
      </blipFill>
      <spPr>
        <a:xfrm>
          <a:off x="24094440" y="261346320"/>
          <a:ext cx="907560" cy="914040"/>
        </a:xfrm>
        <a:prstGeom prst="rect">
          <avLst/>
        </a:prstGeom>
        <a:noFill/>
        <a:ln w="0">
          <a:noFill/>
          <a:prstDash val="solid"/>
        </a:ln>
      </spPr>
    </pic>
    <clientData/>
  </twoCellAnchor>
  <twoCellAnchor editAs="oneCell">
    <from>
      <col>8</col>
      <colOff>1500840</colOff>
      <row>409</row>
      <rowOff>871560</rowOff>
    </from>
    <to>
      <col>9</col>
      <colOff>906120</colOff>
      <row>409</row>
      <rowOff>1779120</rowOff>
    </to>
    <pic>
      <nvPicPr>
        <cNvPr id="24" name="Graphic 4" descr="Baseball with solid fill"/>
        <cNvPicPr/>
      </nvPicPr>
      <blipFill>
        <a:blip r:embed="rId4"/>
        <a:stretch>
          <a:fillRect/>
        </a:stretch>
      </blipFill>
      <spPr>
        <a:xfrm>
          <a:off x="24223680" y="263561400"/>
          <a:ext cx="907560" cy="907560"/>
        </a:xfrm>
        <a:prstGeom prst="rect">
          <avLst/>
        </a:prstGeom>
        <a:noFill/>
        <a:ln w="0">
          <a:noFill/>
          <a:prstDash val="solid"/>
        </a:ln>
      </spPr>
    </pic>
    <clientData/>
  </twoCellAnchor>
  <twoCellAnchor editAs="oneCell">
    <from>
      <col>8</col>
      <colOff>1500840</colOff>
      <row>410</row>
      <rowOff>871560</rowOff>
    </from>
    <to>
      <col>9</col>
      <colOff>912600</colOff>
      <row>410</row>
      <rowOff>1785600</rowOff>
    </to>
    <pic>
      <nvPicPr>
        <cNvPr id="25" name="Graphic 5" descr="Baseball with solid fill"/>
        <cNvPicPr/>
      </nvPicPr>
      <blipFill>
        <a:blip r:embed="rId5"/>
        <a:stretch>
          <a:fillRect/>
        </a:stretch>
      </blipFill>
      <spPr>
        <a:xfrm>
          <a:off x="24223680" y="266095080"/>
          <a:ext cx="914040" cy="914040"/>
        </a:xfrm>
        <a:prstGeom prst="rect">
          <avLst/>
        </a:prstGeom>
        <a:noFill/>
        <a:ln w="0">
          <a:noFill/>
          <a:prstDash val="solid"/>
        </a:ln>
      </spPr>
    </pic>
    <clientData/>
  </twoCellAnchor>
  <twoCellAnchor editAs="oneCell">
    <from>
      <col>8</col>
      <colOff>1500840</colOff>
      <row>412</row>
      <rowOff>871560</rowOff>
    </from>
    <to>
      <col>9</col>
      <colOff>912600</colOff>
      <row>412</row>
      <rowOff>1785600</rowOff>
    </to>
    <pic>
      <nvPicPr>
        <cNvPr id="26" name="Graphic 6" descr="Baseball with solid fill"/>
        <cNvPicPr/>
      </nvPicPr>
      <blipFill>
        <a:blip r:embed="rId6"/>
        <a:stretch>
          <a:fillRect/>
        </a:stretch>
      </blipFill>
      <spPr>
        <a:xfrm>
          <a:off x="24223680" y="271381680"/>
          <a:ext cx="914040" cy="914040"/>
        </a:xfrm>
        <a:prstGeom prst="rect">
          <avLst/>
        </a:prstGeom>
        <a:noFill/>
        <a:ln w="0">
          <a:noFill/>
          <a:prstDash val="solid"/>
        </a:ln>
      </spPr>
    </pic>
    <clientData/>
  </twoCellAnchor>
  <twoCellAnchor editAs="oneCell">
    <from>
      <col>8</col>
      <colOff>1500840</colOff>
      <row>413</row>
      <rowOff>0</rowOff>
    </from>
    <to>
      <col>9</col>
      <colOff>912600</colOff>
      <row>414</row>
      <rowOff>409320</rowOff>
    </to>
    <pic>
      <nvPicPr>
        <cNvPr id="27" name="Graphic 7" descr="Baseball with solid fill"/>
        <cNvPicPr/>
      </nvPicPr>
      <blipFill>
        <a:blip r:embed="rId7"/>
        <a:stretch>
          <a:fillRect/>
        </a:stretch>
      </blipFill>
      <spPr>
        <a:xfrm>
          <a:off x="24223680" y="272586600"/>
          <a:ext cx="914040" cy="914040"/>
        </a:xfrm>
        <a:prstGeom prst="rect">
          <avLst/>
        </a:prstGeom>
        <a:noFill/>
        <a:ln w="0">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ADCO/Avinash/Larut/Larut%20A-09/Single%20Blank.xls" TargetMode="External" Id="rId1" /></Relationships>
</file>

<file path=xl/externalLinks/_rels/externalLink2.xml.rels><Relationships xmlns="http://schemas.openxmlformats.org/package/2006/relationships"><Relationship Type="http://schemas.openxmlformats.org/officeDocument/2006/relationships/externalLinkPath" Target="../../../../../D:/Documents%20-%20Compls/002%20-%20Current%20Well%20Files/ZA-14AB/Wellbore%20Schematics/ZA-14AB%20ST%20Completion%20-%20Stimulation%20Workbook.xlsm" TargetMode="External" Id="rId1" /></Relationships>
</file>

<file path=xl/externalLinks/_rels/externalLink3.xml.rels><Relationships xmlns="http://schemas.openxmlformats.org/package/2006/relationships"><Relationship Type="http://schemas.openxmlformats.org/officeDocument/2006/relationships/externalLinkPath" Target="../../../../../teams/ONSDRDAS/Shared%20Documents/Drilling%20Services/Equipment%20Team/Automated%20Allocation%20and%20Forecast%20Project/Auto-Allocation%20Project-%20with%20Macros.xlsm" TargetMode="External" Id="rId1" /></Relationships>
</file>

<file path=xl/externalLinks/_rels/externalLink4.xml.rels><Relationships xmlns="http://schemas.openxmlformats.org/package/2006/relationships"><Relationship Type="http://schemas.openxmlformats.org/officeDocument/2006/relationships/externalLinkPath" Target="../../../../../F:/Data/Excel/Dabbeiya/Cls-E/Objective%20Sheet/One%20Page%20Obj.xls" TargetMode="External" Id="rId1" /></Relationships>
</file>

<file path=xl/externalLinks/_rels/externalLink5.xml.rels><Relationships xmlns="http://schemas.openxmlformats.org/package/2006/relationships"><Relationship Type="http://schemas.openxmlformats.org/officeDocument/2006/relationships/externalLinkPath" Target="file://8A5D00D5/Worksheet%20in%20Worksheet%20Scrap%20'WELL%20TREATMENT%20R...'" TargetMode="External" Id="rId1" /></Relationships>
</file>

<file path=xl/externalLinks/_rels/externalLink6.xml.rels><Relationships xmlns="http://schemas.openxmlformats.org/package/2006/relationships"><Relationship Type="http://schemas.openxmlformats.org/officeDocument/2006/relationships/externalLinkPath" Target="https://emdadllc-my.sharepoint.com/Users/Admin/Documents/WHIP%20%20%20IRAN/Removable%20Disk/REPORTS/WHIPSTOCK%20REPORT%20V05.xls" TargetMode="External" Id="rId1" /></Relationships>
</file>

<file path=xl/externalLinks/_rels/externalLink7.xml.rels><Relationships xmlns="http://schemas.openxmlformats.org/package/2006/relationships"><Relationship Type="http://schemas.openxmlformats.org/officeDocument/2006/relationships/externalLinkPath" Target="../../../../../D:/Users/ext-ISharan/OneDrive%20-%20Wellbore%20Integrity%20Solutions/Desktop/AboDhabi%20jobs/AD-61--BB1074/WELL%20JOB%20LOG%20(1).xlsm" TargetMode="External" Id="rId1" /></Relationships>
</file>

<file path=xl/externalLinks/_rels/externalLink8.xml.rels><Relationships xmlns="http://schemas.openxmlformats.org/package/2006/relationships"><Relationship Type="http://schemas.openxmlformats.org/officeDocument/2006/relationships/externalLinkPath" Target="../../../../../A:/CALC7-2.XLS" TargetMode="External" Id="rId1" /></Relationships>
</file>

<file path=xl/externalLinks/_rels/externalLink9.xml.rels><Relationships xmlns="http://schemas.openxmlformats.org/package/2006/relationships"><Relationship Type="http://schemas.openxmlformats.org/officeDocument/2006/relationships/externalLinkPath" Target="../../../../../D:/Documents%20and%20Settings/Ivonne/Local%20Settings/Temporary%20Internet%20Files/OLKF9/SPS%202918_0.XLS" TargetMode="External" Id="rId1" /></Relationships>
</file>

<file path=xl/externalLinks/_rels/externalLink10.xml.rels><Relationships xmlns="http://schemas.openxmlformats.org/package/2006/relationships"><Relationship Type="http://schemas.openxmlformats.org/officeDocument/2006/relationships/externalLinkPath" Target="https://adnocmpsa.sharepoint.com/Drilling%20Operations%20-2/Drilling%20Team%20-3/A.Fattah/SB-476%20lightnewcsgdesign%20HP%20S%20zone-A%20drlg%20program/SB-476%20light-6%20H.H%20P.zone-A%20Drilling%20Program%20(LCD)11.xls" TargetMode="External" Id="rId1" /></Relationships>
</file>

<file path=xl/externalLinks/_rels/externalLink11.xml.rels><Relationships xmlns="http://schemas.openxmlformats.org/package/2006/relationships"><Relationship Type="http://schemas.openxmlformats.org/officeDocument/2006/relationships/externalLinkPath" Target="../../../../../Users/enwoony/Desktop/Nsiko%20North/9.625%20LINER%20HANGER/Nsiko%20North%20Liner%20Hanger%20Work%20Book.xls" TargetMode="External" Id="rId1" /></Relationships>
</file>

<file path=xl/externalLinks/_rels/externalLink12.xml.rels><Relationships xmlns="http://schemas.openxmlformats.org/package/2006/relationships"><Relationship Type="http://schemas.openxmlformats.org/officeDocument/2006/relationships/externalLinkPath" Target="../../../../../F:/My%20Documents/TCP/JSOJOBS/d14k17a.xls" TargetMode="External" Id="rId1" /></Relationships>
</file>

<file path=xl/externalLinks/_rels/externalLink13.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345/COMP_BAB_LCv14.xlsx" TargetMode="External" Id="rId1" /></Relationships>
</file>

<file path=xl/externalLinks/_rels/externalLink14.xml.rels><Relationships xmlns="http://schemas.openxmlformats.org/package/2006/relationships"><Relationship Type="http://schemas.openxmlformats.org/officeDocument/2006/relationships/externalLinkPath" Target="../../../../../D:/Documents%20and%20Settings/adc1001988/Desktop/QW-13(1)/QW-13%20Opp.xls" TargetMode="External" Id="rId1" /></Relationships>
</file>

<file path=xl/externalLinks/_rels/externalLink15.xml.rels><Relationships xmlns="http://schemas.openxmlformats.org/package/2006/relationships"><Relationship Type="http://schemas.openxmlformats.org/officeDocument/2006/relationships/externalLinkPath" Target="../../../../../Users/RKhoo/Desktop/WORKING%20FOLDER/ADNOC%20OFFSHORE/MEGA%204/P&amp;L/JAN%2021/12%20JAN/Q1718978%20P&amp;L%20rev%2008.xlsx" TargetMode="External" Id="rId1" /></Relationships>
</file>

<file path=xl/externalLinks/_rels/externalLink16.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Hydraulics.xls" TargetMode="External" Id="rId1" /></Relationships>
</file>

<file path=xl/externalLinks/_rels/externalLink17.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248/COMP_PROG/COM_BB248_NA307_TB.xlsx" TargetMode="External" Id="rId1" /></Relationships>
</file>

<file path=xl/externalLinks/_rels/externalLink18.xml.rels><Relationships xmlns="http://schemas.openxmlformats.org/package/2006/relationships"><Relationship Type="http://schemas.openxmlformats.org/officeDocument/2006/relationships/externalLinkPath" Target="../../../../../Users/105057423/Desktop/2017%2002/PC_1Q17%20QMI_W8_V2%20(Recd%20from%20Ashley%2023.02.17).xlsb" TargetMode="External" Id="rId1" /></Relationships>
</file>

<file path=xl/externalLinks/_rels/externalLink19.xml.rels><Relationships xmlns="http://schemas.openxmlformats.org/package/2006/relationships"><Relationship Type="http://schemas.openxmlformats.org/officeDocument/2006/relationships/externalLinkPath" Target="https://adnocmpsa-my.sharepoint.com/Apps/My%20C%20Docs/Gbaran-16/Afam%209%20EOWR.doc/BAKER/7MRL84~1/Post%20Job%20Report/WT.xls" TargetMode="External" Id="rId1" /></Relationships>
</file>

<file path=xl/externalLinks/_rels/externalLink20.xml.rels><Relationships xmlns="http://schemas.openxmlformats.org/package/2006/relationships"><Relationship Type="http://schemas.openxmlformats.org/officeDocument/2006/relationships/externalLinkPath" Target="https://adnocmpsa.sharepoint.com/Data/Excel/Dabbeiya/Cls-E/Objective%20Sheet/One%20Page%20Obj.xls" TargetMode="External" Id="rId1" /></Relationships>
</file>

<file path=xl/externalLinks/_rels/externalLink21.xml.rels><Relationships xmlns="http://schemas.openxmlformats.org/package/2006/relationships"><Relationship Type="http://schemas.openxmlformats.org/officeDocument/2006/relationships/externalLinkPath" Target="../../../../../P:/Data/Excel/Dabbeiya/Cls-E/Objective%20Sheet/One%20Page%20Obj.xls" TargetMode="External" Id="rId1" /></Relationships>
</file>

<file path=xl/externalLinks/_rels/externalLink22.xml.rels><Relationships xmlns="http://schemas.openxmlformats.org/package/2006/relationships"><Relationship Type="http://schemas.openxmlformats.org/officeDocument/2006/relationships/externalLinkPath" Target="https://adnocmpsa-my.sharepoint.com/Copy%20of%20Central%20Island%20-%20Halliburton%20HSE%20Observations.xlsx" TargetMode="External" Id="rId1" /></Relationships>
</file>

<file path=xl/externalLinks/_rels/externalLink23.xml.rels><Relationships xmlns="http://schemas.openxmlformats.org/package/2006/relationships"><Relationship Type="http://schemas.openxmlformats.org/officeDocument/2006/relationships/externalLinkPath" Target="https://adnocmpsa-my.sharepoint.com/Apps/Rig%202/Soku%20Campaign/SOKU%20036/CASING%20&amp;%20CEMENTING/Personal.xls" TargetMode="External" Id="rId1" /></Relationships>
</file>

<file path=xl/externalLinks/_rels/externalLink24.xml.rels><Relationships xmlns="http://schemas.openxmlformats.org/package/2006/relationships"><Relationship Type="http://schemas.openxmlformats.org/officeDocument/2006/relationships/externalLinkPath" Target="file://publicstg1.ad.adco.net/DRIL_Public$/Drilling%20Operations%20(BAB-NEB-ASR-WO)%20Division/Dom%20(NEB)%20Department/Completion/A_Wells/RA198_2022%20AS307/Program/DY332_AS307_Completion%20Program_DHWS_V2_7March.xlsx" TargetMode="External" Id="rId1" /></Relationships>
</file>

<file path=xl/externalLinks/_rels/externalLink25.xml.rels><Relationships xmlns="http://schemas.openxmlformats.org/package/2006/relationships"><Relationship Type="http://schemas.openxmlformats.org/officeDocument/2006/relationships/externalLinkPath" Target="https://adnocmpsa.sharepoint.com/teams/ONSDRNEB/Shared%20Documents/Completion%20and%20Workover/A_Wells/DY302_2022/Lower%20Completion/Copy%20of%20Liner%20Inquiry%20Form%20ADNOC%20(003).xlsx" TargetMode="External" Id="rId1" /></Relationships>
</file>

<file path=xl/externalLinks/_rels/externalLink26.xml.rels><Relationships xmlns="http://schemas.openxmlformats.org/package/2006/relationships"><Relationship Type="http://schemas.openxmlformats.org/officeDocument/2006/relationships/externalLinkPath" Target="../../../../../ADCO/Documents%20and%20Settings/hba7869/My%20Documents/My%20Documents/FC/QUALITY/HMS/Reviews/Well%20Report%20Templates/Well%20Completion%20Data%20Book%20(HES)1.xls" TargetMode="External" Id="rId1" /></Relationships>
</file>

<file path=xl/externalLinks/_rels/externalLink27.xml.rels><Relationships xmlns="http://schemas.openxmlformats.org/package/2006/relationships"><Relationship Type="http://schemas.openxmlformats.org/officeDocument/2006/relationships/externalLinkPath" Target="file://Dxbfile001v/data$/Documents%20and%20Settings/hba5603/Desktop/DAS%20Job/OXY-Job/2004/IS-15A/IS-15A%20Report.xls" TargetMode="External" Id="rId1" /></Relationships>
</file>

<file path=xl/externalLinks/_rels/externalLink28.xml.rels><Relationships xmlns="http://schemas.openxmlformats.org/package/2006/relationships"><Relationship Type="http://schemas.openxmlformats.org/officeDocument/2006/relationships/externalLinkPath" Target="../../../../../D:/Documents%20and%20Settings/ad1001635/Local%20Settings/Temporary%20Internet%20Files/OLK2B/Generic-2%20(version%202).xls" TargetMode="External" Id="rId1" /></Relationships>
</file>

<file path=xl/externalLinks/_rels/externalLink29.xml.rels><Relationships xmlns="http://schemas.openxmlformats.org/package/2006/relationships"><Relationship Type="http://schemas.openxmlformats.org/officeDocument/2006/relationships/externalLinkPath" Target="../../../../../Users/umirarm/Documents/Clients/ADNOC/ADNOC%20Onshore/Wells/008.%20%20SB-926_AD-64_111422502/DHWS%20SB-926%20Ver1.xlsx" TargetMode="External" Id="rId1" /></Relationships>
</file>

<file path=xl/externalLinks/_rels/externalLink30.xml.rels><Relationships xmlns="http://schemas.openxmlformats.org/package/2006/relationships"><Relationship Type="http://schemas.openxmlformats.org/officeDocument/2006/relationships/externalLinkPath" Target="../../../../../Users/binahm03/Desktop/Abu%20Dhabi/Liner%20Jobs/AL%20HOSN,%20SY-502,%20H&amp;P-476/Angsi%20C9%20Job%20log.xls" TargetMode="External" Id="rId1" /></Relationships>
</file>

<file path=xl/externalLinks/_rels/externalLink31.xml.rels><Relationships xmlns="http://schemas.openxmlformats.org/package/2006/relationships"><Relationship Type="http://schemas.openxmlformats.org/officeDocument/2006/relationships/externalLinkPath" Target="../../../../../personal/mahmoud_ahmed2_weatherford_com/Documents/Desktop/EXECL/DUBAI%20PETROLEM%20TALLY/FC-34%20Workbook%20draft%20(version%201).xlsx" TargetMode="External" Id="rId1" /></Relationships>
</file>

<file path=xl/externalLinks/_rels/externalLink32.xml.rels><Relationships xmlns="http://schemas.openxmlformats.org/package/2006/relationships"><Relationship Type="http://schemas.openxmlformats.org/officeDocument/2006/relationships/externalLinkPath" Target="../../../../../Users/212421818/Documents/3rd%20Rotation/Pressure%20Control/PC%20QMI/Q4/FW41/Q4%20PC%20QMI%20FW41%202015_10_06.xlsb" TargetMode="External" Id="rId1" /></Relationships>
</file>

<file path=xl/externalLinks/_rels/externalLink33.xml.rels><Relationships xmlns="http://schemas.openxmlformats.org/package/2006/relationships"><Relationship Type="http://schemas.openxmlformats.org/officeDocument/2006/relationships/externalLinkPath" Target="../../../../../Users/105057423/AppData/Local/Microsoft/Windows/Temporary%20Internet%20Files/Content.Outlook/LKU8I04P/Offline%20Reports/Qatar_Q2_FW15_PC%20Service%20QMI%202016_03_04%20v1.xlsb" TargetMode="External" Id="rId1" /></Relationships>
</file>

<file path=xl/externalLinks/_rels/externalLink34.xml.rels><Relationships xmlns="http://schemas.openxmlformats.org/package/2006/relationships"><Relationship Type="http://schemas.openxmlformats.org/officeDocument/2006/relationships/externalLinkPath" Target="../../../../../Users/h155384/Desktop/CWT/Paper%20Work/CWT%20schematic/JOB%20PACK%20%20CWT%20-ZB%20262.xls" TargetMode="External" Id="rId1" /></Relationships>
</file>

<file path=xl/externalLinks/_rels/externalLink35.xml.rels><Relationships xmlns="http://schemas.openxmlformats.org/package/2006/relationships"><Relationship Type="http://schemas.openxmlformats.org/officeDocument/2006/relationships/externalLinkPath" Target="../../../../../Documents%20and%20Settings/105052158/My%20Documents/QMI/2012/SII%202012%20Input%20File.xls" TargetMode="External" Id="rId1" /></Relationships>
</file>

<file path=xl/externalLinks/_rels/externalLink36.xml.rels><Relationships xmlns="http://schemas.openxmlformats.org/package/2006/relationships"><Relationship Type="http://schemas.openxmlformats.org/officeDocument/2006/relationships/externalLinkPath" Target="file://Opsmanager/ph%20operation/Finance/Invoices/SPDC/Tayo/Clients/Chevron/Dem%20Dec%2098.xls" TargetMode="External" Id="rId1" /></Relationships>
</file>

<file path=xl/externalLinks/_rels/externalLink37.xml.rels><Relationships xmlns="http://schemas.openxmlformats.org/package/2006/relationships"><Relationship Type="http://schemas.openxmlformats.org/officeDocument/2006/relationships/externalLinkPath" Target="../../../../../Documents/mail/attach/TCOs/07EQG041_Hess_Sedco700_C37_17.5in_12.25in_TCO_Rev2.xls" TargetMode="External" Id="rId1" /></Relationships>
</file>

<file path=xl/externalLinks/_rels/externalLink38.xml.rels><Relationships xmlns="http://schemas.openxmlformats.org/package/2006/relationships"><Relationship Type="http://schemas.openxmlformats.org/officeDocument/2006/relationships/externalLinkPath" Target="../../../../../Documents%20and%20Settings/MKharbotly/Local%20Settings/Temporary%20Internet%20Files/Content.IE5/E4HC4P8I/Back_up.xls" TargetMode="External" Id="rId1" /></Relationships>
</file>

<file path=xl/externalLinks/_rels/externalLink39.xml.rels><Relationships xmlns="http://schemas.openxmlformats.org/package/2006/relationships"><Relationship Type="http://schemas.openxmlformats.org/officeDocument/2006/relationships/externalLinkPath" Target="file://PHC-S-010/Francis.Eriavbe$/cached/My%20Documents/My%20Documents/Petrohysics/FLAME%20reading%20materials/Uncflam8.xls" TargetMode="External" Id="rId1" /></Relationships>
</file>

<file path=xl/externalLinks/_rels/externalLink40.xml.rels><Relationships xmlns="http://schemas.openxmlformats.org/package/2006/relationships"><Relationship Type="http://schemas.openxmlformats.org/officeDocument/2006/relationships/externalLinkPath" Target="file://dxbfile001v/data$/Documents%20and%20Settings/HB53868/Local%20Settings/Temporary%20Internet%20Files/Content.Outlook/XFK5D5KT/CPS%20FAR%20PAC%20(REVISED%202007).xls" TargetMode="External" Id="rId1" /></Relationships>
</file>

<file path=xl/externalLinks/_rels/externalLink41.xml.rels><Relationships xmlns="http://schemas.openxmlformats.org/package/2006/relationships"><Relationship Type="http://schemas.openxmlformats.org/officeDocument/2006/relationships/externalLinkPath" Target="../../../../../D:/AMELIA'S/Draft%20SC%20P%20cost(Thursday).xls" TargetMode="External" Id="rId1" /></Relationships>
</file>

<file path=xl/externalLinks/_rels/externalLink42.xml.rels><Relationships xmlns="http://schemas.openxmlformats.org/package/2006/relationships"><Relationship Type="http://schemas.openxmlformats.org/officeDocument/2006/relationships/externalLinkPath" Target="../../../../../Users/e264590/Downloads/WCT/My%20Jobs/NOV%202022/AD-110%20SA-335/DS/SA335_BM307DS#_DHWS_0411%20FINAL%20LC.xlsx" TargetMode="External" Id="rId1" /></Relationships>
</file>

<file path=xl/externalLinks/_rels/externalLink43.xml.rels><Relationships xmlns="http://schemas.openxmlformats.org/package/2006/relationships"><Relationship Type="http://schemas.openxmlformats.org/officeDocument/2006/relationships/externalLinkPath" Target="../../../../../Users/melonav/Desktop/ABUDHABI%20JOBS/2021/JULY/AD-110%20SA-314%207%20IN%20LINER%20JOB%20INFO/AD-110%20SA-314%20Liner%20%20Field%20Workbook,%20Currently%20updated,%20Rev.%20P.xlsm" TargetMode="External" Id="rId1" /></Relationships>
</file>

<file path=xl/externalLinks/_rels/externalLink44.xml.rels><Relationships xmlns="http://schemas.openxmlformats.org/package/2006/relationships"><Relationship Type="http://schemas.openxmlformats.org/officeDocument/2006/relationships/externalLinkPath" Target="http://us.f2.yahoofs.com/bc/40ec80e8_492f/bc/Mail+Attachments/Weekly%20pipe%20costs.xls" TargetMode="External" Id="rId1" /></Relationships>
</file>

<file path=xl/externalLinks/_rels/externalLink45.xml.rels><Relationships xmlns="http://schemas.openxmlformats.org/package/2006/relationships"><Relationship Type="http://schemas.openxmlformats.org/officeDocument/2006/relationships/externalLinkPath" Target="https://adnocmpsa-my.sharepoint.com/Apps/Rig%202/Soku%20Campaign/SOKU%20036/CASING%20&amp;%20CEMENTING/Well.xls" TargetMode="External" Id="rId1" /></Relationships>
</file>

<file path=xl/externalLinks/_rels/externalLink46.xml.rels><Relationships xmlns="http://schemas.openxmlformats.org/package/2006/relationships"><Relationship Type="http://schemas.openxmlformats.org/officeDocument/2006/relationships/externalLinkPath" Target="https://adnocmpsa-my.sharepoint.com/Users/hb66392/Desktop/UZ642%20AD68%20INTERMEDIATE%20AND%20UPPER%20COMPLETION/400-Perform%20Service/Intermediate%20Completion/DP/Slot_49_UZ555%20DP%20&amp;%20HWDP%20Pipe%20Tally.xls" TargetMode="External" Id="rId1" /></Relationships>
</file>

<file path=xl/externalLinks/_rels/externalLink47.xml.rels><Relationships xmlns="http://schemas.openxmlformats.org/package/2006/relationships"><Relationship Type="http://schemas.openxmlformats.org/officeDocument/2006/relationships/externalLinkPath" Target="https://adnocmpsa-my.sharepoint.com/Data/Exl/DEV-Baker.xls" TargetMode="External" Id="rId1" /></Relationships>
</file>

<file path=xl/externalLinks/_rels/externalLink48.xml.rels><Relationships xmlns="http://schemas.openxmlformats.org/package/2006/relationships"><Relationship Type="http://schemas.openxmlformats.org/officeDocument/2006/relationships/externalLinkPath" Target="../../../../../D:/&#50629;&#47924;/5902(Agbami)/Weight/Topside/AGB-KBR-FT-RPT-GN-0171-00.xls" TargetMode="External" Id="rId1" /></Relationships>
</file>

<file path=xl/externalLinks/_rels/externalLink49.xml.rels><Relationships xmlns="http://schemas.openxmlformats.org/package/2006/relationships"><Relationship Type="http://schemas.openxmlformats.org/officeDocument/2006/relationships/externalLinkPath" Target="../../../../../Users/abraahm/Desktop/Adco%20AD34%20DY239%207in%20Combo%20LH/ADNOC%20ONSHORE-AD-34-Liner%20Field%20Workbok%20GCPM-FLD001-50F1.xlsm" TargetMode="External" Id="rId1" /></Relationships>
</file>

<file path=xl/externalLinks/_rels/externalLink50.xml.rels><Relationships xmlns="http://schemas.openxmlformats.org/package/2006/relationships"><Relationship Type="http://schemas.openxmlformats.org/officeDocument/2006/relationships/externalLinkPath" Target="file://CILBMRLT00869/c$/Documents%20and%20Settings/hal4422/My%20Documents/marc/CALCULOS/RedBook_v4.xls" TargetMode="External" Id="rId1" /></Relationships>
</file>

<file path=xl/externalLinks/_rels/externalLink51.xml.rels><Relationships xmlns="http://schemas.openxmlformats.org/package/2006/relationships"><Relationship Type="http://schemas.openxmlformats.org/officeDocument/2006/relationships/externalLinkPath" Target="file://ushou-f-2001014/SHAREINF/SDS/Rolling%20Forecast/Current%20Forecast/FORECAST%20INPUT.xls" TargetMode="External" Id="rId1" /></Relationships>
</file>

<file path=xl/externalLinks/_rels/externalLink52.xml.rels><Relationships xmlns="http://schemas.openxmlformats.org/package/2006/relationships"><Relationship Type="http://schemas.openxmlformats.org/officeDocument/2006/relationships/externalLinkPath" Target="../../../../../E:/Beppe/Darquain%20projet/Programs/Programs%20WO%20Compl%20Rigless/Proposal%20scheme/Premier/My%20Documents/My%20Documents/HSE.xls" TargetMode="External" Id="rId1" /></Relationships>
</file>

<file path=xl/externalLinks/_rels/externalLink53.xml.rels><Relationships xmlns="http://schemas.openxmlformats.org/package/2006/relationships"><Relationship Type="http://schemas.openxmlformats.org/officeDocument/2006/relationships/externalLinkPath" Target="file://srvdepts/Depts/Evergreen/Thermodyn_ADI_template3.xls" TargetMode="External" Id="rId1" /></Relationships>
</file>

<file path=xl/externalLinks/_rels/externalLink54.xml.rels><Relationships xmlns="http://schemas.openxmlformats.org/package/2006/relationships"><Relationship Type="http://schemas.openxmlformats.org/officeDocument/2006/relationships/externalLinkPath" Target="../../../../../D:/Documents%20and%20Settings/adc1001988/Local%20Settings/Temporary%20Internet%20Files/OLK9F/Data/Excel/Dabbeiya/Cls-E/Objective%20Sheet/One%20Page%20Obj.xls" TargetMode="External" Id="rId1" /></Relationships>
</file>

<file path=xl/externalLinks/_rels/externalLink55.xml.rels><Relationships xmlns="http://schemas.openxmlformats.org/package/2006/relationships"><Relationship Type="http://schemas.openxmlformats.org/officeDocument/2006/relationships/externalLinkPath" Target="file://BOTABKRES01/User/Documents%20and%20Settings/dickstej/My%20Documents/Reports/Resume/AAA%20Big%20Inflates/END%20OF%20WELL%20REPORTS/Burlington/P4y%20JOB%20AB4603%20ECP/ECP%20Databook%20A4%2003-03-011.xls" TargetMode="External" Id="rId1" /></Relationships>
</file>

<file path=xl/externalLinks/_rels/externalLink56.xml.rels><Relationships xmlns="http://schemas.openxmlformats.org/package/2006/relationships"><Relationship Type="http://schemas.openxmlformats.org/officeDocument/2006/relationships/externalLinkPath" Target="../../../../../A:/Single%20Blank.xls" TargetMode="External" Id="rId1" /></Relationships>
</file>

<file path=xl/externalLinks/_rels/externalLink57.xml.rels><Relationships xmlns="http://schemas.openxmlformats.org/package/2006/relationships"><Relationship Type="http://schemas.openxmlformats.org/officeDocument/2006/relationships/externalLinkPath" Target="../../../../../Documents%20and%20Settings/guokath/Local%20Settings/Temporary%20Internet%20Files/OLK587/LH_ImportTemp.xls" TargetMode="External" Id="rId1" /></Relationships>
</file>

<file path=xl/externalLinks/_rels/externalLink58.xml.rels><Relationships xmlns="http://schemas.openxmlformats.org/package/2006/relationships"><Relationship Type="http://schemas.openxmlformats.org/officeDocument/2006/relationships/externalLinkPath" Target="https://slb001-my.sharepoint.com/personal/pcao2_slb_com/Documents/Desktop/HARC_20210713185003_HARC_20210620_HARC_ML__Rev_3.xlsm" TargetMode="External" Id="rId1" /></Relationships>
</file>

<file path=xl/externalLinks/_rels/externalLink59.xml.rels><Relationships xmlns="http://schemas.openxmlformats.org/package/2006/relationships"><Relationship Type="http://schemas.openxmlformats.org/officeDocument/2006/relationships/externalLinkPath" Target="file://sgvgisga-apps/shared/LT%20Configurator_Offshore/PCSB/LT%20Configurator_Offshore_R1_PCSB_SF1294842_DWHC_REVA.xlsx" TargetMode="External" Id="rId1" /></Relationships>
</file>

<file path=xl/externalLinks/_rels/externalLink60.xml.rels><Relationships xmlns="http://schemas.openxmlformats.org/package/2006/relationships"><Relationship Type="http://schemas.openxmlformats.org/officeDocument/2006/relationships/externalLinkPath" Target="http://localhost:3579/aHJycDovL2RwZV9saXZlbGluay9ET0NVTUVOVC8vYi1hY3Rpb24lM2FfYV9hZmluZGl0ZW1pbmZvYWN0aW9uX2FpdGVtX2NfYTI3NjI5MzUz/ZA-14AB%20ST%20Completion%20Workbook.xlsm" TargetMode="External" Id="rId1" /></Relationships>
</file>

<file path=xl/externalLinks/_rels/externalLink61.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Volumes.xls" TargetMode="External" Id="rId1" /></Relationships>
</file>

<file path=xl/externalLinks/_rels/externalLink62.xml.rels><Relationships xmlns="http://schemas.openxmlformats.org/package/2006/relationships"><Relationship Type="http://schemas.openxmlformats.org/officeDocument/2006/relationships/externalLinkPath" Target="https://slb001-my.sharepoint.com/Users/samiwal/Desktop/Baker/JOBS/SAUDI%20ARABIA/2015/October/NBR-607%20MNIF-310/Emailed/WorkBook%20-%20MNIF-310.xls" TargetMode="External" Id="rId1" /></Relationships>
</file>

<file path=xl/externalLinks/_rels/externalLink63.xml.rels><Relationships xmlns="http://schemas.openxmlformats.org/package/2006/relationships"><Relationship Type="http://schemas.openxmlformats.org/officeDocument/2006/relationships/externalLinkPath" Target="../../../../../ADCO/Documents%20and%20Settings/hbaj849/Local%20Settings/Temporary%20Internet%20Files/OLK175/Angsi%20A%20Back%20Up.xls" TargetMode="External" Id="rId1" /></Relationships>
</file>

<file path=xl/externalLinks/_rels/externalLink64.xml.rels><Relationships xmlns="http://schemas.openxmlformats.org/package/2006/relationships"><Relationship Type="http://schemas.openxmlformats.org/officeDocument/2006/relationships/externalLinkPath" Target="file://dufs1/users/Darquain%20Field/Reports/Arpo-20/My%20Documents/My%20Documents/HSE.xls" TargetMode="External" Id="rId1" /></Relationships>
</file>

<file path=xl/externalLinks/_rels/externalLink65.xml.rels><Relationships xmlns="http://schemas.openxmlformats.org/package/2006/relationships"><Relationship Type="http://schemas.openxmlformats.org/officeDocument/2006/relationships/externalLinkPath" Target="../../../../../teams/ONSDRNEB/Shared%20Documents/Completion%20and%20Workover/D_Others/NEB%20Completion%20Database.xlsx" TargetMode="External" Id="rId1" /></Relationships>
</file>

<file path=xl/externalLinks/_rels/externalLink66.xml.rels><Relationships xmlns="http://schemas.openxmlformats.org/package/2006/relationships"><Relationship Type="http://schemas.openxmlformats.org/officeDocument/2006/relationships/externalLinkPath" Target="../../../../../D:/ZEPLIN/Agbami/Weight%20Report/Weight%20Report%20Development/Agbami%20Draft%20Weight%20Report%20-%20Definitions%20Codes%20Contingency.xls" TargetMode="External" Id="rId1" /></Relationships>
</file>

<file path=xl/externalLinks/_rels/externalLink67.xml.rels><Relationships xmlns="http://schemas.openxmlformats.org/package/2006/relationships"><Relationship Type="http://schemas.openxmlformats.org/officeDocument/2006/relationships/externalLinkPath" Target="../../../../../E:/Beppe/Darquain%20projet/Programs/Programs%20WO%20Compl%20Rigless/Proposal%20scheme/Premier/My%20Documents/JOB%20BOOK/Makarem3/WTEST70.XLS" TargetMode="External" Id="rId1" /></Relationships>
</file>

<file path=xl/externalLinks/_rels/externalLink68.xml.rels><Relationships xmlns="http://schemas.openxmlformats.org/package/2006/relationships"><Relationship Type="http://schemas.openxmlformats.org/officeDocument/2006/relationships/externalLinkPath" Target="file://100.124.195.41/d/Aramco/Mhrh-41/BHA%2302.xls" TargetMode="External" Id="rId1" /></Relationships>
</file>

<file path=xl/externalLinks/_rels/externalLink69.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Lookahead%20EA%20Tot.xls" TargetMode="External" Id="rId1" /></Relationships>
</file>

<file path=xl/externalLinks/_rels/externalLink70.xml.rels><Relationships xmlns="http://schemas.openxmlformats.org/package/2006/relationships"><Relationship Type="http://schemas.openxmlformats.org/officeDocument/2006/relationships/externalLinkPath" Target="https://adnocmpsa-my.sharepoint.com/personal/aabdelwahed_adnoc_ae/Documents/Desktop/Abdelazim%20Folder/Automatic%20Allocation/Auto-Allocation%20Project/This%20is%20the%20project/Auto-Allocation%20Project-13%20June.xlsx" TargetMode="External" Id="rId1" /></Relationships>
</file>

<file path=xl/externalLinks/_rels/externalLink71.xml.rels><Relationships xmlns="http://schemas.openxmlformats.org/package/2006/relationships"><Relationship Type="http://schemas.openxmlformats.org/officeDocument/2006/relationships/externalLinkPath" Target="https://adnocmpsa-my.sharepoint.com/TEMP/Okan76ST%20Field%20Report1.xls" TargetMode="External" Id="rId1" /></Relationships>
</file>

<file path=xl/externalLinks/_rels/externalLink72.xml.rels><Relationships xmlns="http://schemas.openxmlformats.org/package/2006/relationships"><Relationship Type="http://schemas.openxmlformats.org/officeDocument/2006/relationships/externalLinkPath" Target="https://adnocmpsa-my.sharepoint.com/teams/ONSDRNEB/Shared%20Documents/Completion%20and%20Workover/D_Others/NEB%20Completion%20Database.xlsx" TargetMode="External" Id="rId1" /></Relationships>
</file>

<file path=xl/externalLinks/_rels/externalLink73.xml.rels><Relationships xmlns="http://schemas.openxmlformats.org/package/2006/relationships"><Relationship Type="http://schemas.openxmlformats.org/officeDocument/2006/relationships/externalLinkPath" Target="https://adnocmpsa-my.sharepoint.com/AKPO%20101/10.75%20Liner%20Tally%20(Bob).xls" TargetMode="External" Id="rId1" /></Relationships>
</file>

<file path=xl/externalLinks/_rels/externalLink74.xml.rels><Relationships xmlns="http://schemas.openxmlformats.org/package/2006/relationships"><Relationship Type="http://schemas.openxmlformats.org/officeDocument/2006/relationships/externalLinkPath" Target="../../../../../P:/Spreadsheets/661021R3.XLS" TargetMode="External" Id="rId1" /></Relationships>
</file>

<file path=xl/externalLinks/_rels/externalLink75.xml.rels><Relationships xmlns="http://schemas.openxmlformats.org/package/2006/relationships"><Relationship Type="http://schemas.openxmlformats.org/officeDocument/2006/relationships/externalLinkPath" Target="../../../../../personal/mahmoud_ahmed2_weatherford_com/Documents/Desktop/GLM%20NINE%20ENR%20AD-115,%20SN-33%20DEC%20,24/RIH/Working%20copy/SN33_OP307_SCNB60_Completion%20Package_V0.xlsx" TargetMode="External" Id="rId1" /></Relationships>
</file>

<file path=xl/externalLinks/_rels/externalLink76.xml.rels><Relationships xmlns="http://schemas.openxmlformats.org/package/2006/relationships"><Relationship Type="http://schemas.openxmlformats.org/officeDocument/2006/relationships/externalLinkPath" Target="https://adnocmpsa-my.sharepoint.com/personal/abdulla_malmheiri_adnoc_ae/Documents/Desktop/BB-671/COMP_BB-671_BC307.xlsx" TargetMode="External" Id="rId1" /></Relationships>
</file>

<file path=xl/externalLinks/_rels/externalLink77.xml.rels><Relationships xmlns="http://schemas.openxmlformats.org/package/2006/relationships"><Relationship Type="http://schemas.openxmlformats.org/officeDocument/2006/relationships/externalLinkPath" Target="file://Opsmanager/ph%20operation/Kens%20Ops/Finance/Invoices/NEXEN/CPRN%20Feb%202001%20Invoice.xls" TargetMode="External" Id="rId1" /></Relationships>
</file>

<file path=xl/externalLinks/_rels/externalLink78.xml.rels><Relationships xmlns="http://schemas.openxmlformats.org/package/2006/relationships"><Relationship Type="http://schemas.openxmlformats.org/officeDocument/2006/relationships/externalLinkPath" Target="https://adnocmpsa-my.sharepoint.com/personal/rbangun_adnoc_ae/Documents/Desktop/2022_WORK/COMP_SB328_AB307C.xlsx" TargetMode="External" Id="rId1" /></Relationships>
</file>

<file path=xl/externalLinks/_rels/externalLink79.xml.rels><Relationships xmlns="http://schemas.openxmlformats.org/package/2006/relationships"><Relationship Type="http://schemas.openxmlformats.org/officeDocument/2006/relationships/externalLinkPath" Target="../../../../../D:/ERO%20Proposals/01%20%20Pricing/Subsea/Shell/Bonga%20Main%20SPS%20758/SPS%20758_3%20Extension.XLS" TargetMode="External" Id="rId1" /></Relationships>
</file>

<file path=xl/externalLinks/_rels/externalLink80.xml.rels><Relationships xmlns="http://schemas.openxmlformats.org/package/2006/relationships"><Relationship Type="http://schemas.openxmlformats.org/officeDocument/2006/relationships/externalLinkPath" Target="../../../../../Users/212418264/Pressure%20Control/4Q16/QMI/1st%20QMI/1Q17_PC_QMI_W3_V2.xlsx" TargetMode="External" Id="rId1" /></Relationships>
</file>

<file path=xl/externalLinks/_rels/externalLink81.xml.rels><Relationships xmlns="http://schemas.openxmlformats.org/package/2006/relationships"><Relationship Type="http://schemas.openxmlformats.org/officeDocument/2006/relationships/externalLinkPath" Target="file://Dxbfile001v/data$/Documents%20and%20Settings/hba5603/Desktop/TT&amp;TCP/Final%20Report.xls" TargetMode="External" Id="rId1" /></Relationships>
</file>

<file path=xl/externalLinks/_rels/externalLink82.xml.rels><Relationships xmlns="http://schemas.openxmlformats.org/package/2006/relationships"><Relationship Type="http://schemas.openxmlformats.org/officeDocument/2006/relationships/externalLinkPath" Target="https://adnocmpsa-my.sharepoint.com/Documents%20and%20Settings/hx45207/Desktop/103/Akpo%20103%20Schematic/Other%20revisions/AKPO%20101/10.75%20Liner%20Tally%20(Bob).xls" TargetMode="External" Id="rId1" /></Relationships>
</file>

<file path=xl/externalLinks/_rels/externalLink83.xml.rels><Relationships xmlns="http://schemas.openxmlformats.org/package/2006/relationships"><Relationship Type="http://schemas.openxmlformats.org/officeDocument/2006/relationships/externalLinkPath" Target="file://A44C7ECE/9.625%20TCP%20String.xls" TargetMode="External" Id="rId1" /></Relationships>
</file>

<file path=xl/externalLinks/_rels/externalLink84.xml.rels><Relationships xmlns="http://schemas.openxmlformats.org/package/2006/relationships"><Relationship Type="http://schemas.openxmlformats.org/officeDocument/2006/relationships/externalLinkPath" Target="../../../../../Users/E258655/Desktop/AD-91%20SA-77/tally%20schematic%20and%20job%20order/job%20order.xlsx" TargetMode="External" Id="rId1" /></Relationships>
</file>

<file path=xl/externalLinks/_rels/externalLink85.xml.rels><Relationships xmlns="http://schemas.openxmlformats.org/package/2006/relationships"><Relationship Type="http://schemas.openxmlformats.org/officeDocument/2006/relationships/externalLinkPath" Target="../../../../../H:/ESP_DHDF_AU307_MN08_Satrio.xlsx" TargetMode="External" Id="rId1" /></Relationships>
</file>

<file path=xl/externalLinks/_rels/externalLink86.xml.rels><Relationships xmlns="http://schemas.openxmlformats.org/package/2006/relationships"><Relationship Type="http://schemas.openxmlformats.org/officeDocument/2006/relationships/externalLinkPath" Target="../../../../../Azher/Completion/Jobs/2017/7.%20July/1.%20AU307%20MN-35%20NDC-118/Tally/DHDF_AU307_MN-35.xlsx" TargetMode="External" Id="rId1" /></Relationships>
</file>

<file path=xl/externalLinks/_rels/externalLink87.xml.rels><Relationships xmlns="http://schemas.openxmlformats.org/package/2006/relationships"><Relationship Type="http://schemas.openxmlformats.org/officeDocument/2006/relationships/externalLinkPath" Target="../../../../../P:/Technical%20Support%20&amp;%20Well%20Services%20Division/SHARED/1.New%20TS&amp;WS%20Structure/Well%20Service%20Department/Well%20Servies%20Team/Completion/C%20-%20Job%20Track%20-%20Wellfile/2018%20Job%20Wellfiles/DHDF_AA307_XN004ST.xlsx" TargetMode="External" Id="rId1" /></Relationships>
</file>

<file path=xl/externalLinks/_rels/externalLink88.xml.rels><Relationships xmlns="http://schemas.openxmlformats.org/package/2006/relationships"><Relationship Type="http://schemas.openxmlformats.org/officeDocument/2006/relationships/externalLinkPath" Target="../../../../../ADCO/Documents%20and%20Settings/hba7869/My%20Documents/My%20Documents/FC/QUALITY/HMS/TNA%20A-6/Tuna%20A-6temp.xls" TargetMode="External" Id="rId1" /></Relationships>
</file>

<file path=xl/externalLinks/_rels/externalLink89.xml.rels><Relationships xmlns="http://schemas.openxmlformats.org/package/2006/relationships"><Relationship Type="http://schemas.openxmlformats.org/officeDocument/2006/relationships/externalLinkPath" Target="../../../../../Users/ad1008180/AppData/Local/Microsoft/Windows/Temporary%20Internet%20Files/Content.Outlook/WJTR9H3R/DHDF_GA237_BU877_REV01.xlsx" TargetMode="External" Id="rId1" /></Relationships>
</file>

<file path=xl/externalLinks/_rels/externalLink90.xml.rels><Relationships xmlns="http://schemas.openxmlformats.org/package/2006/relationships"><Relationship Type="http://schemas.openxmlformats.org/officeDocument/2006/relationships/externalLinkPath" Target="https://adnocmpsa.sharepoint.com/teams/ONSDRBAB/Shared%20Documents/Completion%20and%20Workover/02-Well%20Program/2022%20Wells/BB-1705/COMP_BB1705_BM307Sv2.xlsx" TargetMode="External" Id="rId1" /></Relationships>
</file>

<file path=xl/externalLinks/_rels/externalLink91.xml.rels><Relationships xmlns="http://schemas.openxmlformats.org/package/2006/relationships"><Relationship Type="http://schemas.openxmlformats.org/officeDocument/2006/relationships/externalLinkPath" Target="../../../../../P:/Users/de_antoroimac/Downloads/archive/DRAFT%20DHWS_AE307_BB304.xlsx" TargetMode="External" Id="rId1" /></Relationships>
</file>

<file path=xl/externalLinks/_rels/externalLink92.xml.rels><Relationships xmlns="http://schemas.openxmlformats.org/package/2006/relationships"><Relationship Type="http://schemas.openxmlformats.org/officeDocument/2006/relationships/externalLinkPath" Target="../../../../../H:/Data/Excel/Dabbeiya/Cls-E/Objective%20Sheet/One%20Page%20Obj.xls" TargetMode="External" Id="rId1" /></Relationships>
</file>

<file path=xl/externalLinks/_rels/externalLink93.xml.rels><Relationships xmlns="http://schemas.openxmlformats.org/package/2006/relationships"><Relationship Type="http://schemas.openxmlformats.org/officeDocument/2006/relationships/externalLinkPath" Target="file://192.168.2.6/Shared%20Files/Documents/Mail/Attach/Jobs/UK-TCP%20jobs/Job%20File%20Reference/Pre%20Job/MyJob-Correlation.xls" TargetMode="External" Id="rId1" /></Relationships>
</file>

<file path=xl/externalLinks/_rels/externalLink94.xml.rels><Relationships xmlns="http://schemas.openxmlformats.org/package/2006/relationships"><Relationship Type="http://schemas.openxmlformats.org/officeDocument/2006/relationships/externalLinkPath" Target="../../../../../Users/umirarm/Documents/Clients/ADNOC/ADNOC%20Onshore/Wells/003.%20QW-164_AD-126/Upper/Job%20Files/QW-164%20Workbook_.xlsm" TargetMode="External" Id="rId1" /></Relationships>
</file>

<file path=xl/externalLinks/_rels/externalLink95.xml.rels><Relationships xmlns="http://schemas.openxmlformats.org/package/2006/relationships"><Relationship Type="http://schemas.openxmlformats.org/officeDocument/2006/relationships/externalLinkPath" Target="file://Srv001saw/Testing/Jobs/OGDC/Tando%20Alam/ESP%20Optimization/So%20Piala/So%20Piala%2302/Test_2/ESD%20Optimization/Kelok/Kelok%232/Petani/Petani%2367/Input2.xls" TargetMode="External" Id="rId1" /></Relationships>
</file>

<file path=xl/externalLinks/_rels/externalLink96.xml.rels><Relationships xmlns="http://schemas.openxmlformats.org/package/2006/relationships"><Relationship Type="http://schemas.openxmlformats.org/officeDocument/2006/relationships/externalLinkPath" Target="../../../../../U:/PC/International%20SS/Quotes/Quotes/Al%20Hugayet/Active/IH-16834%20-%20Al%20Hugayet%20-%20SAMSS%20Agreement/Tender/Coll%20No7200000467Vendor0010012852RFQ%20No4200386224.xls" TargetMode="External" Id="rId1" /></Relationships>
</file>

<file path=xl/externalLinks/_rels/externalLink97.xml.rels><Relationships xmlns="http://schemas.openxmlformats.org/package/2006/relationships"><Relationship Type="http://schemas.openxmlformats.org/officeDocument/2006/relationships/externalLinkPath" Target="../../../../../Users/105029850/AppData/Local/Microsoft/Windows/Temporary%20Internet%20Files/Content.Outlook/VM0AADZZ/HBS%20BOM_REV_0%20(ESTIMATE%20COST)-TYPE%203%20(CHINA).xlsm" TargetMode="External" Id="rId1" /></Relationships>
</file>

<file path=xl/externalLinks/_rels/externalLink98.xml.rels><Relationships xmlns="http://schemas.openxmlformats.org/package/2006/relationships"><Relationship Type="http://schemas.openxmlformats.org/officeDocument/2006/relationships/externalLinkPath" Target="../../../../../Users/105029850/AB_O&amp;G/Egypt/NON-FLOW/2020/PetroGulf%20MLC_DM-%202136593/3.%20FCM%20and%20R2%20Process/HP190192%20AE%20BOM%20Rev%20NC.xlsm" TargetMode="External" Id="rId1" /></Relationships>
</file>

<file path=xl/externalLinks/_rels/externalLink99.xml.rels><Relationships xmlns="http://schemas.openxmlformats.org/package/2006/relationships"><Relationship Type="http://schemas.openxmlformats.org/officeDocument/2006/relationships/externalLinkPath" Target="../../../../../A:/2611/Pierre%20Gu&#233;rin%20Q/Aec00/COM00.xls" TargetMode="External" Id="rId1" /></Relationships>
</file>

<file path=xl/externalLinks/_rels/externalLink100.xml.rels><Relationships xmlns="http://schemas.openxmlformats.org/package/2006/relationships"><Relationship Type="http://schemas.openxmlformats.org/officeDocument/2006/relationships/externalLinkPath" Target="../../../../../WINDOWS/TEMP/Angsi%20A.xls" TargetMode="External" Id="rId1" /></Relationships>
</file>

<file path=xl/externalLinks/_rels/externalLink101.xml.rels><Relationships xmlns="http://schemas.openxmlformats.org/package/2006/relationships"><Relationship Type="http://schemas.openxmlformats.org/officeDocument/2006/relationships/externalLinkPath" Target="https://adnocmpsa-my.sharepoint.com/Documents%20and%20Settings/aadeyeb.BJ-NIGERIA-0002/Desktop/REPORTS/BOOK5.XLS!DRILLPI%20(3)" TargetMode="External" Id="rId1" /></Relationships>
</file>

<file path=xl/externalLinks/_rels/externalLink102.xml.rels><Relationships xmlns="http://schemas.openxmlformats.org/package/2006/relationships"><Relationship Type="http://schemas.openxmlformats.org/officeDocument/2006/relationships/externalLinkPath" Target="../../../../../Z:/abel/(Row%2011)%20BP%20-%20Pwf%20calculations.xls" TargetMode="External" Id="rId1" /></Relationships>
</file>

<file path=xl/externalLinks/_rels/externalLink103.xml.rels><Relationships xmlns="http://schemas.openxmlformats.org/package/2006/relationships"><Relationship Type="http://schemas.openxmlformats.org/officeDocument/2006/relationships/externalLinkPath" Target="file://publicstg1/DRIL_Public$/Avinash/Larut/Larut%20A-09/Single%20Blank.xls" TargetMode="External" Id="rId1" /></Relationships>
</file>

<file path=xl/externalLinks/_rels/externalLink104.xml.rels><Relationships xmlns="http://schemas.openxmlformats.org/package/2006/relationships"><Relationship Type="http://schemas.openxmlformats.org/officeDocument/2006/relationships/externalLinkPath" Target="../../../../../I:/Tuban%20Reservoir/Bill%20Fulton%20Jan2001/Joe%20Stein/Base%20Case%20May%2001.xls" TargetMode="External" Id="rId1" /></Relationships>
</file>

<file path=xl/externalLinks/_rels/externalLink105.xml.rels><Relationships xmlns="http://schemas.openxmlformats.org/package/2006/relationships"><Relationship Type="http://schemas.openxmlformats.org/officeDocument/2006/relationships/externalLinkPath" Target="https://slb001-my.sharepoint.com/Documents/PCSB-SKO/BARAM-D/BA-47S1/BA%2047S1%20running%20tally.xls" TargetMode="External" Id="rId1" /></Relationships>
</file>

<file path=xl/externalLinks/_rels/externalLink106.xml.rels><Relationships xmlns="http://schemas.openxmlformats.org/package/2006/relationships"><Relationship Type="http://schemas.openxmlformats.org/officeDocument/2006/relationships/externalLinkPath" Target="../../../../../Apps/My%20C%20Docs/Gbaran-16/Afam%209%20EOWR.doc/BAKER/7MRL84~1/Post%20Job%20Report/WT.xls" TargetMode="External" Id="rId1" /></Relationships>
</file>

<file path=xl/externalLinks/_rels/externalLink107.xml.rels><Relationships xmlns="http://schemas.openxmlformats.org/package/2006/relationships"><Relationship Type="http://schemas.openxmlformats.org/officeDocument/2006/relationships/externalLinkPath" Target="../../../../../Documents%20and%20Settings/ianmx/My%20Documents/Tech%20Info/Technical%20Files/Tubmove/Tubing%20movement.xls" TargetMode="External" Id="rId1" /></Relationships>
</file>

<file path=xl/externalLinks/_rels/externalLink108.xml.rels><Relationships xmlns="http://schemas.openxmlformats.org/package/2006/relationships"><Relationship Type="http://schemas.openxmlformats.org/officeDocument/2006/relationships/externalLinkPath" Target="../../../../../Documents%20and%20Settings/e109708/Local%20Settings/Temporary%20Internet%20Files/Content.Outlook/FM9EGCPG/Permanent%20completion%20workbook.xls" TargetMode="External" Id="rId1" /></Relationships>
</file>

<file path=xl/externalLinks/_rels/externalLink109.xml.rels><Relationships xmlns="http://schemas.openxmlformats.org/package/2006/relationships"><Relationship Type="http://schemas.openxmlformats.org/officeDocument/2006/relationships/externalLinkPath" Target="../../../../../C:/Users/enwoony/Desktop/Nsiko%20North/9.625%20LINER%20HANGER/Nsiko%20North%20Liner%20Hanger%20Work%20Book.xls" TargetMode="External" Id="rId1" /></Relationships>
</file>

<file path=xl/externalLinks/_rels/externalLink110.xml.rels><Relationships xmlns="http://schemas.openxmlformats.org/package/2006/relationships"><Relationship Type="http://schemas.openxmlformats.org/officeDocument/2006/relationships/externalLinkPath" Target="../../../../../I:/Saudi%20Oilwells/Saudi%20Land%20Jobs/Directional%20Jobs/ANDR-490/12%20BHA.xls" TargetMode="External" Id="rId1" /></Relationships>
</file>

<file path=xl/externalLinks/_rels/externalLink111.xml.rels><Relationships xmlns="http://schemas.openxmlformats.org/package/2006/relationships"><Relationship Type="http://schemas.openxmlformats.org/officeDocument/2006/relationships/externalLinkPath" Target="../../../../../teams/ONSDRBAB/Shared%20Documents/Completion%20and%20Workover/02-Well%20Program/2024%20Wells/BB-1963/COMP_BB1963_WI307L80BB22.xlsx" TargetMode="External" Id="rId1" /></Relationships>
</file>

<file path=xl/externalLinks/_rels/externalLink112.xml.rels><Relationships xmlns="http://schemas.openxmlformats.org/package/2006/relationships"><Relationship Type="http://schemas.openxmlformats.org/officeDocument/2006/relationships/externalLinkPath" Target="../../../../../Users/e267760/Desktop/Work/Jobs/2024/03-March/AD-32%20BB-1963/field%20package/EOWR%20AD-32%20(BB-1963).xlsx" TargetMode="External" Id="rId1" /></Relationships>
</file>

<file path=xl/externalLinks/_rels/externalLink113.xml.rels><Relationships xmlns="http://schemas.openxmlformats.org/package/2006/relationships"><Relationship Type="http://schemas.openxmlformats.org/officeDocument/2006/relationships/externalLinkPath" Target="../../../../../A:/WINDOWS/Desktop/GARYJOB/FORMS.XLS" TargetMode="External" Id="rId1" /></Relationships>
</file>

<file path=xl/externalLinks/_rels/externalLink114.xml.rels><Relationships xmlns="http://schemas.openxmlformats.org/package/2006/relationships"><Relationship Type="http://schemas.openxmlformats.org/officeDocument/2006/relationships/externalLinkPath" Target="https://slb001-my.sharepoint.com/Data/Customers/CNOOC/Cinta/Cinta%20H-4/Cinta%20H-4%20Prepack,%2011-Jun-02,%20Rev1.xls" TargetMode="External" Id="rId1" /></Relationships>
</file>

<file path=xl/externalLinks/_rels/externalLink115.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Hydraulics.xls" TargetMode="External" Id="rId1" /></Relationships>
</file>

<file path=xl/externalLinks/_rels/externalLink116.xml.rels><Relationships xmlns="http://schemas.openxmlformats.org/package/2006/relationships"><Relationship Type="http://schemas.openxmlformats.org/officeDocument/2006/relationships/externalLinkPath" Target="../../../../../FORMULAS/Kill%20Sheet%20Laff.xls" TargetMode="External" Id="rId1" /></Relationships>
</file>

<file path=xl/externalLinks/_rels/externalLink117.xml.rels><Relationships xmlns="http://schemas.openxmlformats.org/package/2006/relationships"><Relationship Type="http://schemas.openxmlformats.org/officeDocument/2006/relationships/externalLinkPath" Target="../../../../../Users/e208947/Desktop/UZ489/UZ-489%20JOB%20WORK%20BOOK.xls" TargetMode="External" Id="rId1" /></Relationships>
</file>

<file path=xl/externalLinks/_rels/externalLink118.xml.rels><Relationships xmlns="http://schemas.openxmlformats.org/package/2006/relationships"><Relationship Type="http://schemas.openxmlformats.org/officeDocument/2006/relationships/externalLinkPath" Target="../../../../../Copy%20of%20Central%20Island%20-%20Halliburton%20HSE%20Observations.xlsx" TargetMode="External" Id="rId1" /></Relationships>
</file>

<file path=xl/externalLinks/_rels/externalLink119.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EXCEL5/QK179/J12&#20108;.XLS" TargetMode="External" Id="rId1" /></Relationships>
</file>

<file path=xl/externalLinks/_rels/externalLink120.xml.rels><Relationships xmlns="http://schemas.openxmlformats.org/package/2006/relationships"><Relationship Type="http://schemas.openxmlformats.org/officeDocument/2006/relationships/externalLinkPath" Target="../../../../../Apps/Rig%202/Soku%20Campaign/SOKU%20036/CASING%20&amp;%20CEMENTING/Personal.xls" TargetMode="External" Id="rId1" /></Relationships>
</file>

<file path=xl/externalLinks/_rels/externalLink121.xml.rels><Relationships xmlns="http://schemas.openxmlformats.org/package/2006/relationships"><Relationship Type="http://schemas.openxmlformats.org/officeDocument/2006/relationships/externalLinkPath" Target="file://2D140315/SA325_ABF307S%23_Completion%20Package_V2.xlsx" TargetMode="External" Id="rId1" /></Relationships>
</file>

<file path=xl/externalLinks/_rels/externalLink122.xml.rels><Relationships xmlns="http://schemas.openxmlformats.org/package/2006/relationships"><Relationship Type="http://schemas.openxmlformats.org/officeDocument/2006/relationships/externalLinkPath" Target="file://publicstg1/DRIL_Public$/ADCO/Documents%20and%20Settings/hba7869/My%20Documents/My%20Documents/FC/QUALITY/HMS/Reviews/Well%20Report%20Templates/Well%20Completion%20Data%20Book%20(HES)1.xls" TargetMode="External" Id="rId1" /></Relationships>
</file>

<file path=xl/externalLinks/_rels/externalLink123.xml.rels><Relationships xmlns="http://schemas.openxmlformats.org/package/2006/relationships"><Relationship Type="http://schemas.openxmlformats.org/officeDocument/2006/relationships/externalLinkPath" Target="../../../../../Documents%20and%20Settings/langdezn/My%20Documents/B.O.T/Liner%20HR/SDGM-118/MEAP%20OHC%20Report%20Rev%205%20431.xls" TargetMode="External" Id="rId1" /></Relationships>
</file>

<file path=xl/externalLinks/_rels/externalLink124.xml.rels><Relationships xmlns="http://schemas.openxmlformats.org/package/2006/relationships"><Relationship Type="http://schemas.openxmlformats.org/officeDocument/2006/relationships/externalLinkPath" Target="file://DHAALL1001/Public$/WINNT/Profiles/psw/Desktop/FRAC/00%20work%20to%20do/ticket/TICKET%20AND%20CONTINUATION.xls" TargetMode="External" Id="rId1" /></Relationships>
</file>

<file path=xl/externalLinks/_rels/externalLink125.xml.rels><Relationships xmlns="http://schemas.openxmlformats.org/package/2006/relationships"><Relationship Type="http://schemas.openxmlformats.org/officeDocument/2006/relationships/externalLinkPath" Target="../../../../../Documents%20and%20Settings/e139622/Local%20Settings/Temporary%20Internet%20Files/Content.Outlook/0IMVV9RG/Form-3-4-US-GL-GL-00002_JRAA%20Form_Rev2_030211%20(2).xlsx" TargetMode="External" Id="rId1" /></Relationships>
</file>

<file path=xl/externalLinks/_rels/externalLink126.xml.rels><Relationships xmlns="http://schemas.openxmlformats.org/package/2006/relationships"><Relationship Type="http://schemas.openxmlformats.org/officeDocument/2006/relationships/externalLinkPath" Target="../../../../../C:/Users/h155384/Desktop/CWT/Paper%20Work/CWT%20schematic/JOB%20PACK%20%20CWT%20-ZB%20262.xls" TargetMode="External" Id="rId1" /></Relationships>
</file>

<file path=xl/externalLinks/_rels/externalLink127.xml.rels><Relationships xmlns="http://schemas.openxmlformats.org/package/2006/relationships"><Relationship Type="http://schemas.openxmlformats.org/officeDocument/2006/relationships/externalLinkPath" Target="https://slb001.sharepoint.com/SAPS/Finance%20team/data%20preparation/VENDOR%20&amp;%20BANK%20FILES/MIGRATION%20FILES/BANK%2020-10.xls" TargetMode="External" Id="rId1" /></Relationships>
</file>

<file path=xl/externalLinks/_rels/externalLink128.xml.rels><Relationships xmlns="http://schemas.openxmlformats.org/package/2006/relationships"><Relationship Type="http://schemas.openxmlformats.org/officeDocument/2006/relationships/externalLinkPath" Target="file://10.221.16.211/d$/Documents/mail/attach/TCOs/07EQG041_Hess_Sedco700_C37_17.5in_12.25in_TCO_Rev2.xls" TargetMode="External" Id="rId1" /></Relationships>
</file>

<file path=xl/externalLinks/_rels/externalLink129.xml.rels><Relationships xmlns="http://schemas.openxmlformats.org/package/2006/relationships"><Relationship Type="http://schemas.openxmlformats.org/officeDocument/2006/relationships/externalLinkPath" Target="file://10.221.16.211/d$/Documents%20and%20Settings/MKharbotly/Local%20Settings/Temporary%20Internet%20Files/Content.IE5/E4HC4P8I/Back_up.xls" TargetMode="External" Id="rId1" /></Relationships>
</file>

<file path=xl/externalLinks/_rels/externalLink130.xml.rels><Relationships xmlns="http://schemas.openxmlformats.org/package/2006/relationships"><Relationship Type="http://schemas.openxmlformats.org/officeDocument/2006/relationships/externalLinkPath" Target="../../../../../Users/binahm03/Desktop/Liner%20Hanger%20Field%20Workbook.xlsx" TargetMode="External" Id="rId1" /></Relationships>
</file>

<file path=xl/externalLinks/_rels/externalLink131.xml.rels><Relationships xmlns="http://schemas.openxmlformats.org/package/2006/relationships"><Relationship Type="http://schemas.openxmlformats.org/officeDocument/2006/relationships/externalLinkPath" Target="../../../../../C:/Documents%20and%20Settings/guokath/Local%20Settings/Temporary%20Internet%20Files/OLK587/LH_ImportTemp.xls" TargetMode="External" Id="rId1" /></Relationships>
</file>

<file path=xl/externalLinks/_rels/externalLink132.xml.rels><Relationships xmlns="http://schemas.openxmlformats.org/package/2006/relationships"><Relationship Type="http://schemas.openxmlformats.org/officeDocument/2006/relationships/externalLinkPath" Target="file://FA51F76F/SO%237913827%20PA-656%20BRRI-219%205in%20TWR,%20PBR,%20XPO%237.xls" TargetMode="External" Id="rId1" /></Relationships>
</file>

<file path=xl/externalLinks/_rels/externalLink133.xml.rels><Relationships xmlns="http://schemas.openxmlformats.org/package/2006/relationships"><Relationship Type="http://schemas.openxmlformats.org/officeDocument/2006/relationships/externalLinkPath" Target="file://KEMAMAN-SLB1/CompServ/MSOFFICE/EXCEL/DATA/COMMAND/FORMS/MREP1295.XLS" TargetMode="External" Id="rId1" /></Relationships>
</file>

<file path=xl/externalLinks/_rels/externalLink134.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works/BZ313D/&#31532;&#20116;&#33410;.XLS" TargetMode="External" Id="rId1" /></Relationships>
</file>

<file path=xl/externalLinks/_rels/externalLink135.xml.rels><Relationships xmlns="http://schemas.openxmlformats.org/package/2006/relationships"><Relationship Type="http://schemas.openxmlformats.org/officeDocument/2006/relationships/externalLinkPath" Target="../../../../../Users/Usama%20Javaid/Desktop/ADCO%20LINER%20HANGER_AD_55_BU_844/WORKBOOK_AD_55_BU_884.xlsm" TargetMode="External" Id="rId1" /></Relationships>
</file>

<file path=xl/externalLinks/_rels/externalLink136.xml.rels><Relationships xmlns="http://schemas.openxmlformats.org/package/2006/relationships"><Relationship Type="http://schemas.openxmlformats.org/officeDocument/2006/relationships/externalLinkPath" Target="../../../../../Apps/Rig%202/Soku%20Campaign/SOKU%20036/CASING%20&amp;%20CEMENTING/Well.xls" TargetMode="External" Id="rId1" /></Relationships>
</file>

<file path=xl/externalLinks/_rels/externalLink137.xml.rels><Relationships xmlns="http://schemas.openxmlformats.org/package/2006/relationships"><Relationship Type="http://schemas.openxmlformats.org/officeDocument/2006/relationships/externalLinkPath" Target="../../../../../Users/012716/Desktop/Tinu%20Joseph%20(NDC%20ND131)/Desktop/Pipe%20Tally(12.25%20Inch%20Hole).xls" TargetMode="External" Id="rId1" /></Relationships>
</file>

<file path=xl/externalLinks/_rels/externalLink138.xml.rels><Relationships xmlns="http://schemas.openxmlformats.org/package/2006/relationships"><Relationship Type="http://schemas.openxmlformats.org/officeDocument/2006/relationships/externalLinkPath" Target="../../../../../Data/Exl/DEV-Baker.xls" TargetMode="External" Id="rId1" /></Relationships>
</file>

<file path=xl/externalLinks/_rels/externalLink139.xml.rels><Relationships xmlns="http://schemas.openxmlformats.org/package/2006/relationships"><Relationship Type="http://schemas.openxmlformats.org/officeDocument/2006/relationships/externalLinkPath" Target="file://Srv002klm/WCP-KL/My%20Documents/FSM/budget%2000/Budget%202K%20Dec%20Rev/adriano.xls" TargetMode="External" Id="rId1" /></Relationships>
</file>

<file path=xl/externalLinks/_rels/externalLink140.xml.rels><Relationships xmlns="http://schemas.openxmlformats.org/package/2006/relationships"><Relationship Type="http://schemas.openxmlformats.org/officeDocument/2006/relationships/externalLinkPath" Target="../../../../../A:/windows/TEMP/ANGSI%20B%20%23%2014.xls" TargetMode="External" Id="rId1" /></Relationships>
</file>

<file path=xl/externalLinks/_rels/externalLink141.xml.rels><Relationships xmlns="http://schemas.openxmlformats.org/package/2006/relationships"><Relationship Type="http://schemas.openxmlformats.org/officeDocument/2006/relationships/externalLinkPath" Target="file://KEMAMAN-SLB1/CompServ/MSOFFICE/EXCEL/DATA/COMMAND/FORMS/MREP0396.XLS" TargetMode="External" Id="rId1" /></Relationships>
</file>

<file path=xl/externalLinks/_rels/externalLink142.xml.rels><Relationships xmlns="http://schemas.openxmlformats.org/package/2006/relationships"><Relationship Type="http://schemas.openxmlformats.org/officeDocument/2006/relationships/externalLinkPath" Target="../../../../../A:/WINDOWS/TEMP/windows/TEMP/BENWORKB.DOC/MORNRPT.XLS" TargetMode="External" Id="rId1" /></Relationships>
</file>

<file path=xl/externalLinks/_rels/externalLink143.xml.rels><Relationships xmlns="http://schemas.openxmlformats.org/package/2006/relationships"><Relationship Type="http://schemas.openxmlformats.org/officeDocument/2006/relationships/externalLinkPath" Target="https://slb001-my.sharepoint.com/KUAN/Book1.xls" TargetMode="External" Id="rId1" /></Relationships>
</file>

<file path=xl/externalLinks/_rels/externalLink144.xml.rels><Relationships xmlns="http://schemas.openxmlformats.org/package/2006/relationships"><Relationship Type="http://schemas.openxmlformats.org/officeDocument/2006/relationships/externalLinkPath" Target="../../../../../A:/Well%20File/Angsi%20B/Work%20File/Angsi%20B%20%23%2016/ANGSI%20B%20%23%2016.xls" TargetMode="External" Id="rId1" /></Relationships>
</file>

<file path=xl/externalLinks/_rels/externalLink145.xml.rels><Relationships xmlns="http://schemas.openxmlformats.org/package/2006/relationships"><Relationship Type="http://schemas.openxmlformats.org/officeDocument/2006/relationships/externalLinkPath" Target="file://my0129srv01.dir.slb.com/Completions/Slb%20Labuan/Murphy%20Kikeh/Subsea-SDP-WX-04.xls" TargetMode="External" Id="rId1" /></Relationships>
</file>

<file path=xl/externalLinks/_rels/externalLink146.xml.rels><Relationships xmlns="http://schemas.openxmlformats.org/package/2006/relationships"><Relationship Type="http://schemas.openxmlformats.org/officeDocument/2006/relationships/externalLinkPath" Target="https://slb001-my.sharepoint.com/Documents%20and%20Settings/aismail5/Desktop/Bumi%20Deep-2_DD%20slideSheet_8.5in%20HS/SlideSheett_Rev1.0.xls" TargetMode="External" Id="rId1" /></Relationships>
</file>

<file path=xl/externalLinks/_rels/externalLink147.xml.rels><Relationships xmlns="http://schemas.openxmlformats.org/package/2006/relationships"><Relationship Type="http://schemas.openxmlformats.org/officeDocument/2006/relationships/externalLinkPath" Target="file://KEMAMAN-SLB1/CompServ/MSOFFICE/EXCEL/DATA/COMMAND/FORMS/MREP0196.XLS" TargetMode="External" Id="rId1" /></Relationships>
</file>

<file path=xl/externalLinks/_rels/externalLink148.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27880;&#27700;&#20117;&#38075;&#20117;&#25968;&#25454;/C2&#23436;&#20117;&#25253;&#21578;.xls" TargetMode="External" Id="rId1" /></Relationships>
</file>

<file path=xl/externalLinks/_rels/externalLink149.xml.rels><Relationships xmlns="http://schemas.openxmlformats.org/package/2006/relationships"><Relationship Type="http://schemas.openxmlformats.org/officeDocument/2006/relationships/externalLinkPath" Target="../../../../../A:/BHA.XLS" TargetMode="External" Id="rId1" /></Relationships>
</file>

<file path=xl/externalLinks/_rels/externalLink150.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Volumes.xls" TargetMode="External" Id="rId1" /></Relationships>
</file>

<file path=xl/externalLinks/_rels/externalLink151.xml.rels><Relationships xmlns="http://schemas.openxmlformats.org/package/2006/relationships"><Relationship Type="http://schemas.openxmlformats.org/officeDocument/2006/relationships/externalLinkPath" Target="file://publicstg1/DRIL_Public$/Documents%20and%20Settings/hbaj849/Local%20Settings/Temporary%20Internet%20Files/OLK175/Angsi%20A%20Back%20Up.xls" TargetMode="External" Id="rId1" /></Relationships>
</file>

<file path=xl/externalLinks/_rels/externalLink152.xml.rels><Relationships xmlns="http://schemas.openxmlformats.org/package/2006/relationships"><Relationship Type="http://schemas.openxmlformats.org/officeDocument/2006/relationships/externalLinkPath" Target="file://KEMAMAN-SLB1/CompServ/MSOFFICE/EXCEL/DATA/COMMAND/FORMS/MREP0395.XLS" TargetMode="External" Id="rId1" /></Relationships>
</file>

<file path=xl/externalLinks/_rels/externalLink153.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Lookahead%20EA%20Tot.xls" TargetMode="External" Id="rId1" /></Relationships>
</file>

<file path=xl/externalLinks/_rels/externalLink154.xml.rels><Relationships xmlns="http://schemas.openxmlformats.org/package/2006/relationships"><Relationship Type="http://schemas.openxmlformats.org/officeDocument/2006/relationships/externalLinkPath" Target="http://bothoudoc01/1Rish/QA/BOT-QA/FORMS/1212-B.XLS" TargetMode="External" Id="rId1" /></Relationships>
</file>

<file path=xl/externalLinks/_rels/externalLink155.xml.rels><Relationships xmlns="http://schemas.openxmlformats.org/package/2006/relationships"><Relationship Type="http://schemas.openxmlformats.org/officeDocument/2006/relationships/externalLinkPath" Target="../../../../../A:/Documents%20and%20Settings/hba7869/My%20Documents/My%20Documents/FC/QUALITY/HMS/TNA%20A-6/Tuna%20A-6temp.xls" TargetMode="External" Id="rId1" /></Relationships>
</file>

<file path=xl/externalLinks/_rels/externalLink156.xml.rels><Relationships xmlns="http://schemas.openxmlformats.org/package/2006/relationships"><Relationship Type="http://schemas.openxmlformats.org/officeDocument/2006/relationships/externalLinkPath" Target="../../../../../TEMP/Okan76ST%20Field%20Report1.xls" TargetMode="External" Id="rId1" /></Relationships>
</file>

<file path=xl/externalLinks/_rels/externalLink157.xml.rels><Relationships xmlns="http://schemas.openxmlformats.org/package/2006/relationships"><Relationship Type="http://schemas.openxmlformats.org/officeDocument/2006/relationships/externalLinkPath" Target="../../../../../AKPO%20101/10.75%20Liner%20Tally%20(Bob).xls" TargetMode="External" Id="rId1" /></Relationships>
</file>

<file path=xl/externalLinks/_rels/externalLink158.xml.rels><Relationships xmlns="http://schemas.openxmlformats.org/package/2006/relationships"><Relationship Type="http://schemas.openxmlformats.org/officeDocument/2006/relationships/externalLinkPath" Target="../../../../../personal/nfuzi_adnoc_ae/Documents/Desktop/Desktop/GLM%20NINE%20ENR%20AD-115,%20SN-33%20DEC%20,24/RIH/Working%20copy/SN33_OP307_SCNB60_Completion%20Package_V0.xlsx" TargetMode="External" Id="rId1" /></Relationships>
</file>

<file path=xl/externalLinks/_rels/externalLink159.xml.rels><Relationships xmlns="http://schemas.openxmlformats.org/package/2006/relationships"><Relationship Type="http://schemas.openxmlformats.org/officeDocument/2006/relationships/externalLinkPath" Target="../../../../../Documents%20and%20Settings/hx45207/Desktop/103/Akpo%20103%20Schematic/Other%20revisions/AKPO%20101/10.75%20Liner%20Tally%20(Bob).xls" TargetMode="External" Id="rId1" /></Relationships>
</file>

<file path=xl/externalLinks/_rels/externalLink160.xml.rels><Relationships xmlns="http://schemas.openxmlformats.org/package/2006/relationships"><Relationship Type="http://schemas.openxmlformats.org/officeDocument/2006/relationships/externalLinkPath" Target="file://Ushou-f-2001014/shareinf/SDS/Staff%20Meetings/5-24-04/SDS/Rolling%20Forecast/Current%20Forecast/FORECAST%20INPUT.xls" TargetMode="External" Id="rId1" /></Relationships>
</file>

<file path=xl/externalLinks/_rels/externalLink161.xml.rels><Relationships xmlns="http://schemas.openxmlformats.org/package/2006/relationships"><Relationship Type="http://schemas.openxmlformats.org/officeDocument/2006/relationships/externalLinkPath" Target="../../../../../personal/rbangun_adnoc_ae/Documents/Desktop/2022_WORK/COMP_SB328_AB307C.xlsx" TargetMode="External" Id="rId1" /></Relationships>
</file>

<file path=xl/externalLinks/_rels/externalLink162.xml.rels><Relationships xmlns="http://schemas.openxmlformats.org/package/2006/relationships"><Relationship Type="http://schemas.openxmlformats.org/officeDocument/2006/relationships/externalLinkPath" Target="../../../../../Apps/My%20C%20Docs/Gbaran-16/Afam%209%20EOWR.doc/BAKER/7-MRL-~1/ScottFee/WTR_USA1.xls" TargetMode="External" Id="rId1" /></Relationships>
</file>

<file path=xl/externalLinks/_rels/externalLink163.xml.rels><Relationships xmlns="http://schemas.openxmlformats.org/package/2006/relationships"><Relationship Type="http://schemas.openxmlformats.org/officeDocument/2006/relationships/externalLinkPath" Target="file://publicstg1/DRIL_Public$/ADCO/Documents%20and%20Settings/hba7869/My%20Documents/My%20Documents/FC/QUALITY/HMS/TNA%20A-6/Tuna%20A-6temp.xls" TargetMode="External" Id="rId1" /></Relationships>
</file>

<file path=xl/externalLinks/_rels/externalLink164.xml.rels><Relationships xmlns="http://schemas.openxmlformats.org/package/2006/relationships"><Relationship Type="http://schemas.openxmlformats.org/officeDocument/2006/relationships/externalLinkPath" Target="../../../../../C:/Users/MMuin/Desktop/FC-21/Section%2014%20Job%20Execution/RIH/UC%20RIH/ZA23/Section%2014%20Job%20Execution%20(Wellsite%20Reports)/3.%20Completion%20Running%20Work%20Instructions/ZA-23%20ND%20-%20Completion%20Program%20Approved%2023%20June%202013.xlsm" TargetMode="External" Id="rId1" /></Relationships>
</file>

<file path=xl/externalLinks/_rels/externalLink165.xml.rels><Relationships xmlns="http://schemas.openxmlformats.org/package/2006/relationships"><Relationship Type="http://schemas.openxmlformats.org/officeDocument/2006/relationships/externalLinkPath" Target="../../../../../Users/umirarm/Documents/Clients/ADNOC/ADNOC%20Onshore/Wells/006.%20HB-007RE_AD-57_111422497/Job%20Files/HB-007RE%20Workbook_Rev%20G_111422497.xlsm" TargetMode="External" Id="rId1" /></Relationships>
</file>

<file path=xl/externalLinks/_rels/externalLink166.xml.rels><Relationships xmlns="http://schemas.openxmlformats.org/package/2006/relationships"><Relationship Type="http://schemas.openxmlformats.org/officeDocument/2006/relationships/externalLinkPath" Target="../../../../../A:/KUAN/Book1.xls" TargetMode="External" Id="rId1" /></Relationships>
</file>

<file path=xl/externalLinks/_rels/externalLink167.xml.rels><Relationships xmlns="http://schemas.openxmlformats.org/package/2006/relationships"><Relationship Type="http://schemas.openxmlformats.org/officeDocument/2006/relationships/externalLinkPath" Target="file://Dungdq/d/CS3408/Standard/RPT.xls" TargetMode="External" Id="rId1" /></Relationships>
</file>

<file path=xl/externalLinks/_rels/externalLink168.xml.rels><Relationships xmlns="http://schemas.openxmlformats.org/package/2006/relationships"><Relationship Type="http://schemas.openxmlformats.org/officeDocument/2006/relationships/externalLinkPath" Target="file://95E41FE6/9.625%20TCP%20String.xls" TargetMode="External" Id="rId1" /></Relationships>
</file>

<file path=xl/externalLinks/_rels/externalLink169.xml.rels><Relationships xmlns="http://schemas.openxmlformats.org/package/2006/relationships"><Relationship Type="http://schemas.openxmlformats.org/officeDocument/2006/relationships/externalLinkPath" Target="../../../../../Users/mhilmi/AppData/Local/Microsoft/Windows/INetCache/Content.Outlook/1IJBG9NG/BB-1233_Completion_Tally_Draft.xlsx" TargetMode="External" Id="rId1" /></Relationships>
</file>

<file path=xl/externalLinks/_rels/externalLink170.xml.rels><Relationships xmlns="http://schemas.openxmlformats.org/package/2006/relationships"><Relationship Type="http://schemas.openxmlformats.org/officeDocument/2006/relationships/externalLinkPath" Target="../../../../../C:/Users/ad1005253/AppData/Local/Microsoft/Windows/Temporary%20Internet%20Files/Content.Outlook/7ZJW2M9A/ND%20135%20QW%20208%20AU307%20DRAFT%20RIH%20TALLY.xls" TargetMode="External" Id="rId1" /></Relationships>
</file>

<file path=xl/externalLinks/_rels/externalLink171.xml.rels><Relationships xmlns="http://schemas.openxmlformats.org/package/2006/relationships"><Relationship Type="http://schemas.openxmlformats.org/officeDocument/2006/relationships/externalLinkPath" Target="../../../../../C:/Users/ad1008180/AppData/Local/Microsoft/Windows/Temporary%20Internet%20Files/Content.Outlook/WJTR9H3R/DHDF_GA237_BU877_REV01.xlsx" TargetMode="External" Id="rId1" /></Relationships>
</file>

<file path=xl/externalLinks/_rels/externalLink172.xml.rels><Relationships xmlns="http://schemas.openxmlformats.org/package/2006/relationships"><Relationship Type="http://schemas.openxmlformats.org/officeDocument/2006/relationships/externalLinkPath" Target="../../../../../personal/rbangun_adnoc_ae/Documents/Desktop/2022_WORK/BB-1831/COMP_BB1831_BM307Sv2.xlsx" TargetMode="External" Id="rId1" /></Relationships>
</file>

<file path=xl/externalLinks/_rels/externalLink173.xml.rels><Relationships xmlns="http://schemas.openxmlformats.org/package/2006/relationships"><Relationship Type="http://schemas.openxmlformats.org/officeDocument/2006/relationships/externalLinkPath" Target="file://Srv002klm/WCP-KL/My%20Documents/MAT/FSM/budget%2000/TRY_FORECAST.xls" TargetMode="External" Id="rId1" /></Relationships>
</file>

<file path=xl/externalLinks/_rels/externalLink174.xml.rels><Relationships xmlns="http://schemas.openxmlformats.org/package/2006/relationships"><Relationship Type="http://schemas.openxmlformats.org/officeDocument/2006/relationships/externalLinkPath" Target="../../../../../A:/Extras.xls" TargetMode="External" Id="rId1" /></Relationships>
</file>

<file path=xl/externalLinks/_rels/externalLink175.xml.rels><Relationships xmlns="http://schemas.openxmlformats.org/package/2006/relationships"><Relationship Type="http://schemas.openxmlformats.org/officeDocument/2006/relationships/externalLinkPath" Target="file://9F2D01E0/CALLOUT-TRACE%20SHEETS%20MRJN-250%20NBR-656%20NE%20PXN%20PLUG%20NEW.xls" TargetMode="External" Id="rId1" /></Relationships>
</file>

<file path=xl/externalLinks/_rels/externalLink176.xml.rels><Relationships xmlns="http://schemas.openxmlformats.org/package/2006/relationships"><Relationship Type="http://schemas.openxmlformats.org/officeDocument/2006/relationships/externalLinkPath" Target="../../../../../A:/Documents%20and%20Settings/hba7869/My%20Documents/My%20Documents/FC/QUALITY/HMS/Reviews/Well%20Report%20Templates/Well%20Completion%20Data%20Book%20(HES)1.xls" TargetMode="External" Id="rId1" /></Relationships>
</file>

<file path=xl/externalLinks/_rels/externalLink177.xml.rels><Relationships xmlns="http://schemas.openxmlformats.org/package/2006/relationships"><Relationship Type="http://schemas.openxmlformats.org/officeDocument/2006/relationships/externalLinkPath" Target="file://pc.woodgroup.com/data/PC/International%20SS/Quotes/Quotes/Al%20Hugayet/Active/IH-16834%20-%20Al%20Hugayet%20-%20SAMSS%20Agreement/Tender/Coll%20No7200000467Vendor0010012852RFQ%20No4200386224.xls" TargetMode="External" Id="rId1" /></Relationships>
</file>

<file path=xl/externalLinks/_rels/externalLink178.xml.rels><Relationships xmlns="http://schemas.openxmlformats.org/package/2006/relationships"><Relationship Type="http://schemas.openxmlformats.org/officeDocument/2006/relationships/externalLinkPath" Target="../../../../../P:/Temp/COMPLETIONS/E-%20TICKET%20MASTER/NEW%20CONTRACT%20TICKET/Packer%20Ticket%20new%20contract.xls" TargetMode="External" Id="rId1" /></Relationships>
</file>

<file path=xl/externalLinks/_rels/externalLink179.xml.rels><Relationships xmlns="http://schemas.openxmlformats.org/package/2006/relationships"><Relationship Type="http://schemas.openxmlformats.org/officeDocument/2006/relationships/externalLinkPath" Target="file://publicstg1/DRIL_Public$/WINDOWS/TEMP/Angsi%20A.xls" TargetMode="External" Id="rId1" /></Relationships>
</file>

<file path=xl/externalLinks/_rels/externalLink180.xml.rels><Relationships xmlns="http://schemas.openxmlformats.org/package/2006/relationships"><Relationship Type="http://schemas.openxmlformats.org/officeDocument/2006/relationships/externalLinkPath" Target="../../../../../Documents%20and%20Settings/aadeyeb.BJ-NIGERIA-0002/Desktop/REPORTS/BOOK5.XLS!DRILLPI%20(3)" TargetMode="External" Id="rId1" /></Relationships>
</file>

<file path=xl/externalLinks/_rels/externalLink181.xml.rels><Relationships xmlns="http://schemas.openxmlformats.org/package/2006/relationships"><Relationship Type="http://schemas.openxmlformats.org/officeDocument/2006/relationships/externalLinkPath" Target="../../../../../A:/&#25105;&#30340;&#25991;&#26723;/D&#24179;&#21488;B~1/&#26085;&#25253;/&#26085;&#25253;&#34920;.XLS" TargetMode="External" Id="rId1" /></Relationships>
</file>

<file path=xl/externalLinks/_rels/externalLink182.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185_ATA309_Completion%20Package_LC_V2.xlsx" TargetMode="External" Id="rId1" /></Relationships>
</file>

<file path=xl/externalLinks/_rels/externalLink183.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023%20CompProg_ATA309_1.xlsx" TargetMode="External" Id="rId1" /></Relationships>
</file>

<file path=xl/externalLinks/_rels/externalLink184.xml.rels><Relationships xmlns="http://schemas.openxmlformats.org/package/2006/relationships"><Relationship Type="http://schemas.openxmlformats.org/officeDocument/2006/relationships/externalLinkPath" Target="file://publicstg/DRIL_Public$/WINDOWS/TEMP/Angsi%20A.xls" TargetMode="External" Id="rId1" /></Relationships>
</file>

<file path=xl/externalLinks/_rels/externalLink185.xml.rels><Relationships xmlns="http://schemas.openxmlformats.org/package/2006/relationships"><Relationship Type="http://schemas.openxmlformats.org/officeDocument/2006/relationships/externalLinkPath" Target="https://adnocmpsa-my.sharepoint.com/personal/agalin_adnoc_ae/Documents/Documents/Technical%20Docs/Programs/OP309_SCNB60/DY19_WG307_L80NB20_Completion%20Package_V0.xlsx" TargetMode="External" Id="rId1" /></Relationships>
</file>

<file path=xl/externalLinks/_rels/externalLink186.xml.rels><Relationships xmlns="http://schemas.openxmlformats.org/package/2006/relationships"><Relationship Type="http://schemas.openxmlformats.org/officeDocument/2006/relationships/externalLinkPath" Target="file://55236EB2/SO%237913827%20PA-656%20BRRI-219%205in%20TWR,%20PBR,%20XPO%237.xls" TargetMode="External" Id="rId1" /></Relationships>
</file>

<file path=xl/externalLinks/_rels/externalLink187.xml.rels><Relationships xmlns="http://schemas.openxmlformats.org/package/2006/relationships"><Relationship Type="http://schemas.openxmlformats.org/officeDocument/2006/relationships/externalLinkPath" Target="file://teams/ONSDRNEB/Shared%2520Documents/Completion%2520and%2520Workover/D_Others/NEB%2520Completion%2520Database.xlsx" TargetMode="External" Id="rId1" /></Relationships>
</file>

<file path=xl/externalLinks/_rels/externalLink188.xml.rels><Relationships xmlns="http://schemas.openxmlformats.org/package/2006/relationships"><Relationship Type="http://schemas.openxmlformats.org/officeDocument/2006/relationships/externalLinkPath" Target="../../../../../A:/EXCEL5/QK179/J12&#20108;.XLS" TargetMode="External" Id="rId1" /></Relationships>
</file>

<file path=xl/externalLinks/_rels/externalLink189.xml.rels><Relationships xmlns="http://schemas.openxmlformats.org/package/2006/relationships"><Relationship Type="http://schemas.openxmlformats.org/officeDocument/2006/relationships/externalLinkPath" Target="../../../../../A:/works/BZ313D/&#31532;&#20116;&#33410;.XLS" TargetMode="External" Id="rId1" /></Relationships>
</file>

<file path=xl/externalLinks/_rels/externalLink190.xml.rels><Relationships xmlns="http://schemas.openxmlformats.org/package/2006/relationships"><Relationship Type="http://schemas.openxmlformats.org/officeDocument/2006/relationships/externalLinkPath" Target="file://teams/ONSDRNEB/Shared%2520Documents/Completion%2520and%2520Workover/A_Wells/DY308_2023_EA407SN/Program/DY308_EA407SN%23_Completion%20Package_V0.xlsx" TargetMode="External" Id="rId1" /></Relationships>
</file>

<file path=xl/externalLinks/_rels/externalLink191.xml.rels><Relationships xmlns="http://schemas.openxmlformats.org/package/2006/relationships"><Relationship Type="http://schemas.openxmlformats.org/officeDocument/2006/relationships/externalLinkPath" Target="file://F5BF13D4/ZA-23%20ND%20-%20Completion%20Program%20Approved%2023%20June%202013.xlsm" TargetMode="External" Id="rId1" /></Relationships>
</file>

<file path=xl/externalLinks/_rels/externalLink192.xml.rels><Relationships xmlns="http://schemas.openxmlformats.org/package/2006/relationships"><Relationship Type="http://schemas.openxmlformats.org/officeDocument/2006/relationships/externalLinkPath" Target="../../../../../C:/Users/mhilmi/AppData/Local/Microsoft/Windows/INetCache/Content.Outlook/1IJBG9NG/BB-1233_Completion_Tally_Draft.xlsx" TargetMode="External" Id="rId1" /></Relationships>
</file>

<file path=xl/externalLinks/_rels/externalLink193.xml.rels><Relationships xmlns="http://schemas.openxmlformats.org/package/2006/relationships"><Relationship Type="http://schemas.openxmlformats.org/officeDocument/2006/relationships/externalLinkPath" Target="file://271F94B2/CALLOUT-TRACE%20SHEETS%20MRJN-250%20NBR-656%20NE%20PXN%20PLUG%20NEW.xls" TargetMode="External" Id="rId1" /></Relationships>
</file>

<file path=xl/externalLinks/_rels/externalLink194.xml.rels><Relationships xmlns="http://schemas.openxmlformats.org/package/2006/relationships"><Relationship Type="http://schemas.openxmlformats.org/officeDocument/2006/relationships/externalLinkPath" Target="file://Bohai7/bz26-2&#39033;&#30446;/EXCEL5/QK179/J12&#20108;.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1A Wellbore Diagram (ND)"/>
      <sheetName val="1B. Wellbore Diagram (ST)"/>
      <sheetName val="2A Completion Tally (plan)"/>
      <sheetName val="Equipment Go-To Sheet"/>
      <sheetName val="2B Raw Rig Tally"/>
      <sheetName val="7 Spaceout"/>
      <sheetName val="3A Well Path (lower lateral)"/>
      <sheetName val="4A Wellhead &amp; Xmas Tree"/>
      <sheetName val="4B Wellbore Diagram (pre-job)"/>
      <sheetName val="5A Mirage Plug Calculation"/>
      <sheetName val="6A Well Handover Form"/>
      <sheetName val="11A Tubular &amp; Stim Vessel Info"/>
      <sheetName val="7A Hookup (Compl'n)"/>
      <sheetName val="8A Standard Mixes"/>
      <sheetName val="Radiagreen Dilution Calcs"/>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For Allocation Email"/>
      <sheetName val="Sheet1"/>
      <sheetName val="Tubular Allocation"/>
      <sheetName val="Auto Allocation Sheet"/>
      <sheetName val="DWS Wells"/>
      <sheetName val="LH"/>
      <sheetName val="Xovers"/>
      <sheetName val="Cellar"/>
      <sheetName val="Master List"/>
      <sheetName val="Baskets"/>
      <sheetName val="Landing Joints"/>
      <sheetName val="For_Allocation_Email"/>
      <sheetName val="Tubular_Allocation"/>
      <sheetName val="Auto_Allocation_Sheet"/>
      <sheetName val="DWS_Wells"/>
      <sheetName val="Master_List"/>
      <sheetName val="Landing_Join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WTR"/>
      <sheetName val="Data"/>
      <sheetName val="WSR"/>
      <sheetName val="Post Job"/>
      <sheetName val="Summary"/>
      <sheetName val="SRT"/>
      <sheetName val="Treating Pressure"/>
      <sheetName val="Sand Height"/>
      <sheetName val="Acid Calu"/>
      <sheetName val="Acid Order"/>
      <sheetName val="DogCode"/>
      <sheetName val="Version"/>
      <sheetName val="Mileage Chart"/>
      <sheetName val="Company Evaluation"/>
      <sheetName val="Lead Operator"/>
      <sheetName val="Equip Operator"/>
      <sheetName val="PRR"/>
      <sheetName val="Sales Phone"/>
      <sheetName val="LAP Phone"/>
      <sheetName val="Module1"/>
      <sheetName val="Module2"/>
      <sheetName val="Dialog1"/>
      <sheetName val="N. BARDWIL Complete"/>
      <sheetName val="N.Bardwell lower G.P zone"/>
      <sheetName val="N.Bardwell Lower Isolation"/>
      <sheetName val="N.Bardwell Upper G.P Zone"/>
      <sheetName val="N.Bardwell upper isolation"/>
      <sheetName val="Upper Smart Completion"/>
      <sheetName val="Max-Torq"/>
      <sheetName val="List of Accounts"/>
      <sheetName val="Metric Conversions"/>
      <sheetName val="Casing Info"/>
      <sheetName val="Liner Job Info"/>
      <sheetName val="Weight Calculations"/>
      <sheetName val="Test"/>
      <sheetName val="Job Log"/>
      <sheetName val="Diagrama"/>
      <sheetName val="Tally"/>
      <sheetName val="Displacement Cal."/>
      <sheetName val="PROGRAMA"/>
      <sheetName val="CACULATIONS QUIK"/>
      <sheetName val="Database Pg1"/>
      <sheetName val="Database Pg2"/>
      <sheetName val="Lista Chequeo Campo Español"/>
      <sheetName val="Manifiesto carga"/>
      <sheetName val="Encuesta Satisfaccion"/>
      <sheetName val="LINER"/>
      <sheetName val="Type Serv-Product Line"/>
      <sheetName val="Sheet1"/>
      <sheetName val="Reunion"/>
      <sheetName val="Sheet2"/>
      <sheetName val="Sheet3"/>
      <sheetName val="Encuesta Satisfaccion (2)"/>
      <sheetName val="Diagrama (2)"/>
      <sheetName val="Reunion (2)"/>
      <sheetName val="Drill Pipe Data"/>
      <sheetName val="Encuesta Satisfaccion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Database"/>
      <sheetName val="Sheet1"/>
      <sheetName val="Chronological"/>
      <sheetName val="Whipstock Report"/>
      <sheetName val="BHA DIAGRAM"/>
      <sheetName val="Whip &amp; Window "/>
      <sheetName val="Dim Hyd"/>
      <sheetName val="Dim Mech"/>
      <sheetName val="Dim O.H"/>
      <sheetName val="Dim Mill"/>
      <sheetName val="BHAinf"/>
      <sheetName val="Service Ticket"/>
      <sheetName val="Performance"/>
      <sheetName val="EOJR"/>
      <sheetName val="بارنامه"/>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Drop-Down Items"/>
      <sheetName val="Job Report Instructions"/>
      <sheetName val="Cover Page"/>
      <sheetName val="Job Summary"/>
      <sheetName val="Job Log"/>
      <sheetName val="Service Ticket"/>
      <sheetName val="BHA #1-6&quot; OD WASHOVER ASSY"/>
      <sheetName val="BHA #2 - 5 34&quot; FS OVERSHOT "/>
      <sheetName val="BHA #2 - 5 78 JUNK MILL"/>
      <sheetName val="BHA #3 - 5 34&quot; FS OVERSHOT  "/>
      <sheetName val="BHA #4 - 5 78 PRT"/>
      <sheetName val="BHA #5 - 5 78 JUNK MILL (2)"/>
      <sheetName val="Tool Icons"/>
      <sheetName val="BHA Component Library "/>
      <sheetName val="Timesheet - &quot;Name&quot;"/>
      <sheetName val="Section Milling Report #1"/>
      <sheetName val="Section Milling Summary #1"/>
      <sheetName val="Section Milling Report #2"/>
      <sheetName val="Section Milling Summary #2"/>
      <sheetName val="Cut and Pull Report #1"/>
      <sheetName val="Cut and Pull Summary #1"/>
      <sheetName val="Cut and Pull Report #2"/>
      <sheetName val="Cut and Pull Summary #2"/>
      <sheetName val="Whipstock Report"/>
      <sheetName val="Milling Operation Report"/>
      <sheetName val="Dull Grading Scheme"/>
      <sheetName val="Window Drawing - CH"/>
      <sheetName val="Window Drawing - OH"/>
      <sheetName val="Window Drawing - OHC"/>
      <sheetName val="Strap Sheet"/>
      <sheetName val="Misc. Strap Sheet"/>
      <sheetName val="Evaluation Form"/>
      <sheetName val="JSA"/>
      <sheetName val="Deviation Acceptance Form"/>
      <sheetName val="Back Load #1"/>
      <sheetName val="Tim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Macro1"/>
      <sheetName val="Macro2"/>
      <sheetName val="CALC7-2"/>
    </sheetNames>
    <sheetDataSet>
      <sheetData sheetId="0"/>
      <sheetData sheetId="1"/>
      <sheetData sheetId="2"/>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Purch"/>
      <sheetName val="Bid Summary"/>
      <sheetName val="Commercial Checklist"/>
      <sheetName val="Summary P+L"/>
      <sheetName val="Full Cost"/>
      <sheetName val="Manuf"/>
      <sheetName val="Prod Tree"/>
      <sheetName val="Choke"/>
      <sheetName val="TH"/>
      <sheetName val="Flowbase"/>
      <sheetName val="ITC"/>
      <sheetName val="A111623-5"/>
      <sheetName val="A111623-6"/>
      <sheetName val="Workup"/>
      <sheetName val="workup (4)"/>
      <sheetName val="7-30-0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Cover"/>
      <sheetName val="Distribution List"/>
      <sheetName val="Additional Well Requirements "/>
      <sheetName val="Obj.Sheet"/>
      <sheetName val="Progress Chart (2)"/>
      <sheetName val="Time breakdown"/>
      <sheetName val="17.5&quot; Phase Top Rus "/>
      <sheetName val="12.25&quot; Bab Mbr"/>
      <sheetName val="8.5&quot; Deviated Hole -7 Liner"/>
      <sheetName val="6&quot; Horizontal Hole"/>
      <sheetName val="Single Completion"/>
      <sheetName val="Dual Completion"/>
      <sheetName val="data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WORK ORD 1"/>
      <sheetName val="JSO 2,4"/>
      <sheetName val="LOAD SHEET 3"/>
      <sheetName val="INTERVAL 5"/>
      <sheetName val="INSTAL 6"/>
      <sheetName val="FasFil Calc 7"/>
      <sheetName val="MKII 8"/>
      <sheetName val="Dp needed 9"/>
      <sheetName val="JOBLOG 10"/>
      <sheetName val="safety met.11"/>
      <sheetName val="Chart1"/>
      <sheetName val="MT 13"/>
      <sheetName val="JCSI 1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CC29"/>
      <sheetName val="DWS2023"/>
      <sheetName val="DL"/>
      <sheetName val="DRAW"/>
      <sheetName val="PKR"/>
      <sheetName val="Brine"/>
      <sheetName val="RECORD"/>
      <sheetName val="REF"/>
      <sheetName val="INPUT"/>
      <sheetName val="PROG_LCT (2)"/>
      <sheetName val="PROG_UCT"/>
      <sheetName val="PROG_LCT"/>
      <sheetName val="MW"/>
      <sheetName val="MW_LCT"/>
      <sheetName val="DRIFT (2)"/>
      <sheetName val="DRIFT"/>
      <sheetName val="C_NOT"/>
      <sheetName val="P1D-LC6RAS"/>
      <sheetName val="P1D-LESC6RAS"/>
      <sheetName val="AUTO_DHWS"/>
      <sheetName val="AP-1 TD&amp;SP Sim"/>
      <sheetName val="AP-3 Sting In"/>
      <sheetName val="AP-4 PPL"/>
      <sheetName val="AP-4 LEL"/>
      <sheetName val="AP-5 RAS_SLB"/>
      <sheetName val="AP-5 RAS_WFT"/>
      <sheetName val="AP-6 SM"/>
      <sheetName val="AP-7 INFLOW"/>
      <sheetName val="TCO"/>
      <sheetName val="9DH"/>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7. Light Casing design"/>
      <sheetName val="6. Light Vertical"/>
      <sheetName val="4. Light Deviated with Pilot"/>
      <sheetName val="5. Light Deviated"/>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5.xml><?xml version="1.0" encoding="utf-8"?>
<externalLink xmlns:r="http://schemas.openxmlformats.org/officeDocument/2006/relationships" xmlns="http://schemas.openxmlformats.org/spreadsheetml/2006/main">
  <externalBook r:id="rId1">
    <sheetNames>
      <sheetName val="Revision History"/>
      <sheetName val="P &amp; L"/>
      <sheetName val="Margin Summary"/>
      <sheetName val="M4 Overview"/>
      <sheetName val="MP Onshore"/>
      <sheetName val="MP Offshore"/>
      <sheetName val="Sheet1"/>
      <sheetName val="Summary"/>
    </sheetNames>
    <sheetDataSet>
      <sheetData sheetId="0"/>
      <sheetData sheetId="1"/>
      <sheetData sheetId="2"/>
      <sheetData sheetId="3"/>
      <sheetData sheetId="4"/>
      <sheetData sheetId="5"/>
      <sheetData sheetId="6"/>
      <sheetData sheetId="7"/>
    </sheetDataSet>
  </externalBook>
</externalLink>
</file>

<file path=xl/externalLinks/externalLink16.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7.xml><?xml version="1.0" encoding="utf-8"?>
<externalLink xmlns:r="http://schemas.openxmlformats.org/officeDocument/2006/relationships" xmlns="http://schemas.openxmlformats.org/spreadsheetml/2006/main">
  <externalBook r:id="rId1">
    <sheetNames>
      <sheetName val="NC"/>
      <sheetName val="CC29"/>
      <sheetName val="DWS2023"/>
      <sheetName val="DL"/>
      <sheetName val="DRAW"/>
      <sheetName val="PKR"/>
      <sheetName val="Brine"/>
      <sheetName val="REF"/>
      <sheetName val="RECORD"/>
      <sheetName val="INPUT"/>
      <sheetName val="PROG_LCT (2)"/>
      <sheetName val="PROG_UCT (2)"/>
      <sheetName val="PROG_UCT"/>
      <sheetName val="PROG_LCT"/>
      <sheetName val="C_NOT"/>
      <sheetName val="BB-248 TIEBACK "/>
      <sheetName val="AP-7 INFLOW"/>
      <sheetName val="BB-248 NO TIEBACK"/>
      <sheetName val="OLD DHWS"/>
      <sheetName val="MW"/>
      <sheetName val="MW_LCT"/>
      <sheetName val="DRIFT (2)"/>
      <sheetName val="DRIFT"/>
      <sheetName val="P1D-LC6RAS"/>
      <sheetName val="P1D-LESC6RAS"/>
      <sheetName val="AUTO_DHWS"/>
      <sheetName val="AP1TD-AP2SWELL"/>
      <sheetName val="AP-3 Sting In"/>
      <sheetName val="AP-4 PPL"/>
      <sheetName val="AP-4 LEL"/>
      <sheetName val="AP-5 RAS_SLB"/>
      <sheetName val="AP-5 RAS_WFT"/>
      <sheetName val="TCO"/>
      <sheetName val="Tubing Movement"/>
      <sheetName val="9DH"/>
      <sheetName val="PACKER ENVELOPE"/>
      <sheetName val="AP-6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8.xml><?xml version="1.0" encoding="utf-8"?>
<externalLink xmlns:r="http://schemas.openxmlformats.org/officeDocument/2006/relationships" xmlns="http://schemas.openxmlformats.org/spreadsheetml/2006/main">
  <externalBook r:id="rId1">
    <sheetNames>
      <sheetName val="Instructions"/>
      <sheetName val="HQ Case"/>
      <sheetName val="Data"/>
      <sheetName val="QMI Summary"/>
      <sheetName val="Source Region"/>
      <sheetName val="Restructuring"/>
      <sheetName val="MFG Summary"/>
      <sheetName val="ANZ"/>
      <sheetName val="APAC"/>
      <sheetName val="China"/>
      <sheetName val="Sheet2"/>
      <sheetName val="MEA (2)"/>
      <sheetName val="Sheet3"/>
      <sheetName val="MEA"/>
      <sheetName val="Europe"/>
      <sheetName val="SSA"/>
      <sheetName val="US"/>
      <sheetName val="LAM"/>
      <sheetName val="Canada"/>
      <sheetName val="Shawnee"/>
      <sheetName val="Dammam"/>
      <sheetName val="Monterrey"/>
      <sheetName val="Singapore"/>
      <sheetName val="Suzhou"/>
      <sheetName val="Shanghai"/>
      <sheetName val="Source (All)"/>
      <sheetName val="Orders"/>
      <sheetName val="PDs"/>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9.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20.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21.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2.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3.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4.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25.xml><?xml version="1.0" encoding="utf-8"?>
<externalLink xmlns:r="http://schemas.openxmlformats.org/officeDocument/2006/relationships" xmlns="http://schemas.openxmlformats.org/spreadsheetml/2006/main">
  <externalBook r:id="rId1">
    <sheetNames>
      <sheetName val="Inquiry Sheet"/>
      <sheetName val="T&amp;D"/>
      <sheetName val="Centralizer &amp; Shoe Details"/>
      <sheetName val="Well information"/>
      <sheetName val="Deviation Survey"/>
      <sheetName val="Data"/>
    </sheetNames>
    <sheetDataSet>
      <sheetData sheetId="0"/>
      <sheetData sheetId="1"/>
      <sheetData sheetId="2"/>
      <sheetData sheetId="3"/>
      <sheetData sheetId="4"/>
      <sheetData sheetId="5"/>
    </sheetDataSet>
  </externalBook>
</externalLink>
</file>

<file path=xl/externalLinks/externalLink2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27.xml><?xml version="1.0" encoding="utf-8"?>
<externalLink xmlns:r="http://schemas.openxmlformats.org/officeDocument/2006/relationships" xmlns="http://schemas.openxmlformats.org/spreadsheetml/2006/main">
  <externalBook r:id="rId1">
    <sheetNames>
      <sheetName val="Title-Table Page"/>
      <sheetName val="Well Info"/>
      <sheetName val="Overview"/>
      <sheetName val="DST String Diagram Run#1"/>
      <sheetName val="DST String Diagram Run#2"/>
      <sheetName val="TCP String Diagram"/>
      <sheetName val="Sequence of Operations"/>
      <sheetName val="TTTCP Ticket-PPI"/>
      <sheetName val="TTTCP Ticket 2"/>
      <sheetName val="TTTCP Ticket 1"/>
      <sheetName val="EJCS KPI-Survey"/>
      <sheetName val="Setup"/>
      <sheetName val="Name Ran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8.xml><?xml version="1.0" encoding="utf-8"?>
<externalLink xmlns:r="http://schemas.openxmlformats.org/officeDocument/2006/relationships" xmlns="http://schemas.openxmlformats.org/spreadsheetml/2006/main">
  <externalBook r:id="rId1">
    <sheetNames>
      <sheetName val="Ref. data1"/>
      <sheetName val="Ref. data2"/>
      <sheetName val="Cover"/>
      <sheetName val="Distribution List"/>
      <sheetName val="Final list (2)"/>
      <sheetName val="One page program"/>
      <sheetName val="OBM"/>
      <sheetName val="Progrss chart"/>
      <sheetName val="Off Line Oper Prior Move"/>
      <sheetName val="Optimization activities"/>
      <sheetName val="26&quot; Dammam"/>
      <sheetName val="26&quot; BHA"/>
      <sheetName val="17.5&quot; Phase FIQA"/>
      <sheetName val="17 1-5&quot; BHA"/>
      <sheetName val="12 Phase BB Mbr-Reservoir"/>
      <sheetName val="12 1-4&quot; BHA"/>
      <sheetName val="8.5 C.Pilot H"/>
      <sheetName val="8.5 O.Pilot H (2)"/>
      <sheetName val="C.H Prod. test"/>
      <sheetName val="Prod. test O.H"/>
      <sheetName val="Prod. test(cut string)"/>
      <sheetName val="8 Deviated Hole-7 Liner"/>
      <sheetName val="8 1-5&quot; RSS"/>
      <sheetName val="6 Horizontal Hole"/>
      <sheetName val="6&quot; Hole (2)"/>
      <sheetName val="Single Completion"/>
      <sheetName val="LCD"/>
      <sheetName val="VHCD"/>
      <sheetName val="HHCD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29.xml><?xml version="1.0" encoding="utf-8"?>
<externalLink xmlns:r="http://schemas.openxmlformats.org/officeDocument/2006/relationships" xmlns="http://schemas.openxmlformats.org/spreadsheetml/2006/main">
  <externalBook r:id="rId1">
    <sheetNames>
      <sheetName val="INPUT"/>
      <sheetName val="REF"/>
      <sheetName val="COVER"/>
      <sheetName val="PROG_UC"/>
      <sheetName val="CODE SIN"/>
      <sheetName val="TEXT_UC"/>
      <sheetName val="MUT"/>
      <sheetName val="PROG_LCUC"/>
      <sheetName val="WELLCONF"/>
      <sheetName val="TEXT_LCUC"/>
      <sheetName val="R4G-LC8RAS"/>
      <sheetName val="DHWS"/>
      <sheetName val="DHWS (2)"/>
      <sheetName val="DL"/>
      <sheetName val="R3G-LC8R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31.xml><?xml version="1.0" encoding="utf-8"?>
<externalLink xmlns:r="http://schemas.openxmlformats.org/officeDocument/2006/relationships" xmlns="http://schemas.openxmlformats.org/spreadsheetml/2006/main">
  <externalBook r:id="rId1">
    <sheetNames>
      <sheetName val="Check Sheet"/>
      <sheetName val=" Title Page &amp; Time Tracker "/>
      <sheetName val="Action Register"/>
      <sheetName val="Data"/>
      <sheetName val="Work Instructions (Compl'n)"/>
      <sheetName val="3 PU Weight Calcs"/>
      <sheetName val="Gaslift"/>
      <sheetName val="Schematic"/>
      <sheetName val="Wellbore Diagram (ST 2011)"/>
      <sheetName val="Tally - Lower on DP"/>
      <sheetName val="Spaceout"/>
      <sheetName val="Tally - Upper Completion"/>
      <sheetName val="Raw Rig Tally"/>
      <sheetName val="Directional Plan"/>
      <sheetName val="Directional - Original Wellbore"/>
      <sheetName val="Material Requisition "/>
      <sheetName val="Installed Equipment Used "/>
      <sheetName val="Sub Assembly List "/>
      <sheetName val="Standard Mixes"/>
      <sheetName val="Mirage Plug Calculation"/>
      <sheetName val="Wellhead &amp; Xmas Tree"/>
      <sheetName val="Well Handover Form"/>
      <sheetName val="Radiagreen Dilution Calcs"/>
      <sheetName val="Rig Preparations (Compl'n)"/>
      <sheetName val="Work Summary (Stim)"/>
      <sheetName val="Sequence of Events (Stim)"/>
      <sheetName val="Rig Preparation (Stim - online)"/>
      <sheetName val="Pressures &amp; Capacities (Stim)"/>
      <sheetName val="Pre-Job Notes (Stim)"/>
      <sheetName val="Work Instructions (Stim)"/>
      <sheetName val="Rig Preparation (Stim -offline)"/>
      <sheetName val="Tubular &amp; Vessel Info (Stim)"/>
      <sheetName val="Fluid Recipes (Stim)"/>
      <sheetName val="CT Pull Schedule (Stim)"/>
      <sheetName val="Sheet1"/>
      <sheetName val="Pumping Schedule 1 (Stim)"/>
      <sheetName val="Hookup (Compl'n)"/>
      <sheetName val="CT Hookup (online)"/>
      <sheetName val="CT Hookup (offline)"/>
      <sheetName val="CT Surface Lines (SLB)"/>
      <sheetName val="CT BHA Schematic (SLB)"/>
      <sheetName val="Completion Tally (ST 2011)"/>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32.xml><?xml version="1.0" encoding="utf-8"?>
<externalLink xmlns:r="http://schemas.openxmlformats.org/officeDocument/2006/relationships" xmlns="http://schemas.openxmlformats.org/spreadsheetml/2006/main">
  <externalBook r:id="rId1">
    <sheetNames>
      <sheetName val="Summary"/>
      <sheetName val="&gt;&gt;&gt;"/>
      <sheetName val="Pivot"/>
      <sheetName val="Update Estimate Q4"/>
      <sheetName val="2015 Forecasted Revenue"/>
      <sheetName val="Estimate prior week"/>
      <sheetName val="List of PIC"/>
      <sheetName val="Mapping"/>
      <sheetName val="Q4 PC QMI FW41 2015_10_06"/>
    </sheetNames>
    <sheetDataSet>
      <sheetData sheetId="0"/>
      <sheetData sheetId="1"/>
      <sheetData sheetId="2"/>
      <sheetData sheetId="3"/>
      <sheetData sheetId="4"/>
      <sheetData sheetId="5"/>
      <sheetData sheetId="6"/>
      <sheetData sheetId="7"/>
      <sheetData sheetId="8"/>
    </sheetDataSet>
  </externalBook>
</externalLink>
</file>

<file path=xl/externalLinks/externalLink33.xml><?xml version="1.0" encoding="utf-8"?>
<externalLink xmlns:r="http://schemas.openxmlformats.org/officeDocument/2006/relationships" xmlns="http://schemas.openxmlformats.org/spreadsheetml/2006/main">
  <externalBook r:id="rId1">
    <sheetNames>
      <sheetName val="2015"/>
      <sheetName val="Summary"/>
      <sheetName val="Update Estimate Q4"/>
      <sheetName val="2015 Forecasted Revenue"/>
      <sheetName val="&gt;&gt;&gt;"/>
      <sheetName val="Summary 2016Q2"/>
      <sheetName val="Pivot"/>
      <sheetName val="Invoiced"/>
      <sheetName val="Update Estimate Q2'16"/>
      <sheetName val="2016 Forecasted Revenue"/>
      <sheetName val="Mapping"/>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4.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5.xml><?xml version="1.0" encoding="utf-8"?>
<externalLink xmlns:r="http://schemas.openxmlformats.org/officeDocument/2006/relationships" xmlns="http://schemas.openxmlformats.org/spreadsheetml/2006/main">
  <externalBook r:id="rId1">
    <sheetNames>
      <sheetName val="SII 2012"/>
      <sheetName val="SII 2011"/>
      <sheetName val="YTD actuals"/>
      <sheetName val="SII Exch Rate - Q2 GAP Rate"/>
      <sheetName val="FSE rates"/>
      <sheetName val="Op Plan 2010"/>
      <sheetName val="drop downs"/>
      <sheetName val="Rental Rates"/>
      <sheetName val="Headcount"/>
      <sheetName val="Base Cost"/>
      <sheetName val="Drop-down"/>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6.xml><?xml version="1.0" encoding="utf-8"?>
<externalLink xmlns:r="http://schemas.openxmlformats.org/officeDocument/2006/relationships" xmlns="http://schemas.openxmlformats.org/spreadsheetml/2006/main">
  <externalBook r:id="rId1">
    <sheetNames>
      <sheetName val="Personnel"/>
      <sheetName val="Price Book"/>
      <sheetName val="1"/>
      <sheetName val="2"/>
      <sheetName val="Lost Damage"/>
      <sheetName val="3"/>
      <sheetName val="Price_Book"/>
      <sheetName val="Lost_Damage"/>
      <sheetName val="Price_Book1"/>
      <sheetName val="Lost_Damage1"/>
      <sheetName val="Price_Book2"/>
      <sheetName val="Lost_Damage2"/>
      <sheetName val="Price_Book3"/>
      <sheetName val="Lost_Damage3"/>
      <sheetName val="Price_Book5"/>
      <sheetName val="Lost_Damage5"/>
      <sheetName val="Price_Book4"/>
      <sheetName val="Lost_Damage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37.xml><?xml version="1.0" encoding="utf-8"?>
<externalLink xmlns:r="http://schemas.openxmlformats.org/officeDocument/2006/relationships" xmlns="http://schemas.openxmlformats.org/spreadsheetml/2006/main">
  <externalBook r:id="rId1">
    <sheetNames>
      <sheetName val="Recovered_Sheet1"/>
      <sheetName val="Front Page Info"/>
      <sheetName val="RSS"/>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Set>
  </externalBook>
</externalLink>
</file>

<file path=xl/externalLinks/externalLink38.xml><?xml version="1.0" encoding="utf-8"?>
<externalLink xmlns:r="http://schemas.openxmlformats.org/officeDocument/2006/relationships" xmlns="http://schemas.openxmlformats.org/spreadsheetml/2006/main">
  <externalBook r:id="rId1">
    <sheetNames>
      <sheetName val="TCO"/>
      <sheetName val="Front Page Info"/>
      <sheetName val="RSS"/>
      <sheetName val="MWD_LWD Order"/>
      <sheetName val="Motor  Order"/>
      <sheetName val="DD Order"/>
      <sheetName val="LIFT SUB REQUIREMENTS"/>
      <sheetName val="Stores MR"/>
      <sheetName val="BHA"/>
    </sheetNames>
    <sheetDataSet>
      <sheetData sheetId="0"/>
      <sheetData sheetId="1"/>
      <sheetData sheetId="2"/>
      <sheetData sheetId="3"/>
      <sheetData sheetId="4"/>
      <sheetData sheetId="5"/>
      <sheetData sheetId="6"/>
      <sheetData sheetId="7"/>
      <sheetData sheetId="8"/>
    </sheetDataSet>
  </externalBook>
</externalLink>
</file>

<file path=xl/externalLinks/externalLink39.xml><?xml version="1.0" encoding="utf-8"?>
<externalLink xmlns:r="http://schemas.openxmlformats.org/officeDocument/2006/relationships" xmlns="http://schemas.openxmlformats.org/spreadsheetml/2006/main">
  <externalBook r:id="rId1">
    <sheetNames>
      <sheetName val="UNCFLAM8"/>
    </sheetNames>
    <sheetDataSet>
      <sheetData sheetId="0"/>
    </sheetDataSet>
  </externalBook>
</externalLink>
</file>

<file path=xl/externalLinks/externalLink40.xml><?xml version="1.0" encoding="utf-8"?>
<externalLink xmlns:r="http://schemas.openxmlformats.org/officeDocument/2006/relationships" xmlns="http://schemas.openxmlformats.org/spreadsheetml/2006/main">
  <externalBook r:id="rId1">
    <sheetNames>
      <sheetName val="CPS Call Sheet"/>
      <sheetName val="workorder"/>
      <sheetName val="Job Summ."/>
      <sheetName val="Job Log"/>
      <sheetName val="Wellbore Dwg"/>
      <sheetName val="HSE"/>
      <sheetName val="JSA"/>
      <sheetName val="CPI FORM"/>
      <sheetName val="KPI SURVEY"/>
      <sheetName val="Hoc Card"/>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41.xml><?xml version="1.0" encoding="utf-8"?>
<externalLink xmlns:r="http://schemas.openxmlformats.org/officeDocument/2006/relationships" xmlns="http://schemas.openxmlformats.org/spreadsheetml/2006/main">
  <externalBook r:id="rId1">
    <sheetNames>
      <sheetName val="Summary"/>
      <sheetName val="FCM Equipment"/>
      <sheetName val="Detail Cost"/>
      <sheetName val="Dropdown List"/>
      <sheetName val="Backup Travels"/>
      <sheetName val="Bank Bsheet"/>
      <sheetName val="Bid Summary"/>
    </sheetNames>
    <sheetDataSet>
      <sheetData sheetId="0"/>
      <sheetData sheetId="1"/>
      <sheetData sheetId="2"/>
      <sheetData sheetId="3"/>
      <sheetData sheetId="4"/>
      <sheetData sheetId="5"/>
      <sheetData sheetId="6"/>
    </sheetDataSet>
  </externalBook>
</externalLink>
</file>

<file path=xl/externalLinks/externalLink42.xml><?xml version="1.0" encoding="utf-8"?>
<externalLink xmlns:r="http://schemas.openxmlformats.org/officeDocument/2006/relationships" xmlns="http://schemas.openxmlformats.org/spreadsheetml/2006/main">
  <externalBook r:id="rId1">
    <sheetNames>
      <sheetName val="Input"/>
      <sheetName val="Program"/>
      <sheetName val="DHWS"/>
      <sheetName val="ICD Ver1.1 2510"/>
      <sheetName val="ICD Ver1.0 2109"/>
      <sheetName val="ICD Ver1.2 0411"/>
      <sheetName val="Reference"/>
    </sheetNames>
    <sheetDataSet>
      <sheetData sheetId="0"/>
      <sheetData sheetId="1"/>
      <sheetData sheetId="2"/>
      <sheetData sheetId="3"/>
      <sheetData sheetId="4"/>
      <sheetData sheetId="5"/>
      <sheetData sheetId="6"/>
    </sheetDataSet>
  </externalBook>
</externalLink>
</file>

<file path=xl/externalLinks/externalLink43.xml><?xml version="1.0" encoding="utf-8"?>
<externalLink xmlns:r="http://schemas.openxmlformats.org/officeDocument/2006/relationships" xmlns="http://schemas.openxmlformats.org/spreadsheetml/2006/main">
  <externalBook r:id="rId1">
    <sheetNames>
      <sheetName val="DATA"/>
      <sheetName val="Lists"/>
      <sheetName val="Metric Conversions"/>
      <sheetName val="MaPS Import Data"/>
      <sheetName val="Revision_History"/>
      <sheetName val="Service Delivery"/>
      <sheetName val="Physical Barrier Check"/>
      <sheetName val="Job Info"/>
      <sheetName val="Liner Info"/>
      <sheetName val="Multi Stage Info"/>
      <sheetName val="Weight Calcs"/>
      <sheetName val="Dual Force Pack-OFF"/>
      <sheetName val="Test"/>
      <sheetName val="Displacement Calcs"/>
      <sheetName val="Tally"/>
      <sheetName val="Job Log"/>
      <sheetName val="Alpha Liner"/>
      <sheetName val="Alpha Long String"/>
      <sheetName val="Displacement Chart"/>
      <sheetName val="Daily Report (1)"/>
      <sheetName val="Wellsite Conditions"/>
      <sheetName val="Active Tools"/>
      <sheetName val="Drawing"/>
      <sheetName val="As Run"/>
      <sheetName val="Frac Physical Barrier Check"/>
      <sheetName val="Frac Job Log"/>
      <sheetName val="Ball Drop Log"/>
      <sheetName val="CT Frac Log"/>
      <sheetName val="Frac Post-Job Debrief"/>
      <sheetName val="Barrier User Notes"/>
      <sheetName val="Barrier Ex Qualification Q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44.xml><?xml version="1.0" encoding="utf-8"?>
<externalLink xmlns:r="http://schemas.openxmlformats.org/officeDocument/2006/relationships" xmlns="http://schemas.openxmlformats.org/spreadsheetml/2006/main">
  <externalBook r:id="rId1">
    <sheetNames>
      <sheetName val="Pipe Summary"/>
      <sheetName val="Pipe PO's"/>
      <sheetName val="8-12-04"/>
      <sheetName val="8-4-04"/>
      <sheetName val="7-30-04"/>
      <sheetName val="DROP DOWN DATA"/>
      <sheetName val="Labour Rates"/>
    </sheetNames>
    <sheetDataSet>
      <sheetData sheetId="0"/>
      <sheetData sheetId="1"/>
      <sheetData sheetId="2"/>
      <sheetData sheetId="3"/>
      <sheetData sheetId="4"/>
      <sheetData sheetId="5"/>
      <sheetData sheetId="6"/>
    </sheetDataSet>
  </externalBook>
</externalLink>
</file>

<file path=xl/externalLinks/externalLink45.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6.xml><?xml version="1.0" encoding="utf-8"?>
<externalLink xmlns:r="http://schemas.openxmlformats.org/officeDocument/2006/relationships" xmlns="http://schemas.openxmlformats.org/spreadsheetml/2006/main">
  <externalBook r:id="rId1">
    <sheetNames>
      <sheetName val="DP Length"/>
      <sheetName val="NEW HWDP 5.78&quot; 09.07 "/>
      <sheetName val="Displacement"/>
    </sheetNames>
    <sheetDataSet>
      <sheetData sheetId="0"/>
      <sheetData sheetId="1"/>
      <sheetData sheetId="2"/>
    </sheetDataSet>
  </externalBook>
</externalLink>
</file>

<file path=xl/externalLinks/externalLink47.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48.xml><?xml version="1.0" encoding="utf-8"?>
<externalLink xmlns:r="http://schemas.openxmlformats.org/officeDocument/2006/relationships" xmlns="http://schemas.openxmlformats.org/spreadsheetml/2006/main">
  <externalBook r:id="rId1">
    <sheetNames>
      <sheetName val="Cover"/>
      <sheetName val="This-Last(BDry)"/>
      <sheetName val="This-Last(Dry)"/>
      <sheetName val="B-LO-TP"/>
      <sheetName val="B-Lift"/>
      <sheetName val="B-Trans"/>
      <sheetName val="B-Dry"/>
      <sheetName val="B-Norm Op"/>
      <sheetName val="B-Future Op"/>
      <sheetName val="LO-TP"/>
      <sheetName val="Lift"/>
      <sheetName val="Trans"/>
      <sheetName val="Dry"/>
      <sheetName val="Norm Op"/>
      <sheetName val="Future Op"/>
      <sheetName val="Exec Summ"/>
      <sheetName val="CoG Graphs"/>
      <sheetName val="Wt Graphs"/>
      <sheetName val="Hist"/>
      <sheetName val="Diff"/>
      <sheetName val="Wt Rpt"/>
      <sheetName val="Item Listings"/>
      <sheetName val="Definitions"/>
      <sheetName val="Contingency"/>
      <sheetName val="Codes"/>
      <sheetName val="Dropdown List"/>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49.xml><?xml version="1.0" encoding="utf-8"?>
<externalLink xmlns:r="http://schemas.openxmlformats.org/officeDocument/2006/relationships" xmlns="http://schemas.openxmlformats.org/spreadsheetml/2006/main">
  <externalBook r:id="rId1">
    <sheetNames>
      <sheetName val="DATA"/>
      <sheetName val="Metric Conversions"/>
      <sheetName val="MaPS Import Data"/>
      <sheetName val="Lists"/>
      <sheetName val="Revision_History"/>
      <sheetName val="Service Delivery"/>
      <sheetName val="Job Info"/>
      <sheetName val="Physical Barrier Check"/>
      <sheetName val="Weight Calcs"/>
      <sheetName val="Displacement Calcs"/>
      <sheetName val="Test"/>
      <sheetName val="Company &amp; Well Information"/>
      <sheetName val="Alpha Liner"/>
      <sheetName val="Alpha Long String"/>
      <sheetName val="Displacement Chart"/>
      <sheetName val="Dual Force Pack-OFF"/>
      <sheetName val="Tally"/>
      <sheetName val="Job Log"/>
      <sheetName val="Daily Report (1)"/>
      <sheetName val="Wellsite Conditions"/>
      <sheetName val="Active Tools"/>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rawing"/>
      <sheetName val="Post-Job Debrief"/>
      <sheetName val="Barrier User Notes"/>
      <sheetName val="Barrier Ex Qualification Qs"/>
      <sheetName val="ADNOC ONSHORE-AD-34-Liner Fie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0.xml><?xml version="1.0" encoding="utf-8"?>
<externalLink xmlns:r="http://schemas.openxmlformats.org/officeDocument/2006/relationships" xmlns="http://schemas.openxmlformats.org/spreadsheetml/2006/main">
  <externalBook r:id="rId1">
    <sheetNames>
      <sheetName val="Selector"/>
      <sheetName val="Velocity"/>
      <sheetName val="Tubing"/>
      <sheetName val="DrillPipe"/>
      <sheetName val="Casing"/>
      <sheetName val="RedBook_v4"/>
    </sheetNames>
    <sheetDataSet>
      <sheetData sheetId="0"/>
      <sheetData sheetId="1"/>
      <sheetData sheetId="2"/>
      <sheetData sheetId="3"/>
      <sheetData sheetId="4"/>
      <sheetData sheetId="5"/>
    </sheetDataSet>
  </externalBook>
</externalLink>
</file>

<file path=xl/externalLinks/externalLink51.xml><?xml version="1.0" encoding="utf-8"?>
<externalLink xmlns:r="http://schemas.openxmlformats.org/officeDocument/2006/relationships" xmlns="http://schemas.openxmlformats.org/spreadsheetml/2006/main">
  <externalBook r:id="rId1">
    <sheetNames>
      <sheetName val="2003 SCP LINE ITEMS"/>
      <sheetName val="2003 SSWE LINE ITEMS"/>
      <sheetName val="Sheet1"/>
      <sheetName val="LAFAYETTE"/>
      <sheetName val="Exec Summ"/>
      <sheetName val="2003_SCP_LINE_ITEMS"/>
      <sheetName val="2003_SSWE_LINE_ITEMS"/>
      <sheetName val="Exec_Summ"/>
    </sheetNames>
    <sheetDataSet>
      <sheetData sheetId="0"/>
      <sheetData sheetId="1"/>
      <sheetData sheetId="2"/>
      <sheetData sheetId="3"/>
      <sheetData sheetId="4"/>
      <sheetData sheetId="5"/>
      <sheetData sheetId="6"/>
      <sheetData sheetId="7"/>
    </sheetDataSet>
  </externalBook>
</externalLink>
</file>

<file path=xl/externalLinks/externalLink52.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53.xml><?xml version="1.0" encoding="utf-8"?>
<externalLink xmlns:r="http://schemas.openxmlformats.org/officeDocument/2006/relationships" xmlns="http://schemas.openxmlformats.org/spreadsheetml/2006/main">
  <externalBook r:id="rId1">
    <sheetNames>
      <sheetName val="CRITERIA1"/>
      <sheetName val="CODE"/>
      <sheetName val="TD MAPPINGS"/>
      <sheetName val="TO BE PROCESS"/>
      <sheetName val="COGNOS"/>
      <sheetName val="Journal OFA"/>
      <sheetName val="Explication Journal"/>
      <sheetName val="Function Segment"/>
      <sheetName val="Analytical Segment"/>
      <sheetName val="Lexlines--&gt;TD Ac. --&gt; Natur. Ac"/>
      <sheetName val="LexLine --&gt; Natural  Account"/>
      <sheetName val="EgipteImputation"/>
      <sheetName val="BS as received"/>
      <sheetName val="S&amp;U"/>
      <sheetName val="1PCBUD"/>
      <sheetName val="Severity"/>
      <sheetName val="Databank"/>
      <sheetName val="HEURES"/>
      <sheetName val="prdty"/>
      <sheetName val="A"/>
      <sheetName val="pipeline-2003"/>
      <sheetName val=""/>
      <sheetName val="Cumulative Temp Diff"/>
      <sheetName val="Admin"/>
      <sheetName val="IDL Konsis"/>
      <sheetName val="TD_MAPPINGS"/>
      <sheetName val="TO_BE_PROCESS"/>
      <sheetName val="Journal_OFA"/>
      <sheetName val="Explication_Journal"/>
      <sheetName val="Function_Segment"/>
      <sheetName val="Analytical_Segment"/>
      <sheetName val="Lexlines--&gt;TD_Ac__--&gt;_Natur__Ac"/>
      <sheetName val="LexLine_--&gt;_Natural__Account"/>
      <sheetName val="IDL_Konsis"/>
      <sheetName val="Category"/>
      <sheetName val="ini"/>
      <sheetName val="AFE"/>
      <sheetName val="Elig_rpt01"/>
      <sheetName val="Elig_rpt10"/>
      <sheetName val="Elig_rpt11"/>
      <sheetName val="Elig_rpt12"/>
      <sheetName val="Elig_rpt13"/>
      <sheetName val="Elig_rpt02"/>
      <sheetName val="Elig_rpt03"/>
      <sheetName val="Elig_rpt04"/>
      <sheetName val="Elig_rpt05"/>
      <sheetName val="Elig_rpt06"/>
      <sheetName val="Elig_rpt07"/>
      <sheetName val="Elig_rpt08"/>
      <sheetName val="Elig_rpt09"/>
      <sheetName val="Enr_rpt01"/>
      <sheetName val="Enr_rpt10"/>
      <sheetName val="Enr_rpt11"/>
      <sheetName val="Enr_rpt12"/>
      <sheetName val="Enr_rpt13"/>
      <sheetName val="Enr_rpt14"/>
      <sheetName val="Enr_rpt15"/>
      <sheetName val="Enr_rpt02"/>
      <sheetName val="Enr_rpt03"/>
      <sheetName val="Enr_rpt04"/>
      <sheetName val="Enr_rpt05"/>
      <sheetName val="Enr_rpt06"/>
      <sheetName val="Enr_rpt07"/>
      <sheetName val="Enr_rpt08"/>
      <sheetName val="Enr_rpt09"/>
      <sheetName val="TD_MAPPINGS1"/>
      <sheetName val="TO_BE_PROCESS1"/>
      <sheetName val="Journal_OFA1"/>
      <sheetName val="Explication_Journal1"/>
      <sheetName val="Function_Segment1"/>
      <sheetName val="Analytical_Segment1"/>
      <sheetName val="Lexlines--&gt;TD_Ac__--&gt;_Natur__A1"/>
      <sheetName val="LexLine_--&gt;_Natural__Account1"/>
      <sheetName val="BS_as_received"/>
      <sheetName val="Cumulative_Temp_Diff"/>
      <sheetName val="IDL_Konsis1"/>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BS_as_received1"/>
      <sheetName val="Cumulative_Temp_Diff1"/>
      <sheetName val="TD_MAPPINGS3"/>
      <sheetName val="TO_BE_PROCESS3"/>
      <sheetName val="Journal_OFA3"/>
      <sheetName val="Explication_Journal3"/>
      <sheetName val="Function_Segment3"/>
      <sheetName val="Analytical_Segment3"/>
      <sheetName val="Lexlines--&gt;TD_Ac__--&gt;_Natur__A3"/>
      <sheetName val="LexLine_--&gt;_Natural__Account3"/>
      <sheetName val="BS_as_received3"/>
      <sheetName val="Cumulative_Temp_Diff3"/>
      <sheetName val="TD_MAPPINGS2"/>
      <sheetName val="TO_BE_PROCESS2"/>
      <sheetName val="Journal_OFA2"/>
      <sheetName val="Explication_Journal2"/>
      <sheetName val="Function_Segment2"/>
      <sheetName val="Analytical_Segment2"/>
      <sheetName val="Lexlines--&gt;TD_Ac__--&gt;_Natur__A2"/>
      <sheetName val="LexLine_--&gt;_Natural__Account2"/>
      <sheetName val="BS_as_received2"/>
      <sheetName val="Cumulative_Temp_Diff2"/>
      <sheetName val="Summary_TY_2020"/>
      <sheetName val="Summary_Other_Prog_Q1"/>
      <sheetName val="Actuals_Q1_TPS"/>
      <sheetName val="INT_Hours_PA"/>
      <sheetName val="SWL_PA"/>
      <sheetName val="PA_Final"/>
      <sheetName val="PIVOT_P6"/>
      <sheetName val="Pivot_Committed"/>
      <sheetName val="Pivot_reversal"/>
      <sheetName val="TD_MAPPINGS4"/>
      <sheetName val="TO_BE_PROCESS4"/>
      <sheetName val="Journal_OFA4"/>
      <sheetName val="Explication_Journal4"/>
      <sheetName val="Function_Segment4"/>
      <sheetName val="Analytical_Segment4"/>
      <sheetName val="Lexlines--&gt;TD_Ac__--&gt;_Natur__A4"/>
      <sheetName val="LexLine_--&gt;_Natural__Account4"/>
      <sheetName val="BS_as_received4"/>
      <sheetName val="Cumulative_Temp_Diff4"/>
      <sheetName val="Bid Summary"/>
      <sheetName val="_TM_CE"/>
      <sheetName val="_TM_SP"/>
      <sheetName val="EXENIA"/>
      <sheetName val="SP"/>
      <sheetName val="_TM_Immobilizzazioni Immaterial"/>
      <sheetName val="CE"/>
      <sheetName val="Immob. Immateriali"/>
      <sheetName val="_TM_Immobilizzazioni materiali"/>
      <sheetName val="Immob. materiali"/>
      <sheetName val="_TM_Rimanenze"/>
      <sheetName val="_TM_Crediti commerciali"/>
      <sheetName val="_TM_Altri crediti"/>
      <sheetName val="Rimanenze"/>
      <sheetName val="Crediti commerciali"/>
      <sheetName val="ICO"/>
      <sheetName val="_TM_Disponibilità liquide"/>
      <sheetName val="Altri crediti"/>
      <sheetName val="Disponibilità liquide"/>
      <sheetName val="Debiti comm.li"/>
      <sheetName val="PN"/>
      <sheetName val="Altri debiti"/>
      <sheetName val="Personale"/>
      <sheetName val="Taxation"/>
      <sheetName val="Fondi"/>
      <sheetName val="_TM_Ratei e risconti attivi e p"/>
      <sheetName val="_TM_PN"/>
      <sheetName val="_TM_TFR e FRO"/>
      <sheetName val="_TM_Debiti comm.li"/>
      <sheetName val="_TM_Fondi"/>
      <sheetName val="_TM_Altri debiti"/>
      <sheetName val="_TM_Ricavi"/>
      <sheetName val="_TM_Variazione rimanenze"/>
      <sheetName val="_TM_Altri ricavi"/>
      <sheetName val="31.10.2018"/>
      <sheetName val="2019"/>
      <sheetName val="2018-2017"/>
      <sheetName val="SEP_311218"/>
      <sheetName val="2018 lavorato"/>
      <sheetName val="2018 lavorato (2)"/>
      <sheetName val="30.04.2017"/>
      <sheetName val="Voci"/>
      <sheetName val="CONTROL"/>
      <sheetName val="BATCHING"/>
      <sheetName val="QMI Summary"/>
      <sheetName val="R&amp;O's"/>
      <sheetName val="FPS Production"/>
      <sheetName val="Core Data"/>
      <sheetName val="Sheet1"/>
      <sheetName val="Core Data 2"/>
      <sheetName val="Pull ins"/>
      <sheetName val="Q4 Frozen Final"/>
      <sheetName val="Q3 Closure"/>
      <sheetName val="Ledger"/>
      <sheetName val="Activity Tracker Backup"/>
      <sheetName val="Activity Tracker"/>
      <sheetName val="BneLog"/>
      <sheetName val="BneWorkBookProperties"/>
      <sheetName val="Summary Table"/>
      <sheetName val="NCL Pipes R&amp;Os - SC"/>
      <sheetName val="R&amp;Os NCL"/>
      <sheetName val="TD_MAPPINGS6"/>
      <sheetName val="TO_BE_PROCESS6"/>
      <sheetName val="Journal_OFA6"/>
      <sheetName val="Explication_Journal6"/>
      <sheetName val="Function_Segment6"/>
      <sheetName val="Analytical_Segment6"/>
      <sheetName val="Lexlines--&gt;TD_Ac__--&gt;_Natur__A6"/>
      <sheetName val="LexLine_--&gt;_Natural__Account6"/>
      <sheetName val="BS_as_received6"/>
      <sheetName val="Cumulative_Temp_Diff6"/>
      <sheetName val="IDL_Konsis3"/>
      <sheetName val="Summary_TY_20202"/>
      <sheetName val="Summary_Other_Prog_Q12"/>
      <sheetName val="Actuals_Q1_TPS2"/>
      <sheetName val="INT_Hours_PA2"/>
      <sheetName val="SWL_PA2"/>
      <sheetName val="PA_Final2"/>
      <sheetName val="PIVOT_P62"/>
      <sheetName val="Pivot_Committed2"/>
      <sheetName val="Pivot_reversal2"/>
      <sheetName val="Bid_Summary1"/>
      <sheetName val="_TM_Immobilizzazioni_Immateria1"/>
      <sheetName val="Immob__Immateriali1"/>
      <sheetName val="_TM_Immobilizzazioni_materiali1"/>
      <sheetName val="Immob__materiali1"/>
      <sheetName val="_TM_Crediti_commerciali1"/>
      <sheetName val="_TM_Altri_crediti1"/>
      <sheetName val="Crediti_commerciali1"/>
      <sheetName val="_TM_Disponibilità_liquide1"/>
      <sheetName val="Altri_crediti1"/>
      <sheetName val="Disponibilità_liquide1"/>
      <sheetName val="Debiti_comm_li1"/>
      <sheetName val="Altri_debiti1"/>
      <sheetName val="_TM_Ratei_e_risconti_attivi_e_1"/>
      <sheetName val="_TM_TFR_e_FRO1"/>
      <sheetName val="_TM_Debiti_comm_li1"/>
      <sheetName val="_TM_Altri_debiti1"/>
      <sheetName val="_TM_Variazione_rimanenze1"/>
      <sheetName val="_TM_Altri_ricavi1"/>
      <sheetName val="31_10_20181"/>
      <sheetName val="2018_lavorato1"/>
      <sheetName val="2018_lavorato_(2)1"/>
      <sheetName val="30_04_20171"/>
      <sheetName val="TD_MAPPINGS5"/>
      <sheetName val="TO_BE_PROCESS5"/>
      <sheetName val="Journal_OFA5"/>
      <sheetName val="Explication_Journal5"/>
      <sheetName val="Function_Segment5"/>
      <sheetName val="Analytical_Segment5"/>
      <sheetName val="Lexlines--&gt;TD_Ac__--&gt;_Natur__A5"/>
      <sheetName val="LexLine_--&gt;_Natural__Account5"/>
      <sheetName val="BS_as_received5"/>
      <sheetName val="Cumulative_Temp_Diff5"/>
      <sheetName val="IDL_Konsis2"/>
      <sheetName val="Summary_TY_20201"/>
      <sheetName val="Summary_Other_Prog_Q11"/>
      <sheetName val="Actuals_Q1_TPS1"/>
      <sheetName val="INT_Hours_PA1"/>
      <sheetName val="SWL_PA1"/>
      <sheetName val="PA_Final1"/>
      <sheetName val="PIVOT_P61"/>
      <sheetName val="Pivot_Committed1"/>
      <sheetName val="Pivot_reversal1"/>
      <sheetName val="Bid_Summary"/>
      <sheetName val="_TM_Immobilizzazioni_Immaterial"/>
      <sheetName val="Immob__Immateriali"/>
      <sheetName val="_TM_Immobilizzazioni_materiali"/>
      <sheetName val="Immob__materiali"/>
      <sheetName val="_TM_Crediti_commerciali"/>
      <sheetName val="_TM_Altri_crediti"/>
      <sheetName val="Crediti_commerciali"/>
      <sheetName val="_TM_Disponibilità_liquide"/>
      <sheetName val="Altri_crediti"/>
      <sheetName val="Disponibilità_liquide"/>
      <sheetName val="Debiti_comm_li"/>
      <sheetName val="Altri_debiti"/>
      <sheetName val="_TM_Ratei_e_risconti_attivi_e_p"/>
      <sheetName val="_TM_TFR_e_FRO"/>
      <sheetName val="_TM_Debiti_comm_li"/>
      <sheetName val="_TM_Altri_debiti"/>
      <sheetName val="_TM_Variazione_rimanenze"/>
      <sheetName val="_TM_Altri_ricavi"/>
      <sheetName val="31_10_2018"/>
      <sheetName val="2018_lavorato"/>
      <sheetName val="2018_lavorato_(2)"/>
      <sheetName val="30_04_2017"/>
      <sheetName val="TD_MAPPINGS7"/>
      <sheetName val="TO_BE_PROCESS7"/>
      <sheetName val="Journal_OFA7"/>
      <sheetName val="Explication_Journal7"/>
      <sheetName val="Function_Segment7"/>
      <sheetName val="Analytical_Segment7"/>
      <sheetName val="Lexlines--&gt;TD_Ac__--&gt;_Natur__A7"/>
      <sheetName val="LexLine_--&gt;_Natural__Account7"/>
      <sheetName val="BS_as_received7"/>
      <sheetName val="Cumulative_Temp_Diff7"/>
      <sheetName val="IDL_Konsis4"/>
      <sheetName val="Summary_TY_20203"/>
      <sheetName val="Summary_Other_Prog_Q13"/>
      <sheetName val="Actuals_Q1_TPS3"/>
      <sheetName val="INT_Hours_PA3"/>
      <sheetName val="SWL_PA3"/>
      <sheetName val="PA_Final3"/>
      <sheetName val="PIVOT_P63"/>
      <sheetName val="Pivot_Committed3"/>
      <sheetName val="Pivot_reversal3"/>
      <sheetName val="Bid_Summary2"/>
      <sheetName val="_TM_Immobilizzazioni_Immateria2"/>
      <sheetName val="Immob__Immateriali2"/>
      <sheetName val="_TM_Immobilizzazioni_materiali2"/>
      <sheetName val="Immob__materiali2"/>
      <sheetName val="_TM_Crediti_commerciali2"/>
      <sheetName val="_TM_Altri_crediti2"/>
      <sheetName val="Crediti_commerciali2"/>
      <sheetName val="_TM_Disponibilità_liquide2"/>
      <sheetName val="Altri_crediti2"/>
      <sheetName val="Disponibilità_liquide2"/>
      <sheetName val="Debiti_comm_li2"/>
      <sheetName val="Altri_debiti2"/>
      <sheetName val="_TM_Ratei_e_risconti_attivi_e_2"/>
      <sheetName val="_TM_TFR_e_FRO2"/>
      <sheetName val="_TM_Debiti_comm_li2"/>
      <sheetName val="_TM_Altri_debiti2"/>
      <sheetName val="_TM_Variazione_rimanenze2"/>
      <sheetName val="_TM_Altri_ricavi2"/>
      <sheetName val="31_10_20182"/>
      <sheetName val="2018_lavorato2"/>
      <sheetName val="2018_lavorato_(2)2"/>
      <sheetName val="30_04_20172"/>
      <sheetName val="TD_MAPPINGS8"/>
      <sheetName val="TO_BE_PROCESS8"/>
      <sheetName val="Journal_OFA8"/>
      <sheetName val="Explication_Journal8"/>
      <sheetName val="Function_Segment8"/>
      <sheetName val="Analytical_Segment8"/>
      <sheetName val="Lexlines--&gt;TD_Ac__--&gt;_Natur__A8"/>
      <sheetName val="LexLine_--&gt;_Natural__Account8"/>
      <sheetName val="BS_as_received8"/>
      <sheetName val="Cumulative_Temp_Diff8"/>
      <sheetName val="IDL_Konsis5"/>
      <sheetName val="Summary_TY_20204"/>
      <sheetName val="Summary_Other_Prog_Q14"/>
      <sheetName val="Actuals_Q1_TPS4"/>
      <sheetName val="INT_Hours_PA4"/>
      <sheetName val="SWL_PA4"/>
      <sheetName val="PA_Final4"/>
      <sheetName val="PIVOT_P64"/>
      <sheetName val="Pivot_Committed4"/>
      <sheetName val="Pivot_reversal4"/>
      <sheetName val="Bid_Summary3"/>
      <sheetName val="_TM_Immobilizzazioni_Immateria3"/>
      <sheetName val="Immob__Immateriali3"/>
      <sheetName val="_TM_Immobilizzazioni_materiali3"/>
      <sheetName val="Immob__materiali3"/>
      <sheetName val="_TM_Crediti_commerciali3"/>
      <sheetName val="_TM_Altri_crediti3"/>
      <sheetName val="Crediti_commerciali3"/>
      <sheetName val="_TM_Disponibilità_liquide3"/>
      <sheetName val="Altri_crediti3"/>
      <sheetName val="Disponibilità_liquide3"/>
      <sheetName val="Debiti_comm_li3"/>
      <sheetName val="Altri_debiti3"/>
      <sheetName val="_TM_Ratei_e_risconti_attivi_e_3"/>
      <sheetName val="_TM_TFR_e_FRO3"/>
      <sheetName val="_TM_Debiti_comm_li3"/>
      <sheetName val="_TM_Altri_debiti3"/>
      <sheetName val="_TM_Variazione_rimanenze3"/>
      <sheetName val="_TM_Altri_ricavi3"/>
      <sheetName val="31_10_20183"/>
      <sheetName val="2018_lavorato3"/>
      <sheetName val="2018_lavorato_(2)3"/>
      <sheetName val="30_04_20173"/>
      <sheetName val="TD_MAPPINGS9"/>
      <sheetName val="TO_BE_PROCESS9"/>
      <sheetName val="Journal_OFA9"/>
      <sheetName val="Explication_Journal9"/>
      <sheetName val="Function_Segment9"/>
      <sheetName val="Analytical_Segment9"/>
      <sheetName val="Lexlines--&gt;TD_Ac__--&gt;_Natur__A9"/>
      <sheetName val="LexLine_--&gt;_Natural__Account9"/>
      <sheetName val="BS_as_received9"/>
      <sheetName val="Cumulative_Temp_Diff9"/>
      <sheetName val="IDL_Konsis6"/>
      <sheetName val="Summary_TY_20205"/>
      <sheetName val="Summary_Other_Prog_Q15"/>
      <sheetName val="Actuals_Q1_TPS5"/>
      <sheetName val="INT_Hours_PA5"/>
      <sheetName val="SWL_PA5"/>
      <sheetName val="PA_Final5"/>
      <sheetName val="PIVOT_P65"/>
      <sheetName val="Pivot_Committed5"/>
      <sheetName val="Pivot_reversal5"/>
      <sheetName val="Bid_Summary4"/>
      <sheetName val="_TM_Immobilizzazioni_Immateria4"/>
      <sheetName val="Immob__Immateriali4"/>
      <sheetName val="_TM_Immobilizzazioni_materiali4"/>
      <sheetName val="Immob__materiali4"/>
      <sheetName val="_TM_Crediti_commerciali4"/>
      <sheetName val="_TM_Altri_crediti4"/>
      <sheetName val="Crediti_commerciali4"/>
      <sheetName val="_TM_Disponibilità_liquide4"/>
      <sheetName val="Altri_crediti4"/>
      <sheetName val="Disponibilità_liquide4"/>
      <sheetName val="Debiti_comm_li4"/>
      <sheetName val="Altri_debiti4"/>
      <sheetName val="_TM_Ratei_e_risconti_attivi_e_4"/>
      <sheetName val="_TM_TFR_e_FRO4"/>
      <sheetName val="_TM_Debiti_comm_li4"/>
      <sheetName val="_TM_Altri_debiti4"/>
      <sheetName val="_TM_Variazione_rimanenze4"/>
      <sheetName val="_TM_Altri_ricavi4"/>
      <sheetName val="31_10_20184"/>
      <sheetName val="2018_lavorato4"/>
      <sheetName val="2018_lavorato_(2)4"/>
      <sheetName val="30_04_20174"/>
      <sheetName val="QMI_Summary"/>
      <sheetName val="FPS_Production"/>
      <sheetName val="Core_Data"/>
      <sheetName val="Core_Data_2"/>
      <sheetName val="Pull_ins"/>
      <sheetName val="Q4_Frozen_Final"/>
      <sheetName val="Q3_Closure"/>
      <sheetName val="Activity_Tracker_Backup"/>
      <sheetName val="Activity_Tracker"/>
      <sheetName val="Summary_Table"/>
      <sheetName val="NCL_Pipes_R&amp;Os_-_SC"/>
      <sheetName val="R&amp;Os_NCL"/>
      <sheetName val="TD_MAPPINGS10"/>
      <sheetName val="TO_BE_PROCESS10"/>
      <sheetName val="Journal_OFA10"/>
      <sheetName val="Explication_Journal10"/>
      <sheetName val="Function_Segment10"/>
      <sheetName val="Analytical_Segment10"/>
      <sheetName val="Lexlines--&gt;TD_Ac__--&gt;_Natur__10"/>
      <sheetName val="LexLine_--&gt;_Natural__Account10"/>
      <sheetName val="BS_as_received10"/>
      <sheetName val="Cumulative_Temp_Diff10"/>
      <sheetName val="IDL_Konsis7"/>
      <sheetName val="Summary_TY_20206"/>
      <sheetName val="Summary_Other_Prog_Q16"/>
      <sheetName val="Actuals_Q1_TPS6"/>
      <sheetName val="INT_Hours_PA6"/>
      <sheetName val="SWL_PA6"/>
      <sheetName val="PA_Final6"/>
      <sheetName val="PIVOT_P66"/>
      <sheetName val="Pivot_Committed6"/>
      <sheetName val="Pivot_reversal6"/>
      <sheetName val="Bid_Summary5"/>
      <sheetName val="_TM_Immobilizzazioni_Immateria5"/>
      <sheetName val="Immob__Immateriali5"/>
      <sheetName val="_TM_Immobilizzazioni_materiali5"/>
      <sheetName val="Immob__materiali5"/>
      <sheetName val="_TM_Crediti_commerciali5"/>
      <sheetName val="_TM_Altri_crediti5"/>
      <sheetName val="Crediti_commerciali5"/>
      <sheetName val="_TM_Disponibilità_liquide5"/>
      <sheetName val="Altri_crediti5"/>
      <sheetName val="Disponibilità_liquide5"/>
      <sheetName val="Debiti_comm_li5"/>
      <sheetName val="Altri_debiti5"/>
      <sheetName val="_TM_Ratei_e_risconti_attivi_e_5"/>
      <sheetName val="_TM_TFR_e_FRO5"/>
      <sheetName val="_TM_Debiti_comm_li5"/>
      <sheetName val="_TM_Altri_debiti5"/>
      <sheetName val="_TM_Variazione_rimanenze5"/>
      <sheetName val="_TM_Altri_ricavi5"/>
      <sheetName val="31_10_20185"/>
      <sheetName val="2018_lavorato5"/>
      <sheetName val="2018_lavorato_(2)5"/>
      <sheetName val="30_04_2017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Set>
  </externalBook>
</externalLink>
</file>

<file path=xl/externalLinks/externalLink5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55.xml><?xml version="1.0" encoding="utf-8"?>
<externalLink xmlns:r="http://schemas.openxmlformats.org/officeDocument/2006/relationships" xmlns="http://schemas.openxmlformats.org/spreadsheetml/2006/main">
  <externalBook r:id="rId1">
    <sheetNames>
      <sheetName val="Worksheet"/>
      <sheetName val="Selector"/>
    </sheetNames>
    <sheetDataSet>
      <sheetData sheetId="0"/>
      <sheetData sheetId="1"/>
    </sheetDataSet>
  </externalBook>
</externalLink>
</file>

<file path=xl/externalLinks/externalLink56.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4"/>
      <sheetName val="MTO_REV_2(ARMOR)3"/>
      <sheetName val="Run_Sheet3"/>
      <sheetName val="Running_List3"/>
      <sheetName val="_Schematic3"/>
      <sheetName val="Drop_down_support3"/>
      <sheetName val="General_data_input3"/>
      <sheetName val="General_DDL3"/>
      <sheetName val="PBN_AMW2"/>
      <sheetName val="INTEQ_Final2"/>
      <sheetName val="calculo_de_gas_Total2"/>
      <sheetName val="Single_Blank2"/>
      <sheetName val="Drop_Down_Menu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5"/>
      <sheetName val="MTO_REV_2(ARMOR)4"/>
      <sheetName val="Run_Sheet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Schematic_(S)6"/>
      <sheetName val="MTO_REV_2(ARMOR)5"/>
      <sheetName val="Run_Sheet5"/>
      <sheetName val="Running_List5"/>
      <sheetName val="_Schematic5"/>
      <sheetName val="Drop_down_support5"/>
      <sheetName val="General_data_input5"/>
      <sheetName val="General_DDL5"/>
      <sheetName val="PBN_AMW4"/>
      <sheetName val="INTEQ_Final4"/>
      <sheetName val="calculo_de_gas_Total4"/>
      <sheetName val="Single_Blank4"/>
      <sheetName val="Drop_Down_Menu4"/>
      <sheetName val="PGE_Drilling_Code4"/>
      <sheetName val="Drilling_Code4"/>
      <sheetName val="BHA_Cal4"/>
      <sheetName val="DP_Tally4"/>
      <sheetName val="Data_Entry4"/>
      <sheetName val="DATA_MASTER4"/>
      <sheetName val="Days_干井4"/>
      <sheetName val="WBS_Level_34"/>
      <sheetName val="_MDT_data_LD27-2-24"/>
      <sheetName val="Tubular_Tally4"/>
      <sheetName val="ResevoirTable"/>
      <sheetName val="Dropdown List"/>
      <sheetName val="井口装置示意图-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Set>
  </externalBook>
</externalLink>
</file>

<file path=xl/externalLinks/externalLink57.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58.xml><?xml version="1.0" encoding="utf-8"?>
<externalLink xmlns:r="http://schemas.openxmlformats.org/officeDocument/2006/relationships" xmlns="http://schemas.openxmlformats.org/spreadsheetml/2006/main">
  <externalBook r:id="rId1">
    <sheetNames>
      <sheetName val="HARC_Upload"/>
      <sheetName val="TmplFormat"/>
    </sheetNames>
    <sheetDataSet>
      <sheetData sheetId="0"/>
      <sheetData sheetId="1"/>
    </sheetDataSet>
  </externalBook>
</externalLink>
</file>

<file path=xl/externalLinks/externalLink59.xml><?xml version="1.0" encoding="utf-8"?>
<externalLink xmlns:r="http://schemas.openxmlformats.org/officeDocument/2006/relationships" xmlns="http://schemas.openxmlformats.org/spreadsheetml/2006/main">
  <externalBook r:id="rId1">
    <sheetNames>
      <sheetName val="AWO summary"/>
      <sheetName val="Process"/>
      <sheetName val="Document Revision Control"/>
      <sheetName val="AE Revision Control"/>
      <sheetName val="Process Revision Control"/>
      <sheetName val="Summary"/>
      <sheetName val="ENG Input"/>
      <sheetName val="SSWE LT Configurator"/>
      <sheetName val="SCP LT Configurator"/>
      <sheetName val="DWH &gt;&gt;"/>
      <sheetName val="LTA J2G Part Numbers"/>
      <sheetName val="AE Database"/>
      <sheetName val="ENG LT"/>
      <sheetName val="SOU LT"/>
      <sheetName val="J2G M&amp;R"/>
      <sheetName val="MFG LT"/>
      <sheetName val="Freight Table"/>
      <sheetName val="MRP Holidays"/>
      <sheetName val="Dwg Release Date"/>
      <sheetName val="Qte B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60.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A1a Wellbore Diagram - EXISTING"/>
      <sheetName val="A1b Wellbore Diagram - PLAN"/>
      <sheetName val="A2a Completion Tally - PLAN"/>
      <sheetName val="A7 Hanger Spaceout Sheet"/>
      <sheetName val="A3a Well Path (Lateral A)"/>
      <sheetName val="A3b Well Path (Lateral B)"/>
      <sheetName val="4A Wellhead &amp; Xmas Tree"/>
      <sheetName val="4B Wellbore Diagram (pre-job)"/>
      <sheetName val="A5 Mirage Plug Calculation"/>
      <sheetName val="A6 Well Handover Form"/>
      <sheetName val="11A Tubular &amp; Stim Vessel Info"/>
      <sheetName val="A7 Surface Line Hookup"/>
      <sheetName val="A8 Standard Mixes"/>
      <sheetName val="Radiagreen Dilution Calcs"/>
      <sheetName val="WORKSHEET - Raw Tbg Deck Tally"/>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61.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62.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63.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64.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65.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NPT 2024 (Updated 23 Sep)"/>
      <sheetName val="RO MR records"/>
      <sheetName val="2024 Drop LC Tracker"/>
      <sheetName val="2024 NORMS_V2"/>
      <sheetName val="Completion Code Rev.31"/>
      <sheetName val="Upcoming Focus Wells"/>
      <sheetName val="2024 KPI"/>
      <sheetName val="Actual Performance"/>
      <sheetName val="Performance Track"/>
      <sheetName val="Barrier Disk Issue"/>
      <sheetName val="Highlights !!"/>
      <sheetName val="Forecast Q1Q2 2022"/>
      <sheetName val="Risk and Mitigation"/>
      <sheetName val="Best Practice"/>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Pivot RIH Speed"/>
      <sheetName val="Pivot Cost"/>
      <sheetName val="Completion Code Rev.32"/>
      <sheetName val="Deployment "/>
      <sheetName val="LC Held Up_Stuck"/>
      <sheetName val="DWS_April_2022_Final"/>
      <sheetName val="DWS_Sep_2022_Final"/>
      <sheetName val="BP_2022"/>
      <sheetName val="Pivot_RIH_Speed"/>
      <sheetName val="Upcoming_Jobs"/>
      <sheetName val="Completed_Jobs"/>
      <sheetName val="NPT_2024_(Updated_23_Sep)"/>
      <sheetName val="RO_MR_records"/>
      <sheetName val="2024_NORMS_V2"/>
      <sheetName val="Completion_Code_Rev_31"/>
      <sheetName val="Upcoming_Focus_Wells"/>
      <sheetName val="2024_KPI"/>
      <sheetName val="Actual_Performance"/>
      <sheetName val="Performance_Track"/>
      <sheetName val="Pivot_Cost"/>
      <sheetName val="Completion_Code_Rev_32"/>
      <sheetName val="Barrier_Disk_Issue"/>
      <sheetName val="DWS_Jan_2022_Final"/>
      <sheetName val="Highlights_!!"/>
      <sheetName val="Forecast_Q1Q2_2022"/>
      <sheetName val="Risk_and_Mitigation"/>
      <sheetName val="Best_Practice"/>
      <sheetName val="2024_Drop_LC_Tracker"/>
      <sheetName val="Completion_Duration"/>
      <sheetName val="Performance_Pivot"/>
      <sheetName val="RIH_Speed"/>
      <sheetName val="Cost_Performance_1"/>
      <sheetName val="Tubing_Balance"/>
      <sheetName val="Revised_Cost"/>
      <sheetName val="Cost_Forecast"/>
      <sheetName val="Cost_Performance_2"/>
      <sheetName val="Production_&amp;_Injection_Rate"/>
      <sheetName val="P_&amp;_I_Rates_for_NEB"/>
      <sheetName val="P_&amp;_I_Rates_for_SAHIL"/>
      <sheetName val="Deployment_"/>
      <sheetName val="LC_Held_Up_Stuck"/>
      <sheetName val="Pivot ILT"/>
      <sheetName val="Challenges"/>
      <sheetName val="Sheet1"/>
      <sheetName val="Completion Code"/>
      <sheetName val="Sheet4"/>
      <sheetName val="Pivot 2021_23"/>
      <sheetName val="Pivot 2023"/>
      <sheetName val="Pivot-1"/>
      <sheetName val="Forecast-2"/>
      <sheetName val="Sheet2"/>
      <sheetName val="Pivot Forecast"/>
      <sheetName val="Pivot"/>
      <sheetName val="Sahil 20Dec"/>
      <sheetName val="DDR"/>
      <sheetName val="Performance 1"/>
      <sheetName val="Pivot(Felix)"/>
      <sheetName val="Sheet5"/>
      <sheetName val="Completed Jobs (Felix)"/>
      <sheetName val="Performance"/>
      <sheetName val="Average and BoB"/>
      <sheetName val="Pivot Performance"/>
      <sheetName val="NEB Completion Database"/>
      <sheetName val="Pivot_ILT"/>
      <sheetName val="Completion_Code"/>
      <sheetName val="Pivot_2021_23"/>
      <sheetName val="Pivot_2023"/>
      <sheetName val="Pivot_Forecast"/>
      <sheetName val="Sahil_20Dec"/>
      <sheetName val="Performance_1"/>
      <sheetName val="Completed_Jobs_(Felix)"/>
      <sheetName val="Average_and_BoB"/>
      <sheetName val="Pivot_Performance"/>
      <sheetName val="NEB_Completion_Data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Set>
  </externalBook>
</externalLink>
</file>

<file path=xl/externalLinks/externalLink66.xml><?xml version="1.0" encoding="utf-8"?>
<externalLink xmlns:r="http://schemas.openxmlformats.org/officeDocument/2006/relationships" xmlns="http://schemas.openxmlformats.org/spreadsheetml/2006/main">
  <externalBook r:id="rId1">
    <sheetNames>
      <sheetName val="Mustang Codes"/>
      <sheetName val="Items Listings"/>
      <sheetName val="Definitions"/>
      <sheetName val="Contingency"/>
      <sheetName val="Codes"/>
      <sheetName val="ENG Input"/>
    </sheetNames>
    <sheetDataSet>
      <sheetData sheetId="0"/>
      <sheetData sheetId="1"/>
      <sheetData sheetId="2"/>
      <sheetData sheetId="3"/>
      <sheetData sheetId="4"/>
      <sheetData sheetId="5"/>
    </sheetDataSet>
  </externalBook>
</externalLink>
</file>

<file path=xl/externalLinks/externalLink67.xml><?xml version="1.0" encoding="utf-8"?>
<externalLink xmlns:r="http://schemas.openxmlformats.org/officeDocument/2006/relationships" xmlns="http://schemas.openxmlformats.org/spreadsheetml/2006/main">
  <externalBook r:id="rId1">
    <sheetNames>
      <sheetName val="MAIN"/>
    </sheetNames>
    <sheetDataSet>
      <sheetData sheetId="0"/>
    </sheetDataSet>
  </externalBook>
</externalLink>
</file>

<file path=xl/externalLinks/externalLink68.xml><?xml version="1.0" encoding="utf-8"?>
<externalLink xmlns:r="http://schemas.openxmlformats.org/officeDocument/2006/relationships" xmlns="http://schemas.openxmlformats.org/spreadsheetml/2006/main">
  <externalBook r:id="rId1">
    <sheetNames>
      <sheetName val="DD Worksheet"/>
      <sheetName val="Tally"/>
      <sheetName val="******"/>
      <sheetName val="Spec MB"/>
      <sheetName val="Spec L#1"/>
      <sheetName val="Well Summary"/>
      <sheetName val="8.5&quot; Section"/>
      <sheetName val="6.125&quot; Section"/>
      <sheetName val="Roster"/>
      <sheetName val="Report"/>
      <sheetName val="BHA#2"/>
      <sheetName val="BHA#1"/>
      <sheetName val="DDWorksheet"/>
      <sheetName val="Slide Sheet"/>
      <sheetName val="90ft SS Survey"/>
      <sheetName val="Motor"/>
      <sheetName val="Tally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69.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70.xml><?xml version="1.0" encoding="utf-8"?>
<externalLink xmlns:r="http://schemas.openxmlformats.org/officeDocument/2006/relationships" xmlns="http://schemas.openxmlformats.org/spreadsheetml/2006/main">
  <externalBook r:id="rId1">
    <sheetNames>
      <sheetName val="For Allocation Email"/>
      <sheetName val="Tubular Allocation"/>
      <sheetName val="Auto Allocation Sheet"/>
      <sheetName val="DWS Wells"/>
      <sheetName val="LH"/>
      <sheetName val="Xovers"/>
      <sheetName val="Cellar"/>
      <sheetName val="Master List"/>
      <sheetName val="Baskets"/>
      <sheetName val="Baskets (2)"/>
      <sheetName val="CA Allocation Final"/>
      <sheetName val="CA Allocation D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71.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72.xml><?xml version="1.0" encoding="utf-8"?>
<externalLink xmlns:r="http://schemas.openxmlformats.org/officeDocument/2006/relationships" xmlns="http://schemas.openxmlformats.org/spreadsheetml/2006/main">
  <externalBook r:id="rId1">
    <sheetNames>
      <sheetName val="DWS April 2022 Final"/>
      <sheetName val="DWS Sep 2022 Final"/>
      <sheetName val="BP 2022"/>
      <sheetName val="Pivot RIH Speed"/>
      <sheetName val="Upcoming Jobs"/>
      <sheetName val="Completed Jobs"/>
      <sheetName val="NPT 2024 (Updated 23 Sep)"/>
      <sheetName val="RO MR records"/>
      <sheetName val="2024 NORMS_V2"/>
      <sheetName val="Completion Code Rev.31"/>
      <sheetName val="Upcoming Focus Wells"/>
      <sheetName val="2024 KPI"/>
      <sheetName val="Actual Performance"/>
      <sheetName val="Performance Track"/>
      <sheetName val="Completion Code Rev.32"/>
      <sheetName val="Barrier Disk Issue"/>
      <sheetName val="DWS Jan 2022 Final"/>
      <sheetName val="Highlights !!"/>
      <sheetName val="Forecast Q1Q2 2022"/>
      <sheetName val="Risk and Mitigation"/>
      <sheetName val="Best Practice"/>
      <sheetName val="2024 Drop LC Tracker"/>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Deployment "/>
      <sheetName val="Sheet4"/>
      <sheetName val="Pivot 2021_23"/>
      <sheetName val="Pivot 2023"/>
      <sheetName val="Pivot-1"/>
      <sheetName val="Forecast-2"/>
      <sheetName val="Sheet2"/>
      <sheetName val="Pivot Forecast"/>
      <sheetName val="Pivot"/>
      <sheetName val="Sahil 20Dec"/>
      <sheetName val="Sheet1"/>
      <sheetName val="DDR"/>
      <sheetName val="Performance 1"/>
      <sheetName val="Performance"/>
      <sheetName val="Pivot(Felix)"/>
      <sheetName val="Sheet5"/>
      <sheetName val="Completed Jobs (Felix)"/>
      <sheetName val="Completion Code"/>
      <sheetName val="Challeng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3.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74.xml><?xml version="1.0" encoding="utf-8"?>
<externalLink xmlns:r="http://schemas.openxmlformats.org/officeDocument/2006/relationships" xmlns="http://schemas.openxmlformats.org/spreadsheetml/2006/main">
  <externalBook r:id="rId1">
    <sheetNames>
      <sheetName val="SO"/>
      <sheetName val="Sheet1"/>
      <sheetName val="previous"/>
      <sheetName val="contract value &amp; discounts"/>
      <sheetName val="OilT"/>
      <sheetName val="Sheet3"/>
      <sheetName val="cat"/>
      <sheetName val="MATERIALS"/>
      <sheetName val="DATA MASTER"/>
      <sheetName val="Info Sheet"/>
      <sheetName val="661021R3"/>
      <sheetName val="contract_value_&amp;_discounts"/>
      <sheetName val="DATA_MASTER"/>
      <sheetName val="Info_Sheet"/>
      <sheetName val="contract_value_&amp;_discounts1"/>
      <sheetName val="DATA_MASTER1"/>
      <sheetName val="Info_Sheet1"/>
      <sheetName val="contract_value_&amp;_discounts2"/>
      <sheetName val="DATA_MASTER2"/>
      <sheetName val="Info_Sheet2"/>
      <sheetName val="contract_value_&amp;_discounts3"/>
      <sheetName val="DATA_MASTER3"/>
      <sheetName val="Info_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75.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76.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Sheet1"/>
      <sheetName val="R4G-LCRAS(M)"/>
      <sheetName val="PROG_UC"/>
      <sheetName val="MW"/>
      <sheetName val="P3G"/>
      <sheetName val="TMA"/>
      <sheetName val="R1"/>
      <sheetName val="R3G"/>
      <sheetName val="R4G"/>
      <sheetName val="R3GTB"/>
      <sheetName val="P1"/>
      <sheetName val="P1_STTB"/>
      <sheetName val="P4G"/>
      <sheetName val="TYPE7-N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77.xml><?xml version="1.0" encoding="utf-8"?>
<externalLink xmlns:r="http://schemas.openxmlformats.org/officeDocument/2006/relationships" xmlns="http://schemas.openxmlformats.org/spreadsheetml/2006/main">
  <externalBook r:id="rId1">
    <sheetNames>
      <sheetName val="2001030025"/>
      <sheetName val="Pers&amp;Dem Scarabeo 3"/>
      <sheetName val="SO1"/>
      <sheetName val="SO2"/>
      <sheetName val="SO3"/>
      <sheetName val="SO4"/>
      <sheetName val="SO5"/>
      <sheetName val="SO6"/>
      <sheetName val="SO7"/>
      <sheetName val="SO8"/>
      <sheetName val="LT Disc"/>
      <sheetName val="Rentals"/>
      <sheetName val="Products"/>
      <sheetName val="2001020025"/>
      <sheetName val="20610"/>
      <sheetName val="jds"/>
      <sheetName val="series-reduced"/>
      <sheetName val="IFE"/>
      <sheetName val="Pay Calculation Sheet"/>
      <sheetName val="Lookup"/>
      <sheetName val="AFE-179"/>
      <sheetName val="Personnel"/>
      <sheetName val="Price Book"/>
      <sheetName val="CPRN Feb 2001 Invoice"/>
      <sheetName val="Pers&amp;Dem_Scarabeo_3"/>
      <sheetName val="LT_Disc"/>
      <sheetName val="Pay_Calculation_Sheet"/>
      <sheetName val="Price_Book"/>
      <sheetName val="CPRN_Feb_2001_Invoice"/>
      <sheetName val="Pers&amp;Dem_Scarabeo_32"/>
      <sheetName val="LT_Disc2"/>
      <sheetName val="Pay_Calculation_Sheet2"/>
      <sheetName val="Price_Book2"/>
      <sheetName val="CPRN_Feb_2001_Invoice2"/>
      <sheetName val="Pers&amp;Dem_Scarabeo_31"/>
      <sheetName val="LT_Disc1"/>
      <sheetName val="Pay_Calculation_Sheet1"/>
      <sheetName val="Price_Book1"/>
      <sheetName val="CPRN_Feb_2001_Invoice1"/>
      <sheetName val="Pers&amp;Dem_Scarabeo_33"/>
      <sheetName val="LT_Disc3"/>
      <sheetName val="Pay_Calculation_Sheet3"/>
      <sheetName val="Price_Book3"/>
      <sheetName val="CPRN_Feb_2001_Invoice3"/>
      <sheetName val="Pers&amp;Dem_Scarabeo_34"/>
      <sheetName val="LT_Disc4"/>
      <sheetName val="Pay_Calculation_Sheet4"/>
      <sheetName val="Price_Book4"/>
      <sheetName val="CPRN_Feb_2001_Invoice4"/>
      <sheetName val="Pers&amp;Dem_Scarabeo_36"/>
      <sheetName val="LT_Disc6"/>
      <sheetName val="Pay_Calculation_Sheet6"/>
      <sheetName val="Price_Book6"/>
      <sheetName val="CPRN_Feb_2001_Invoice6"/>
      <sheetName val="Pers&amp;Dem_Scarabeo_35"/>
      <sheetName val="LT_Disc5"/>
      <sheetName val="Pay_Calculation_Sheet5"/>
      <sheetName val="Price_Book5"/>
      <sheetName val="CPRN_Feb_2001_Invoice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78.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79.xml><?xml version="1.0" encoding="utf-8"?>
<externalLink xmlns:r="http://schemas.openxmlformats.org/officeDocument/2006/relationships" xmlns="http://schemas.openxmlformats.org/spreadsheetml/2006/main">
  <externalBook r:id="rId1">
    <sheetNames>
      <sheetName val="Bid Summary"/>
      <sheetName val="Summary P+L"/>
      <sheetName val="Full Cost"/>
      <sheetName val="Standard"/>
      <sheetName val="Production Tree"/>
      <sheetName val="Prod.Tree Choke"/>
      <sheetName val="Prod Tbg Spool"/>
      <sheetName val="Prod Tbg Hngr"/>
      <sheetName val="WI Tree"/>
      <sheetName val="WI Choke"/>
      <sheetName val="WI Tbg Spool"/>
      <sheetName val="WI Inj Tbg Hngr"/>
      <sheetName val="Tree Cap"/>
      <sheetName val="Tree Lift Cap"/>
      <sheetName val="Purch Rev1"/>
      <sheetName val="Purch"/>
      <sheetName val="Manuf"/>
      <sheetName val="Purchasing Tree"/>
      <sheetName val="Purchasing THS"/>
      <sheetName val="SUM"/>
      <sheetName val="2003 SSWE LINE ITEM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80.xml><?xml version="1.0" encoding="utf-8"?>
<externalLink xmlns:r="http://schemas.openxmlformats.org/officeDocument/2006/relationships" xmlns="http://schemas.openxmlformats.org/spreadsheetml/2006/main">
  <externalBook r:id="rId1">
    <sheetNames>
      <sheetName val="MFG QMI"/>
      <sheetName val="Handicap"/>
      <sheetName val="Summary"/>
      <sheetName val="Regional Summary"/>
      <sheetName val="MFG Summary"/>
      <sheetName val="HQ"/>
      <sheetName val="Dammam"/>
      <sheetName val="Monterrey"/>
      <sheetName val="Shawnee"/>
      <sheetName val="Singapore"/>
      <sheetName val="Shanghai"/>
      <sheetName val="Suzhou"/>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81.xml><?xml version="1.0" encoding="utf-8"?>
<externalLink xmlns:r="http://schemas.openxmlformats.org/officeDocument/2006/relationships" xmlns="http://schemas.openxmlformats.org/spreadsheetml/2006/main">
  <externalBook r:id="rId1">
    <sheetNames>
      <sheetName val="Setup"/>
      <sheetName val="TCP Toolstring Schematic"/>
      <sheetName val="Sequence of Operations"/>
      <sheetName val="Packer Ticket"/>
      <sheetName val="Job Ticket"/>
      <sheetName val="EJCS KPI-Survey"/>
      <sheetName val="Sheet1"/>
    </sheetNames>
    <sheetDataSet>
      <sheetData sheetId="0"/>
      <sheetData sheetId="1"/>
      <sheetData sheetId="2"/>
      <sheetData sheetId="3"/>
      <sheetData sheetId="4"/>
      <sheetData sheetId="5"/>
      <sheetData sheetId="6"/>
    </sheetDataSet>
  </externalBook>
</externalLink>
</file>

<file path=xl/externalLinks/externalLink82.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83.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84.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Tally"/>
      <sheetName val="Job Order MN-08"/>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5.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Ann Bleed off Chart"/>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6.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Job Reporta"/>
      <sheetName val="Running Procedure."/>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7.xml><?xml version="1.0" encoding="utf-8"?>
<externalLink xmlns:r="http://schemas.openxmlformats.org/officeDocument/2006/relationships" xmlns="http://schemas.openxmlformats.org/spreadsheetml/2006/main">
  <externalBook r:id="rId1">
    <sheetNames>
      <sheetName val="Oil Wells - New - TRSV"/>
      <sheetName val="Job Report"/>
      <sheetName val="DHWS XN-004"/>
      <sheetName val="Run List"/>
      <sheetName val="Job Order XN-004"/>
      <sheetName val="LOWER COMPLETION"/>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8.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89.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90.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P1-LC7RAS"/>
      <sheetName val="T&amp;D and SWELLSIM"/>
      <sheetName val="STING IN"/>
      <sheetName val="RAS"/>
      <sheetName val="SM"/>
      <sheetName val="PPL"/>
      <sheetName val="LEL"/>
      <sheetName val="Actual WGR"/>
      <sheetName val="R1-LC9RAS"/>
      <sheetName val="R4G-LC8RAS"/>
      <sheetName val="R3G-LC8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1.xml><?xml version="1.0" encoding="utf-8"?>
<externalLink xmlns:r="http://schemas.openxmlformats.org/officeDocument/2006/relationships" xmlns="http://schemas.openxmlformats.org/spreadsheetml/2006/main">
  <externalBook r:id="rId1">
    <sheetNames>
      <sheetName val="CODE"/>
    </sheetNames>
    <sheetDataSet>
      <sheetData sheetId="0"/>
    </sheetDataSet>
  </externalBook>
</externalLink>
</file>

<file path=xl/externalLinks/externalLink92.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93.xml><?xml version="1.0" encoding="utf-8"?>
<externalLink xmlns:r="http://schemas.openxmlformats.org/officeDocument/2006/relationships" xmlns="http://schemas.openxmlformats.org/spreadsheetml/2006/main">
  <externalBook r:id="rId1">
    <sheetNames>
      <sheetName val="MyJob-Correlation"/>
      <sheetName val="CSR"/>
      <sheetName val="#REF"/>
      <sheetName val="K Factor"/>
      <sheetName val="PNL2003"/>
      <sheetName val="Ticket"/>
      <sheetName val="ALLDATA"/>
      <sheetName val="Tubular Information"/>
      <sheetName val="K_Factor1"/>
      <sheetName val="Tubular_Information1"/>
      <sheetName val="K_Factor"/>
      <sheetName val="Tubular_Information"/>
      <sheetName val="K_Factor2"/>
      <sheetName val="Tubular_Information2"/>
      <sheetName val="K_Factor3"/>
      <sheetName val="Tubular_Information3"/>
      <sheetName val="K_Factor4"/>
      <sheetName val="Tubular_Information4"/>
      <sheetName val="K_Factor5"/>
      <sheetName val="Tubular_Information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94.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Pipe Tally"/>
      <sheetName val="Daily Report (1)"/>
      <sheetName val="Barrier User Notes"/>
      <sheetName val="Barrier Example Questions"/>
      <sheetName val="QW-164 Workbook_"/>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5.xml><?xml version="1.0" encoding="utf-8"?>
<externalLink xmlns:r="http://schemas.openxmlformats.org/officeDocument/2006/relationships" xmlns="http://schemas.openxmlformats.org/spreadsheetml/2006/main">
  <externalBook r:id="rId1">
    <sheetNames>
      <sheetName val="Readings"/>
      <sheetName val="MACRO125 "/>
      <sheetName val="MACRO125"/>
      <sheetName val="Macro1"/>
      <sheetName val="Module1"/>
      <sheetName val="MACRO125_1"/>
      <sheetName val="MACRO125_"/>
      <sheetName val="MACRO125_2"/>
      <sheetName val="MACRO125_3"/>
      <sheetName val="MACRO125_4"/>
      <sheetName val="MACRO125_5"/>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6.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7.xml><?xml version="1.0" encoding="utf-8"?>
<externalLink xmlns:r="http://schemas.openxmlformats.org/officeDocument/2006/relationships" xmlns="http://schemas.openxmlformats.org/spreadsheetml/2006/main">
  <externalBook r:id="rId1">
    <sheetNames>
      <sheetName val="BOM1"/>
      <sheetName val="H381904-2"/>
      <sheetName val="387533"/>
      <sheetName val="339362"/>
      <sheetName val="Data"/>
      <sheetName val="HBS BOM_REV_0 (ESTIMATE COST)-T"/>
    </sheetNames>
    <sheetDataSet>
      <sheetData sheetId="0"/>
      <sheetData sheetId="1"/>
      <sheetData sheetId="2"/>
      <sheetData sheetId="3"/>
      <sheetData sheetId="4"/>
      <sheetData sheetId="5"/>
    </sheetDataSet>
  </externalBook>
</externalLink>
</file>

<file path=xl/externalLinks/externalLink98.xml><?xml version="1.0" encoding="utf-8"?>
<externalLink xmlns:r="http://schemas.openxmlformats.org/officeDocument/2006/relationships" xmlns="http://schemas.openxmlformats.org/spreadsheetml/2006/main">
  <externalBook r:id="rId1">
    <sheetNames>
      <sheetName val="RFQ Checklist"/>
      <sheetName val="Section F"/>
      <sheetName val="BOM2"/>
      <sheetName val="BOM3"/>
      <sheetName val="BOM4"/>
      <sheetName val="BOM5"/>
      <sheetName val="BOM6"/>
      <sheetName val="BOM7"/>
      <sheetName val="BOM8"/>
      <sheetName val="BOM9"/>
      <sheetName val="BOM10"/>
      <sheetName val="Qualification Matrix"/>
      <sheetName val="PNData"/>
      <sheetName val="HourData"/>
      <sheetName val="HP190192 AE BOM Rev N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99.xml><?xml version="1.0" encoding="utf-8"?>
<externalLink xmlns:r="http://schemas.openxmlformats.org/officeDocument/2006/relationships" xmlns="http://schemas.openxmlformats.org/spreadsheetml/2006/main">
  <externalBook r:id="rId1">
    <sheetNames>
      <sheetName val="Synthèse"/>
      <sheetName val="CA"/>
      <sheetName val="graph ec"/>
      <sheetName val="Carnet"/>
      <sheetName val="MB OldNom"/>
      <sheetName val="MB NewNom"/>
      <sheetName val="Matrice MB"/>
      <sheetName val="Les Dix"/>
      <sheetName val="heures"/>
      <sheetName val="Ch Clefs"/>
      <sheetName val="Invest et amortiss"/>
      <sheetName val="Com OldNom"/>
      <sheetName val="Com NewNom"/>
      <sheetName val="Tot PC Italy"/>
      <sheetName val="Lex Input 1st Pass"/>
      <sheetName val="prdty"/>
      <sheetName val="Inputs"/>
      <sheetName val="bkupVCP"/>
      <sheetName val="Databank"/>
      <sheetName val="Parameters"/>
      <sheetName val="SALE-USD x TRADING"/>
      <sheetName val="Calendar"/>
      <sheetName val="1403"/>
      <sheetName val="Entry"/>
      <sheetName val="Variables"/>
      <sheetName val="DCF Sensitivity Analysis"/>
      <sheetName val="Sheet1"/>
      <sheetName val="Mgmt and Ownership"/>
      <sheetName val="UNITS"/>
      <sheetName val="graph_ec"/>
      <sheetName val="MB_OldNom"/>
      <sheetName val="MB_NewNom"/>
      <sheetName val="Matrice_MB"/>
      <sheetName val="Les_Dix"/>
      <sheetName val="Ch_Clefs"/>
      <sheetName val="Invest_et_amortiss"/>
      <sheetName val="Com_OldNom"/>
      <sheetName val="Com_NewNom"/>
      <sheetName val="Lex_Input_1st_Pass"/>
      <sheetName val="Tot_PC_Italy"/>
      <sheetName val="SALE-USD_x_TRADING"/>
      <sheetName val="graph_ec1"/>
      <sheetName val="MB_OldNom1"/>
      <sheetName val="MB_NewNom1"/>
      <sheetName val="Matrice_MB1"/>
      <sheetName val="Les_Dix1"/>
      <sheetName val="Ch_Clefs1"/>
      <sheetName val="Invest_et_amortiss1"/>
      <sheetName val="Com_OldNom1"/>
      <sheetName val="Com_NewNom1"/>
      <sheetName val="Lex_Input_1st_Pass1"/>
      <sheetName val="Tot_PC_Italy1"/>
      <sheetName val="SALE-USD_x_TRADING1"/>
      <sheetName val="graph_ec3"/>
      <sheetName val="MB_OldNom3"/>
      <sheetName val="MB_NewNom3"/>
      <sheetName val="Matrice_MB3"/>
      <sheetName val="Les_Dix3"/>
      <sheetName val="Ch_Clefs3"/>
      <sheetName val="Invest_et_amortiss3"/>
      <sheetName val="Com_OldNom3"/>
      <sheetName val="Com_NewNom3"/>
      <sheetName val="Lex_Input_1st_Pass3"/>
      <sheetName val="Tot_PC_Italy3"/>
      <sheetName val="SALE-USD_x_TRADING3"/>
      <sheetName val="graph_ec2"/>
      <sheetName val="MB_OldNom2"/>
      <sheetName val="MB_NewNom2"/>
      <sheetName val="Matrice_MB2"/>
      <sheetName val="Les_Dix2"/>
      <sheetName val="Ch_Clefs2"/>
      <sheetName val="Invest_et_amortiss2"/>
      <sheetName val="Com_OldNom2"/>
      <sheetName val="Com_NewNom2"/>
      <sheetName val="Lex_Input_1st_Pass2"/>
      <sheetName val="Tot_PC_Italy2"/>
      <sheetName val="SALE-USD_x_TRADING2"/>
      <sheetName val="graph_ec4"/>
      <sheetName val="MB_OldNom4"/>
      <sheetName val="MB_NewNom4"/>
      <sheetName val="Matrice_MB4"/>
      <sheetName val="Les_Dix4"/>
      <sheetName val="Ch_Clefs4"/>
      <sheetName val="Invest_et_amortiss4"/>
      <sheetName val="Com_OldNom4"/>
      <sheetName val="Com_NewNom4"/>
      <sheetName val="Lex_Input_1st_Pass4"/>
      <sheetName val="Tot_PC_Italy4"/>
      <sheetName val="SALE-USD_x_TRADING4"/>
      <sheetName val="DCF_Sensitivity_Analysis"/>
      <sheetName val="DILUTION"/>
      <sheetName val="Mgmt_and_Ownership"/>
      <sheetName val="1PCBUD"/>
      <sheetName val="Com_OldNom5"/>
      <sheetName val="COM00"/>
      <sheetName val="Mapping Table"/>
      <sheetName val="graph_ec6"/>
      <sheetName val="MB_OldNom6"/>
      <sheetName val="MB_NewNom6"/>
      <sheetName val="Matrice_MB6"/>
      <sheetName val="Les_Dix6"/>
      <sheetName val="Ch_Clefs6"/>
      <sheetName val="Invest_et_amortiss6"/>
      <sheetName val="Com_OldNom6"/>
      <sheetName val="Com_NewNom6"/>
      <sheetName val="Lex_Input_1st_Pass6"/>
      <sheetName val="Tot_PC_Italy6"/>
      <sheetName val="SALE-USD_x_TRADING6"/>
      <sheetName val="DCF_Sensitivity_Analysis2"/>
      <sheetName val="Mgmt_and_Ownership2"/>
      <sheetName val="graph_ec5"/>
      <sheetName val="MB_OldNom5"/>
      <sheetName val="MB_NewNom5"/>
      <sheetName val="Matrice_MB5"/>
      <sheetName val="Les_Dix5"/>
      <sheetName val="Ch_Clefs5"/>
      <sheetName val="Invest_et_amortiss5"/>
      <sheetName val="Com_NewNom5"/>
      <sheetName val="Lex_Input_1st_Pass5"/>
      <sheetName val="Tot_PC_Italy5"/>
      <sheetName val="SALE-USD_x_TRADING5"/>
      <sheetName val="DCF_Sensitivity_Analysis1"/>
      <sheetName val="Mgmt_and_Ownership1"/>
      <sheetName val="graph_ec7"/>
      <sheetName val="MB_OldNom7"/>
      <sheetName val="MB_NewNom7"/>
      <sheetName val="Matrice_MB7"/>
      <sheetName val="Les_Dix7"/>
      <sheetName val="Ch_Clefs7"/>
      <sheetName val="Invest_et_amortiss7"/>
      <sheetName val="Com_OldNom7"/>
      <sheetName val="Com_NewNom7"/>
      <sheetName val="Lex_Input_1st_Pass7"/>
      <sheetName val="Tot_PC_Italy7"/>
      <sheetName val="SALE-USD_x_TRADING7"/>
      <sheetName val="DCF_Sensitivity_Analysis3"/>
      <sheetName val="Mgmt_and_Ownership3"/>
      <sheetName val="graph_ec8"/>
      <sheetName val="MB_OldNom8"/>
      <sheetName val="MB_NewNom8"/>
      <sheetName val="Matrice_MB8"/>
      <sheetName val="Les_Dix8"/>
      <sheetName val="Ch_Clefs8"/>
      <sheetName val="Invest_et_amortiss8"/>
      <sheetName val="Com_OldNom8"/>
      <sheetName val="Com_NewNom8"/>
      <sheetName val="Lex_Input_1st_Pass8"/>
      <sheetName val="Tot_PC_Italy8"/>
      <sheetName val="SALE-USD_x_TRADING8"/>
      <sheetName val="DCF_Sensitivity_Analysis4"/>
      <sheetName val="Mgmt_and_Ownership4"/>
      <sheetName val="graph_ec9"/>
      <sheetName val="MB_OldNom9"/>
      <sheetName val="MB_NewNom9"/>
      <sheetName val="Matrice_MB9"/>
      <sheetName val="Les_Dix9"/>
      <sheetName val="Ch_Clefs9"/>
      <sheetName val="Invest_et_amortiss9"/>
      <sheetName val="Com_OldNom9"/>
      <sheetName val="Com_NewNom9"/>
      <sheetName val="Lex_Input_1st_Pass9"/>
      <sheetName val="Tot_PC_Italy9"/>
      <sheetName val="SALE-USD_x_TRADING9"/>
      <sheetName val="DCF_Sensitivity_Analysis5"/>
      <sheetName val="Mgmt_and_Ownership5"/>
      <sheetName val="graph_ec10"/>
      <sheetName val="MB_OldNom10"/>
      <sheetName val="MB_NewNom10"/>
      <sheetName val="Matrice_MB10"/>
      <sheetName val="Les_Dix10"/>
      <sheetName val="Ch_Clefs10"/>
      <sheetName val="Invest_et_amortiss10"/>
      <sheetName val="Com_OldNom10"/>
      <sheetName val="Com_NewNom10"/>
      <sheetName val="Lex_Input_1st_Pass10"/>
      <sheetName val="Tot_PC_Italy10"/>
      <sheetName val="SALE-USD_x_TRADING10"/>
      <sheetName val="DCF_Sensitivity_Analysis6"/>
      <sheetName val="Mgmt_and_Ownership6"/>
      <sheetName val="Mapping_Tab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Set>
  </externalBook>
</externalLink>
</file>

<file path=xl/externalLinks/externalLink100.xml><?xml version="1.0" encoding="utf-8"?>
<externalLink xmlns:r="http://schemas.openxmlformats.org/officeDocument/2006/relationships" xmlns="http://schemas.openxmlformats.org/spreadsheetml/2006/main">
  <externalBook r:id="rId1">
    <sheetNames>
      <sheetName val="Angsi A"/>
      <sheetName val="Run"/>
      <sheetName val="Angsi_A"/>
      <sheetName val="Angsi_A1"/>
      <sheetName val="Angsi_A2"/>
    </sheetNames>
    <sheetDataSet>
      <sheetData sheetId="0"/>
      <sheetData sheetId="1"/>
      <sheetData sheetId="2"/>
      <sheetData sheetId="3"/>
      <sheetData sheetId="4"/>
    </sheetDataSet>
  </externalBook>
</externalLink>
</file>

<file path=xl/externalLinks/externalLink101.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02.xml><?xml version="1.0" encoding="utf-8"?>
<externalLink xmlns:r="http://schemas.openxmlformats.org/officeDocument/2006/relationships" xmlns="http://schemas.openxmlformats.org/spreadsheetml/2006/main">
  <externalBook r:id="rId1">
    <sheetNames>
      <sheetName val="Minimum Curve Method"/>
      <sheetName val="AN1101"/>
      <sheetName val="AO1103"/>
      <sheetName val="AO1113 "/>
      <sheetName val="AO1112"/>
      <sheetName val="AO1123"/>
      <sheetName val="AO1121"/>
      <sheetName val="Sheet4"/>
      <sheetName val="Sheet1"/>
      <sheetName val="Sheet3"/>
      <sheetName val="Minimum_Curve_Method1"/>
      <sheetName val="AO1113_1"/>
      <sheetName val="Minimum_Curve_Method"/>
      <sheetName val="AO1113_"/>
      <sheetName val="Minimum_Curve_Method2"/>
      <sheetName val="AO1113_2"/>
      <sheetName val="Minimum_Curve_Method3"/>
      <sheetName val="AO1113_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03.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4"/>
      <sheetName val="Run_Sheet3"/>
      <sheetName val="MTO_REV_2(ARMOR)3"/>
      <sheetName val="Single_Blank2"/>
      <sheetName val="Drop_Down_Menu2"/>
      <sheetName val="Running_List3"/>
      <sheetName val="_Schematic3"/>
      <sheetName val="Drop_down_support3"/>
      <sheetName val="General_data_input3"/>
      <sheetName val="General_DDL3"/>
      <sheetName val="PBN_AMW2"/>
      <sheetName val="INTEQ_Final2"/>
      <sheetName val="calculo_de_gas_Total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5"/>
      <sheetName val="Run_Sheet4"/>
      <sheetName val="MTO_REV_2(ARMOR)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ResevoirTable"/>
      <sheetName val="Dropdown List"/>
      <sheetName val="井口装置示意图-4"/>
      <sheetName val="Dropdown_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Set>
  </externalBook>
</externalLink>
</file>

<file path=xl/externalLinks/externalLink104.xml><?xml version="1.0" encoding="utf-8"?>
<externalLink xmlns:r="http://schemas.openxmlformats.org/officeDocument/2006/relationships" xmlns="http://schemas.openxmlformats.org/spreadsheetml/2006/main">
  <externalBook r:id="rId1">
    <sheetNames>
      <sheetName val="Assump Mudi"/>
      <sheetName val="DRILL Sched Mudi"/>
      <sheetName val="Drill MUDI 2002-2003 "/>
      <sheetName val="WO Sched Mudi"/>
      <sheetName val="WO Sched jan 26"/>
      <sheetName val="forecast 3YP"/>
      <sheetName val="PDP Case Jan 2001"/>
      <sheetName val="PDP Case Jan 2001 (2)"/>
      <sheetName val="Cap-Mudi "/>
      <sheetName val="Assumption SK"/>
      <sheetName val="Drill SK 2002-2003"/>
      <sheetName val="Drill SK 2004-2005"/>
      <sheetName val="Cap-Sukowati"/>
      <sheetName val="Assumption  EM"/>
      <sheetName val="DRILL EM 2000-2001"/>
      <sheetName val="DRILL EM 2002-2003"/>
      <sheetName val="DRILL EM 2004"/>
      <sheetName val="Cap-East Mudi"/>
      <sheetName val="Cap-Tuban Block"/>
      <sheetName val="MD"/>
      <sheetName val="MD vs EM"/>
      <sheetName val="EM"/>
      <sheetName val="SK"/>
      <sheetName val="MD vs SK"/>
      <sheetName val="MD+EM Incr"/>
      <sheetName val="MD+SK Incr"/>
      <sheetName val="INCREMEN"/>
      <sheetName val="Sheet1"/>
      <sheetName val="forecast Base Case Mudi"/>
      <sheetName val="forecast Sukowati"/>
      <sheetName val="forecast East Mudi"/>
      <sheetName val="MD Compare"/>
      <sheetName val="sum ALL"/>
      <sheetName val="5 YP MONTHLY RUSS"/>
      <sheetName val="Comp Jan vs LMG"/>
      <sheetName val="forecast Lemigas"/>
      <sheetName val="sum ALLLMG"/>
      <sheetName val="Assump_Mudi"/>
      <sheetName val="DRILL_Sched_Mudi"/>
      <sheetName val="Drill_MUDI_2002-2003_"/>
      <sheetName val="WO_Sched_Mudi"/>
      <sheetName val="WO_Sched_jan_26"/>
      <sheetName val="forecast_3YP"/>
      <sheetName val="PDP_Case_Jan_2001"/>
      <sheetName val="PDP_Case_Jan_2001_(2)"/>
      <sheetName val="Cap-Mudi_"/>
      <sheetName val="Assumption_SK"/>
      <sheetName val="Drill_SK_2002-2003"/>
      <sheetName val="Drill_SK_2004-2005"/>
      <sheetName val="Assumption__EM"/>
      <sheetName val="DRILL_EM_2000-2001"/>
      <sheetName val="DRILL_EM_2002-2003"/>
      <sheetName val="DRILL_EM_2004"/>
      <sheetName val="Cap-East_Mudi"/>
      <sheetName val="Cap-Tuban_Block"/>
      <sheetName val="MD_vs_EM"/>
      <sheetName val="MD_vs_SK"/>
      <sheetName val="MD+EM_Incr"/>
      <sheetName val="MD+SK_Incr"/>
      <sheetName val="forecast_Base_Case_Mudi"/>
      <sheetName val="forecast_Sukowati"/>
      <sheetName val="forecast_East_Mudi"/>
      <sheetName val="MD_Compare"/>
      <sheetName val="sum_ALL"/>
      <sheetName val="5_YP_MONTHLY_RUSS"/>
      <sheetName val="Comp_Jan_vs_LMG"/>
      <sheetName val="forecast_Lemigas"/>
      <sheetName val="sum_ALLLM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105.xml><?xml version="1.0" encoding="utf-8"?>
<externalLink xmlns:r="http://schemas.openxmlformats.org/officeDocument/2006/relationships" xmlns="http://schemas.openxmlformats.org/spreadsheetml/2006/main">
  <externalBook r:id="rId1">
    <sheetNames>
      <sheetName val="0000000"/>
      <sheetName val="Final Tally"/>
      <sheetName val="Pup joint (2)"/>
      <sheetName val="Tally (2)"/>
      <sheetName val="Run List"/>
      <sheetName val="Tally"/>
    </sheetNames>
    <sheetDataSet>
      <sheetData sheetId="0"/>
      <sheetData sheetId="1"/>
      <sheetData sheetId="2"/>
      <sheetData sheetId="3"/>
      <sheetData sheetId="4"/>
      <sheetData sheetId="5"/>
    </sheetDataSet>
  </externalBook>
</externalLink>
</file>

<file path=xl/externalLinks/externalLink106.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107.xml><?xml version="1.0" encoding="utf-8"?>
<externalLink xmlns:r="http://schemas.openxmlformats.org/officeDocument/2006/relationships" xmlns="http://schemas.openxmlformats.org/spreadsheetml/2006/main">
  <externalBook r:id="rId1">
    <sheetNames>
      <sheetName val="Piston"/>
      <sheetName val="Balooning"/>
      <sheetName val="Thermal Expansion"/>
      <sheetName val="Thermal"/>
      <sheetName val="String Movement"/>
    </sheetNames>
    <sheetDataSet>
      <sheetData sheetId="0"/>
      <sheetData sheetId="1"/>
      <sheetData sheetId="2"/>
      <sheetData sheetId="3"/>
      <sheetData sheetId="4"/>
    </sheetDataSet>
  </externalBook>
</externalLink>
</file>

<file path=xl/externalLinks/externalLink108.xml><?xml version="1.0" encoding="utf-8"?>
<externalLink xmlns:r="http://schemas.openxmlformats.org/officeDocument/2006/relationships" xmlns="http://schemas.openxmlformats.org/spreadsheetml/2006/main">
  <externalBook r:id="rId1">
    <sheetNames>
      <sheetName val="Contact Numbers"/>
      <sheetName val="Pre-Job Info Sheet"/>
      <sheetName val="Proposal-TCP"/>
      <sheetName val="TCP-BHA"/>
      <sheetName val="Ticket"/>
      <sheetName val="Ticket (2)"/>
      <sheetName val="back of ticket"/>
      <sheetName val="Job Log"/>
      <sheetName val="1.68&quot;"/>
      <sheetName val="APFH"/>
      <sheetName val="CL Vent"/>
      <sheetName val="Fast Fill Valve"/>
      <sheetName val="Slimhole Fast Fill Valve "/>
      <sheetName val="Slimhole CL Vent"/>
      <sheetName val="Tester Valve Calcs"/>
      <sheetName val="Exit Circulating Valve"/>
      <sheetName val="Job Calculation Sheet"/>
      <sheetName val="Packer Calculation Sheet"/>
      <sheetName val="TCP Gauge Summary"/>
      <sheetName val="Alpine Data Printout"/>
      <sheetName val="Post Job Info Sheet"/>
      <sheetName val="1.38&quot;"/>
      <sheetName val="1.68&quot; CTU"/>
      <sheetName val="TFDFD"/>
      <sheetName val="Dual-Diff."/>
      <sheetName val="Slimhole APFD"/>
      <sheetName val="POPV"/>
      <sheetName val="Auto-Vent"/>
      <sheetName val="Hyd. FVD (N2)"/>
      <sheetName val="Ball - Circ Valve"/>
      <sheetName val="Surge Valve"/>
      <sheetName val="GRC Data Printout"/>
      <sheetName val="STOP PRINTING HERE"/>
      <sheetName val="Temp Reduction Valu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09.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0.xml><?xml version="1.0" encoding="utf-8"?>
<externalLink xmlns:r="http://schemas.openxmlformats.org/officeDocument/2006/relationships" xmlns="http://schemas.openxmlformats.org/spreadsheetml/2006/main">
  <externalBook r:id="rId1">
    <sheetNames>
      <sheetName val="Summary"/>
      <sheetName val="Detail"/>
      <sheetName val="Tally"/>
      <sheetName val="#REF"/>
      <sheetName val="Amberjack A32ream"/>
      <sheetName val="DD Worksheet"/>
      <sheetName val="12 BHA"/>
      <sheetName val="Amberjack_A32ream"/>
      <sheetName val="DD_Worksheet"/>
      <sheetName val="12_BHA"/>
      <sheetName val="Amberjack_A32ream1"/>
      <sheetName val="DD_Worksheet1"/>
      <sheetName val="12_BHA1"/>
      <sheetName val="calcula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1.xml><?xml version="1.0" encoding="utf-8"?>
<externalLink xmlns:r="http://schemas.openxmlformats.org/officeDocument/2006/relationships" xmlns="http://schemas.openxmlformats.org/spreadsheetml/2006/main">
  <externalBook r:id="rId1">
    <sheetNames>
      <sheetName val="CC29"/>
      <sheetName val="NC"/>
      <sheetName val="DWS_1"/>
      <sheetName val="DWS2023"/>
      <sheetName val="DL"/>
      <sheetName val="DRAW"/>
      <sheetName val="PKR"/>
      <sheetName val="Brine"/>
      <sheetName val="REF"/>
      <sheetName val="RECORD"/>
      <sheetName val="INPUT"/>
      <sheetName val="PROG_LCT (2)"/>
      <sheetName val="PROG_UCT"/>
      <sheetName val="PROG_LCT"/>
      <sheetName val="MW"/>
      <sheetName val="MW_LCT"/>
      <sheetName val="DRIFT (2)"/>
      <sheetName val="DRIFT"/>
      <sheetName val="C_NOT"/>
      <sheetName val="P1D-LC6RAS"/>
      <sheetName val="P1D-LESC6RAS"/>
      <sheetName val="AUTO_DHWS"/>
      <sheetName val="AP1TD-AP2SWELL"/>
      <sheetName val="AP-3 Sting In"/>
      <sheetName val="AP-4 PPL"/>
      <sheetName val="AP-4 LEL"/>
      <sheetName val="AP-5 RAS_SLB"/>
      <sheetName val="AP-5 RAS_WFT"/>
      <sheetName val="AP-6 INFLOW (2)"/>
      <sheetName val="TCO"/>
      <sheetName val="9DH"/>
      <sheetName val="AP-7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12.xml><?xml version="1.0" encoding="utf-8"?>
<externalLink xmlns:r="http://schemas.openxmlformats.org/officeDocument/2006/relationships" xmlns="http://schemas.openxmlformats.org/spreadsheetml/2006/main">
  <externalBook r:id="rId1">
    <sheetNames>
      <sheetName val="COVER PAGE"/>
      <sheetName val="AUTO_DHWS"/>
      <sheetName val="BB-1963 Running Tally"/>
      <sheetName val="BB-1963 Space Out Tally"/>
      <sheetName val="Job Order BB-1963"/>
      <sheetName val="SOE"/>
      <sheetName val="PRESSURE TEST CHARTS"/>
      <sheetName val="3 .5'' TBG Tally"/>
      <sheetName val="4.5'' FINAL TALLY"/>
      <sheetName val="7'' LINER"/>
      <sheetName val="Survey"/>
      <sheetName val="SELF INDEXING"/>
      <sheetName val="BARRIER DEVICE"/>
      <sheetName val="PACKER"/>
      <sheetName val="SAFETY VALVE"/>
      <sheetName val="TUBING HANGER"/>
      <sheetName val="4.5in TBG TSH B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13.xml><?xml version="1.0" encoding="utf-8"?>
<externalLink xmlns:r="http://schemas.openxmlformats.org/officeDocument/2006/relationships" xmlns="http://schemas.openxmlformats.org/spreadsheetml/2006/main">
  <externalBook r:id="rId1">
    <sheetNames>
      <sheetName val="INTERIM"/>
      <sheetName val="3_5_9_3#_F&amp;R"/>
      <sheetName val="production_run"/>
      <sheetName val="zone_report"/>
      <sheetName val="performance"/>
      <sheetName val="DATA_SHEET"/>
      <sheetName val="sequence_sheet_1"/>
      <sheetName val="ISOLATION_"/>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REF"/>
      <sheetName val="FORMS"/>
      <sheetName val="3_5_9_3#_F&amp;R1"/>
      <sheetName val="production_run1"/>
      <sheetName val="zone_report1"/>
      <sheetName val="DATA_SHEET1"/>
      <sheetName val="sequence_sheet_11"/>
      <sheetName val="ISOLATION_1"/>
      <sheetName val="3_5_9_3#_F&amp;R2"/>
      <sheetName val="production_run2"/>
      <sheetName val="zone_report2"/>
      <sheetName val="DATA_SHEET2"/>
      <sheetName val="sequence_sheet_12"/>
      <sheetName val="ISOLATION_2"/>
      <sheetName val="3.5 9.3# F&amp;R"/>
      <sheetName val="production run"/>
      <sheetName val="zone report"/>
      <sheetName val="DATA SHEET"/>
      <sheetName val="sequence sheet 1"/>
      <sheetName val="ISOLATION "/>
      <sheetName val="3_5_9_3#_F&amp;R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114.xml><?xml version="1.0" encoding="utf-8"?>
<externalLink xmlns:r="http://schemas.openxmlformats.org/officeDocument/2006/relationships" xmlns="http://schemas.openxmlformats.org/spreadsheetml/2006/main">
  <externalBook r:id="rId1">
    <sheetNames>
      <sheetName val="laroux"/>
      <sheetName val="Cover"/>
      <sheetName val="Data"/>
      <sheetName val="Wellbore"/>
      <sheetName val="Procedure"/>
      <sheetName val="Volumes"/>
      <sheetName val="Loadout"/>
      <sheetName val="Equip"/>
      <sheetName val="PriceList"/>
    </sheetNames>
    <sheetDataSet>
      <sheetData sheetId="0"/>
      <sheetData sheetId="1"/>
      <sheetData sheetId="2"/>
      <sheetData sheetId="3"/>
      <sheetData sheetId="4"/>
      <sheetData sheetId="5"/>
      <sheetData sheetId="6"/>
      <sheetData sheetId="7"/>
      <sheetData sheetId="8"/>
    </sheetDataSet>
  </externalBook>
</externalLink>
</file>

<file path=xl/externalLinks/externalLink115.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16.xml><?xml version="1.0" encoding="utf-8"?>
<externalLink xmlns:r="http://schemas.openxmlformats.org/officeDocument/2006/relationships" xmlns="http://schemas.openxmlformats.org/spreadsheetml/2006/main">
  <externalBook r:id="rId1">
    <sheetNames>
      <sheetName val="00000"/>
      <sheetName val="Kill Sheet - Low Angle"/>
      <sheetName val="Kill Sheet - Horizontal"/>
    </sheetNames>
    <sheetDataSet>
      <sheetData sheetId="0"/>
      <sheetData sheetId="1"/>
      <sheetData sheetId="2"/>
    </sheetDataSet>
  </externalBook>
</externalLink>
</file>

<file path=xl/externalLinks/externalLink117.xml><?xml version="1.0" encoding="utf-8"?>
<externalLink xmlns:r="http://schemas.openxmlformats.org/officeDocument/2006/relationships" xmlns="http://schemas.openxmlformats.org/spreadsheetml/2006/main">
  <externalBook r:id="rId1">
    <sheetNames>
      <sheetName val="JOB INFO SHEET"/>
      <sheetName val="Service Ticket"/>
      <sheetName val="Service Ticket (2)"/>
      <sheetName val="Service Ticket (3)"/>
      <sheetName val="Service Ticket (4)"/>
      <sheetName val="Service Ticket (5)"/>
      <sheetName val="Material Movement Packing S (2)"/>
      <sheetName val="Material Movement Packing S (3)"/>
      <sheetName val="Material Movement Packing S (4)"/>
      <sheetName val="Material Movement Packing S (5)"/>
      <sheetName val="Well Site Sequence of Event (2)"/>
      <sheetName val="Well Site Sequence of Event (3)"/>
      <sheetName val="Well Site Sequence of Event (4)"/>
      <sheetName val="Well Site Sequence of Event (5)"/>
      <sheetName val="Well Installation Drawing (3)"/>
      <sheetName val="As Run Tally (2)"/>
      <sheetName val="As Run Tally (3)"/>
      <sheetName val="As Run Tally (4)"/>
      <sheetName val="As Run Tally (5)"/>
      <sheetName val="As Run Tally (6)"/>
      <sheetName val="As Run Tally (7)"/>
      <sheetName val="As Run Tally (8)"/>
      <sheetName val="SOE"/>
      <sheetName val="ZADCO EVALUATION SHEET "/>
      <sheetName val="FSQR"/>
      <sheetName val="BACK LOAD "/>
      <sheetName val="Tool Backload DT"/>
      <sheetName val="Well Installation Drawing"/>
      <sheetName val="JSA"/>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118.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19.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20.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21.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122.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123.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Drawin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24.xml><?xml version="1.0" encoding="utf-8"?>
<externalLink xmlns:r="http://schemas.openxmlformats.org/officeDocument/2006/relationships" xmlns="http://schemas.openxmlformats.org/spreadsheetml/2006/main">
  <externalBook r:id="rId1">
    <sheetNames>
      <sheetName val="Locas"/>
      <sheetName val="Price"/>
      <sheetName val="Data "/>
      <sheetName val="charge Summary"/>
      <sheetName val="EJCS"/>
      <sheetName val="Day 1 Charge"/>
      <sheetName val="Day 2 Charge"/>
      <sheetName val="Day 3 Charge"/>
      <sheetName val="Data"/>
      <sheetName val="PERSONNEL &amp; EQUIPMENT"/>
      <sheetName val="New Contract"/>
      <sheetName val="Data_"/>
      <sheetName val="charge_Summary"/>
      <sheetName val="Day_1_Charge"/>
      <sheetName val="Day_2_Charge"/>
      <sheetName val="Day_3_Charge"/>
      <sheetName val="PERSONNEL_&amp;_EQUIPMENT"/>
      <sheetName val="New_Contract"/>
      <sheetName val="Data_1"/>
      <sheetName val="charge_Summary1"/>
      <sheetName val="Day_1_Charge1"/>
      <sheetName val="Day_2_Charge1"/>
      <sheetName val="Day_3_Charge1"/>
      <sheetName val="PERSONNEL_&amp;_EQUIPMENT1"/>
      <sheetName val="New_Contrac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125.xml><?xml version="1.0" encoding="utf-8"?>
<externalLink xmlns:r="http://schemas.openxmlformats.org/officeDocument/2006/relationships" xmlns="http://schemas.openxmlformats.org/spreadsheetml/2006/main">
  <externalBook r:id="rId1">
    <sheetNames>
      <sheetName val="Sheet2"/>
      <sheetName val="Sheet3"/>
    </sheetNames>
    <sheetDataSet>
      <sheetData sheetId="0"/>
      <sheetData sheetId="1"/>
    </sheetDataSet>
  </externalBook>
</externalLink>
</file>

<file path=xl/externalLinks/externalLink126.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7.xml><?xml version="1.0" encoding="utf-8"?>
<externalLink xmlns:r="http://schemas.openxmlformats.org/officeDocument/2006/relationships" xmlns="http://schemas.openxmlformats.org/spreadsheetml/2006/main">
  <externalBook r:id="rId1">
    <sheetNames>
      <sheetName val="BANK DATA"/>
      <sheetName val="Master data"/>
      <sheetName val="BANK DATA (2)"/>
      <sheetName val="K Factor"/>
    </sheetNames>
    <sheetDataSet>
      <sheetData sheetId="0"/>
      <sheetData sheetId="1"/>
      <sheetData sheetId="2"/>
      <sheetData sheetId="3"/>
    </sheetDataSet>
  </externalBook>
</externalLink>
</file>

<file path=xl/externalLinks/externalLink128.xml><?xml version="1.0" encoding="utf-8"?>
<externalLink xmlns:r="http://schemas.openxmlformats.org/officeDocument/2006/relationships" xmlns="http://schemas.openxmlformats.org/spreadsheetml/2006/main">
  <externalBook r:id="rId1">
    <sheetNames>
      <sheetName val="Recovered_Sheet1"/>
      <sheetName val="Front_Page_Info"/>
      <sheetName val="RSS"/>
      <sheetName val="MWD_LWD_Order"/>
      <sheetName val="Motor__Order"/>
      <sheetName val="DD_Order"/>
      <sheetName val="LIFT_SUB_REQUIREMENTS"/>
      <sheetName val="Stores_MR"/>
      <sheetName val="Front Page Info"/>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9.xml><?xml version="1.0" encoding="utf-8"?>
<externalLink xmlns:r="http://schemas.openxmlformats.org/officeDocument/2006/relationships" xmlns="http://schemas.openxmlformats.org/spreadsheetml/2006/main">
  <externalBook r:id="rId1">
    <sheetNames>
      <sheetName val="TCO"/>
      <sheetName val="Front_Page_Info"/>
      <sheetName val="RSS"/>
      <sheetName val="MWD_LWD_Order"/>
      <sheetName val="Motor__Order"/>
      <sheetName val="DD_Order"/>
      <sheetName val="LIFT_SUB_REQUIREMENTS"/>
      <sheetName val="Stores_MR"/>
      <sheetName val="BHA"/>
      <sheetName val="Front Page Info"/>
      <sheetName val="MWD_LWD Order"/>
      <sheetName val="Motor  Order"/>
      <sheetName val="DD Order"/>
      <sheetName val="LIFT SUB REQUIREMENTS"/>
      <sheetName val="Stores MR"/>
      <sheetName val="amberjack a32re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1.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132.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33.xml><?xml version="1.0" encoding="utf-8"?>
<externalLink xmlns:r="http://schemas.openxmlformats.org/officeDocument/2006/relationships" xmlns="http://schemas.openxmlformats.org/spreadsheetml/2006/main">
  <externalBook r:id="rId1">
    <sheetNames>
      <sheetName val="Personal Expense Dec-95 (MH)"/>
      <sheetName val="Cash Expense December-95"/>
      <sheetName val="PST-0012"/>
      <sheetName val="PST-0013"/>
      <sheetName val="EST-0003"/>
      <sheetName val="EST-0004"/>
      <sheetName val="Charge-Dec-95"/>
      <sheetName val="Personal_Expense_Dec-95_(MH)"/>
      <sheetName val="Cash_Expense_December-95"/>
      <sheetName val="Invoice"/>
      <sheetName val="Charge LPR OMNI"/>
      <sheetName val="Operating LPR OMNI"/>
      <sheetName val="Run Sheet"/>
      <sheetName val="Tally"/>
      <sheetName val="CONTINGENCY"/>
      <sheetName val="MREP1295"/>
      <sheetName val="Personal_Expense_Dec-95_(MH)1"/>
      <sheetName val="Cash_Expense_December-951"/>
      <sheetName val="Charge_LPR_OMNI"/>
      <sheetName val="Operating_LPR_OMNI"/>
      <sheetName val="ATS Report"/>
      <sheetName val="Run_Sheet"/>
      <sheetName val="Equipment base"/>
      <sheetName val="Field Base"/>
      <sheetName val="#REF"/>
      <sheetName val="钻井日报表"/>
      <sheetName val="Data Sales"/>
      <sheetName val="Default Data"/>
      <sheetName val="Report Long(Esso)"/>
      <sheetName val="试压"/>
      <sheetName val="Personal_Expense_Dec-95_(MH)2"/>
      <sheetName val="Cash_Expense_December-952"/>
      <sheetName val="Charge_LPR_OMNI1"/>
      <sheetName val="Operating_LPR_OMNI1"/>
      <sheetName val="Run_Sheet1"/>
      <sheetName val="ATS_Report"/>
      <sheetName val="Equipment_base"/>
      <sheetName val="Field_Base"/>
      <sheetName val="Data_Sales"/>
      <sheetName val="Default_Data"/>
      <sheetName val="Report_Long(Ess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34.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35.xml><?xml version="1.0" encoding="utf-8"?>
<externalLink xmlns:r="http://schemas.openxmlformats.org/officeDocument/2006/relationships" xmlns="http://schemas.openxmlformats.org/spreadsheetml/2006/main">
  <externalBook r:id="rId1">
    <sheetNames>
      <sheetName val="Metric Conversions"/>
      <sheetName val="Casing Info"/>
      <sheetName val="Units"/>
      <sheetName val="Lists"/>
      <sheetName val="DATA"/>
      <sheetName val="MaPS Import Data"/>
      <sheetName val="Revision_History"/>
      <sheetName val="HIDE_Rev Tracker"/>
      <sheetName val="Service Flow"/>
      <sheetName val="Job Info"/>
      <sheetName val="Physical Barrier Check Form"/>
      <sheetName val="Weight Calculations"/>
      <sheetName val="Displacement Cal."/>
      <sheetName val="Test"/>
      <sheetName val="Ball Seat Info"/>
      <sheetName val="Dual Force Pack-OFF"/>
      <sheetName val="JOB LOG "/>
      <sheetName val="Wellsite Conditions"/>
      <sheetName val="Tools on Location"/>
      <sheetName val="Database Pg1"/>
      <sheetName val="Database Pg2"/>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ata For Ball Seat Info"/>
      <sheetName val="Drawing"/>
      <sheetName val="Post Job CustomerScorecard"/>
      <sheetName val="QRA Form (API Q1&amp;Q2)"/>
      <sheetName val="Barrier User Notes"/>
      <sheetName val="Barrier Ex Qualification Qs"/>
      <sheetName val="FINAL TALLY_BU_844_AD_5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36.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7.xml><?xml version="1.0" encoding="utf-8"?>
<externalLink xmlns:r="http://schemas.openxmlformats.org/officeDocument/2006/relationships" xmlns="http://schemas.openxmlformats.org/spreadsheetml/2006/main">
  <externalBook r:id="rId1">
    <sheetNames>
      <sheetName val="DP Length"/>
      <sheetName val="CSG 9.25 TALLY"/>
    </sheetNames>
    <sheetDataSet>
      <sheetData sheetId="0"/>
      <sheetData sheetId="1"/>
    </sheetDataSet>
  </externalBook>
</externalLink>
</file>

<file path=xl/externalLinks/externalLink138.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139.xml><?xml version="1.0" encoding="utf-8"?>
<externalLink xmlns:r="http://schemas.openxmlformats.org/officeDocument/2006/relationships" xmlns="http://schemas.openxmlformats.org/spreadsheetml/2006/main">
  <externalBook r:id="rId1">
    <sheetNames>
      <sheetName val="MAC OFFSHORE RIGS"/>
      <sheetName val="Revenue_TS"/>
      <sheetName val="Revenue_TCP"/>
      <sheetName val="Pricelist"/>
      <sheetName val="BRA T "/>
      <sheetName val="MAP+MAT"/>
      <sheetName val="MAA"/>
      <sheetName val="135D Preparation"/>
      <sheetName val="WBZ "/>
      <sheetName val="Sheet1"/>
      <sheetName val="BRA-T Personnel"/>
      <sheetName val="BRA-T Personnel 2"/>
      <sheetName val="MAT Revenue Calculator "/>
      <sheetName val="MAT Prices"/>
      <sheetName val="MAT+MAPheadcount"/>
      <sheetName val="MAT+MAPComp"/>
      <sheetName val="MAt Trng"/>
      <sheetName val="Personnel Plan "/>
      <sheetName val="Definition"/>
      <sheetName val="MAT Dep. Analisys"/>
      <sheetName val="MAT Wish List Aug 2k"/>
      <sheetName val="MAT Capex Revision"/>
      <sheetName val="MAT Dep Chat"/>
      <sheetName val="MAT FA"/>
      <sheetName val="135Dheadcount"/>
      <sheetName val="135Dcomp"/>
      <sheetName val="WBZ P&amp;L PMS"/>
      <sheetName val="WBZ Rev. Desc."/>
      <sheetName val="WBZ Rev Summ"/>
      <sheetName val="WBZ Rev. by Products"/>
      <sheetName val="WBZheadcount"/>
      <sheetName val="WBZcomp."/>
      <sheetName val="WBZ P&amp;L PFD"/>
      <sheetName val="WBZ P&amp;L PMS-BRE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counters"/>
      <sheetName val="COA"/>
      <sheetName val="List"/>
      <sheetName val="MONTHLY"/>
      <sheetName val="database"/>
      <sheetName val="EAF"/>
      <sheetName val="FEA"/>
      <sheetName val="LAM"/>
      <sheetName val="MEA"/>
      <sheetName val="Menu"/>
      <sheetName val="NAM"/>
      <sheetName val="Total"/>
      <sheetName val="ASAOFSCOA "/>
      <sheetName val="K2"/>
      <sheetName val="Title Page"/>
      <sheetName val="Detail"/>
      <sheetName val="PDBase"/>
      <sheetName val="MAC_OFFSHORE_RIGS"/>
      <sheetName val="BRA_T_"/>
      <sheetName val="135D_Preparation"/>
      <sheetName val="WBZ_"/>
      <sheetName val="BRA-T_Personnel"/>
      <sheetName val="BRA-T_Personnel_2"/>
      <sheetName val="MAT_Revenue_Calculator_"/>
      <sheetName val="MAT_Prices"/>
      <sheetName val="MAt_Trng"/>
      <sheetName val="Personnel_Plan_"/>
      <sheetName val="MAT_Dep__Analisys"/>
      <sheetName val="MAT_Wish_List_Aug_2k"/>
      <sheetName val="MAT_Capex_Revision"/>
      <sheetName val="MAT_Dep_Chat"/>
      <sheetName val="MAT_FA"/>
      <sheetName val="WBZ_P&amp;L_PMS"/>
      <sheetName val="WBZ_Rev__Desc_"/>
      <sheetName val="WBZ_Rev_Summ"/>
      <sheetName val="WBZ_Rev__by_Products"/>
      <sheetName val="WBZcomp_"/>
      <sheetName val="WBZ_P&amp;L_PFD"/>
      <sheetName val="WBZ_P&amp;L_PMS-BRES"/>
      <sheetName val="ASAOFSCOA_"/>
      <sheetName val="Title_Pa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Set>
  </externalBook>
</externalLink>
</file>

<file path=xl/externalLinks/externalLink140.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Hydrostatic Calculation"/>
      <sheetName val="warehouse"/>
      <sheetName val="Pinning_Table"/>
      <sheetName val="Run List Plan"/>
      <sheetName val="JSA"/>
      <sheetName val="Tally"/>
      <sheetName val="Tubing"/>
      <sheetName val="Final Run List"/>
      <sheetName val="Report (2)"/>
      <sheetName val="REPORT"/>
      <sheetName val="SCHEMATIC"/>
      <sheetName val="JOB LOG--B-14"/>
      <sheetName val="BACK LOAD LIST"/>
      <sheetName val="MORNING REPORT"/>
      <sheetName val="PUP JT INV NSCT"/>
      <sheetName val="PUP JT INV V.Ace"/>
      <sheetName val="Space Out for BWS"/>
      <sheetName val="Spaceout"/>
      <sheetName val="Equip Used"/>
      <sheetName val="EJCS"/>
      <sheetName val="Equip checklist"/>
      <sheetName val="Vol calc"/>
      <sheetName val="Run"/>
      <sheetName val="Start Here"/>
      <sheetName val="ANGSI B # 14"/>
      <sheetName val="Sheet1"/>
      <sheetName val="x-Data"/>
      <sheetName val="QUOTATION TRACKER"/>
      <sheetName val="Hydrostatic_Calculation"/>
      <sheetName val="Run_List_Plan"/>
      <sheetName val="Final_Run_List"/>
      <sheetName val="Report_(2)"/>
      <sheetName val="JOB_LOG--B-14"/>
      <sheetName val="BACK_LOAD_LIST"/>
      <sheetName val="MORNING_REPORT"/>
      <sheetName val="PUP_JT_INV_NSCT"/>
      <sheetName val="PUP_JT_INV_V_Ace"/>
      <sheetName val="Space_Out_for_BWS"/>
      <sheetName val="Equip_Used"/>
      <sheetName val="Equip_checklist"/>
      <sheetName val="Vol_calc"/>
      <sheetName val="QUOTATION_TRACKER"/>
      <sheetName val="Lists"/>
      <sheetName val="Hydrostatic_Calculation3"/>
      <sheetName val="Run_List_Plan3"/>
      <sheetName val="Final_Run_List3"/>
      <sheetName val="Report_(2)3"/>
      <sheetName val="JOB_LOG--B-143"/>
      <sheetName val="BACK_LOAD_LIST3"/>
      <sheetName val="MORNING_REPORT3"/>
      <sheetName val="PUP_JT_INV_NSCT3"/>
      <sheetName val="PUP_JT_INV_V_Ace3"/>
      <sheetName val="Space_Out_for_BWS3"/>
      <sheetName val="Equip_Used3"/>
      <sheetName val="Equip_checklist3"/>
      <sheetName val="Vol_calc3"/>
      <sheetName val="Hydrostatic_Calculation1"/>
      <sheetName val="Run_List_Plan1"/>
      <sheetName val="Final_Run_List1"/>
      <sheetName val="Report_(2)1"/>
      <sheetName val="JOB_LOG--B-141"/>
      <sheetName val="BACK_LOAD_LIST1"/>
      <sheetName val="MORNING_REPORT1"/>
      <sheetName val="PUP_JT_INV_NSCT1"/>
      <sheetName val="PUP_JT_INV_V_Ace1"/>
      <sheetName val="Space_Out_for_BWS1"/>
      <sheetName val="Equip_Used1"/>
      <sheetName val="Equip_checklist1"/>
      <sheetName val="Vol_calc1"/>
      <sheetName val="Hydrostatic_Calculation2"/>
      <sheetName val="Run_List_Plan2"/>
      <sheetName val="Final_Run_List2"/>
      <sheetName val="Report_(2)2"/>
      <sheetName val="JOB_LOG--B-142"/>
      <sheetName val="BACK_LOAD_LIST2"/>
      <sheetName val="MORNING_REPORT2"/>
      <sheetName val="PUP_JT_INV_NSCT2"/>
      <sheetName val="PUP_JT_INV_V_Ace2"/>
      <sheetName val="Space_Out_for_BWS2"/>
      <sheetName val="Equip_Used2"/>
      <sheetName val="Equip_checklist2"/>
      <sheetName val="Vol_calc2"/>
      <sheetName val="30"/>
      <sheetName val="Cover"/>
      <sheetName val="SupportingData"/>
      <sheetName val="Workspace"/>
      <sheetName val="SELECTION"/>
      <sheetName val="DOWNHOLE"/>
      <sheetName val="FIELDLIST"/>
      <sheetName val="PROPOSAL"/>
      <sheetName val="INPUT"/>
      <sheetName val="REVIEW"/>
      <sheetName val="Macro1"/>
      <sheetName val="SURFACE"/>
      <sheetName val="Hydrostatic_Calculation4"/>
      <sheetName val="Run_List_Plan4"/>
      <sheetName val="Final_Run_List4"/>
      <sheetName val="Report_(2)4"/>
      <sheetName val="JOB_LOG--B-144"/>
      <sheetName val="BACK_LOAD_LIST4"/>
      <sheetName val="MORNING_REPORT4"/>
      <sheetName val="PUP_JT_INV_NSCT4"/>
      <sheetName val="PUP_JT_INV_V_Ace4"/>
      <sheetName val="Space_Out_for_BWS4"/>
      <sheetName val="Equip_Used4"/>
      <sheetName val="Equip_checklist4"/>
      <sheetName val="Vol_calc4"/>
      <sheetName val="Start_Here"/>
      <sheetName val="ANGSI_B_#_14"/>
      <sheetName val="QUOTATION_TRACKER1"/>
      <sheetName val="Hydrostatic_Calculation5"/>
      <sheetName val="Run_List_Plan5"/>
      <sheetName val="Final_Run_List5"/>
      <sheetName val="Report_(2)5"/>
      <sheetName val="JOB_LOG--B-145"/>
      <sheetName val="BACK_LOAD_LIST5"/>
      <sheetName val="MORNING_REPORT5"/>
      <sheetName val="PUP_JT_INV_NSCT5"/>
      <sheetName val="PUP_JT_INV_V_Ace5"/>
      <sheetName val="Space_Out_for_BWS5"/>
      <sheetName val="Equip_Used5"/>
      <sheetName val="Equip_checklist5"/>
      <sheetName val="Vol_calc5"/>
      <sheetName val="Start_Here1"/>
      <sheetName val="ANGSI_B_#_141"/>
      <sheetName val="QUOTATION_TRACKER2"/>
      <sheetName val="Hydrostatic_Calculation6"/>
      <sheetName val="Run_List_Plan6"/>
      <sheetName val="Final_Run_List6"/>
      <sheetName val="Report_(2)6"/>
      <sheetName val="JOB_LOG--B-146"/>
      <sheetName val="BACK_LOAD_LIST6"/>
      <sheetName val="MORNING_REPORT6"/>
      <sheetName val="PUP_JT_INV_NSCT6"/>
      <sheetName val="PUP_JT_INV_V_Ace6"/>
      <sheetName val="Space_Out_for_BWS6"/>
      <sheetName val="Equip_Used6"/>
      <sheetName val="Equip_checklist6"/>
      <sheetName val="Vol_calc6"/>
      <sheetName val="Start_Here2"/>
      <sheetName val="ANGSI_B_#_142"/>
      <sheetName val="QUOTATION_TRACKER3"/>
      <sheetName val="Hydrostatic_Calculation7"/>
      <sheetName val="Run_List_Plan7"/>
      <sheetName val="Final_Run_List7"/>
      <sheetName val="Report_(2)7"/>
      <sheetName val="JOB_LOG--B-147"/>
      <sheetName val="BACK_LOAD_LIST7"/>
      <sheetName val="MORNING_REPORT7"/>
      <sheetName val="PUP_JT_INV_NSCT7"/>
      <sheetName val="PUP_JT_INV_V_Ace7"/>
      <sheetName val="Space_Out_for_BWS7"/>
      <sheetName val="Equip_Used7"/>
      <sheetName val="Equip_checklist7"/>
      <sheetName val="Vol_calc7"/>
      <sheetName val="Start_Here3"/>
      <sheetName val="ANGSI_B_#_143"/>
      <sheetName val="QUOTATION_TRACKER4"/>
      <sheetName val="Hydrostatic_Calculation8"/>
      <sheetName val="Run_List_Plan8"/>
      <sheetName val="Final_Run_List8"/>
      <sheetName val="Report_(2)8"/>
      <sheetName val="JOB_LOG--B-148"/>
      <sheetName val="BACK_LOAD_LIST8"/>
      <sheetName val="MORNING_REPORT8"/>
      <sheetName val="PUP_JT_INV_NSCT8"/>
      <sheetName val="PUP_JT_INV_V_Ace8"/>
      <sheetName val="Space_Out_for_BWS8"/>
      <sheetName val="Equip_Used8"/>
      <sheetName val="Equip_checklist8"/>
      <sheetName val="Vol_calc8"/>
      <sheetName val="Start_Here4"/>
      <sheetName val="ANGSI_B_#_144"/>
      <sheetName val="QUOTATION_TRACKER5"/>
      <sheetName val="Hydrostatic_Calculation9"/>
      <sheetName val="Run_List_Plan9"/>
      <sheetName val="Final_Run_List9"/>
      <sheetName val="Report_(2)9"/>
      <sheetName val="JOB_LOG--B-149"/>
      <sheetName val="BACK_LOAD_LIST9"/>
      <sheetName val="MORNING_REPORT9"/>
      <sheetName val="PUP_JT_INV_NSCT9"/>
      <sheetName val="PUP_JT_INV_V_Ace9"/>
      <sheetName val="Space_Out_for_BWS9"/>
      <sheetName val="Equip_Used9"/>
      <sheetName val="Equip_checklist9"/>
      <sheetName val="Vol_calc9"/>
      <sheetName val="Start_Here5"/>
      <sheetName val="ANGSI_B_#_145"/>
      <sheetName val="QUOTATION_TRACKER6"/>
      <sheetName val="Hydrostatic_Calculation12"/>
      <sheetName val="Run_List_Plan12"/>
      <sheetName val="Final_Run_List12"/>
      <sheetName val="Report_(2)12"/>
      <sheetName val="JOB_LOG--B-1412"/>
      <sheetName val="BACK_LOAD_LIST12"/>
      <sheetName val="MORNING_REPORT12"/>
      <sheetName val="PUP_JT_INV_NSCT12"/>
      <sheetName val="PUP_JT_INV_V_Ace12"/>
      <sheetName val="Space_Out_for_BWS12"/>
      <sheetName val="Equip_Used12"/>
      <sheetName val="Equip_checklist12"/>
      <sheetName val="Vol_calc12"/>
      <sheetName val="Start_Here8"/>
      <sheetName val="ANGSI_B_#_148"/>
      <sheetName val="QUOTATION_TRACKER9"/>
      <sheetName val="Hydrostatic_Calculation10"/>
      <sheetName val="Run_List_Plan10"/>
      <sheetName val="Final_Run_List10"/>
      <sheetName val="Report_(2)10"/>
      <sheetName val="JOB_LOG--B-1410"/>
      <sheetName val="BACK_LOAD_LIST10"/>
      <sheetName val="MORNING_REPORT10"/>
      <sheetName val="PUP_JT_INV_NSCT10"/>
      <sheetName val="PUP_JT_INV_V_Ace10"/>
      <sheetName val="Space_Out_for_BWS10"/>
      <sheetName val="Equip_Used10"/>
      <sheetName val="Equip_checklist10"/>
      <sheetName val="Vol_calc10"/>
      <sheetName val="Start_Here6"/>
      <sheetName val="ANGSI_B_#_146"/>
      <sheetName val="QUOTATION_TRACKER7"/>
      <sheetName val="Hydrostatic_Calculation11"/>
      <sheetName val="Run_List_Plan11"/>
      <sheetName val="Final_Run_List11"/>
      <sheetName val="Report_(2)11"/>
      <sheetName val="JOB_LOG--B-1411"/>
      <sheetName val="BACK_LOAD_LIST11"/>
      <sheetName val="MORNING_REPORT11"/>
      <sheetName val="PUP_JT_INV_NSCT11"/>
      <sheetName val="PUP_JT_INV_V_Ace11"/>
      <sheetName val="Space_Out_for_BWS11"/>
      <sheetName val="Equip_Used11"/>
      <sheetName val="Equip_checklist11"/>
      <sheetName val="Vol_calc11"/>
      <sheetName val="Start_Here7"/>
      <sheetName val="ANGSI_B_#_147"/>
      <sheetName val="QUOTATION_TRACKER8"/>
      <sheetName val="Hydrostatic_Calculation15"/>
      <sheetName val="Run_List_Plan15"/>
      <sheetName val="Final_Run_List15"/>
      <sheetName val="Report_(2)15"/>
      <sheetName val="JOB_LOG--B-1415"/>
      <sheetName val="BACK_LOAD_LIST15"/>
      <sheetName val="MORNING_REPORT15"/>
      <sheetName val="PUP_JT_INV_NSCT15"/>
      <sheetName val="PUP_JT_INV_V_Ace15"/>
      <sheetName val="Space_Out_for_BWS15"/>
      <sheetName val="Equip_Used15"/>
      <sheetName val="Equip_checklist15"/>
      <sheetName val="Vol_calc15"/>
      <sheetName val="Start_Here11"/>
      <sheetName val="ANGSI_B_#_1411"/>
      <sheetName val="QUOTATION_TRACKER12"/>
      <sheetName val="Hydrostatic_Calculation13"/>
      <sheetName val="Run_List_Plan13"/>
      <sheetName val="Final_Run_List13"/>
      <sheetName val="Report_(2)13"/>
      <sheetName val="JOB_LOG--B-1413"/>
      <sheetName val="BACK_LOAD_LIST13"/>
      <sheetName val="MORNING_REPORT13"/>
      <sheetName val="PUP_JT_INV_NSCT13"/>
      <sheetName val="PUP_JT_INV_V_Ace13"/>
      <sheetName val="Space_Out_for_BWS13"/>
      <sheetName val="Equip_Used13"/>
      <sheetName val="Equip_checklist13"/>
      <sheetName val="Vol_calc13"/>
      <sheetName val="Start_Here9"/>
      <sheetName val="ANGSI_B_#_149"/>
      <sheetName val="QUOTATION_TRACKER10"/>
      <sheetName val="Hydrostatic_Calculation14"/>
      <sheetName val="Run_List_Plan14"/>
      <sheetName val="Final_Run_List14"/>
      <sheetName val="Report_(2)14"/>
      <sheetName val="JOB_LOG--B-1414"/>
      <sheetName val="BACK_LOAD_LIST14"/>
      <sheetName val="MORNING_REPORT14"/>
      <sheetName val="PUP_JT_INV_NSCT14"/>
      <sheetName val="PUP_JT_INV_V_Ace14"/>
      <sheetName val="Space_Out_for_BWS14"/>
      <sheetName val="Equip_Used14"/>
      <sheetName val="Equip_checklist14"/>
      <sheetName val="Vol_calc14"/>
      <sheetName val="Start_Here10"/>
      <sheetName val="ANGSI_B_#_1410"/>
      <sheetName val="QUOTATION_TRACKER1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Set>
  </externalBook>
</externalLink>
</file>

<file path=xl/externalLinks/externalLink141.xml><?xml version="1.0" encoding="utf-8"?>
<externalLink xmlns:r="http://schemas.openxmlformats.org/officeDocument/2006/relationships" xmlns="http://schemas.openxmlformats.org/spreadsheetml/2006/main">
  <externalBook r:id="rId1">
    <sheetNames>
      <sheetName val="Cash Expense March-96"/>
      <sheetName val="PST-0014"/>
      <sheetName val="EST-0007"/>
      <sheetName val="Charge-March-96"/>
      <sheetName val="Personal Expense Mar-96 (MH)"/>
      <sheetName val="Personal Expense Mar-96 (RB)"/>
      <sheetName val="Parts"/>
      <sheetName val="Cash_Expense_March-96"/>
      <sheetName val="Personal_Expense_Mar-96_(MH)"/>
      <sheetName val="Personal_Expense_Mar-96_(RB)"/>
      <sheetName val="Report Long(Esso)"/>
      <sheetName val="Lists"/>
      <sheetName val="COMM_PRE-DEV"/>
      <sheetName val="Cash_Expense_March-961"/>
      <sheetName val="Personal_Expense_Mar-96_(MH)1"/>
      <sheetName val="Personal_Expense_Mar-96_(RB)1"/>
      <sheetName val="Run Sheet"/>
      <sheetName val="试压"/>
      <sheetName val="QUOTATION TRACKER"/>
      <sheetName val="Report"/>
      <sheetName val="SupportingData"/>
      <sheetName val="Workspace"/>
      <sheetName val="EmpCodes"/>
      <sheetName val="Cash_Expense_March-962"/>
      <sheetName val="Personal_Expense_Mar-96_(MH)2"/>
      <sheetName val="Personal_Expense_Mar-96_(RB)2"/>
      <sheetName val="Report_Long(Esso)"/>
      <sheetName val="Run_Sheet"/>
      <sheetName val="QUOTATION_TRACK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42.xml><?xml version="1.0" encoding="utf-8"?>
<externalLink xmlns:r="http://schemas.openxmlformats.org/officeDocument/2006/relationships" xmlns="http://schemas.openxmlformats.org/spreadsheetml/2006/main">
  <externalBook r:id="rId1">
    <sheetNames>
      <sheetName val="DAILY RPT"/>
      <sheetName val="DAILY_RPT"/>
    </sheetNames>
    <sheetDataSet>
      <sheetData sheetId="0"/>
      <sheetData sheetId="1"/>
    </sheetDataSet>
  </externalBook>
</externalLink>
</file>

<file path=xl/externalLinks/externalLink143.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s>
    <sheetDataSet>
      <sheetData sheetId="0"/>
      <sheetData sheetId="1"/>
      <sheetData sheetId="2"/>
      <sheetData sheetId="3"/>
      <sheetData sheetId="4"/>
      <sheetData sheetId="5"/>
      <sheetData sheetId="6"/>
      <sheetData sheetId="7"/>
    </sheetDataSet>
  </externalBook>
</externalLink>
</file>

<file path=xl/externalLinks/externalLink144.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B-16 Option 1"/>
      <sheetName val="B-16 Option 2"/>
      <sheetName val="B-16 Option 3(ACCEPTED)"/>
      <sheetName val="GLM &amp; PKR SETTING DEPTH"/>
      <sheetName val="Hydrostatic Calculation"/>
      <sheetName val="Pinning_Table"/>
      <sheetName val="JSAComp"/>
      <sheetName val="JSAPerm"/>
      <sheetName val="warehouse"/>
      <sheetName val="Tally"/>
      <sheetName val="Tubing"/>
      <sheetName val="Final Run List"/>
      <sheetName val="REPORT"/>
      <sheetName val="SCHEMATIC "/>
      <sheetName val="joblog"/>
      <sheetName val="Equip Used"/>
      <sheetName val="Equip checklist"/>
      <sheetName val="BACK LOAD LIST"/>
      <sheetName val="Space Out for BWS"/>
      <sheetName val="Spaceout"/>
      <sheetName val="MORNING REPORT"/>
      <sheetName val="Vol calc"/>
      <sheetName val="Cash Expense March-96"/>
      <sheetName val="ANGSI B # 16"/>
      <sheetName val="B-16_Option_1"/>
      <sheetName val="B-16_Option_2"/>
      <sheetName val="B-16_Option_3(ACCEPTED)"/>
      <sheetName val="GLM_&amp;_PKR_SETTING_DEPTH"/>
      <sheetName val="Hydrostatic_Calculation"/>
      <sheetName val="Final_Run_List"/>
      <sheetName val="SCHEMATIC_"/>
      <sheetName val="Equip_Used"/>
      <sheetName val="Equip_checklist"/>
      <sheetName val="BACK_LOAD_LIST"/>
      <sheetName val="Space_Out_for_BWS"/>
      <sheetName val="MORNING_REPORT"/>
      <sheetName val="Vol_calc"/>
      <sheetName val="Source"/>
      <sheetName val="NEW-PANEL"/>
      <sheetName val="IFE"/>
      <sheetName val="Black Oil Analysis"/>
      <sheetName val="Sheet1"/>
      <sheetName val="Run"/>
      <sheetName val="Cash_Expense_March-96"/>
      <sheetName val="ANGSI_B_#_16"/>
      <sheetName val="B-16_Option_13"/>
      <sheetName val="B-16_Option_23"/>
      <sheetName val="B-16_Option_3(ACCEPTED)3"/>
      <sheetName val="GLM_&amp;_PKR_SETTING_DEPTH3"/>
      <sheetName val="Hydrostatic_Calculation3"/>
      <sheetName val="Final_Run_List3"/>
      <sheetName val="SCHEMATIC_3"/>
      <sheetName val="Equip_Used3"/>
      <sheetName val="Equip_checklist3"/>
      <sheetName val="BACK_LOAD_LIST3"/>
      <sheetName val="Space_Out_for_BWS3"/>
      <sheetName val="MORNING_REPORT3"/>
      <sheetName val="Vol_calc3"/>
      <sheetName val="Cash_Expense_March-963"/>
      <sheetName val="ANGSI_B_#_163"/>
      <sheetName val="B-16_Option_11"/>
      <sheetName val="B-16_Option_21"/>
      <sheetName val="B-16_Option_3(ACCEPTED)1"/>
      <sheetName val="GLM_&amp;_PKR_SETTING_DEPTH1"/>
      <sheetName val="Hydrostatic_Calculation1"/>
      <sheetName val="Final_Run_List1"/>
      <sheetName val="SCHEMATIC_1"/>
      <sheetName val="Equip_Used1"/>
      <sheetName val="Equip_checklist1"/>
      <sheetName val="BACK_LOAD_LIST1"/>
      <sheetName val="Space_Out_for_BWS1"/>
      <sheetName val="MORNING_REPORT1"/>
      <sheetName val="Vol_calc1"/>
      <sheetName val="Cash_Expense_March-961"/>
      <sheetName val="ANGSI_B_#_161"/>
      <sheetName val="B-16_Option_12"/>
      <sheetName val="B-16_Option_22"/>
      <sheetName val="B-16_Option_3(ACCEPTED)2"/>
      <sheetName val="GLM_&amp;_PKR_SETTING_DEPTH2"/>
      <sheetName val="Hydrostatic_Calculation2"/>
      <sheetName val="Final_Run_List2"/>
      <sheetName val="SCHEMATIC_2"/>
      <sheetName val="Equip_Used2"/>
      <sheetName val="Equip_checklist2"/>
      <sheetName val="BACK_LOAD_LIST2"/>
      <sheetName val="Space_Out_for_BWS2"/>
      <sheetName val="MORNING_REPORT2"/>
      <sheetName val="Vol_calc2"/>
      <sheetName val="Cash_Expense_March-962"/>
      <sheetName val="ANGSI_B_#_162"/>
      <sheetName val="Days.干井"/>
      <sheetName val="B-16_Option_14"/>
      <sheetName val="B-16_Option_24"/>
      <sheetName val="B-16_Option_3(ACCEPTED)4"/>
      <sheetName val="GLM_&amp;_PKR_SETTING_DEPTH4"/>
      <sheetName val="Hydrostatic_Calculation4"/>
      <sheetName val="Final_Run_List4"/>
      <sheetName val="SCHEMATIC_4"/>
      <sheetName val="Equip_Used4"/>
      <sheetName val="Equip_checklist4"/>
      <sheetName val="BACK_LOAD_LIST4"/>
      <sheetName val="Space_Out_for_BWS4"/>
      <sheetName val="MORNING_REPORT4"/>
      <sheetName val="Vol_calc4"/>
      <sheetName val="Cash_Expense_March-964"/>
      <sheetName val="ANGSI_B_#_164"/>
      <sheetName val="Black_Oil_Analysis"/>
      <sheetName val="Days_干井"/>
      <sheetName val="B-16_Option_15"/>
      <sheetName val="B-16_Option_25"/>
      <sheetName val="B-16_Option_3(ACCEPTED)5"/>
      <sheetName val="GLM_&amp;_PKR_SETTING_DEPTH5"/>
      <sheetName val="Hydrostatic_Calculation5"/>
      <sheetName val="Final_Run_List5"/>
      <sheetName val="SCHEMATIC_5"/>
      <sheetName val="Equip_Used5"/>
      <sheetName val="Equip_checklist5"/>
      <sheetName val="BACK_LOAD_LIST5"/>
      <sheetName val="Space_Out_for_BWS5"/>
      <sheetName val="MORNING_REPORT5"/>
      <sheetName val="Vol_calc5"/>
      <sheetName val="Cash_Expense_March-965"/>
      <sheetName val="ANGSI_B_#_165"/>
      <sheetName val="Black_Oil_Analysis1"/>
      <sheetName val="Days_干井1"/>
      <sheetName val="B-16_Option_16"/>
      <sheetName val="B-16_Option_26"/>
      <sheetName val="B-16_Option_3(ACCEPTED)6"/>
      <sheetName val="GLM_&amp;_PKR_SETTING_DEPTH6"/>
      <sheetName val="Hydrostatic_Calculation6"/>
      <sheetName val="Final_Run_List6"/>
      <sheetName val="SCHEMATIC_6"/>
      <sheetName val="Equip_Used6"/>
      <sheetName val="Equip_checklist6"/>
      <sheetName val="BACK_LOAD_LIST6"/>
      <sheetName val="Space_Out_for_BWS6"/>
      <sheetName val="MORNING_REPORT6"/>
      <sheetName val="Vol_calc6"/>
      <sheetName val="Cash_Expense_March-966"/>
      <sheetName val="ANGSI_B_#_166"/>
      <sheetName val="Black_Oil_Analysis2"/>
      <sheetName val="Days_干井2"/>
      <sheetName val="B-16_Option_17"/>
      <sheetName val="B-16_Option_27"/>
      <sheetName val="B-16_Option_3(ACCEPTED)7"/>
      <sheetName val="GLM_&amp;_PKR_SETTING_DEPTH7"/>
      <sheetName val="Hydrostatic_Calculation7"/>
      <sheetName val="Final_Run_List7"/>
      <sheetName val="SCHEMATIC_7"/>
      <sheetName val="Equip_Used7"/>
      <sheetName val="Equip_checklist7"/>
      <sheetName val="BACK_LOAD_LIST7"/>
      <sheetName val="Space_Out_for_BWS7"/>
      <sheetName val="MORNING_REPORT7"/>
      <sheetName val="Vol_calc7"/>
      <sheetName val="Cash_Expense_March-967"/>
      <sheetName val="ANGSI_B_#_167"/>
      <sheetName val="Black_Oil_Analysis3"/>
      <sheetName val="Days_干井3"/>
      <sheetName val="B-16_Option_18"/>
      <sheetName val="B-16_Option_28"/>
      <sheetName val="B-16_Option_3(ACCEPTED)8"/>
      <sheetName val="GLM_&amp;_PKR_SETTING_DEPTH8"/>
      <sheetName val="Hydrostatic_Calculation8"/>
      <sheetName val="Final_Run_List8"/>
      <sheetName val="SCHEMATIC_8"/>
      <sheetName val="Equip_Used8"/>
      <sheetName val="Equip_checklist8"/>
      <sheetName val="BACK_LOAD_LIST8"/>
      <sheetName val="Space_Out_for_BWS8"/>
      <sheetName val="MORNING_REPORT8"/>
      <sheetName val="Vol_calc8"/>
      <sheetName val="Cash_Expense_March-968"/>
      <sheetName val="ANGSI_B_#_168"/>
      <sheetName val="Black_Oil_Analysis4"/>
      <sheetName val="Days_干井4"/>
      <sheetName val="B-16_Option_19"/>
      <sheetName val="B-16_Option_29"/>
      <sheetName val="B-16_Option_3(ACCEPTED)9"/>
      <sheetName val="GLM_&amp;_PKR_SETTING_DEPTH9"/>
      <sheetName val="Hydrostatic_Calculation9"/>
      <sheetName val="Final_Run_List9"/>
      <sheetName val="SCHEMATIC_9"/>
      <sheetName val="Equip_Used9"/>
      <sheetName val="Equip_checklist9"/>
      <sheetName val="BACK_LOAD_LIST9"/>
      <sheetName val="Space_Out_for_BWS9"/>
      <sheetName val="MORNING_REPORT9"/>
      <sheetName val="Vol_calc9"/>
      <sheetName val="Cash_Expense_March-969"/>
      <sheetName val="ANGSI_B_#_169"/>
      <sheetName val="Black_Oil_Analysis5"/>
      <sheetName val="Days_干井5"/>
      <sheetName val="B-16_Option_113"/>
      <sheetName val="B-16_Option_213"/>
      <sheetName val="B-16_Option_3(ACCEPTED)13"/>
      <sheetName val="GLM_&amp;_PKR_SETTING_DEPTH13"/>
      <sheetName val="Hydrostatic_Calculation13"/>
      <sheetName val="Final_Run_List13"/>
      <sheetName val="SCHEMATIC_13"/>
      <sheetName val="Equip_Used13"/>
      <sheetName val="Equip_checklist13"/>
      <sheetName val="BACK_LOAD_LIST13"/>
      <sheetName val="Space_Out_for_BWS13"/>
      <sheetName val="MORNING_REPORT13"/>
      <sheetName val="Vol_calc13"/>
      <sheetName val="Cash_Expense_March-9613"/>
      <sheetName val="ANGSI_B_#_1613"/>
      <sheetName val="Black_Oil_Analysis9"/>
      <sheetName val="Days_干井9"/>
      <sheetName val="B-16_Option_110"/>
      <sheetName val="B-16_Option_210"/>
      <sheetName val="B-16_Option_3(ACCEPTED)10"/>
      <sheetName val="GLM_&amp;_PKR_SETTING_DEPTH10"/>
      <sheetName val="Hydrostatic_Calculation10"/>
      <sheetName val="Final_Run_List10"/>
      <sheetName val="SCHEMATIC_10"/>
      <sheetName val="Equip_Used10"/>
      <sheetName val="Equip_checklist10"/>
      <sheetName val="BACK_LOAD_LIST10"/>
      <sheetName val="Space_Out_for_BWS10"/>
      <sheetName val="MORNING_REPORT10"/>
      <sheetName val="Vol_calc10"/>
      <sheetName val="Cash_Expense_March-9610"/>
      <sheetName val="ANGSI_B_#_1610"/>
      <sheetName val="Black_Oil_Analysis6"/>
      <sheetName val="Days_干井6"/>
      <sheetName val="B-16_Option_111"/>
      <sheetName val="B-16_Option_211"/>
      <sheetName val="B-16_Option_3(ACCEPTED)11"/>
      <sheetName val="GLM_&amp;_PKR_SETTING_DEPTH11"/>
      <sheetName val="Hydrostatic_Calculation11"/>
      <sheetName val="Final_Run_List11"/>
      <sheetName val="SCHEMATIC_11"/>
      <sheetName val="Equip_Used11"/>
      <sheetName val="Equip_checklist11"/>
      <sheetName val="BACK_LOAD_LIST11"/>
      <sheetName val="Space_Out_for_BWS11"/>
      <sheetName val="MORNING_REPORT11"/>
      <sheetName val="Vol_calc11"/>
      <sheetName val="Cash_Expense_March-9611"/>
      <sheetName val="ANGSI_B_#_1611"/>
      <sheetName val="Black_Oil_Analysis7"/>
      <sheetName val="Days_干井7"/>
      <sheetName val="B-16_Option_112"/>
      <sheetName val="B-16_Option_212"/>
      <sheetName val="B-16_Option_3(ACCEPTED)12"/>
      <sheetName val="GLM_&amp;_PKR_SETTING_DEPTH12"/>
      <sheetName val="Hydrostatic_Calculation12"/>
      <sheetName val="Final_Run_List12"/>
      <sheetName val="SCHEMATIC_12"/>
      <sheetName val="Equip_Used12"/>
      <sheetName val="Equip_checklist12"/>
      <sheetName val="BACK_LOAD_LIST12"/>
      <sheetName val="Space_Out_for_BWS12"/>
      <sheetName val="MORNING_REPORT12"/>
      <sheetName val="Vol_calc12"/>
      <sheetName val="Cash_Expense_March-9612"/>
      <sheetName val="ANGSI_B_#_1612"/>
      <sheetName val="Black_Oil_Analysis8"/>
      <sheetName val="Days_干井8"/>
      <sheetName val="B-16_Option_115"/>
      <sheetName val="B-16_Option_215"/>
      <sheetName val="B-16_Option_3(ACCEPTED)15"/>
      <sheetName val="GLM_&amp;_PKR_SETTING_DEPTH15"/>
      <sheetName val="Hydrostatic_Calculation15"/>
      <sheetName val="Final_Run_List15"/>
      <sheetName val="SCHEMATIC_15"/>
      <sheetName val="Equip_Used15"/>
      <sheetName val="Equip_checklist15"/>
      <sheetName val="BACK_LOAD_LIST15"/>
      <sheetName val="Space_Out_for_BWS15"/>
      <sheetName val="MORNING_REPORT15"/>
      <sheetName val="Vol_calc15"/>
      <sheetName val="Cash_Expense_March-9615"/>
      <sheetName val="ANGSI_B_#_1615"/>
      <sheetName val="Black_Oil_Analysis11"/>
      <sheetName val="Days_干井11"/>
      <sheetName val="B-16_Option_114"/>
      <sheetName val="B-16_Option_214"/>
      <sheetName val="B-16_Option_3(ACCEPTED)14"/>
      <sheetName val="GLM_&amp;_PKR_SETTING_DEPTH14"/>
      <sheetName val="Hydrostatic_Calculation14"/>
      <sheetName val="Final_Run_List14"/>
      <sheetName val="SCHEMATIC_14"/>
      <sheetName val="Equip_Used14"/>
      <sheetName val="Equip_checklist14"/>
      <sheetName val="BACK_LOAD_LIST14"/>
      <sheetName val="Space_Out_for_BWS14"/>
      <sheetName val="MORNING_REPORT14"/>
      <sheetName val="Vol_calc14"/>
      <sheetName val="Cash_Expense_March-9614"/>
      <sheetName val="ANGSI_B_#_1614"/>
      <sheetName val="Black_Oil_Analysis10"/>
      <sheetName val="Days_干井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Set>
  </externalBook>
</externalLink>
</file>

<file path=xl/externalLinks/externalLink145.xml><?xml version="1.0" encoding="utf-8"?>
<externalLink xmlns:r="http://schemas.openxmlformats.org/officeDocument/2006/relationships" xmlns="http://schemas.openxmlformats.org/spreadsheetml/2006/main">
  <externalBook r:id="rId1">
    <sheetNames>
      <sheetName val="Page-1"/>
      <sheetName val="Page-2"/>
      <sheetName val="Page-3"/>
      <sheetName val="Page-4"/>
      <sheetName val="Page-5"/>
      <sheetName val="Job File Index"/>
      <sheetName val="Communication Log"/>
      <sheetName val="Communication Details"/>
      <sheetName val="SenTREE Job Questionnaire"/>
      <sheetName val="SenTREE Rig Visit Report"/>
      <sheetName val="SenTREE Ops Scope of Supply"/>
      <sheetName val="Document Register"/>
      <sheetName val="Surface Spaceout Diagram"/>
      <sheetName val="Landing String Diagram"/>
      <sheetName val="Operational Calculations"/>
      <sheetName val="Personnel Planning"/>
      <sheetName val="SIT Report Index"/>
      <sheetName val="Spares Checklist"/>
      <sheetName val="Pre-Job Meeting"/>
      <sheetName val="Sequence of Events"/>
      <sheetName val="RIH Checklists"/>
      <sheetName val="Landing String Tally"/>
      <sheetName val="Handover Status"/>
      <sheetName val="Shift Handover"/>
      <sheetName val="Readings Sheet"/>
      <sheetName val="Daily Morning Fax"/>
      <sheetName val="JSA"/>
      <sheetName val="CSR"/>
      <sheetName val="SenTREE Post-Job Meeting"/>
      <sheetName val="SenTREE RQC"/>
      <sheetName val="Job Report Index"/>
      <sheetName val="Client Job Report Index"/>
      <sheetName val="Horizontal Template"/>
      <sheetName val="Vertical Template"/>
      <sheetName val="Legend"/>
      <sheetName val="Job File Revision History"/>
      <sheetName val="Job_File_Index"/>
      <sheetName val="Communication_Log"/>
      <sheetName val="Communication_Details"/>
      <sheetName val="SenTREE_Job_Questionnaire"/>
      <sheetName val="SenTREE_Rig_Visit_Report"/>
      <sheetName val="SenTREE_Ops_Scope_of_Supply"/>
      <sheetName val="Document_Register"/>
      <sheetName val="Surface_Spaceout_Diagram"/>
      <sheetName val="Landing_String_Diagram"/>
      <sheetName val="Operational_Calculations"/>
      <sheetName val="Personnel_Planning"/>
      <sheetName val="SIT_Report_Index"/>
      <sheetName val="Spares_Checklist"/>
      <sheetName val="Pre-Job_Meeting"/>
      <sheetName val="Sequence_of_Events"/>
      <sheetName val="RIH_Checklists"/>
      <sheetName val="Landing_String_Tally"/>
      <sheetName val="Handover_Status"/>
      <sheetName val="Shift_Handover"/>
      <sheetName val="Readings_Sheet"/>
      <sheetName val="Daily_Morning_Fax"/>
      <sheetName val="SenTREE_Post-Job_Meeting"/>
      <sheetName val="SenTREE_RQC"/>
      <sheetName val="Job_Report_Index"/>
      <sheetName val="Client_Job_Report_Index"/>
      <sheetName val="Horizontal_Template"/>
      <sheetName val="Vertical_Template"/>
      <sheetName val="Job_File_Revision_Histo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Set>
  </externalBook>
</externalLink>
</file>

<file path=xl/externalLinks/externalLink146.xml><?xml version="1.0" encoding="utf-8"?>
<externalLink xmlns:r="http://schemas.openxmlformats.org/officeDocument/2006/relationships" xmlns="http://schemas.openxmlformats.org/spreadsheetml/2006/main">
  <externalBook r:id="rId1">
    <sheetNames>
      <sheetName val="Title Page"/>
      <sheetName val="DD_RSS_Slide Sheet"/>
      <sheetName val="Predicted Model"/>
      <sheetName val="Hookload Chart"/>
      <sheetName val="Torque Chart"/>
    </sheetNames>
    <sheetDataSet>
      <sheetData sheetId="0"/>
      <sheetData sheetId="1"/>
      <sheetData sheetId="2"/>
      <sheetData sheetId="3"/>
      <sheetData sheetId="4"/>
    </sheetDataSet>
  </externalBook>
</externalLink>
</file>

<file path=xl/externalLinks/externalLink147.xml><?xml version="1.0" encoding="utf-8"?>
<externalLink xmlns:r="http://schemas.openxmlformats.org/officeDocument/2006/relationships" xmlns="http://schemas.openxmlformats.org/spreadsheetml/2006/main">
  <externalBook r:id="rId1">
    <sheetNames>
      <sheetName val="Cash Expense January-96"/>
      <sheetName val="PST-0014"/>
      <sheetName val="EST-0005"/>
      <sheetName val="EST-0006"/>
      <sheetName val="Charge-Jan-96"/>
      <sheetName val="Personal Expense Jan-96 (MH)"/>
      <sheetName val="Personal Expense Jan-96 (RB)"/>
      <sheetName val="Cash_Expense_January-96"/>
      <sheetName val="Personal_Expense_Jan-96_(MH)"/>
      <sheetName val="Personal_Expense_Jan-96_(RB)"/>
      <sheetName val="Title Page"/>
      <sheetName val="Run Sheet"/>
      <sheetName val="Main"/>
      <sheetName val="Tally"/>
      <sheetName val="Run"/>
      <sheetName val="MREP0196"/>
      <sheetName val="PEDESB"/>
      <sheetName val="Sheet1"/>
      <sheetName val="Cash_Expense_January-961"/>
      <sheetName val="Personal_Expense_Jan-96_(MH)1"/>
      <sheetName val="Personal_Expense_Jan-96_(RB)1"/>
      <sheetName val="Title_Page"/>
      <sheetName val="Run_Sheet"/>
      <sheetName val="ID13st1P1"/>
      <sheetName val="ID13st1P2"/>
      <sheetName val="ID13V2"/>
      <sheetName val="Report"/>
      <sheetName val="SupportingData"/>
      <sheetName val="Workspace"/>
      <sheetName val="Days.干井"/>
      <sheetName val="Cash_Expense_January-962"/>
      <sheetName val="Personal_Expense_Jan-96_(MH)2"/>
      <sheetName val="Personal_Expense_Jan-96_(RB)2"/>
      <sheetName val="Title_Page1"/>
      <sheetName val="Run_Sheet1"/>
      <sheetName val="Days_干井"/>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48.xml><?xml version="1.0" encoding="utf-8"?>
<externalLink xmlns:r="http://schemas.openxmlformats.org/officeDocument/2006/relationships" xmlns="http://schemas.openxmlformats.org/spreadsheetml/2006/main">
  <externalBook r:id="rId1">
    <sheetNames>
      <sheetName val="封面"/>
      <sheetName val="扉页"/>
      <sheetName val="目录"/>
      <sheetName val="基本数据1"/>
      <sheetName val="基本数据2"/>
      <sheetName val="地质"/>
      <sheetName val="钻井日志"/>
      <sheetName val="气象海况"/>
      <sheetName val="迁装时效"/>
      <sheetName val="钻井日时效"/>
      <sheetName val="试油日时效"/>
      <sheetName val="迁装分析"/>
      <sheetName val="钻井时效分析"/>
      <sheetName val="试油时效分析"/>
      <sheetName val="分段时效"/>
      <sheetName val="建井时效"/>
      <sheetName val="时效图"/>
      <sheetName val="进度曲线"/>
      <sheetName val="钻头"/>
      <sheetName val="钻具组合"/>
      <sheetName val="分段泥浆"/>
      <sheetName val="每日泥浆"/>
      <sheetName val="泥浆材料"/>
      <sheetName val="定向井"/>
      <sheetName val="测斜"/>
      <sheetName val="井眼轨迹"/>
      <sheetName val="取心"/>
      <sheetName val="地漏"/>
      <sheetName val="套管数据"/>
      <sheetName val="固井"/>
      <sheetName val="水泥塞"/>
      <sheetName val="挤水泥"/>
      <sheetName val="CSG13"/>
      <sheetName val="CSG958"/>
      <sheetName val="试压"/>
      <sheetName val="井径"/>
      <sheetName val="地层P-T"/>
      <sheetName val="井漏记录"/>
      <sheetName val="工程事故"/>
      <sheetName val="试油成果"/>
      <sheetName val="总结"/>
      <sheetName val="一开井口"/>
      <sheetName val="二开井口"/>
      <sheetName val="井身"/>
      <sheetName val="桩靴印-B12南"/>
      <sheetName val="井口布置－二开"/>
      <sheetName val="井口布置－一开"/>
      <sheetName val="完井井口"/>
      <sheetName val="费用"/>
      <sheetName val="后勤管理"/>
      <sheetName val="后勤保障"/>
      <sheetName val="承包商"/>
      <sheetName val="大事"/>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Set>
  </externalBook>
</externalLink>
</file>

<file path=xl/externalLinks/externalLink149.xml><?xml version="1.0" encoding="utf-8"?>
<externalLink xmlns:r="http://schemas.openxmlformats.org/officeDocument/2006/relationships" xmlns="http://schemas.openxmlformats.org/spreadsheetml/2006/main">
  <externalBook r:id="rId1">
    <sheetNames>
      <sheetName val="BHA(WP) "/>
      <sheetName val="BHA"/>
      <sheetName val="BHA (2)"/>
      <sheetName val="5&quot;DP (WIPER TRIP)"/>
      <sheetName val="5&quot;HWDP"/>
      <sheetName val="5&quot;DP"/>
      <sheetName val="tubing(2.875&quot;)"/>
      <sheetName val="tubing(3.5&quot;)"/>
      <sheetName val="5&quot;DP 备用"/>
      <sheetName val="9&quot;DC"/>
      <sheetName val="8&quot;DC"/>
      <sheetName val="6&quot;DC"/>
      <sheetName val="4&quot;DC"/>
      <sheetName val="BHAHelp"/>
      <sheetName val="BHAModule"/>
      <sheetName val="DPDialog"/>
      <sheetName val="list"/>
      <sheetName val="PrintMenu"/>
      <sheetName val="3.5&quot;DP"/>
      <sheetName val="2.875&quot;tub"/>
      <sheetName val="BHA 钻进"/>
      <sheetName val="BHA通井"/>
      <sheetName val="5&quot;DP (S)"/>
      <sheetName val="5&quot;DP (原)"/>
      <sheetName val="3油管"/>
      <sheetName val="5&quot;HWDP (2)"/>
      <sheetName val="8 DC"/>
      <sheetName val="6 DC"/>
      <sheetName val="BHA(WP)_"/>
      <sheetName val="BHA_(2)"/>
      <sheetName val="5&quot;DP_(WIPER_TRIP)"/>
      <sheetName val="tubing(2_875&quot;)"/>
      <sheetName val="tubing(3_5&quot;)"/>
      <sheetName val="5&quot;DP_备用"/>
      <sheetName val="3_5&quot;DP"/>
      <sheetName val="2_875&quot;tub"/>
      <sheetName val="BHA_钻进"/>
      <sheetName val="5&quot;DP_(S)"/>
      <sheetName val="5&quot;DP_(原)"/>
      <sheetName val="5&quot;HWDP_(2)"/>
      <sheetName val="8_DC"/>
      <sheetName val="6_D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50.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51.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 val="Angsi_A_Back_Up1"/>
      <sheetName val="BJ_1511"/>
      <sheetName val="BJ_1521"/>
      <sheetName val="BJ_1531"/>
      <sheetName val="BJ_1541"/>
      <sheetName val="BJ_1551"/>
      <sheetName val="BJ_1561"/>
      <sheetName val="BJ_1571"/>
      <sheetName val="BJ_1581"/>
      <sheetName val="Angsi_A_Back_Up"/>
      <sheetName val="BJ_151"/>
      <sheetName val="BJ_152"/>
      <sheetName val="BJ_153"/>
      <sheetName val="BJ_154"/>
      <sheetName val="BJ_155"/>
      <sheetName val="BJ_156"/>
      <sheetName val="BJ_157"/>
      <sheetName val="BJ_158"/>
      <sheetName val="Angsi_A_Back_Up2"/>
      <sheetName val="BJ_1512"/>
      <sheetName val="BJ_1522"/>
      <sheetName val="BJ_1532"/>
      <sheetName val="BJ_1542"/>
      <sheetName val="BJ_1552"/>
      <sheetName val="BJ_1562"/>
      <sheetName val="BJ_1572"/>
      <sheetName val="BJ_1582"/>
      <sheetName val="Angsi_A_Back_Up3"/>
      <sheetName val="BJ_1513"/>
      <sheetName val="BJ_1523"/>
      <sheetName val="BJ_1533"/>
      <sheetName val="BJ_1543"/>
      <sheetName val="BJ_1553"/>
      <sheetName val="BJ_1563"/>
      <sheetName val="BJ_1573"/>
      <sheetName val="BJ_158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52.xml><?xml version="1.0" encoding="utf-8"?>
<externalLink xmlns:r="http://schemas.openxmlformats.org/officeDocument/2006/relationships" xmlns="http://schemas.openxmlformats.org/spreadsheetml/2006/main">
  <externalBook r:id="rId1">
    <sheetNames>
      <sheetName val="Cash Expsense March-96"/>
      <sheetName val="Input Data"/>
      <sheetName val="Cash_Expsense_March-96"/>
      <sheetName val="Input_Data"/>
      <sheetName val="Tally"/>
      <sheetName val="受け入れ"/>
      <sheetName val="TCP"/>
      <sheetName val="Run Sheet"/>
      <sheetName val="Run"/>
      <sheetName val="jds"/>
      <sheetName val="MREP0395"/>
      <sheetName val="Cash_Expsense_March-961"/>
      <sheetName val="Input_Data1"/>
      <sheetName val="Raw data"/>
      <sheetName val="SupportingData"/>
      <sheetName val="Cash_Expsense_March-962"/>
      <sheetName val="Input_Data2"/>
      <sheetName val="Run_Sheet"/>
      <sheetName val="Raw_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3.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154.xml><?xml version="1.0" encoding="utf-8"?>
<externalLink xmlns:r="http://schemas.openxmlformats.org/officeDocument/2006/relationships" xmlns="http://schemas.openxmlformats.org/spreadsheetml/2006/main">
  <externalBook r:id="rId1">
    <sheetNames>
      <sheetName val="BPR LOG"/>
      <sheetName val="laroux"/>
      <sheetName val="PA BPR0058"/>
      <sheetName val="PA BPR0041"/>
      <sheetName val="PA BPR010"/>
      <sheetName val="PA BPR005"/>
      <sheetName val="PA BPR001"/>
      <sheetName val="BPR Form"/>
      <sheetName val="Product Lines"/>
      <sheetName val="Quotes"/>
      <sheetName val="Count Char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5.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 val="Page06_Data"/>
      <sheetName val="Page01_Cover"/>
      <sheetName val="Lists"/>
      <sheetName val="Run Sheet"/>
      <sheetName val="Operating LPR OMNI"/>
      <sheetName val="Well Specification"/>
      <sheetName val="page1"/>
      <sheetName val="0000000"/>
      <sheetName val="Revision Tracking"/>
      <sheetName val="Joblog BO-102"/>
      <sheetName val="Tally"/>
      <sheetName val="Tubing"/>
      <sheetName val="Upper Comp Tally Draft"/>
      <sheetName val="Upper Completion Tally-Final"/>
      <sheetName val="WL B-17ST1 Completion Schematic"/>
      <sheetName val="Completion Report 1-Final"/>
      <sheetName val="Pup Jt Inventory List"/>
      <sheetName val="Equip Used"/>
      <sheetName val="Well Info"/>
      <sheetName val="PUP JT INV"/>
      <sheetName val="Vol calc"/>
      <sheetName val="Space Out for BWS"/>
      <sheetName val="Hydrostatic Calculation"/>
      <sheetName val="Pining Table"/>
      <sheetName val="Cover"/>
      <sheetName val="Formation"/>
      <sheetName val="Report Long_Esso_"/>
      <sheetName val="PARALIST"/>
      <sheetName val="Tuna A-6temp"/>
      <sheetName val="Test Data"/>
      <sheetName val="Run"/>
      <sheetName val="OilT"/>
      <sheetName val="SO"/>
      <sheetName val="Data"/>
      <sheetName val="AC sum"/>
      <sheetName val="Charge LPR OMNI"/>
      <sheetName val="Tuna%20A-6temp.xls"/>
      <sheetName val="Help"/>
      <sheetName val="Input Data"/>
      <sheetName val="ASSY_Long"/>
      <sheetName val="ASSY_Short"/>
      <sheetName val="Tally_Long"/>
      <sheetName val="Tally_Short"/>
      <sheetName val="Report_Long(Esso)"/>
      <sheetName val="Report_Short(Esso)"/>
      <sheetName val="Gas_Lift"/>
      <sheetName val="TABLA MAESTRA"/>
      <sheetName val="Run_Sheet"/>
      <sheetName val="Operating_LPR_OMNI"/>
      <sheetName val="Well_Specification"/>
      <sheetName val="Report_Long_Esso_"/>
      <sheetName val="Revision_Tracking"/>
      <sheetName val="Joblog_BO-102"/>
      <sheetName val="Upper_Comp_Tally_Draft"/>
      <sheetName val="Upper_Completion_Tally-Final"/>
      <sheetName val="WL_B-17ST1_Completion_Schematic"/>
      <sheetName val="Completion_Report_1-Final"/>
      <sheetName val="Pup_Jt_Inventory_List"/>
      <sheetName val="Equip_Used"/>
      <sheetName val="Well_Info"/>
      <sheetName val="PUP_JT_INV"/>
      <sheetName val="Vol_calc"/>
      <sheetName val="Space_Out_for_BWS"/>
      <sheetName val="Hydrostatic_Calculation"/>
      <sheetName val="Pining_Table"/>
      <sheetName val="IBASE"/>
      <sheetName val="WBNE-C1"/>
      <sheetName val="MOTOR97"/>
      <sheetName val="Tuna%20A-6temp_xls"/>
      <sheetName val="BPR LOG"/>
      <sheetName val="ASSY_Long3"/>
      <sheetName val="ASSY_Short3"/>
      <sheetName val="Tally_Long3"/>
      <sheetName val="Tally_Short3"/>
      <sheetName val="Report_Long(Esso)3"/>
      <sheetName val="Report_Short(Esso)3"/>
      <sheetName val="Gas_Lift3"/>
      <sheetName val="Run_Sheet3"/>
      <sheetName val="Operating_LPR_OMNI3"/>
      <sheetName val="Well_Specification3"/>
      <sheetName val="Revision_Tracking3"/>
      <sheetName val="Joblog_BO-1023"/>
      <sheetName val="Upper_Comp_Tally_Draft3"/>
      <sheetName val="Upper_Completion_Tally-Final3"/>
      <sheetName val="WL_B-17ST1_Completion_Schemati3"/>
      <sheetName val="Completion_Report_1-Final3"/>
      <sheetName val="Pup_Jt_Inventory_List3"/>
      <sheetName val="Equip_Used3"/>
      <sheetName val="Well_Info3"/>
      <sheetName val="PUP_JT_INV3"/>
      <sheetName val="Vol_calc3"/>
      <sheetName val="Space_Out_for_BWS3"/>
      <sheetName val="Hydrostatic_Calculation3"/>
      <sheetName val="Pining_Table3"/>
      <sheetName val="Report_Long_Esso_3"/>
      <sheetName val="ASSY_Long1"/>
      <sheetName val="ASSY_Short1"/>
      <sheetName val="Tally_Long1"/>
      <sheetName val="Tally_Short1"/>
      <sheetName val="Report_Long(Esso)1"/>
      <sheetName val="Report_Short(Esso)1"/>
      <sheetName val="Gas_Lift1"/>
      <sheetName val="Run_Sheet1"/>
      <sheetName val="Operating_LPR_OMNI1"/>
      <sheetName val="Well_Specification1"/>
      <sheetName val="Revision_Tracking1"/>
      <sheetName val="Joblog_BO-1021"/>
      <sheetName val="Upper_Comp_Tally_Draft1"/>
      <sheetName val="Upper_Completion_Tally-Final1"/>
      <sheetName val="WL_B-17ST1_Completion_Schemati1"/>
      <sheetName val="Completion_Report_1-Final1"/>
      <sheetName val="Pup_Jt_Inventory_List1"/>
      <sheetName val="Equip_Used1"/>
      <sheetName val="Well_Info1"/>
      <sheetName val="PUP_JT_INV1"/>
      <sheetName val="Vol_calc1"/>
      <sheetName val="Space_Out_for_BWS1"/>
      <sheetName val="Hydrostatic_Calculation1"/>
      <sheetName val="Pining_Table1"/>
      <sheetName val="Report_Long_Esso_1"/>
      <sheetName val="ASSY_Long2"/>
      <sheetName val="ASSY_Short2"/>
      <sheetName val="Tally_Long2"/>
      <sheetName val="Tally_Short2"/>
      <sheetName val="Report_Long(Esso)2"/>
      <sheetName val="Report_Short(Esso)2"/>
      <sheetName val="Gas_Lift2"/>
      <sheetName val="Run_Sheet2"/>
      <sheetName val="Operating_LPR_OMNI2"/>
      <sheetName val="Well_Specification2"/>
      <sheetName val="Revision_Tracking2"/>
      <sheetName val="Joblog_BO-1022"/>
      <sheetName val="Upper_Comp_Tally_Draft2"/>
      <sheetName val="Upper_Completion_Tally-Final2"/>
      <sheetName val="WL_B-17ST1_Completion_Schemati2"/>
      <sheetName val="Completion_Report_1-Final2"/>
      <sheetName val="Pup_Jt_Inventory_List2"/>
      <sheetName val="Equip_Used2"/>
      <sheetName val="Well_Info2"/>
      <sheetName val="PUP_JT_INV2"/>
      <sheetName val="Vol_calc2"/>
      <sheetName val="Space_Out_for_BWS2"/>
      <sheetName val="Hydrostatic_Calculation2"/>
      <sheetName val="Pining_Table2"/>
      <sheetName val="Report_Long_Esso_2"/>
      <sheetName val="Cash Expsense March-96"/>
      <sheetName val="ASSY_Long5"/>
      <sheetName val="ASSY_Short5"/>
      <sheetName val="Tally_Long5"/>
      <sheetName val="Tally_Short5"/>
      <sheetName val="Report_Long(Esso)5"/>
      <sheetName val="Report_Short(Esso)5"/>
      <sheetName val="Gas_Lift5"/>
      <sheetName val="Run_Sheet5"/>
      <sheetName val="Operating_LPR_OMNI5"/>
      <sheetName val="Well_Specification5"/>
      <sheetName val="Revision_Tracking5"/>
      <sheetName val="Joblog_BO-1025"/>
      <sheetName val="Upper_Comp_Tally_Draft5"/>
      <sheetName val="Upper_Completion_Tally-Final5"/>
      <sheetName val="WL_B-17ST1_Completion_Schemati5"/>
      <sheetName val="Completion_Report_1-Final5"/>
      <sheetName val="Pup_Jt_Inventory_List5"/>
      <sheetName val="Equip_Used5"/>
      <sheetName val="Well_Info5"/>
      <sheetName val="PUP_JT_INV5"/>
      <sheetName val="Vol_calc5"/>
      <sheetName val="Space_Out_for_BWS5"/>
      <sheetName val="Hydrostatic_Calculation5"/>
      <sheetName val="Pining_Table5"/>
      <sheetName val="Report_Long_Esso_5"/>
      <sheetName val="Tuna_A-6temp1"/>
      <sheetName val="Test_Data1"/>
      <sheetName val="AC_sum1"/>
      <sheetName val="Charge_LPR_OMNI1"/>
      <sheetName val="Tuna%20A-6temp_xls2"/>
      <sheetName val="Input_Data1"/>
      <sheetName val="TABLA_MAESTRA1"/>
      <sheetName val="BPR_LOG1"/>
      <sheetName val="Cash_Expsense_March-961"/>
      <sheetName val="ASSY_Long4"/>
      <sheetName val="ASSY_Short4"/>
      <sheetName val="Tally_Long4"/>
      <sheetName val="Tally_Short4"/>
      <sheetName val="Report_Long(Esso)4"/>
      <sheetName val="Report_Short(Esso)4"/>
      <sheetName val="Gas_Lift4"/>
      <sheetName val="Run_Sheet4"/>
      <sheetName val="Operating_LPR_OMNI4"/>
      <sheetName val="Well_Specification4"/>
      <sheetName val="Revision_Tracking4"/>
      <sheetName val="Joblog_BO-1024"/>
      <sheetName val="Upper_Comp_Tally_Draft4"/>
      <sheetName val="Upper_Completion_Tally-Final4"/>
      <sheetName val="WL_B-17ST1_Completion_Schemati4"/>
      <sheetName val="Completion_Report_1-Final4"/>
      <sheetName val="Pup_Jt_Inventory_List4"/>
      <sheetName val="Equip_Used4"/>
      <sheetName val="Well_Info4"/>
      <sheetName val="PUP_JT_INV4"/>
      <sheetName val="Vol_calc4"/>
      <sheetName val="Space_Out_for_BWS4"/>
      <sheetName val="Hydrostatic_Calculation4"/>
      <sheetName val="Pining_Table4"/>
      <sheetName val="Report_Long_Esso_4"/>
      <sheetName val="Tuna_A-6temp"/>
      <sheetName val="Test_Data"/>
      <sheetName val="AC_sum"/>
      <sheetName val="Charge_LPR_OMNI"/>
      <sheetName val="Tuna%20A-6temp_xls1"/>
      <sheetName val="Input_Data"/>
      <sheetName val="TABLA_MAESTRA"/>
      <sheetName val="BPR_LOG"/>
      <sheetName val="Cash_Expsense_March-9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Set>
  </externalBook>
</externalLink>
</file>

<file path=xl/externalLinks/externalLink156.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7.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58.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9.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60.xml><?xml version="1.0" encoding="utf-8"?>
<externalLink xmlns:r="http://schemas.openxmlformats.org/officeDocument/2006/relationships" xmlns="http://schemas.openxmlformats.org/spreadsheetml/2006/main">
  <externalBook r:id="rId1">
    <sheetNames>
      <sheetName val="Sheet1"/>
      <sheetName val="2003 SCP LINE ITEMS"/>
      <sheetName val="2003 SSWE LINE ITEMS"/>
      <sheetName val="LAFAYETTE"/>
      <sheetName val="Items Listings"/>
    </sheetNames>
    <sheetDataSet>
      <sheetData sheetId="0"/>
      <sheetData sheetId="1"/>
      <sheetData sheetId="2"/>
      <sheetData sheetId="3"/>
      <sheetData sheetId="4"/>
    </sheetDataSet>
  </externalBook>
</externalLink>
</file>

<file path=xl/externalLinks/externalLink161.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2.xml><?xml version="1.0" encoding="utf-8"?>
<externalLink xmlns:r="http://schemas.openxmlformats.org/officeDocument/2006/relationships" xmlns="http://schemas.openxmlformats.org/spreadsheetml/2006/main">
  <externalBook r:id="rId1">
    <sheetNames>
      <sheetName val="WTR"/>
    </sheetNames>
    <sheetDataSet>
      <sheetData sheetId="0"/>
    </sheetDataSet>
  </externalBook>
</externalLink>
</file>

<file path=xl/externalLinks/externalLink163.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64.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65.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Tally"/>
      <sheetName val="Pipe Tally"/>
      <sheetName val="Daily Report (1)"/>
      <sheetName val="Barrier User Notes"/>
      <sheetName val="Barrier Example Questions"/>
      <sheetName val="HB-007RE Workbook_Rev G_111422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6.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 val=""/>
      <sheetName val="Report Long(Esso)"/>
      <sheetName val="CWR Rate"/>
      <sheetName val="#REF!"/>
      <sheetName val="Data"/>
      <sheetName val="FLUID RECIPE"/>
      <sheetName val="Tubular Tally"/>
      <sheetName val="BHA 10 (WBCU - RCJB)"/>
      <sheetName val="AHC Sub Assy.xls"/>
      <sheetName val="SO2"/>
      <sheetName val="SO3"/>
      <sheetName val="SO4"/>
      <sheetName val="DI-ESTI"/>
      <sheetName val="SupportingData"/>
      <sheetName val="SO"/>
      <sheetName val="DB3"/>
      <sheetName val="C1-D"/>
      <sheetName val="Case"/>
      <sheetName val="Input"/>
      <sheetName val="NEB-Wells"/>
      <sheetName val="ACCR - Drilling - Jan'2010.xls"/>
      <sheetName val="Minyak-mitra"/>
      <sheetName val="Book1.xls"/>
      <sheetName val="30Csg"/>
      <sheetName val="Run_Sheet"/>
      <sheetName val="A.08 Vol Calcs"/>
      <sheetName val="calculo de gas Total"/>
      <sheetName val="R-1"/>
      <sheetName val="BHA Cal"/>
      <sheetName val="APD"/>
      <sheetName val="Bit Record"/>
      <sheetName val="Dropdown"/>
      <sheetName val="IN HOLE TALLY"/>
      <sheetName val="Tally"/>
      <sheetName val="SCH"/>
      <sheetName val="SYS EQ"/>
      <sheetName val="DKF"/>
      <sheetName val="SYS_EQ"/>
      <sheetName val="Sched23"/>
      <sheetName val="인원현황"/>
      <sheetName val="FEBRUARY-2004"/>
      <sheetName val="IN tranit Analysis"/>
      <sheetName val="Control"/>
      <sheetName val="IN_tranit_Analysis"/>
      <sheetName val="Ticket"/>
      <sheetName val="taux"/>
      <sheetName val="Equip - Upper"/>
      <sheetName val="SUMMARY"/>
      <sheetName val="DETAIL PROV DBT CLT"/>
      <sheetName val="IM SIS"/>
      <sheetName val="Journal SPS-0206"/>
      <sheetName val="2Net"/>
      <sheetName val="Payroll Analysis"/>
      <sheetName val="201201"/>
      <sheetName val="Gifts"/>
      <sheetName val="209010 data (2)"/>
      <sheetName val="2069 - OFS GAIN&amp;LOSS ALLOCATION"/>
      <sheetName val="2054 - OFS GAIN&amp;LOSS ALLOCATION"/>
      <sheetName val="1987 - OFS GAIN&amp;LOSS ALLOCATION"/>
      <sheetName val="last allocation JV"/>
      <sheetName val="JVs - 126410"/>
      <sheetName val="latest JV upload"/>
      <sheetName val="ok JVs - latest"/>
      <sheetName val="ok MSK ALLOCATION JV"/>
      <sheetName val="ok JVs - 2812019"/>
      <sheetName val="ok JV - SRD 64399401"/>
      <sheetName val="ok WG COST RJV"/>
      <sheetName val="ok JVs - 2812019 &amp; other"/>
      <sheetName val="ok JV - SRD Ukhta"/>
      <sheetName val="Volumes"/>
      <sheetName val="lamp-3.1"/>
      <sheetName val="Parts"/>
      <sheetName val="EmpCodes"/>
      <sheetName val="Lookup"/>
      <sheetName val="Errors"/>
      <sheetName val="Successful"/>
      <sheetName val="Stick diagram (2)"/>
      <sheetName val="Index"/>
      <sheetName val="ID13st1P1"/>
      <sheetName val="ID13st1P2"/>
      <sheetName val="ID13V2"/>
      <sheetName val="Run"/>
      <sheetName val="Header"/>
      <sheetName val="WPITBS Tally"/>
      <sheetName val="Background &amp; Lists"/>
      <sheetName val="OilT"/>
      <sheetName val="MATERIALS"/>
      <sheetName val="DATA MASTER"/>
      <sheetName val="井口装置示意图-4"/>
      <sheetName val="Report"/>
      <sheetName val="Workspace"/>
      <sheetName val="offset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Set>
  </externalBook>
</externalLink>
</file>

<file path=xl/externalLinks/externalLink167.xml><?xml version="1.0" encoding="utf-8"?>
<externalLink xmlns:r="http://schemas.openxmlformats.org/officeDocument/2006/relationships" xmlns="http://schemas.openxmlformats.org/spreadsheetml/2006/main">
  <externalBook r:id="rId1">
    <sheetNames>
      <sheetName val="切割 MTL"/>
      <sheetName val="切割 DI"/>
      <sheetName val="ESTI."/>
      <sheetName val="DI-ESTI"/>
      <sheetName val="SO4"/>
      <sheetName val="Sheet1"/>
      <sheetName val="IBASE"/>
      <sheetName val="SO2"/>
      <sheetName val="SO3"/>
      <sheetName val="calculo de gas Total"/>
      <sheetName val="PTSC"/>
      <sheetName val="Master"/>
      <sheetName val="PVDPQ"/>
      <sheetName val="SupportingData"/>
      <sheetName val="nghiviecQ402"/>
      <sheetName val="nhansu_phong"/>
      <sheetName val="dieudong2003"/>
      <sheetName val="lylich03"/>
      <sheetName val="bdns02"/>
      <sheetName val="bdns03"/>
      <sheetName val="sheet3"/>
      <sheetName val="PET-NB"/>
      <sheetName val="Sheet4"/>
      <sheetName val="Sheet6"/>
      <sheetName val="Sheet7"/>
      <sheetName val="Sheet8"/>
      <sheetName val="Sheet9"/>
      <sheetName val="Sheet10"/>
      <sheetName val="Sheet11"/>
      <sheetName val="Sheet12"/>
      <sheetName val="Sheet13"/>
      <sheetName val="Sheet14"/>
      <sheetName val="Sheet15"/>
      <sheetName val="Sheet16"/>
      <sheetName val="00000000"/>
      <sheetName val="10000000"/>
      <sheetName val="XL4Poppy"/>
      <sheetName val="Sheet2"/>
      <sheetName val="ESTI_"/>
      <sheetName val="DI_ESTI"/>
      <sheetName val="PNT-QUOT-#3"/>
      <sheetName val="COAT&amp;WRAP-QIOT-#3"/>
      <sheetName val="Initial Tally"/>
      <sheetName val=" Cover"/>
      <sheetName val="Cover"/>
      <sheetName val="Cover-V2.05"/>
      <sheetName val="Report - Charts"/>
      <sheetName val="Lists"/>
      <sheetName val="BHA#1( page 1)"/>
      <sheetName val="切割_MTL"/>
      <sheetName val="切割_DI"/>
      <sheetName val="ESTI_1"/>
      <sheetName val="切割_MTL1"/>
      <sheetName val="切割_DI1"/>
      <sheetName val="ESTI_2"/>
      <sheetName val="Invalid_Sheet_Name_6"/>
      <sheetName val="Invalid_Sheet_Name_5"/>
      <sheetName val="Invalid_Sheet_Name_6"/>
      <sheetName val="Invalid_Sheet_Name_5"/>
      <sheetName val="AFE"/>
      <sheetName val="Run Sheet"/>
      <sheetName val="OilT"/>
      <sheetName val="K Factor"/>
      <sheetName val="NEW-PANEL"/>
      <sheetName val="MTO REV.2(ARMOR)"/>
      <sheetName val="Workspace"/>
      <sheetName val="Drilling Time"/>
      <sheetName val="20610"/>
      <sheetName val="Tally"/>
      <sheetName val="MTL$-INTER"/>
      <sheetName val="sheetControl"/>
      <sheetName val="切割_MTL2"/>
      <sheetName val="切割_DI2"/>
      <sheetName val="ESTI_3"/>
      <sheetName val="calculo_de_gas_Total"/>
      <sheetName val="Initial_Tally"/>
      <sheetName val="_Cover"/>
      <sheetName val="Cover-V2_05"/>
      <sheetName val="Report_-_Charts"/>
      <sheetName val="BHA#1(_page_1)"/>
      <sheetName val="Invalid_Sheet_Name_7"/>
      <sheetName val="Invalid_Sheet_Name_6"/>
      <sheetName val="Run_Sheet"/>
      <sheetName val="K_Factor"/>
      <sheetName val="MTO_REV_2(ARMOR)"/>
      <sheetName val="Drilling_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Set>
  </externalBook>
</externalLink>
</file>

<file path=xl/externalLinks/externalLink168.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169.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70.xml><?xml version="1.0" encoding="utf-8"?>
<externalLink xmlns:r="http://schemas.openxmlformats.org/officeDocument/2006/relationships" xmlns="http://schemas.openxmlformats.org/spreadsheetml/2006/main">
  <externalBook r:id="rId1">
    <sheetNames>
      <sheetName val="Oil Wells - New - TRSV"/>
      <sheetName val="QW-208 RIH Tally "/>
      <sheetName val="Running Procedure."/>
      <sheetName val="Ann Bleed off Chart"/>
      <sheetName val="QW 208  2 7-8&quot; &amp; 31-2&quot; TBG (1)"/>
      <sheetName val="QW 208  2 7-8&quot; &amp; 31-2&quot; TBG (2)"/>
      <sheetName val="QW 208 4 1-2&quot; TBG (2)"/>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1.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72.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R4G-LCRAS(M)"/>
      <sheetName val="PROG_LCT"/>
      <sheetName val="MW"/>
      <sheetName val="MW_LCT"/>
      <sheetName val="DRIFT"/>
      <sheetName val="P1-LC9RAS"/>
      <sheetName val="TENDEKA"/>
      <sheetName val="SIM"/>
      <sheetName val="PPL"/>
      <sheetName val="RAS"/>
      <sheetName val="SM"/>
      <sheetName val="LEL"/>
      <sheetName val="R4G-LC8RAS"/>
      <sheetName val="R3G-LC9RAS"/>
      <sheetName val="R3G-LC9RASST"/>
      <sheetName val="R3G-LC8RAS"/>
      <sheetName val="R1-LC9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8RAS"/>
      <sheetName val="P1-LC8S"/>
      <sheetName val="P1-LC7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73.xml><?xml version="1.0" encoding="utf-8"?>
<externalLink xmlns:r="http://schemas.openxmlformats.org/officeDocument/2006/relationships" xmlns="http://schemas.openxmlformats.org/spreadsheetml/2006/main">
  <externalBook r:id="rId1">
    <sheetNames>
      <sheetName val="Calculos"/>
      <sheetName val="Prices"/>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
      <sheetName val="Contact"/>
      <sheetName val=" IB-PL-YTD"/>
      <sheetName val="INTERCO LISTING - OPERATING AR"/>
      <sheetName val="K Factor"/>
      <sheetName val="1120"/>
      <sheetName val="ca"/>
      <sheetName val="5 Analysis"/>
      <sheetName val="dtct cong"/>
      <sheetName val="FF-2"/>
      <sheetName val="M_Maincomp"/>
      <sheetName val="G-35-3"/>
      <sheetName val="Selections"/>
      <sheetName val="M_CT_OUT"/>
      <sheetName val="4 Analysis"/>
      <sheetName val="TB5"/>
      <sheetName val="PIN"/>
      <sheetName val="_IB-PL-YTD"/>
      <sheetName val="INTERCO_LISTING_-_OPERATING_AR"/>
      <sheetName val="K_Factor"/>
      <sheetName val="5_Analysis"/>
      <sheetName val="dtct_cong"/>
      <sheetName val="4_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174.xml><?xml version="1.0" encoding="utf-8"?>
<externalLink xmlns:r="http://schemas.openxmlformats.org/officeDocument/2006/relationships" xmlns="http://schemas.openxmlformats.org/spreadsheetml/2006/main">
  <externalBook r:id="rId1">
    <sheetNames>
      <sheetName val="Sequence"/>
      <sheetName val="Description"/>
      <sheetName val="Tubing"/>
      <sheetName val="Check List"/>
      <sheetName val="Well Info"/>
      <sheetName val="Header"/>
      <sheetName val="Menu"/>
      <sheetName val="Parts"/>
      <sheetName val="PCGDIS "/>
      <sheetName val="PCDG "/>
      <sheetName val="Hydrostatic Calculation"/>
      <sheetName val="Pinning_Table"/>
      <sheetName val="STRAP TBG"/>
      <sheetName val="Tally "/>
      <sheetName val="Run List Actual"/>
      <sheetName val="Run List Actual (draft)"/>
      <sheetName val="Run List Actual (hgr)"/>
      <sheetName val="Run List Actual (RA SUB) (2)"/>
      <sheetName val="Report"/>
      <sheetName val="Report2"/>
      <sheetName val="joblog"/>
      <sheetName val="morning report"/>
      <sheetName val="rig BACKLOAD LIST "/>
      <sheetName val="KSB LOAD OUT LIST"/>
      <sheetName val="Equip Used"/>
      <sheetName val="Extras"/>
      <sheetName val="0000000"/>
      <sheetName val="Revision Tracking"/>
      <sheetName val="PCGDIS"/>
      <sheetName val="DP Tally "/>
      <sheetName val="SAS Runlist -Draft"/>
      <sheetName val="Hyd Calc"/>
      <sheetName val="Tbg Tally"/>
      <sheetName val="Pin Table"/>
      <sheetName val="PUP JT INV Fox"/>
      <sheetName val="Spaceout"/>
      <sheetName val="Sheet1"/>
      <sheetName val="Run"/>
      <sheetName val="PUP JT INV (update)"/>
      <sheetName val="Tubing Tally"/>
      <sheetName val="Final Tally"/>
      <sheetName val="Tally"/>
      <sheetName val="Run List draft DLD-30"/>
      <sheetName val="BUS &amp; targets"/>
      <sheetName val="K Factor"/>
      <sheetName val="RIG_FL_1"/>
      <sheetName val="Temperature"/>
      <sheetName val="PNL2003"/>
      <sheetName val="CALCULATIONS"/>
      <sheetName val="Lists"/>
      <sheetName val="P_02"/>
      <sheetName val="P_06"/>
      <sheetName val="P_09"/>
      <sheetName val="EmpCodes"/>
      <sheetName val="Horizontal plant"/>
      <sheetName val="Template"/>
      <sheetName val="ResevoirTable"/>
      <sheetName val="Well Specification"/>
      <sheetName val="#REF"/>
      <sheetName val="Volumes"/>
      <sheetName val="IBASE"/>
      <sheetName val="SO"/>
      <sheetName val="Report Long(Esso)"/>
      <sheetName val="Run Sheet"/>
      <sheetName val="MTL$-INTER"/>
      <sheetName val="Workspace"/>
      <sheetName val="Drilling Time"/>
      <sheetName val="Samples"/>
      <sheetName val="Check_List"/>
      <sheetName val="Well_Info"/>
      <sheetName val="PCGDIS_"/>
      <sheetName val="PCDG_"/>
      <sheetName val="Hydrostatic_Calculation"/>
      <sheetName val="STRAP_TBG"/>
      <sheetName val="Tally_"/>
      <sheetName val="Run_List_Actual"/>
      <sheetName val="Run_List_Actual_(draft)"/>
      <sheetName val="Run_List_Actual_(hgr)"/>
      <sheetName val="Run_List_Actual_(RA_SUB)_(2)"/>
      <sheetName val="morning_report"/>
      <sheetName val="rig_BACKLOAD_LIST_"/>
      <sheetName val="KSB_LOAD_OUT_LIST"/>
      <sheetName val="Equip_Used"/>
      <sheetName val="tool"/>
      <sheetName val="BHA Cal"/>
      <sheetName val="12(762mm)套管"/>
      <sheetName val="钻井日报表"/>
      <sheetName val="进度曲线"/>
      <sheetName val="_MDT data_LD27-2-2"/>
      <sheetName val="Days.干井"/>
      <sheetName val="AC Detailed"/>
      <sheetName val="Control"/>
      <sheetName val="Drillers"/>
      <sheetName val="SupportingData"/>
      <sheetName val="Data"/>
      <sheetName val="Basic"/>
      <sheetName val="Cover"/>
      <sheetName val="WELLTEST"/>
      <sheetName val="5) Cost Estimation Jacket"/>
      <sheetName val="4) Coat Est for Upper Platform"/>
      <sheetName val="钻井(调整)"/>
      <sheetName val="选择报表"/>
      <sheetName val="Option Summary"/>
      <sheetName val="工程数据"/>
      <sheetName val="完井日时效"/>
      <sheetName val="井口装置示意图-4"/>
      <sheetName val="调整"/>
      <sheetName val="钻进BHA"/>
      <sheetName val="充填系数统计表"/>
      <sheetName val="GL"/>
      <sheetName val="试压"/>
      <sheetName val="details"/>
      <sheetName val="Presupuesto"/>
      <sheetName val="LABOR"/>
      <sheetName val="WBS Level 3"/>
      <sheetName val="岭头19-1"/>
      <sheetName val="DRLG SUM"/>
      <sheetName val="tbl03钻井基本参数"/>
      <sheetName val="APD"/>
      <sheetName val="Cash Expsense March-96"/>
      <sheetName val="99累油"/>
      <sheetName val="表3"/>
      <sheetName val="COMMON"/>
      <sheetName val="FPSO"/>
      <sheetName val="MARINE"/>
      <sheetName val="数据库"/>
      <sheetName val="A1计"/>
      <sheetName val="固定资产投资估算表"/>
      <sheetName val="投资计划与资金筹措表"/>
      <sheetName val="销售收入与销售税金及附加计算表"/>
      <sheetName val="SaveData"/>
      <sheetName val="Revision_Tracking"/>
      <sheetName val="DP_Tally_"/>
      <sheetName val="SAS_Runlist_-Draft"/>
      <sheetName val="Hyd_Calc"/>
      <sheetName val="Tbg_Tally"/>
      <sheetName val="Pin_Table"/>
      <sheetName val="PUP_JT_INV_Fox"/>
      <sheetName val="PUP_JT_INV_(update)"/>
      <sheetName val="Run_List_draft_DLD-30"/>
      <sheetName val="BUS_&amp;_targets"/>
      <sheetName val="Tubing_Tally"/>
      <sheetName val="Final_Tally"/>
      <sheetName val="K_Factor"/>
      <sheetName val="AFE"/>
      <sheetName val="Check_List3"/>
      <sheetName val="Well_Info3"/>
      <sheetName val="PCGDIS_3"/>
      <sheetName val="PCDG_3"/>
      <sheetName val="Hydrostatic_Calculation3"/>
      <sheetName val="STRAP_TBG3"/>
      <sheetName val="Tally_3"/>
      <sheetName val="Run_List_Actual3"/>
      <sheetName val="Run_List_Actual_(draft)3"/>
      <sheetName val="Run_List_Actual_(hgr)3"/>
      <sheetName val="Run_List_Actual_(RA_SUB)_(2)3"/>
      <sheetName val="morning_report3"/>
      <sheetName val="rig_BACKLOAD_LIST_3"/>
      <sheetName val="KSB_LOAD_OUT_LIST3"/>
      <sheetName val="Equip_Used3"/>
      <sheetName val="Revision_Tracking3"/>
      <sheetName val="DP_Tally_3"/>
      <sheetName val="SAS_Runlist_-Draft3"/>
      <sheetName val="Hyd_Calc3"/>
      <sheetName val="Tbg_Tally3"/>
      <sheetName val="Pin_Table3"/>
      <sheetName val="PUP_JT_INV_Fox3"/>
      <sheetName val="PUP_JT_INV_(update)3"/>
      <sheetName val="Run_List_draft_DLD-303"/>
      <sheetName val="BUS_&amp;_targets3"/>
      <sheetName val="Tubing_Tally3"/>
      <sheetName val="Final_Tally3"/>
      <sheetName val="K_Factor3"/>
      <sheetName val="Check_List1"/>
      <sheetName val="Well_Info1"/>
      <sheetName val="PCGDIS_1"/>
      <sheetName val="PCDG_1"/>
      <sheetName val="Hydrostatic_Calculation1"/>
      <sheetName val="STRAP_TBG1"/>
      <sheetName val="Tally_1"/>
      <sheetName val="Run_List_Actual1"/>
      <sheetName val="Run_List_Actual_(draft)1"/>
      <sheetName val="Run_List_Actual_(hgr)1"/>
      <sheetName val="Run_List_Actual_(RA_SUB)_(2)1"/>
      <sheetName val="morning_report1"/>
      <sheetName val="rig_BACKLOAD_LIST_1"/>
      <sheetName val="KSB_LOAD_OUT_LIST1"/>
      <sheetName val="Equip_Used1"/>
      <sheetName val="Revision_Tracking1"/>
      <sheetName val="DP_Tally_1"/>
      <sheetName val="SAS_Runlist_-Draft1"/>
      <sheetName val="Hyd_Calc1"/>
      <sheetName val="Tbg_Tally1"/>
      <sheetName val="Pin_Table1"/>
      <sheetName val="PUP_JT_INV_Fox1"/>
      <sheetName val="PUP_JT_INV_(update)1"/>
      <sheetName val="Run_List_draft_DLD-301"/>
      <sheetName val="BUS_&amp;_targets1"/>
      <sheetName val="Tubing_Tally1"/>
      <sheetName val="Final_Tally1"/>
      <sheetName val="K_Factor1"/>
      <sheetName val="Check_List2"/>
      <sheetName val="Well_Info2"/>
      <sheetName val="PCGDIS_2"/>
      <sheetName val="PCDG_2"/>
      <sheetName val="Hydrostatic_Calculation2"/>
      <sheetName val="STRAP_TBG2"/>
      <sheetName val="Tally_2"/>
      <sheetName val="Run_List_Actual2"/>
      <sheetName val="Run_List_Actual_(draft)2"/>
      <sheetName val="Run_List_Actual_(hgr)2"/>
      <sheetName val="Run_List_Actual_(RA_SUB)_(2)2"/>
      <sheetName val="morning_report2"/>
      <sheetName val="rig_BACKLOAD_LIST_2"/>
      <sheetName val="KSB_LOAD_OUT_LIST2"/>
      <sheetName val="Equip_Used2"/>
      <sheetName val="Revision_Tracking2"/>
      <sheetName val="DP_Tally_2"/>
      <sheetName val="SAS_Runlist_-Draft2"/>
      <sheetName val="Hyd_Calc2"/>
      <sheetName val="Tbg_Tally2"/>
      <sheetName val="Pin_Table2"/>
      <sheetName val="PUP_JT_INV_Fox2"/>
      <sheetName val="PUP_JT_INV_(update)2"/>
      <sheetName val="Run_List_draft_DLD-302"/>
      <sheetName val="BUS_&amp;_targets2"/>
      <sheetName val="Tubing_Tally2"/>
      <sheetName val="Final_Tally2"/>
      <sheetName val="K_Factor2"/>
      <sheetName val="98-02E&amp;PSUM"/>
      <sheetName val="calculo de gas Total"/>
      <sheetName val="Check_List5"/>
      <sheetName val="Well_Info5"/>
      <sheetName val="PCGDIS_5"/>
      <sheetName val="PCDG_5"/>
      <sheetName val="Hydrostatic_Calculation5"/>
      <sheetName val="STRAP_TBG5"/>
      <sheetName val="Tally_5"/>
      <sheetName val="Run_List_Actual5"/>
      <sheetName val="Run_List_Actual_(draft)5"/>
      <sheetName val="Run_List_Actual_(hgr)5"/>
      <sheetName val="Run_List_Actual_(RA_SUB)_(2)5"/>
      <sheetName val="morning_report5"/>
      <sheetName val="rig_BACKLOAD_LIST_5"/>
      <sheetName val="KSB_LOAD_OUT_LIST5"/>
      <sheetName val="Equip_Used5"/>
      <sheetName val="Revision_Tracking5"/>
      <sheetName val="DP_Tally_5"/>
      <sheetName val="SAS_Runlist_-Draft5"/>
      <sheetName val="Hyd_Calc5"/>
      <sheetName val="Tbg_Tally5"/>
      <sheetName val="Pin_Table5"/>
      <sheetName val="PUP_JT_INV_Fox5"/>
      <sheetName val="K_Factor5"/>
      <sheetName val="PUP_JT_INV_(update)5"/>
      <sheetName val="Run_List_draft_DLD-305"/>
      <sheetName val="BUS_&amp;_targets5"/>
      <sheetName val="Tubing_Tally5"/>
      <sheetName val="Final_Tally5"/>
      <sheetName val="Horizontal_plant1"/>
      <sheetName val="Well_Specification1"/>
      <sheetName val="Report_Long(Esso)1"/>
      <sheetName val="Run_Sheet1"/>
      <sheetName val="Drilling_Time1"/>
      <sheetName val="BHA_Cal1"/>
      <sheetName val="_MDT_data_LD27-2-21"/>
      <sheetName val="Days_干井1"/>
      <sheetName val="AC_Detailed1"/>
      <sheetName val="5)_Cost_Estimation_Jacket1"/>
      <sheetName val="4)_Coat_Est_for_Upper_Platform1"/>
      <sheetName val="Option_Summary1"/>
      <sheetName val="WBS_Level_31"/>
      <sheetName val="DRLG_SUM1"/>
      <sheetName val="Cash_Expsense_March-961"/>
      <sheetName val="calculo_de_gas_Total1"/>
      <sheetName val="Check_List4"/>
      <sheetName val="Well_Info4"/>
      <sheetName val="PCGDIS_4"/>
      <sheetName val="PCDG_4"/>
      <sheetName val="Hydrostatic_Calculation4"/>
      <sheetName val="STRAP_TBG4"/>
      <sheetName val="Tally_4"/>
      <sheetName val="Run_List_Actual4"/>
      <sheetName val="Run_List_Actual_(draft)4"/>
      <sheetName val="Run_List_Actual_(hgr)4"/>
      <sheetName val="Run_List_Actual_(RA_SUB)_(2)4"/>
      <sheetName val="morning_report4"/>
      <sheetName val="rig_BACKLOAD_LIST_4"/>
      <sheetName val="KSB_LOAD_OUT_LIST4"/>
      <sheetName val="Equip_Used4"/>
      <sheetName val="Revision_Tracking4"/>
      <sheetName val="DP_Tally_4"/>
      <sheetName val="SAS_Runlist_-Draft4"/>
      <sheetName val="Hyd_Calc4"/>
      <sheetName val="Tbg_Tally4"/>
      <sheetName val="Pin_Table4"/>
      <sheetName val="PUP_JT_INV_Fox4"/>
      <sheetName val="K_Factor4"/>
      <sheetName val="PUP_JT_INV_(update)4"/>
      <sheetName val="Run_List_draft_DLD-304"/>
      <sheetName val="BUS_&amp;_targets4"/>
      <sheetName val="Tubing_Tally4"/>
      <sheetName val="Final_Tally4"/>
      <sheetName val="Horizontal_plant"/>
      <sheetName val="Well_Specification"/>
      <sheetName val="Report_Long(Esso)"/>
      <sheetName val="Run_Sheet"/>
      <sheetName val="Drilling_Time"/>
      <sheetName val="BHA_Cal"/>
      <sheetName val="_MDT_data_LD27-2-2"/>
      <sheetName val="Days_干井"/>
      <sheetName val="AC_Detailed"/>
      <sheetName val="5)_Cost_Estimation_Jacket"/>
      <sheetName val="4)_Coat_Est_for_Upper_Platform"/>
      <sheetName val="Option_Summary"/>
      <sheetName val="WBS_Level_3"/>
      <sheetName val="DRLG_SUM"/>
      <sheetName val="Cash_Expsense_March-96"/>
      <sheetName val="calculo_de_gas_Total"/>
      <sheetName val="MKII 8"/>
      <sheetName val="Check_List6"/>
      <sheetName val="Well_Info6"/>
      <sheetName val="PCGDIS_6"/>
      <sheetName val="PCDG_6"/>
      <sheetName val="Hydrostatic_Calculation6"/>
      <sheetName val="STRAP_TBG6"/>
      <sheetName val="Tally_6"/>
      <sheetName val="Run_List_Actual6"/>
      <sheetName val="Run_List_Actual_(draft)6"/>
      <sheetName val="Run_List_Actual_(hgr)6"/>
      <sheetName val="Run_List_Actual_(RA_SUB)_(2)6"/>
      <sheetName val="morning_report6"/>
      <sheetName val="rig_BACKLOAD_LIST_6"/>
      <sheetName val="KSB_LOAD_OUT_LIST6"/>
      <sheetName val="Equip_Used6"/>
      <sheetName val="Revision_Tracking6"/>
      <sheetName val="DP_Tally_6"/>
      <sheetName val="SAS_Runlist_-Draft6"/>
      <sheetName val="Hyd_Calc6"/>
      <sheetName val="Tbg_Tally6"/>
      <sheetName val="Pin_Table6"/>
      <sheetName val="PUP_JT_INV_Fox6"/>
      <sheetName val="PUP_JT_INV_(update)6"/>
      <sheetName val="Tubing_Tally6"/>
      <sheetName val="Final_Tally6"/>
      <sheetName val="Run_List_draft_DLD-306"/>
      <sheetName val="BUS_&amp;_targets6"/>
      <sheetName val="K_Factor6"/>
      <sheetName val="Horizontal_plant2"/>
      <sheetName val="Well_Specification2"/>
      <sheetName val="Report_Long(Esso)2"/>
      <sheetName val="Run_Sheet2"/>
      <sheetName val="Drilling_Time2"/>
      <sheetName val="BHA_Cal2"/>
      <sheetName val="_MDT_data_LD27-2-22"/>
      <sheetName val="Days_干井2"/>
      <sheetName val="AC_Detailed2"/>
      <sheetName val="5)_Cost_Estimation_Jacket2"/>
      <sheetName val="4)_Coat_Est_for_Upper_Platform2"/>
      <sheetName val="Option_Summary2"/>
      <sheetName val="WBS_Level_32"/>
      <sheetName val="DRLG_SUM2"/>
      <sheetName val="Cash_Expsense_March-962"/>
      <sheetName val="calculo_de_gas_Total2"/>
      <sheetName val="Check_List15"/>
      <sheetName val="Well_Info15"/>
      <sheetName val="PCGDIS_15"/>
      <sheetName val="PCDG_15"/>
      <sheetName val="Hydrostatic_Calculation15"/>
      <sheetName val="STRAP_TBG15"/>
      <sheetName val="Tally_15"/>
      <sheetName val="Run_List_Actual15"/>
      <sheetName val="Run_List_Actual_(draft)15"/>
      <sheetName val="Run_List_Actual_(hgr)15"/>
      <sheetName val="Run_List_Actual_(RA_SUB)_(2)15"/>
      <sheetName val="morning_report15"/>
      <sheetName val="rig_BACKLOAD_LIST_15"/>
      <sheetName val="KSB_LOAD_OUT_LIST15"/>
      <sheetName val="Equip_Used15"/>
      <sheetName val="Revision_Tracking15"/>
      <sheetName val="DP_Tally_15"/>
      <sheetName val="SAS_Runlist_-Draft15"/>
      <sheetName val="Hyd_Calc15"/>
      <sheetName val="Tbg_Tally15"/>
      <sheetName val="Pin_Table15"/>
      <sheetName val="PUP_JT_INV_Fox15"/>
      <sheetName val="PUP_JT_INV_(update)15"/>
      <sheetName val="Tubing_Tally15"/>
      <sheetName val="Final_Tally15"/>
      <sheetName val="Run_List_draft_DLD-3015"/>
      <sheetName val="BUS_&amp;_targets15"/>
      <sheetName val="K_Factor15"/>
      <sheetName val="Horizontal_plant11"/>
      <sheetName val="Well_Specification11"/>
      <sheetName val="Report_Long(Esso)11"/>
      <sheetName val="Run_Sheet11"/>
      <sheetName val="Drilling_Time11"/>
      <sheetName val="BHA_Cal11"/>
      <sheetName val="_MDT_data_LD27-2-211"/>
      <sheetName val="Days_干井11"/>
      <sheetName val="AC_Detailed11"/>
      <sheetName val="5)_Cost_Estimation_Jacket11"/>
      <sheetName val="4)_Coat_Est_for_Upper_Platfor11"/>
      <sheetName val="Option_Summary11"/>
      <sheetName val="WBS_Level_311"/>
      <sheetName val="DRLG_SUM11"/>
      <sheetName val="Cash_Expsense_March-9611"/>
      <sheetName val="calculo_de_gas_Total11"/>
      <sheetName val="Check_List7"/>
      <sheetName val="Well_Info7"/>
      <sheetName val="PCGDIS_7"/>
      <sheetName val="PCDG_7"/>
      <sheetName val="Hydrostatic_Calculation7"/>
      <sheetName val="STRAP_TBG7"/>
      <sheetName val="Tally_7"/>
      <sheetName val="Run_List_Actual7"/>
      <sheetName val="Run_List_Actual_(draft)7"/>
      <sheetName val="Run_List_Actual_(hgr)7"/>
      <sheetName val="Run_List_Actual_(RA_SUB)_(2)7"/>
      <sheetName val="morning_report7"/>
      <sheetName val="rig_BACKLOAD_LIST_7"/>
      <sheetName val="KSB_LOAD_OUT_LIST7"/>
      <sheetName val="Equip_Used7"/>
      <sheetName val="Revision_Tracking7"/>
      <sheetName val="DP_Tally_7"/>
      <sheetName val="SAS_Runlist_-Draft7"/>
      <sheetName val="Hyd_Calc7"/>
      <sheetName val="Tbg_Tally7"/>
      <sheetName val="Pin_Table7"/>
      <sheetName val="PUP_JT_INV_Fox7"/>
      <sheetName val="PUP_JT_INV_(update)7"/>
      <sheetName val="Tubing_Tally7"/>
      <sheetName val="Final_Tally7"/>
      <sheetName val="Run_List_draft_DLD-307"/>
      <sheetName val="BUS_&amp;_targets7"/>
      <sheetName val="K_Factor7"/>
      <sheetName val="Horizontal_plant3"/>
      <sheetName val="Well_Specification3"/>
      <sheetName val="Report_Long(Esso)3"/>
      <sheetName val="Run_Sheet3"/>
      <sheetName val="Drilling_Time3"/>
      <sheetName val="BHA_Cal3"/>
      <sheetName val="_MDT_data_LD27-2-23"/>
      <sheetName val="Days_干井3"/>
      <sheetName val="AC_Detailed3"/>
      <sheetName val="5)_Cost_Estimation_Jacket3"/>
      <sheetName val="4)_Coat_Est_for_Upper_Platform3"/>
      <sheetName val="Option_Summary3"/>
      <sheetName val="WBS_Level_33"/>
      <sheetName val="DRLG_SUM3"/>
      <sheetName val="Cash_Expsense_March-963"/>
      <sheetName val="calculo_de_gas_Total3"/>
      <sheetName val="Check_List8"/>
      <sheetName val="Well_Info8"/>
      <sheetName val="PCGDIS_8"/>
      <sheetName val="PCDG_8"/>
      <sheetName val="Hydrostatic_Calculation8"/>
      <sheetName val="STRAP_TBG8"/>
      <sheetName val="Tally_8"/>
      <sheetName val="Run_List_Actual8"/>
      <sheetName val="Run_List_Actual_(draft)8"/>
      <sheetName val="Run_List_Actual_(hgr)8"/>
      <sheetName val="Run_List_Actual_(RA_SUB)_(2)8"/>
      <sheetName val="morning_report8"/>
      <sheetName val="rig_BACKLOAD_LIST_8"/>
      <sheetName val="KSB_LOAD_OUT_LIST8"/>
      <sheetName val="Equip_Used8"/>
      <sheetName val="Revision_Tracking8"/>
      <sheetName val="DP_Tally_8"/>
      <sheetName val="SAS_Runlist_-Draft8"/>
      <sheetName val="Hyd_Calc8"/>
      <sheetName val="Tbg_Tally8"/>
      <sheetName val="Pin_Table8"/>
      <sheetName val="PUP_JT_INV_Fox8"/>
      <sheetName val="K_Factor8"/>
      <sheetName val="PUP_JT_INV_(update)8"/>
      <sheetName val="Run_List_draft_DLD-308"/>
      <sheetName val="BUS_&amp;_targets8"/>
      <sheetName val="Tubing_Tally8"/>
      <sheetName val="Final_Tally8"/>
      <sheetName val="Horizontal_plant4"/>
      <sheetName val="Well_Specification4"/>
      <sheetName val="Report_Long(Esso)4"/>
      <sheetName val="Run_Sheet4"/>
      <sheetName val="Drilling_Time4"/>
      <sheetName val="BHA_Cal4"/>
      <sheetName val="_MDT_data_LD27-2-24"/>
      <sheetName val="Days_干井4"/>
      <sheetName val="AC_Detailed4"/>
      <sheetName val="5)_Cost_Estimation_Jacket4"/>
      <sheetName val="4)_Coat_Est_for_Upper_Platform4"/>
      <sheetName val="Option_Summary4"/>
      <sheetName val="WBS_Level_34"/>
      <sheetName val="DRLG_SUM4"/>
      <sheetName val="Cash_Expsense_March-964"/>
      <sheetName val="calculo_de_gas_Total4"/>
      <sheetName val="Check_List12"/>
      <sheetName val="Well_Info12"/>
      <sheetName val="PCGDIS_12"/>
      <sheetName val="PCDG_12"/>
      <sheetName val="Hydrostatic_Calculation12"/>
      <sheetName val="STRAP_TBG12"/>
      <sheetName val="Tally_12"/>
      <sheetName val="Run_List_Actual12"/>
      <sheetName val="Run_List_Actual_(draft)12"/>
      <sheetName val="Run_List_Actual_(hgr)12"/>
      <sheetName val="Run_List_Actual_(RA_SUB)_(2)12"/>
      <sheetName val="morning_report12"/>
      <sheetName val="rig_BACKLOAD_LIST_12"/>
      <sheetName val="KSB_LOAD_OUT_LIST12"/>
      <sheetName val="Equip_Used12"/>
      <sheetName val="Revision_Tracking12"/>
      <sheetName val="DP_Tally_12"/>
      <sheetName val="SAS_Runlist_-Draft12"/>
      <sheetName val="Hyd_Calc12"/>
      <sheetName val="Tbg_Tally12"/>
      <sheetName val="Pin_Table12"/>
      <sheetName val="PUP_JT_INV_Fox12"/>
      <sheetName val="K_Factor12"/>
      <sheetName val="PUP_JT_INV_(update)12"/>
      <sheetName val="Run_List_draft_DLD-3012"/>
      <sheetName val="BUS_&amp;_targets12"/>
      <sheetName val="Tubing_Tally12"/>
      <sheetName val="Final_Tally12"/>
      <sheetName val="Horizontal_plant8"/>
      <sheetName val="Well_Specification8"/>
      <sheetName val="Report_Long(Esso)8"/>
      <sheetName val="Run_Sheet8"/>
      <sheetName val="Drilling_Time8"/>
      <sheetName val="BHA_Cal8"/>
      <sheetName val="_MDT_data_LD27-2-28"/>
      <sheetName val="Days_干井8"/>
      <sheetName val="AC_Detailed8"/>
      <sheetName val="5)_Cost_Estimation_Jacket8"/>
      <sheetName val="4)_Coat_Est_for_Upper_Platform8"/>
      <sheetName val="Option_Summary8"/>
      <sheetName val="WBS_Level_38"/>
      <sheetName val="DRLG_SUM8"/>
      <sheetName val="Cash_Expsense_March-968"/>
      <sheetName val="calculo_de_gas_Total8"/>
      <sheetName val="Check_List9"/>
      <sheetName val="Well_Info9"/>
      <sheetName val="PCGDIS_9"/>
      <sheetName val="PCDG_9"/>
      <sheetName val="Hydrostatic_Calculation9"/>
      <sheetName val="STRAP_TBG9"/>
      <sheetName val="Tally_9"/>
      <sheetName val="Run_List_Actual9"/>
      <sheetName val="Run_List_Actual_(draft)9"/>
      <sheetName val="Run_List_Actual_(hgr)9"/>
      <sheetName val="Run_List_Actual_(RA_SUB)_(2)9"/>
      <sheetName val="morning_report9"/>
      <sheetName val="rig_BACKLOAD_LIST_9"/>
      <sheetName val="KSB_LOAD_OUT_LIST9"/>
      <sheetName val="Equip_Used9"/>
      <sheetName val="Revision_Tracking9"/>
      <sheetName val="DP_Tally_9"/>
      <sheetName val="SAS_Runlist_-Draft9"/>
      <sheetName val="Hyd_Calc9"/>
      <sheetName val="Tbg_Tally9"/>
      <sheetName val="Pin_Table9"/>
      <sheetName val="PUP_JT_INV_Fox9"/>
      <sheetName val="K_Factor9"/>
      <sheetName val="PUP_JT_INV_(update)9"/>
      <sheetName val="Run_List_draft_DLD-309"/>
      <sheetName val="BUS_&amp;_targets9"/>
      <sheetName val="Tubing_Tally9"/>
      <sheetName val="Final_Tally9"/>
      <sheetName val="Horizontal_plant5"/>
      <sheetName val="Well_Specification5"/>
      <sheetName val="Report_Long(Esso)5"/>
      <sheetName val="Run_Sheet5"/>
      <sheetName val="Drilling_Time5"/>
      <sheetName val="BHA_Cal5"/>
      <sheetName val="_MDT_data_LD27-2-25"/>
      <sheetName val="Days_干井5"/>
      <sheetName val="AC_Detailed5"/>
      <sheetName val="5)_Cost_Estimation_Jacket5"/>
      <sheetName val="4)_Coat_Est_for_Upper_Platform5"/>
      <sheetName val="Option_Summary5"/>
      <sheetName val="WBS_Level_35"/>
      <sheetName val="DRLG_SUM5"/>
      <sheetName val="Cash_Expsense_March-965"/>
      <sheetName val="calculo_de_gas_Total5"/>
      <sheetName val="Check_List11"/>
      <sheetName val="Well_Info11"/>
      <sheetName val="PCGDIS_11"/>
      <sheetName val="PCDG_11"/>
      <sheetName val="Hydrostatic_Calculation11"/>
      <sheetName val="STRAP_TBG11"/>
      <sheetName val="Tally_11"/>
      <sheetName val="Run_List_Actual11"/>
      <sheetName val="Run_List_Actual_(draft)11"/>
      <sheetName val="Run_List_Actual_(hgr)11"/>
      <sheetName val="Run_List_Actual_(RA_SUB)_(2)11"/>
      <sheetName val="morning_report11"/>
      <sheetName val="rig_BACKLOAD_LIST_11"/>
      <sheetName val="KSB_LOAD_OUT_LIST11"/>
      <sheetName val="Equip_Used11"/>
      <sheetName val="Revision_Tracking11"/>
      <sheetName val="DP_Tally_11"/>
      <sheetName val="SAS_Runlist_-Draft11"/>
      <sheetName val="Hyd_Calc11"/>
      <sheetName val="Tbg_Tally11"/>
      <sheetName val="Pin_Table11"/>
      <sheetName val="PUP_JT_INV_Fox11"/>
      <sheetName val="K_Factor11"/>
      <sheetName val="PUP_JT_INV_(update)11"/>
      <sheetName val="Run_List_draft_DLD-3011"/>
      <sheetName val="BUS_&amp;_targets11"/>
      <sheetName val="Tubing_Tally11"/>
      <sheetName val="Final_Tally11"/>
      <sheetName val="Horizontal_plant7"/>
      <sheetName val="Well_Specification7"/>
      <sheetName val="Report_Long(Esso)7"/>
      <sheetName val="Run_Sheet7"/>
      <sheetName val="Drilling_Time7"/>
      <sheetName val="BHA_Cal7"/>
      <sheetName val="_MDT_data_LD27-2-27"/>
      <sheetName val="Days_干井7"/>
      <sheetName val="AC_Detailed7"/>
      <sheetName val="5)_Cost_Estimation_Jacket7"/>
      <sheetName val="4)_Coat_Est_for_Upper_Platform7"/>
      <sheetName val="Option_Summary7"/>
      <sheetName val="WBS_Level_37"/>
      <sheetName val="DRLG_SUM7"/>
      <sheetName val="Cash_Expsense_March-967"/>
      <sheetName val="calculo_de_gas_Total7"/>
      <sheetName val="Check_List10"/>
      <sheetName val="Well_Info10"/>
      <sheetName val="PCGDIS_10"/>
      <sheetName val="PCDG_10"/>
      <sheetName val="Hydrostatic_Calculation10"/>
      <sheetName val="STRAP_TBG10"/>
      <sheetName val="Tally_10"/>
      <sheetName val="Run_List_Actual10"/>
      <sheetName val="Run_List_Actual_(draft)10"/>
      <sheetName val="Run_List_Actual_(hgr)10"/>
      <sheetName val="Run_List_Actual_(RA_SUB)_(2)10"/>
      <sheetName val="morning_report10"/>
      <sheetName val="rig_BACKLOAD_LIST_10"/>
      <sheetName val="KSB_LOAD_OUT_LIST10"/>
      <sheetName val="Equip_Used10"/>
      <sheetName val="Revision_Tracking10"/>
      <sheetName val="DP_Tally_10"/>
      <sheetName val="SAS_Runlist_-Draft10"/>
      <sheetName val="Hyd_Calc10"/>
      <sheetName val="Tbg_Tally10"/>
      <sheetName val="Pin_Table10"/>
      <sheetName val="PUP_JT_INV_Fox10"/>
      <sheetName val="K_Factor10"/>
      <sheetName val="PUP_JT_INV_(update)10"/>
      <sheetName val="Run_List_draft_DLD-3010"/>
      <sheetName val="BUS_&amp;_targets10"/>
      <sheetName val="Tubing_Tally10"/>
      <sheetName val="Final_Tally10"/>
      <sheetName val="Horizontal_plant6"/>
      <sheetName val="Well_Specification6"/>
      <sheetName val="Report_Long(Esso)6"/>
      <sheetName val="Run_Sheet6"/>
      <sheetName val="Drilling_Time6"/>
      <sheetName val="BHA_Cal6"/>
      <sheetName val="_MDT_data_LD27-2-26"/>
      <sheetName val="Days_干井6"/>
      <sheetName val="AC_Detailed6"/>
      <sheetName val="5)_Cost_Estimation_Jacket6"/>
      <sheetName val="4)_Coat_Est_for_Upper_Platform6"/>
      <sheetName val="Option_Summary6"/>
      <sheetName val="WBS_Level_36"/>
      <sheetName val="DRLG_SUM6"/>
      <sheetName val="Cash_Expsense_March-966"/>
      <sheetName val="calculo_de_gas_Total6"/>
      <sheetName val="Check_List13"/>
      <sheetName val="Well_Info13"/>
      <sheetName val="PCGDIS_13"/>
      <sheetName val="PCDG_13"/>
      <sheetName val="Hydrostatic_Calculation13"/>
      <sheetName val="STRAP_TBG13"/>
      <sheetName val="Tally_13"/>
      <sheetName val="Run_List_Actual13"/>
      <sheetName val="Run_List_Actual_(draft)13"/>
      <sheetName val="Run_List_Actual_(hgr)13"/>
      <sheetName val="Run_List_Actual_(RA_SUB)_(2)13"/>
      <sheetName val="morning_report13"/>
      <sheetName val="rig_BACKLOAD_LIST_13"/>
      <sheetName val="KSB_LOAD_OUT_LIST13"/>
      <sheetName val="Equip_Used13"/>
      <sheetName val="Revision_Tracking13"/>
      <sheetName val="DP_Tally_13"/>
      <sheetName val="SAS_Runlist_-Draft13"/>
      <sheetName val="Hyd_Calc13"/>
      <sheetName val="Tbg_Tally13"/>
      <sheetName val="Pin_Table13"/>
      <sheetName val="PUP_JT_INV_Fox13"/>
      <sheetName val="PUP_JT_INV_(update)13"/>
      <sheetName val="Tubing_Tally13"/>
      <sheetName val="Final_Tally13"/>
      <sheetName val="Run_List_draft_DLD-3013"/>
      <sheetName val="BUS_&amp;_targets13"/>
      <sheetName val="K_Factor13"/>
      <sheetName val="Horizontal_plant9"/>
      <sheetName val="Well_Specification9"/>
      <sheetName val="Report_Long(Esso)9"/>
      <sheetName val="Run_Sheet9"/>
      <sheetName val="Drilling_Time9"/>
      <sheetName val="BHA_Cal9"/>
      <sheetName val="_MDT_data_LD27-2-29"/>
      <sheetName val="Days_干井9"/>
      <sheetName val="AC_Detailed9"/>
      <sheetName val="5)_Cost_Estimation_Jacket9"/>
      <sheetName val="4)_Coat_Est_for_Upper_Platform9"/>
      <sheetName val="Option_Summary9"/>
      <sheetName val="WBS_Level_39"/>
      <sheetName val="DRLG_SUM9"/>
      <sheetName val="Cash_Expsense_March-969"/>
      <sheetName val="calculo_de_gas_Total9"/>
      <sheetName val="Check_List14"/>
      <sheetName val="Well_Info14"/>
      <sheetName val="PCGDIS_14"/>
      <sheetName val="PCDG_14"/>
      <sheetName val="Hydrostatic_Calculation14"/>
      <sheetName val="STRAP_TBG14"/>
      <sheetName val="Tally_14"/>
      <sheetName val="Run_List_Actual14"/>
      <sheetName val="Run_List_Actual_(draft)14"/>
      <sheetName val="Run_List_Actual_(hgr)14"/>
      <sheetName val="Run_List_Actual_(RA_SUB)_(2)14"/>
      <sheetName val="morning_report14"/>
      <sheetName val="rig_BACKLOAD_LIST_14"/>
      <sheetName val="KSB_LOAD_OUT_LIST14"/>
      <sheetName val="Equip_Used14"/>
      <sheetName val="Revision_Tracking14"/>
      <sheetName val="DP_Tally_14"/>
      <sheetName val="SAS_Runlist_-Draft14"/>
      <sheetName val="Hyd_Calc14"/>
      <sheetName val="Tbg_Tally14"/>
      <sheetName val="Pin_Table14"/>
      <sheetName val="PUP_JT_INV_Fox14"/>
      <sheetName val="PUP_JT_INV_(update)14"/>
      <sheetName val="Tubing_Tally14"/>
      <sheetName val="Final_Tally14"/>
      <sheetName val="Run_List_draft_DLD-3014"/>
      <sheetName val="BUS_&amp;_targets14"/>
      <sheetName val="K_Factor14"/>
      <sheetName val="Horizontal_plant10"/>
      <sheetName val="Well_Specification10"/>
      <sheetName val="Report_Long(Esso)10"/>
      <sheetName val="Run_Sheet10"/>
      <sheetName val="Drilling_Time10"/>
      <sheetName val="BHA_Cal10"/>
      <sheetName val="_MDT_data_LD27-2-210"/>
      <sheetName val="Days_干井10"/>
      <sheetName val="AC_Detailed10"/>
      <sheetName val="5)_Cost_Estimation_Jacket10"/>
      <sheetName val="4)_Coat_Est_for_Upper_Platfor10"/>
      <sheetName val="Option_Summary10"/>
      <sheetName val="WBS_Level_310"/>
      <sheetName val="DRLG_SUM10"/>
      <sheetName val="Cash_Expsense_March-9610"/>
      <sheetName val="calculo_de_gas_Total10"/>
      <sheetName val="MKII_8"/>
      <sheetName val="MKII_81"/>
      <sheetName val="Check_List17"/>
      <sheetName val="Well_Info17"/>
      <sheetName val="PCGDIS_17"/>
      <sheetName val="PCDG_17"/>
      <sheetName val="Hydrostatic_Calculation17"/>
      <sheetName val="STRAP_TBG17"/>
      <sheetName val="Tally_17"/>
      <sheetName val="Run_List_Actual17"/>
      <sheetName val="Run_List_Actual_(draft)17"/>
      <sheetName val="Run_List_Actual_(hgr)17"/>
      <sheetName val="Run_List_Actual_(RA_SUB)_(2)17"/>
      <sheetName val="morning_report17"/>
      <sheetName val="rig_BACKLOAD_LIST_17"/>
      <sheetName val="KSB_LOAD_OUT_LIST17"/>
      <sheetName val="Equip_Used17"/>
      <sheetName val="Revision_Tracking17"/>
      <sheetName val="DP_Tally_17"/>
      <sheetName val="SAS_Runlist_-Draft17"/>
      <sheetName val="Hyd_Calc17"/>
      <sheetName val="Tbg_Tally17"/>
      <sheetName val="Pin_Table17"/>
      <sheetName val="PUP_JT_INV_Fox17"/>
      <sheetName val="PUP_JT_INV_(update)17"/>
      <sheetName val="Tubing_Tally17"/>
      <sheetName val="Final_Tally17"/>
      <sheetName val="Run_List_draft_DLD-3017"/>
      <sheetName val="BUS_&amp;_targets17"/>
      <sheetName val="K_Factor17"/>
      <sheetName val="Horizontal_plant13"/>
      <sheetName val="Well_Specification13"/>
      <sheetName val="Report_Long(Esso)13"/>
      <sheetName val="Run_Sheet13"/>
      <sheetName val="Drilling_Time13"/>
      <sheetName val="BHA_Cal13"/>
      <sheetName val="_MDT_data_LD27-2-213"/>
      <sheetName val="Days_干井13"/>
      <sheetName val="AC_Detailed13"/>
      <sheetName val="5)_Cost_Estimation_Jacket13"/>
      <sheetName val="4)_Coat_Est_for_Upper_Platfor13"/>
      <sheetName val="Option_Summary13"/>
      <sheetName val="WBS_Level_313"/>
      <sheetName val="DRLG_SUM13"/>
      <sheetName val="Cash_Expsense_March-9613"/>
      <sheetName val="calculo_de_gas_Total13"/>
      <sheetName val="MKII_86"/>
      <sheetName val="MKII_82"/>
      <sheetName val="MKII_83"/>
      <sheetName val="MKII_84"/>
      <sheetName val="Check_List16"/>
      <sheetName val="Well_Info16"/>
      <sheetName val="PCGDIS_16"/>
      <sheetName val="PCDG_16"/>
      <sheetName val="Hydrostatic_Calculation16"/>
      <sheetName val="STRAP_TBG16"/>
      <sheetName val="Tally_16"/>
      <sheetName val="Run_List_Actual16"/>
      <sheetName val="Run_List_Actual_(draft)16"/>
      <sheetName val="Run_List_Actual_(hgr)16"/>
      <sheetName val="Run_List_Actual_(RA_SUB)_(2)16"/>
      <sheetName val="morning_report16"/>
      <sheetName val="rig_BACKLOAD_LIST_16"/>
      <sheetName val="KSB_LOAD_OUT_LIST16"/>
      <sheetName val="Equip_Used16"/>
      <sheetName val="Revision_Tracking16"/>
      <sheetName val="DP_Tally_16"/>
      <sheetName val="SAS_Runlist_-Draft16"/>
      <sheetName val="Hyd_Calc16"/>
      <sheetName val="Tbg_Tally16"/>
      <sheetName val="Pin_Table16"/>
      <sheetName val="PUP_JT_INV_Fox16"/>
      <sheetName val="PUP_JT_INV_(update)16"/>
      <sheetName val="Tubing_Tally16"/>
      <sheetName val="Final_Tally16"/>
      <sheetName val="Run_List_draft_DLD-3016"/>
      <sheetName val="BUS_&amp;_targets16"/>
      <sheetName val="K_Factor16"/>
      <sheetName val="Horizontal_plant12"/>
      <sheetName val="Well_Specification12"/>
      <sheetName val="Report_Long(Esso)12"/>
      <sheetName val="Run_Sheet12"/>
      <sheetName val="Drilling_Time12"/>
      <sheetName val="BHA_Cal12"/>
      <sheetName val="_MDT_data_LD27-2-212"/>
      <sheetName val="Days_干井12"/>
      <sheetName val="AC_Detailed12"/>
      <sheetName val="5)_Cost_Estimation_Jacket12"/>
      <sheetName val="4)_Coat_Est_for_Upper_Platfor12"/>
      <sheetName val="Option_Summary12"/>
      <sheetName val="WBS_Level_312"/>
      <sheetName val="DRLG_SUM12"/>
      <sheetName val="Cash_Expsense_March-9612"/>
      <sheetName val="calculo_de_gas_Total12"/>
      <sheetName val="MKII_8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Set>
  </externalBook>
</externalLink>
</file>

<file path=xl/externalLinks/externalLink175.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7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 val="Tubing"/>
      <sheetName val="Run Sheet"/>
      <sheetName val="#REF"/>
      <sheetName val="BUS &amp; targets"/>
      <sheetName val="Well Completion Data Book (HES)"/>
      <sheetName val="Employee Vendor Master Form"/>
      <sheetName val="EVMF Field Instructions"/>
      <sheetName val="EVMF Code Sheet"/>
      <sheetName val="Russia Caspian Form Instruction"/>
      <sheetName val="Sheet1"/>
      <sheetName val="Tubing Tally"/>
      <sheetName val="SupportingData"/>
      <sheetName val="Capacities &amp; Inputs"/>
      <sheetName val="K Factor"/>
      <sheetName val="Cover_Page"/>
      <sheetName val="Well_&amp;_Completion_Data"/>
      <sheetName val="Reservoir_Data"/>
      <sheetName val="Run_Sheet"/>
      <sheetName val="Capacities_&amp;_Inputs"/>
      <sheetName val="BUS_&amp;_targets"/>
      <sheetName val="Data"/>
      <sheetName val="Report Long(Esso)"/>
      <sheetName val="MKII 8"/>
      <sheetName val="Tally"/>
      <sheetName val="1.7 SCSSSV Installation Report"/>
      <sheetName val="CEMTJOB"/>
      <sheetName val="KICKVOL"/>
      <sheetName val="BHA"/>
      <sheetName val="Cover_Page3"/>
      <sheetName val="Well_&amp;_Completion_Data3"/>
      <sheetName val="Reservoir_Data3"/>
      <sheetName val="Run_Sheet3"/>
      <sheetName val="BUS_&amp;_targets3"/>
      <sheetName val="Cover_Page1"/>
      <sheetName val="Well_&amp;_Completion_Data1"/>
      <sheetName val="Reservoir_Data1"/>
      <sheetName val="Run_Sheet1"/>
      <sheetName val="BUS_&amp;_targets1"/>
      <sheetName val="Cover_Page2"/>
      <sheetName val="Well_&amp;_Completion_Data2"/>
      <sheetName val="Reservoir_Data2"/>
      <sheetName val="Run_Sheet2"/>
      <sheetName val="BUS_&amp;_targets2"/>
      <sheetName val="Cover_Page4"/>
      <sheetName val="Well_&amp;_Completion_Data4"/>
      <sheetName val="Reservoir_Data4"/>
      <sheetName val="Run_Sheet4"/>
      <sheetName val="BUS_&amp;_targets4"/>
      <sheetName val="Well_Completion_Data_Book_(HES)"/>
      <sheetName val="Employee_Vendor_Master_Form"/>
      <sheetName val="EVMF_Field_Instructions"/>
      <sheetName val="EVMF_Code_Sheet"/>
      <sheetName val="Russia_Caspian_Form_Instruction"/>
      <sheetName val="Tubing_Tally"/>
      <sheetName val="Capacities_&amp;_Inputs1"/>
      <sheetName val="K_Factor"/>
      <sheetName val="Report_Long(Esso)"/>
      <sheetName val="MKII_8"/>
      <sheetName val="1_7_SCSSSV_Installation_Report"/>
      <sheetName val="Cover_Page5"/>
      <sheetName val="Well_&amp;_Completion_Data5"/>
      <sheetName val="Reservoir_Data5"/>
      <sheetName val="Run_Sheet5"/>
      <sheetName val="BUS_&amp;_targets5"/>
      <sheetName val="Well_Completion_Data_Book_(HES1"/>
      <sheetName val="Employee_Vendor_Master_Form1"/>
      <sheetName val="EVMF_Field_Instructions1"/>
      <sheetName val="EVMF_Code_Sheet1"/>
      <sheetName val="Russia_Caspian_Form_Instructio1"/>
      <sheetName val="Tubing_Tally1"/>
      <sheetName val="Capacities_&amp;_Inputs2"/>
      <sheetName val="K_Factor1"/>
      <sheetName val="Report_Long(Esso)1"/>
      <sheetName val="MKII_81"/>
      <sheetName val="1_7_SCSSSV_Installation_Report1"/>
      <sheetName val="Cover_Page6"/>
      <sheetName val="Well_&amp;_Completion_Data6"/>
      <sheetName val="Reservoir_Data6"/>
      <sheetName val="Run_Sheet6"/>
      <sheetName val="BUS_&amp;_targets6"/>
      <sheetName val="Well_Completion_Data_Book_(HES2"/>
      <sheetName val="Employee_Vendor_Master_Form2"/>
      <sheetName val="EVMF_Field_Instructions2"/>
      <sheetName val="EVMF_Code_Sheet2"/>
      <sheetName val="Russia_Caspian_Form_Instructio2"/>
      <sheetName val="Tubing_Tally2"/>
      <sheetName val="Capacities_&amp;_Inputs3"/>
      <sheetName val="K_Factor2"/>
      <sheetName val="Report_Long(Esso)2"/>
      <sheetName val="MKII_82"/>
      <sheetName val="1_7_SCSSSV_Installation_Report2"/>
      <sheetName val="Cover_Page7"/>
      <sheetName val="Well_&amp;_Completion_Data7"/>
      <sheetName val="Reservoir_Data7"/>
      <sheetName val="Run_Sheet7"/>
      <sheetName val="BUS_&amp;_targets7"/>
      <sheetName val="Well_Completion_Data_Book_(HES3"/>
      <sheetName val="Employee_Vendor_Master_Form3"/>
      <sheetName val="EVMF_Field_Instructions3"/>
      <sheetName val="EVMF_Code_Sheet3"/>
      <sheetName val="Russia_Caspian_Form_Instructio3"/>
      <sheetName val="Tubing_Tally3"/>
      <sheetName val="Capacities_&amp;_Inputs4"/>
      <sheetName val="K_Factor3"/>
      <sheetName val="Report_Long(Esso)3"/>
      <sheetName val="MKII_83"/>
      <sheetName val="1_7_SCSSSV_Installation_Report3"/>
      <sheetName val="Cover_Page8"/>
      <sheetName val="Well_&amp;_Completion_Data8"/>
      <sheetName val="Reservoir_Data8"/>
      <sheetName val="Run_Sheet8"/>
      <sheetName val="BUS_&amp;_targets8"/>
      <sheetName val="Well_Completion_Data_Book_(HES4"/>
      <sheetName val="Employee_Vendor_Master_Form4"/>
      <sheetName val="EVMF_Field_Instructions4"/>
      <sheetName val="EVMF_Code_Sheet4"/>
      <sheetName val="Russia_Caspian_Form_Instructio4"/>
      <sheetName val="Tubing_Tally4"/>
      <sheetName val="Capacities_&amp;_Inputs5"/>
      <sheetName val="K_Factor4"/>
      <sheetName val="Report_Long(Esso)4"/>
      <sheetName val="MKII_84"/>
      <sheetName val="1_7_SCSSSV_Installation_Report4"/>
      <sheetName val="Cover_Page9"/>
      <sheetName val="Well_&amp;_Completion_Data9"/>
      <sheetName val="Reservoir_Data9"/>
      <sheetName val="Run_Sheet9"/>
      <sheetName val="BUS_&amp;_targets9"/>
      <sheetName val="Well_Completion_Data_Book_(HES5"/>
      <sheetName val="Employee_Vendor_Master_Form5"/>
      <sheetName val="EVMF_Field_Instructions5"/>
      <sheetName val="EVMF_Code_Sheet5"/>
      <sheetName val="Russia_Caspian_Form_Instructio5"/>
      <sheetName val="Tubing_Tally5"/>
      <sheetName val="Capacities_&amp;_Inputs6"/>
      <sheetName val="K_Factor5"/>
      <sheetName val="Report_Long(Esso)5"/>
      <sheetName val="MKII_85"/>
      <sheetName val="1_7_SCSSSV_Installation_Report5"/>
      <sheetName val="Cover_Page13"/>
      <sheetName val="Well_&amp;_Completion_Data13"/>
      <sheetName val="Reservoir_Data13"/>
      <sheetName val="Run_Sheet13"/>
      <sheetName val="BUS_&amp;_targets13"/>
      <sheetName val="Well_Completion_Data_Book_(HES9"/>
      <sheetName val="Employee_Vendor_Master_Form9"/>
      <sheetName val="EVMF_Field_Instructions9"/>
      <sheetName val="EVMF_Code_Sheet9"/>
      <sheetName val="Russia_Caspian_Form_Instructio9"/>
      <sheetName val="Tubing_Tally9"/>
      <sheetName val="Capacities_&amp;_Inputs10"/>
      <sheetName val="K_Factor9"/>
      <sheetName val="Report_Long(Esso)9"/>
      <sheetName val="MKII_89"/>
      <sheetName val="1_7_SCSSSV_Installation_Report9"/>
      <sheetName val="Cover_Page10"/>
      <sheetName val="Well_&amp;_Completion_Data10"/>
      <sheetName val="Reservoir_Data10"/>
      <sheetName val="Run_Sheet10"/>
      <sheetName val="BUS_&amp;_targets10"/>
      <sheetName val="Well_Completion_Data_Book_(HES6"/>
      <sheetName val="Employee_Vendor_Master_Form6"/>
      <sheetName val="EVMF_Field_Instructions6"/>
      <sheetName val="EVMF_Code_Sheet6"/>
      <sheetName val="Russia_Caspian_Form_Instructio6"/>
      <sheetName val="Tubing_Tally6"/>
      <sheetName val="Capacities_&amp;_Inputs7"/>
      <sheetName val="K_Factor6"/>
      <sheetName val="Report_Long(Esso)6"/>
      <sheetName val="MKII_86"/>
      <sheetName val="1_7_SCSSSV_Installation_Report6"/>
      <sheetName val="Cover_Page11"/>
      <sheetName val="Well_&amp;_Completion_Data11"/>
      <sheetName val="Reservoir_Data11"/>
      <sheetName val="Run_Sheet11"/>
      <sheetName val="BUS_&amp;_targets11"/>
      <sheetName val="Well_Completion_Data_Book_(HES7"/>
      <sheetName val="Employee_Vendor_Master_Form7"/>
      <sheetName val="EVMF_Field_Instructions7"/>
      <sheetName val="EVMF_Code_Sheet7"/>
      <sheetName val="Russia_Caspian_Form_Instructio7"/>
      <sheetName val="Tubing_Tally7"/>
      <sheetName val="Capacities_&amp;_Inputs8"/>
      <sheetName val="K_Factor7"/>
      <sheetName val="Report_Long(Esso)7"/>
      <sheetName val="MKII_87"/>
      <sheetName val="1_7_SCSSSV_Installation_Report7"/>
      <sheetName val="Cover_Page12"/>
      <sheetName val="Well_&amp;_Completion_Data12"/>
      <sheetName val="Reservoir_Data12"/>
      <sheetName val="Run_Sheet12"/>
      <sheetName val="BUS_&amp;_targets12"/>
      <sheetName val="Well_Completion_Data_Book_(HES8"/>
      <sheetName val="Employee_Vendor_Master_Form8"/>
      <sheetName val="EVMF_Field_Instructions8"/>
      <sheetName val="EVMF_Code_Sheet8"/>
      <sheetName val="Russia_Caspian_Form_Instructio8"/>
      <sheetName val="Tubing_Tally8"/>
      <sheetName val="Capacities_&amp;_Inputs9"/>
      <sheetName val="K_Factor8"/>
      <sheetName val="Report_Long(Esso)8"/>
      <sheetName val="MKII_88"/>
      <sheetName val="1_7_SCSSSV_Installation_Report8"/>
      <sheetName val="Cover_Page15"/>
      <sheetName val="Well_&amp;_Completion_Data15"/>
      <sheetName val="Reservoir_Data15"/>
      <sheetName val="Run_Sheet15"/>
      <sheetName val="BUS_&amp;_targets15"/>
      <sheetName val="Well_Completion_Data_Book_(HE11"/>
      <sheetName val="Employee_Vendor_Master_Form11"/>
      <sheetName val="EVMF_Field_Instructions11"/>
      <sheetName val="EVMF_Code_Sheet11"/>
      <sheetName val="Russia_Caspian_Form_Instructi11"/>
      <sheetName val="Tubing_Tally11"/>
      <sheetName val="Capacities_&amp;_Inputs12"/>
      <sheetName val="K_Factor11"/>
      <sheetName val="Report_Long(Esso)11"/>
      <sheetName val="MKII_811"/>
      <sheetName val="1_7_SCSSSV_Installation_Repor11"/>
      <sheetName val="Cover_Page14"/>
      <sheetName val="Well_&amp;_Completion_Data14"/>
      <sheetName val="Reservoir_Data14"/>
      <sheetName val="Run_Sheet14"/>
      <sheetName val="BUS_&amp;_targets14"/>
      <sheetName val="Well_Completion_Data_Book_(HE10"/>
      <sheetName val="Employee_Vendor_Master_Form10"/>
      <sheetName val="EVMF_Field_Instructions10"/>
      <sheetName val="EVMF_Code_Sheet10"/>
      <sheetName val="Russia_Caspian_Form_Instructi10"/>
      <sheetName val="Tubing_Tally10"/>
      <sheetName val="Capacities_&amp;_Inputs11"/>
      <sheetName val="K_Factor10"/>
      <sheetName val="Report_Long(Esso)10"/>
      <sheetName val="MKII_810"/>
      <sheetName val="1_7_SCSSSV_Installation_Repor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Set>
  </externalBook>
</externalLink>
</file>

<file path=xl/externalLinks/externalLink177.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8.xml><?xml version="1.0" encoding="utf-8"?>
<externalLink xmlns:r="http://schemas.openxmlformats.org/officeDocument/2006/relationships" xmlns="http://schemas.openxmlformats.org/spreadsheetml/2006/main">
  <externalBook r:id="rId1">
    <sheetNames>
      <sheetName val="00000"/>
      <sheetName val="ejcs data"/>
      <sheetName val="Generic"/>
      <sheetName val="Chem Volumes"/>
      <sheetName val="Radio Assignments"/>
      <sheetName val="Ticket-Completion"/>
      <sheetName val="Job Log "/>
      <sheetName val="6400052235"/>
      <sheetName val="Data"/>
      <sheetName val="On Site Safety Meeting"/>
      <sheetName val="Sheet1"/>
      <sheetName val="Lookup Tables"/>
      <sheetName val="Tally"/>
      <sheetName val="ejcs_data"/>
      <sheetName val="Chem_Volumes"/>
      <sheetName val="Radio_Assignments"/>
      <sheetName val="Job_Log_"/>
      <sheetName val="On_Site_Safety_Meeting"/>
      <sheetName val="Lookup_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79.xml><?xml version="1.0" encoding="utf-8"?>
<externalLink xmlns:r="http://schemas.openxmlformats.org/officeDocument/2006/relationships" xmlns="http://schemas.openxmlformats.org/spreadsheetml/2006/main">
  <externalBook r:id="rId1">
    <sheetNames>
      <sheetName val="Angsi A"/>
      <sheetName val="Run"/>
      <sheetName val="Angsi_A1"/>
      <sheetName val="Angsi_A"/>
      <sheetName val="Angsi_A2"/>
      <sheetName val="Angsi_A3"/>
      <sheetName val="Angsi_A4"/>
    </sheetNames>
    <sheetDataSet>
      <sheetData sheetId="0"/>
      <sheetData sheetId="1"/>
      <sheetData sheetId="2"/>
      <sheetData sheetId="3"/>
      <sheetData sheetId="4"/>
      <sheetData sheetId="5"/>
      <sheetData sheetId="6"/>
    </sheetDataSet>
  </externalBook>
</externalLink>
</file>

<file path=xl/externalLinks/externalLink180.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81.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2.xml><?xml version="1.0" encoding="utf-8"?>
<externalLink xmlns:r="http://schemas.openxmlformats.org/officeDocument/2006/relationships" xmlns="http://schemas.openxmlformats.org/spreadsheetml/2006/main">
  <externalBook r:id="rId1">
    <sheetNames>
      <sheetName val="Input"/>
      <sheetName val="Program (2)"/>
      <sheetName val="Program Only ESP Option"/>
      <sheetName val="ATA309"/>
      <sheetName val="Sheet4"/>
      <sheetName val="ESP Completion Schematic"/>
      <sheetName val="Survey"/>
      <sheetName val="CPS Alloc"/>
      <sheetName val="Sheet1"/>
      <sheetName val="Program ESP_LC Option"/>
      <sheetName val="Program"/>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83.xml><?xml version="1.0" encoding="utf-8"?>
<externalLink xmlns:r="http://schemas.openxmlformats.org/officeDocument/2006/relationships" xmlns="http://schemas.openxmlformats.org/spreadsheetml/2006/main">
  <externalBook r:id="rId1">
    <sheetNames>
      <sheetName val="INPUT"/>
      <sheetName val="REF"/>
      <sheetName val="COVER"/>
      <sheetName val="PROGRAM"/>
      <sheetName val="AA307"/>
      <sheetName val="ATA309"/>
      <sheetName val="CODE SIN"/>
      <sheetName val="TEXT"/>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84.xml><?xml version="1.0" encoding="utf-8"?>
<externalLink xmlns:r="http://schemas.openxmlformats.org/officeDocument/2006/relationships" xmlns="http://schemas.openxmlformats.org/spreadsheetml/2006/main">
  <externalBook r:id="rId1">
    <sheetNames>
      <sheetName val="Angsi A"/>
      <sheetName val="Run"/>
    </sheetNames>
    <sheetDataSet>
      <sheetData sheetId="0"/>
      <sheetData sheetId="1"/>
    </sheetDataSet>
  </externalBook>
</externalLink>
</file>

<file path=xl/externalLinks/externalLink185.xml><?xml version="1.0" encoding="utf-8"?>
<externalLink xmlns:r="http://schemas.openxmlformats.org/officeDocument/2006/relationships" xmlns="http://schemas.openxmlformats.org/spreadsheetml/2006/main">
  <externalBook r:id="rId1">
    <sheetNames>
      <sheetName val="Input"/>
      <sheetName val="Program"/>
      <sheetName val="Preliminary DHWS"/>
      <sheetName val="ICD Ver1.0 2109"/>
      <sheetName val="Risk and Mitigation"/>
      <sheetName val="Tubular Calculation"/>
      <sheetName val="Reference"/>
    </sheetNames>
    <sheetDataSet>
      <sheetData sheetId="0"/>
      <sheetData sheetId="1"/>
      <sheetData sheetId="2"/>
      <sheetData sheetId="3"/>
      <sheetData sheetId="4"/>
      <sheetData sheetId="5"/>
      <sheetData sheetId="6"/>
    </sheetDataSet>
  </externalBook>
</externalLink>
</file>

<file path=xl/externalLinks/externalLink186.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87.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Barrier Disk Issue"/>
      <sheetName val="Highlights !!"/>
      <sheetName val="Completion Code"/>
      <sheetName val="Performance 1"/>
      <sheetName val="Performance Track"/>
      <sheetName val="RO MR records"/>
      <sheetName val="Forecast Q1Q2 2022"/>
      <sheetName val="Risk and Mitigation"/>
      <sheetName val="Best Practice"/>
      <sheetName val="Pivot 2021_23"/>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88.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9.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90.xml><?xml version="1.0" encoding="utf-8"?>
<externalLink xmlns:r="http://schemas.openxmlformats.org/officeDocument/2006/relationships" xmlns="http://schemas.openxmlformats.org/spreadsheetml/2006/main">
  <externalBook r:id="rId1">
    <sheetNames>
      <sheetName val="Inputs"/>
      <sheetName val="Input"/>
      <sheetName val="WellPlan Input"/>
      <sheetName val="Specs"/>
      <sheetName val="Program"/>
      <sheetName val="DY-308 DHWS"/>
      <sheetName val="Reference"/>
    </sheetNames>
    <sheetDataSet>
      <sheetData sheetId="0"/>
      <sheetData sheetId="1"/>
      <sheetData sheetId="2"/>
      <sheetData sheetId="3"/>
      <sheetData sheetId="4"/>
      <sheetData sheetId="5"/>
      <sheetData sheetId="6"/>
    </sheetDataSet>
  </externalBook>
</externalLink>
</file>

<file path=xl/externalLinks/externalLink191.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92.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 val="Oil_Wells_-_New_-_TRSV4"/>
      <sheetName val="Job_Report4"/>
      <sheetName val="DHWS_BB-12334"/>
      <sheetName val="Running_List_Space_Out4"/>
      <sheetName val="Job_Order_BB-12334"/>
      <sheetName val="Oil_Wells_-_New_-_TRSV"/>
      <sheetName val="Job_Report"/>
      <sheetName val="DHWS_BB-1233"/>
      <sheetName val="Running_List_Space_Out"/>
      <sheetName val="Job_Order_BB-1233"/>
      <sheetName val="Oil_Wells_-_New_-_TRSV1"/>
      <sheetName val="Job_Report1"/>
      <sheetName val="DHWS_BB-12331"/>
      <sheetName val="Running_List_Space_Out1"/>
      <sheetName val="Job_Order_BB-12331"/>
      <sheetName val="Oil_Wells_-_New_-_TRSV2"/>
      <sheetName val="Job_Report2"/>
      <sheetName val="DHWS_BB-12332"/>
      <sheetName val="Running_List_Space_Out2"/>
      <sheetName val="Job_Order_BB-12332"/>
      <sheetName val="Oil_Wells_-_New_-_TRSV3"/>
      <sheetName val="Job_Report3"/>
      <sheetName val="DHWS_BB-12333"/>
      <sheetName val="Running_List_Space_Out3"/>
      <sheetName val="Job_Order_BB-12333"/>
      <sheetName val="Oil_Wells_-_New_-_TRSV6"/>
      <sheetName val="Job_Report6"/>
      <sheetName val="DHWS_BB-12336"/>
      <sheetName val="Running_List_Space_Out6"/>
      <sheetName val="Job_Order_BB-12336"/>
      <sheetName val="Oil_Wells_-_New_-_TRSV5"/>
      <sheetName val="Job_Report5"/>
      <sheetName val="DHWS_BB-12335"/>
      <sheetName val="Running_List_Space_Out5"/>
      <sheetName val="Job_Order_BB-12335"/>
      <sheetName val="Oil_Wells_-_New_-_TRSV7"/>
      <sheetName val="Job_Report7"/>
      <sheetName val="DHWS_BB-12337"/>
      <sheetName val="Running_List_Space_Out7"/>
      <sheetName val="Job_Order_BB-12337"/>
      <sheetName val="Oil_Wells_-_New_-_TRSV8"/>
      <sheetName val="Job_Report8"/>
      <sheetName val="DHWS_BB-12338"/>
      <sheetName val="Running_List_Space_Out8"/>
      <sheetName val="Job_Order_BB-1233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193.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94.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drawing" Target="/xl/drawings/drawing2.xml" Id="rId1" /></Relationships>
</file>

<file path=xl/worksheets/_rels/sheet4.xml.rels><Relationships xmlns="http://schemas.openxmlformats.org/package/2006/relationships"><Relationship Type="http://schemas.openxmlformats.org/officeDocument/2006/relationships/drawing" Target="/xl/drawings/drawing3.xml" Id="rId1" /></Relationships>
</file>

<file path=xl/worksheets/_rels/sheet5.xml.rels><Relationships xmlns="http://schemas.openxmlformats.org/package/2006/relationships"><Relationship Type="http://schemas.openxmlformats.org/officeDocument/2006/relationships/drawing" Target="/xl/drawings/drawing4.xml" Id="rId1" /></Relationships>
</file>

<file path=xl/worksheets/_rels/sheet6.xml.rels><Relationships xmlns="http://schemas.openxmlformats.org/package/2006/relationships"><Relationship Type="http://schemas.openxmlformats.org/officeDocument/2006/relationships/drawing" Target="/xl/drawings/drawing5.xml" Id="rId1" /></Relationships>
</file>

<file path=xl/worksheets/_rels/sheet7.xml.rels><Relationships xmlns="http://schemas.openxmlformats.org/package/2006/relationships"><Relationship Type="http://schemas.openxmlformats.org/officeDocument/2006/relationships/drawing" Target="/xl/drawings/drawing6.xml" Id="rId1" /><Relationship Type="http://schemas.openxmlformats.org/officeDocument/2006/relationships/vmlDrawing" Target="/xl/drawings/vmlDrawing2.vml" Id="anysvml" /></Relationships>
</file>

<file path=xl/worksheets/_rels/sheet8.xml.rels><Relationships xmlns="http://schemas.openxmlformats.org/package/2006/relationships"><Relationship Type="http://schemas.openxmlformats.org/officeDocument/2006/relationships/drawing" Target="/xl/drawings/drawing7.xml" Id="rId1" /><Relationship Type="http://schemas.openxmlformats.org/officeDocument/2006/relationships/vmlDrawing" Target="/xl/drawings/vmlDrawing3.vml" Id="anysvml" /></Relationships>
</file>

<file path=xl/worksheets/_rels/sheet9.xml.rels><Relationships xmlns="http://schemas.openxmlformats.org/package/2006/relationships"><Relationship Type="http://schemas.openxmlformats.org/officeDocument/2006/relationships/drawing" Target="/xl/drawings/drawing8.xml" Id="rId1" /></Relationships>
</file>

<file path=xl/worksheets/_rels/sheet11.xml.rels><Relationships xmlns="http://schemas.openxmlformats.org/package/2006/relationships"><Relationship Type="http://schemas.openxmlformats.org/officeDocument/2006/relationships/drawing" Target="/xl/drawings/drawing9.xml" Id="rId1" /></Relationships>
</file>

<file path=xl/worksheets/sheet1.xml><?xml version="1.0" encoding="utf-8"?>
<worksheet xmlns="http://schemas.openxmlformats.org/spreadsheetml/2006/main">
  <sheetPr filterMode="0">
    <outlinePr summaryBelow="1" summaryRight="1"/>
    <pageSetUpPr fitToPage="1"/>
  </sheetPr>
  <dimension ref="A1:I13"/>
  <sheetViews>
    <sheetView showFormulas="0" showGridLines="1" showRowColHeaders="1" showZeros="1" rightToLeft="0" tabSelected="0" showOutlineSymbols="1" defaultGridColor="1" view="pageBreakPreview" topLeftCell="A1" colorId="64" zoomScale="140" zoomScaleNormal="85" zoomScalePageLayoutView="140" workbookViewId="0">
      <selection pane="topLeft" activeCell="G13" activeCellId="0" sqref="A11:S58"/>
    </sheetView>
  </sheetViews>
  <sheetFormatPr baseColWidth="8" defaultColWidth="9.22265625" defaultRowHeight="14.25" customHeight="0" zeroHeight="0" outlineLevelRow="0"/>
  <cols>
    <col width="21.22" customWidth="1" style="881" min="1" max="1"/>
    <col width="14.22" customWidth="1" style="881" min="2" max="2"/>
    <col width="15.22" customWidth="1" style="881" min="3" max="3"/>
    <col width="33.78" customWidth="1" style="881" min="4" max="4"/>
    <col width="21.22" customWidth="1" style="881" min="5" max="6"/>
    <col width="34.11" customWidth="1" style="881" min="7" max="7"/>
    <col width="16.22" customWidth="1" style="881" min="8" max="8"/>
    <col width="22.78" customWidth="1" style="881" min="9" max="9"/>
    <col width="9.220000000000001" customWidth="1" style="881" min="10" max="16384"/>
  </cols>
  <sheetData>
    <row r="1" ht="18" customHeight="1" s="882">
      <c r="A1" s="883" t="n"/>
      <c r="B1" s="884" t="n"/>
      <c r="C1" s="885" t="inlineStr">
        <is>
          <t>COMPLETION ASSEMBLY INSTALLATION / CONSUMPTION RECORD SHEET</t>
        </is>
      </c>
      <c r="D1" s="886" t="n"/>
      <c r="E1" s="886" t="n"/>
      <c r="F1" s="886" t="n"/>
      <c r="G1" s="887" t="n"/>
      <c r="H1" s="888" t="inlineStr">
        <is>
          <t>DT 15949454</t>
        </is>
      </c>
      <c r="I1" s="887" t="n"/>
    </row>
    <row r="2" ht="15" customHeight="1" s="882">
      <c r="A2" s="889" t="inlineStr">
        <is>
          <t>CUSTOMER :</t>
        </is>
      </c>
      <c r="B2" s="890" t="n"/>
      <c r="C2" s="891" t="inlineStr">
        <is>
          <t>ADNOC ONSHORE</t>
        </is>
      </c>
      <c r="D2" s="892" t="n"/>
      <c r="E2" s="893" t="inlineStr">
        <is>
          <t>FIELD :</t>
        </is>
      </c>
      <c r="F2" s="894" t="inlineStr">
        <is>
          <t>AD-237</t>
        </is>
      </c>
      <c r="G2" s="895" t="n"/>
      <c r="H2" s="895" t="n"/>
      <c r="I2" s="896" t="n"/>
    </row>
    <row r="3" ht="14.25" customHeight="1" s="882">
      <c r="A3" s="897" t="inlineStr">
        <is>
          <t>WORK ORDER NUMBER</t>
        </is>
      </c>
      <c r="B3" s="892" t="n"/>
      <c r="C3" s="891" t="inlineStr">
        <is>
          <t>4700014396</t>
        </is>
      </c>
      <c r="D3" s="892" t="n"/>
      <c r="E3" s="898" t="inlineStr">
        <is>
          <t>CONTRACT NUMBER</t>
        </is>
      </c>
      <c r="F3" s="899" t="inlineStr">
        <is>
          <t>FTASM 1706-B</t>
        </is>
      </c>
      <c r="G3" s="895" t="n"/>
      <c r="H3" s="895" t="n"/>
      <c r="I3" s="896" t="n"/>
    </row>
    <row r="4" ht="14.25" customHeight="1" s="882">
      <c r="A4" s="900" t="inlineStr">
        <is>
          <t>Installation :</t>
        </is>
      </c>
      <c r="B4" s="892" t="n"/>
      <c r="C4" s="901" t="inlineStr">
        <is>
          <t>02-Jul-26</t>
        </is>
      </c>
      <c r="D4" s="892" t="n"/>
      <c r="E4" s="902" t="inlineStr">
        <is>
          <t>Reported By :</t>
        </is>
      </c>
      <c r="F4" s="903" t="inlineStr">
        <is>
          <t xml:space="preserve">DRILLING SUPERVISOR </t>
        </is>
      </c>
      <c r="G4" s="895" t="n"/>
      <c r="H4" s="895" t="n"/>
      <c r="I4" s="896" t="n"/>
    </row>
    <row r="5" ht="25.5" customHeight="1" s="882">
      <c r="A5" s="900" t="inlineStr">
        <is>
          <t>Date :</t>
        </is>
      </c>
      <c r="B5" s="892" t="n"/>
      <c r="C5" s="901" t="inlineStr">
        <is>
          <t>24-Jul-26</t>
        </is>
      </c>
      <c r="D5" s="892" t="n"/>
      <c r="E5" s="902" t="inlineStr">
        <is>
          <t>Production Commitment No. :</t>
        </is>
      </c>
      <c r="F5" s="904" t="inlineStr">
        <is>
          <t>4200761193</t>
        </is>
      </c>
      <c r="G5" s="895" t="n"/>
      <c r="H5" s="895" t="n"/>
      <c r="I5" s="896" t="n"/>
    </row>
    <row r="6" ht="25.5" customHeight="1" s="882">
      <c r="A6" s="900" t="inlineStr">
        <is>
          <t>Client's Representative Name:</t>
        </is>
      </c>
      <c r="B6" s="892" t="n"/>
      <c r="C6" s="905" t="n"/>
      <c r="D6" s="892" t="n"/>
      <c r="E6" s="902" t="inlineStr">
        <is>
          <t>Weatherford's
Representative Name:</t>
        </is>
      </c>
      <c r="F6" s="906" t="inlineStr">
        <is>
          <t>Mahmoud Ali</t>
        </is>
      </c>
      <c r="G6" s="895" t="n"/>
      <c r="H6" s="895" t="n"/>
      <c r="I6" s="896" t="n"/>
    </row>
    <row r="7" ht="52.5" customHeight="1" s="882">
      <c r="A7" s="907" t="inlineStr">
        <is>
          <t>Client's Representative Sign.:</t>
        </is>
      </c>
      <c r="B7" s="908" t="n"/>
      <c r="C7" s="909" t="n"/>
      <c r="D7" s="908" t="n"/>
      <c r="E7" s="910" t="inlineStr">
        <is>
          <t>Weatherford's
Representative Sign.:</t>
        </is>
      </c>
      <c r="F7" s="911" t="n">
        <v>0</v>
      </c>
      <c r="G7" s="912" t="n"/>
      <c r="H7" s="912" t="n"/>
      <c r="I7" s="913" t="n"/>
    </row>
    <row r="8" ht="15" customHeight="1" s="882">
      <c r="A8" s="914" t="n"/>
      <c r="B8" s="915" t="n"/>
      <c r="C8" s="915" t="n"/>
      <c r="D8" s="915" t="n"/>
      <c r="E8" s="916" t="inlineStr">
        <is>
          <t xml:space="preserve">*THE FOLLOWING ASSEMBLIES ARE TO BE SHIPPED TO : </t>
        </is>
      </c>
      <c r="F8" s="917" t="n"/>
      <c r="G8" s="917" t="n"/>
      <c r="H8" s="918" t="n"/>
      <c r="I8" s="919" t="inlineStr">
        <is>
          <t>AD-237</t>
        </is>
      </c>
    </row>
    <row r="9" ht="15" customHeight="1" s="882">
      <c r="A9" s="920" t="n"/>
      <c r="B9" s="921" t="n"/>
      <c r="C9" s="921" t="n"/>
      <c r="D9" s="921" t="n"/>
      <c r="E9" s="922" t="inlineStr">
        <is>
          <t xml:space="preserve">*THE FOLLOWING ASSEMBLIES HAVE BEEN RUN IN : </t>
        </is>
      </c>
      <c r="F9" s="912" t="n"/>
      <c r="G9" s="912" t="n"/>
      <c r="H9" s="908" t="n"/>
      <c r="I9" s="919" t="inlineStr">
        <is>
          <t>BB-1309</t>
        </is>
      </c>
    </row>
    <row r="10" ht="25.5" customHeight="1" s="882">
      <c r="A10" s="923" t="inlineStr">
        <is>
          <t>PC LINE ITEM NO.</t>
        </is>
      </c>
      <c r="B10" s="923" t="inlineStr">
        <is>
          <t>MATERIAL REQUISITION</t>
        </is>
      </c>
      <c r="C10" s="923" t="inlineStr">
        <is>
          <t>SAP MATERIAL NUMBER</t>
        </is>
      </c>
      <c r="D10" s="924" t="inlineStr">
        <is>
          <t>ADNOC DESCRIPTION</t>
        </is>
      </c>
      <c r="E10" s="924" t="inlineStr">
        <is>
          <t>WEATHERFORD
Part No:</t>
        </is>
      </c>
      <c r="F10" s="924" t="inlineStr">
        <is>
          <t>Serial Number</t>
        </is>
      </c>
      <c r="G10" s="924" t="inlineStr">
        <is>
          <t>DESCRIPTION</t>
        </is>
      </c>
      <c r="H10" s="924" t="inlineStr">
        <is>
          <t>QUANTITY</t>
        </is>
      </c>
      <c r="I10" s="925" t="inlineStr">
        <is>
          <t>COMMENTS</t>
        </is>
      </c>
    </row>
    <row r="11" ht="44.25" customFormat="1" customHeight="1" s="926">
      <c r="A11" s="927" t="inlineStr">
        <is>
          <t>N/A</t>
        </is>
      </c>
      <c r="B11" s="927" t="inlineStr">
        <is>
          <t>N/A</t>
        </is>
      </c>
      <c r="C11" s="928" t="inlineStr">
        <is>
          <t>N/A</t>
        </is>
      </c>
      <c r="D11" s="927" t="inlineStr">
        <is>
          <t>BASKET, EQUIPMENT OFFSHORE</t>
        </is>
      </c>
      <c r="E11" s="929" t="inlineStr">
        <is>
          <t>237531</t>
        </is>
      </c>
      <c r="F11" s="929" t="inlineStr">
        <is>
          <t>CON-TAC21-06</t>
        </is>
      </c>
      <c r="G11" s="927" t="inlineStr">
        <is>
          <t>BASKET, EQUIPMENT OFFSHORE</t>
        </is>
      </c>
      <c r="H11" s="929" t="n">
        <v>1</v>
      </c>
      <c r="I11" s="929" t="inlineStr">
        <is>
          <t>SUCCESSFULLY RIH</t>
        </is>
      </c>
    </row>
    <row r="12" ht="44.25" customFormat="1" customHeight="1" s="926">
      <c r="A12" s="927" t="inlineStr">
        <is>
          <t>N/A</t>
        </is>
      </c>
      <c r="B12" s="927" t="inlineStr">
        <is>
          <t>N/A</t>
        </is>
      </c>
      <c r="C12" s="928" t="inlineStr">
        <is>
          <t>N/A</t>
        </is>
      </c>
      <c r="D12" s="927" t="inlineStr">
        <is>
          <t>TOOLBOX, OFFSHORE - WELLSITE</t>
        </is>
      </c>
      <c r="E12" s="929" t="inlineStr">
        <is>
          <t>3027199</t>
        </is>
      </c>
      <c r="F12" s="929" t="inlineStr">
        <is>
          <t>RZ060-012</t>
        </is>
      </c>
      <c r="G12" s="927" t="inlineStr">
        <is>
          <t>TOOLBOX, OFFSHORE - WELLSITE</t>
        </is>
      </c>
      <c r="H12" s="929" t="n">
        <v>1</v>
      </c>
      <c r="I12" s="929" t="inlineStr">
        <is>
          <t>SUCCESSFULLY RIH</t>
        </is>
      </c>
    </row>
    <row r="13" ht="44.25" customFormat="1" customHeight="1" s="926">
      <c r="A13" s="927" t="inlineStr">
        <is>
          <t>N/A</t>
        </is>
      </c>
      <c r="B13" s="927" t="inlineStr">
        <is>
          <t>N/A</t>
        </is>
      </c>
      <c r="C13" s="928" t="inlineStr">
        <is>
          <t>N/A</t>
        </is>
      </c>
      <c r="D13" s="927" t="inlineStr">
        <is>
          <t>PUMP, HYDRAULIC</t>
        </is>
      </c>
      <c r="E13" s="929" t="inlineStr">
        <is>
          <t>300340</t>
        </is>
      </c>
      <c r="F13" s="929" t="inlineStr">
        <is>
          <t>3254409</t>
        </is>
      </c>
      <c r="G13" s="927" t="inlineStr">
        <is>
          <t>PUMP, HYDRAULIC</t>
        </is>
      </c>
      <c r="H13" s="929" t="n">
        <v>1</v>
      </c>
      <c r="I13" s="929" t="inlineStr">
        <is>
          <t>SUCCESSFULLY RIH</t>
        </is>
      </c>
    </row>
    <row r="14" ht="44.25" customFormat="1" customHeight="1" s="926"/>
    <row r="15" ht="44.25" customHeight="1" s="882"/>
    <row r="16" ht="44.25" customHeight="1" s="882"/>
    <row r="17" ht="44.25" customHeight="1" s="882"/>
  </sheetData>
  <mergeCells count="23">
    <mergeCell ref="C6:D6"/>
    <mergeCell ref="C5:D5"/>
    <mergeCell ref="H1:I1"/>
    <mergeCell ref="A6:B6"/>
    <mergeCell ref="C4:D4"/>
    <mergeCell ref="A7:B7"/>
    <mergeCell ref="F4:I4"/>
    <mergeCell ref="C1:G1"/>
    <mergeCell ref="A3:B3"/>
    <mergeCell ref="F6:I6"/>
    <mergeCell ref="A2:B2"/>
    <mergeCell ref="A8:A9"/>
    <mergeCell ref="C2:D2"/>
    <mergeCell ref="E8:H8"/>
    <mergeCell ref="F7:I7"/>
    <mergeCell ref="F3:I3"/>
    <mergeCell ref="A5:B5"/>
    <mergeCell ref="F5:I5"/>
    <mergeCell ref="A4:B4"/>
    <mergeCell ref="E9:H9"/>
    <mergeCell ref="C7:D7"/>
    <mergeCell ref="F2:I2"/>
    <mergeCell ref="C3:D3"/>
  </mergeCells>
  <printOptions horizontalCentered="0" verticalCentered="0" headings="0" gridLines="0" gridLinesSet="1"/>
  <pageMargins left="0.7" right="0.7" top="0.75" bottom="0.75" header="0.511811023622047" footer="0.511811023622047"/>
  <pageSetup orientation="landscape" paperSize="9" scale="100" fitToHeight="0" fitToWidth="1" pageOrder="downThenOver" blackAndWhite="0" draft="0" horizontalDpi="300" verticalDpi="300" copies="1"/>
  <drawing xmlns:r="http://schemas.openxmlformats.org/officeDocument/2006/relationships" r:id="rId1"/>
</worksheet>
</file>

<file path=xl/worksheets/sheet2.xml><?xml version="1.0" encoding="utf-8"?>
<worksheet xmlns="http://schemas.openxmlformats.org/spreadsheetml/2006/main">
  <sheetPr filterMode="0">
    <tabColor rgb="FFDEEBF7"/>
    <outlinePr summaryBelow="1" summaryRight="1"/>
    <pageSetUpPr fitToPage="0"/>
  </sheetPr>
  <dimension ref="A1:I24"/>
  <sheetViews>
    <sheetView showFormulas="0" showGridLines="1" showRowColHeaders="1" showZeros="1" rightToLeft="0" tabSelected="0" showOutlineSymbols="1" defaultGridColor="1" view="pageBreakPreview" topLeftCell="A1" colorId="64" zoomScale="140" zoomScaleNormal="110" zoomScalePageLayoutView="140" workbookViewId="0">
      <selection pane="topLeft" activeCell="E16" activeCellId="0" sqref="A11:S58"/>
    </sheetView>
  </sheetViews>
  <sheetFormatPr baseColWidth="8" defaultColWidth="8.59765625" defaultRowHeight="14.25" customHeight="0" zeroHeight="0" outlineLevelRow="0"/>
  <cols>
    <col width="22.11" customWidth="1" style="930" min="1" max="1"/>
    <col width="30.11" customWidth="1" style="930" min="2" max="2"/>
    <col width="4.22" customWidth="1" style="930" min="3" max="3"/>
    <col width="24" customWidth="1" style="930" min="4" max="4"/>
    <col width="29.44" customWidth="1" style="930" min="5" max="5"/>
    <col width="4.22" customWidth="1" style="931" min="6" max="6"/>
    <col width="12.89" customWidth="1" style="930" min="7" max="7"/>
    <col width="22.44" customWidth="1" style="930" min="8" max="8"/>
    <col width="14.11" customWidth="1" style="930" min="9" max="9"/>
  </cols>
  <sheetData>
    <row r="1" ht="17.35" customHeight="1" s="882">
      <c r="A1" s="932" t="inlineStr">
        <is>
          <t>Master Data Imput</t>
        </is>
      </c>
    </row>
    <row r="3" ht="39" customFormat="1" customHeight="1" s="933">
      <c r="A3" s="934" t="inlineStr">
        <is>
          <t>Customer Name</t>
        </is>
      </c>
      <c r="B3" s="935">
        <f>'MS2'!$C$2</f>
        <v/>
      </c>
      <c r="D3" s="934" t="inlineStr">
        <is>
          <t>Job Type</t>
        </is>
      </c>
      <c r="E3" s="936" t="inlineStr">
        <is>
          <t>3-1/2" Single Oil Producer, Alloy-28 Tubing,</t>
        </is>
      </c>
      <c r="F3" s="937" t="n"/>
      <c r="G3" s="938" t="inlineStr">
        <is>
          <t>Lead Engineer</t>
        </is>
      </c>
      <c r="H3" s="939">
        <f>'MS2'!$F$6</f>
        <v/>
      </c>
      <c r="I3" s="940" t="inlineStr">
        <is>
          <t>Field Supervisor</t>
        </is>
      </c>
    </row>
    <row r="4" ht="24" customHeight="1" s="882">
      <c r="A4" s="941" t="inlineStr">
        <is>
          <t>ADNOC Rep.</t>
        </is>
      </c>
      <c r="B4" s="942" t="n"/>
      <c r="D4" s="941" t="inlineStr">
        <is>
          <t>Work Description</t>
        </is>
      </c>
      <c r="E4" s="936" t="inlineStr">
        <is>
          <t>RIH COMPLETION</t>
        </is>
      </c>
      <c r="G4" s="943" t="inlineStr">
        <is>
          <t>Crew 1</t>
        </is>
      </c>
      <c r="H4" s="935" t="inlineStr">
        <is>
          <t>Ibrahim Gad</t>
        </is>
      </c>
      <c r="I4" s="944" t="inlineStr">
        <is>
          <t>TRSV Engineer</t>
        </is>
      </c>
    </row>
    <row r="5" ht="14.25" customHeight="1" s="882">
      <c r="A5" s="943" t="inlineStr">
        <is>
          <t>ADNOC Rep. Phone</t>
        </is>
      </c>
      <c r="B5" s="945" t="n">
        <v>971508126221</v>
      </c>
      <c r="D5" s="943" t="inlineStr">
        <is>
          <t>Field</t>
        </is>
      </c>
      <c r="E5" s="946" t="n"/>
      <c r="G5" s="941" t="inlineStr">
        <is>
          <t>Crew 2</t>
        </is>
      </c>
      <c r="H5" s="939">
        <f>'MS2'!$F$6</f>
        <v/>
      </c>
      <c r="I5" s="944" t="inlineStr">
        <is>
          <t>TRSV Engineer</t>
        </is>
      </c>
    </row>
    <row r="6" ht="14.25" customHeight="1" s="882">
      <c r="A6" s="943" t="n"/>
      <c r="B6" s="945" t="n"/>
      <c r="D6" s="943" t="n"/>
      <c r="E6" s="946" t="n"/>
      <c r="G6" s="941" t="inlineStr">
        <is>
          <t>Crew 3</t>
        </is>
      </c>
      <c r="H6" s="935" t="inlineStr">
        <is>
          <t>Ibrahim Gad</t>
        </is>
      </c>
      <c r="I6" s="944" t="inlineStr">
        <is>
          <t>TRSV Engineer</t>
        </is>
      </c>
    </row>
    <row r="7" ht="14.25" customHeight="1" s="882">
      <c r="A7" s="941" t="n"/>
      <c r="B7" s="947" t="n"/>
      <c r="D7" s="943" t="n"/>
      <c r="E7" s="946" t="n"/>
      <c r="G7" s="941" t="inlineStr">
        <is>
          <t>Crew 4</t>
        </is>
      </c>
      <c r="H7" s="939">
        <f>'MS2'!$F$6</f>
        <v/>
      </c>
      <c r="I7" s="944" t="inlineStr">
        <is>
          <t>TRSV Engineer</t>
        </is>
      </c>
    </row>
    <row r="8" ht="14.25" customHeight="1" s="882">
      <c r="A8" s="943" t="inlineStr">
        <is>
          <t>ADNOC Rep. Phone</t>
        </is>
      </c>
      <c r="B8" s="945" t="n">
        <v>971508126221</v>
      </c>
      <c r="D8" s="943" t="inlineStr">
        <is>
          <t>Field</t>
        </is>
      </c>
      <c r="E8" s="946" t="inlineStr">
        <is>
          <t>BAB</t>
        </is>
      </c>
      <c r="G8" s="941" t="inlineStr">
        <is>
          <t>Crew 5</t>
        </is>
      </c>
      <c r="H8" s="935" t="inlineStr">
        <is>
          <t>Ibrahim Gad</t>
        </is>
      </c>
      <c r="I8" s="944" t="inlineStr">
        <is>
          <t>TRSV Engineer</t>
        </is>
      </c>
    </row>
    <row r="9" ht="14.25" customHeight="1" s="882">
      <c r="A9" s="943" t="inlineStr">
        <is>
          <t>ADNOC Rep. Phone</t>
        </is>
      </c>
      <c r="B9" s="945" t="n">
        <v>971508126221</v>
      </c>
      <c r="D9" s="943" t="inlineStr">
        <is>
          <t>Field</t>
        </is>
      </c>
      <c r="E9" s="946" t="inlineStr">
        <is>
          <t>BAB</t>
        </is>
      </c>
      <c r="G9" s="941" t="inlineStr">
        <is>
          <t>Crew 6</t>
        </is>
      </c>
      <c r="H9" s="939">
        <f>'MS2'!$F$6</f>
        <v/>
      </c>
      <c r="I9" s="944" t="inlineStr">
        <is>
          <t>TRSV Engineer</t>
        </is>
      </c>
    </row>
    <row r="10" ht="14.25" customHeight="1" s="882">
      <c r="A10" s="941" t="inlineStr">
        <is>
          <t>Contract #</t>
        </is>
      </c>
      <c r="B10" s="947">
        <f>'MS2'!$C$3</f>
        <v/>
      </c>
      <c r="D10" s="941" t="inlineStr">
        <is>
          <t>Well</t>
        </is>
      </c>
      <c r="E10" s="948">
        <f>'MS2'!I9</f>
        <v/>
      </c>
      <c r="G10" s="943" t="n"/>
      <c r="H10" s="935" t="inlineStr">
        <is>
          <t>Ibrahim Gad</t>
        </is>
      </c>
      <c r="I10" s="944" t="inlineStr">
        <is>
          <t>TRSV Engineer</t>
        </is>
      </c>
    </row>
    <row r="11" ht="14.25" customHeight="1" s="882">
      <c r="A11" s="949" t="inlineStr">
        <is>
          <t>Customer RO #:</t>
        </is>
      </c>
      <c r="B11" s="950">
        <f>'MS2'!$F$5</f>
        <v/>
      </c>
      <c r="D11" s="943" t="inlineStr">
        <is>
          <t>RIG</t>
        </is>
      </c>
      <c r="E11" s="951">
        <f>'MS2'!I8</f>
        <v/>
      </c>
      <c r="G11" s="941" t="n"/>
      <c r="H11" s="942" t="n"/>
      <c r="I11" s="944" t="inlineStr">
        <is>
          <t>TRSV Engineer</t>
        </is>
      </c>
    </row>
    <row r="12" ht="14.25" customHeight="1" s="882">
      <c r="A12" s="943" t="inlineStr">
        <is>
          <t>Number of Days in RO</t>
        </is>
      </c>
      <c r="B12" s="952" t="n">
        <v>11</v>
      </c>
      <c r="D12" s="941" t="inlineStr">
        <is>
          <t>Date and time for Arrival</t>
        </is>
      </c>
      <c r="E12" s="953">
        <f t="array" ref="E12:F12">'MS2'!C4:D4</f>
        <v/>
      </c>
      <c r="F12" s="931" t="n">
        <v>0</v>
      </c>
      <c r="G12" s="943" t="n"/>
      <c r="H12" s="935" t="n"/>
      <c r="I12" s="944" t="n"/>
    </row>
    <row r="13" ht="14.25" customHeight="1" s="882">
      <c r="D13" s="943" t="inlineStr">
        <is>
          <t>Date and time for Job Start</t>
        </is>
      </c>
      <c r="E13" s="953">
        <f>E12</f>
        <v/>
      </c>
      <c r="G13" s="941" t="n"/>
      <c r="H13" s="942" t="n"/>
      <c r="I13" s="940" t="n"/>
    </row>
    <row r="14" ht="14.25" customHeight="1" s="882">
      <c r="A14" s="943" t="inlineStr">
        <is>
          <t>Customer (Contractor) #</t>
        </is>
      </c>
      <c r="B14" s="952" t="n"/>
      <c r="D14" s="941" t="inlineStr">
        <is>
          <t>Date and time for Job End</t>
        </is>
      </c>
      <c r="E14" s="953">
        <f t="array" ref="E14:F14">'MS2'!C5:D5</f>
        <v/>
      </c>
      <c r="F14" s="931" t="n">
        <v>0</v>
      </c>
      <c r="G14" s="943" t="n"/>
      <c r="H14" s="935" t="n"/>
      <c r="I14" s="944" t="n"/>
    </row>
    <row r="15" ht="14.25" customHeight="1" s="882">
      <c r="A15" s="943" t="inlineStr">
        <is>
          <t>Service DT</t>
        </is>
      </c>
      <c r="B15" s="952">
        <f t="array" ref="B15:C15">'MS2'!H1:I1</f>
        <v/>
      </c>
      <c r="C15" s="930" t="n">
        <v>0</v>
      </c>
      <c r="D15" s="943" t="inlineStr">
        <is>
          <t>Date and time for Leave</t>
        </is>
      </c>
      <c r="E15" s="953">
        <f>E14</f>
        <v/>
      </c>
      <c r="G15" s="941" t="n"/>
      <c r="H15" s="942" t="n"/>
      <c r="I15" s="940" t="n"/>
    </row>
    <row r="16" ht="14.25" customHeight="1" s="882">
      <c r="A16" s="943" t="inlineStr">
        <is>
          <t>WPTS #</t>
        </is>
      </c>
      <c r="B16" s="952" t="n"/>
      <c r="D16" s="941" t="inlineStr">
        <is>
          <t>Total Time Hrs</t>
        </is>
      </c>
      <c r="E16" s="948" t="n">
        <v>90</v>
      </c>
      <c r="G16" s="943" t="n"/>
      <c r="H16" s="935" t="n"/>
      <c r="I16" s="944" t="n"/>
    </row>
    <row r="17" ht="14.25" customHeight="1" s="882">
      <c r="D17" s="943" t="inlineStr">
        <is>
          <t>Operational Time Hrs</t>
        </is>
      </c>
      <c r="E17" s="951" t="n">
        <v>87</v>
      </c>
      <c r="G17" s="941" t="n"/>
      <c r="H17" s="954" t="n"/>
      <c r="I17" s="955" t="n"/>
    </row>
    <row r="18" ht="14.25" customHeight="1" s="882">
      <c r="A18" s="943" t="inlineStr">
        <is>
          <t>Company</t>
        </is>
      </c>
      <c r="B18" s="952" t="inlineStr">
        <is>
          <t>Weatherford Bin Hamoodah L.L.C</t>
        </is>
      </c>
      <c r="D18" s="941" t="inlineStr">
        <is>
          <t>Lost Time (NPT)</t>
        </is>
      </c>
      <c r="E18" s="948" t="n">
        <v>0</v>
      </c>
      <c r="G18" s="943" t="n"/>
      <c r="H18" s="935" t="n"/>
      <c r="I18" s="944" t="n"/>
    </row>
    <row r="19" ht="14.25" customHeight="1" s="882">
      <c r="A19" s="941" t="inlineStr">
        <is>
          <t>WFT Contact Name</t>
        </is>
      </c>
      <c r="B19" s="948" t="inlineStr">
        <is>
          <t>Mohamed Massood</t>
        </is>
      </c>
      <c r="D19" s="943" t="inlineStr">
        <is>
          <t>Runs</t>
        </is>
      </c>
      <c r="E19" s="951" t="n">
        <v>1</v>
      </c>
      <c r="G19" s="941" t="n"/>
      <c r="H19" s="954" t="n"/>
      <c r="I19" s="955" t="n"/>
    </row>
    <row r="20" ht="14.25" customHeight="1" s="882">
      <c r="A20" s="943" t="inlineStr">
        <is>
          <t>WFT Contact Phone #</t>
        </is>
      </c>
      <c r="B20" s="956" t="n">
        <v>971547926323</v>
      </c>
      <c r="D20" s="941" t="inlineStr">
        <is>
          <t>Miss Runs</t>
        </is>
      </c>
      <c r="E20" s="948" t="n">
        <v>0</v>
      </c>
    </row>
    <row r="21" ht="14.25" customHeight="1" s="882">
      <c r="A21" s="941" t="inlineStr">
        <is>
          <t>WFT Supervisor</t>
        </is>
      </c>
      <c r="B21" s="939" t="inlineStr">
        <is>
          <t xml:space="preserve">Mahmoud Ali </t>
        </is>
      </c>
    </row>
    <row r="22" ht="14.25" customHeight="1" s="882">
      <c r="A22" s="943" t="inlineStr">
        <is>
          <t>WFT Supervisor Phone #</t>
        </is>
      </c>
      <c r="B22" s="957" t="n">
        <v>971567203838</v>
      </c>
    </row>
    <row r="23" ht="14.25" customHeight="1" s="882">
      <c r="D23" s="943" t="inlineStr">
        <is>
          <t>Backload Sent</t>
        </is>
      </c>
      <c r="E23" s="958">
        <f>E15</f>
        <v/>
      </c>
    </row>
    <row r="24" ht="14.25" customHeight="1" s="882">
      <c r="A24" s="941" t="inlineStr">
        <is>
          <t>PO Asociated</t>
        </is>
      </c>
      <c r="B24" s="947" t="inlineStr">
        <is>
          <t>Q-74878</t>
        </is>
      </c>
      <c r="D24" s="941" t="inlineStr">
        <is>
          <t>Documents Signed Date</t>
        </is>
      </c>
      <c r="E24" s="958">
        <f>E23</f>
        <v/>
      </c>
    </row>
  </sheetData>
  <dataValidations count="1">
    <dataValidation sqref="B3:D3" showDropDown="0" showInputMessage="1" showErrorMessage="1" allowBlank="1" type="list" errorStyle="stop" operator="between">
      <formula1>"ADNOC ONSHORE,ADNOC OFFSHORE"</formula1>
      <formula2>0</formula2>
    </dataValidation>
  </dataValidations>
  <printOptions horizontalCentered="0" verticalCentered="0" headings="0" gridLines="0" gridLinesSet="1"/>
  <pageMargins left="0.7" right="0.7" top="0.75" bottom="0.75" header="0.511811023622047" footer="0.511811023622047"/>
  <pageSetup orientation="portrait" paperSize="9" scale="53" fitToHeight="1" fitToWidth="1" pageOrder="downThenOver" blackAndWhite="0" draft="0" horizontalDpi="300" verticalDpi="300" copies="1"/>
  <legacyDrawing xmlns:r="http://schemas.openxmlformats.org/officeDocument/2006/relationships" r:id="anysvml"/>
</worksheet>
</file>

<file path=xl/worksheets/sheet3.xml><?xml version="1.0" encoding="utf-8"?>
<worksheet xmlns="http://schemas.openxmlformats.org/spreadsheetml/2006/main">
  <sheetPr filterMode="0">
    <tabColor rgb="FFFBE5D6"/>
    <outlinePr summaryBelow="1" summaryRight="1"/>
    <pageSetUpPr fitToPage="1"/>
  </sheetPr>
  <dimension ref="A1:AL107"/>
  <sheetViews>
    <sheetView showFormulas="0" showGridLines="1" showRowColHeaders="1" showZeros="1" rightToLeft="0" tabSelected="1" showOutlineSymbols="1" defaultGridColor="1" view="pageBreakPreview" topLeftCell="A1" colorId="64" zoomScale="140" zoomScaleNormal="100" zoomScalePageLayoutView="140" workbookViewId="0">
      <selection pane="topLeft" activeCell="A11" activeCellId="0" sqref="A11:S58"/>
    </sheetView>
  </sheetViews>
  <sheetFormatPr baseColWidth="8" defaultColWidth="9.11328125" defaultRowHeight="12" customHeight="0" zeroHeight="0" outlineLevelRow="0"/>
  <cols>
    <col width="4.55" customWidth="1" style="959" min="1" max="1"/>
    <col width="5" customWidth="1" style="959" min="2" max="2"/>
    <col width="3.45" customWidth="1" style="959" min="3" max="3"/>
    <col width="9.66" customWidth="1" style="959" min="4" max="4"/>
    <col width="5.44" customWidth="1" style="959" min="5" max="5"/>
    <col width="8.890000000000001" customWidth="1" style="959" min="6" max="12"/>
    <col width="7.33" customWidth="1" style="959" min="13" max="13"/>
    <col width="2.67" customWidth="1" style="959" min="14" max="14"/>
    <col width="3.45" customWidth="1" style="959" min="15" max="15"/>
    <col width="6" customWidth="1" style="959" min="16" max="16"/>
    <col width="6.34" customWidth="1" style="959" min="17" max="17"/>
    <col width="6.56" customWidth="1" style="959" min="18" max="18"/>
    <col width="31.33" customWidth="1" style="959" min="19" max="19"/>
    <col width="9.109999999999999" customWidth="1" style="959" min="20" max="131"/>
    <col width="7.33" customWidth="1" style="959" min="132" max="132"/>
    <col width="5" customWidth="1" style="959" min="133" max="133"/>
    <col width="5.44" customWidth="1" style="959" min="134" max="134"/>
    <col width="9.66" customWidth="1" style="959" min="135" max="135"/>
    <col width="5.44" customWidth="1" style="959" min="136" max="136"/>
    <col width="2" customWidth="1" style="959" min="137" max="137"/>
    <col width="7.55" customWidth="1" style="959" min="138" max="138"/>
    <col width="8.67" customWidth="1" style="959" min="139" max="139"/>
    <col width="4.67" customWidth="1" style="959" min="140" max="140"/>
    <col width="8.67" customWidth="1" style="959" min="141" max="141"/>
    <col width="6" customWidth="1" style="959" min="142" max="142"/>
    <col width="6.34" customWidth="1" style="959" min="143" max="143"/>
    <col width="8.67" customWidth="1" style="959" min="144" max="144"/>
    <col width="3.45" customWidth="1" style="959" min="145" max="145"/>
    <col width="3" customWidth="1" style="959" min="146" max="146"/>
    <col width="4.33" customWidth="1" style="959" min="147" max="147"/>
    <col width="5.56" customWidth="1" style="959" min="148" max="148"/>
    <col width="4.67" customWidth="1" style="959" min="149" max="149"/>
    <col width="15.45" customWidth="1" style="959" min="150" max="150"/>
    <col width="9.109999999999999" customWidth="1" style="959" min="151" max="154"/>
    <col width="10.44" customWidth="1" style="959" min="155" max="155"/>
    <col width="18" customWidth="1" style="959" min="156" max="156"/>
    <col width="9.109999999999999" customWidth="1" style="959" min="157" max="387"/>
    <col width="7.33" customWidth="1" style="959" min="388" max="388"/>
    <col width="5" customWidth="1" style="959" min="389" max="389"/>
    <col width="5.44" customWidth="1" style="959" min="390" max="390"/>
    <col width="9.66" customWidth="1" style="959" min="391" max="391"/>
    <col width="5.44" customWidth="1" style="959" min="392" max="392"/>
    <col width="2" customWidth="1" style="959" min="393" max="393"/>
    <col width="7.55" customWidth="1" style="959" min="394" max="394"/>
    <col width="8.67" customWidth="1" style="959" min="395" max="395"/>
    <col width="4.67" customWidth="1" style="959" min="396" max="396"/>
    <col width="8.67" customWidth="1" style="959" min="397" max="397"/>
    <col width="6" customWidth="1" style="959" min="398" max="398"/>
    <col width="6.34" customWidth="1" style="959" min="399" max="399"/>
    <col width="8.67" customWidth="1" style="959" min="400" max="400"/>
    <col width="3.45" customWidth="1" style="959" min="401" max="401"/>
    <col width="3" customWidth="1" style="959" min="402" max="402"/>
    <col width="4.33" customWidth="1" style="959" min="403" max="403"/>
    <col width="5.56" customWidth="1" style="959" min="404" max="404"/>
    <col width="4.67" customWidth="1" style="959" min="405" max="405"/>
    <col width="15.45" customWidth="1" style="959" min="406" max="406"/>
    <col width="9.109999999999999" customWidth="1" style="959" min="407" max="410"/>
    <col width="10.44" customWidth="1" style="959" min="411" max="411"/>
    <col width="18" customWidth="1" style="959" min="412" max="412"/>
    <col width="9.109999999999999" customWidth="1" style="959" min="413" max="643"/>
    <col width="7.33" customWidth="1" style="959" min="644" max="644"/>
    <col width="5" customWidth="1" style="959" min="645" max="645"/>
    <col width="5.44" customWidth="1" style="959" min="646" max="646"/>
    <col width="9.66" customWidth="1" style="959" min="647" max="647"/>
    <col width="5.44" customWidth="1" style="959" min="648" max="648"/>
    <col width="2" customWidth="1" style="959" min="649" max="649"/>
    <col width="7.55" customWidth="1" style="959" min="650" max="650"/>
    <col width="8.67" customWidth="1" style="959" min="651" max="651"/>
    <col width="4.67" customWidth="1" style="959" min="652" max="652"/>
    <col width="8.67" customWidth="1" style="959" min="653" max="653"/>
    <col width="6" customWidth="1" style="959" min="654" max="654"/>
    <col width="6.34" customWidth="1" style="959" min="655" max="655"/>
    <col width="8.67" customWidth="1" style="959" min="656" max="656"/>
    <col width="3.45" customWidth="1" style="959" min="657" max="657"/>
    <col width="3" customWidth="1" style="959" min="658" max="658"/>
    <col width="4.33" customWidth="1" style="959" min="659" max="659"/>
    <col width="5.56" customWidth="1" style="959" min="660" max="660"/>
    <col width="4.67" customWidth="1" style="959" min="661" max="661"/>
    <col width="15.45" customWidth="1" style="959" min="662" max="662"/>
    <col width="9.109999999999999" customWidth="1" style="959" min="663" max="666"/>
    <col width="10.44" customWidth="1" style="959" min="667" max="667"/>
    <col width="18" customWidth="1" style="959" min="668" max="668"/>
    <col width="9.109999999999999" customWidth="1" style="959" min="669" max="899"/>
    <col width="7.33" customWidth="1" style="959" min="900" max="900"/>
    <col width="5" customWidth="1" style="959" min="901" max="901"/>
    <col width="5.44" customWidth="1" style="959" min="902" max="902"/>
    <col width="9.66" customWidth="1" style="959" min="903" max="903"/>
    <col width="5.44" customWidth="1" style="959" min="904" max="904"/>
    <col width="2" customWidth="1" style="959" min="905" max="905"/>
    <col width="7.55" customWidth="1" style="959" min="906" max="906"/>
    <col width="8.67" customWidth="1" style="959" min="907" max="907"/>
    <col width="4.67" customWidth="1" style="959" min="908" max="908"/>
    <col width="8.67" customWidth="1" style="959" min="909" max="909"/>
    <col width="6" customWidth="1" style="959" min="910" max="910"/>
    <col width="6.34" customWidth="1" style="959" min="911" max="911"/>
    <col width="8.67" customWidth="1" style="959" min="912" max="912"/>
    <col width="3.45" customWidth="1" style="959" min="913" max="913"/>
    <col width="3" customWidth="1" style="959" min="914" max="914"/>
    <col width="4.33" customWidth="1" style="959" min="915" max="915"/>
    <col width="5.56" customWidth="1" style="959" min="916" max="916"/>
    <col width="4.67" customWidth="1" style="959" min="917" max="917"/>
    <col width="15.45" customWidth="1" style="959" min="918" max="918"/>
    <col width="9.109999999999999" customWidth="1" style="959" min="919" max="922"/>
    <col width="10.44" customWidth="1" style="959" min="923" max="923"/>
    <col width="18" customWidth="1" style="959" min="924" max="924"/>
    <col width="9.109999999999999" customWidth="1" style="959" min="925" max="1155"/>
    <col width="7.33" customWidth="1" style="959" min="1156" max="1156"/>
    <col width="5" customWidth="1" style="959" min="1157" max="1157"/>
    <col width="5.44" customWidth="1" style="959" min="1158" max="1158"/>
    <col width="9.66" customWidth="1" style="959" min="1159" max="1159"/>
    <col width="5.44" customWidth="1" style="959" min="1160" max="1160"/>
    <col width="2" customWidth="1" style="959" min="1161" max="1161"/>
    <col width="7.55" customWidth="1" style="959" min="1162" max="1162"/>
    <col width="8.67" customWidth="1" style="959" min="1163" max="1163"/>
    <col width="4.67" customWidth="1" style="959" min="1164" max="1164"/>
    <col width="8.67" customWidth="1" style="959" min="1165" max="1165"/>
    <col width="6" customWidth="1" style="959" min="1166" max="1166"/>
    <col width="6.34" customWidth="1" style="959" min="1167" max="1167"/>
    <col width="8.67" customWidth="1" style="959" min="1168" max="1168"/>
    <col width="3.45" customWidth="1" style="959" min="1169" max="1169"/>
    <col width="3" customWidth="1" style="959" min="1170" max="1170"/>
    <col width="4.33" customWidth="1" style="959" min="1171" max="1171"/>
    <col width="5.56" customWidth="1" style="959" min="1172" max="1172"/>
    <col width="4.67" customWidth="1" style="959" min="1173" max="1173"/>
    <col width="15.45" customWidth="1" style="959" min="1174" max="1174"/>
    <col width="9.109999999999999" customWidth="1" style="959" min="1175" max="1178"/>
    <col width="10.44" customWidth="1" style="959" min="1179" max="1179"/>
    <col width="18" customWidth="1" style="959" min="1180" max="1180"/>
    <col width="9.109999999999999" customWidth="1" style="959" min="1181" max="1411"/>
    <col width="7.33" customWidth="1" style="959" min="1412" max="1412"/>
    <col width="5" customWidth="1" style="959" min="1413" max="1413"/>
    <col width="5.44" customWidth="1" style="959" min="1414" max="1414"/>
    <col width="9.66" customWidth="1" style="959" min="1415" max="1415"/>
    <col width="5.44" customWidth="1" style="959" min="1416" max="1416"/>
    <col width="2" customWidth="1" style="959" min="1417" max="1417"/>
    <col width="7.55" customWidth="1" style="959" min="1418" max="1418"/>
    <col width="8.67" customWidth="1" style="959" min="1419" max="1419"/>
    <col width="4.67" customWidth="1" style="959" min="1420" max="1420"/>
    <col width="8.67" customWidth="1" style="959" min="1421" max="1421"/>
    <col width="6" customWidth="1" style="959" min="1422" max="1422"/>
    <col width="6.34" customWidth="1" style="959" min="1423" max="1423"/>
    <col width="8.67" customWidth="1" style="959" min="1424" max="1424"/>
    <col width="3.45" customWidth="1" style="959" min="1425" max="1425"/>
    <col width="3" customWidth="1" style="959" min="1426" max="1426"/>
    <col width="4.33" customWidth="1" style="959" min="1427" max="1427"/>
    <col width="5.56" customWidth="1" style="959" min="1428" max="1428"/>
    <col width="4.67" customWidth="1" style="959" min="1429" max="1429"/>
    <col width="15.45" customWidth="1" style="959" min="1430" max="1430"/>
    <col width="9.109999999999999" customWidth="1" style="959" min="1431" max="1434"/>
    <col width="10.44" customWidth="1" style="959" min="1435" max="1435"/>
    <col width="18" customWidth="1" style="959" min="1436" max="1436"/>
    <col width="9.109999999999999" customWidth="1" style="959" min="1437" max="1667"/>
    <col width="7.33" customWidth="1" style="959" min="1668" max="1668"/>
    <col width="5" customWidth="1" style="959" min="1669" max="1669"/>
    <col width="5.44" customWidth="1" style="959" min="1670" max="1670"/>
    <col width="9.66" customWidth="1" style="959" min="1671" max="1671"/>
    <col width="5.44" customWidth="1" style="959" min="1672" max="1672"/>
    <col width="2" customWidth="1" style="959" min="1673" max="1673"/>
    <col width="7.55" customWidth="1" style="959" min="1674" max="1674"/>
    <col width="8.67" customWidth="1" style="959" min="1675" max="1675"/>
    <col width="4.67" customWidth="1" style="959" min="1676" max="1676"/>
    <col width="8.67" customWidth="1" style="959" min="1677" max="1677"/>
    <col width="6" customWidth="1" style="959" min="1678" max="1678"/>
    <col width="6.34" customWidth="1" style="959" min="1679" max="1679"/>
    <col width="8.67" customWidth="1" style="959" min="1680" max="1680"/>
    <col width="3.45" customWidth="1" style="959" min="1681" max="1681"/>
    <col width="3" customWidth="1" style="959" min="1682" max="1682"/>
    <col width="4.33" customWidth="1" style="959" min="1683" max="1683"/>
    <col width="5.56" customWidth="1" style="959" min="1684" max="1684"/>
    <col width="4.67" customWidth="1" style="959" min="1685" max="1685"/>
    <col width="15.45" customWidth="1" style="959" min="1686" max="1686"/>
    <col width="9.109999999999999" customWidth="1" style="959" min="1687" max="1690"/>
    <col width="10.44" customWidth="1" style="959" min="1691" max="1691"/>
    <col width="18" customWidth="1" style="959" min="1692" max="1692"/>
    <col width="9.109999999999999" customWidth="1" style="959" min="1693" max="1923"/>
    <col width="7.33" customWidth="1" style="959" min="1924" max="1924"/>
    <col width="5" customWidth="1" style="959" min="1925" max="1925"/>
    <col width="5.44" customWidth="1" style="959" min="1926" max="1926"/>
    <col width="9.66" customWidth="1" style="959" min="1927" max="1927"/>
    <col width="5.44" customWidth="1" style="959" min="1928" max="1928"/>
    <col width="2" customWidth="1" style="959" min="1929" max="1929"/>
    <col width="7.55" customWidth="1" style="959" min="1930" max="1930"/>
    <col width="8.67" customWidth="1" style="959" min="1931" max="1931"/>
    <col width="4.67" customWidth="1" style="959" min="1932" max="1932"/>
    <col width="8.67" customWidth="1" style="959" min="1933" max="1933"/>
    <col width="6" customWidth="1" style="959" min="1934" max="1934"/>
    <col width="6.34" customWidth="1" style="959" min="1935" max="1935"/>
    <col width="8.67" customWidth="1" style="959" min="1936" max="1936"/>
    <col width="3.45" customWidth="1" style="959" min="1937" max="1937"/>
    <col width="3" customWidth="1" style="959" min="1938" max="1938"/>
    <col width="4.33" customWidth="1" style="959" min="1939" max="1939"/>
    <col width="5.56" customWidth="1" style="959" min="1940" max="1940"/>
    <col width="4.67" customWidth="1" style="959" min="1941" max="1941"/>
    <col width="15.45" customWidth="1" style="959" min="1942" max="1942"/>
    <col width="9.109999999999999" customWidth="1" style="959" min="1943" max="1946"/>
    <col width="10.44" customWidth="1" style="959" min="1947" max="1947"/>
    <col width="18" customWidth="1" style="959" min="1948" max="1948"/>
    <col width="9.109999999999999" customWidth="1" style="959" min="1949" max="2179"/>
    <col width="7.33" customWidth="1" style="959" min="2180" max="2180"/>
    <col width="5" customWidth="1" style="959" min="2181" max="2181"/>
    <col width="5.44" customWidth="1" style="959" min="2182" max="2182"/>
    <col width="9.66" customWidth="1" style="959" min="2183" max="2183"/>
    <col width="5.44" customWidth="1" style="959" min="2184" max="2184"/>
    <col width="2" customWidth="1" style="959" min="2185" max="2185"/>
    <col width="7.55" customWidth="1" style="959" min="2186" max="2186"/>
    <col width="8.67" customWidth="1" style="959" min="2187" max="2187"/>
    <col width="4.67" customWidth="1" style="959" min="2188" max="2188"/>
    <col width="8.67" customWidth="1" style="959" min="2189" max="2189"/>
    <col width="6" customWidth="1" style="959" min="2190" max="2190"/>
    <col width="6.34" customWidth="1" style="959" min="2191" max="2191"/>
    <col width="8.67" customWidth="1" style="959" min="2192" max="2192"/>
    <col width="3.45" customWidth="1" style="959" min="2193" max="2193"/>
    <col width="3" customWidth="1" style="959" min="2194" max="2194"/>
    <col width="4.33" customWidth="1" style="959" min="2195" max="2195"/>
    <col width="5.56" customWidth="1" style="959" min="2196" max="2196"/>
    <col width="4.67" customWidth="1" style="959" min="2197" max="2197"/>
    <col width="15.45" customWidth="1" style="959" min="2198" max="2198"/>
    <col width="9.109999999999999" customWidth="1" style="959" min="2199" max="2202"/>
    <col width="10.44" customWidth="1" style="959" min="2203" max="2203"/>
    <col width="18" customWidth="1" style="959" min="2204" max="2204"/>
    <col width="9.109999999999999" customWidth="1" style="959" min="2205" max="2435"/>
    <col width="7.33" customWidth="1" style="959" min="2436" max="2436"/>
    <col width="5" customWidth="1" style="959" min="2437" max="2437"/>
    <col width="5.44" customWidth="1" style="959" min="2438" max="2438"/>
    <col width="9.66" customWidth="1" style="959" min="2439" max="2439"/>
    <col width="5.44" customWidth="1" style="959" min="2440" max="2440"/>
    <col width="2" customWidth="1" style="959" min="2441" max="2441"/>
    <col width="7.55" customWidth="1" style="959" min="2442" max="2442"/>
    <col width="8.67" customWidth="1" style="959" min="2443" max="2443"/>
    <col width="4.67" customWidth="1" style="959" min="2444" max="2444"/>
    <col width="8.67" customWidth="1" style="959" min="2445" max="2445"/>
    <col width="6" customWidth="1" style="959" min="2446" max="2446"/>
    <col width="6.34" customWidth="1" style="959" min="2447" max="2447"/>
    <col width="8.67" customWidth="1" style="959" min="2448" max="2448"/>
    <col width="3.45" customWidth="1" style="959" min="2449" max="2449"/>
    <col width="3" customWidth="1" style="959" min="2450" max="2450"/>
    <col width="4.33" customWidth="1" style="959" min="2451" max="2451"/>
    <col width="5.56" customWidth="1" style="959" min="2452" max="2452"/>
    <col width="4.67" customWidth="1" style="959" min="2453" max="2453"/>
    <col width="15.45" customWidth="1" style="959" min="2454" max="2454"/>
    <col width="9.109999999999999" customWidth="1" style="959" min="2455" max="2458"/>
    <col width="10.44" customWidth="1" style="959" min="2459" max="2459"/>
    <col width="18" customWidth="1" style="959" min="2460" max="2460"/>
    <col width="9.109999999999999" customWidth="1" style="959" min="2461" max="2691"/>
    <col width="7.33" customWidth="1" style="959" min="2692" max="2692"/>
    <col width="5" customWidth="1" style="959" min="2693" max="2693"/>
    <col width="5.44" customWidth="1" style="959" min="2694" max="2694"/>
    <col width="9.66" customWidth="1" style="959" min="2695" max="2695"/>
    <col width="5.44" customWidth="1" style="959" min="2696" max="2696"/>
    <col width="2" customWidth="1" style="959" min="2697" max="2697"/>
    <col width="7.55" customWidth="1" style="959" min="2698" max="2698"/>
    <col width="8.67" customWidth="1" style="959" min="2699" max="2699"/>
    <col width="4.67" customWidth="1" style="959" min="2700" max="2700"/>
    <col width="8.67" customWidth="1" style="959" min="2701" max="2701"/>
    <col width="6" customWidth="1" style="959" min="2702" max="2702"/>
    <col width="6.34" customWidth="1" style="959" min="2703" max="2703"/>
    <col width="8.67" customWidth="1" style="959" min="2704" max="2704"/>
    <col width="3.45" customWidth="1" style="959" min="2705" max="2705"/>
    <col width="3" customWidth="1" style="959" min="2706" max="2706"/>
    <col width="4.33" customWidth="1" style="959" min="2707" max="2707"/>
    <col width="5.56" customWidth="1" style="959" min="2708" max="2708"/>
    <col width="4.67" customWidth="1" style="959" min="2709" max="2709"/>
    <col width="15.45" customWidth="1" style="959" min="2710" max="2710"/>
    <col width="9.109999999999999" customWidth="1" style="959" min="2711" max="2714"/>
    <col width="10.44" customWidth="1" style="959" min="2715" max="2715"/>
    <col width="18" customWidth="1" style="959" min="2716" max="2716"/>
    <col width="9.109999999999999" customWidth="1" style="959" min="2717" max="2947"/>
    <col width="7.33" customWidth="1" style="959" min="2948" max="2948"/>
    <col width="5" customWidth="1" style="959" min="2949" max="2949"/>
    <col width="5.44" customWidth="1" style="959" min="2950" max="2950"/>
    <col width="9.66" customWidth="1" style="959" min="2951" max="2951"/>
    <col width="5.44" customWidth="1" style="959" min="2952" max="2952"/>
    <col width="2" customWidth="1" style="959" min="2953" max="2953"/>
    <col width="7.55" customWidth="1" style="959" min="2954" max="2954"/>
    <col width="8.67" customWidth="1" style="959" min="2955" max="2955"/>
    <col width="4.67" customWidth="1" style="959" min="2956" max="2956"/>
    <col width="8.67" customWidth="1" style="959" min="2957" max="2957"/>
    <col width="6" customWidth="1" style="959" min="2958" max="2958"/>
    <col width="6.34" customWidth="1" style="959" min="2959" max="2959"/>
    <col width="8.67" customWidth="1" style="959" min="2960" max="2960"/>
    <col width="3.45" customWidth="1" style="959" min="2961" max="2961"/>
    <col width="3" customWidth="1" style="959" min="2962" max="2962"/>
    <col width="4.33" customWidth="1" style="959" min="2963" max="2963"/>
    <col width="5.56" customWidth="1" style="959" min="2964" max="2964"/>
    <col width="4.67" customWidth="1" style="959" min="2965" max="2965"/>
    <col width="15.45" customWidth="1" style="959" min="2966" max="2966"/>
    <col width="9.109999999999999" customWidth="1" style="959" min="2967" max="2970"/>
    <col width="10.44" customWidth="1" style="959" min="2971" max="2971"/>
    <col width="18" customWidth="1" style="959" min="2972" max="2972"/>
    <col width="9.109999999999999" customWidth="1" style="959" min="2973" max="3203"/>
    <col width="7.33" customWidth="1" style="959" min="3204" max="3204"/>
    <col width="5" customWidth="1" style="959" min="3205" max="3205"/>
    <col width="5.44" customWidth="1" style="959" min="3206" max="3206"/>
    <col width="9.66" customWidth="1" style="959" min="3207" max="3207"/>
    <col width="5.44" customWidth="1" style="959" min="3208" max="3208"/>
    <col width="2" customWidth="1" style="959" min="3209" max="3209"/>
    <col width="7.55" customWidth="1" style="959" min="3210" max="3210"/>
    <col width="8.67" customWidth="1" style="959" min="3211" max="3211"/>
    <col width="4.67" customWidth="1" style="959" min="3212" max="3212"/>
    <col width="8.67" customWidth="1" style="959" min="3213" max="3213"/>
    <col width="6" customWidth="1" style="959" min="3214" max="3214"/>
    <col width="6.34" customWidth="1" style="959" min="3215" max="3215"/>
    <col width="8.67" customWidth="1" style="959" min="3216" max="3216"/>
    <col width="3.45" customWidth="1" style="959" min="3217" max="3217"/>
    <col width="3" customWidth="1" style="959" min="3218" max="3218"/>
    <col width="4.33" customWidth="1" style="959" min="3219" max="3219"/>
    <col width="5.56" customWidth="1" style="959" min="3220" max="3220"/>
    <col width="4.67" customWidth="1" style="959" min="3221" max="3221"/>
    <col width="15.45" customWidth="1" style="959" min="3222" max="3222"/>
    <col width="9.109999999999999" customWidth="1" style="959" min="3223" max="3226"/>
    <col width="10.44" customWidth="1" style="959" min="3227" max="3227"/>
    <col width="18" customWidth="1" style="959" min="3228" max="3228"/>
    <col width="9.109999999999999" customWidth="1" style="959" min="3229" max="3459"/>
    <col width="7.33" customWidth="1" style="959" min="3460" max="3460"/>
    <col width="5" customWidth="1" style="959" min="3461" max="3461"/>
    <col width="5.44" customWidth="1" style="959" min="3462" max="3462"/>
    <col width="9.66" customWidth="1" style="959" min="3463" max="3463"/>
    <col width="5.44" customWidth="1" style="959" min="3464" max="3464"/>
    <col width="2" customWidth="1" style="959" min="3465" max="3465"/>
    <col width="7.55" customWidth="1" style="959" min="3466" max="3466"/>
    <col width="8.67" customWidth="1" style="959" min="3467" max="3467"/>
    <col width="4.67" customWidth="1" style="959" min="3468" max="3468"/>
    <col width="8.67" customWidth="1" style="959" min="3469" max="3469"/>
    <col width="6" customWidth="1" style="959" min="3470" max="3470"/>
    <col width="6.34" customWidth="1" style="959" min="3471" max="3471"/>
    <col width="8.67" customWidth="1" style="959" min="3472" max="3472"/>
    <col width="3.45" customWidth="1" style="959" min="3473" max="3473"/>
    <col width="3" customWidth="1" style="959" min="3474" max="3474"/>
    <col width="4.33" customWidth="1" style="959" min="3475" max="3475"/>
    <col width="5.56" customWidth="1" style="959" min="3476" max="3476"/>
    <col width="4.67" customWidth="1" style="959" min="3477" max="3477"/>
    <col width="15.45" customWidth="1" style="959" min="3478" max="3478"/>
    <col width="9.109999999999999" customWidth="1" style="959" min="3479" max="3482"/>
    <col width="10.44" customWidth="1" style="959" min="3483" max="3483"/>
    <col width="18" customWidth="1" style="959" min="3484" max="3484"/>
    <col width="9.109999999999999" customWidth="1" style="959" min="3485" max="3715"/>
    <col width="7.33" customWidth="1" style="959" min="3716" max="3716"/>
    <col width="5" customWidth="1" style="959" min="3717" max="3717"/>
    <col width="5.44" customWidth="1" style="959" min="3718" max="3718"/>
    <col width="9.66" customWidth="1" style="959" min="3719" max="3719"/>
    <col width="5.44" customWidth="1" style="959" min="3720" max="3720"/>
    <col width="2" customWidth="1" style="959" min="3721" max="3721"/>
    <col width="7.55" customWidth="1" style="959" min="3722" max="3722"/>
    <col width="8.67" customWidth="1" style="959" min="3723" max="3723"/>
    <col width="4.67" customWidth="1" style="959" min="3724" max="3724"/>
    <col width="8.67" customWidth="1" style="959" min="3725" max="3725"/>
    <col width="6" customWidth="1" style="959" min="3726" max="3726"/>
    <col width="6.34" customWidth="1" style="959" min="3727" max="3727"/>
    <col width="8.67" customWidth="1" style="959" min="3728" max="3728"/>
    <col width="3.45" customWidth="1" style="959" min="3729" max="3729"/>
    <col width="3" customWidth="1" style="959" min="3730" max="3730"/>
    <col width="4.33" customWidth="1" style="959" min="3731" max="3731"/>
    <col width="5.56" customWidth="1" style="959" min="3732" max="3732"/>
    <col width="4.67" customWidth="1" style="959" min="3733" max="3733"/>
    <col width="15.45" customWidth="1" style="959" min="3734" max="3734"/>
    <col width="9.109999999999999" customWidth="1" style="959" min="3735" max="3738"/>
    <col width="10.44" customWidth="1" style="959" min="3739" max="3739"/>
    <col width="18" customWidth="1" style="959" min="3740" max="3740"/>
    <col width="9.109999999999999" customWidth="1" style="959" min="3741" max="3971"/>
    <col width="7.33" customWidth="1" style="959" min="3972" max="3972"/>
    <col width="5" customWidth="1" style="959" min="3973" max="3973"/>
    <col width="5.44" customWidth="1" style="959" min="3974" max="3974"/>
    <col width="9.66" customWidth="1" style="959" min="3975" max="3975"/>
    <col width="5.44" customWidth="1" style="959" min="3976" max="3976"/>
    <col width="2" customWidth="1" style="959" min="3977" max="3977"/>
    <col width="7.55" customWidth="1" style="959" min="3978" max="3978"/>
    <col width="8.67" customWidth="1" style="959" min="3979" max="3979"/>
    <col width="4.67" customWidth="1" style="959" min="3980" max="3980"/>
    <col width="8.67" customWidth="1" style="959" min="3981" max="3981"/>
    <col width="6" customWidth="1" style="959" min="3982" max="3982"/>
    <col width="6.34" customWidth="1" style="959" min="3983" max="3983"/>
    <col width="8.67" customWidth="1" style="959" min="3984" max="3984"/>
    <col width="3.45" customWidth="1" style="959" min="3985" max="3985"/>
    <col width="3" customWidth="1" style="959" min="3986" max="3986"/>
    <col width="4.33" customWidth="1" style="959" min="3987" max="3987"/>
    <col width="5.56" customWidth="1" style="959" min="3988" max="3988"/>
    <col width="4.67" customWidth="1" style="959" min="3989" max="3989"/>
    <col width="15.45" customWidth="1" style="959" min="3990" max="3990"/>
    <col width="9.109999999999999" customWidth="1" style="959" min="3991" max="3994"/>
    <col width="10.44" customWidth="1" style="959" min="3995" max="3995"/>
    <col width="18" customWidth="1" style="959" min="3996" max="3996"/>
    <col width="9.109999999999999" customWidth="1" style="959" min="3997" max="4227"/>
    <col width="7.33" customWidth="1" style="959" min="4228" max="4228"/>
    <col width="5" customWidth="1" style="959" min="4229" max="4229"/>
    <col width="5.44" customWidth="1" style="959" min="4230" max="4230"/>
    <col width="9.66" customWidth="1" style="959" min="4231" max="4231"/>
    <col width="5.44" customWidth="1" style="959" min="4232" max="4232"/>
    <col width="2" customWidth="1" style="959" min="4233" max="4233"/>
    <col width="7.55" customWidth="1" style="959" min="4234" max="4234"/>
    <col width="8.67" customWidth="1" style="959" min="4235" max="4235"/>
    <col width="4.67" customWidth="1" style="959" min="4236" max="4236"/>
    <col width="8.67" customWidth="1" style="959" min="4237" max="4237"/>
    <col width="6" customWidth="1" style="959" min="4238" max="4238"/>
    <col width="6.34" customWidth="1" style="959" min="4239" max="4239"/>
    <col width="8.67" customWidth="1" style="959" min="4240" max="4240"/>
    <col width="3.45" customWidth="1" style="959" min="4241" max="4241"/>
    <col width="3" customWidth="1" style="959" min="4242" max="4242"/>
    <col width="4.33" customWidth="1" style="959" min="4243" max="4243"/>
    <col width="5.56" customWidth="1" style="959" min="4244" max="4244"/>
    <col width="4.67" customWidth="1" style="959" min="4245" max="4245"/>
    <col width="15.45" customWidth="1" style="959" min="4246" max="4246"/>
    <col width="9.109999999999999" customWidth="1" style="959" min="4247" max="4250"/>
    <col width="10.44" customWidth="1" style="959" min="4251" max="4251"/>
    <col width="18" customWidth="1" style="959" min="4252" max="4252"/>
    <col width="9.109999999999999" customWidth="1" style="959" min="4253" max="4483"/>
    <col width="7.33" customWidth="1" style="959" min="4484" max="4484"/>
    <col width="5" customWidth="1" style="959" min="4485" max="4485"/>
    <col width="5.44" customWidth="1" style="959" min="4486" max="4486"/>
    <col width="9.66" customWidth="1" style="959" min="4487" max="4487"/>
    <col width="5.44" customWidth="1" style="959" min="4488" max="4488"/>
    <col width="2" customWidth="1" style="959" min="4489" max="4489"/>
    <col width="7.55" customWidth="1" style="959" min="4490" max="4490"/>
    <col width="8.67" customWidth="1" style="959" min="4491" max="4491"/>
    <col width="4.67" customWidth="1" style="959" min="4492" max="4492"/>
    <col width="8.67" customWidth="1" style="959" min="4493" max="4493"/>
    <col width="6" customWidth="1" style="959" min="4494" max="4494"/>
    <col width="6.34" customWidth="1" style="959" min="4495" max="4495"/>
    <col width="8.67" customWidth="1" style="959" min="4496" max="4496"/>
    <col width="3.45" customWidth="1" style="959" min="4497" max="4497"/>
    <col width="3" customWidth="1" style="959" min="4498" max="4498"/>
    <col width="4.33" customWidth="1" style="959" min="4499" max="4499"/>
    <col width="5.56" customWidth="1" style="959" min="4500" max="4500"/>
    <col width="4.67" customWidth="1" style="959" min="4501" max="4501"/>
    <col width="15.45" customWidth="1" style="959" min="4502" max="4502"/>
    <col width="9.109999999999999" customWidth="1" style="959" min="4503" max="4506"/>
    <col width="10.44" customWidth="1" style="959" min="4507" max="4507"/>
    <col width="18" customWidth="1" style="959" min="4508" max="4508"/>
    <col width="9.109999999999999" customWidth="1" style="959" min="4509" max="4739"/>
    <col width="7.33" customWidth="1" style="959" min="4740" max="4740"/>
    <col width="5" customWidth="1" style="959" min="4741" max="4741"/>
    <col width="5.44" customWidth="1" style="959" min="4742" max="4742"/>
    <col width="9.66" customWidth="1" style="959" min="4743" max="4743"/>
    <col width="5.44" customWidth="1" style="959" min="4744" max="4744"/>
    <col width="2" customWidth="1" style="959" min="4745" max="4745"/>
    <col width="7.55" customWidth="1" style="959" min="4746" max="4746"/>
    <col width="8.67" customWidth="1" style="959" min="4747" max="4747"/>
    <col width="4.67" customWidth="1" style="959" min="4748" max="4748"/>
    <col width="8.67" customWidth="1" style="959" min="4749" max="4749"/>
    <col width="6" customWidth="1" style="959" min="4750" max="4750"/>
    <col width="6.34" customWidth="1" style="959" min="4751" max="4751"/>
    <col width="8.67" customWidth="1" style="959" min="4752" max="4752"/>
    <col width="3.45" customWidth="1" style="959" min="4753" max="4753"/>
    <col width="3" customWidth="1" style="959" min="4754" max="4754"/>
    <col width="4.33" customWidth="1" style="959" min="4755" max="4755"/>
    <col width="5.56" customWidth="1" style="959" min="4756" max="4756"/>
    <col width="4.67" customWidth="1" style="959" min="4757" max="4757"/>
    <col width="15.45" customWidth="1" style="959" min="4758" max="4758"/>
    <col width="9.109999999999999" customWidth="1" style="959" min="4759" max="4762"/>
    <col width="10.44" customWidth="1" style="959" min="4763" max="4763"/>
    <col width="18" customWidth="1" style="959" min="4764" max="4764"/>
    <col width="9.109999999999999" customWidth="1" style="959" min="4765" max="4995"/>
    <col width="7.33" customWidth="1" style="959" min="4996" max="4996"/>
    <col width="5" customWidth="1" style="959" min="4997" max="4997"/>
    <col width="5.44" customWidth="1" style="959" min="4998" max="4998"/>
    <col width="9.66" customWidth="1" style="959" min="4999" max="4999"/>
    <col width="5.44" customWidth="1" style="959" min="5000" max="5000"/>
    <col width="2" customWidth="1" style="959" min="5001" max="5001"/>
    <col width="7.55" customWidth="1" style="959" min="5002" max="5002"/>
    <col width="8.67" customWidth="1" style="959" min="5003" max="5003"/>
    <col width="4.67" customWidth="1" style="959" min="5004" max="5004"/>
    <col width="8.67" customWidth="1" style="959" min="5005" max="5005"/>
    <col width="6" customWidth="1" style="959" min="5006" max="5006"/>
    <col width="6.34" customWidth="1" style="959" min="5007" max="5007"/>
    <col width="8.67" customWidth="1" style="959" min="5008" max="5008"/>
    <col width="3.45" customWidth="1" style="959" min="5009" max="5009"/>
    <col width="3" customWidth="1" style="959" min="5010" max="5010"/>
    <col width="4.33" customWidth="1" style="959" min="5011" max="5011"/>
    <col width="5.56" customWidth="1" style="959" min="5012" max="5012"/>
    <col width="4.67" customWidth="1" style="959" min="5013" max="5013"/>
    <col width="15.45" customWidth="1" style="959" min="5014" max="5014"/>
    <col width="9.109999999999999" customWidth="1" style="959" min="5015" max="5018"/>
    <col width="10.44" customWidth="1" style="959" min="5019" max="5019"/>
    <col width="18" customWidth="1" style="959" min="5020" max="5020"/>
    <col width="9.109999999999999" customWidth="1" style="959" min="5021" max="5251"/>
    <col width="7.33" customWidth="1" style="959" min="5252" max="5252"/>
    <col width="5" customWidth="1" style="959" min="5253" max="5253"/>
    <col width="5.44" customWidth="1" style="959" min="5254" max="5254"/>
    <col width="9.66" customWidth="1" style="959" min="5255" max="5255"/>
    <col width="5.44" customWidth="1" style="959" min="5256" max="5256"/>
    <col width="2" customWidth="1" style="959" min="5257" max="5257"/>
    <col width="7.55" customWidth="1" style="959" min="5258" max="5258"/>
    <col width="8.67" customWidth="1" style="959" min="5259" max="5259"/>
    <col width="4.67" customWidth="1" style="959" min="5260" max="5260"/>
    <col width="8.67" customWidth="1" style="959" min="5261" max="5261"/>
    <col width="6" customWidth="1" style="959" min="5262" max="5262"/>
    <col width="6.34" customWidth="1" style="959" min="5263" max="5263"/>
    <col width="8.67" customWidth="1" style="959" min="5264" max="5264"/>
    <col width="3.45" customWidth="1" style="959" min="5265" max="5265"/>
    <col width="3" customWidth="1" style="959" min="5266" max="5266"/>
    <col width="4.33" customWidth="1" style="959" min="5267" max="5267"/>
    <col width="5.56" customWidth="1" style="959" min="5268" max="5268"/>
    <col width="4.67" customWidth="1" style="959" min="5269" max="5269"/>
    <col width="15.45" customWidth="1" style="959" min="5270" max="5270"/>
    <col width="9.109999999999999" customWidth="1" style="959" min="5271" max="5274"/>
    <col width="10.44" customWidth="1" style="959" min="5275" max="5275"/>
    <col width="18" customWidth="1" style="959" min="5276" max="5276"/>
    <col width="9.109999999999999" customWidth="1" style="959" min="5277" max="5507"/>
    <col width="7.33" customWidth="1" style="959" min="5508" max="5508"/>
    <col width="5" customWidth="1" style="959" min="5509" max="5509"/>
    <col width="5.44" customWidth="1" style="959" min="5510" max="5510"/>
    <col width="9.66" customWidth="1" style="959" min="5511" max="5511"/>
    <col width="5.44" customWidth="1" style="959" min="5512" max="5512"/>
    <col width="2" customWidth="1" style="959" min="5513" max="5513"/>
    <col width="7.55" customWidth="1" style="959" min="5514" max="5514"/>
    <col width="8.67" customWidth="1" style="959" min="5515" max="5515"/>
    <col width="4.67" customWidth="1" style="959" min="5516" max="5516"/>
    <col width="8.67" customWidth="1" style="959" min="5517" max="5517"/>
    <col width="6" customWidth="1" style="959" min="5518" max="5518"/>
    <col width="6.34" customWidth="1" style="959" min="5519" max="5519"/>
    <col width="8.67" customWidth="1" style="959" min="5520" max="5520"/>
    <col width="3.45" customWidth="1" style="959" min="5521" max="5521"/>
    <col width="3" customWidth="1" style="959" min="5522" max="5522"/>
    <col width="4.33" customWidth="1" style="959" min="5523" max="5523"/>
    <col width="5.56" customWidth="1" style="959" min="5524" max="5524"/>
    <col width="4.67" customWidth="1" style="959" min="5525" max="5525"/>
    <col width="15.45" customWidth="1" style="959" min="5526" max="5526"/>
    <col width="9.109999999999999" customWidth="1" style="959" min="5527" max="5530"/>
    <col width="10.44" customWidth="1" style="959" min="5531" max="5531"/>
    <col width="18" customWidth="1" style="959" min="5532" max="5532"/>
    <col width="9.109999999999999" customWidth="1" style="959" min="5533" max="5763"/>
    <col width="7.33" customWidth="1" style="959" min="5764" max="5764"/>
    <col width="5" customWidth="1" style="959" min="5765" max="5765"/>
    <col width="5.44" customWidth="1" style="959" min="5766" max="5766"/>
    <col width="9.66" customWidth="1" style="959" min="5767" max="5767"/>
    <col width="5.44" customWidth="1" style="959" min="5768" max="5768"/>
    <col width="2" customWidth="1" style="959" min="5769" max="5769"/>
    <col width="7.55" customWidth="1" style="959" min="5770" max="5770"/>
    <col width="8.67" customWidth="1" style="959" min="5771" max="5771"/>
    <col width="4.67" customWidth="1" style="959" min="5772" max="5772"/>
    <col width="8.67" customWidth="1" style="959" min="5773" max="5773"/>
    <col width="6" customWidth="1" style="959" min="5774" max="5774"/>
    <col width="6.34" customWidth="1" style="959" min="5775" max="5775"/>
    <col width="8.67" customWidth="1" style="959" min="5776" max="5776"/>
    <col width="3.45" customWidth="1" style="959" min="5777" max="5777"/>
    <col width="3" customWidth="1" style="959" min="5778" max="5778"/>
    <col width="4.33" customWidth="1" style="959" min="5779" max="5779"/>
    <col width="5.56" customWidth="1" style="959" min="5780" max="5780"/>
    <col width="4.67" customWidth="1" style="959" min="5781" max="5781"/>
    <col width="15.45" customWidth="1" style="959" min="5782" max="5782"/>
    <col width="9.109999999999999" customWidth="1" style="959" min="5783" max="5786"/>
    <col width="10.44" customWidth="1" style="959" min="5787" max="5787"/>
    <col width="18" customWidth="1" style="959" min="5788" max="5788"/>
    <col width="9.109999999999999" customWidth="1" style="959" min="5789" max="6019"/>
    <col width="7.33" customWidth="1" style="959" min="6020" max="6020"/>
    <col width="5" customWidth="1" style="959" min="6021" max="6021"/>
    <col width="5.44" customWidth="1" style="959" min="6022" max="6022"/>
    <col width="9.66" customWidth="1" style="959" min="6023" max="6023"/>
    <col width="5.44" customWidth="1" style="959" min="6024" max="6024"/>
    <col width="2" customWidth="1" style="959" min="6025" max="6025"/>
    <col width="7.55" customWidth="1" style="959" min="6026" max="6026"/>
    <col width="8.67" customWidth="1" style="959" min="6027" max="6027"/>
    <col width="4.67" customWidth="1" style="959" min="6028" max="6028"/>
    <col width="8.67" customWidth="1" style="959" min="6029" max="6029"/>
    <col width="6" customWidth="1" style="959" min="6030" max="6030"/>
    <col width="6.34" customWidth="1" style="959" min="6031" max="6031"/>
    <col width="8.67" customWidth="1" style="959" min="6032" max="6032"/>
    <col width="3.45" customWidth="1" style="959" min="6033" max="6033"/>
    <col width="3" customWidth="1" style="959" min="6034" max="6034"/>
    <col width="4.33" customWidth="1" style="959" min="6035" max="6035"/>
    <col width="5.56" customWidth="1" style="959" min="6036" max="6036"/>
    <col width="4.67" customWidth="1" style="959" min="6037" max="6037"/>
    <col width="15.45" customWidth="1" style="959" min="6038" max="6038"/>
    <col width="9.109999999999999" customWidth="1" style="959" min="6039" max="6042"/>
    <col width="10.44" customWidth="1" style="959" min="6043" max="6043"/>
    <col width="18" customWidth="1" style="959" min="6044" max="6044"/>
    <col width="9.109999999999999" customWidth="1" style="959" min="6045" max="6275"/>
    <col width="7.33" customWidth="1" style="959" min="6276" max="6276"/>
    <col width="5" customWidth="1" style="959" min="6277" max="6277"/>
    <col width="5.44" customWidth="1" style="959" min="6278" max="6278"/>
    <col width="9.66" customWidth="1" style="959" min="6279" max="6279"/>
    <col width="5.44" customWidth="1" style="959" min="6280" max="6280"/>
    <col width="2" customWidth="1" style="959" min="6281" max="6281"/>
    <col width="7.55" customWidth="1" style="959" min="6282" max="6282"/>
    <col width="8.67" customWidth="1" style="959" min="6283" max="6283"/>
    <col width="4.67" customWidth="1" style="959" min="6284" max="6284"/>
    <col width="8.67" customWidth="1" style="959" min="6285" max="6285"/>
    <col width="6" customWidth="1" style="959" min="6286" max="6286"/>
    <col width="6.34" customWidth="1" style="959" min="6287" max="6287"/>
    <col width="8.67" customWidth="1" style="959" min="6288" max="6288"/>
    <col width="3.45" customWidth="1" style="959" min="6289" max="6289"/>
    <col width="3" customWidth="1" style="959" min="6290" max="6290"/>
    <col width="4.33" customWidth="1" style="959" min="6291" max="6291"/>
    <col width="5.56" customWidth="1" style="959" min="6292" max="6292"/>
    <col width="4.67" customWidth="1" style="959" min="6293" max="6293"/>
    <col width="15.45" customWidth="1" style="959" min="6294" max="6294"/>
    <col width="9.109999999999999" customWidth="1" style="959" min="6295" max="6298"/>
    <col width="10.44" customWidth="1" style="959" min="6299" max="6299"/>
    <col width="18" customWidth="1" style="959" min="6300" max="6300"/>
    <col width="9.109999999999999" customWidth="1" style="959" min="6301" max="6531"/>
    <col width="7.33" customWidth="1" style="959" min="6532" max="6532"/>
    <col width="5" customWidth="1" style="959" min="6533" max="6533"/>
    <col width="5.44" customWidth="1" style="959" min="6534" max="6534"/>
    <col width="9.66" customWidth="1" style="959" min="6535" max="6535"/>
    <col width="5.44" customWidth="1" style="959" min="6536" max="6536"/>
    <col width="2" customWidth="1" style="959" min="6537" max="6537"/>
    <col width="7.55" customWidth="1" style="959" min="6538" max="6538"/>
    <col width="8.67" customWidth="1" style="959" min="6539" max="6539"/>
    <col width="4.67" customWidth="1" style="959" min="6540" max="6540"/>
    <col width="8.67" customWidth="1" style="959" min="6541" max="6541"/>
    <col width="6" customWidth="1" style="959" min="6542" max="6542"/>
    <col width="6.34" customWidth="1" style="959" min="6543" max="6543"/>
    <col width="8.67" customWidth="1" style="959" min="6544" max="6544"/>
    <col width="3.45" customWidth="1" style="959" min="6545" max="6545"/>
    <col width="3" customWidth="1" style="959" min="6546" max="6546"/>
    <col width="4.33" customWidth="1" style="959" min="6547" max="6547"/>
    <col width="5.56" customWidth="1" style="959" min="6548" max="6548"/>
    <col width="4.67" customWidth="1" style="959" min="6549" max="6549"/>
    <col width="15.45" customWidth="1" style="959" min="6550" max="6550"/>
    <col width="9.109999999999999" customWidth="1" style="959" min="6551" max="6554"/>
    <col width="10.44" customWidth="1" style="959" min="6555" max="6555"/>
    <col width="18" customWidth="1" style="959" min="6556" max="6556"/>
    <col width="9.109999999999999" customWidth="1" style="959" min="6557" max="6787"/>
    <col width="7.33" customWidth="1" style="959" min="6788" max="6788"/>
    <col width="5" customWidth="1" style="959" min="6789" max="6789"/>
    <col width="5.44" customWidth="1" style="959" min="6790" max="6790"/>
    <col width="9.66" customWidth="1" style="959" min="6791" max="6791"/>
    <col width="5.44" customWidth="1" style="959" min="6792" max="6792"/>
    <col width="2" customWidth="1" style="959" min="6793" max="6793"/>
    <col width="7.55" customWidth="1" style="959" min="6794" max="6794"/>
    <col width="8.67" customWidth="1" style="959" min="6795" max="6795"/>
    <col width="4.67" customWidth="1" style="959" min="6796" max="6796"/>
    <col width="8.67" customWidth="1" style="959" min="6797" max="6797"/>
    <col width="6" customWidth="1" style="959" min="6798" max="6798"/>
    <col width="6.34" customWidth="1" style="959" min="6799" max="6799"/>
    <col width="8.67" customWidth="1" style="959" min="6800" max="6800"/>
    <col width="3.45" customWidth="1" style="959" min="6801" max="6801"/>
    <col width="3" customWidth="1" style="959" min="6802" max="6802"/>
    <col width="4.33" customWidth="1" style="959" min="6803" max="6803"/>
    <col width="5.56" customWidth="1" style="959" min="6804" max="6804"/>
    <col width="4.67" customWidth="1" style="959" min="6805" max="6805"/>
    <col width="15.45" customWidth="1" style="959" min="6806" max="6806"/>
    <col width="9.109999999999999" customWidth="1" style="959" min="6807" max="6810"/>
    <col width="10.44" customWidth="1" style="959" min="6811" max="6811"/>
    <col width="18" customWidth="1" style="959" min="6812" max="6812"/>
    <col width="9.109999999999999" customWidth="1" style="959" min="6813" max="7043"/>
    <col width="7.33" customWidth="1" style="959" min="7044" max="7044"/>
    <col width="5" customWidth="1" style="959" min="7045" max="7045"/>
    <col width="5.44" customWidth="1" style="959" min="7046" max="7046"/>
    <col width="9.66" customWidth="1" style="959" min="7047" max="7047"/>
    <col width="5.44" customWidth="1" style="959" min="7048" max="7048"/>
    <col width="2" customWidth="1" style="959" min="7049" max="7049"/>
    <col width="7.55" customWidth="1" style="959" min="7050" max="7050"/>
    <col width="8.67" customWidth="1" style="959" min="7051" max="7051"/>
    <col width="4.67" customWidth="1" style="959" min="7052" max="7052"/>
    <col width="8.67" customWidth="1" style="959" min="7053" max="7053"/>
    <col width="6" customWidth="1" style="959" min="7054" max="7054"/>
    <col width="6.34" customWidth="1" style="959" min="7055" max="7055"/>
    <col width="8.67" customWidth="1" style="959" min="7056" max="7056"/>
    <col width="3.45" customWidth="1" style="959" min="7057" max="7057"/>
    <col width="3" customWidth="1" style="959" min="7058" max="7058"/>
    <col width="4.33" customWidth="1" style="959" min="7059" max="7059"/>
    <col width="5.56" customWidth="1" style="959" min="7060" max="7060"/>
    <col width="4.67" customWidth="1" style="959" min="7061" max="7061"/>
    <col width="15.45" customWidth="1" style="959" min="7062" max="7062"/>
    <col width="9.109999999999999" customWidth="1" style="959" min="7063" max="7066"/>
    <col width="10.44" customWidth="1" style="959" min="7067" max="7067"/>
    <col width="18" customWidth="1" style="959" min="7068" max="7068"/>
    <col width="9.109999999999999" customWidth="1" style="959" min="7069" max="7299"/>
    <col width="7.33" customWidth="1" style="959" min="7300" max="7300"/>
    <col width="5" customWidth="1" style="959" min="7301" max="7301"/>
    <col width="5.44" customWidth="1" style="959" min="7302" max="7302"/>
    <col width="9.66" customWidth="1" style="959" min="7303" max="7303"/>
    <col width="5.44" customWidth="1" style="959" min="7304" max="7304"/>
    <col width="2" customWidth="1" style="959" min="7305" max="7305"/>
    <col width="7.55" customWidth="1" style="959" min="7306" max="7306"/>
    <col width="8.67" customWidth="1" style="959" min="7307" max="7307"/>
    <col width="4.67" customWidth="1" style="959" min="7308" max="7308"/>
    <col width="8.67" customWidth="1" style="959" min="7309" max="7309"/>
    <col width="6" customWidth="1" style="959" min="7310" max="7310"/>
    <col width="6.34" customWidth="1" style="959" min="7311" max="7311"/>
    <col width="8.67" customWidth="1" style="959" min="7312" max="7312"/>
    <col width="3.45" customWidth="1" style="959" min="7313" max="7313"/>
    <col width="3" customWidth="1" style="959" min="7314" max="7314"/>
    <col width="4.33" customWidth="1" style="959" min="7315" max="7315"/>
    <col width="5.56" customWidth="1" style="959" min="7316" max="7316"/>
    <col width="4.67" customWidth="1" style="959" min="7317" max="7317"/>
    <col width="15.45" customWidth="1" style="959" min="7318" max="7318"/>
    <col width="9.109999999999999" customWidth="1" style="959" min="7319" max="7322"/>
    <col width="10.44" customWidth="1" style="959" min="7323" max="7323"/>
    <col width="18" customWidth="1" style="959" min="7324" max="7324"/>
    <col width="9.109999999999999" customWidth="1" style="959" min="7325" max="7555"/>
    <col width="7.33" customWidth="1" style="959" min="7556" max="7556"/>
    <col width="5" customWidth="1" style="959" min="7557" max="7557"/>
    <col width="5.44" customWidth="1" style="959" min="7558" max="7558"/>
    <col width="9.66" customWidth="1" style="959" min="7559" max="7559"/>
    <col width="5.44" customWidth="1" style="959" min="7560" max="7560"/>
    <col width="2" customWidth="1" style="959" min="7561" max="7561"/>
    <col width="7.55" customWidth="1" style="959" min="7562" max="7562"/>
    <col width="8.67" customWidth="1" style="959" min="7563" max="7563"/>
    <col width="4.67" customWidth="1" style="959" min="7564" max="7564"/>
    <col width="8.67" customWidth="1" style="959" min="7565" max="7565"/>
    <col width="6" customWidth="1" style="959" min="7566" max="7566"/>
    <col width="6.34" customWidth="1" style="959" min="7567" max="7567"/>
    <col width="8.67" customWidth="1" style="959" min="7568" max="7568"/>
    <col width="3.45" customWidth="1" style="959" min="7569" max="7569"/>
    <col width="3" customWidth="1" style="959" min="7570" max="7570"/>
    <col width="4.33" customWidth="1" style="959" min="7571" max="7571"/>
    <col width="5.56" customWidth="1" style="959" min="7572" max="7572"/>
    <col width="4.67" customWidth="1" style="959" min="7573" max="7573"/>
    <col width="15.45" customWidth="1" style="959" min="7574" max="7574"/>
    <col width="9.109999999999999" customWidth="1" style="959" min="7575" max="7578"/>
    <col width="10.44" customWidth="1" style="959" min="7579" max="7579"/>
    <col width="18" customWidth="1" style="959" min="7580" max="7580"/>
    <col width="9.109999999999999" customWidth="1" style="959" min="7581" max="7811"/>
    <col width="7.33" customWidth="1" style="959" min="7812" max="7812"/>
    <col width="5" customWidth="1" style="959" min="7813" max="7813"/>
    <col width="5.44" customWidth="1" style="959" min="7814" max="7814"/>
    <col width="9.66" customWidth="1" style="959" min="7815" max="7815"/>
    <col width="5.44" customWidth="1" style="959" min="7816" max="7816"/>
    <col width="2" customWidth="1" style="959" min="7817" max="7817"/>
    <col width="7.55" customWidth="1" style="959" min="7818" max="7818"/>
    <col width="8.67" customWidth="1" style="959" min="7819" max="7819"/>
    <col width="4.67" customWidth="1" style="959" min="7820" max="7820"/>
    <col width="8.67" customWidth="1" style="959" min="7821" max="7821"/>
    <col width="6" customWidth="1" style="959" min="7822" max="7822"/>
    <col width="6.34" customWidth="1" style="959" min="7823" max="7823"/>
    <col width="8.67" customWidth="1" style="959" min="7824" max="7824"/>
    <col width="3.45" customWidth="1" style="959" min="7825" max="7825"/>
    <col width="3" customWidth="1" style="959" min="7826" max="7826"/>
    <col width="4.33" customWidth="1" style="959" min="7827" max="7827"/>
    <col width="5.56" customWidth="1" style="959" min="7828" max="7828"/>
    <col width="4.67" customWidth="1" style="959" min="7829" max="7829"/>
    <col width="15.45" customWidth="1" style="959" min="7830" max="7830"/>
    <col width="9.109999999999999" customWidth="1" style="959" min="7831" max="7834"/>
    <col width="10.44" customWidth="1" style="959" min="7835" max="7835"/>
    <col width="18" customWidth="1" style="959" min="7836" max="7836"/>
    <col width="9.109999999999999" customWidth="1" style="959" min="7837" max="8067"/>
    <col width="7.33" customWidth="1" style="959" min="8068" max="8068"/>
    <col width="5" customWidth="1" style="959" min="8069" max="8069"/>
    <col width="5.44" customWidth="1" style="959" min="8070" max="8070"/>
    <col width="9.66" customWidth="1" style="959" min="8071" max="8071"/>
    <col width="5.44" customWidth="1" style="959" min="8072" max="8072"/>
    <col width="2" customWidth="1" style="959" min="8073" max="8073"/>
    <col width="7.55" customWidth="1" style="959" min="8074" max="8074"/>
    <col width="8.67" customWidth="1" style="959" min="8075" max="8075"/>
    <col width="4.67" customWidth="1" style="959" min="8076" max="8076"/>
    <col width="8.67" customWidth="1" style="959" min="8077" max="8077"/>
    <col width="6" customWidth="1" style="959" min="8078" max="8078"/>
    <col width="6.34" customWidth="1" style="959" min="8079" max="8079"/>
    <col width="8.67" customWidth="1" style="959" min="8080" max="8080"/>
    <col width="3.45" customWidth="1" style="959" min="8081" max="8081"/>
    <col width="3" customWidth="1" style="959" min="8082" max="8082"/>
    <col width="4.33" customWidth="1" style="959" min="8083" max="8083"/>
    <col width="5.56" customWidth="1" style="959" min="8084" max="8084"/>
    <col width="4.67" customWidth="1" style="959" min="8085" max="8085"/>
    <col width="15.45" customWidth="1" style="959" min="8086" max="8086"/>
    <col width="9.109999999999999" customWidth="1" style="959" min="8087" max="8090"/>
    <col width="10.44" customWidth="1" style="959" min="8091" max="8091"/>
    <col width="18" customWidth="1" style="959" min="8092" max="8092"/>
    <col width="9.109999999999999" customWidth="1" style="959" min="8093" max="8323"/>
    <col width="7.33" customWidth="1" style="959" min="8324" max="8324"/>
    <col width="5" customWidth="1" style="959" min="8325" max="8325"/>
    <col width="5.44" customWidth="1" style="959" min="8326" max="8326"/>
    <col width="9.66" customWidth="1" style="959" min="8327" max="8327"/>
    <col width="5.44" customWidth="1" style="959" min="8328" max="8328"/>
    <col width="2" customWidth="1" style="959" min="8329" max="8329"/>
    <col width="7.55" customWidth="1" style="959" min="8330" max="8330"/>
    <col width="8.67" customWidth="1" style="959" min="8331" max="8331"/>
    <col width="4.67" customWidth="1" style="959" min="8332" max="8332"/>
    <col width="8.67" customWidth="1" style="959" min="8333" max="8333"/>
    <col width="6" customWidth="1" style="959" min="8334" max="8334"/>
    <col width="6.34" customWidth="1" style="959" min="8335" max="8335"/>
    <col width="8.67" customWidth="1" style="959" min="8336" max="8336"/>
    <col width="3.45" customWidth="1" style="959" min="8337" max="8337"/>
    <col width="3" customWidth="1" style="959" min="8338" max="8338"/>
    <col width="4.33" customWidth="1" style="959" min="8339" max="8339"/>
    <col width="5.56" customWidth="1" style="959" min="8340" max="8340"/>
    <col width="4.67" customWidth="1" style="959" min="8341" max="8341"/>
    <col width="15.45" customWidth="1" style="959" min="8342" max="8342"/>
    <col width="9.109999999999999" customWidth="1" style="959" min="8343" max="8346"/>
    <col width="10.44" customWidth="1" style="959" min="8347" max="8347"/>
    <col width="18" customWidth="1" style="959" min="8348" max="8348"/>
    <col width="9.109999999999999" customWidth="1" style="959" min="8349" max="8579"/>
    <col width="7.33" customWidth="1" style="959" min="8580" max="8580"/>
    <col width="5" customWidth="1" style="959" min="8581" max="8581"/>
    <col width="5.44" customWidth="1" style="959" min="8582" max="8582"/>
    <col width="9.66" customWidth="1" style="959" min="8583" max="8583"/>
    <col width="5.44" customWidth="1" style="959" min="8584" max="8584"/>
    <col width="2" customWidth="1" style="959" min="8585" max="8585"/>
    <col width="7.55" customWidth="1" style="959" min="8586" max="8586"/>
    <col width="8.67" customWidth="1" style="959" min="8587" max="8587"/>
    <col width="4.67" customWidth="1" style="959" min="8588" max="8588"/>
    <col width="8.67" customWidth="1" style="959" min="8589" max="8589"/>
    <col width="6" customWidth="1" style="959" min="8590" max="8590"/>
    <col width="6.34" customWidth="1" style="959" min="8591" max="8591"/>
    <col width="8.67" customWidth="1" style="959" min="8592" max="8592"/>
    <col width="3.45" customWidth="1" style="959" min="8593" max="8593"/>
    <col width="3" customWidth="1" style="959" min="8594" max="8594"/>
    <col width="4.33" customWidth="1" style="959" min="8595" max="8595"/>
    <col width="5.56" customWidth="1" style="959" min="8596" max="8596"/>
    <col width="4.67" customWidth="1" style="959" min="8597" max="8597"/>
    <col width="15.45" customWidth="1" style="959" min="8598" max="8598"/>
    <col width="9.109999999999999" customWidth="1" style="959" min="8599" max="8602"/>
    <col width="10.44" customWidth="1" style="959" min="8603" max="8603"/>
    <col width="18" customWidth="1" style="959" min="8604" max="8604"/>
    <col width="9.109999999999999" customWidth="1" style="959" min="8605" max="8835"/>
    <col width="7.33" customWidth="1" style="959" min="8836" max="8836"/>
    <col width="5" customWidth="1" style="959" min="8837" max="8837"/>
    <col width="5.44" customWidth="1" style="959" min="8838" max="8838"/>
    <col width="9.66" customWidth="1" style="959" min="8839" max="8839"/>
    <col width="5.44" customWidth="1" style="959" min="8840" max="8840"/>
    <col width="2" customWidth="1" style="959" min="8841" max="8841"/>
    <col width="7.55" customWidth="1" style="959" min="8842" max="8842"/>
    <col width="8.67" customWidth="1" style="959" min="8843" max="8843"/>
    <col width="4.67" customWidth="1" style="959" min="8844" max="8844"/>
    <col width="8.67" customWidth="1" style="959" min="8845" max="8845"/>
    <col width="6" customWidth="1" style="959" min="8846" max="8846"/>
    <col width="6.34" customWidth="1" style="959" min="8847" max="8847"/>
    <col width="8.67" customWidth="1" style="959" min="8848" max="8848"/>
    <col width="3.45" customWidth="1" style="959" min="8849" max="8849"/>
    <col width="3" customWidth="1" style="959" min="8850" max="8850"/>
    <col width="4.33" customWidth="1" style="959" min="8851" max="8851"/>
    <col width="5.56" customWidth="1" style="959" min="8852" max="8852"/>
    <col width="4.67" customWidth="1" style="959" min="8853" max="8853"/>
    <col width="15.45" customWidth="1" style="959" min="8854" max="8854"/>
    <col width="9.109999999999999" customWidth="1" style="959" min="8855" max="8858"/>
    <col width="10.44" customWidth="1" style="959" min="8859" max="8859"/>
    <col width="18" customWidth="1" style="959" min="8860" max="8860"/>
    <col width="9.109999999999999" customWidth="1" style="959" min="8861" max="9091"/>
    <col width="7.33" customWidth="1" style="959" min="9092" max="9092"/>
    <col width="5" customWidth="1" style="959" min="9093" max="9093"/>
    <col width="5.44" customWidth="1" style="959" min="9094" max="9094"/>
    <col width="9.66" customWidth="1" style="959" min="9095" max="9095"/>
    <col width="5.44" customWidth="1" style="959" min="9096" max="9096"/>
    <col width="2" customWidth="1" style="959" min="9097" max="9097"/>
    <col width="7.55" customWidth="1" style="959" min="9098" max="9098"/>
    <col width="8.67" customWidth="1" style="959" min="9099" max="9099"/>
    <col width="4.67" customWidth="1" style="959" min="9100" max="9100"/>
    <col width="8.67" customWidth="1" style="959" min="9101" max="9101"/>
    <col width="6" customWidth="1" style="959" min="9102" max="9102"/>
    <col width="6.34" customWidth="1" style="959" min="9103" max="9103"/>
    <col width="8.67" customWidth="1" style="959" min="9104" max="9104"/>
    <col width="3.45" customWidth="1" style="959" min="9105" max="9105"/>
    <col width="3" customWidth="1" style="959" min="9106" max="9106"/>
    <col width="4.33" customWidth="1" style="959" min="9107" max="9107"/>
    <col width="5.56" customWidth="1" style="959" min="9108" max="9108"/>
    <col width="4.67" customWidth="1" style="959" min="9109" max="9109"/>
    <col width="15.45" customWidth="1" style="959" min="9110" max="9110"/>
    <col width="9.109999999999999" customWidth="1" style="959" min="9111" max="9114"/>
    <col width="10.44" customWidth="1" style="959" min="9115" max="9115"/>
    <col width="18" customWidth="1" style="959" min="9116" max="9116"/>
    <col width="9.109999999999999" customWidth="1" style="959" min="9117" max="9347"/>
    <col width="7.33" customWidth="1" style="959" min="9348" max="9348"/>
    <col width="5" customWidth="1" style="959" min="9349" max="9349"/>
    <col width="5.44" customWidth="1" style="959" min="9350" max="9350"/>
    <col width="9.66" customWidth="1" style="959" min="9351" max="9351"/>
    <col width="5.44" customWidth="1" style="959" min="9352" max="9352"/>
    <col width="2" customWidth="1" style="959" min="9353" max="9353"/>
    <col width="7.55" customWidth="1" style="959" min="9354" max="9354"/>
    <col width="8.67" customWidth="1" style="959" min="9355" max="9355"/>
    <col width="4.67" customWidth="1" style="959" min="9356" max="9356"/>
    <col width="8.67" customWidth="1" style="959" min="9357" max="9357"/>
    <col width="6" customWidth="1" style="959" min="9358" max="9358"/>
    <col width="6.34" customWidth="1" style="959" min="9359" max="9359"/>
    <col width="8.67" customWidth="1" style="959" min="9360" max="9360"/>
    <col width="3.45" customWidth="1" style="959" min="9361" max="9361"/>
    <col width="3" customWidth="1" style="959" min="9362" max="9362"/>
    <col width="4.33" customWidth="1" style="959" min="9363" max="9363"/>
    <col width="5.56" customWidth="1" style="959" min="9364" max="9364"/>
    <col width="4.67" customWidth="1" style="959" min="9365" max="9365"/>
    <col width="15.45" customWidth="1" style="959" min="9366" max="9366"/>
    <col width="9.109999999999999" customWidth="1" style="959" min="9367" max="9370"/>
    <col width="10.44" customWidth="1" style="959" min="9371" max="9371"/>
    <col width="18" customWidth="1" style="959" min="9372" max="9372"/>
    <col width="9.109999999999999" customWidth="1" style="959" min="9373" max="9603"/>
    <col width="7.33" customWidth="1" style="959" min="9604" max="9604"/>
    <col width="5" customWidth="1" style="959" min="9605" max="9605"/>
    <col width="5.44" customWidth="1" style="959" min="9606" max="9606"/>
    <col width="9.66" customWidth="1" style="959" min="9607" max="9607"/>
    <col width="5.44" customWidth="1" style="959" min="9608" max="9608"/>
    <col width="2" customWidth="1" style="959" min="9609" max="9609"/>
    <col width="7.55" customWidth="1" style="959" min="9610" max="9610"/>
    <col width="8.67" customWidth="1" style="959" min="9611" max="9611"/>
    <col width="4.67" customWidth="1" style="959" min="9612" max="9612"/>
    <col width="8.67" customWidth="1" style="959" min="9613" max="9613"/>
    <col width="6" customWidth="1" style="959" min="9614" max="9614"/>
    <col width="6.34" customWidth="1" style="959" min="9615" max="9615"/>
    <col width="8.67" customWidth="1" style="959" min="9616" max="9616"/>
    <col width="3.45" customWidth="1" style="959" min="9617" max="9617"/>
    <col width="3" customWidth="1" style="959" min="9618" max="9618"/>
    <col width="4.33" customWidth="1" style="959" min="9619" max="9619"/>
    <col width="5.56" customWidth="1" style="959" min="9620" max="9620"/>
    <col width="4.67" customWidth="1" style="959" min="9621" max="9621"/>
    <col width="15.45" customWidth="1" style="959" min="9622" max="9622"/>
    <col width="9.109999999999999" customWidth="1" style="959" min="9623" max="9626"/>
    <col width="10.44" customWidth="1" style="959" min="9627" max="9627"/>
    <col width="18" customWidth="1" style="959" min="9628" max="9628"/>
    <col width="9.109999999999999" customWidth="1" style="959" min="9629" max="9859"/>
    <col width="7.33" customWidth="1" style="959" min="9860" max="9860"/>
    <col width="5" customWidth="1" style="959" min="9861" max="9861"/>
    <col width="5.44" customWidth="1" style="959" min="9862" max="9862"/>
    <col width="9.66" customWidth="1" style="959" min="9863" max="9863"/>
    <col width="5.44" customWidth="1" style="959" min="9864" max="9864"/>
    <col width="2" customWidth="1" style="959" min="9865" max="9865"/>
    <col width="7.55" customWidth="1" style="959" min="9866" max="9866"/>
    <col width="8.67" customWidth="1" style="959" min="9867" max="9867"/>
    <col width="4.67" customWidth="1" style="959" min="9868" max="9868"/>
    <col width="8.67" customWidth="1" style="959" min="9869" max="9869"/>
    <col width="6" customWidth="1" style="959" min="9870" max="9870"/>
    <col width="6.34" customWidth="1" style="959" min="9871" max="9871"/>
    <col width="8.67" customWidth="1" style="959" min="9872" max="9872"/>
    <col width="3.45" customWidth="1" style="959" min="9873" max="9873"/>
    <col width="3" customWidth="1" style="959" min="9874" max="9874"/>
    <col width="4.33" customWidth="1" style="959" min="9875" max="9875"/>
    <col width="5.56" customWidth="1" style="959" min="9876" max="9876"/>
    <col width="4.67" customWidth="1" style="959" min="9877" max="9877"/>
    <col width="15.45" customWidth="1" style="959" min="9878" max="9878"/>
    <col width="9.109999999999999" customWidth="1" style="959" min="9879" max="9882"/>
    <col width="10.44" customWidth="1" style="959" min="9883" max="9883"/>
    <col width="18" customWidth="1" style="959" min="9884" max="9884"/>
    <col width="9.109999999999999" customWidth="1" style="959" min="9885" max="10115"/>
    <col width="7.33" customWidth="1" style="959" min="10116" max="10116"/>
    <col width="5" customWidth="1" style="959" min="10117" max="10117"/>
    <col width="5.44" customWidth="1" style="959" min="10118" max="10118"/>
    <col width="9.66" customWidth="1" style="959" min="10119" max="10119"/>
    <col width="5.44" customWidth="1" style="959" min="10120" max="10120"/>
    <col width="2" customWidth="1" style="959" min="10121" max="10121"/>
    <col width="7.55" customWidth="1" style="959" min="10122" max="10122"/>
    <col width="8.67" customWidth="1" style="959" min="10123" max="10123"/>
    <col width="4.67" customWidth="1" style="959" min="10124" max="10124"/>
    <col width="8.67" customWidth="1" style="959" min="10125" max="10125"/>
    <col width="6" customWidth="1" style="959" min="10126" max="10126"/>
    <col width="6.34" customWidth="1" style="959" min="10127" max="10127"/>
    <col width="8.67" customWidth="1" style="959" min="10128" max="10128"/>
    <col width="3.45" customWidth="1" style="959" min="10129" max="10129"/>
    <col width="3" customWidth="1" style="959" min="10130" max="10130"/>
    <col width="4.33" customWidth="1" style="959" min="10131" max="10131"/>
    <col width="5.56" customWidth="1" style="959" min="10132" max="10132"/>
    <col width="4.67" customWidth="1" style="959" min="10133" max="10133"/>
    <col width="15.45" customWidth="1" style="959" min="10134" max="10134"/>
    <col width="9.109999999999999" customWidth="1" style="959" min="10135" max="10138"/>
    <col width="10.44" customWidth="1" style="959" min="10139" max="10139"/>
    <col width="18" customWidth="1" style="959" min="10140" max="10140"/>
    <col width="9.109999999999999" customWidth="1" style="959" min="10141" max="10371"/>
    <col width="7.33" customWidth="1" style="959" min="10372" max="10372"/>
    <col width="5" customWidth="1" style="959" min="10373" max="10373"/>
    <col width="5.44" customWidth="1" style="959" min="10374" max="10374"/>
    <col width="9.66" customWidth="1" style="959" min="10375" max="10375"/>
    <col width="5.44" customWidth="1" style="959" min="10376" max="10376"/>
    <col width="2" customWidth="1" style="959" min="10377" max="10377"/>
    <col width="7.55" customWidth="1" style="959" min="10378" max="10378"/>
    <col width="8.67" customWidth="1" style="959" min="10379" max="10379"/>
    <col width="4.67" customWidth="1" style="959" min="10380" max="10380"/>
    <col width="8.67" customWidth="1" style="959" min="10381" max="10381"/>
    <col width="6" customWidth="1" style="959" min="10382" max="10382"/>
    <col width="6.34" customWidth="1" style="959" min="10383" max="10383"/>
    <col width="8.67" customWidth="1" style="959" min="10384" max="10384"/>
    <col width="3.45" customWidth="1" style="959" min="10385" max="10385"/>
    <col width="3" customWidth="1" style="959" min="10386" max="10386"/>
    <col width="4.33" customWidth="1" style="959" min="10387" max="10387"/>
    <col width="5.56" customWidth="1" style="959" min="10388" max="10388"/>
    <col width="4.67" customWidth="1" style="959" min="10389" max="10389"/>
    <col width="15.45" customWidth="1" style="959" min="10390" max="10390"/>
    <col width="9.109999999999999" customWidth="1" style="959" min="10391" max="10394"/>
    <col width="10.44" customWidth="1" style="959" min="10395" max="10395"/>
    <col width="18" customWidth="1" style="959" min="10396" max="10396"/>
    <col width="9.109999999999999" customWidth="1" style="959" min="10397" max="10627"/>
    <col width="7.33" customWidth="1" style="959" min="10628" max="10628"/>
    <col width="5" customWidth="1" style="959" min="10629" max="10629"/>
    <col width="5.44" customWidth="1" style="959" min="10630" max="10630"/>
    <col width="9.66" customWidth="1" style="959" min="10631" max="10631"/>
    <col width="5.44" customWidth="1" style="959" min="10632" max="10632"/>
    <col width="2" customWidth="1" style="959" min="10633" max="10633"/>
    <col width="7.55" customWidth="1" style="959" min="10634" max="10634"/>
    <col width="8.67" customWidth="1" style="959" min="10635" max="10635"/>
    <col width="4.67" customWidth="1" style="959" min="10636" max="10636"/>
    <col width="8.67" customWidth="1" style="959" min="10637" max="10637"/>
    <col width="6" customWidth="1" style="959" min="10638" max="10638"/>
    <col width="6.34" customWidth="1" style="959" min="10639" max="10639"/>
    <col width="8.67" customWidth="1" style="959" min="10640" max="10640"/>
    <col width="3.45" customWidth="1" style="959" min="10641" max="10641"/>
    <col width="3" customWidth="1" style="959" min="10642" max="10642"/>
    <col width="4.33" customWidth="1" style="959" min="10643" max="10643"/>
    <col width="5.56" customWidth="1" style="959" min="10644" max="10644"/>
    <col width="4.67" customWidth="1" style="959" min="10645" max="10645"/>
    <col width="15.45" customWidth="1" style="959" min="10646" max="10646"/>
    <col width="9.109999999999999" customWidth="1" style="959" min="10647" max="10650"/>
    <col width="10.44" customWidth="1" style="959" min="10651" max="10651"/>
    <col width="18" customWidth="1" style="959" min="10652" max="10652"/>
    <col width="9.109999999999999" customWidth="1" style="959" min="10653" max="10883"/>
    <col width="7.33" customWidth="1" style="959" min="10884" max="10884"/>
    <col width="5" customWidth="1" style="959" min="10885" max="10885"/>
    <col width="5.44" customWidth="1" style="959" min="10886" max="10886"/>
    <col width="9.66" customWidth="1" style="959" min="10887" max="10887"/>
    <col width="5.44" customWidth="1" style="959" min="10888" max="10888"/>
    <col width="2" customWidth="1" style="959" min="10889" max="10889"/>
    <col width="7.55" customWidth="1" style="959" min="10890" max="10890"/>
    <col width="8.67" customWidth="1" style="959" min="10891" max="10891"/>
    <col width="4.67" customWidth="1" style="959" min="10892" max="10892"/>
    <col width="8.67" customWidth="1" style="959" min="10893" max="10893"/>
    <col width="6" customWidth="1" style="959" min="10894" max="10894"/>
    <col width="6.34" customWidth="1" style="959" min="10895" max="10895"/>
    <col width="8.67" customWidth="1" style="959" min="10896" max="10896"/>
    <col width="3.45" customWidth="1" style="959" min="10897" max="10897"/>
    <col width="3" customWidth="1" style="959" min="10898" max="10898"/>
    <col width="4.33" customWidth="1" style="959" min="10899" max="10899"/>
    <col width="5.56" customWidth="1" style="959" min="10900" max="10900"/>
    <col width="4.67" customWidth="1" style="959" min="10901" max="10901"/>
    <col width="15.45" customWidth="1" style="959" min="10902" max="10902"/>
    <col width="9.109999999999999" customWidth="1" style="959" min="10903" max="10906"/>
    <col width="10.44" customWidth="1" style="959" min="10907" max="10907"/>
    <col width="18" customWidth="1" style="959" min="10908" max="10908"/>
    <col width="9.109999999999999" customWidth="1" style="959" min="10909" max="11139"/>
    <col width="7.33" customWidth="1" style="959" min="11140" max="11140"/>
    <col width="5" customWidth="1" style="959" min="11141" max="11141"/>
    <col width="5.44" customWidth="1" style="959" min="11142" max="11142"/>
    <col width="9.66" customWidth="1" style="959" min="11143" max="11143"/>
    <col width="5.44" customWidth="1" style="959" min="11144" max="11144"/>
    <col width="2" customWidth="1" style="959" min="11145" max="11145"/>
    <col width="7.55" customWidth="1" style="959" min="11146" max="11146"/>
    <col width="8.67" customWidth="1" style="959" min="11147" max="11147"/>
    <col width="4.67" customWidth="1" style="959" min="11148" max="11148"/>
    <col width="8.67" customWidth="1" style="959" min="11149" max="11149"/>
    <col width="6" customWidth="1" style="959" min="11150" max="11150"/>
    <col width="6.34" customWidth="1" style="959" min="11151" max="11151"/>
    <col width="8.67" customWidth="1" style="959" min="11152" max="11152"/>
    <col width="3.45" customWidth="1" style="959" min="11153" max="11153"/>
    <col width="3" customWidth="1" style="959" min="11154" max="11154"/>
    <col width="4.33" customWidth="1" style="959" min="11155" max="11155"/>
    <col width="5.56" customWidth="1" style="959" min="11156" max="11156"/>
    <col width="4.67" customWidth="1" style="959" min="11157" max="11157"/>
    <col width="15.45" customWidth="1" style="959" min="11158" max="11158"/>
    <col width="9.109999999999999" customWidth="1" style="959" min="11159" max="11162"/>
    <col width="10.44" customWidth="1" style="959" min="11163" max="11163"/>
    <col width="18" customWidth="1" style="959" min="11164" max="11164"/>
    <col width="9.109999999999999" customWidth="1" style="959" min="11165" max="11395"/>
    <col width="7.33" customWidth="1" style="959" min="11396" max="11396"/>
    <col width="5" customWidth="1" style="959" min="11397" max="11397"/>
    <col width="5.44" customWidth="1" style="959" min="11398" max="11398"/>
    <col width="9.66" customWidth="1" style="959" min="11399" max="11399"/>
    <col width="5.44" customWidth="1" style="959" min="11400" max="11400"/>
    <col width="2" customWidth="1" style="959" min="11401" max="11401"/>
    <col width="7.55" customWidth="1" style="959" min="11402" max="11402"/>
    <col width="8.67" customWidth="1" style="959" min="11403" max="11403"/>
    <col width="4.67" customWidth="1" style="959" min="11404" max="11404"/>
    <col width="8.67" customWidth="1" style="959" min="11405" max="11405"/>
    <col width="6" customWidth="1" style="959" min="11406" max="11406"/>
    <col width="6.34" customWidth="1" style="959" min="11407" max="11407"/>
    <col width="8.67" customWidth="1" style="959" min="11408" max="11408"/>
    <col width="3.45" customWidth="1" style="959" min="11409" max="11409"/>
    <col width="3" customWidth="1" style="959" min="11410" max="11410"/>
    <col width="4.33" customWidth="1" style="959" min="11411" max="11411"/>
    <col width="5.56" customWidth="1" style="959" min="11412" max="11412"/>
    <col width="4.67" customWidth="1" style="959" min="11413" max="11413"/>
    <col width="15.45" customWidth="1" style="959" min="11414" max="11414"/>
    <col width="9.109999999999999" customWidth="1" style="959" min="11415" max="11418"/>
    <col width="10.44" customWidth="1" style="959" min="11419" max="11419"/>
    <col width="18" customWidth="1" style="959" min="11420" max="11420"/>
    <col width="9.109999999999999" customWidth="1" style="959" min="11421" max="11651"/>
    <col width="7.33" customWidth="1" style="959" min="11652" max="11652"/>
    <col width="5" customWidth="1" style="959" min="11653" max="11653"/>
    <col width="5.44" customWidth="1" style="959" min="11654" max="11654"/>
    <col width="9.66" customWidth="1" style="959" min="11655" max="11655"/>
    <col width="5.44" customWidth="1" style="959" min="11656" max="11656"/>
    <col width="2" customWidth="1" style="959" min="11657" max="11657"/>
    <col width="7.55" customWidth="1" style="959" min="11658" max="11658"/>
    <col width="8.67" customWidth="1" style="959" min="11659" max="11659"/>
    <col width="4.67" customWidth="1" style="959" min="11660" max="11660"/>
    <col width="8.67" customWidth="1" style="959" min="11661" max="11661"/>
    <col width="6" customWidth="1" style="959" min="11662" max="11662"/>
    <col width="6.34" customWidth="1" style="959" min="11663" max="11663"/>
    <col width="8.67" customWidth="1" style="959" min="11664" max="11664"/>
    <col width="3.45" customWidth="1" style="959" min="11665" max="11665"/>
    <col width="3" customWidth="1" style="959" min="11666" max="11666"/>
    <col width="4.33" customWidth="1" style="959" min="11667" max="11667"/>
    <col width="5.56" customWidth="1" style="959" min="11668" max="11668"/>
    <col width="4.67" customWidth="1" style="959" min="11669" max="11669"/>
    <col width="15.45" customWidth="1" style="959" min="11670" max="11670"/>
    <col width="9.109999999999999" customWidth="1" style="959" min="11671" max="11674"/>
    <col width="10.44" customWidth="1" style="959" min="11675" max="11675"/>
    <col width="18" customWidth="1" style="959" min="11676" max="11676"/>
    <col width="9.109999999999999" customWidth="1" style="959" min="11677" max="11907"/>
    <col width="7.33" customWidth="1" style="959" min="11908" max="11908"/>
    <col width="5" customWidth="1" style="959" min="11909" max="11909"/>
    <col width="5.44" customWidth="1" style="959" min="11910" max="11910"/>
    <col width="9.66" customWidth="1" style="959" min="11911" max="11911"/>
    <col width="5.44" customWidth="1" style="959" min="11912" max="11912"/>
    <col width="2" customWidth="1" style="959" min="11913" max="11913"/>
    <col width="7.55" customWidth="1" style="959" min="11914" max="11914"/>
    <col width="8.67" customWidth="1" style="959" min="11915" max="11915"/>
    <col width="4.67" customWidth="1" style="959" min="11916" max="11916"/>
    <col width="8.67" customWidth="1" style="959" min="11917" max="11917"/>
    <col width="6" customWidth="1" style="959" min="11918" max="11918"/>
    <col width="6.34" customWidth="1" style="959" min="11919" max="11919"/>
    <col width="8.67" customWidth="1" style="959" min="11920" max="11920"/>
    <col width="3.45" customWidth="1" style="959" min="11921" max="11921"/>
    <col width="3" customWidth="1" style="959" min="11922" max="11922"/>
    <col width="4.33" customWidth="1" style="959" min="11923" max="11923"/>
    <col width="5.56" customWidth="1" style="959" min="11924" max="11924"/>
    <col width="4.67" customWidth="1" style="959" min="11925" max="11925"/>
    <col width="15.45" customWidth="1" style="959" min="11926" max="11926"/>
    <col width="9.109999999999999" customWidth="1" style="959" min="11927" max="11930"/>
    <col width="10.44" customWidth="1" style="959" min="11931" max="11931"/>
    <col width="18" customWidth="1" style="959" min="11932" max="11932"/>
    <col width="9.109999999999999" customWidth="1" style="959" min="11933" max="12163"/>
    <col width="7.33" customWidth="1" style="959" min="12164" max="12164"/>
    <col width="5" customWidth="1" style="959" min="12165" max="12165"/>
    <col width="5.44" customWidth="1" style="959" min="12166" max="12166"/>
    <col width="9.66" customWidth="1" style="959" min="12167" max="12167"/>
    <col width="5.44" customWidth="1" style="959" min="12168" max="12168"/>
    <col width="2" customWidth="1" style="959" min="12169" max="12169"/>
    <col width="7.55" customWidth="1" style="959" min="12170" max="12170"/>
    <col width="8.67" customWidth="1" style="959" min="12171" max="12171"/>
    <col width="4.67" customWidth="1" style="959" min="12172" max="12172"/>
    <col width="8.67" customWidth="1" style="959" min="12173" max="12173"/>
    <col width="6" customWidth="1" style="959" min="12174" max="12174"/>
    <col width="6.34" customWidth="1" style="959" min="12175" max="12175"/>
    <col width="8.67" customWidth="1" style="959" min="12176" max="12176"/>
    <col width="3.45" customWidth="1" style="959" min="12177" max="12177"/>
    <col width="3" customWidth="1" style="959" min="12178" max="12178"/>
    <col width="4.33" customWidth="1" style="959" min="12179" max="12179"/>
    <col width="5.56" customWidth="1" style="959" min="12180" max="12180"/>
    <col width="4.67" customWidth="1" style="959" min="12181" max="12181"/>
    <col width="15.45" customWidth="1" style="959" min="12182" max="12182"/>
    <col width="9.109999999999999" customWidth="1" style="959" min="12183" max="12186"/>
    <col width="10.44" customWidth="1" style="959" min="12187" max="12187"/>
    <col width="18" customWidth="1" style="959" min="12188" max="12188"/>
    <col width="9.109999999999999" customWidth="1" style="959" min="12189" max="12419"/>
    <col width="7.33" customWidth="1" style="959" min="12420" max="12420"/>
    <col width="5" customWidth="1" style="959" min="12421" max="12421"/>
    <col width="5.44" customWidth="1" style="959" min="12422" max="12422"/>
    <col width="9.66" customWidth="1" style="959" min="12423" max="12423"/>
    <col width="5.44" customWidth="1" style="959" min="12424" max="12424"/>
    <col width="2" customWidth="1" style="959" min="12425" max="12425"/>
    <col width="7.55" customWidth="1" style="959" min="12426" max="12426"/>
    <col width="8.67" customWidth="1" style="959" min="12427" max="12427"/>
    <col width="4.67" customWidth="1" style="959" min="12428" max="12428"/>
    <col width="8.67" customWidth="1" style="959" min="12429" max="12429"/>
    <col width="6" customWidth="1" style="959" min="12430" max="12430"/>
    <col width="6.34" customWidth="1" style="959" min="12431" max="12431"/>
    <col width="8.67" customWidth="1" style="959" min="12432" max="12432"/>
    <col width="3.45" customWidth="1" style="959" min="12433" max="12433"/>
    <col width="3" customWidth="1" style="959" min="12434" max="12434"/>
    <col width="4.33" customWidth="1" style="959" min="12435" max="12435"/>
    <col width="5.56" customWidth="1" style="959" min="12436" max="12436"/>
    <col width="4.67" customWidth="1" style="959" min="12437" max="12437"/>
    <col width="15.45" customWidth="1" style="959" min="12438" max="12438"/>
    <col width="9.109999999999999" customWidth="1" style="959" min="12439" max="12442"/>
    <col width="10.44" customWidth="1" style="959" min="12443" max="12443"/>
    <col width="18" customWidth="1" style="959" min="12444" max="12444"/>
    <col width="9.109999999999999" customWidth="1" style="959" min="12445" max="12675"/>
    <col width="7.33" customWidth="1" style="959" min="12676" max="12676"/>
    <col width="5" customWidth="1" style="959" min="12677" max="12677"/>
    <col width="5.44" customWidth="1" style="959" min="12678" max="12678"/>
    <col width="9.66" customWidth="1" style="959" min="12679" max="12679"/>
    <col width="5.44" customWidth="1" style="959" min="12680" max="12680"/>
    <col width="2" customWidth="1" style="959" min="12681" max="12681"/>
    <col width="7.55" customWidth="1" style="959" min="12682" max="12682"/>
    <col width="8.67" customWidth="1" style="959" min="12683" max="12683"/>
    <col width="4.67" customWidth="1" style="959" min="12684" max="12684"/>
    <col width="8.67" customWidth="1" style="959" min="12685" max="12685"/>
    <col width="6" customWidth="1" style="959" min="12686" max="12686"/>
    <col width="6.34" customWidth="1" style="959" min="12687" max="12687"/>
    <col width="8.67" customWidth="1" style="959" min="12688" max="12688"/>
    <col width="3.45" customWidth="1" style="959" min="12689" max="12689"/>
    <col width="3" customWidth="1" style="959" min="12690" max="12690"/>
    <col width="4.33" customWidth="1" style="959" min="12691" max="12691"/>
    <col width="5.56" customWidth="1" style="959" min="12692" max="12692"/>
    <col width="4.67" customWidth="1" style="959" min="12693" max="12693"/>
    <col width="15.45" customWidth="1" style="959" min="12694" max="12694"/>
    <col width="9.109999999999999" customWidth="1" style="959" min="12695" max="12698"/>
    <col width="10.44" customWidth="1" style="959" min="12699" max="12699"/>
    <col width="18" customWidth="1" style="959" min="12700" max="12700"/>
    <col width="9.109999999999999" customWidth="1" style="959" min="12701" max="12931"/>
    <col width="7.33" customWidth="1" style="959" min="12932" max="12932"/>
    <col width="5" customWidth="1" style="959" min="12933" max="12933"/>
    <col width="5.44" customWidth="1" style="959" min="12934" max="12934"/>
    <col width="9.66" customWidth="1" style="959" min="12935" max="12935"/>
    <col width="5.44" customWidth="1" style="959" min="12936" max="12936"/>
    <col width="2" customWidth="1" style="959" min="12937" max="12937"/>
    <col width="7.55" customWidth="1" style="959" min="12938" max="12938"/>
    <col width="8.67" customWidth="1" style="959" min="12939" max="12939"/>
    <col width="4.67" customWidth="1" style="959" min="12940" max="12940"/>
    <col width="8.67" customWidth="1" style="959" min="12941" max="12941"/>
    <col width="6" customWidth="1" style="959" min="12942" max="12942"/>
    <col width="6.34" customWidth="1" style="959" min="12943" max="12943"/>
    <col width="8.67" customWidth="1" style="959" min="12944" max="12944"/>
    <col width="3.45" customWidth="1" style="959" min="12945" max="12945"/>
    <col width="3" customWidth="1" style="959" min="12946" max="12946"/>
    <col width="4.33" customWidth="1" style="959" min="12947" max="12947"/>
    <col width="5.56" customWidth="1" style="959" min="12948" max="12948"/>
    <col width="4.67" customWidth="1" style="959" min="12949" max="12949"/>
    <col width="15.45" customWidth="1" style="959" min="12950" max="12950"/>
    <col width="9.109999999999999" customWidth="1" style="959" min="12951" max="12954"/>
    <col width="10.44" customWidth="1" style="959" min="12955" max="12955"/>
    <col width="18" customWidth="1" style="959" min="12956" max="12956"/>
    <col width="9.109999999999999" customWidth="1" style="959" min="12957" max="13187"/>
    <col width="7.33" customWidth="1" style="959" min="13188" max="13188"/>
    <col width="5" customWidth="1" style="959" min="13189" max="13189"/>
    <col width="5.44" customWidth="1" style="959" min="13190" max="13190"/>
    <col width="9.66" customWidth="1" style="959" min="13191" max="13191"/>
    <col width="5.44" customWidth="1" style="959" min="13192" max="13192"/>
    <col width="2" customWidth="1" style="959" min="13193" max="13193"/>
    <col width="7.55" customWidth="1" style="959" min="13194" max="13194"/>
    <col width="8.67" customWidth="1" style="959" min="13195" max="13195"/>
    <col width="4.67" customWidth="1" style="959" min="13196" max="13196"/>
    <col width="8.67" customWidth="1" style="959" min="13197" max="13197"/>
    <col width="6" customWidth="1" style="959" min="13198" max="13198"/>
    <col width="6.34" customWidth="1" style="959" min="13199" max="13199"/>
    <col width="8.67" customWidth="1" style="959" min="13200" max="13200"/>
    <col width="3.45" customWidth="1" style="959" min="13201" max="13201"/>
    <col width="3" customWidth="1" style="959" min="13202" max="13202"/>
    <col width="4.33" customWidth="1" style="959" min="13203" max="13203"/>
    <col width="5.56" customWidth="1" style="959" min="13204" max="13204"/>
    <col width="4.67" customWidth="1" style="959" min="13205" max="13205"/>
    <col width="15.45" customWidth="1" style="959" min="13206" max="13206"/>
    <col width="9.109999999999999" customWidth="1" style="959" min="13207" max="13210"/>
    <col width="10.44" customWidth="1" style="959" min="13211" max="13211"/>
    <col width="18" customWidth="1" style="959" min="13212" max="13212"/>
    <col width="9.109999999999999" customWidth="1" style="959" min="13213" max="13443"/>
    <col width="7.33" customWidth="1" style="959" min="13444" max="13444"/>
    <col width="5" customWidth="1" style="959" min="13445" max="13445"/>
    <col width="5.44" customWidth="1" style="959" min="13446" max="13446"/>
    <col width="9.66" customWidth="1" style="959" min="13447" max="13447"/>
    <col width="5.44" customWidth="1" style="959" min="13448" max="13448"/>
    <col width="2" customWidth="1" style="959" min="13449" max="13449"/>
    <col width="7.55" customWidth="1" style="959" min="13450" max="13450"/>
    <col width="8.67" customWidth="1" style="959" min="13451" max="13451"/>
    <col width="4.67" customWidth="1" style="959" min="13452" max="13452"/>
    <col width="8.67" customWidth="1" style="959" min="13453" max="13453"/>
    <col width="6" customWidth="1" style="959" min="13454" max="13454"/>
    <col width="6.34" customWidth="1" style="959" min="13455" max="13455"/>
    <col width="8.67" customWidth="1" style="959" min="13456" max="13456"/>
    <col width="3.45" customWidth="1" style="959" min="13457" max="13457"/>
    <col width="3" customWidth="1" style="959" min="13458" max="13458"/>
    <col width="4.33" customWidth="1" style="959" min="13459" max="13459"/>
    <col width="5.56" customWidth="1" style="959" min="13460" max="13460"/>
    <col width="4.67" customWidth="1" style="959" min="13461" max="13461"/>
    <col width="15.45" customWidth="1" style="959" min="13462" max="13462"/>
    <col width="9.109999999999999" customWidth="1" style="959" min="13463" max="13466"/>
    <col width="10.44" customWidth="1" style="959" min="13467" max="13467"/>
    <col width="18" customWidth="1" style="959" min="13468" max="13468"/>
    <col width="9.109999999999999" customWidth="1" style="959" min="13469" max="13699"/>
    <col width="7.33" customWidth="1" style="959" min="13700" max="13700"/>
    <col width="5" customWidth="1" style="959" min="13701" max="13701"/>
    <col width="5.44" customWidth="1" style="959" min="13702" max="13702"/>
    <col width="9.66" customWidth="1" style="959" min="13703" max="13703"/>
    <col width="5.44" customWidth="1" style="959" min="13704" max="13704"/>
    <col width="2" customWidth="1" style="959" min="13705" max="13705"/>
    <col width="7.55" customWidth="1" style="959" min="13706" max="13706"/>
    <col width="8.67" customWidth="1" style="959" min="13707" max="13707"/>
    <col width="4.67" customWidth="1" style="959" min="13708" max="13708"/>
    <col width="8.67" customWidth="1" style="959" min="13709" max="13709"/>
    <col width="6" customWidth="1" style="959" min="13710" max="13710"/>
    <col width="6.34" customWidth="1" style="959" min="13711" max="13711"/>
    <col width="8.67" customWidth="1" style="959" min="13712" max="13712"/>
    <col width="3.45" customWidth="1" style="959" min="13713" max="13713"/>
    <col width="3" customWidth="1" style="959" min="13714" max="13714"/>
    <col width="4.33" customWidth="1" style="959" min="13715" max="13715"/>
    <col width="5.56" customWidth="1" style="959" min="13716" max="13716"/>
    <col width="4.67" customWidth="1" style="959" min="13717" max="13717"/>
    <col width="15.45" customWidth="1" style="959" min="13718" max="13718"/>
    <col width="9.109999999999999" customWidth="1" style="959" min="13719" max="13722"/>
    <col width="10.44" customWidth="1" style="959" min="13723" max="13723"/>
    <col width="18" customWidth="1" style="959" min="13724" max="13724"/>
    <col width="9.109999999999999" customWidth="1" style="959" min="13725" max="13955"/>
    <col width="7.33" customWidth="1" style="959" min="13956" max="13956"/>
    <col width="5" customWidth="1" style="959" min="13957" max="13957"/>
    <col width="5.44" customWidth="1" style="959" min="13958" max="13958"/>
    <col width="9.66" customWidth="1" style="959" min="13959" max="13959"/>
    <col width="5.44" customWidth="1" style="959" min="13960" max="13960"/>
    <col width="2" customWidth="1" style="959" min="13961" max="13961"/>
    <col width="7.55" customWidth="1" style="959" min="13962" max="13962"/>
    <col width="8.67" customWidth="1" style="959" min="13963" max="13963"/>
    <col width="4.67" customWidth="1" style="959" min="13964" max="13964"/>
    <col width="8.67" customWidth="1" style="959" min="13965" max="13965"/>
    <col width="6" customWidth="1" style="959" min="13966" max="13966"/>
    <col width="6.34" customWidth="1" style="959" min="13967" max="13967"/>
    <col width="8.67" customWidth="1" style="959" min="13968" max="13968"/>
    <col width="3.45" customWidth="1" style="959" min="13969" max="13969"/>
    <col width="3" customWidth="1" style="959" min="13970" max="13970"/>
    <col width="4.33" customWidth="1" style="959" min="13971" max="13971"/>
    <col width="5.56" customWidth="1" style="959" min="13972" max="13972"/>
    <col width="4.67" customWidth="1" style="959" min="13973" max="13973"/>
    <col width="15.45" customWidth="1" style="959" min="13974" max="13974"/>
    <col width="9.109999999999999" customWidth="1" style="959" min="13975" max="13978"/>
    <col width="10.44" customWidth="1" style="959" min="13979" max="13979"/>
    <col width="18" customWidth="1" style="959" min="13980" max="13980"/>
    <col width="9.109999999999999" customWidth="1" style="959" min="13981" max="14211"/>
    <col width="7.33" customWidth="1" style="959" min="14212" max="14212"/>
    <col width="5" customWidth="1" style="959" min="14213" max="14213"/>
    <col width="5.44" customWidth="1" style="959" min="14214" max="14214"/>
    <col width="9.66" customWidth="1" style="959" min="14215" max="14215"/>
    <col width="5.44" customWidth="1" style="959" min="14216" max="14216"/>
    <col width="2" customWidth="1" style="959" min="14217" max="14217"/>
    <col width="7.55" customWidth="1" style="959" min="14218" max="14218"/>
    <col width="8.67" customWidth="1" style="959" min="14219" max="14219"/>
    <col width="4.67" customWidth="1" style="959" min="14220" max="14220"/>
    <col width="8.67" customWidth="1" style="959" min="14221" max="14221"/>
    <col width="6" customWidth="1" style="959" min="14222" max="14222"/>
    <col width="6.34" customWidth="1" style="959" min="14223" max="14223"/>
    <col width="8.67" customWidth="1" style="959" min="14224" max="14224"/>
    <col width="3.45" customWidth="1" style="959" min="14225" max="14225"/>
    <col width="3" customWidth="1" style="959" min="14226" max="14226"/>
    <col width="4.33" customWidth="1" style="959" min="14227" max="14227"/>
    <col width="5.56" customWidth="1" style="959" min="14228" max="14228"/>
    <col width="4.67" customWidth="1" style="959" min="14229" max="14229"/>
    <col width="15.45" customWidth="1" style="959" min="14230" max="14230"/>
    <col width="9.109999999999999" customWidth="1" style="959" min="14231" max="14234"/>
    <col width="10.44" customWidth="1" style="959" min="14235" max="14235"/>
    <col width="18" customWidth="1" style="959" min="14236" max="14236"/>
    <col width="9.109999999999999" customWidth="1" style="959" min="14237" max="14467"/>
    <col width="7.33" customWidth="1" style="959" min="14468" max="14468"/>
    <col width="5" customWidth="1" style="959" min="14469" max="14469"/>
    <col width="5.44" customWidth="1" style="959" min="14470" max="14470"/>
    <col width="9.66" customWidth="1" style="959" min="14471" max="14471"/>
    <col width="5.44" customWidth="1" style="959" min="14472" max="14472"/>
    <col width="2" customWidth="1" style="959" min="14473" max="14473"/>
    <col width="7.55" customWidth="1" style="959" min="14474" max="14474"/>
    <col width="8.67" customWidth="1" style="959" min="14475" max="14475"/>
    <col width="4.67" customWidth="1" style="959" min="14476" max="14476"/>
    <col width="8.67" customWidth="1" style="959" min="14477" max="14477"/>
    <col width="6" customWidth="1" style="959" min="14478" max="14478"/>
    <col width="6.34" customWidth="1" style="959" min="14479" max="14479"/>
    <col width="8.67" customWidth="1" style="959" min="14480" max="14480"/>
    <col width="3.45" customWidth="1" style="959" min="14481" max="14481"/>
    <col width="3" customWidth="1" style="959" min="14482" max="14482"/>
    <col width="4.33" customWidth="1" style="959" min="14483" max="14483"/>
    <col width="5.56" customWidth="1" style="959" min="14484" max="14484"/>
    <col width="4.67" customWidth="1" style="959" min="14485" max="14485"/>
    <col width="15.45" customWidth="1" style="959" min="14486" max="14486"/>
    <col width="9.109999999999999" customWidth="1" style="959" min="14487" max="14490"/>
    <col width="10.44" customWidth="1" style="959" min="14491" max="14491"/>
    <col width="18" customWidth="1" style="959" min="14492" max="14492"/>
    <col width="9.109999999999999" customWidth="1" style="959" min="14493" max="14723"/>
    <col width="7.33" customWidth="1" style="959" min="14724" max="14724"/>
    <col width="5" customWidth="1" style="959" min="14725" max="14725"/>
    <col width="5.44" customWidth="1" style="959" min="14726" max="14726"/>
    <col width="9.66" customWidth="1" style="959" min="14727" max="14727"/>
    <col width="5.44" customWidth="1" style="959" min="14728" max="14728"/>
    <col width="2" customWidth="1" style="959" min="14729" max="14729"/>
    <col width="7.55" customWidth="1" style="959" min="14730" max="14730"/>
    <col width="8.67" customWidth="1" style="959" min="14731" max="14731"/>
    <col width="4.67" customWidth="1" style="959" min="14732" max="14732"/>
    <col width="8.67" customWidth="1" style="959" min="14733" max="14733"/>
    <col width="6" customWidth="1" style="959" min="14734" max="14734"/>
    <col width="6.34" customWidth="1" style="959" min="14735" max="14735"/>
    <col width="8.67" customWidth="1" style="959" min="14736" max="14736"/>
    <col width="3.45" customWidth="1" style="959" min="14737" max="14737"/>
    <col width="3" customWidth="1" style="959" min="14738" max="14738"/>
    <col width="4.33" customWidth="1" style="959" min="14739" max="14739"/>
    <col width="5.56" customWidth="1" style="959" min="14740" max="14740"/>
    <col width="4.67" customWidth="1" style="959" min="14741" max="14741"/>
    <col width="15.45" customWidth="1" style="959" min="14742" max="14742"/>
    <col width="9.109999999999999" customWidth="1" style="959" min="14743" max="14746"/>
    <col width="10.44" customWidth="1" style="959" min="14747" max="14747"/>
    <col width="18" customWidth="1" style="959" min="14748" max="14748"/>
    <col width="9.109999999999999" customWidth="1" style="959" min="14749" max="14979"/>
    <col width="7.33" customWidth="1" style="959" min="14980" max="14980"/>
    <col width="5" customWidth="1" style="959" min="14981" max="14981"/>
    <col width="5.44" customWidth="1" style="959" min="14982" max="14982"/>
    <col width="9.66" customWidth="1" style="959" min="14983" max="14983"/>
    <col width="5.44" customWidth="1" style="959" min="14984" max="14984"/>
    <col width="2" customWidth="1" style="959" min="14985" max="14985"/>
    <col width="7.55" customWidth="1" style="959" min="14986" max="14986"/>
    <col width="8.67" customWidth="1" style="959" min="14987" max="14987"/>
    <col width="4.67" customWidth="1" style="959" min="14988" max="14988"/>
    <col width="8.67" customWidth="1" style="959" min="14989" max="14989"/>
    <col width="6" customWidth="1" style="959" min="14990" max="14990"/>
    <col width="6.34" customWidth="1" style="959" min="14991" max="14991"/>
    <col width="8.67" customWidth="1" style="959" min="14992" max="14992"/>
    <col width="3.45" customWidth="1" style="959" min="14993" max="14993"/>
    <col width="3" customWidth="1" style="959" min="14994" max="14994"/>
    <col width="4.33" customWidth="1" style="959" min="14995" max="14995"/>
    <col width="5.56" customWidth="1" style="959" min="14996" max="14996"/>
    <col width="4.67" customWidth="1" style="959" min="14997" max="14997"/>
    <col width="15.45" customWidth="1" style="959" min="14998" max="14998"/>
    <col width="9.109999999999999" customWidth="1" style="959" min="14999" max="15002"/>
    <col width="10.44" customWidth="1" style="959" min="15003" max="15003"/>
    <col width="18" customWidth="1" style="959" min="15004" max="15004"/>
    <col width="9.109999999999999" customWidth="1" style="959" min="15005" max="15235"/>
    <col width="7.33" customWidth="1" style="959" min="15236" max="15236"/>
    <col width="5" customWidth="1" style="959" min="15237" max="15237"/>
    <col width="5.44" customWidth="1" style="959" min="15238" max="15238"/>
    <col width="9.66" customWidth="1" style="959" min="15239" max="15239"/>
    <col width="5.44" customWidth="1" style="959" min="15240" max="15240"/>
    <col width="2" customWidth="1" style="959" min="15241" max="15241"/>
    <col width="7.55" customWidth="1" style="959" min="15242" max="15242"/>
    <col width="8.67" customWidth="1" style="959" min="15243" max="15243"/>
    <col width="4.67" customWidth="1" style="959" min="15244" max="15244"/>
    <col width="8.67" customWidth="1" style="959" min="15245" max="15245"/>
    <col width="6" customWidth="1" style="959" min="15246" max="15246"/>
    <col width="6.34" customWidth="1" style="959" min="15247" max="15247"/>
    <col width="8.67" customWidth="1" style="959" min="15248" max="15248"/>
    <col width="3.45" customWidth="1" style="959" min="15249" max="15249"/>
    <col width="3" customWidth="1" style="959" min="15250" max="15250"/>
    <col width="4.33" customWidth="1" style="959" min="15251" max="15251"/>
    <col width="5.56" customWidth="1" style="959" min="15252" max="15252"/>
    <col width="4.67" customWidth="1" style="959" min="15253" max="15253"/>
    <col width="15.45" customWidth="1" style="959" min="15254" max="15254"/>
    <col width="9.109999999999999" customWidth="1" style="959" min="15255" max="15258"/>
    <col width="10.44" customWidth="1" style="959" min="15259" max="15259"/>
    <col width="18" customWidth="1" style="959" min="15260" max="15260"/>
    <col width="9.109999999999999" customWidth="1" style="959" min="15261" max="15491"/>
    <col width="7.33" customWidth="1" style="959" min="15492" max="15492"/>
    <col width="5" customWidth="1" style="959" min="15493" max="15493"/>
    <col width="5.44" customWidth="1" style="959" min="15494" max="15494"/>
    <col width="9.66" customWidth="1" style="959" min="15495" max="15495"/>
    <col width="5.44" customWidth="1" style="959" min="15496" max="15496"/>
    <col width="2" customWidth="1" style="959" min="15497" max="15497"/>
    <col width="7.55" customWidth="1" style="959" min="15498" max="15498"/>
    <col width="8.67" customWidth="1" style="959" min="15499" max="15499"/>
    <col width="4.67" customWidth="1" style="959" min="15500" max="15500"/>
    <col width="8.67" customWidth="1" style="959" min="15501" max="15501"/>
    <col width="6" customWidth="1" style="959" min="15502" max="15502"/>
    <col width="6.34" customWidth="1" style="959" min="15503" max="15503"/>
    <col width="8.67" customWidth="1" style="959" min="15504" max="15504"/>
    <col width="3.45" customWidth="1" style="959" min="15505" max="15505"/>
    <col width="3" customWidth="1" style="959" min="15506" max="15506"/>
    <col width="4.33" customWidth="1" style="959" min="15507" max="15507"/>
    <col width="5.56" customWidth="1" style="959" min="15508" max="15508"/>
    <col width="4.67" customWidth="1" style="959" min="15509" max="15509"/>
    <col width="15.45" customWidth="1" style="959" min="15510" max="15510"/>
    <col width="9.109999999999999" customWidth="1" style="959" min="15511" max="15514"/>
    <col width="10.44" customWidth="1" style="959" min="15515" max="15515"/>
    <col width="18" customWidth="1" style="959" min="15516" max="15516"/>
    <col width="9.109999999999999" customWidth="1" style="959" min="15517" max="15747"/>
    <col width="7.33" customWidth="1" style="959" min="15748" max="15748"/>
    <col width="5" customWidth="1" style="959" min="15749" max="15749"/>
    <col width="5.44" customWidth="1" style="959" min="15750" max="15750"/>
    <col width="9.66" customWidth="1" style="959" min="15751" max="15751"/>
    <col width="5.44" customWidth="1" style="959" min="15752" max="15752"/>
    <col width="2" customWidth="1" style="959" min="15753" max="15753"/>
    <col width="7.55" customWidth="1" style="959" min="15754" max="15754"/>
    <col width="8.67" customWidth="1" style="959" min="15755" max="15755"/>
    <col width="4.67" customWidth="1" style="959" min="15756" max="15756"/>
    <col width="8.67" customWidth="1" style="959" min="15757" max="15757"/>
    <col width="6" customWidth="1" style="959" min="15758" max="15758"/>
    <col width="6.34" customWidth="1" style="959" min="15759" max="15759"/>
    <col width="8.67" customWidth="1" style="959" min="15760" max="15760"/>
    <col width="3.45" customWidth="1" style="959" min="15761" max="15761"/>
    <col width="3" customWidth="1" style="959" min="15762" max="15762"/>
    <col width="4.33" customWidth="1" style="959" min="15763" max="15763"/>
    <col width="5.56" customWidth="1" style="959" min="15764" max="15764"/>
    <col width="4.67" customWidth="1" style="959" min="15765" max="15765"/>
    <col width="15.45" customWidth="1" style="959" min="15766" max="15766"/>
    <col width="9.109999999999999" customWidth="1" style="959" min="15767" max="15770"/>
    <col width="10.44" customWidth="1" style="959" min="15771" max="15771"/>
    <col width="18" customWidth="1" style="959" min="15772" max="15772"/>
    <col width="9.109999999999999" customWidth="1" style="959" min="15773" max="16384"/>
  </cols>
  <sheetData>
    <row r="1" ht="55.5" customFormat="1" customHeight="1" s="960">
      <c r="A1" s="961" t="n"/>
      <c r="B1" s="962" t="n"/>
      <c r="C1" s="890" t="n"/>
      <c r="D1" s="963" t="inlineStr">
        <is>
          <t>Job Sequence of Events</t>
        </is>
      </c>
      <c r="E1" s="962" t="n"/>
      <c r="F1" s="962" t="n"/>
      <c r="G1" s="962" t="n"/>
      <c r="H1" s="962" t="n"/>
      <c r="I1" s="962" t="n"/>
      <c r="J1" s="962" t="n"/>
      <c r="K1" s="962" t="n"/>
      <c r="L1" s="962" t="n"/>
      <c r="M1" s="962" t="n"/>
      <c r="N1" s="962" t="n"/>
      <c r="O1" s="962" t="n"/>
      <c r="P1" s="962" t="n"/>
      <c r="Q1" s="962" t="n"/>
      <c r="R1" s="890" t="n"/>
      <c r="S1" s="964" t="n"/>
    </row>
    <row r="2" ht="22.35" customFormat="1" customHeight="1" s="960">
      <c r="A2" s="965" t="inlineStr">
        <is>
          <t>DOCUMENT NUMBER</t>
        </is>
      </c>
      <c r="B2" s="895" t="n"/>
      <c r="C2" s="892" t="n"/>
      <c r="D2" s="966" t="inlineStr">
        <is>
          <t>CLASSIFICATION</t>
        </is>
      </c>
      <c r="E2" s="892" t="n"/>
      <c r="F2" s="966" t="inlineStr">
        <is>
          <t>DOCUMENT LEVEL</t>
        </is>
      </c>
      <c r="G2" s="895" t="n"/>
      <c r="H2" s="892" t="n"/>
      <c r="I2" s="966" t="inlineStr">
        <is>
          <t>REVISION NUMBER</t>
        </is>
      </c>
      <c r="J2" s="895" t="n"/>
      <c r="K2" s="892" t="n"/>
      <c r="L2" s="966" t="inlineStr">
        <is>
          <t>ISSUE DATE</t>
        </is>
      </c>
      <c r="M2" s="895" t="n"/>
      <c r="N2" s="892" t="n"/>
      <c r="O2" s="966" t="inlineStr">
        <is>
          <t>PREPARED BY</t>
        </is>
      </c>
      <c r="P2" s="895" t="n"/>
      <c r="Q2" s="895" t="n"/>
      <c r="R2" s="892" t="n"/>
      <c r="S2" s="967" t="inlineStr">
        <is>
          <t>APPROVAL</t>
        </is>
      </c>
    </row>
    <row r="3" ht="23.25" customFormat="1" customHeight="1" s="960">
      <c r="A3" s="968" t="inlineStr">
        <is>
          <t>GL-COMP-OEPS-L4-15.07</t>
        </is>
      </c>
      <c r="B3" s="969" t="n"/>
      <c r="C3" s="970" t="n"/>
      <c r="D3" s="971" t="inlineStr">
        <is>
          <t>CONTROLLED</t>
        </is>
      </c>
      <c r="E3" s="972" t="n"/>
      <c r="F3" s="971" t="inlineStr">
        <is>
          <t>L5</t>
        </is>
      </c>
      <c r="G3" s="973" t="n"/>
      <c r="H3" s="972" t="n"/>
      <c r="I3" s="971" t="n">
        <v>1</v>
      </c>
      <c r="J3" s="973" t="n"/>
      <c r="K3" s="972" t="n"/>
      <c r="L3" s="974" t="n">
        <v>43116</v>
      </c>
      <c r="M3" s="973" t="n"/>
      <c r="N3" s="972" t="n"/>
      <c r="O3" s="971" t="inlineStr">
        <is>
          <t>WCT TECHNICAL DOCUMENTATION GROUP</t>
        </is>
      </c>
      <c r="P3" s="973" t="n"/>
      <c r="Q3" s="973" t="n"/>
      <c r="R3" s="972" t="n"/>
      <c r="S3" s="975" t="inlineStr">
        <is>
          <t>WCT TWIC</t>
        </is>
      </c>
    </row>
    <row r="4" ht="12" customFormat="1" customHeight="1" s="960">
      <c r="A4" s="976" t="n"/>
      <c r="B4" s="895" t="n"/>
      <c r="C4" s="895" t="n"/>
      <c r="D4" s="895" t="n"/>
      <c r="E4" s="895" t="n"/>
      <c r="F4" s="895" t="n"/>
      <c r="G4" s="895" t="n"/>
      <c r="H4" s="895" t="n"/>
      <c r="I4" s="895" t="n"/>
      <c r="J4" s="895" t="n"/>
      <c r="K4" s="895" t="n"/>
      <c r="L4" s="895" t="n"/>
      <c r="M4" s="895" t="n"/>
      <c r="N4" s="895" t="n"/>
      <c r="O4" s="895" t="n"/>
      <c r="P4" s="895" t="n"/>
      <c r="Q4" s="895" t="n"/>
      <c r="R4" s="895" t="n"/>
      <c r="S4" s="896" t="n"/>
    </row>
    <row r="5" ht="21" customFormat="1" customHeight="1" s="977">
      <c r="A5" s="978" t="inlineStr">
        <is>
          <t xml:space="preserve">Job No.: </t>
        </is>
      </c>
      <c r="B5" s="917" t="n"/>
      <c r="C5" s="918" t="n"/>
      <c r="D5" s="979">
        <f>'Master Data'!B11</f>
        <v/>
      </c>
      <c r="E5" s="917" t="n"/>
      <c r="F5" s="917" t="n"/>
      <c r="G5" s="918" t="n"/>
      <c r="H5" s="980" t="inlineStr">
        <is>
          <t>Well Name:</t>
        </is>
      </c>
      <c r="I5" s="917" t="n"/>
      <c r="J5" s="918" t="n"/>
      <c r="K5" s="979">
        <f>'Master Data'!$E$10</f>
        <v/>
      </c>
      <c r="L5" s="917" t="n"/>
      <c r="M5" s="918" t="n"/>
      <c r="N5" s="980" t="inlineStr">
        <is>
          <t>Rig:</t>
        </is>
      </c>
      <c r="O5" s="917" t="n"/>
      <c r="P5" s="917" t="n"/>
      <c r="Q5" s="918" t="n"/>
      <c r="R5" s="981">
        <f>'Master Data'!E11</f>
        <v/>
      </c>
      <c r="S5" s="982" t="n"/>
    </row>
    <row r="6" ht="33.75" customFormat="1" customHeight="1" s="960">
      <c r="A6" s="983" t="inlineStr">
        <is>
          <t>Client Ref.:</t>
        </is>
      </c>
      <c r="B6" s="895" t="n"/>
      <c r="C6" s="892" t="n"/>
      <c r="D6" s="984" t="n"/>
      <c r="E6" s="895" t="n"/>
      <c r="F6" s="895" t="n"/>
      <c r="G6" s="892" t="n"/>
      <c r="H6" s="985" t="inlineStr">
        <is>
          <t>Start Date:</t>
        </is>
      </c>
      <c r="I6" s="895" t="n"/>
      <c r="J6" s="892" t="n"/>
      <c r="K6" s="986">
        <f>'Master Data'!E12</f>
        <v/>
      </c>
      <c r="L6" s="895" t="n"/>
      <c r="M6" s="892" t="n"/>
      <c r="N6" s="985" t="inlineStr">
        <is>
          <t>Job Type:</t>
        </is>
      </c>
      <c r="O6" s="895" t="n"/>
      <c r="P6" s="895" t="n"/>
      <c r="Q6" s="892" t="n"/>
      <c r="R6" s="987">
        <f>'Master Data'!E3</f>
        <v/>
      </c>
      <c r="S6" s="896" t="n"/>
    </row>
    <row r="7" ht="21" customFormat="1" customHeight="1" s="960">
      <c r="A7" s="983" t="inlineStr">
        <is>
          <t>Client:</t>
        </is>
      </c>
      <c r="B7" s="895" t="n"/>
      <c r="C7" s="892" t="n"/>
      <c r="D7" s="966">
        <f>'Master Data'!B3</f>
        <v/>
      </c>
      <c r="E7" s="895" t="n"/>
      <c r="F7" s="895" t="n"/>
      <c r="G7" s="892" t="n"/>
      <c r="H7" s="985" t="inlineStr">
        <is>
          <t>End Date:</t>
        </is>
      </c>
      <c r="I7" s="895" t="n"/>
      <c r="J7" s="892" t="n"/>
      <c r="K7" s="988">
        <f>'Master Data'!E15</f>
        <v/>
      </c>
      <c r="L7" s="895" t="n"/>
      <c r="M7" s="892" t="n"/>
      <c r="N7" s="985" t="inlineStr">
        <is>
          <t>WCT Rep:</t>
        </is>
      </c>
      <c r="O7" s="895" t="n"/>
      <c r="P7" s="895" t="n"/>
      <c r="Q7" s="892" t="n"/>
      <c r="R7" s="987">
        <f>'Master Data'!B21</f>
        <v/>
      </c>
      <c r="S7" s="896" t="n"/>
    </row>
    <row r="8" ht="26.25" customFormat="1" customHeight="1" s="960">
      <c r="A8" s="989" t="inlineStr">
        <is>
          <t>Total Time:</t>
        </is>
      </c>
      <c r="B8" s="912" t="n"/>
      <c r="C8" s="908" t="n"/>
      <c r="D8" s="990">
        <f>'Master Data'!E16</f>
        <v/>
      </c>
      <c r="E8" s="991" t="inlineStr">
        <is>
          <t>Work Time:</t>
        </is>
      </c>
      <c r="F8" s="912" t="n"/>
      <c r="G8" s="908" t="n"/>
      <c r="H8" s="992">
        <f>'Master Data'!E17</f>
        <v/>
      </c>
      <c r="I8" s="991" t="inlineStr">
        <is>
          <t>Lost Time:</t>
        </is>
      </c>
      <c r="J8" s="908" t="n"/>
      <c r="K8" s="992">
        <f>'Master Data'!E18</f>
        <v/>
      </c>
      <c r="L8" s="908" t="n"/>
      <c r="M8" s="991" t="inlineStr">
        <is>
          <t>Runs:</t>
        </is>
      </c>
      <c r="N8" s="908" t="n"/>
      <c r="O8" s="992">
        <f>'Master Data'!E19</f>
        <v/>
      </c>
      <c r="P8" s="908" t="n"/>
      <c r="Q8" s="991" t="inlineStr">
        <is>
          <t>Miss Runs:</t>
        </is>
      </c>
      <c r="R8" s="908" t="n"/>
      <c r="S8" s="993">
        <f>'Master Data'!E20</f>
        <v/>
      </c>
    </row>
    <row r="9" ht="12" customFormat="1" customHeight="1" s="960">
      <c r="A9" s="994" t="n"/>
      <c r="S9" s="995" t="n"/>
    </row>
    <row r="10" ht="12" customFormat="1" customHeight="1" s="960">
      <c r="A10" s="996" t="inlineStr">
        <is>
          <t>Date</t>
        </is>
      </c>
      <c r="B10" s="895" t="n"/>
      <c r="C10" s="892" t="n"/>
      <c r="D10" s="997" t="inlineStr">
        <is>
          <t>Time</t>
        </is>
      </c>
      <c r="E10" s="998" t="inlineStr">
        <is>
          <t>Event</t>
        </is>
      </c>
      <c r="F10" s="895" t="n"/>
      <c r="G10" s="895" t="n"/>
      <c r="H10" s="895" t="n"/>
      <c r="I10" s="895" t="n"/>
      <c r="J10" s="895" t="n"/>
      <c r="K10" s="895" t="n"/>
      <c r="L10" s="895" t="n"/>
      <c r="M10" s="895" t="n"/>
      <c r="N10" s="895" t="n"/>
      <c r="O10" s="895" t="n"/>
      <c r="P10" s="895" t="n"/>
      <c r="Q10" s="895" t="n"/>
      <c r="R10" s="895" t="n"/>
      <c r="S10" s="896" t="n"/>
    </row>
    <row r="11" ht="50.25" customHeight="1" s="882">
      <c r="A11" s="999" t="n">
        <v>46213</v>
      </c>
      <c r="B11" s="1000" t="n"/>
      <c r="C11" s="1001" t="n"/>
      <c r="D11" s="1002" t="inlineStr">
        <is>
          <t>0:00</t>
        </is>
      </c>
      <c r="E11" s="1003" t="inlineStr">
        <is>
          <t>Drilling 12 1/4" section hole w/ IDS RSS/LWD BHA from 11,300 ft to 11,500 ft. Kft-lbs. Cutting skips: On board; Full - 5 ea, Empty - 9 ea On boat: Full - 12 ea, Empty - 15 ea Offline: return. observed.
* Drilling parameters: WOB 50 Klbs, 850-950 GPM/ 3,500-4,100 psi, 100-120 RPM, TQ 18-38
* Daily / cumulative footage =200 / 6030 ft.
* Daily / cumulative on bottom hours = 20.8 / 106.8 hrs
* Daily / cumulative Drilling hours = 24 / 130.5 hrs
* Daily / cumulative on bottom ROP = 9.6 / 56.5 fph
* Daily / cumulative average ROP = 8.3 / 46.2 fph
* Last survey @ 11406.4 ft, INC: 64.63 deg, AZI: 289.06 deg , DLS: 2.83 º/100ft.
* Distance from plan = 12.4 ft Above / 1.54 ft Right.
* Actual ECD: 11.9 ppg, Calculated ECD: 12.1 ppg.
* NAF Mud wight: 11.5 ppg - bridging martial: 40 ppb.
* Seepage Losses 4-5 bph.
* Perform top up job for NS-123, Pumped 46 ppg of 15.85 ppg cement slurry, observed cement
* Perform top up job for NS-124, Pumped 124 ppg of 15.85 ppg cement slurry, No returned</t>
        </is>
      </c>
      <c r="F11" s="1000" t="n"/>
      <c r="G11" s="1000" t="n"/>
      <c r="H11" s="1000" t="n"/>
      <c r="I11" s="1000" t="n"/>
      <c r="J11" s="1000" t="n"/>
      <c r="K11" s="1000" t="n"/>
      <c r="L11" s="1000" t="n"/>
      <c r="M11" s="1000" t="n"/>
      <c r="N11" s="1000" t="n"/>
      <c r="O11" s="1000" t="n"/>
      <c r="P11" s="1000" t="n"/>
      <c r="Q11" s="1000" t="n"/>
      <c r="R11" s="1000" t="n"/>
      <c r="S11" s="1004" t="n"/>
    </row>
    <row r="12" ht="50.25" customHeight="1" s="882">
      <c r="A12" s="999" t="n">
        <v>46212</v>
      </c>
      <c r="B12" s="1000" t="n"/>
      <c r="C12" s="1001" t="n"/>
      <c r="D12" s="1002" t="inlineStr">
        <is>
          <t>9:00</t>
        </is>
      </c>
      <c r="E12" s="1003" t="inlineStr">
        <is>
          <t>PU, MU &amp; RIH 8-1/8" FS Overshot BHA on 5-1/2" DP to 11,470 ft.
* Monitored well on trip tank- Static losses : 5-7 bbl/hr.</t>
        </is>
      </c>
      <c r="F12" s="1000" t="n"/>
      <c r="G12" s="1000" t="n"/>
      <c r="H12" s="1000" t="n"/>
      <c r="I12" s="1000" t="n"/>
      <c r="J12" s="1000" t="n"/>
      <c r="K12" s="1000" t="n"/>
      <c r="L12" s="1000" t="n"/>
      <c r="M12" s="1000" t="n"/>
      <c r="N12" s="1000" t="n"/>
      <c r="O12" s="1000" t="n"/>
      <c r="P12" s="1000" t="n"/>
      <c r="Q12" s="1000" t="n"/>
      <c r="R12" s="1000" t="n"/>
      <c r="S12" s="1004" t="n"/>
    </row>
    <row r="13" ht="50.25" customHeight="1" s="882">
      <c r="A13" s="999" t="n">
        <v>46212</v>
      </c>
      <c r="B13" s="1000" t="n"/>
      <c r="C13" s="1001" t="n"/>
      <c r="D13" s="1002" t="inlineStr">
        <is>
          <t>10:00</t>
        </is>
      </c>
      <c r="E13" s="1003" t="inlineStr">
        <is>
          <t>HPJSM, Toke free parameters &amp; Ran and engaged T.O.F @ 11,500 ft. Picked up and applied over pull to 140 kips ( 50% of 4.5" TBG tensile ), Not free. Ran back and applied 10 kips overpull &amp; set slips.</t>
        </is>
      </c>
      <c r="F13" s="1000" t="n"/>
      <c r="G13" s="1000" t="n"/>
      <c r="H13" s="1000" t="n"/>
      <c r="I13" s="1000" t="n"/>
      <c r="J13" s="1000" t="n"/>
      <c r="K13" s="1000" t="n"/>
      <c r="L13" s="1000" t="n"/>
      <c r="M13" s="1000" t="n"/>
      <c r="N13" s="1000" t="n"/>
      <c r="O13" s="1000" t="n"/>
      <c r="P13" s="1000" t="n"/>
      <c r="Q13" s="1000" t="n"/>
      <c r="R13" s="1000" t="n"/>
      <c r="S13" s="1004" t="n"/>
    </row>
    <row r="14" ht="50.25" customHeight="1" s="882">
      <c r="A14" s="999" t="n">
        <v>46212</v>
      </c>
      <c r="B14" s="1000" t="n"/>
      <c r="C14" s="1001" t="n"/>
      <c r="D14" s="1002" t="inlineStr">
        <is>
          <t>13:00</t>
        </is>
      </c>
      <c r="E14" s="1003" t="inlineStr">
        <is>
          <t>R/U Two levels Scaffolding on rgi floor. M/U Xo.vers ( 5-1/2" HLI50 P x 5-1/2" XT-54 B ) &amp; ( XT-54 P x 4" OTIS ). M/U 4-1/16" 5K injection head.</t>
        </is>
      </c>
      <c r="F14" s="1000" t="n"/>
      <c r="G14" s="1000" t="n"/>
      <c r="H14" s="1000" t="n"/>
      <c r="I14" s="1000" t="n"/>
      <c r="J14" s="1000" t="n"/>
      <c r="K14" s="1000" t="n"/>
      <c r="L14" s="1000" t="n"/>
      <c r="M14" s="1000" t="n"/>
      <c r="N14" s="1000" t="n"/>
      <c r="O14" s="1000" t="n"/>
      <c r="P14" s="1000" t="n"/>
      <c r="Q14" s="1000" t="n"/>
      <c r="R14" s="1000" t="n"/>
      <c r="S14" s="1004" t="n"/>
    </row>
    <row r="15" ht="50.25" customHeight="1" s="882">
      <c r="A15" s="999" t="n">
        <v>46212</v>
      </c>
      <c r="B15" s="1000" t="n"/>
      <c r="C15" s="1001" t="n"/>
      <c r="D15" s="1002" t="inlineStr">
        <is>
          <t>14:00</t>
        </is>
      </c>
      <c r="E15" s="1003" t="inlineStr">
        <is>
          <t>R/U SLB EL Surface equipment &amp; PCE.</t>
        </is>
      </c>
      <c r="F15" s="1000" t="n"/>
      <c r="G15" s="1000" t="n"/>
      <c r="H15" s="1000" t="n"/>
      <c r="I15" s="1000" t="n"/>
      <c r="J15" s="1000" t="n"/>
      <c r="K15" s="1000" t="n"/>
      <c r="L15" s="1000" t="n"/>
      <c r="M15" s="1000" t="n"/>
      <c r="N15" s="1000" t="n"/>
      <c r="O15" s="1000" t="n"/>
      <c r="P15" s="1000" t="n"/>
      <c r="Q15" s="1000" t="n"/>
      <c r="R15" s="1000" t="n"/>
      <c r="S15" s="1004" t="n"/>
    </row>
    <row r="16" ht="50.25" customHeight="1" s="882">
      <c r="A16" s="999" t="n">
        <v>46212</v>
      </c>
      <c r="B16" s="1000" t="n"/>
      <c r="C16" s="1001" t="n"/>
      <c r="D16" s="1002" t="inlineStr">
        <is>
          <t>15:15</t>
        </is>
      </c>
      <c r="E16" s="1003" t="inlineStr">
        <is>
          <t>P/U &amp; M/U SLB EL 2.75" MPC/GR/CCL/Tractor Loging tools as per SLB procedures.
* Surface checked MPC &amp; Tractor - Ok.</t>
        </is>
      </c>
      <c r="F16" s="1000" t="n"/>
      <c r="G16" s="1000" t="n"/>
      <c r="H16" s="1000" t="n"/>
      <c r="I16" s="1000" t="n"/>
      <c r="J16" s="1000" t="n"/>
      <c r="K16" s="1000" t="n"/>
      <c r="L16" s="1000" t="n"/>
      <c r="M16" s="1000" t="n"/>
      <c r="N16" s="1000" t="n"/>
      <c r="O16" s="1000" t="n"/>
      <c r="P16" s="1000" t="n"/>
      <c r="Q16" s="1000" t="n"/>
      <c r="R16" s="1000" t="n"/>
      <c r="S16" s="1004" t="n"/>
    </row>
    <row r="17" ht="50.25" customHeight="1" s="882">
      <c r="A17" s="999" t="n">
        <v>46212</v>
      </c>
      <c r="B17" s="1000" t="n"/>
      <c r="C17" s="1001" t="n"/>
      <c r="D17" s="1002" t="inlineStr">
        <is>
          <t>18:00</t>
        </is>
      </c>
      <c r="E17" s="1003" t="inlineStr">
        <is>
          <t>RIH w/ 2.75" MPC/GR/CCL/Tractor on EL to ± 11,680 ft and get held up.
* BHA Length : 66 ft, GR-BTM of tool : 27.7 ft.
* Powered on Baker MPC cutter @ 10,000 ft.
* Activated SLB tractor @ 11,100 ft.</t>
        </is>
      </c>
      <c r="F17" s="1000" t="n"/>
      <c r="G17" s="1000" t="n"/>
      <c r="H17" s="1000" t="n"/>
      <c r="I17" s="1000" t="n"/>
      <c r="J17" s="1000" t="n"/>
      <c r="K17" s="1000" t="n"/>
      <c r="L17" s="1000" t="n"/>
      <c r="M17" s="1000" t="n"/>
      <c r="N17" s="1000" t="n"/>
      <c r="O17" s="1000" t="n"/>
      <c r="P17" s="1000" t="n"/>
      <c r="Q17" s="1000" t="n"/>
      <c r="R17" s="1000" t="n"/>
      <c r="S17" s="1004" t="n"/>
    </row>
    <row r="18" ht="50.25" customHeight="1" s="882">
      <c r="A18" s="999" t="n">
        <v>46212</v>
      </c>
      <c r="B18" s="1000" t="n"/>
      <c r="C18" s="1001" t="n"/>
      <c r="D18" s="1002" t="inlineStr">
        <is>
          <t>18:30</t>
        </is>
      </c>
      <c r="E18" s="1003" t="inlineStr">
        <is>
          <t>Attempted to pick up to correlated, Obserevd logging tools stuck @ ± 11,653 ft, applied and reached cable tension to 5100 lbs, no movement.</t>
        </is>
      </c>
      <c r="F18" s="1000" t="n"/>
      <c r="G18" s="1000" t="n"/>
      <c r="H18" s="1000" t="n"/>
      <c r="I18" s="1000" t="n"/>
      <c r="J18" s="1000" t="n"/>
      <c r="K18" s="1000" t="n"/>
      <c r="L18" s="1000" t="n"/>
      <c r="M18" s="1000" t="n"/>
      <c r="N18" s="1000" t="n"/>
      <c r="O18" s="1000" t="n"/>
      <c r="P18" s="1000" t="n"/>
      <c r="Q18" s="1000" t="n"/>
      <c r="R18" s="1000" t="n"/>
      <c r="S18" s="1004" t="n"/>
    </row>
    <row r="19" ht="50.25" customHeight="1" s="882">
      <c r="A19" s="999" t="n">
        <v>46213</v>
      </c>
      <c r="B19" s="1000" t="n"/>
      <c r="C19" s="1001" t="n"/>
      <c r="D19" s="1002" t="inlineStr">
        <is>
          <t>0:00</t>
        </is>
      </c>
      <c r="E19" s="1003" t="inlineStr">
        <is>
          <t>Attempted to free stuck with pump down/ Bullheading string to 3.0 bpm &amp; 1500 psi meanwhile applying tension gradually to 8000 lbs without success.
* Observed communication between TBG and Annulus , closed hydrill &amp; continued bullheading.
* Activated tractor for moving down and up, No success.</t>
        </is>
      </c>
      <c r="F19" s="1000" t="n"/>
      <c r="G19" s="1000" t="n"/>
      <c r="H19" s="1000" t="n"/>
      <c r="I19" s="1000" t="n"/>
      <c r="J19" s="1000" t="n"/>
      <c r="K19" s="1000" t="n"/>
      <c r="L19" s="1000" t="n"/>
      <c r="M19" s="1000" t="n"/>
      <c r="N19" s="1000" t="n"/>
      <c r="O19" s="1000" t="n"/>
      <c r="P19" s="1000" t="n"/>
      <c r="Q19" s="1000" t="n"/>
      <c r="R19" s="1000" t="n"/>
      <c r="S19" s="1004" t="n"/>
    </row>
    <row r="20" ht="50.25" customHeight="1" s="882">
      <c r="A20" s="999" t="n">
        <v>46212</v>
      </c>
      <c r="B20" s="1000" t="n"/>
      <c r="C20" s="1001" t="n"/>
      <c r="D20" s="1002" t="inlineStr">
        <is>
          <t>6:30</t>
        </is>
      </c>
      <c r="E20" s="1003" t="inlineStr">
        <is>
          <t>Continue N/U 21-1/4" Diverter system as follows:
* N/U 10" diverter vent lines.
* N/U Bell Nipple and overshot.
* Connect all Hydraulic lines to Diverter annular and Vent line valves.
* Function tested Diverter and vent line valves.</t>
        </is>
      </c>
      <c r="F20" s="1000" t="n"/>
      <c r="G20" s="1000" t="n"/>
      <c r="H20" s="1000" t="n"/>
      <c r="I20" s="1000" t="n"/>
      <c r="J20" s="1000" t="n"/>
      <c r="K20" s="1000" t="n"/>
      <c r="L20" s="1000" t="n"/>
      <c r="M20" s="1000" t="n"/>
      <c r="N20" s="1000" t="n"/>
      <c r="O20" s="1000" t="n"/>
      <c r="P20" s="1000" t="n"/>
      <c r="Q20" s="1000" t="n"/>
      <c r="R20" s="1000" t="n"/>
      <c r="S20" s="1004" t="n"/>
    </row>
    <row r="21" ht="50.25" customHeight="1" s="882">
      <c r="A21" s="999" t="n">
        <v>46212</v>
      </c>
      <c r="B21" s="1000" t="n"/>
      <c r="C21" s="1001" t="n"/>
      <c r="D21" s="1002" t="inlineStr">
        <is>
          <t>8:00</t>
        </is>
      </c>
      <c r="E21" s="1003" t="inlineStr">
        <is>
          <t>Install V-Door &amp; Fox hole.</t>
        </is>
      </c>
      <c r="F21" s="1000" t="n"/>
      <c r="G21" s="1000" t="n"/>
      <c r="H21" s="1000" t="n"/>
      <c r="I21" s="1000" t="n"/>
      <c r="J21" s="1000" t="n"/>
      <c r="K21" s="1000" t="n"/>
      <c r="L21" s="1000" t="n"/>
      <c r="M21" s="1000" t="n"/>
      <c r="N21" s="1000" t="n"/>
      <c r="O21" s="1000" t="n"/>
      <c r="P21" s="1000" t="n"/>
      <c r="Q21" s="1000" t="n"/>
      <c r="R21" s="1000" t="n"/>
      <c r="S21" s="1004" t="n"/>
    </row>
    <row r="22" ht="50.25" customFormat="1" customHeight="1" s="1005">
      <c r="A22" s="999" t="n">
        <v>46212</v>
      </c>
      <c r="B22" s="1000" t="n"/>
      <c r="C22" s="1001" t="n"/>
      <c r="D22" s="1002" t="inlineStr">
        <is>
          <t>9:30</t>
        </is>
      </c>
      <c r="E22" s="1003" t="inlineStr">
        <is>
          <t>P/U, M/U &amp; RIH with 21-1/4" WB running assy. Install WB in starter head at 85 ft, POOH running tool &amp; L/D same.</t>
        </is>
      </c>
      <c r="F22" s="1000" t="n"/>
      <c r="G22" s="1000" t="n"/>
      <c r="H22" s="1000" t="n"/>
      <c r="I22" s="1000" t="n"/>
      <c r="J22" s="1000" t="n"/>
      <c r="K22" s="1000" t="n"/>
      <c r="L22" s="1000" t="n"/>
      <c r="M22" s="1000" t="n"/>
      <c r="N22" s="1000" t="n"/>
      <c r="O22" s="1000" t="n"/>
      <c r="P22" s="1000" t="n"/>
      <c r="Q22" s="1000" t="n"/>
      <c r="R22" s="1000" t="n"/>
      <c r="S22" s="1004" t="n"/>
    </row>
    <row r="23" ht="50.25" customHeight="1" s="882">
      <c r="A23" s="999" t="n">
        <v>46213</v>
      </c>
      <c r="B23" s="1000" t="n"/>
      <c r="C23" s="1001" t="n"/>
      <c r="D23" s="1002" t="inlineStr">
        <is>
          <t>0:00</t>
        </is>
      </c>
      <c r="E23" s="1003" t="inlineStr">
        <is>
          <t>P/U, M/U 5-1/2" DP stands &amp; rack back on Derrick.
* L/D 12 jts of 5-1/2" DP.
* P/U and rack back 60 stds of 5-1/2" DP &amp; 3 stds of 5-1/2" HWDP.
* Drift DP with 3".</t>
        </is>
      </c>
      <c r="F23" s="1000" t="n"/>
      <c r="G23" s="1000" t="n"/>
      <c r="H23" s="1000" t="n"/>
      <c r="I23" s="1000" t="n"/>
      <c r="J23" s="1000" t="n"/>
      <c r="K23" s="1000" t="n"/>
      <c r="L23" s="1000" t="n"/>
      <c r="M23" s="1000" t="n"/>
      <c r="N23" s="1000" t="n"/>
      <c r="O23" s="1000" t="n"/>
      <c r="P23" s="1000" t="n"/>
      <c r="Q23" s="1000" t="n"/>
      <c r="R23" s="1000" t="n"/>
      <c r="S23" s="1004" t="n"/>
    </row>
    <row r="24" ht="50.25" customHeight="1" s="882">
      <c r="A24" s="999" t="n">
        <v>46213</v>
      </c>
      <c r="B24" s="1000" t="n"/>
      <c r="C24" s="1001" t="n"/>
      <c r="D24" s="1002" t="inlineStr">
        <is>
          <t>00:00 - 06:00</t>
        </is>
      </c>
      <c r="E24" s="1003" t="inlineStr">
        <is>
          <t>Drilling 12 1/4" section hole w/ IDS RSS/LWD BHA from 11,500 ft to 11,530 ft Kft-lbs.
* Drilling parameters: WOB 50 Klbs, 850-950 GPM/ 3,500-4,100 psi, 100-120 RPM, TQ 18-38</t>
        </is>
      </c>
      <c r="F24" s="1000" t="n"/>
      <c r="G24" s="1000" t="n"/>
      <c r="H24" s="1000" t="n"/>
      <c r="I24" s="1000" t="n"/>
      <c r="J24" s="1000" t="n"/>
      <c r="K24" s="1000" t="n"/>
      <c r="L24" s="1000" t="n"/>
      <c r="M24" s="1000" t="n"/>
      <c r="N24" s="1000" t="n"/>
      <c r="O24" s="1000" t="n"/>
      <c r="P24" s="1000" t="n"/>
      <c r="Q24" s="1000" t="n"/>
      <c r="R24" s="1000" t="n"/>
      <c r="S24" s="1004" t="n"/>
    </row>
    <row r="25" ht="50.25" customHeight="1" s="882">
      <c r="A25" s="999" t="n">
        <v>46213</v>
      </c>
      <c r="B25" s="1000" t="n"/>
      <c r="C25" s="1001" t="n"/>
      <c r="D25" s="1002" t="inlineStr">
        <is>
          <t>00:00 - 02:00</t>
        </is>
      </c>
      <c r="E25" s="1003" t="inlineStr">
        <is>
          <t>Attempted to free stuck by activating anchor in the MPC cutter by openening and clossing and then activating tractor and moving down and up for 4 trials without success. holding a tuping. (Opening OD 4.1").
* Noticed that once activitating anchor it opens completely without observing any resistance of</t>
        </is>
      </c>
      <c r="F25" s="1000" t="n"/>
      <c r="G25" s="1000" t="n"/>
      <c r="H25" s="1000" t="n"/>
      <c r="I25" s="1000" t="n"/>
      <c r="J25" s="1000" t="n"/>
      <c r="K25" s="1000" t="n"/>
      <c r="L25" s="1000" t="n"/>
      <c r="M25" s="1000" t="n"/>
      <c r="N25" s="1000" t="n"/>
      <c r="O25" s="1000" t="n"/>
      <c r="P25" s="1000" t="n"/>
      <c r="Q25" s="1000" t="n"/>
      <c r="R25" s="1000" t="n"/>
      <c r="S25" s="1004" t="n"/>
    </row>
    <row r="26" ht="50.25" customHeight="1" s="882">
      <c r="A26" s="999" t="n">
        <v>46213</v>
      </c>
      <c r="B26" s="1000" t="n"/>
      <c r="C26" s="1001" t="n"/>
      <c r="D26" s="1002" t="inlineStr">
        <is>
          <t>02:00 - 05:30</t>
        </is>
      </c>
      <c r="E26" s="1003" t="inlineStr">
        <is>
          <t>Confirmed emergency release tool with town. POOH to surface.</t>
        </is>
      </c>
      <c r="F26" s="1000" t="n"/>
      <c r="G26" s="1000" t="n"/>
      <c r="H26" s="1000" t="n"/>
      <c r="I26" s="1000" t="n"/>
      <c r="J26" s="1000" t="n"/>
      <c r="K26" s="1000" t="n"/>
      <c r="L26" s="1000" t="n"/>
      <c r="M26" s="1000" t="n"/>
      <c r="N26" s="1000" t="n"/>
      <c r="O26" s="1000" t="n"/>
      <c r="P26" s="1000" t="n"/>
      <c r="Q26" s="1000" t="n"/>
      <c r="R26" s="1000" t="n"/>
      <c r="S26" s="1004" t="n"/>
    </row>
    <row r="27" ht="50.25" customHeight="1" s="882">
      <c r="A27" s="999" t="n">
        <v>46213</v>
      </c>
      <c r="B27" s="1000" t="n"/>
      <c r="C27" s="1001" t="n"/>
      <c r="D27" s="1002" t="inlineStr">
        <is>
          <t>05:30 - 06:00</t>
        </is>
      </c>
      <c r="E27" s="1003" t="inlineStr">
        <is>
          <t>PU, MU &amp; RIH GR/CCL on SLB E/L to 4,300 ft.... In progress.</t>
        </is>
      </c>
      <c r="F27" s="1000" t="n"/>
      <c r="G27" s="1000" t="n"/>
      <c r="H27" s="1000" t="n"/>
      <c r="I27" s="1000" t="n"/>
      <c r="J27" s="1000" t="n"/>
      <c r="K27" s="1000" t="n"/>
      <c r="L27" s="1000" t="n"/>
      <c r="M27" s="1000" t="n"/>
      <c r="N27" s="1000" t="n"/>
      <c r="O27" s="1000" t="n"/>
      <c r="P27" s="1000" t="n"/>
      <c r="Q27" s="1000" t="n"/>
      <c r="R27" s="1000" t="n"/>
      <c r="S27" s="1004" t="n"/>
    </row>
    <row r="28" ht="50.25" customHeight="1" s="882">
      <c r="A28" s="999" t="n">
        <v>46213</v>
      </c>
      <c r="B28" s="1000" t="n"/>
      <c r="C28" s="1001" t="n"/>
      <c r="D28" s="1002" t="inlineStr">
        <is>
          <t>00:00 - 01:00</t>
        </is>
      </c>
      <c r="E28" s="1003" t="inlineStr">
        <is>
          <t>P/U, M/U 5-1/2" HWDP stands &amp; rack back on Derrick.
* P/U and rack back 4 stds of 5-1/2" HWDP (Total 7 stds of 5 1/2'' HWDP).</t>
        </is>
      </c>
      <c r="F28" s="1000" t="n"/>
      <c r="G28" s="1000" t="n"/>
      <c r="H28" s="1000" t="n"/>
      <c r="I28" s="1000" t="n"/>
      <c r="J28" s="1000" t="n"/>
      <c r="K28" s="1000" t="n"/>
      <c r="L28" s="1000" t="n"/>
      <c r="M28" s="1000" t="n"/>
      <c r="N28" s="1000" t="n"/>
      <c r="O28" s="1000" t="n"/>
      <c r="P28" s="1000" t="n"/>
      <c r="Q28" s="1000" t="n"/>
      <c r="R28" s="1000" t="n"/>
      <c r="S28" s="1004" t="n"/>
    </row>
    <row r="29" ht="50.25" customHeight="1" s="882">
      <c r="A29" s="999" t="n">
        <v>46213</v>
      </c>
      <c r="B29" s="1000" t="n"/>
      <c r="C29" s="1001" t="n"/>
      <c r="D29" s="1002" t="inlineStr">
        <is>
          <t>01:00 - 01:30</t>
        </is>
      </c>
      <c r="E29" s="1003" t="inlineStr">
        <is>
          <t>PJSM with all involved perssonel prior to P/U, M/U &amp; RIH 16" MTR/GWD BHA.</t>
        </is>
      </c>
      <c r="F29" s="1000" t="n"/>
      <c r="G29" s="1000" t="n"/>
      <c r="H29" s="1000" t="n"/>
      <c r="I29" s="1000" t="n"/>
      <c r="J29" s="1000" t="n"/>
      <c r="K29" s="1000" t="n"/>
      <c r="L29" s="1000" t="n"/>
      <c r="M29" s="1000" t="n"/>
      <c r="N29" s="1000" t="n"/>
      <c r="O29" s="1000" t="n"/>
      <c r="P29" s="1000" t="n"/>
      <c r="Q29" s="1000" t="n"/>
      <c r="R29" s="1000" t="n"/>
      <c r="S29" s="1004" t="n"/>
    </row>
    <row r="30" ht="50.25" customHeight="1" s="882">
      <c r="A30" s="999" t="n">
        <v>46213</v>
      </c>
      <c r="B30" s="1000" t="n"/>
      <c r="C30" s="1001" t="n"/>
      <c r="D30" s="1002" t="inlineStr">
        <is>
          <t>01:30 - 06:00</t>
        </is>
      </c>
      <c r="E30" s="1003" t="inlineStr">
        <is>
          <t>P/U, M/U &amp; RIH 16" Halliburton MTR/GWD BHA to 67 ft.
* R/U HLB MWD sensors on TDS and calibrated same.
* P/U 16" TCI Bit + 11-1/4" MTR + 15" Stab + GWD
* 16" Bit: New NOV TCI Bit, Model TH44AV, SN #T284813, Nozzle 4x18, TFA 0.9940 inch^2.
* 11-1/4" Motor: 6/7 Lobe, 6 stages, 0.13 rev/gal, BH: 1.22º.</t>
        </is>
      </c>
      <c r="F30" s="1000" t="n"/>
      <c r="G30" s="1000" t="n"/>
      <c r="H30" s="1000" t="n"/>
      <c r="I30" s="1000" t="n"/>
      <c r="J30" s="1000" t="n"/>
      <c r="K30" s="1000" t="n"/>
      <c r="L30" s="1000" t="n"/>
      <c r="M30" s="1000" t="n"/>
      <c r="N30" s="1000" t="n"/>
      <c r="O30" s="1000" t="n"/>
      <c r="P30" s="1000" t="n"/>
      <c r="Q30" s="1000" t="n"/>
      <c r="R30" s="1000" t="n"/>
      <c r="S30" s="1004" t="n"/>
    </row>
    <row r="31" ht="27" customHeight="1" s="882">
      <c r="A31" s="1006" t="inlineStr">
        <is>
          <t xml:space="preserve">CUSTOMER REP. </t>
        </is>
      </c>
      <c r="B31" s="1000" t="n"/>
      <c r="C31" s="1000" t="n"/>
      <c r="D31" s="1001" t="n"/>
      <c r="E31" s="1007">
        <f>'Master Data'!B4</f>
        <v/>
      </c>
      <c r="F31" s="1000" t="n"/>
      <c r="G31" s="1000" t="n"/>
      <c r="H31" s="1000" t="n"/>
      <c r="I31" s="1000" t="n"/>
      <c r="J31" s="1000" t="n"/>
      <c r="K31" s="1000" t="n"/>
      <c r="L31" s="1004" t="n"/>
      <c r="M31" s="1008" t="inlineStr">
        <is>
          <t>OPERATIONS REP. NAME:</t>
        </is>
      </c>
      <c r="S31" s="1009">
        <f>'Master Data'!B21</f>
        <v/>
      </c>
      <c r="U31" s="1010">
        <f>E60</f>
        <v/>
      </c>
      <c r="V31" s="1010" t="n"/>
      <c r="W31" s="1010" t="n"/>
      <c r="X31" s="1010" t="n"/>
      <c r="Y31" s="1010" t="n"/>
      <c r="Z31" s="1010" t="n"/>
      <c r="AA31" s="1010" t="n"/>
      <c r="AL31" s="1011" t="n"/>
    </row>
    <row r="32" ht="27" customHeight="1" s="882">
      <c r="A32" s="1007" t="inlineStr">
        <is>
          <t>SIGNATURE:</t>
        </is>
      </c>
      <c r="B32" s="1000" t="n"/>
      <c r="C32" s="1000" t="n"/>
      <c r="D32" s="1000" t="n"/>
      <c r="E32" s="1000" t="n"/>
      <c r="F32" s="1000" t="n"/>
      <c r="G32" s="1000" t="n"/>
      <c r="H32" s="1000" t="n"/>
      <c r="I32" s="1000" t="n"/>
      <c r="J32" s="1000" t="n"/>
      <c r="K32" s="1000" t="n"/>
      <c r="L32" s="1001" t="n"/>
      <c r="M32" s="1012" t="inlineStr">
        <is>
          <t>SIGNATURE:</t>
        </is>
      </c>
      <c r="U32" s="1010" t="n"/>
      <c r="V32" s="1010" t="n"/>
      <c r="W32" s="1010" t="n"/>
      <c r="X32" s="1010" t="n"/>
      <c r="Y32" s="1010" t="n"/>
      <c r="Z32" s="1010" t="n"/>
      <c r="AA32" s="1010" t="n"/>
      <c r="AL32" s="1011" t="n"/>
    </row>
    <row r="33" ht="15" customHeight="1" s="882">
      <c r="A33" s="1013" t="n"/>
      <c r="B33" s="1014" t="n"/>
      <c r="C33" s="1014" t="n"/>
      <c r="D33" s="1015" t="n"/>
      <c r="E33" s="1013" t="n"/>
      <c r="F33" s="1014" t="n"/>
      <c r="G33" s="1014" t="n"/>
      <c r="H33" s="1014" t="n"/>
      <c r="I33" s="1016" t="n"/>
      <c r="J33" s="1017" t="n"/>
      <c r="K33" s="1018" t="n"/>
      <c r="P33" s="1018" t="n"/>
    </row>
    <row r="34" ht="13.5" customHeight="1" s="882">
      <c r="A34" s="1019" t="n"/>
      <c r="B34" s="1020" t="n"/>
      <c r="C34" s="1020" t="n"/>
      <c r="D34" s="1021" t="n"/>
      <c r="E34" s="1022" t="n"/>
      <c r="F34" s="1020" t="n"/>
      <c r="G34" s="1020" t="n"/>
      <c r="H34" s="1020" t="n"/>
      <c r="I34" s="1023" t="n"/>
    </row>
    <row r="35" ht="12" customHeight="1" s="882">
      <c r="A35" s="1013" t="n"/>
      <c r="B35" s="1014" t="n"/>
      <c r="C35" s="1014" t="n"/>
      <c r="D35" s="1014" t="n"/>
      <c r="E35" s="1014" t="n"/>
      <c r="F35" s="1014" t="n"/>
      <c r="G35" s="1014" t="n"/>
      <c r="H35" s="1014" t="n"/>
      <c r="I35" s="1014" t="n"/>
      <c r="J35" s="1014" t="n"/>
      <c r="K35" s="1014" t="n"/>
      <c r="L35" s="1014" t="n"/>
      <c r="M35" s="1014" t="n"/>
      <c r="N35" s="1014" t="n"/>
      <c r="O35" s="1014" t="n"/>
      <c r="P35" s="1014" t="n"/>
      <c r="Q35" s="1014" t="n"/>
      <c r="R35" s="1014" t="n"/>
      <c r="S35" s="1015" t="n"/>
    </row>
    <row r="36" ht="12" customHeight="1" s="882">
      <c r="A36" s="1024" t="n"/>
      <c r="B36" s="1025" t="n"/>
      <c r="C36" s="1025" t="n"/>
      <c r="D36" s="1025" t="n"/>
      <c r="E36" s="1025" t="n"/>
      <c r="F36" s="1025" t="n"/>
      <c r="G36" s="1025" t="n"/>
      <c r="H36" s="1025" t="n"/>
      <c r="I36" s="1025" t="n"/>
      <c r="J36" s="1025" t="n"/>
      <c r="K36" s="1025" t="n"/>
      <c r="L36" s="1025" t="n"/>
      <c r="M36" s="1025" t="n"/>
      <c r="N36" s="1025" t="n"/>
      <c r="O36" s="1025" t="n"/>
      <c r="P36" s="1025" t="n"/>
      <c r="Q36" s="1025" t="n"/>
      <c r="R36" s="1025" t="n"/>
      <c r="S36" s="1026" t="n"/>
    </row>
    <row r="37" ht="12" customHeight="1" s="882">
      <c r="A37" s="1024" t="n"/>
      <c r="B37" s="1025" t="n"/>
      <c r="C37" s="1025" t="n"/>
      <c r="D37" s="1025" t="n"/>
      <c r="E37" s="1025" t="n"/>
      <c r="F37" s="1025" t="n"/>
      <c r="G37" s="1025" t="n"/>
      <c r="H37" s="1025" t="n"/>
      <c r="I37" s="1025" t="n"/>
      <c r="J37" s="1025" t="n"/>
      <c r="K37" s="1025" t="n"/>
      <c r="L37" s="1025" t="n"/>
      <c r="M37" s="1025" t="n"/>
      <c r="N37" s="1025" t="n"/>
      <c r="O37" s="1025" t="n"/>
      <c r="P37" s="1025" t="n"/>
      <c r="Q37" s="1025" t="n"/>
      <c r="R37" s="1025" t="n"/>
      <c r="S37" s="1026" t="n"/>
    </row>
    <row r="38" ht="12" customHeight="1" s="882">
      <c r="A38" s="1024" t="n"/>
      <c r="B38" s="1025" t="n"/>
      <c r="C38" s="1025" t="n"/>
      <c r="D38" s="1025" t="n"/>
      <c r="E38" s="1025" t="n"/>
      <c r="F38" s="1025" t="n"/>
      <c r="G38" s="1025" t="n"/>
      <c r="H38" s="1025" t="n"/>
      <c r="I38" s="1025" t="n"/>
      <c r="J38" s="1025" t="n"/>
      <c r="K38" s="1025" t="n"/>
      <c r="L38" s="1025" t="n"/>
      <c r="M38" s="1025" t="n"/>
      <c r="N38" s="1025" t="n"/>
      <c r="O38" s="1025" t="n"/>
      <c r="P38" s="1025" t="n"/>
      <c r="Q38" s="1025" t="n"/>
      <c r="R38" s="1025" t="n"/>
      <c r="S38" s="1026" t="n"/>
    </row>
    <row r="39" ht="12" customHeight="1" s="882">
      <c r="A39" s="1019" t="n"/>
      <c r="B39" s="1020" t="n"/>
      <c r="C39" s="1020" t="n"/>
      <c r="D39" s="1020" t="n"/>
      <c r="E39" s="1020" t="n"/>
      <c r="F39" s="1020" t="n"/>
      <c r="G39" s="1020" t="n"/>
      <c r="H39" s="1020" t="n"/>
      <c r="I39" s="1020" t="n"/>
      <c r="J39" s="1020" t="n"/>
      <c r="K39" s="1020" t="n"/>
      <c r="L39" s="1020" t="n"/>
      <c r="M39" s="1020" t="n"/>
      <c r="N39" s="1020" t="n"/>
      <c r="O39" s="1020" t="n"/>
      <c r="P39" s="1020" t="n"/>
      <c r="Q39" s="1020" t="n"/>
      <c r="R39" s="1020" t="n"/>
      <c r="S39" s="1021" t="n"/>
    </row>
    <row r="40" ht="53.25" customHeight="1" s="882">
      <c r="A40" s="1027" t="n"/>
      <c r="B40" s="1000" t="n"/>
      <c r="C40" s="1001" t="n"/>
      <c r="D40" s="1028" t="n"/>
      <c r="E40" s="1029" t="n"/>
      <c r="F40" s="1000" t="n"/>
      <c r="G40" s="1000" t="n"/>
      <c r="H40" s="1000" t="n"/>
      <c r="I40" s="1000" t="n"/>
      <c r="J40" s="1000" t="n"/>
      <c r="K40" s="1000" t="n"/>
      <c r="L40" s="1000" t="n"/>
      <c r="M40" s="1000" t="n"/>
      <c r="N40" s="1000" t="n"/>
      <c r="O40" s="1000" t="n"/>
      <c r="P40" s="1000" t="n"/>
      <c r="Q40" s="1000" t="n"/>
      <c r="R40" s="1000" t="n"/>
      <c r="S40" s="1004" t="n"/>
    </row>
    <row r="41" ht="18" customHeight="1" s="882">
      <c r="A41" s="1027" t="n"/>
      <c r="B41" s="1000" t="n"/>
      <c r="C41" s="1001" t="n"/>
      <c r="D41" s="1030" t="n"/>
      <c r="E41" s="1029" t="n"/>
      <c r="F41" s="1000" t="n"/>
      <c r="G41" s="1000" t="n"/>
      <c r="H41" s="1000" t="n"/>
      <c r="I41" s="1000" t="n"/>
      <c r="J41" s="1000" t="n"/>
      <c r="K41" s="1000" t="n"/>
      <c r="L41" s="1000" t="n"/>
      <c r="M41" s="1000" t="n"/>
      <c r="N41" s="1000" t="n"/>
      <c r="O41" s="1000" t="n"/>
      <c r="P41" s="1000" t="n"/>
      <c r="Q41" s="1000" t="n"/>
      <c r="R41" s="1000" t="n"/>
      <c r="S41" s="1004" t="n"/>
    </row>
    <row r="42" ht="44.25" customHeight="1" s="882">
      <c r="A42" s="1027" t="n"/>
      <c r="B42" s="1000" t="n"/>
      <c r="C42" s="1001" t="n"/>
      <c r="D42" s="1031" t="n"/>
      <c r="E42" s="1029" t="n"/>
      <c r="F42" s="1000" t="n"/>
      <c r="G42" s="1000" t="n"/>
      <c r="H42" s="1000" t="n"/>
      <c r="I42" s="1000" t="n"/>
      <c r="J42" s="1000" t="n"/>
      <c r="K42" s="1000" t="n"/>
      <c r="L42" s="1000" t="n"/>
      <c r="M42" s="1000" t="n"/>
      <c r="N42" s="1000" t="n"/>
      <c r="O42" s="1000" t="n"/>
      <c r="P42" s="1000" t="n"/>
      <c r="Q42" s="1000" t="n"/>
      <c r="R42" s="1000" t="n"/>
      <c r="S42" s="1004" t="n"/>
    </row>
    <row r="43" ht="42" customHeight="1" s="882">
      <c r="A43" s="1027" t="n"/>
      <c r="B43" s="1000" t="n"/>
      <c r="C43" s="1001" t="n"/>
      <c r="D43" s="1031" t="n"/>
      <c r="E43" s="1029" t="n"/>
      <c r="F43" s="1000" t="n"/>
      <c r="G43" s="1000" t="n"/>
      <c r="H43" s="1000" t="n"/>
      <c r="I43" s="1000" t="n"/>
      <c r="J43" s="1000" t="n"/>
      <c r="K43" s="1000" t="n"/>
      <c r="L43" s="1000" t="n"/>
      <c r="M43" s="1000" t="n"/>
      <c r="N43" s="1000" t="n"/>
      <c r="O43" s="1000" t="n"/>
      <c r="P43" s="1000" t="n"/>
      <c r="Q43" s="1000" t="n"/>
      <c r="R43" s="1000" t="n"/>
      <c r="S43" s="1004" t="n"/>
    </row>
    <row r="44" ht="33.75" customHeight="1" s="882">
      <c r="A44" s="1027" t="n"/>
      <c r="B44" s="1000" t="n"/>
      <c r="C44" s="1001" t="n"/>
      <c r="D44" s="1031" t="n"/>
      <c r="E44" s="1029" t="n"/>
      <c r="F44" s="1000" t="n"/>
      <c r="G44" s="1000" t="n"/>
      <c r="H44" s="1000" t="n"/>
      <c r="I44" s="1000" t="n"/>
      <c r="J44" s="1000" t="n"/>
      <c r="K44" s="1000" t="n"/>
      <c r="L44" s="1000" t="n"/>
      <c r="M44" s="1000" t="n"/>
      <c r="N44" s="1000" t="n"/>
      <c r="O44" s="1000" t="n"/>
      <c r="P44" s="1000" t="n"/>
      <c r="Q44" s="1000" t="n"/>
      <c r="R44" s="1000" t="n"/>
      <c r="S44" s="1004" t="n"/>
    </row>
    <row r="45" ht="31.5" customHeight="1" s="882">
      <c r="A45" s="1027" t="n"/>
      <c r="B45" s="1000" t="n"/>
      <c r="C45" s="1001" t="n"/>
      <c r="D45" s="1031" t="n"/>
      <c r="E45" s="1029" t="n"/>
      <c r="F45" s="1000" t="n"/>
      <c r="G45" s="1000" t="n"/>
      <c r="H45" s="1000" t="n"/>
      <c r="I45" s="1000" t="n"/>
      <c r="J45" s="1000" t="n"/>
      <c r="K45" s="1000" t="n"/>
      <c r="L45" s="1000" t="n"/>
      <c r="M45" s="1000" t="n"/>
      <c r="N45" s="1000" t="n"/>
      <c r="O45" s="1000" t="n"/>
      <c r="P45" s="1000" t="n"/>
      <c r="Q45" s="1000" t="n"/>
      <c r="R45" s="1000" t="n"/>
      <c r="S45" s="1004" t="n"/>
    </row>
    <row r="46" ht="53.25" customHeight="1" s="882">
      <c r="A46" s="1027" t="n"/>
      <c r="B46" s="1000" t="n"/>
      <c r="C46" s="1001" t="n"/>
      <c r="D46" s="1031" t="n"/>
      <c r="E46" s="1029" t="n"/>
      <c r="F46" s="1000" t="n"/>
      <c r="G46" s="1000" t="n"/>
      <c r="H46" s="1000" t="n"/>
      <c r="I46" s="1000" t="n"/>
      <c r="J46" s="1000" t="n"/>
      <c r="K46" s="1000" t="n"/>
      <c r="L46" s="1000" t="n"/>
      <c r="M46" s="1000" t="n"/>
      <c r="N46" s="1000" t="n"/>
      <c r="O46" s="1000" t="n"/>
      <c r="P46" s="1000" t="n"/>
      <c r="Q46" s="1000" t="n"/>
      <c r="R46" s="1000" t="n"/>
      <c r="S46" s="1004" t="n"/>
    </row>
    <row r="47" ht="48" customHeight="1" s="882">
      <c r="A47" s="1027" t="n"/>
      <c r="B47" s="1000" t="n"/>
      <c r="C47" s="1001" t="n"/>
      <c r="D47" s="1031" t="n"/>
      <c r="E47" s="1029" t="n"/>
      <c r="F47" s="1000" t="n"/>
      <c r="G47" s="1000" t="n"/>
      <c r="H47" s="1000" t="n"/>
      <c r="I47" s="1000" t="n"/>
      <c r="J47" s="1000" t="n"/>
      <c r="K47" s="1000" t="n"/>
      <c r="L47" s="1000" t="n"/>
      <c r="M47" s="1000" t="n"/>
      <c r="N47" s="1000" t="n"/>
      <c r="O47" s="1000" t="n"/>
      <c r="P47" s="1000" t="n"/>
      <c r="Q47" s="1000" t="n"/>
      <c r="R47" s="1000" t="n"/>
      <c r="S47" s="1004" t="n"/>
    </row>
    <row r="48" ht="53.25" customHeight="1" s="882">
      <c r="A48" s="1027" t="n"/>
      <c r="B48" s="1000" t="n"/>
      <c r="C48" s="1001" t="n"/>
      <c r="D48" s="1031" t="n"/>
      <c r="E48" s="1029" t="n"/>
      <c r="F48" s="1000" t="n"/>
      <c r="G48" s="1000" t="n"/>
      <c r="H48" s="1000" t="n"/>
      <c r="I48" s="1000" t="n"/>
      <c r="J48" s="1000" t="n"/>
      <c r="K48" s="1000" t="n"/>
      <c r="L48" s="1000" t="n"/>
      <c r="M48" s="1000" t="n"/>
      <c r="N48" s="1000" t="n"/>
      <c r="O48" s="1000" t="n"/>
      <c r="P48" s="1000" t="n"/>
      <c r="Q48" s="1000" t="n"/>
      <c r="R48" s="1000" t="n"/>
      <c r="S48" s="1004" t="n"/>
    </row>
    <row r="49" ht="42" customHeight="1" s="882">
      <c r="A49" s="1027" t="n"/>
      <c r="B49" s="1000" t="n"/>
      <c r="C49" s="1001" t="n"/>
      <c r="D49" s="1031" t="n"/>
      <c r="E49" s="1029" t="n"/>
      <c r="F49" s="1000" t="n"/>
      <c r="G49" s="1000" t="n"/>
      <c r="H49" s="1000" t="n"/>
      <c r="I49" s="1000" t="n"/>
      <c r="J49" s="1000" t="n"/>
      <c r="K49" s="1000" t="n"/>
      <c r="L49" s="1000" t="n"/>
      <c r="M49" s="1000" t="n"/>
      <c r="N49" s="1000" t="n"/>
      <c r="O49" s="1000" t="n"/>
      <c r="P49" s="1000" t="n"/>
      <c r="Q49" s="1000" t="n"/>
      <c r="R49" s="1000" t="n"/>
      <c r="S49" s="1004" t="n"/>
    </row>
    <row r="50" ht="40.5" customHeight="1" s="882">
      <c r="A50" s="1027" t="n"/>
      <c r="B50" s="1000" t="n"/>
      <c r="C50" s="1001" t="n"/>
      <c r="D50" s="1031" t="n"/>
      <c r="E50" s="1029" t="n"/>
      <c r="F50" s="1000" t="n"/>
      <c r="G50" s="1000" t="n"/>
      <c r="H50" s="1000" t="n"/>
      <c r="I50" s="1000" t="n"/>
      <c r="J50" s="1000" t="n"/>
      <c r="K50" s="1000" t="n"/>
      <c r="L50" s="1000" t="n"/>
      <c r="M50" s="1000" t="n"/>
      <c r="N50" s="1000" t="n"/>
      <c r="O50" s="1000" t="n"/>
      <c r="P50" s="1000" t="n"/>
      <c r="Q50" s="1000" t="n"/>
      <c r="R50" s="1000" t="n"/>
      <c r="S50" s="1004" t="n"/>
    </row>
    <row r="51" ht="54" customHeight="1" s="882">
      <c r="A51" s="1027" t="n"/>
      <c r="B51" s="1000" t="n"/>
      <c r="C51" s="1001" t="n"/>
      <c r="D51" s="1031" t="n"/>
      <c r="E51" s="1029" t="n"/>
      <c r="F51" s="1000" t="n"/>
      <c r="G51" s="1000" t="n"/>
      <c r="H51" s="1000" t="n"/>
      <c r="I51" s="1000" t="n"/>
      <c r="J51" s="1000" t="n"/>
      <c r="K51" s="1000" t="n"/>
      <c r="L51" s="1000" t="n"/>
      <c r="M51" s="1000" t="n"/>
      <c r="N51" s="1000" t="n"/>
      <c r="O51" s="1000" t="n"/>
      <c r="P51" s="1000" t="n"/>
      <c r="Q51" s="1000" t="n"/>
      <c r="R51" s="1000" t="n"/>
      <c r="S51" s="1004" t="n"/>
    </row>
    <row r="52" ht="27" customHeight="1" s="882">
      <c r="A52" s="1027" t="n"/>
      <c r="B52" s="1000" t="n"/>
      <c r="C52" s="1001" t="n"/>
      <c r="D52" s="1031" t="n"/>
      <c r="E52" s="1029" t="n"/>
      <c r="F52" s="1000" t="n"/>
      <c r="G52" s="1000" t="n"/>
      <c r="H52" s="1000" t="n"/>
      <c r="I52" s="1000" t="n"/>
      <c r="J52" s="1000" t="n"/>
      <c r="K52" s="1000" t="n"/>
      <c r="L52" s="1000" t="n"/>
      <c r="M52" s="1000" t="n"/>
      <c r="N52" s="1000" t="n"/>
      <c r="O52" s="1000" t="n"/>
      <c r="P52" s="1000" t="n"/>
      <c r="Q52" s="1000" t="n"/>
      <c r="R52" s="1000" t="n"/>
      <c r="S52" s="1004" t="n"/>
    </row>
    <row r="53" ht="39" customHeight="1" s="882">
      <c r="A53" s="1027" t="n"/>
      <c r="B53" s="1000" t="n"/>
      <c r="C53" s="1001" t="n"/>
      <c r="D53" s="1031" t="n"/>
      <c r="E53" s="1029" t="n"/>
      <c r="F53" s="1000" t="n"/>
      <c r="G53" s="1000" t="n"/>
      <c r="H53" s="1000" t="n"/>
      <c r="I53" s="1000" t="n"/>
      <c r="J53" s="1000" t="n"/>
      <c r="K53" s="1000" t="n"/>
      <c r="L53" s="1000" t="n"/>
      <c r="M53" s="1000" t="n"/>
      <c r="N53" s="1000" t="n"/>
      <c r="O53" s="1000" t="n"/>
      <c r="P53" s="1000" t="n"/>
      <c r="Q53" s="1000" t="n"/>
      <c r="R53" s="1000" t="n"/>
      <c r="S53" s="1004" t="n"/>
    </row>
    <row r="54" ht="36" customHeight="1" s="882">
      <c r="A54" s="1027" t="n"/>
      <c r="B54" s="1000" t="n"/>
      <c r="C54" s="1001" t="n"/>
      <c r="D54" s="1031" t="n"/>
      <c r="E54" s="1029" t="n"/>
      <c r="F54" s="1000" t="n"/>
      <c r="G54" s="1000" t="n"/>
      <c r="H54" s="1000" t="n"/>
      <c r="I54" s="1000" t="n"/>
      <c r="J54" s="1000" t="n"/>
      <c r="K54" s="1000" t="n"/>
      <c r="L54" s="1000" t="n"/>
      <c r="M54" s="1000" t="n"/>
      <c r="N54" s="1000" t="n"/>
      <c r="O54" s="1000" t="n"/>
      <c r="P54" s="1000" t="n"/>
      <c r="Q54" s="1000" t="n"/>
      <c r="R54" s="1000" t="n"/>
      <c r="S54" s="1004" t="n"/>
    </row>
    <row r="55" ht="28.5" customHeight="1" s="882">
      <c r="A55" s="1027" t="n"/>
      <c r="B55" s="1000" t="n"/>
      <c r="C55" s="1001" t="n"/>
      <c r="D55" s="1031" t="n"/>
      <c r="E55" s="1029" t="n"/>
      <c r="F55" s="1000" t="n"/>
      <c r="G55" s="1000" t="n"/>
      <c r="H55" s="1000" t="n"/>
      <c r="I55" s="1000" t="n"/>
      <c r="J55" s="1000" t="n"/>
      <c r="K55" s="1000" t="n"/>
      <c r="L55" s="1000" t="n"/>
      <c r="M55" s="1000" t="n"/>
      <c r="N55" s="1000" t="n"/>
      <c r="O55" s="1000" t="n"/>
      <c r="P55" s="1000" t="n"/>
      <c r="Q55" s="1000" t="n"/>
      <c r="R55" s="1000" t="n"/>
      <c r="S55" s="1004" t="n"/>
    </row>
    <row r="56" ht="30" customHeight="1" s="882">
      <c r="A56" s="1027" t="n"/>
      <c r="B56" s="1000" t="n"/>
      <c r="C56" s="1001" t="n"/>
      <c r="D56" s="1031" t="n"/>
      <c r="E56" s="1029" t="n"/>
      <c r="F56" s="1000" t="n"/>
      <c r="G56" s="1000" t="n"/>
      <c r="H56" s="1000" t="n"/>
      <c r="I56" s="1000" t="n"/>
      <c r="J56" s="1000" t="n"/>
      <c r="K56" s="1000" t="n"/>
      <c r="L56" s="1000" t="n"/>
      <c r="M56" s="1000" t="n"/>
      <c r="N56" s="1000" t="n"/>
      <c r="O56" s="1000" t="n"/>
      <c r="P56" s="1000" t="n"/>
      <c r="Q56" s="1000" t="n"/>
      <c r="R56" s="1000" t="n"/>
      <c r="S56" s="1004" t="n"/>
    </row>
    <row r="57" ht="31.5" customHeight="1" s="882">
      <c r="A57" s="1027" t="n"/>
      <c r="B57" s="1000" t="n"/>
      <c r="C57" s="1001" t="n"/>
      <c r="D57" s="1031" t="n"/>
      <c r="E57" s="1029" t="n"/>
      <c r="F57" s="1000" t="n"/>
      <c r="G57" s="1000" t="n"/>
      <c r="H57" s="1000" t="n"/>
      <c r="I57" s="1000" t="n"/>
      <c r="J57" s="1000" t="n"/>
      <c r="K57" s="1000" t="n"/>
      <c r="L57" s="1000" t="n"/>
      <c r="M57" s="1000" t="n"/>
      <c r="N57" s="1000" t="n"/>
      <c r="O57" s="1000" t="n"/>
      <c r="P57" s="1000" t="n"/>
      <c r="Q57" s="1000" t="n"/>
      <c r="R57" s="1000" t="n"/>
      <c r="S57" s="1004" t="n"/>
    </row>
    <row r="58" ht="24" customHeight="1" s="882">
      <c r="A58" s="1027" t="n"/>
      <c r="B58" s="1000" t="n"/>
      <c r="C58" s="1001" t="n"/>
      <c r="D58" s="1031" t="n"/>
      <c r="E58" s="1029" t="n"/>
      <c r="F58" s="1000" t="n"/>
      <c r="G58" s="1000" t="n"/>
      <c r="H58" s="1000" t="n"/>
      <c r="I58" s="1000" t="n"/>
      <c r="J58" s="1000" t="n"/>
      <c r="K58" s="1000" t="n"/>
      <c r="L58" s="1000" t="n"/>
      <c r="M58" s="1000" t="n"/>
      <c r="N58" s="1000" t="n"/>
      <c r="O58" s="1000" t="n"/>
      <c r="P58" s="1000" t="n"/>
      <c r="Q58" s="1000" t="n"/>
      <c r="R58" s="1000" t="n"/>
      <c r="S58" s="1004" t="n"/>
    </row>
    <row r="59" ht="14.25" customHeight="1" s="882">
      <c r="A59" s="1032" t="n"/>
      <c r="B59" s="969" t="n"/>
      <c r="C59" s="969" t="n"/>
      <c r="D59" s="969" t="n"/>
      <c r="E59" s="969" t="n"/>
      <c r="F59" s="969" t="n"/>
      <c r="G59" s="969" t="n"/>
      <c r="H59" s="969" t="n"/>
      <c r="I59" s="969" t="n"/>
      <c r="J59" s="969" t="n"/>
      <c r="K59" s="969" t="n"/>
      <c r="L59" s="969" t="n"/>
      <c r="M59" s="969" t="n"/>
      <c r="N59" s="969" t="n"/>
      <c r="O59" s="969" t="n"/>
      <c r="P59" s="969" t="n"/>
      <c r="Q59" s="969" t="n"/>
      <c r="R59" s="969" t="n"/>
      <c r="S59" s="1033" t="n"/>
      <c r="T59" s="1034" t="n"/>
      <c r="U59" s="1034" t="n"/>
      <c r="V59" s="1034" t="n"/>
      <c r="W59" s="1034" t="n"/>
      <c r="X59" s="1034" t="n"/>
      <c r="Y59" s="1034" t="n"/>
      <c r="Z59" s="1034" t="n"/>
      <c r="AA59" s="1034" t="n"/>
      <c r="AB59" s="1034" t="n"/>
      <c r="AC59" s="1034" t="n"/>
      <c r="AD59" s="1034" t="n"/>
      <c r="AE59" s="1034" t="n"/>
      <c r="AF59" s="1034" t="n"/>
      <c r="AG59" s="1034" t="n"/>
      <c r="AH59" s="1034" t="n"/>
      <c r="AI59" s="1034" t="n"/>
      <c r="AJ59" s="1034" t="n"/>
      <c r="AK59" s="1034" t="n"/>
      <c r="AL59" s="1035" t="n"/>
    </row>
    <row r="60" ht="27" customHeight="1" s="882">
      <c r="A60" s="1036" t="n"/>
      <c r="E60" s="1037" t="n"/>
      <c r="M60" s="1036" t="n"/>
      <c r="S60" s="1038" t="n"/>
      <c r="U60" s="1039" t="n"/>
      <c r="V60" s="1039" t="n"/>
      <c r="W60" s="1039" t="n"/>
      <c r="X60" s="1039" t="n"/>
      <c r="Y60" s="1039" t="n"/>
      <c r="Z60" s="1039" t="n"/>
      <c r="AA60" s="1039" t="n"/>
      <c r="AE60" s="1040" t="n"/>
      <c r="AL60" s="1041" t="n"/>
    </row>
    <row r="61" ht="27" customHeight="1" s="882">
      <c r="A61" s="1037" t="n"/>
      <c r="M61" s="1042" t="n"/>
      <c r="U61" s="1039" t="n"/>
      <c r="V61" s="1039" t="n"/>
      <c r="W61" s="1039" t="n"/>
      <c r="X61" s="1039" t="n"/>
      <c r="Y61" s="1039" t="n"/>
      <c r="Z61" s="1039" t="n"/>
      <c r="AA61" s="1039" t="n"/>
      <c r="AL61" s="1041" t="n"/>
    </row>
    <row r="62" ht="15" customHeight="1" s="882">
      <c r="A62" s="1043" t="n"/>
      <c r="E62" s="1044" t="n"/>
      <c r="J62" s="1045" t="n"/>
      <c r="K62" s="1043" t="n"/>
      <c r="P62" s="1046" t="n"/>
    </row>
    <row r="63" ht="13.5" customHeight="1" s="882"/>
    <row r="64" ht="12" customHeight="1" s="882">
      <c r="A64" s="1047" t="n"/>
    </row>
    <row r="65" ht="12" customHeight="1" s="882"/>
    <row r="66" ht="12" customHeight="1" s="882"/>
    <row r="67" ht="12" customHeight="1" s="882"/>
    <row r="68" ht="12" customHeight="1" s="882"/>
    <row r="69" ht="12" customHeight="1" s="882">
      <c r="A69" s="1048" t="n"/>
      <c r="B69" s="1048" t="n"/>
      <c r="C69" s="1048" t="n"/>
      <c r="D69" s="1048" t="n"/>
      <c r="E69" s="1048" t="n"/>
      <c r="F69" s="1048" t="n"/>
      <c r="G69" s="1048" t="n"/>
      <c r="H69" s="1048" t="n"/>
      <c r="I69" s="1048" t="n"/>
      <c r="J69" s="1048" t="n"/>
      <c r="K69" s="1048" t="n"/>
      <c r="L69" s="1048" t="n"/>
      <c r="M69" s="1048" t="n"/>
      <c r="N69" s="1048" t="n"/>
      <c r="O69" s="1048" t="n"/>
      <c r="P69" s="1048" t="n"/>
      <c r="Q69" s="1048" t="n"/>
      <c r="R69" s="1048" t="n"/>
      <c r="S69" s="1048" t="n"/>
    </row>
    <row r="70" ht="12" customHeight="1" s="882">
      <c r="A70" s="1048" t="n"/>
      <c r="B70" s="1048" t="n"/>
      <c r="C70" s="1048" t="n"/>
      <c r="D70" s="1048" t="n"/>
      <c r="E70" s="1048" t="n"/>
      <c r="F70" s="1048" t="n"/>
      <c r="G70" s="1048" t="n"/>
      <c r="H70" s="1048" t="n"/>
      <c r="I70" s="1048" t="n"/>
      <c r="J70" s="1048" t="n"/>
      <c r="K70" s="1048" t="n"/>
      <c r="L70" s="1048" t="n"/>
      <c r="M70" s="1048" t="n"/>
      <c r="N70" s="1048" t="n"/>
      <c r="O70" s="1048" t="n"/>
      <c r="P70" s="1048" t="n"/>
      <c r="Q70" s="1048" t="n"/>
      <c r="R70" s="1048" t="n"/>
      <c r="S70" s="1048" t="n"/>
    </row>
    <row r="71" ht="12" customHeight="1" s="882">
      <c r="A71" s="1048" t="n"/>
      <c r="B71" s="1048" t="n"/>
      <c r="C71" s="1048" t="n"/>
      <c r="D71" s="1048" t="n"/>
      <c r="E71" s="1048" t="n"/>
      <c r="F71" s="1048" t="n"/>
      <c r="G71" s="1048" t="n"/>
      <c r="H71" s="1048" t="n"/>
      <c r="I71" s="1048" t="n"/>
      <c r="J71" s="1048" t="n"/>
      <c r="K71" s="1048" t="n"/>
      <c r="L71" s="1048" t="n"/>
      <c r="M71" s="1048" t="n"/>
      <c r="N71" s="1048" t="n"/>
      <c r="O71" s="1048" t="n"/>
      <c r="P71" s="1048" t="n"/>
      <c r="Q71" s="1048" t="n"/>
      <c r="R71" s="1048" t="n"/>
      <c r="S71" s="1048" t="n"/>
    </row>
    <row r="72" ht="12" customHeight="1" s="882">
      <c r="A72" s="1048" t="n"/>
      <c r="B72" s="1048" t="n"/>
      <c r="C72" s="1048" t="n"/>
      <c r="D72" s="1048" t="n"/>
      <c r="E72" s="1048" t="n"/>
      <c r="F72" s="1048" t="n"/>
      <c r="G72" s="1048" t="n"/>
      <c r="H72" s="1048" t="n"/>
      <c r="I72" s="1048" t="n"/>
      <c r="J72" s="1048" t="n"/>
      <c r="K72" s="1048" t="n"/>
      <c r="L72" s="1048" t="n"/>
      <c r="M72" s="1048" t="n"/>
      <c r="N72" s="1048" t="n"/>
      <c r="O72" s="1048" t="n"/>
      <c r="P72" s="1048" t="n"/>
      <c r="Q72" s="1048" t="n"/>
      <c r="R72" s="1048" t="n"/>
      <c r="S72" s="1048" t="n"/>
    </row>
    <row r="73" ht="12" customHeight="1" s="882">
      <c r="A73" s="1048" t="n"/>
      <c r="B73" s="1048" t="n"/>
      <c r="C73" s="1048" t="n"/>
      <c r="D73" s="1048" t="n"/>
      <c r="E73" s="1048" t="n"/>
      <c r="F73" s="1048" t="n"/>
      <c r="G73" s="1048" t="n"/>
      <c r="H73" s="1048" t="n"/>
      <c r="I73" s="1048" t="n"/>
      <c r="J73" s="1048" t="n"/>
      <c r="K73" s="1048" t="n"/>
      <c r="L73" s="1048" t="n"/>
      <c r="M73" s="1048" t="n"/>
      <c r="N73" s="1048" t="n"/>
      <c r="O73" s="1048" t="n"/>
      <c r="P73" s="1048" t="n"/>
      <c r="Q73" s="1048" t="n"/>
      <c r="R73" s="1048" t="n"/>
      <c r="S73" s="1048" t="n"/>
    </row>
    <row r="74" ht="12" customHeight="1" s="882">
      <c r="A74" s="1048" t="n"/>
      <c r="B74" s="1048" t="n"/>
      <c r="C74" s="1048" t="n"/>
      <c r="D74" s="1048" t="n"/>
      <c r="E74" s="1048" t="n"/>
      <c r="F74" s="1048" t="n"/>
      <c r="G74" s="1048" t="n"/>
      <c r="H74" s="1048" t="n"/>
      <c r="I74" s="1048" t="n"/>
      <c r="J74" s="1048" t="n"/>
      <c r="K74" s="1048" t="n"/>
      <c r="L74" s="1048" t="n"/>
      <c r="M74" s="1048" t="n"/>
      <c r="N74" s="1048" t="n"/>
      <c r="O74" s="1048" t="n"/>
      <c r="P74" s="1048" t="n"/>
      <c r="Q74" s="1048" t="n"/>
      <c r="R74" s="1048" t="n"/>
      <c r="S74" s="1048" t="n"/>
    </row>
    <row r="75" ht="12" customHeight="1" s="882">
      <c r="A75" s="1048" t="n"/>
      <c r="B75" s="1048" t="n"/>
      <c r="C75" s="1048" t="n"/>
      <c r="D75" s="1048" t="n"/>
      <c r="E75" s="1048" t="n"/>
      <c r="F75" s="1048" t="n"/>
      <c r="G75" s="1048" t="n"/>
      <c r="H75" s="1048" t="n"/>
      <c r="I75" s="1048" t="n"/>
      <c r="J75" s="1048" t="n"/>
      <c r="K75" s="1048" t="n"/>
      <c r="L75" s="1048" t="n"/>
      <c r="M75" s="1048" t="n"/>
      <c r="N75" s="1048" t="n"/>
      <c r="O75" s="1048" t="n"/>
      <c r="P75" s="1048" t="n"/>
      <c r="Q75" s="1048" t="n"/>
      <c r="R75" s="1048" t="n"/>
      <c r="S75" s="1048" t="n"/>
    </row>
    <row r="76" ht="12" customHeight="1" s="882">
      <c r="A76" s="1048" t="n"/>
      <c r="B76" s="1048" t="n"/>
      <c r="C76" s="1048" t="n"/>
      <c r="D76" s="1048" t="n"/>
      <c r="E76" s="1048" t="n"/>
      <c r="F76" s="1048" t="n"/>
      <c r="G76" s="1048" t="n"/>
      <c r="H76" s="1048" t="n"/>
      <c r="I76" s="1048" t="n"/>
      <c r="J76" s="1048" t="n"/>
      <c r="K76" s="1048" t="n"/>
      <c r="L76" s="1048" t="n"/>
      <c r="M76" s="1048" t="n"/>
      <c r="N76" s="1048" t="n"/>
      <c r="O76" s="1048" t="n"/>
      <c r="P76" s="1048" t="n"/>
      <c r="Q76" s="1048" t="n"/>
      <c r="R76" s="1048" t="n"/>
      <c r="S76" s="1048" t="n"/>
    </row>
    <row r="77" ht="12" customHeight="1" s="882">
      <c r="A77" s="1048" t="n"/>
      <c r="B77" s="1048" t="n"/>
      <c r="C77" s="1048" t="n"/>
      <c r="D77" s="1048" t="n"/>
      <c r="E77" s="1048" t="n"/>
      <c r="F77" s="1048" t="n"/>
      <c r="G77" s="1048" t="n"/>
      <c r="H77" s="1048" t="n"/>
      <c r="I77" s="1048" t="n"/>
      <c r="J77" s="1048" t="n"/>
      <c r="K77" s="1048" t="n"/>
      <c r="L77" s="1048" t="n"/>
      <c r="M77" s="1048" t="n"/>
      <c r="N77" s="1048" t="n"/>
      <c r="O77" s="1048" t="n"/>
      <c r="P77" s="1048" t="n"/>
      <c r="Q77" s="1048" t="n"/>
      <c r="R77" s="1048" t="n"/>
      <c r="S77" s="1048" t="n"/>
    </row>
    <row r="78" ht="12" customHeight="1" s="882">
      <c r="A78" s="1048" t="n"/>
      <c r="B78" s="1048" t="n"/>
      <c r="C78" s="1048" t="n"/>
      <c r="D78" s="1048" t="n"/>
      <c r="E78" s="1048" t="n"/>
      <c r="F78" s="1048" t="n"/>
      <c r="G78" s="1048" t="n"/>
      <c r="H78" s="1048" t="n"/>
      <c r="I78" s="1048" t="n"/>
      <c r="J78" s="1048" t="n"/>
      <c r="K78" s="1048" t="n"/>
      <c r="L78" s="1048" t="n"/>
      <c r="M78" s="1048" t="n"/>
      <c r="N78" s="1048" t="n"/>
      <c r="O78" s="1048" t="n"/>
      <c r="P78" s="1048" t="n"/>
      <c r="Q78" s="1048" t="n"/>
      <c r="R78" s="1048" t="n"/>
      <c r="S78" s="1048" t="n"/>
    </row>
    <row r="79" ht="12" customHeight="1" s="882">
      <c r="A79" s="1048" t="n"/>
      <c r="B79" s="1048" t="n"/>
      <c r="C79" s="1048" t="n"/>
      <c r="D79" s="1048" t="n"/>
      <c r="E79" s="1048" t="n"/>
      <c r="F79" s="1048" t="n"/>
      <c r="G79" s="1048" t="n"/>
      <c r="H79" s="1048" t="n"/>
      <c r="I79" s="1048" t="n"/>
      <c r="J79" s="1048" t="n"/>
      <c r="K79" s="1048" t="n"/>
      <c r="L79" s="1048" t="n"/>
      <c r="M79" s="1048" t="n"/>
      <c r="N79" s="1048" t="n"/>
      <c r="O79" s="1048" t="n"/>
      <c r="P79" s="1048" t="n"/>
      <c r="Q79" s="1048" t="n"/>
      <c r="R79" s="1048" t="n"/>
      <c r="S79" s="1048" t="n"/>
    </row>
    <row r="80" ht="12" customHeight="1" s="882">
      <c r="A80" s="1048" t="n"/>
      <c r="B80" s="1048" t="n"/>
      <c r="C80" s="1048" t="n"/>
      <c r="D80" s="1048" t="n"/>
      <c r="E80" s="1048" t="n"/>
      <c r="F80" s="1048" t="n"/>
      <c r="G80" s="1048" t="n"/>
      <c r="H80" s="1048" t="n"/>
      <c r="I80" s="1048" t="n"/>
      <c r="J80" s="1048" t="n"/>
      <c r="K80" s="1048" t="n"/>
      <c r="L80" s="1048" t="n"/>
      <c r="M80" s="1048" t="n"/>
      <c r="N80" s="1048" t="n"/>
      <c r="O80" s="1048" t="n"/>
      <c r="P80" s="1048" t="n"/>
      <c r="Q80" s="1048" t="n"/>
      <c r="R80" s="1048" t="n"/>
      <c r="S80" s="1048" t="n"/>
    </row>
    <row r="81" ht="12" customHeight="1" s="882">
      <c r="A81" s="1048" t="n"/>
      <c r="B81" s="1048" t="n"/>
      <c r="C81" s="1048" t="n"/>
      <c r="D81" s="1048" t="n"/>
      <c r="E81" s="1048" t="n"/>
      <c r="F81" s="1048" t="n"/>
      <c r="G81" s="1048" t="n"/>
      <c r="H81" s="1048" t="n"/>
      <c r="I81" s="1048" t="n"/>
      <c r="J81" s="1048" t="n"/>
      <c r="K81" s="1048" t="n"/>
      <c r="L81" s="1048" t="n"/>
      <c r="M81" s="1048" t="n"/>
      <c r="N81" s="1048" t="n"/>
      <c r="O81" s="1048" t="n"/>
      <c r="P81" s="1048" t="n"/>
      <c r="Q81" s="1048" t="n"/>
      <c r="R81" s="1048" t="n"/>
      <c r="S81" s="1048" t="n"/>
    </row>
    <row r="82" ht="12" customHeight="1" s="882">
      <c r="A82" s="1048" t="n"/>
      <c r="B82" s="1048" t="n"/>
      <c r="C82" s="1048" t="n"/>
      <c r="D82" s="1048" t="n"/>
      <c r="E82" s="1048" t="n"/>
      <c r="F82" s="1048" t="n"/>
      <c r="G82" s="1048" t="n"/>
      <c r="H82" s="1048" t="n"/>
      <c r="I82" s="1048" t="n"/>
      <c r="J82" s="1048" t="n"/>
      <c r="K82" s="1048" t="n"/>
      <c r="L82" s="1048" t="n"/>
      <c r="M82" s="1048" t="n"/>
      <c r="N82" s="1048" t="n"/>
      <c r="O82" s="1048" t="n"/>
      <c r="P82" s="1048" t="n"/>
      <c r="Q82" s="1048" t="n"/>
      <c r="R82" s="1048" t="n"/>
      <c r="S82" s="1048" t="n"/>
    </row>
    <row r="83" ht="12" customHeight="1" s="882">
      <c r="A83" s="1048" t="n"/>
      <c r="B83" s="1048" t="n"/>
      <c r="C83" s="1048" t="n"/>
      <c r="D83" s="1048" t="n"/>
      <c r="E83" s="1048" t="n"/>
      <c r="F83" s="1048" t="n"/>
      <c r="G83" s="1048" t="n"/>
      <c r="H83" s="1048" t="n"/>
      <c r="I83" s="1048" t="n"/>
      <c r="J83" s="1048" t="n"/>
      <c r="K83" s="1048" t="n"/>
      <c r="L83" s="1048" t="n"/>
      <c r="M83" s="1048" t="n"/>
      <c r="N83" s="1048" t="n"/>
      <c r="O83" s="1048" t="n"/>
      <c r="P83" s="1048" t="n"/>
      <c r="Q83" s="1048" t="n"/>
      <c r="R83" s="1048" t="n"/>
      <c r="S83" s="1048" t="n"/>
    </row>
    <row r="84" ht="12" customHeight="1" s="882">
      <c r="A84" s="1048" t="n"/>
      <c r="B84" s="1048" t="n"/>
      <c r="C84" s="1048" t="n"/>
      <c r="D84" s="1048" t="n"/>
      <c r="E84" s="1048" t="n"/>
      <c r="F84" s="1048" t="n"/>
      <c r="G84" s="1048" t="n"/>
      <c r="H84" s="1048" t="n"/>
      <c r="I84" s="1048" t="n"/>
      <c r="J84" s="1048" t="n"/>
      <c r="K84" s="1048" t="n"/>
      <c r="L84" s="1048" t="n"/>
      <c r="M84" s="1048" t="n"/>
      <c r="N84" s="1048" t="n"/>
      <c r="O84" s="1048" t="n"/>
      <c r="P84" s="1048" t="n"/>
      <c r="Q84" s="1048" t="n"/>
      <c r="R84" s="1048" t="n"/>
      <c r="S84" s="1048" t="n"/>
    </row>
    <row r="85" ht="12" customHeight="1" s="882">
      <c r="A85" s="1048" t="n"/>
      <c r="B85" s="1048" t="n"/>
      <c r="C85" s="1048" t="n"/>
      <c r="D85" s="1048" t="n"/>
      <c r="E85" s="1048" t="n"/>
      <c r="F85" s="1048" t="n"/>
      <c r="G85" s="1048" t="n"/>
      <c r="H85" s="1048" t="n"/>
      <c r="I85" s="1048" t="n"/>
      <c r="J85" s="1048" t="n"/>
      <c r="K85" s="1048" t="n"/>
      <c r="L85" s="1048" t="n"/>
      <c r="M85" s="1048" t="n"/>
      <c r="N85" s="1048" t="n"/>
      <c r="O85" s="1048" t="n"/>
      <c r="P85" s="1048" t="n"/>
      <c r="Q85" s="1048" t="n"/>
      <c r="R85" s="1048" t="n"/>
      <c r="S85" s="1048" t="n"/>
    </row>
    <row r="86" ht="12" customHeight="1" s="882">
      <c r="A86" s="1048" t="n"/>
      <c r="B86" s="1048" t="n"/>
      <c r="C86" s="1048" t="n"/>
      <c r="D86" s="1048" t="n"/>
      <c r="E86" s="1048" t="n"/>
      <c r="F86" s="1048" t="n"/>
      <c r="G86" s="1048" t="n"/>
      <c r="H86" s="1048" t="n"/>
      <c r="I86" s="1048" t="n"/>
      <c r="J86" s="1048" t="n"/>
      <c r="K86" s="1048" t="n"/>
      <c r="L86" s="1048" t="n"/>
      <c r="M86" s="1048" t="n"/>
      <c r="N86" s="1048" t="n"/>
      <c r="O86" s="1048" t="n"/>
      <c r="P86" s="1048" t="n"/>
      <c r="Q86" s="1048" t="n"/>
      <c r="R86" s="1048" t="n"/>
      <c r="S86" s="1048" t="n"/>
    </row>
    <row r="87" ht="12" customHeight="1" s="882">
      <c r="A87" s="1048" t="n"/>
      <c r="B87" s="1048" t="n"/>
      <c r="C87" s="1048" t="n"/>
      <c r="D87" s="1048" t="n"/>
      <c r="E87" s="1048" t="n"/>
      <c r="F87" s="1048" t="n"/>
      <c r="G87" s="1048" t="n"/>
      <c r="H87" s="1048" t="n"/>
      <c r="I87" s="1048" t="n"/>
      <c r="J87" s="1048" t="n"/>
      <c r="K87" s="1048" t="n"/>
      <c r="L87" s="1048" t="n"/>
      <c r="M87" s="1048" t="n"/>
      <c r="N87" s="1048" t="n"/>
      <c r="O87" s="1048" t="n"/>
      <c r="P87" s="1048" t="n"/>
      <c r="Q87" s="1048" t="n"/>
      <c r="R87" s="1048" t="n"/>
      <c r="S87" s="1048" t="n"/>
    </row>
    <row r="88" ht="12" customHeight="1" s="882">
      <c r="A88" s="1048" t="n"/>
      <c r="B88" s="1048" t="n"/>
      <c r="C88" s="1048" t="n"/>
      <c r="D88" s="1048" t="n"/>
      <c r="E88" s="1048" t="n"/>
      <c r="F88" s="1048" t="n"/>
      <c r="G88" s="1048" t="n"/>
      <c r="H88" s="1048" t="n"/>
      <c r="I88" s="1048" t="n"/>
      <c r="J88" s="1048" t="n"/>
      <c r="K88" s="1048" t="n"/>
      <c r="L88" s="1048" t="n"/>
      <c r="M88" s="1048" t="n"/>
      <c r="N88" s="1048" t="n"/>
      <c r="O88" s="1048" t="n"/>
      <c r="P88" s="1048" t="n"/>
      <c r="Q88" s="1048" t="n"/>
      <c r="R88" s="1048" t="n"/>
      <c r="S88" s="1048" t="n"/>
    </row>
    <row r="89" ht="12" customHeight="1" s="882">
      <c r="A89" s="1048" t="n"/>
      <c r="B89" s="1048" t="n"/>
      <c r="C89" s="1048" t="n"/>
      <c r="D89" s="1048" t="n"/>
      <c r="E89" s="1048" t="n"/>
      <c r="F89" s="1048" t="n"/>
      <c r="G89" s="1048" t="n"/>
      <c r="H89" s="1048" t="n"/>
      <c r="I89" s="1048" t="n"/>
      <c r="J89" s="1048" t="n"/>
      <c r="K89" s="1048" t="n"/>
      <c r="L89" s="1048" t="n"/>
      <c r="M89" s="1048" t="n"/>
      <c r="N89" s="1048" t="n"/>
      <c r="O89" s="1048" t="n"/>
      <c r="P89" s="1048" t="n"/>
      <c r="Q89" s="1048" t="n"/>
      <c r="R89" s="1048" t="n"/>
      <c r="S89" s="1048" t="n"/>
    </row>
    <row r="90" ht="12" customHeight="1" s="882">
      <c r="A90" s="1048" t="n"/>
      <c r="B90" s="1048" t="n"/>
      <c r="C90" s="1048" t="n"/>
      <c r="D90" s="1048" t="n"/>
      <c r="E90" s="1048" t="n"/>
      <c r="F90" s="1048" t="n"/>
      <c r="G90" s="1048" t="n"/>
      <c r="H90" s="1048" t="n"/>
      <c r="I90" s="1048" t="n"/>
      <c r="J90" s="1048" t="n"/>
      <c r="K90" s="1048" t="n"/>
      <c r="L90" s="1048" t="n"/>
      <c r="M90" s="1048" t="n"/>
      <c r="N90" s="1048" t="n"/>
      <c r="O90" s="1048" t="n"/>
      <c r="P90" s="1048" t="n"/>
      <c r="Q90" s="1048" t="n"/>
      <c r="R90" s="1048" t="n"/>
      <c r="S90" s="1048" t="n"/>
    </row>
    <row r="91" ht="12" customHeight="1" s="882">
      <c r="A91" s="1048" t="n"/>
      <c r="B91" s="1048" t="n"/>
      <c r="C91" s="1048" t="n"/>
      <c r="D91" s="1048" t="n"/>
      <c r="E91" s="1048" t="n"/>
      <c r="F91" s="1048" t="n"/>
      <c r="G91" s="1048" t="n"/>
      <c r="H91" s="1048" t="n"/>
      <c r="I91" s="1048" t="n"/>
      <c r="J91" s="1048" t="n"/>
      <c r="K91" s="1048" t="n"/>
      <c r="L91" s="1048" t="n"/>
      <c r="M91" s="1048" t="n"/>
      <c r="N91" s="1048" t="n"/>
      <c r="O91" s="1048" t="n"/>
      <c r="P91" s="1048" t="n"/>
      <c r="Q91" s="1048" t="n"/>
      <c r="R91" s="1048" t="n"/>
      <c r="S91" s="1048" t="n"/>
    </row>
    <row r="92" ht="12" customHeight="1" s="882">
      <c r="A92" s="1048" t="n"/>
      <c r="B92" s="1048" t="n"/>
      <c r="C92" s="1048" t="n"/>
      <c r="D92" s="1048" t="n"/>
      <c r="E92" s="1048" t="n"/>
      <c r="F92" s="1048" t="n"/>
      <c r="G92" s="1048" t="n"/>
      <c r="H92" s="1048" t="n"/>
      <c r="I92" s="1048" t="n"/>
      <c r="J92" s="1048" t="n"/>
      <c r="K92" s="1048" t="n"/>
      <c r="L92" s="1048" t="n"/>
      <c r="M92" s="1048" t="n"/>
      <c r="N92" s="1048" t="n"/>
      <c r="O92" s="1048" t="n"/>
      <c r="P92" s="1048" t="n"/>
      <c r="Q92" s="1048" t="n"/>
      <c r="R92" s="1048" t="n"/>
      <c r="S92" s="1048" t="n"/>
    </row>
    <row r="93" ht="12" customHeight="1" s="882">
      <c r="A93" s="1048" t="n"/>
      <c r="B93" s="1048" t="n"/>
      <c r="C93" s="1048" t="n"/>
      <c r="D93" s="1048" t="n"/>
      <c r="E93" s="1048" t="n"/>
      <c r="F93" s="1048" t="n"/>
      <c r="G93" s="1048" t="n"/>
      <c r="H93" s="1048" t="n"/>
      <c r="I93" s="1048" t="n"/>
      <c r="J93" s="1048" t="n"/>
      <c r="K93" s="1048" t="n"/>
      <c r="L93" s="1048" t="n"/>
      <c r="M93" s="1048" t="n"/>
      <c r="N93" s="1048" t="n"/>
      <c r="O93" s="1048" t="n"/>
      <c r="P93" s="1048" t="n"/>
      <c r="Q93" s="1048" t="n"/>
      <c r="R93" s="1048" t="n"/>
      <c r="S93" s="1048" t="n"/>
    </row>
    <row r="94" ht="12" customHeight="1" s="882">
      <c r="A94" s="1048" t="n"/>
      <c r="B94" s="1048" t="n"/>
      <c r="C94" s="1048" t="n"/>
      <c r="D94" s="1048" t="n"/>
      <c r="E94" s="1048" t="n"/>
      <c r="F94" s="1048" t="n"/>
      <c r="G94" s="1048" t="n"/>
      <c r="H94" s="1048" t="n"/>
      <c r="I94" s="1048" t="n"/>
      <c r="J94" s="1048" t="n"/>
      <c r="K94" s="1048" t="n"/>
      <c r="L94" s="1048" t="n"/>
      <c r="M94" s="1048" t="n"/>
      <c r="N94" s="1048" t="n"/>
      <c r="O94" s="1048" t="n"/>
      <c r="P94" s="1048" t="n"/>
      <c r="Q94" s="1048" t="n"/>
      <c r="R94" s="1048" t="n"/>
      <c r="S94" s="1048" t="n"/>
    </row>
    <row r="95" ht="12" customHeight="1" s="882">
      <c r="A95" s="1048" t="n"/>
      <c r="B95" s="1048" t="n"/>
      <c r="C95" s="1048" t="n"/>
      <c r="D95" s="1048" t="n"/>
      <c r="E95" s="1048" t="n"/>
      <c r="F95" s="1048" t="n"/>
      <c r="G95" s="1048" t="n"/>
      <c r="H95" s="1048" t="n"/>
      <c r="I95" s="1048" t="n"/>
      <c r="J95" s="1048" t="n"/>
      <c r="K95" s="1048" t="n"/>
      <c r="L95" s="1048" t="n"/>
      <c r="M95" s="1048" t="n"/>
      <c r="N95" s="1048" t="n"/>
      <c r="O95" s="1048" t="n"/>
      <c r="P95" s="1048" t="n"/>
      <c r="Q95" s="1048" t="n"/>
      <c r="R95" s="1048" t="n"/>
      <c r="S95" s="1048" t="n"/>
    </row>
    <row r="96" ht="12" customHeight="1" s="882">
      <c r="A96" s="1048" t="n"/>
      <c r="B96" s="1048" t="n"/>
      <c r="C96" s="1048" t="n"/>
      <c r="D96" s="1048" t="n"/>
      <c r="E96" s="1048" t="n"/>
      <c r="F96" s="1048" t="n"/>
      <c r="G96" s="1048" t="n"/>
      <c r="H96" s="1048" t="n"/>
      <c r="I96" s="1048" t="n"/>
      <c r="J96" s="1048" t="n"/>
      <c r="K96" s="1048" t="n"/>
      <c r="L96" s="1048" t="n"/>
      <c r="M96" s="1048" t="n"/>
      <c r="N96" s="1048" t="n"/>
      <c r="O96" s="1048" t="n"/>
      <c r="P96" s="1048" t="n"/>
      <c r="Q96" s="1048" t="n"/>
      <c r="R96" s="1048" t="n"/>
      <c r="S96" s="1048" t="n"/>
    </row>
    <row r="97" ht="12" customHeight="1" s="882">
      <c r="A97" s="1048" t="n"/>
      <c r="B97" s="1048" t="n"/>
      <c r="C97" s="1048" t="n"/>
      <c r="D97" s="1048" t="n"/>
      <c r="E97" s="1048" t="n"/>
      <c r="F97" s="1048" t="n"/>
      <c r="G97" s="1048" t="n"/>
      <c r="H97" s="1048" t="n"/>
      <c r="I97" s="1048" t="n"/>
      <c r="J97" s="1048" t="n"/>
      <c r="K97" s="1048" t="n"/>
      <c r="L97" s="1048" t="n"/>
      <c r="M97" s="1048" t="n"/>
      <c r="N97" s="1048" t="n"/>
      <c r="O97" s="1048" t="n"/>
      <c r="P97" s="1048" t="n"/>
      <c r="Q97" s="1048" t="n"/>
      <c r="R97" s="1048" t="n"/>
      <c r="S97" s="1048" t="n"/>
    </row>
    <row r="98" ht="12" customHeight="1" s="882">
      <c r="A98" s="1048" t="n"/>
      <c r="B98" s="1048" t="n"/>
      <c r="C98" s="1048" t="n"/>
      <c r="D98" s="1048" t="n"/>
      <c r="E98" s="1048" t="n"/>
      <c r="F98" s="1048" t="n"/>
      <c r="G98" s="1048" t="n"/>
      <c r="H98" s="1048" t="n"/>
      <c r="I98" s="1048" t="n"/>
      <c r="J98" s="1048" t="n"/>
      <c r="K98" s="1048" t="n"/>
      <c r="L98" s="1048" t="n"/>
      <c r="M98" s="1048" t="n"/>
      <c r="N98" s="1048" t="n"/>
      <c r="O98" s="1048" t="n"/>
      <c r="P98" s="1048" t="n"/>
      <c r="Q98" s="1048" t="n"/>
      <c r="R98" s="1048" t="n"/>
      <c r="S98" s="1048" t="n"/>
    </row>
    <row r="99" ht="12" customHeight="1" s="882">
      <c r="A99" s="1048" t="n"/>
      <c r="B99" s="1048" t="n"/>
      <c r="C99" s="1048" t="n"/>
      <c r="D99" s="1048" t="n"/>
      <c r="E99" s="1048" t="n"/>
      <c r="F99" s="1048" t="n"/>
      <c r="G99" s="1048" t="n"/>
      <c r="H99" s="1048" t="n"/>
      <c r="I99" s="1048" t="n"/>
      <c r="J99" s="1048" t="n"/>
      <c r="K99" s="1048" t="n"/>
      <c r="L99" s="1048" t="n"/>
      <c r="M99" s="1048" t="n"/>
      <c r="N99" s="1048" t="n"/>
      <c r="O99" s="1048" t="n"/>
      <c r="P99" s="1048" t="n"/>
      <c r="Q99" s="1048" t="n"/>
      <c r="R99" s="1048" t="n"/>
      <c r="S99" s="1048" t="n"/>
    </row>
    <row r="100" ht="12" customHeight="1" s="882">
      <c r="A100" s="1048" t="n"/>
      <c r="B100" s="1048" t="n"/>
      <c r="C100" s="1048" t="n"/>
      <c r="D100" s="1048" t="n"/>
      <c r="E100" s="1048" t="n"/>
      <c r="F100" s="1048" t="n"/>
      <c r="G100" s="1048" t="n"/>
      <c r="H100" s="1048" t="n"/>
      <c r="I100" s="1048" t="n"/>
      <c r="J100" s="1048" t="n"/>
      <c r="K100" s="1048" t="n"/>
      <c r="L100" s="1048" t="n"/>
      <c r="M100" s="1048" t="n"/>
      <c r="N100" s="1048" t="n"/>
      <c r="O100" s="1048" t="n"/>
      <c r="P100" s="1048" t="n"/>
      <c r="Q100" s="1048" t="n"/>
      <c r="R100" s="1048" t="n"/>
      <c r="S100" s="1048" t="n"/>
    </row>
    <row r="101" ht="12" customHeight="1" s="882">
      <c r="A101" s="1048" t="n"/>
      <c r="B101" s="1048" t="n"/>
      <c r="C101" s="1048" t="n"/>
      <c r="D101" s="1048" t="n"/>
      <c r="E101" s="1048" t="n"/>
      <c r="F101" s="1048" t="n"/>
      <c r="G101" s="1048" t="n"/>
      <c r="H101" s="1048" t="n"/>
      <c r="I101" s="1048" t="n"/>
      <c r="J101" s="1048" t="n"/>
      <c r="K101" s="1048" t="n"/>
      <c r="L101" s="1048" t="n"/>
      <c r="M101" s="1048" t="n"/>
      <c r="N101" s="1048" t="n"/>
      <c r="O101" s="1048" t="n"/>
      <c r="P101" s="1048" t="n"/>
      <c r="Q101" s="1048" t="n"/>
      <c r="R101" s="1048" t="n"/>
      <c r="S101" s="1048" t="n"/>
    </row>
    <row r="102" ht="12" customHeight="1" s="882">
      <c r="A102" s="1048" t="n"/>
      <c r="B102" s="1048" t="n"/>
      <c r="C102" s="1048" t="n"/>
      <c r="D102" s="1048" t="n"/>
      <c r="E102" s="1048" t="n"/>
      <c r="F102" s="1048" t="n"/>
      <c r="G102" s="1048" t="n"/>
      <c r="H102" s="1048" t="n"/>
      <c r="I102" s="1048" t="n"/>
      <c r="J102" s="1048" t="n"/>
      <c r="K102" s="1048" t="n"/>
      <c r="L102" s="1048" t="n"/>
      <c r="M102" s="1048" t="n"/>
      <c r="N102" s="1048" t="n"/>
      <c r="O102" s="1048" t="n"/>
      <c r="P102" s="1048" t="n"/>
      <c r="Q102" s="1048" t="n"/>
      <c r="R102" s="1048" t="n"/>
      <c r="S102" s="1048" t="n"/>
    </row>
    <row r="103" ht="12" customHeight="1" s="882">
      <c r="A103" s="1048" t="n"/>
      <c r="B103" s="1048" t="n"/>
      <c r="C103" s="1048" t="n"/>
      <c r="D103" s="1048" t="n"/>
      <c r="E103" s="1048" t="n"/>
      <c r="F103" s="1048" t="n"/>
      <c r="G103" s="1048" t="n"/>
      <c r="H103" s="1048" t="n"/>
      <c r="I103" s="1048" t="n"/>
      <c r="J103" s="1048" t="n"/>
      <c r="K103" s="1048" t="n"/>
      <c r="L103" s="1048" t="n"/>
      <c r="M103" s="1048" t="n"/>
      <c r="N103" s="1048" t="n"/>
      <c r="O103" s="1048" t="n"/>
      <c r="P103" s="1048" t="n"/>
      <c r="Q103" s="1048" t="n"/>
      <c r="R103" s="1048" t="n"/>
      <c r="S103" s="1048" t="n"/>
    </row>
    <row r="104" ht="12" customHeight="1" s="882">
      <c r="A104" s="1048" t="n"/>
      <c r="B104" s="1048" t="n"/>
      <c r="C104" s="1048" t="n"/>
      <c r="D104" s="1048" t="n"/>
      <c r="E104" s="1048" t="n"/>
      <c r="F104" s="1048" t="n"/>
      <c r="G104" s="1048" t="n"/>
      <c r="H104" s="1048" t="n"/>
      <c r="I104" s="1048" t="n"/>
      <c r="J104" s="1048" t="n"/>
      <c r="K104" s="1048" t="n"/>
      <c r="L104" s="1048" t="n"/>
      <c r="M104" s="1048" t="n"/>
      <c r="N104" s="1048" t="n"/>
      <c r="O104" s="1048" t="n"/>
      <c r="P104" s="1048" t="n"/>
      <c r="Q104" s="1048" t="n"/>
      <c r="R104" s="1048" t="n"/>
      <c r="S104" s="1048" t="n"/>
    </row>
    <row r="105" ht="12" customHeight="1" s="882">
      <c r="A105" s="1048" t="n"/>
      <c r="B105" s="1048" t="n"/>
      <c r="C105" s="1048" t="n"/>
      <c r="D105" s="1048" t="n"/>
      <c r="E105" s="1048" t="n"/>
      <c r="F105" s="1048" t="n"/>
      <c r="G105" s="1048" t="n"/>
      <c r="H105" s="1048" t="n"/>
      <c r="I105" s="1048" t="n"/>
      <c r="J105" s="1048" t="n"/>
      <c r="K105" s="1048" t="n"/>
      <c r="L105" s="1048" t="n"/>
      <c r="M105" s="1048" t="n"/>
      <c r="N105" s="1048" t="n"/>
      <c r="O105" s="1048" t="n"/>
      <c r="P105" s="1048" t="n"/>
      <c r="Q105" s="1048" t="n"/>
      <c r="R105" s="1048" t="n"/>
      <c r="S105" s="1048" t="n"/>
    </row>
    <row r="106" ht="12" customHeight="1" s="882">
      <c r="A106" s="1048" t="n"/>
      <c r="B106" s="1048" t="n"/>
      <c r="C106" s="1048" t="n"/>
      <c r="D106" s="1048" t="n"/>
      <c r="E106" s="1048" t="n"/>
      <c r="F106" s="1048" t="n"/>
      <c r="G106" s="1048" t="n"/>
      <c r="H106" s="1048" t="n"/>
      <c r="I106" s="1048" t="n"/>
      <c r="J106" s="1048" t="n"/>
      <c r="K106" s="1048" t="n"/>
      <c r="L106" s="1048" t="n"/>
      <c r="M106" s="1048" t="n"/>
      <c r="N106" s="1048" t="n"/>
      <c r="O106" s="1048" t="n"/>
      <c r="P106" s="1048" t="n"/>
      <c r="Q106" s="1048" t="n"/>
      <c r="R106" s="1048" t="n"/>
      <c r="S106" s="1048" t="n"/>
    </row>
    <row r="107" ht="12" customHeight="1" s="882">
      <c r="A107" s="1048" t="n"/>
      <c r="B107" s="1048" t="n"/>
      <c r="C107" s="1048" t="n"/>
      <c r="D107" s="1048" t="n"/>
      <c r="E107" s="1048" t="n"/>
      <c r="F107" s="1048" t="n"/>
      <c r="G107" s="1048" t="n"/>
      <c r="H107" s="1048" t="n"/>
      <c r="I107" s="1048" t="n"/>
      <c r="J107" s="1048" t="n"/>
      <c r="K107" s="1048" t="n"/>
      <c r="L107" s="1048" t="n"/>
      <c r="M107" s="1048" t="n"/>
      <c r="N107" s="1048" t="n"/>
      <c r="O107" s="1048" t="n"/>
      <c r="P107" s="1048" t="n"/>
      <c r="Q107" s="1048" t="n"/>
      <c r="R107" s="1048" t="n"/>
      <c r="S107" s="1048" t="n"/>
    </row>
  </sheetData>
  <mergeCells count="134">
    <mergeCell ref="E44:S44"/>
    <mergeCell ref="E20:S20"/>
    <mergeCell ref="A46:C46"/>
    <mergeCell ref="E28:S28"/>
    <mergeCell ref="F2:H2"/>
    <mergeCell ref="A21:C21"/>
    <mergeCell ref="M31:R31"/>
    <mergeCell ref="A57:C57"/>
    <mergeCell ref="A26:C26"/>
    <mergeCell ref="E30:S30"/>
    <mergeCell ref="A31:D31"/>
    <mergeCell ref="A23:C23"/>
    <mergeCell ref="E46:S46"/>
    <mergeCell ref="R6:S6"/>
    <mergeCell ref="A43:C43"/>
    <mergeCell ref="A52:C52"/>
    <mergeCell ref="E54:S54"/>
    <mergeCell ref="H5:J5"/>
    <mergeCell ref="D6:G6"/>
    <mergeCell ref="E41:S41"/>
    <mergeCell ref="E47:S47"/>
    <mergeCell ref="M8:N8"/>
    <mergeCell ref="E56:S56"/>
    <mergeCell ref="O8:P8"/>
    <mergeCell ref="N5:Q5"/>
    <mergeCell ref="I2:K2"/>
    <mergeCell ref="A49:C49"/>
    <mergeCell ref="K33:O34"/>
    <mergeCell ref="K5:M5"/>
    <mergeCell ref="E24:S24"/>
    <mergeCell ref="A6:C6"/>
    <mergeCell ref="D7:G7"/>
    <mergeCell ref="E17:S17"/>
    <mergeCell ref="E10:S10"/>
    <mergeCell ref="E19:S19"/>
    <mergeCell ref="A3:C3"/>
    <mergeCell ref="A55:C55"/>
    <mergeCell ref="A4:S4"/>
    <mergeCell ref="A12:C12"/>
    <mergeCell ref="H7:J7"/>
    <mergeCell ref="D2:E2"/>
    <mergeCell ref="A5:C5"/>
    <mergeCell ref="E49:S49"/>
    <mergeCell ref="A14:C14"/>
    <mergeCell ref="O3:R3"/>
    <mergeCell ref="A32:L32"/>
    <mergeCell ref="E11:S11"/>
    <mergeCell ref="E45:S45"/>
    <mergeCell ref="A29:C29"/>
    <mergeCell ref="K7:M7"/>
    <mergeCell ref="A13:C13"/>
    <mergeCell ref="A44:C44"/>
    <mergeCell ref="A58:C58"/>
    <mergeCell ref="E22:S22"/>
    <mergeCell ref="A40:C40"/>
    <mergeCell ref="I8:J8"/>
    <mergeCell ref="A15:C15"/>
    <mergeCell ref="E12:S12"/>
    <mergeCell ref="A24:C24"/>
    <mergeCell ref="A51:C51"/>
    <mergeCell ref="E21:S21"/>
    <mergeCell ref="E8:G8"/>
    <mergeCell ref="E14:S14"/>
    <mergeCell ref="E23:S23"/>
    <mergeCell ref="F3:H3"/>
    <mergeCell ref="A7:C7"/>
    <mergeCell ref="A16:C16"/>
    <mergeCell ref="H6:J6"/>
    <mergeCell ref="A25:C25"/>
    <mergeCell ref="E51:S51"/>
    <mergeCell ref="A18:C18"/>
    <mergeCell ref="O2:R2"/>
    <mergeCell ref="N6:Q6"/>
    <mergeCell ref="I3:K3"/>
    <mergeCell ref="A50:C50"/>
    <mergeCell ref="AE31:AK32"/>
    <mergeCell ref="A2:C2"/>
    <mergeCell ref="A42:C42"/>
    <mergeCell ref="R7:S7"/>
    <mergeCell ref="A47:C47"/>
    <mergeCell ref="A22:C22"/>
    <mergeCell ref="E27:S27"/>
    <mergeCell ref="A35:S39"/>
    <mergeCell ref="A59:S59"/>
    <mergeCell ref="N7:Q7"/>
    <mergeCell ref="A20:C20"/>
    <mergeCell ref="A28:C28"/>
    <mergeCell ref="E25:S25"/>
    <mergeCell ref="K8:L8"/>
    <mergeCell ref="A33:D34"/>
    <mergeCell ref="A30:C30"/>
    <mergeCell ref="E53:S53"/>
    <mergeCell ref="L2:N2"/>
    <mergeCell ref="D3:E3"/>
    <mergeCell ref="E50:S50"/>
    <mergeCell ref="D1:R1"/>
    <mergeCell ref="E55:S55"/>
    <mergeCell ref="J33:J34"/>
    <mergeCell ref="E52:S52"/>
    <mergeCell ref="P33:S34"/>
    <mergeCell ref="R5:S5"/>
    <mergeCell ref="L3:N3"/>
    <mergeCell ref="E48:S48"/>
    <mergeCell ref="A54:C54"/>
    <mergeCell ref="E29:S29"/>
    <mergeCell ref="A41:C41"/>
    <mergeCell ref="E13:S13"/>
    <mergeCell ref="A56:C56"/>
    <mergeCell ref="A27:C27"/>
    <mergeCell ref="D5:G5"/>
    <mergeCell ref="E40:S40"/>
    <mergeCell ref="M32:S32"/>
    <mergeCell ref="Q8:R8"/>
    <mergeCell ref="E15:S15"/>
    <mergeCell ref="A8:C8"/>
    <mergeCell ref="A9:S9"/>
    <mergeCell ref="A17:C17"/>
    <mergeCell ref="A53:C53"/>
    <mergeCell ref="E26:S26"/>
    <mergeCell ref="E57:S57"/>
    <mergeCell ref="E31:L31"/>
    <mergeCell ref="A10:C10"/>
    <mergeCell ref="A19:C19"/>
    <mergeCell ref="E16:S16"/>
    <mergeCell ref="K6:M6"/>
    <mergeCell ref="A48:C48"/>
    <mergeCell ref="E43:S43"/>
    <mergeCell ref="E18:S18"/>
    <mergeCell ref="E58:S58"/>
    <mergeCell ref="A11:C11"/>
    <mergeCell ref="E33:I34"/>
    <mergeCell ref="A1:C1"/>
    <mergeCell ref="A45:C45"/>
    <mergeCell ref="E42:S42"/>
  </mergeCells>
  <printOptions horizontalCentered="1" verticalCentered="1" headings="0" gridLines="0" gridLinesSet="1"/>
  <pageMargins left="0" right="0" top="0.5" bottom="0.25" header="0.511811023622047" footer="0"/>
  <pageSetup orientation="portrait" paperSize="9" scale="100" fitToHeight="2" fitToWidth="1" pageOrder="downThenOver" blackAndWhite="0" draft="0" horizontalDpi="300" verticalDpi="300" copies="1"/>
  <headerFooter differentOddEven="0" differentFirst="0">
    <oddHeader/>
    <oddFooter>&amp;CPage &amp;P of &amp;N</oddFooter>
    <evenHeader/>
    <evenFooter/>
    <firstHeader/>
    <firstFooter/>
  </headerFooter>
  <drawing xmlns:r="http://schemas.openxmlformats.org/officeDocument/2006/relationships" r:id="rId1"/>
</worksheet>
</file>

<file path=xl/worksheets/sheet4.xml><?xml version="1.0" encoding="utf-8"?>
<worksheet xmlns="http://schemas.openxmlformats.org/spreadsheetml/2006/main">
  <sheetPr filterMode="0">
    <tabColor rgb="FFE2F0D9"/>
    <outlinePr summaryBelow="1" summaryRight="1"/>
    <pageSetUpPr fitToPage="0"/>
  </sheetPr>
  <dimension ref="A1:H20"/>
  <sheetViews>
    <sheetView showFormulas="0" showGridLines="1" showRowColHeaders="1" showZeros="1" rightToLeft="0" tabSelected="0" showOutlineSymbols="1" defaultGridColor="1" view="pageBreakPreview" topLeftCell="A4" colorId="64" zoomScale="140" zoomScaleNormal="115" zoomScalePageLayoutView="140" workbookViewId="0">
      <selection pane="topLeft" activeCell="A8" activeCellId="1" sqref="A11:S58 A8"/>
    </sheetView>
  </sheetViews>
  <sheetFormatPr baseColWidth="8" defaultColWidth="9.3359375" defaultRowHeight="13.5" customHeight="0" zeroHeight="0" outlineLevelRow="0"/>
  <cols>
    <col width="7.33" customWidth="1" style="1049" min="1" max="1"/>
    <col width="6.78" customWidth="1" style="1049" min="2" max="2"/>
    <col width="50.11" customWidth="1" style="1049" min="3" max="3"/>
    <col width="14.89" customWidth="1" style="1049" min="4" max="4"/>
    <col width="9.33" customWidth="1" style="1049" min="5" max="5"/>
    <col width="15.11" customWidth="1" style="1049" min="6" max="6"/>
    <col width="9.33" customWidth="1" style="1049" min="7" max="16384"/>
  </cols>
  <sheetData>
    <row r="1" ht="63" customHeight="1" s="882">
      <c r="A1" s="1050" t="n"/>
      <c r="B1" s="1051" t="n"/>
      <c r="C1" s="1051" t="n"/>
      <c r="D1" s="1051" t="n"/>
      <c r="E1" s="1051" t="n"/>
      <c r="F1" s="1052" t="n"/>
    </row>
    <row r="2" ht="13.5" customHeight="1" s="882">
      <c r="A2" s="1053" t="inlineStr">
        <is>
          <t>Final Proforma Invoice</t>
        </is>
      </c>
      <c r="B2" s="886" t="n"/>
      <c r="C2" s="886" t="n"/>
      <c r="D2" s="886" t="n"/>
      <c r="E2" s="886" t="n"/>
      <c r="F2" s="887" t="n"/>
    </row>
    <row r="3" ht="14.9" customHeight="1" s="882">
      <c r="A3" s="1054" t="inlineStr">
        <is>
          <t>Rig</t>
        </is>
      </c>
      <c r="B3" s="1055" t="n"/>
      <c r="C3" s="1056">
        <f>'Master Data'!E11</f>
        <v/>
      </c>
      <c r="D3" s="1057" t="inlineStr">
        <is>
          <t>DT</t>
        </is>
      </c>
      <c r="E3" s="1058">
        <f>'Master Data'!B15</f>
        <v/>
      </c>
      <c r="F3" s="1059" t="n"/>
    </row>
    <row r="4" ht="14.9" customHeight="1" s="882">
      <c r="A4" s="1060" t="inlineStr">
        <is>
          <t>Well</t>
        </is>
      </c>
      <c r="C4" s="1061">
        <f>'Master Data'!E10</f>
        <v/>
      </c>
      <c r="D4" s="1062" t="inlineStr">
        <is>
          <t>PO</t>
        </is>
      </c>
      <c r="E4" s="1063">
        <f>'Master Data'!B11</f>
        <v/>
      </c>
      <c r="F4" s="995" t="n"/>
    </row>
    <row r="5" ht="14.9" customHeight="1" s="882">
      <c r="A5" s="1060" t="inlineStr">
        <is>
          <t>Job</t>
        </is>
      </c>
      <c r="C5" s="1064">
        <f>'Master Data'!E3</f>
        <v/>
      </c>
      <c r="D5" s="1062" t="inlineStr">
        <is>
          <t>Contract</t>
        </is>
      </c>
      <c r="E5" s="1063">
        <f>'Master Data'!B10</f>
        <v/>
      </c>
      <c r="F5" s="995" t="n"/>
    </row>
    <row r="6" ht="14.9" customHeight="1" s="882">
      <c r="A6" s="1065" t="n"/>
      <c r="B6" s="1017" t="n"/>
      <c r="C6" s="1017" t="n"/>
      <c r="D6" s="1064" t="inlineStr">
        <is>
          <t>Customer</t>
        </is>
      </c>
      <c r="E6" s="1066">
        <f>'Master Data'!B3</f>
        <v/>
      </c>
      <c r="F6" s="1067" t="n"/>
    </row>
    <row r="7" ht="14.9" customFormat="1" customHeight="1" s="1068">
      <c r="A7" s="1069" t="inlineStr">
        <is>
          <t>S.No.</t>
        </is>
      </c>
      <c r="B7" s="1070" t="inlineStr">
        <is>
          <t>Description</t>
        </is>
      </c>
      <c r="C7" s="1017" t="n"/>
      <c r="D7" s="1071" t="inlineStr">
        <is>
          <t>Per Day Rate $</t>
        </is>
      </c>
      <c r="E7" s="1071" t="inlineStr">
        <is>
          <t># Days</t>
        </is>
      </c>
      <c r="F7" s="1072" t="inlineStr">
        <is>
          <t>Total</t>
        </is>
      </c>
      <c r="H7" s="1068" t="inlineStr">
        <is>
          <t>,</t>
        </is>
      </c>
    </row>
    <row r="8" ht="33" customHeight="1" s="882">
      <c r="A8" s="1073" t="n"/>
      <c r="B8" s="1074" t="n"/>
      <c r="C8" s="1075" t="n"/>
      <c r="D8" s="1076" t="n"/>
      <c r="E8" s="1077" t="n"/>
      <c r="F8" s="1078" t="n"/>
    </row>
    <row r="9" ht="33" customHeight="1" s="882">
      <c r="A9" s="1079" t="n"/>
      <c r="B9" s="1080" t="n"/>
      <c r="C9" s="1001" t="n"/>
      <c r="D9" s="1076" t="n"/>
      <c r="E9" s="1081" t="n"/>
      <c r="F9" s="1078" t="n"/>
    </row>
    <row r="10" ht="33" customHeight="1" s="882">
      <c r="A10" s="1079" t="n"/>
      <c r="B10" s="1080" t="n"/>
      <c r="C10" s="1001" t="n"/>
      <c r="D10" s="1076" t="n"/>
      <c r="E10" s="1081" t="n"/>
      <c r="F10" s="1078" t="n"/>
    </row>
    <row r="11" ht="33" customHeight="1" s="882">
      <c r="A11" s="1079" t="n"/>
      <c r="B11" s="1080" t="n"/>
      <c r="C11" s="1001" t="n"/>
      <c r="D11" s="1076" t="n"/>
      <c r="E11" s="1081" t="n"/>
      <c r="F11" s="1078" t="n"/>
    </row>
    <row r="12" ht="33" customHeight="1" s="882">
      <c r="A12" s="1079" t="n"/>
      <c r="B12" s="1080" t="n"/>
      <c r="C12" s="1001" t="n"/>
      <c r="D12" s="1076" t="n"/>
      <c r="E12" s="1081" t="n"/>
      <c r="F12" s="1078" t="n"/>
    </row>
    <row r="13" ht="33" customHeight="1" s="882">
      <c r="A13" s="1079" t="n"/>
      <c r="B13" s="1080" t="n"/>
      <c r="C13" s="1001" t="n"/>
      <c r="D13" s="1082" t="n"/>
      <c r="E13" s="1083" t="n"/>
      <c r="F13" s="1084" t="n"/>
    </row>
    <row r="14" ht="33" customHeight="1" s="882">
      <c r="A14" s="1079" t="n"/>
      <c r="B14" s="1080" t="n"/>
      <c r="C14" s="1001" t="n"/>
      <c r="D14" s="1082" t="n"/>
      <c r="E14" s="1085" t="n"/>
      <c r="F14" s="1084" t="n"/>
    </row>
    <row r="15" ht="19.5" customHeight="1" s="882">
      <c r="A15" s="1086" t="inlineStr">
        <is>
          <t>DS Signature and Stamp                                       Weatherford Service Eng.</t>
        </is>
      </c>
      <c r="B15" s="1014" t="n"/>
      <c r="C15" s="1015" t="n"/>
      <c r="D15" s="1087" t="inlineStr">
        <is>
          <t>Gross Value $</t>
        </is>
      </c>
      <c r="E15" s="1001" t="n"/>
      <c r="F15" s="1088">
        <f>SUM(F8:F14)</f>
        <v/>
      </c>
    </row>
    <row r="16" ht="19.5" customHeight="1" s="882">
      <c r="A16" s="1024" t="n"/>
      <c r="B16" s="1025" t="n"/>
      <c r="C16" s="1026" t="n"/>
      <c r="D16" s="1087" t="n"/>
      <c r="E16" s="1001" t="n"/>
      <c r="F16" s="1088" t="n"/>
    </row>
    <row r="17" ht="19.5" customHeight="1" s="882">
      <c r="A17" s="1013" t="n"/>
      <c r="B17" s="1089" t="n"/>
      <c r="C17" s="1090" t="n"/>
      <c r="D17" s="1091" t="inlineStr">
        <is>
          <t>Net Invoice Value $</t>
        </is>
      </c>
      <c r="E17" s="1092" t="n"/>
      <c r="F17" s="1093">
        <f>F16+F15</f>
        <v/>
      </c>
    </row>
    <row r="18" ht="13.5" customHeight="1" s="882">
      <c r="C18" s="1094" t="n"/>
      <c r="F18" s="1095" t="n"/>
    </row>
    <row r="19" ht="13.5" customHeight="1" s="882">
      <c r="F19" s="1095" t="n"/>
    </row>
    <row r="20" ht="13.5" customHeight="1" s="882">
      <c r="F20" s="1095" t="n"/>
    </row>
  </sheetData>
  <mergeCells count="22">
    <mergeCell ref="B7:C7"/>
    <mergeCell ref="E5:F5"/>
    <mergeCell ref="A6:B6"/>
    <mergeCell ref="B12:C12"/>
    <mergeCell ref="A2:F2"/>
    <mergeCell ref="E4:F4"/>
    <mergeCell ref="B11:C11"/>
    <mergeCell ref="B14:C14"/>
    <mergeCell ref="D17:E17"/>
    <mergeCell ref="B8:C8"/>
    <mergeCell ref="A3:B3"/>
    <mergeCell ref="B13:C13"/>
    <mergeCell ref="D16:E16"/>
    <mergeCell ref="E6:F6"/>
    <mergeCell ref="B10:C10"/>
    <mergeCell ref="A5:B5"/>
    <mergeCell ref="B9:C9"/>
    <mergeCell ref="A15:C17"/>
    <mergeCell ref="A4:B4"/>
    <mergeCell ref="D15:E15"/>
    <mergeCell ref="E3:F3"/>
    <mergeCell ref="C5:C6"/>
  </mergeCells>
  <printOptions horizontalCentered="0" verticalCentered="0" headings="0" gridLines="0" gridLinesSet="1"/>
  <pageMargins left="0.7" right="0.45" top="0.75" bottom="0.75" header="0.511811023622047" footer="0.511811023622047"/>
  <pageSetup orientation="portrait" paperSize="1" scale="90" fitToHeight="1" fitToWidth="1" pageOrder="downThenOver" blackAndWhite="0" draft="0" horizontalDpi="300" verticalDpi="300" copies="1"/>
  <drawing xmlns:r="http://schemas.openxmlformats.org/officeDocument/2006/relationships" r:id="rId1"/>
</worksheet>
</file>

<file path=xl/worksheets/sheet5.xml><?xml version="1.0" encoding="utf-8"?>
<worksheet xmlns="http://schemas.openxmlformats.org/spreadsheetml/2006/main">
  <sheetPr filterMode="0">
    <outlinePr summaryBelow="1" summaryRight="1"/>
    <pageSetUpPr fitToPage="0"/>
  </sheetPr>
  <dimension ref="B2:K257"/>
  <sheetViews>
    <sheetView showFormulas="0" showGridLines="1" showRowColHeaders="1" showZeros="1" rightToLeft="0" tabSelected="0" showOutlineSymbols="1" defaultGridColor="1" view="pageBreakPreview" topLeftCell="A1" colorId="64" zoomScale="140" zoomScaleNormal="70" zoomScalePageLayoutView="140" workbookViewId="0">
      <selection pane="topLeft" activeCell="G17" activeCellId="0" sqref="A11:S58"/>
    </sheetView>
  </sheetViews>
  <sheetFormatPr baseColWidth="8" defaultColWidth="9.11328125" defaultRowHeight="14.25" customHeight="0" zeroHeight="0" outlineLevelRow="0"/>
  <cols>
    <col width="2.11" customWidth="1" style="930" min="1" max="1"/>
    <col width="14" customWidth="1" style="930" min="2" max="2"/>
    <col width="22.44" customWidth="1" style="930" min="3" max="3"/>
    <col width="39.11" customWidth="1" style="930" min="4" max="4"/>
    <col width="8.67" customWidth="1" style="930" min="5" max="5"/>
    <col width="9.56" customWidth="1" style="930" min="6" max="6"/>
    <col width="32.45" customWidth="1" style="930" min="7" max="7"/>
    <col width="35.33" customWidth="1" style="930" min="8" max="8"/>
    <col width="17" customWidth="1" style="930" min="9" max="9"/>
    <col width="0.33" customWidth="1" style="930" min="11" max="11"/>
  </cols>
  <sheetData>
    <row r="1" ht="4.5" customHeight="1" s="882"/>
    <row r="2" ht="15" customHeight="1" s="882">
      <c r="B2" s="1096" t="inlineStr">
        <is>
          <t>ADNOC</t>
        </is>
      </c>
      <c r="C2" s="1055" t="n"/>
      <c r="D2" s="1055" t="n"/>
      <c r="E2" s="1097" t="n"/>
      <c r="F2" s="1098" t="inlineStr">
        <is>
          <t xml:space="preserve">Doc No: FO-ADC-DMET-COMP-Rev1 </t>
        </is>
      </c>
      <c r="G2" s="1097" t="n"/>
      <c r="H2" s="1098" t="inlineStr">
        <is>
          <t>Doc Owner: ADNOC DMET TEAM</t>
        </is>
      </c>
      <c r="I2" s="1099" t="n"/>
    </row>
    <row r="3" ht="15" customHeight="1" s="882">
      <c r="B3" s="1100" t="inlineStr">
        <is>
          <t xml:space="preserve"> KEY PERFORMANCE INDICTOR " KPI"</t>
        </is>
      </c>
      <c r="C3" s="917" t="n"/>
      <c r="D3" s="917" t="n"/>
      <c r="E3" s="917" t="n"/>
      <c r="F3" s="930" t="inlineStr">
        <is>
          <t>CONTRACTORS PEFORMANCE TRAKER / JOB EVALUATION</t>
        </is>
      </c>
      <c r="G3" s="1101" t="n"/>
      <c r="H3" s="1102" t="n"/>
      <c r="I3" s="1103" t="n"/>
    </row>
    <row r="4" ht="15" customHeight="1" s="882">
      <c r="B4" s="1104" t="inlineStr">
        <is>
          <t>Job Type :</t>
        </is>
      </c>
      <c r="C4" s="892" t="n"/>
      <c r="D4" s="1105">
        <f>'Master Data'!E4</f>
        <v/>
      </c>
      <c r="E4" s="1106" t="inlineStr">
        <is>
          <t xml:space="preserve">Job Completed Scussfuly </t>
        </is>
      </c>
      <c r="F4" s="1059" t="n"/>
      <c r="G4" s="1107" t="inlineStr">
        <is>
          <t>Service Provider :</t>
        </is>
      </c>
      <c r="H4" s="941">
        <f>'Master Data'!B18</f>
        <v/>
      </c>
      <c r="I4" s="1103" t="n"/>
    </row>
    <row r="5" ht="14.25" customHeight="1" s="882">
      <c r="B5" s="1104" t="inlineStr">
        <is>
          <t>Rig Name :</t>
        </is>
      </c>
      <c r="C5" s="892" t="n"/>
      <c r="D5" s="1105">
        <f>'Master Data'!E11</f>
        <v/>
      </c>
      <c r="E5" s="1108" t="n"/>
      <c r="F5" s="995" t="n"/>
      <c r="G5" s="1109" t="inlineStr">
        <is>
          <t>Contractor's Rep. Lead :</t>
        </is>
      </c>
      <c r="H5" s="941">
        <f>'Master Data'!B21</f>
        <v/>
      </c>
      <c r="I5" s="1103" t="n"/>
    </row>
    <row r="6" ht="15" customHeight="1" s="882">
      <c r="B6" s="1104" t="inlineStr">
        <is>
          <t>Well No:</t>
        </is>
      </c>
      <c r="C6" s="892" t="n"/>
      <c r="D6" s="1105">
        <f>'Master Data'!E10</f>
        <v/>
      </c>
      <c r="E6" s="1108" t="n"/>
      <c r="F6" s="995" t="n"/>
      <c r="G6" s="1107" t="inlineStr">
        <is>
          <t>Crew 1</t>
        </is>
      </c>
      <c r="H6" s="941">
        <f>'Master Data'!H4</f>
        <v/>
      </c>
      <c r="I6" s="1103" t="n"/>
    </row>
    <row r="7" ht="14.25" customHeight="1" s="882">
      <c r="B7" s="1104" t="inlineStr">
        <is>
          <t>ADNOC Rep. :</t>
        </is>
      </c>
      <c r="C7" s="892" t="n"/>
      <c r="D7" s="1105">
        <f>'Master Data'!B4</f>
        <v/>
      </c>
      <c r="E7" s="1108" t="n"/>
      <c r="F7" s="995" t="n"/>
      <c r="G7" s="1107" t="inlineStr">
        <is>
          <t>Crew 2</t>
        </is>
      </c>
      <c r="H7" s="1110">
        <f>'Master Data'!H8</f>
        <v/>
      </c>
      <c r="I7" s="1103" t="n"/>
    </row>
    <row r="8" ht="15" customHeight="1" s="882">
      <c r="B8" s="1104" t="inlineStr">
        <is>
          <t xml:space="preserve">Job Duration </t>
        </is>
      </c>
      <c r="C8" s="892" t="n"/>
      <c r="D8" s="1111">
        <f>ROUNDUP(INT('Master Data'!E15)-INT('Master Data'!E12),0)+1&amp;" days"</f>
        <v/>
      </c>
      <c r="E8" s="1108" t="n"/>
      <c r="F8" s="995" t="n"/>
      <c r="G8" s="1107" t="inlineStr">
        <is>
          <t>Crew 3</t>
        </is>
      </c>
      <c r="H8" s="1110">
        <f>'Master Data'!H10</f>
        <v/>
      </c>
      <c r="I8" s="1112" t="inlineStr">
        <is>
          <t xml:space="preserve">Date </t>
        </is>
      </c>
    </row>
    <row r="9" ht="14.25" customHeight="1" s="882">
      <c r="B9" s="1113" t="inlineStr">
        <is>
          <t>Period from / to (Date):</t>
        </is>
      </c>
      <c r="C9" s="908" t="n"/>
      <c r="D9" s="1114">
        <f>"from "&amp;TEXT('Master Data'!E12,"dd/mmm/yy")&amp;"  to "&amp;TEXT('Master Data'!E15,"dd/mmm/yy")</f>
        <v/>
      </c>
      <c r="E9" s="1018" t="n"/>
      <c r="F9" s="1067" t="n"/>
      <c r="G9" s="1115" t="inlineStr">
        <is>
          <t>Crew 4</t>
        </is>
      </c>
      <c r="H9" s="1110">
        <f>'Master Data'!H11</f>
        <v/>
      </c>
      <c r="I9" s="1116">
        <f>I44</f>
        <v/>
      </c>
    </row>
    <row r="10" ht="17.35" customHeight="1" s="882">
      <c r="B10" s="1117" t="inlineStr">
        <is>
          <t>Contract Service Operation Execution KPIs</t>
        </is>
      </c>
      <c r="C10" s="962" t="n"/>
      <c r="D10" s="962" t="n"/>
      <c r="E10" s="1118" t="inlineStr">
        <is>
          <t xml:space="preserve">Yes </t>
        </is>
      </c>
      <c r="F10" s="1119" t="inlineStr">
        <is>
          <t xml:space="preserve">No </t>
        </is>
      </c>
      <c r="G10" s="1120" t="n"/>
      <c r="H10" s="890" t="n"/>
      <c r="I10" s="1121" t="n"/>
    </row>
    <row r="11" ht="6" customHeight="1" s="882">
      <c r="B11" s="1122" t="n"/>
      <c r="C11" s="1123" t="n"/>
      <c r="D11" s="1123" t="n"/>
      <c r="E11" s="1124" t="n"/>
      <c r="F11" s="1124" t="n"/>
      <c r="G11" s="1123" t="n"/>
      <c r="H11" s="1123" t="n"/>
      <c r="I11" s="1125" t="n"/>
    </row>
    <row r="12" ht="15" customHeight="1" s="882">
      <c r="B12" s="1126" t="inlineStr">
        <is>
          <t>A) Pre- Job Documentation .</t>
        </is>
      </c>
      <c r="C12" s="895" t="n"/>
      <c r="D12" s="895" t="n"/>
      <c r="E12" s="1127" t="n"/>
      <c r="F12" s="1127" t="n"/>
      <c r="G12" s="1128" t="inlineStr">
        <is>
          <t xml:space="preserve">Comments </t>
        </is>
      </c>
      <c r="H12" s="918" t="n"/>
      <c r="I12" s="1129" t="inlineStr">
        <is>
          <t xml:space="preserve">Scoring </t>
        </is>
      </c>
    </row>
    <row r="13" ht="60" customHeight="1" s="882">
      <c r="B13" s="1130" t="inlineStr">
        <is>
          <t>1. Engineer Has the latest revision of well program detailing job procedures &amp; design , which communicated to the ADNOC completion engineer &amp; has  the job packet including the well calculation / Simulation ,Sub Assembly Report  etc. ? .</t>
        </is>
      </c>
      <c r="C13" s="895" t="n"/>
      <c r="D13" s="892" t="n"/>
      <c r="E13" s="1131" t="n"/>
      <c r="F13" s="1131" t="n"/>
      <c r="G13" s="1132" t="n"/>
      <c r="H13" s="895" t="n"/>
      <c r="I13" s="1133" t="n">
        <v>0.2</v>
      </c>
      <c r="K13" s="1134" t="n">
        <v>0.07000000000000001</v>
      </c>
    </row>
    <row r="14" ht="54" customHeight="1" s="882">
      <c r="B14" s="1130" t="inlineStr">
        <is>
          <t>2. Engineers conducted Pre-Job meeting with Technical Rep / Operation Support reviews the completion design in town &amp; have the contingency plan  in place ?</t>
        </is>
      </c>
      <c r="C14" s="895" t="n"/>
      <c r="D14" s="892" t="n"/>
      <c r="E14" s="941" t="n"/>
      <c r="F14" s="1135" t="n"/>
      <c r="G14" s="1132" t="n"/>
      <c r="H14" s="895" t="n"/>
      <c r="I14" s="1136" t="n"/>
      <c r="K14" s="1134" t="n">
        <v>0.07000000000000001</v>
      </c>
    </row>
    <row r="15" ht="30" customHeight="1" s="882">
      <c r="B15" s="1130" t="inlineStr">
        <is>
          <t>3. Engineer Has the agreed Risk Analysis "RA/JSA" identifying each step of the operations ?</t>
        </is>
      </c>
      <c r="C15" s="895" t="n"/>
      <c r="D15" s="892" t="n"/>
      <c r="E15" s="941" t="n"/>
      <c r="F15" s="1135" t="n"/>
      <c r="G15" s="1132" t="n"/>
      <c r="H15" s="895" t="n"/>
      <c r="I15" s="1137" t="n"/>
      <c r="K15" s="1134" t="n">
        <v>0.06</v>
      </c>
    </row>
    <row r="16" ht="15" customHeight="1" s="882">
      <c r="B16" s="1138" t="inlineStr">
        <is>
          <t xml:space="preserve">B) On site Delivered Equipment's  Check .          </t>
        </is>
      </c>
      <c r="C16" s="895" t="n"/>
      <c r="D16" s="895" t="n"/>
      <c r="E16" s="895" t="n"/>
      <c r="F16" s="895" t="n"/>
      <c r="G16" s="895" t="n"/>
      <c r="H16" s="895" t="n"/>
      <c r="I16" s="896" t="n"/>
      <c r="K16" s="1134" t="n"/>
    </row>
    <row r="17" ht="51" customHeight="1" s="882">
      <c r="B17" s="1130" t="inlineStr">
        <is>
          <t>1. Equipment's delivered on time   with correct signed documentation  &amp; all in good condition including back up assembly , service tool , baskets, spoolers, pumps, toolbox , if there's any issue, did the engineer report on time ?.</t>
        </is>
      </c>
      <c r="C17" s="895" t="n"/>
      <c r="D17" s="892" t="n"/>
      <c r="E17" s="941" t="n"/>
      <c r="F17" s="1135" t="n"/>
      <c r="G17" s="1132" t="n"/>
      <c r="H17" s="895" t="n"/>
      <c r="I17" s="1133" t="n">
        <v>0.15</v>
      </c>
      <c r="K17" s="1134" t="n">
        <v>0.08</v>
      </c>
    </row>
    <row r="18" ht="46.5" customHeight="1" s="882">
      <c r="B18" s="1130" t="inlineStr">
        <is>
          <t xml:space="preserve">2. Pre-load out checklist completed (to include maintenance records, and certifications) and the engineer physically checked the offloaded material and lay it out probably for inspection on time ? </t>
        </is>
      </c>
      <c r="C18" s="895" t="n"/>
      <c r="D18" s="892" t="n"/>
      <c r="E18" s="941" t="n"/>
      <c r="F18" s="1135" t="n"/>
      <c r="G18" s="1132" t="n"/>
      <c r="H18" s="895" t="n"/>
      <c r="I18" s="1137" t="n"/>
      <c r="K18" s="1134" t="n">
        <v>0.07000000000000001</v>
      </c>
    </row>
    <row r="19" ht="15" customHeight="1" s="882">
      <c r="B19" s="1138" t="inlineStr">
        <is>
          <t xml:space="preserve">C)  On site Preparation efficiencies </t>
        </is>
      </c>
      <c r="C19" s="895" t="n"/>
      <c r="D19" s="895" t="n"/>
      <c r="E19" s="895" t="n"/>
      <c r="F19" s="895" t="n"/>
      <c r="G19" s="895" t="n"/>
      <c r="H19" s="895" t="n"/>
      <c r="I19" s="896" t="n"/>
      <c r="K19" s="1134" t="n"/>
    </row>
    <row r="20" ht="60" customHeight="1" s="882">
      <c r="B20" s="1130" t="inlineStr">
        <is>
          <t>1. Did the Engineer Discussed the Well Operations with drilling supervisors , checked and confirmed well information and configuration  , calculated Tally and checked all equipment's /Accessories required for the Job ?</t>
        </is>
      </c>
      <c r="C20" s="895" t="n"/>
      <c r="D20" s="892" t="n"/>
      <c r="E20" s="941" t="n"/>
      <c r="F20" s="1139" t="n"/>
      <c r="G20" s="1132" t="n"/>
      <c r="H20" s="895" t="n"/>
      <c r="I20" s="1133" t="n">
        <v>0.15</v>
      </c>
      <c r="K20" s="1134" t="n">
        <v>0.08</v>
      </c>
    </row>
    <row r="21" ht="62.25" customHeight="1" s="882">
      <c r="B21" s="1140" t="inlineStr">
        <is>
          <t>2. Did the Engineer conduct Pre Job Briefing with rig crew , TRS, Slick line , WH etc. identifying all safety critical points &amp; explain the  critical steps &amp; agreed about all parties interfaces, tasks ,responsibility ?</t>
        </is>
      </c>
      <c r="C21" s="895" t="n"/>
      <c r="D21" s="892" t="n"/>
      <c r="E21" s="941" t="n"/>
      <c r="F21" s="1139" t="n"/>
      <c r="G21" s="1132" t="n"/>
      <c r="H21" s="895" t="n"/>
      <c r="I21" s="1137" t="n"/>
      <c r="K21" s="1134" t="n">
        <v>0.07000000000000001</v>
      </c>
    </row>
    <row r="22" ht="15" customHeight="1" s="882">
      <c r="B22" s="1138" t="inlineStr">
        <is>
          <t xml:space="preserve">D)  Job Executing </t>
        </is>
      </c>
      <c r="C22" s="895" t="n"/>
      <c r="D22" s="895" t="n"/>
      <c r="E22" s="895" t="n"/>
      <c r="F22" s="895" t="n"/>
      <c r="G22" s="895" t="n"/>
      <c r="H22" s="895" t="n"/>
      <c r="I22" s="896" t="n"/>
      <c r="K22" s="1134" t="n"/>
    </row>
    <row r="23" ht="28.5" customHeight="1" s="882">
      <c r="B23" s="1130" t="inlineStr">
        <is>
          <t>1. Are the Equipment in good Condition .</t>
        </is>
      </c>
      <c r="C23" s="895" t="n"/>
      <c r="D23" s="892" t="n"/>
      <c r="E23" s="941" t="n"/>
      <c r="F23" s="1139" t="n"/>
      <c r="G23" s="1132" t="n"/>
      <c r="H23" s="895" t="n"/>
      <c r="I23" s="1141" t="n">
        <v>0.3</v>
      </c>
      <c r="K23" s="1134" t="n">
        <v>0.03</v>
      </c>
    </row>
    <row r="24" ht="28.5" customHeight="1" s="882">
      <c r="B24" s="1130" t="inlineStr">
        <is>
          <t>2. Are the equipment Operational performed as expected .</t>
        </is>
      </c>
      <c r="C24" s="895" t="n"/>
      <c r="D24" s="892" t="n"/>
      <c r="E24" s="941" t="n"/>
      <c r="F24" s="1139" t="n"/>
      <c r="G24" s="1132" t="n"/>
      <c r="H24" s="895" t="n"/>
      <c r="I24" s="1142" t="n"/>
      <c r="K24" s="1134" t="n">
        <v>0.03</v>
      </c>
    </row>
    <row r="25" ht="49.5" customHeight="1" s="882">
      <c r="B25" s="1130" t="inlineStr">
        <is>
          <t>3. Are the successfully installed equipment has performed without any troubleshooting or any interventions?
 If there’s any issue please write details in the comments.</t>
        </is>
      </c>
      <c r="C25" s="895" t="n"/>
      <c r="D25" s="892" t="n"/>
      <c r="E25" s="941" t="n"/>
      <c r="F25" s="1139" t="n"/>
      <c r="G25" s="1132" t="n"/>
      <c r="H25" s="895" t="n"/>
      <c r="I25" s="1142" t="n"/>
      <c r="K25" s="1134" t="n">
        <v>0.03</v>
      </c>
    </row>
    <row r="26" ht="28.5" customHeight="1" s="882">
      <c r="B26" s="1130" t="inlineStr">
        <is>
          <t xml:space="preserve">4. Are all the service Equipment’s such as Running Tools , Spoolers , DTS Surface Monitoring system Etc. performed as Expected ? </t>
        </is>
      </c>
      <c r="C26" s="895" t="n"/>
      <c r="D26" s="892" t="n"/>
      <c r="E26" s="941" t="n"/>
      <c r="F26" s="1139" t="n"/>
      <c r="G26" s="1143" t="n"/>
      <c r="H26" s="895" t="n"/>
      <c r="I26" s="1142" t="n"/>
      <c r="K26" s="1134" t="n">
        <v>0.03</v>
      </c>
    </row>
    <row r="27" ht="28.5" customHeight="1" s="882">
      <c r="B27" s="1130" t="inlineStr">
        <is>
          <t>5. Do service personnel meet the level of competence required for the operation they will be preform ?</t>
        </is>
      </c>
      <c r="C27" s="895" t="n"/>
      <c r="D27" s="892" t="n"/>
      <c r="E27" s="941" t="n"/>
      <c r="F27" s="1139" t="n"/>
      <c r="G27" s="1144" t="n"/>
      <c r="H27" s="895" t="n"/>
      <c r="I27" s="1142" t="n"/>
      <c r="K27" s="1134" t="n">
        <v>0.02</v>
      </c>
    </row>
    <row r="28" ht="19.5" customHeight="1" s="882">
      <c r="B28" s="1130" t="inlineStr">
        <is>
          <t>6.Engineer Communication Skills and Attitude .</t>
        </is>
      </c>
      <c r="C28" s="895" t="n"/>
      <c r="D28" s="892" t="n"/>
      <c r="E28" s="941" t="n"/>
      <c r="F28" s="1139" t="n"/>
      <c r="G28" s="1132" t="n"/>
      <c r="H28" s="895" t="n"/>
      <c r="I28" s="1142" t="n"/>
      <c r="K28" s="1134" t="n">
        <v>0.02</v>
      </c>
    </row>
    <row r="29" ht="44.25" customHeight="1" s="882">
      <c r="B29" s="1130" t="inlineStr">
        <is>
          <t>7.Dose service specialist understands the job can be stopped if operational or HSE issue is noticed and adherence to HSE , Participate in ADNOC HSE System  ?</t>
        </is>
      </c>
      <c r="C29" s="895" t="n"/>
      <c r="D29" s="892" t="n"/>
      <c r="E29" s="941" t="n"/>
      <c r="F29" s="1139" t="n"/>
      <c r="G29" s="1132" t="n"/>
      <c r="H29" s="895" t="n"/>
      <c r="I29" s="1142" t="n"/>
      <c r="K29" s="1134" t="n">
        <v>0.02</v>
      </c>
    </row>
    <row r="30" ht="35.25" customHeight="1" s="882">
      <c r="B30" s="1130" t="inlineStr">
        <is>
          <t xml:space="preserve">8.Does service specialist have hand carry consumable items such as Redress kit Fitting and his own hand tools . </t>
        </is>
      </c>
      <c r="C30" s="895" t="n"/>
      <c r="D30" s="892" t="n"/>
      <c r="E30" s="941" t="n"/>
      <c r="F30" s="1139" t="n"/>
      <c r="G30" s="1132" t="n"/>
      <c r="H30" s="895" t="n"/>
      <c r="I30" s="1142" t="n"/>
      <c r="K30" s="1134" t="n">
        <v>0.02</v>
      </c>
    </row>
    <row r="31" ht="33.75" customHeight="1" s="882">
      <c r="B31" s="1130" t="inlineStr">
        <is>
          <t>9.dose the Engineer Complete job and coordinate equipment rig down ensuring all equipment requiring maintenance is identified, and report if any issue ?</t>
        </is>
      </c>
      <c r="C31" s="895" t="n"/>
      <c r="D31" s="892" t="n"/>
      <c r="E31" s="941" t="n"/>
      <c r="F31" s="1139" t="n"/>
      <c r="G31" s="1132" t="n"/>
      <c r="H31" s="895" t="n"/>
      <c r="I31" s="1142" t="n"/>
      <c r="K31" s="1134" t="n">
        <v>0.02</v>
      </c>
    </row>
    <row r="32" ht="61.5" customHeight="1" s="882">
      <c r="B32" s="1130" t="inlineStr">
        <is>
          <t>10.Determine where equipment is to be sent, advise relevant personnel and complete required shipping documents/manifest, as applicable. Securely package equipment ensuring it is environmentally safe and ready for transportation on timely manner ?</t>
        </is>
      </c>
      <c r="C32" s="895" t="n"/>
      <c r="D32" s="892" t="n"/>
      <c r="E32" s="941" t="n"/>
      <c r="F32" s="1139" t="n"/>
      <c r="G32" s="1132" t="n"/>
      <c r="H32" s="895" t="n"/>
      <c r="I32" s="1142" t="n"/>
      <c r="K32" s="1134" t="n">
        <v>0.02</v>
      </c>
    </row>
    <row r="33" ht="30.75" customHeight="1" s="882">
      <c r="B33" s="1130" t="inlineStr">
        <is>
          <t>11.Complete location EOWR  and field tickets  accurately and provide relevant documents to ADNOC Rep .</t>
        </is>
      </c>
      <c r="C33" s="895" t="n"/>
      <c r="D33" s="892" t="n"/>
      <c r="E33" s="941" t="n"/>
      <c r="F33" s="1139" t="n"/>
      <c r="G33" s="1144" t="n"/>
      <c r="H33" s="895" t="n"/>
      <c r="I33" s="1142" t="n"/>
      <c r="K33" s="1134" t="n">
        <v>0.02</v>
      </c>
    </row>
    <row r="34" ht="36" customHeight="1" s="882">
      <c r="B34" s="1130" t="inlineStr">
        <is>
          <t xml:space="preserve">12.dose the Engineer Identify Lesson Learned (if Applicable  )and added to the Report and share it on the Morning call. </t>
        </is>
      </c>
      <c r="C34" s="895" t="n"/>
      <c r="D34" s="892" t="n"/>
      <c r="E34" s="941" t="n"/>
      <c r="F34" s="1139" t="n"/>
      <c r="G34" s="1144" t="n"/>
      <c r="H34" s="895" t="n"/>
      <c r="I34" s="1142" t="n"/>
      <c r="K34" s="1134" t="n">
        <v>0.02</v>
      </c>
    </row>
    <row r="35" ht="15" customHeight="1" s="882">
      <c r="B35" s="1130" t="inlineStr">
        <is>
          <t>13. House Keeping After the Job ?</t>
        </is>
      </c>
      <c r="C35" s="895" t="n"/>
      <c r="D35" s="892" t="n"/>
      <c r="E35" s="941" t="n"/>
      <c r="F35" s="1139" t="n"/>
      <c r="G35" s="1144" t="n"/>
      <c r="H35" s="895" t="n"/>
      <c r="I35" s="1145" t="n"/>
      <c r="K35" s="1134" t="n">
        <v>0.02</v>
      </c>
    </row>
    <row r="36" ht="14.25" customHeight="1" s="882">
      <c r="B36" s="1130" t="n"/>
      <c r="C36" s="895" t="n"/>
      <c r="D36" s="892" t="n"/>
      <c r="E36" s="941" t="n"/>
      <c r="F36" s="1146" t="n"/>
      <c r="G36" s="1132" t="n"/>
      <c r="H36" s="895" t="n"/>
      <c r="I36" s="1147" t="n"/>
    </row>
    <row r="37" ht="17.35" customHeight="1" s="882">
      <c r="B37" s="1148" t="inlineStr">
        <is>
          <t xml:space="preserve">Vendor Delivery KPIs (Total Score)                  </t>
        </is>
      </c>
      <c r="C37" s="886" t="n"/>
      <c r="D37" s="887" t="n"/>
      <c r="E37" s="1149" t="n"/>
      <c r="F37" s="886" t="n"/>
      <c r="G37" s="1150" t="n"/>
      <c r="H37" s="887" t="n"/>
      <c r="I37" s="1151" t="n"/>
    </row>
    <row r="38" ht="6.75" customHeight="1" s="882">
      <c r="F38" s="1152" t="n"/>
      <c r="G38" s="1153" t="n"/>
      <c r="H38" s="1153" t="n"/>
    </row>
    <row r="39" ht="23.25" customHeight="1" s="882">
      <c r="B39" s="1154" t="inlineStr">
        <is>
          <t>ADDITIONAL COMMENTS :-</t>
        </is>
      </c>
      <c r="C39" s="890" t="n"/>
      <c r="D39" s="1155" t="n"/>
      <c r="E39" s="962" t="n"/>
      <c r="F39" s="962" t="n"/>
      <c r="G39" s="962" t="n"/>
      <c r="H39" s="962" t="n"/>
      <c r="I39" s="1156" t="n"/>
    </row>
    <row r="40" ht="26.25" customHeight="1" s="882">
      <c r="B40" s="1157" t="n"/>
      <c r="C40" s="895" t="n"/>
      <c r="D40" s="895" t="n"/>
      <c r="E40" s="895" t="n"/>
      <c r="F40" s="895" t="n"/>
      <c r="G40" s="895" t="n"/>
      <c r="H40" s="895" t="n"/>
      <c r="I40" s="896" t="n"/>
    </row>
    <row r="41" ht="24.75" customHeight="1" s="882">
      <c r="B41" s="1158" t="n"/>
      <c r="C41" s="912" t="n"/>
      <c r="D41" s="912" t="n"/>
      <c r="E41" s="912" t="n"/>
      <c r="F41" s="912" t="n"/>
      <c r="G41" s="912" t="n"/>
      <c r="H41" s="912" t="n"/>
      <c r="I41" s="913" t="n"/>
    </row>
    <row r="42" ht="15.75" customHeight="1" s="882">
      <c r="B42" s="1159" t="inlineStr">
        <is>
          <t>Lesson Learned / Improvements</t>
        </is>
      </c>
      <c r="C42" s="1160" t="n"/>
      <c r="D42" s="1161" t="inlineStr">
        <is>
          <t>Recommendations</t>
        </is>
      </c>
      <c r="F42" s="995" t="n"/>
      <c r="G42" s="1162" t="inlineStr">
        <is>
          <t xml:space="preserve">Name </t>
        </is>
      </c>
      <c r="H42" s="1162" t="inlineStr">
        <is>
          <t>Signature</t>
        </is>
      </c>
      <c r="I42" s="1163" t="inlineStr">
        <is>
          <t>Date</t>
        </is>
      </c>
    </row>
    <row r="43" ht="14.25" customHeight="1" s="882">
      <c r="B43" s="1108" t="n"/>
      <c r="C43" s="1160" t="n"/>
      <c r="D43" s="1164" t="n"/>
      <c r="F43" s="995" t="n"/>
      <c r="G43" s="1127" t="n"/>
      <c r="H43" s="1127" t="n"/>
      <c r="I43" s="1127" t="n"/>
    </row>
    <row r="44" ht="14.25" customHeight="1" s="882">
      <c r="B44" s="1165" t="n"/>
      <c r="C44" s="1166" t="n"/>
      <c r="D44" s="1167" t="n"/>
      <c r="E44" s="1055" t="n"/>
      <c r="F44" s="1059" t="n"/>
      <c r="G44" s="1168" t="inlineStr">
        <is>
          <t>ADNOC Rep.</t>
        </is>
      </c>
      <c r="H44" s="1169" t="n"/>
      <c r="I44" s="1170">
        <f>'Master Data'!E24</f>
        <v/>
      </c>
    </row>
    <row r="45" ht="14.25" customHeight="1" s="882">
      <c r="B45" s="1171" t="n"/>
      <c r="C45" s="918" t="n"/>
      <c r="D45" s="1164" t="n"/>
      <c r="F45" s="995" t="n"/>
      <c r="G45" s="1171" t="n"/>
      <c r="H45" s="1172" t="n"/>
      <c r="I45" s="1145" t="n"/>
    </row>
    <row r="46" ht="15" customHeight="1" s="882">
      <c r="B46" s="1113" t="n"/>
      <c r="C46" s="970" t="n"/>
      <c r="D46" s="1173" t="n"/>
      <c r="E46" s="969" t="n"/>
      <c r="F46" s="1033" t="n"/>
      <c r="G46" s="1174" t="inlineStr">
        <is>
          <t xml:space="preserve">Contractor Rep . </t>
        </is>
      </c>
      <c r="H46" s="1169" t="n"/>
      <c r="I46" s="1170">
        <f>'Master Data'!E24</f>
        <v/>
      </c>
    </row>
    <row r="47" ht="14.25" customHeight="1" s="882">
      <c r="B47" s="1018" t="n"/>
      <c r="C47" s="1175" t="n"/>
      <c r="D47" s="1176" t="n"/>
      <c r="E47" s="1017" t="n"/>
      <c r="F47" s="1067" t="n"/>
      <c r="G47" s="920" t="n"/>
      <c r="H47" s="1172" t="n"/>
      <c r="I47" s="1145" t="n"/>
    </row>
    <row r="48" ht="14.25" customHeight="1" s="882">
      <c r="B48" s="1177" t="n"/>
      <c r="D48" s="930" t="n"/>
      <c r="E48" s="930" t="n"/>
      <c r="F48" s="1152" t="n"/>
      <c r="G48" s="1178" t="n"/>
      <c r="H48" s="1055" t="n"/>
      <c r="I48" s="1055" t="n"/>
    </row>
    <row r="49" ht="14.25" customHeight="1" s="882">
      <c r="G49" s="1179" t="n"/>
      <c r="H49" s="1179" t="n"/>
    </row>
    <row r="50" ht="14.25" customHeight="1" s="882">
      <c r="F50" s="1152" t="n"/>
      <c r="G50" s="1153" t="n"/>
      <c r="H50" s="1153" t="n"/>
    </row>
    <row r="51" ht="14.25" customHeight="1" s="882">
      <c r="F51" s="1152" t="n"/>
      <c r="G51" s="1153" t="n"/>
      <c r="H51" s="1153" t="n"/>
    </row>
    <row r="52" ht="14.25" customHeight="1" s="882">
      <c r="F52" s="1152" t="n"/>
      <c r="G52" s="1153" t="n"/>
      <c r="H52" s="1153" t="n"/>
    </row>
    <row r="53" ht="14.25" customHeight="1" s="882">
      <c r="F53" s="1152" t="n"/>
      <c r="G53" s="1153" t="n"/>
      <c r="H53" s="1153" t="n"/>
    </row>
    <row r="54" ht="14.25" customHeight="1" s="882">
      <c r="F54" s="1152" t="n"/>
      <c r="G54" s="1153" t="n"/>
      <c r="H54" s="1153" t="n"/>
    </row>
    <row r="55" ht="14.25" customHeight="1" s="882">
      <c r="F55" s="1152" t="n"/>
      <c r="G55" s="1153" t="n"/>
      <c r="H55" s="1153" t="n"/>
    </row>
    <row r="56" ht="14.25" customHeight="1" s="882">
      <c r="F56" s="1152" t="n"/>
      <c r="G56" s="1153" t="n"/>
      <c r="H56" s="1153" t="n"/>
    </row>
    <row r="57" ht="14.25" customHeight="1" s="882">
      <c r="F57" s="1152" t="n"/>
      <c r="G57" s="1153" t="n"/>
      <c r="H57" s="1153" t="n"/>
    </row>
    <row r="58" ht="14.25" customHeight="1" s="882">
      <c r="F58" s="1152" t="n"/>
      <c r="G58" s="1153" t="n"/>
      <c r="H58" s="1153" t="n"/>
    </row>
    <row r="59" ht="14.25" customHeight="1" s="882">
      <c r="F59" s="1152" t="n"/>
      <c r="G59" s="1153" t="n"/>
      <c r="H59" s="1153" t="n"/>
    </row>
    <row r="60" ht="14.25" customHeight="1" s="882">
      <c r="F60" s="1152" t="n"/>
      <c r="G60" s="1153" t="n"/>
      <c r="H60" s="1153" t="n"/>
    </row>
    <row r="61" ht="14.25" customHeight="1" s="882">
      <c r="F61" s="1152" t="n"/>
      <c r="G61" s="1153" t="n"/>
      <c r="H61" s="1153" t="n"/>
    </row>
    <row r="62" ht="14.25" customHeight="1" s="882">
      <c r="F62" s="1152" t="n"/>
      <c r="G62" s="1153" t="n"/>
      <c r="H62" s="1153" t="n"/>
    </row>
    <row r="63" ht="14.25" customHeight="1" s="882">
      <c r="F63" s="1152" t="n"/>
      <c r="G63" s="1153" t="n"/>
      <c r="H63" s="1153" t="n"/>
    </row>
    <row r="64" ht="14.25" customHeight="1" s="882">
      <c r="F64" s="1152" t="n"/>
      <c r="G64" s="1153" t="n"/>
      <c r="H64" s="1153" t="n"/>
    </row>
    <row r="65" ht="14.25" customHeight="1" s="882">
      <c r="F65" s="1152" t="n"/>
      <c r="G65" s="1153" t="n"/>
      <c r="H65" s="1153" t="n"/>
    </row>
    <row r="66" ht="14.25" customHeight="1" s="882">
      <c r="F66" s="1152" t="n"/>
      <c r="G66" s="1153" t="n"/>
      <c r="H66" s="1153" t="n"/>
    </row>
    <row r="67" ht="14.25" customHeight="1" s="882">
      <c r="F67" s="1152" t="n"/>
      <c r="G67" s="1153" t="n"/>
      <c r="H67" s="1153" t="n"/>
    </row>
    <row r="68" ht="14.25" customHeight="1" s="882">
      <c r="F68" s="1152" t="n"/>
      <c r="G68" s="1153" t="n"/>
      <c r="H68" s="1153" t="n"/>
    </row>
    <row r="69" ht="14.25" customHeight="1" s="882">
      <c r="F69" s="1152" t="n"/>
      <c r="G69" s="1153" t="n"/>
      <c r="H69" s="1153" t="n"/>
    </row>
    <row r="70" ht="14.25" customHeight="1" s="882">
      <c r="F70" s="1152" t="n"/>
      <c r="G70" s="1153" t="n"/>
      <c r="H70" s="1153" t="n"/>
    </row>
    <row r="71" ht="14.25" customHeight="1" s="882">
      <c r="F71" s="1152" t="n"/>
      <c r="G71" s="1153" t="n"/>
      <c r="H71" s="1153" t="n"/>
    </row>
    <row r="72" ht="14.25" customHeight="1" s="882">
      <c r="F72" s="1152" t="n"/>
      <c r="G72" s="1153" t="n"/>
      <c r="H72" s="1153" t="n"/>
    </row>
    <row r="73" ht="14.25" customHeight="1" s="882">
      <c r="F73" s="1152" t="n"/>
      <c r="G73" s="1153" t="n"/>
      <c r="H73" s="1153" t="n"/>
    </row>
    <row r="74" ht="14.25" customHeight="1" s="882">
      <c r="F74" s="1152" t="n"/>
      <c r="G74" s="1153" t="n"/>
      <c r="H74" s="1153" t="n"/>
    </row>
    <row r="75" ht="14.25" customHeight="1" s="882">
      <c r="F75" s="1152" t="n"/>
      <c r="G75" s="1153" t="n"/>
      <c r="H75" s="1153" t="n"/>
    </row>
    <row r="76" ht="14.25" customHeight="1" s="882">
      <c r="F76" s="1152" t="n"/>
      <c r="G76" s="1153" t="n"/>
      <c r="H76" s="1153" t="n"/>
    </row>
    <row r="77" ht="14.25" customHeight="1" s="882">
      <c r="F77" s="1152" t="n"/>
      <c r="G77" s="1153" t="n"/>
      <c r="H77" s="1153" t="n"/>
    </row>
    <row r="78" ht="14.25" customHeight="1" s="882">
      <c r="F78" s="1152" t="n"/>
      <c r="G78" s="1153" t="n"/>
      <c r="H78" s="1153" t="n"/>
    </row>
    <row r="79" ht="14.25" customHeight="1" s="882">
      <c r="F79" s="1152" t="n"/>
      <c r="G79" s="1153" t="n"/>
      <c r="H79" s="1153" t="n"/>
    </row>
    <row r="80" ht="14.25" customHeight="1" s="882">
      <c r="F80" s="1152" t="n"/>
      <c r="G80" s="1153" t="n"/>
      <c r="H80" s="1153" t="n"/>
    </row>
    <row r="81" ht="14.25" customHeight="1" s="882">
      <c r="F81" s="1152" t="n"/>
      <c r="G81" s="1153" t="n"/>
      <c r="H81" s="1153" t="n"/>
    </row>
    <row r="82" ht="14.25" customHeight="1" s="882">
      <c r="F82" s="1152" t="n"/>
      <c r="G82" s="1153" t="n"/>
      <c r="H82" s="1153" t="n"/>
    </row>
    <row r="83" ht="14.25" customHeight="1" s="882">
      <c r="F83" s="1152" t="n"/>
      <c r="G83" s="1153" t="n"/>
      <c r="H83" s="1153" t="n"/>
    </row>
    <row r="84" ht="14.25" customHeight="1" s="882">
      <c r="F84" s="1152" t="n"/>
      <c r="G84" s="1153" t="n"/>
      <c r="H84" s="1153" t="n"/>
    </row>
    <row r="85" ht="14.25" customHeight="1" s="882">
      <c r="F85" s="1152" t="n"/>
      <c r="G85" s="1153" t="n"/>
      <c r="H85" s="1153" t="n"/>
    </row>
    <row r="86" ht="14.25" customHeight="1" s="882">
      <c r="F86" s="1152" t="n"/>
      <c r="G86" s="1153" t="n"/>
      <c r="H86" s="1153" t="n"/>
    </row>
    <row r="87" ht="14.25" customHeight="1" s="882">
      <c r="F87" s="1152" t="n"/>
      <c r="G87" s="1153" t="n"/>
      <c r="H87" s="1153" t="n"/>
    </row>
    <row r="88" ht="14.25" customHeight="1" s="882">
      <c r="F88" s="1152" t="n"/>
      <c r="G88" s="1153" t="n"/>
      <c r="H88" s="1153" t="n"/>
    </row>
    <row r="89" ht="14.25" customHeight="1" s="882">
      <c r="F89" s="1152" t="n"/>
      <c r="G89" s="1153" t="n"/>
      <c r="H89" s="1153" t="n"/>
    </row>
    <row r="90" ht="14.25" customHeight="1" s="882">
      <c r="F90" s="1152" t="n"/>
      <c r="G90" s="1153" t="n"/>
      <c r="H90" s="1153" t="n"/>
    </row>
    <row r="91" ht="14.25" customHeight="1" s="882">
      <c r="F91" s="1152" t="n"/>
      <c r="G91" s="1153" t="n"/>
      <c r="H91" s="1153" t="n"/>
    </row>
    <row r="92" ht="14.25" customHeight="1" s="882">
      <c r="F92" s="1152" t="n"/>
      <c r="G92" s="1153" t="n"/>
      <c r="H92" s="1153" t="n"/>
    </row>
    <row r="93" ht="14.25" customHeight="1" s="882">
      <c r="F93" s="1152" t="n"/>
      <c r="G93" s="1153" t="n"/>
      <c r="H93" s="1153" t="n"/>
    </row>
    <row r="94" ht="14.25" customHeight="1" s="882">
      <c r="F94" s="1152" t="n"/>
      <c r="G94" s="1153" t="n"/>
      <c r="H94" s="1153" t="n"/>
    </row>
    <row r="95" ht="14.25" customHeight="1" s="882">
      <c r="F95" s="1152" t="n"/>
      <c r="G95" s="1153" t="n"/>
      <c r="H95" s="1153" t="n"/>
    </row>
    <row r="96" ht="14.25" customHeight="1" s="882">
      <c r="F96" s="1152" t="n"/>
      <c r="G96" s="1153" t="n"/>
      <c r="H96" s="1153" t="n"/>
    </row>
    <row r="97" ht="14.25" customHeight="1" s="882">
      <c r="F97" s="1152" t="n"/>
      <c r="G97" s="1153" t="n"/>
      <c r="H97" s="1153" t="n"/>
    </row>
    <row r="98" ht="14.25" customHeight="1" s="882">
      <c r="F98" s="1152" t="n"/>
      <c r="G98" s="1153" t="n"/>
      <c r="H98" s="1153" t="n"/>
    </row>
    <row r="99" ht="14.25" customHeight="1" s="882">
      <c r="F99" s="1152" t="n"/>
      <c r="G99" s="1153" t="n"/>
      <c r="H99" s="1153" t="n"/>
    </row>
    <row r="100" ht="14.25" customHeight="1" s="882">
      <c r="F100" s="1152" t="n"/>
      <c r="G100" s="1153" t="n"/>
      <c r="H100" s="1153" t="n"/>
    </row>
    <row r="101" ht="14.25" customHeight="1" s="882">
      <c r="F101" s="1152" t="n"/>
      <c r="G101" s="1153" t="n"/>
      <c r="H101" s="1153" t="n"/>
    </row>
    <row r="102" ht="14.25" customHeight="1" s="882">
      <c r="F102" s="1152" t="n"/>
      <c r="G102" s="1153" t="n"/>
      <c r="H102" s="1153" t="n"/>
    </row>
    <row r="103" ht="14.25" customHeight="1" s="882">
      <c r="F103" s="1152" t="n"/>
      <c r="G103" s="1153" t="n"/>
      <c r="H103" s="1153" t="n"/>
    </row>
    <row r="104" ht="14.25" customHeight="1" s="882">
      <c r="F104" s="1152" t="n"/>
      <c r="G104" s="1153" t="n"/>
      <c r="H104" s="1153" t="n"/>
    </row>
    <row r="105" ht="14.25" customHeight="1" s="882">
      <c r="F105" s="1152" t="n"/>
      <c r="G105" s="1153" t="n"/>
      <c r="H105" s="1153" t="n"/>
    </row>
    <row r="106" ht="14.25" customHeight="1" s="882">
      <c r="F106" s="1152" t="n"/>
      <c r="G106" s="1153" t="n"/>
      <c r="H106" s="1153" t="n"/>
    </row>
    <row r="107" ht="14.25" customHeight="1" s="882">
      <c r="F107" s="1152" t="n"/>
      <c r="G107" s="1153" t="n"/>
      <c r="H107" s="1153" t="n"/>
    </row>
    <row r="108" ht="14.25" customHeight="1" s="882">
      <c r="F108" s="1152" t="n"/>
      <c r="G108" s="1153" t="n"/>
      <c r="H108" s="1153" t="n"/>
    </row>
    <row r="109" ht="14.25" customHeight="1" s="882">
      <c r="F109" s="1152" t="n"/>
      <c r="G109" s="1153" t="n"/>
      <c r="H109" s="1153" t="n"/>
    </row>
    <row r="110" ht="14.25" customHeight="1" s="882">
      <c r="F110" s="1152" t="n"/>
      <c r="G110" s="1153" t="n"/>
      <c r="H110" s="1153" t="n"/>
    </row>
    <row r="111" ht="14.25" customHeight="1" s="882">
      <c r="F111" s="1152" t="n"/>
      <c r="G111" s="1153" t="n"/>
      <c r="H111" s="1153" t="n"/>
    </row>
    <row r="112" ht="14.25" customHeight="1" s="882">
      <c r="F112" s="1152" t="n"/>
      <c r="G112" s="1153" t="n"/>
      <c r="H112" s="1153" t="n"/>
    </row>
    <row r="113" ht="14.25" customHeight="1" s="882">
      <c r="F113" s="1152" t="n"/>
      <c r="G113" s="1153" t="n"/>
      <c r="H113" s="1153" t="n"/>
    </row>
    <row r="114" ht="14.25" customHeight="1" s="882">
      <c r="F114" s="1152" t="n"/>
      <c r="G114" s="1153" t="n"/>
      <c r="H114" s="1153" t="n"/>
    </row>
    <row r="115" ht="14.25" customHeight="1" s="882">
      <c r="F115" s="1152" t="n"/>
      <c r="G115" s="1153" t="n"/>
      <c r="H115" s="1153" t="n"/>
    </row>
    <row r="116" ht="14.25" customHeight="1" s="882">
      <c r="F116" s="1152" t="n"/>
      <c r="G116" s="1153" t="n"/>
      <c r="H116" s="1153" t="n"/>
    </row>
    <row r="117" ht="14.25" customHeight="1" s="882">
      <c r="F117" s="1152" t="n"/>
      <c r="G117" s="1153" t="n"/>
      <c r="H117" s="1153" t="n"/>
    </row>
    <row r="118" ht="14.25" customHeight="1" s="882">
      <c r="F118" s="1152" t="n"/>
      <c r="G118" s="1153" t="n"/>
      <c r="H118" s="1153" t="n"/>
    </row>
    <row r="119" ht="14.25" customHeight="1" s="882">
      <c r="F119" s="1152" t="n"/>
      <c r="G119" s="1153" t="n"/>
      <c r="H119" s="1153" t="n"/>
    </row>
    <row r="120" ht="14.25" customHeight="1" s="882">
      <c r="F120" s="1152" t="n"/>
      <c r="G120" s="1153" t="n"/>
      <c r="H120" s="1153" t="n"/>
    </row>
    <row r="121" ht="14.25" customHeight="1" s="882">
      <c r="F121" s="1152" t="n"/>
      <c r="G121" s="1153" t="n"/>
      <c r="H121" s="1153" t="n"/>
    </row>
    <row r="122" ht="14.25" customHeight="1" s="882">
      <c r="F122" s="1152" t="n"/>
      <c r="G122" s="1153" t="n"/>
      <c r="H122" s="1153" t="n"/>
    </row>
    <row r="123" ht="14.25" customHeight="1" s="882">
      <c r="F123" s="1152" t="n"/>
      <c r="G123" s="1153" t="n"/>
      <c r="H123" s="1153" t="n"/>
    </row>
    <row r="124" ht="14.25" customHeight="1" s="882">
      <c r="F124" s="1152" t="n"/>
      <c r="G124" s="1153" t="n"/>
      <c r="H124" s="1153" t="n"/>
    </row>
    <row r="125" ht="14.25" customHeight="1" s="882">
      <c r="F125" s="1152" t="n"/>
      <c r="G125" s="1153" t="n"/>
      <c r="H125" s="1153" t="n"/>
    </row>
    <row r="126" ht="14.25" customHeight="1" s="882">
      <c r="F126" s="1152" t="n"/>
      <c r="G126" s="1153" t="n"/>
      <c r="H126" s="1153" t="n"/>
    </row>
    <row r="127" ht="14.25" customHeight="1" s="882">
      <c r="F127" s="1152" t="n"/>
      <c r="G127" s="1153" t="n"/>
      <c r="H127" s="1153" t="n"/>
    </row>
    <row r="128" ht="14.25" customHeight="1" s="882">
      <c r="F128" s="1152" t="n"/>
      <c r="G128" s="1153" t="n"/>
      <c r="H128" s="1153" t="n"/>
    </row>
    <row r="129" ht="14.25" customHeight="1" s="882">
      <c r="F129" s="1152" t="n"/>
      <c r="G129" s="1153" t="n"/>
      <c r="H129" s="1153" t="n"/>
    </row>
    <row r="130" ht="14.25" customHeight="1" s="882">
      <c r="F130" s="1152" t="n"/>
      <c r="G130" s="1153" t="n"/>
      <c r="H130" s="1153" t="n"/>
    </row>
    <row r="131" ht="14.25" customHeight="1" s="882">
      <c r="F131" s="1152" t="n"/>
      <c r="G131" s="1153" t="n"/>
      <c r="H131" s="1153" t="n"/>
    </row>
    <row r="132" ht="14.25" customHeight="1" s="882">
      <c r="F132" s="1152" t="n"/>
      <c r="G132" s="1153" t="n"/>
      <c r="H132" s="1153" t="n"/>
    </row>
    <row r="133" ht="14.25" customHeight="1" s="882">
      <c r="F133" s="1152" t="n"/>
      <c r="G133" s="1153" t="n"/>
      <c r="H133" s="1153" t="n"/>
    </row>
    <row r="134" ht="14.25" customHeight="1" s="882">
      <c r="F134" s="1152" t="n"/>
      <c r="G134" s="1153" t="n"/>
      <c r="H134" s="1153" t="n"/>
    </row>
    <row r="135" ht="14.25" customHeight="1" s="882">
      <c r="F135" s="1152" t="n"/>
      <c r="G135" s="1153" t="n"/>
      <c r="H135" s="1153" t="n"/>
    </row>
    <row r="136" ht="14.25" customHeight="1" s="882">
      <c r="F136" s="1152" t="n"/>
      <c r="G136" s="1153" t="n"/>
      <c r="H136" s="1153" t="n"/>
    </row>
    <row r="137" ht="14.25" customHeight="1" s="882">
      <c r="F137" s="1152" t="n"/>
      <c r="G137" s="1153" t="n"/>
      <c r="H137" s="1153" t="n"/>
    </row>
    <row r="138" ht="14.25" customHeight="1" s="882">
      <c r="F138" s="1152" t="n"/>
      <c r="G138" s="1153" t="n"/>
      <c r="H138" s="1153" t="n"/>
    </row>
    <row r="139" ht="14.25" customHeight="1" s="882">
      <c r="F139" s="1152" t="n"/>
      <c r="G139" s="1153" t="n"/>
      <c r="H139" s="1153" t="n"/>
    </row>
    <row r="140" ht="14.25" customHeight="1" s="882">
      <c r="F140" s="1152" t="n"/>
      <c r="G140" s="1153" t="n"/>
      <c r="H140" s="1153" t="n"/>
    </row>
    <row r="141" ht="14.25" customHeight="1" s="882">
      <c r="F141" s="1152" t="n"/>
      <c r="G141" s="1153" t="n"/>
      <c r="H141" s="1153" t="n"/>
    </row>
    <row r="142" ht="14.25" customHeight="1" s="882">
      <c r="F142" s="1152" t="n"/>
      <c r="G142" s="1153" t="n"/>
      <c r="H142" s="1153" t="n"/>
    </row>
    <row r="143" ht="14.25" customHeight="1" s="882">
      <c r="F143" s="1152" t="n"/>
      <c r="G143" s="1153" t="n"/>
      <c r="H143" s="1153" t="n"/>
    </row>
    <row r="144" ht="14.25" customHeight="1" s="882">
      <c r="F144" s="1152" t="n"/>
      <c r="G144" s="1153" t="n"/>
      <c r="H144" s="1153" t="n"/>
    </row>
    <row r="145" ht="14.25" customHeight="1" s="882">
      <c r="F145" s="1152" t="n"/>
      <c r="G145" s="1153" t="n"/>
      <c r="H145" s="1153" t="n"/>
    </row>
    <row r="146" ht="14.25" customHeight="1" s="882">
      <c r="F146" s="1152" t="n"/>
      <c r="G146" s="1153" t="n"/>
      <c r="H146" s="1153" t="n"/>
    </row>
    <row r="147" ht="14.25" customHeight="1" s="882">
      <c r="F147" s="1152" t="n"/>
      <c r="G147" s="1153" t="n"/>
      <c r="H147" s="1153" t="n"/>
    </row>
    <row r="148" ht="14.25" customHeight="1" s="882">
      <c r="F148" s="1152" t="n"/>
      <c r="G148" s="1153" t="n"/>
      <c r="H148" s="1153" t="n"/>
    </row>
    <row r="149" ht="14.25" customHeight="1" s="882">
      <c r="F149" s="1152" t="n"/>
      <c r="G149" s="1153" t="n"/>
      <c r="H149" s="1153" t="n"/>
    </row>
    <row r="150" ht="14.25" customHeight="1" s="882">
      <c r="F150" s="1152" t="n"/>
      <c r="G150" s="1153" t="n"/>
      <c r="H150" s="1153" t="n"/>
    </row>
    <row r="151" ht="14.25" customHeight="1" s="882">
      <c r="F151" s="1152" t="n"/>
      <c r="G151" s="1153" t="n"/>
      <c r="H151" s="1153" t="n"/>
    </row>
    <row r="152" ht="14.25" customHeight="1" s="882">
      <c r="F152" s="1152" t="n"/>
      <c r="G152" s="1153" t="n"/>
      <c r="H152" s="1153" t="n"/>
    </row>
    <row r="153" ht="14.25" customHeight="1" s="882">
      <c r="F153" s="1152" t="n"/>
      <c r="G153" s="1153" t="n"/>
      <c r="H153" s="1153" t="n"/>
    </row>
    <row r="154" ht="14.25" customHeight="1" s="882">
      <c r="F154" s="1152" t="n"/>
      <c r="G154" s="1153" t="n"/>
      <c r="H154" s="1153" t="n"/>
    </row>
    <row r="155" ht="14.25" customHeight="1" s="882">
      <c r="F155" s="1152" t="n"/>
      <c r="G155" s="1153" t="n"/>
      <c r="H155" s="1153" t="n"/>
    </row>
    <row r="156" ht="14.25" customHeight="1" s="882">
      <c r="F156" s="1152" t="n"/>
      <c r="G156" s="1153" t="n"/>
      <c r="H156" s="1153" t="n"/>
    </row>
    <row r="157" ht="14.25" customHeight="1" s="882">
      <c r="F157" s="1152" t="n"/>
      <c r="G157" s="1153" t="n"/>
      <c r="H157" s="1153" t="n"/>
    </row>
    <row r="158" ht="14.25" customHeight="1" s="882">
      <c r="F158" s="1152" t="n"/>
      <c r="G158" s="1153" t="n"/>
      <c r="H158" s="1153" t="n"/>
    </row>
    <row r="159" ht="14.25" customHeight="1" s="882">
      <c r="F159" s="1152" t="n"/>
      <c r="G159" s="1153" t="n"/>
      <c r="H159" s="1153" t="n"/>
    </row>
    <row r="160" ht="14.25" customHeight="1" s="882">
      <c r="F160" s="1152" t="n"/>
      <c r="G160" s="1153" t="n"/>
      <c r="H160" s="1153" t="n"/>
    </row>
    <row r="161" ht="14.25" customHeight="1" s="882">
      <c r="F161" s="1152" t="n"/>
      <c r="G161" s="1153" t="n"/>
      <c r="H161" s="1153" t="n"/>
    </row>
    <row r="162" ht="14.25" customHeight="1" s="882">
      <c r="F162" s="1152" t="n"/>
      <c r="G162" s="1153" t="n"/>
      <c r="H162" s="1153" t="n"/>
    </row>
    <row r="163" ht="14.25" customHeight="1" s="882">
      <c r="F163" s="1152" t="n"/>
      <c r="G163" s="1153" t="n"/>
      <c r="H163" s="1153" t="n"/>
    </row>
    <row r="164" ht="14.25" customHeight="1" s="882">
      <c r="F164" s="1152" t="n"/>
      <c r="G164" s="1153" t="n"/>
      <c r="H164" s="1153" t="n"/>
    </row>
    <row r="165" ht="14.25" customHeight="1" s="882">
      <c r="F165" s="1152" t="n"/>
      <c r="G165" s="1153" t="n"/>
      <c r="H165" s="1153" t="n"/>
    </row>
    <row r="166" ht="14.25" customHeight="1" s="882">
      <c r="F166" s="1152" t="n"/>
      <c r="G166" s="1153" t="n"/>
      <c r="H166" s="1153" t="n"/>
    </row>
    <row r="167" ht="14.25" customHeight="1" s="882">
      <c r="F167" s="1152" t="n"/>
      <c r="G167" s="1153" t="n"/>
      <c r="H167" s="1153" t="n"/>
    </row>
    <row r="168" ht="14.25" customHeight="1" s="882">
      <c r="F168" s="1152" t="n"/>
      <c r="G168" s="1153" t="n"/>
      <c r="H168" s="1153" t="n"/>
    </row>
    <row r="169" ht="14.25" customHeight="1" s="882">
      <c r="F169" s="1152" t="n"/>
      <c r="G169" s="1153" t="n"/>
      <c r="H169" s="1153" t="n"/>
    </row>
    <row r="170" ht="14.25" customHeight="1" s="882">
      <c r="F170" s="1152" t="n"/>
      <c r="G170" s="1153" t="n"/>
      <c r="H170" s="1153" t="n"/>
    </row>
    <row r="171" ht="14.25" customHeight="1" s="882">
      <c r="F171" s="1152" t="n"/>
      <c r="G171" s="1153" t="n"/>
      <c r="H171" s="1153" t="n"/>
    </row>
    <row r="172" ht="14.25" customHeight="1" s="882">
      <c r="F172" s="1152" t="n"/>
      <c r="G172" s="1153" t="n"/>
      <c r="H172" s="1153" t="n"/>
    </row>
    <row r="173" ht="14.25" customHeight="1" s="882">
      <c r="F173" s="1152" t="n"/>
      <c r="G173" s="1153" t="n"/>
      <c r="H173" s="1153" t="n"/>
    </row>
    <row r="174" ht="14.25" customHeight="1" s="882">
      <c r="F174" s="1152" t="n"/>
      <c r="G174" s="1153" t="n"/>
      <c r="H174" s="1153" t="n"/>
    </row>
    <row r="175" ht="14.25" customHeight="1" s="882">
      <c r="F175" s="1152" t="n"/>
      <c r="G175" s="1153" t="n"/>
      <c r="H175" s="1153" t="n"/>
    </row>
    <row r="176" ht="14.25" customHeight="1" s="882">
      <c r="F176" s="1152" t="n"/>
      <c r="G176" s="1153" t="n"/>
      <c r="H176" s="1153" t="n"/>
    </row>
    <row r="177" ht="14.25" customHeight="1" s="882">
      <c r="F177" s="1152" t="n"/>
      <c r="G177" s="1153" t="n"/>
      <c r="H177" s="1153" t="n"/>
    </row>
    <row r="178" ht="14.25" customHeight="1" s="882">
      <c r="F178" s="1152" t="n"/>
      <c r="G178" s="1153" t="n"/>
      <c r="H178" s="1153" t="n"/>
    </row>
    <row r="179" ht="14.25" customHeight="1" s="882">
      <c r="F179" s="1152" t="n"/>
      <c r="G179" s="1153" t="n"/>
      <c r="H179" s="1153" t="n"/>
    </row>
    <row r="180" ht="14.25" customHeight="1" s="882">
      <c r="F180" s="1152" t="n"/>
      <c r="G180" s="1153" t="n"/>
      <c r="H180" s="1153" t="n"/>
    </row>
    <row r="181" ht="14.25" customHeight="1" s="882">
      <c r="F181" s="1152" t="n"/>
      <c r="G181" s="1153" t="n"/>
      <c r="H181" s="1153" t="n"/>
    </row>
    <row r="182" ht="14.25" customHeight="1" s="882">
      <c r="F182" s="1152" t="n"/>
      <c r="G182" s="1153" t="n"/>
      <c r="H182" s="1153" t="n"/>
    </row>
    <row r="183" ht="14.25" customHeight="1" s="882">
      <c r="F183" s="1152" t="n"/>
      <c r="G183" s="1153" t="n"/>
      <c r="H183" s="1153" t="n"/>
    </row>
    <row r="184" ht="14.25" customHeight="1" s="882">
      <c r="F184" s="1152" t="n"/>
      <c r="G184" s="1153" t="n"/>
      <c r="H184" s="1153" t="n"/>
    </row>
    <row r="185" ht="14.25" customHeight="1" s="882">
      <c r="F185" s="1152" t="n"/>
      <c r="G185" s="1153" t="n"/>
      <c r="H185" s="1153" t="n"/>
    </row>
    <row r="186" ht="14.25" customHeight="1" s="882">
      <c r="F186" s="1152" t="n"/>
      <c r="G186" s="1153" t="n"/>
      <c r="H186" s="1153" t="n"/>
    </row>
    <row r="187" ht="14.25" customHeight="1" s="882">
      <c r="F187" s="1152" t="n"/>
      <c r="G187" s="1153" t="n"/>
      <c r="H187" s="1153" t="n"/>
    </row>
    <row r="188" ht="14.25" customHeight="1" s="882">
      <c r="F188" s="1152" t="n"/>
      <c r="G188" s="1153" t="n"/>
      <c r="H188" s="1153" t="n"/>
    </row>
    <row r="189" ht="14.25" customHeight="1" s="882">
      <c r="F189" s="1152" t="n"/>
      <c r="G189" s="1153" t="n"/>
      <c r="H189" s="1153" t="n"/>
    </row>
    <row r="190" ht="14.25" customHeight="1" s="882">
      <c r="F190" s="1152" t="n"/>
      <c r="G190" s="1153" t="n"/>
      <c r="H190" s="1153" t="n"/>
    </row>
    <row r="191" ht="14.25" customHeight="1" s="882">
      <c r="F191" s="1152" t="n"/>
      <c r="G191" s="1153" t="n"/>
      <c r="H191" s="1153" t="n"/>
    </row>
    <row r="192" ht="14.25" customHeight="1" s="882">
      <c r="F192" s="1152" t="n"/>
      <c r="G192" s="1153" t="n"/>
      <c r="H192" s="1153" t="n"/>
    </row>
    <row r="193" ht="14.25" customHeight="1" s="882">
      <c r="F193" s="1152" t="n"/>
      <c r="G193" s="1153" t="n"/>
      <c r="H193" s="1153" t="n"/>
    </row>
    <row r="194" ht="14.25" customHeight="1" s="882">
      <c r="F194" s="1152" t="n"/>
      <c r="G194" s="1153" t="n"/>
      <c r="H194" s="1153" t="n"/>
    </row>
    <row r="195" ht="14.25" customHeight="1" s="882">
      <c r="F195" s="1152" t="n"/>
      <c r="G195" s="1153" t="n"/>
      <c r="H195" s="1153" t="n"/>
    </row>
    <row r="196" ht="14.25" customHeight="1" s="882">
      <c r="F196" s="1152" t="n"/>
      <c r="G196" s="1153" t="n"/>
      <c r="H196" s="1153" t="n"/>
    </row>
    <row r="197" ht="14.25" customHeight="1" s="882">
      <c r="F197" s="1152" t="n"/>
      <c r="G197" s="1153" t="n"/>
      <c r="H197" s="1153" t="n"/>
    </row>
    <row r="198" ht="14.25" customHeight="1" s="882">
      <c r="F198" s="1152" t="n"/>
      <c r="G198" s="1153" t="n"/>
      <c r="H198" s="1153" t="n"/>
    </row>
    <row r="199" ht="14.25" customHeight="1" s="882">
      <c r="F199" s="1152" t="n"/>
      <c r="G199" s="1153" t="n"/>
      <c r="H199" s="1153" t="n"/>
    </row>
    <row r="200" ht="14.25" customHeight="1" s="882">
      <c r="F200" s="1152" t="n"/>
      <c r="G200" s="1153" t="n"/>
      <c r="H200" s="1153" t="n"/>
    </row>
    <row r="201" ht="14.25" customHeight="1" s="882">
      <c r="F201" s="1152" t="n"/>
      <c r="G201" s="1153" t="n"/>
      <c r="H201" s="1153" t="n"/>
    </row>
    <row r="202" ht="14.25" customHeight="1" s="882">
      <c r="F202" s="1152" t="n"/>
      <c r="G202" s="1153" t="n"/>
      <c r="H202" s="1153" t="n"/>
    </row>
    <row r="203" ht="14.25" customHeight="1" s="882">
      <c r="F203" s="1152" t="n"/>
      <c r="G203" s="1153" t="n"/>
      <c r="H203" s="1153" t="n"/>
    </row>
    <row r="204" ht="14.25" customHeight="1" s="882">
      <c r="F204" s="1152" t="n"/>
      <c r="G204" s="1153" t="n"/>
      <c r="H204" s="1153" t="n"/>
    </row>
    <row r="205" ht="14.25" customHeight="1" s="882">
      <c r="F205" s="1152" t="n"/>
      <c r="G205" s="1153" t="n"/>
      <c r="H205" s="1153" t="n"/>
    </row>
    <row r="206" ht="14.25" customHeight="1" s="882">
      <c r="F206" s="1152" t="n"/>
      <c r="G206" s="1153" t="n"/>
      <c r="H206" s="1153" t="n"/>
    </row>
    <row r="207" ht="14.25" customHeight="1" s="882">
      <c r="F207" s="1152" t="n"/>
      <c r="G207" s="1153" t="n"/>
      <c r="H207" s="1153" t="n"/>
    </row>
    <row r="208" ht="14.25" customHeight="1" s="882">
      <c r="F208" s="1152" t="n"/>
      <c r="G208" s="1153" t="n"/>
      <c r="H208" s="1153" t="n"/>
    </row>
    <row r="209" ht="14.25" customHeight="1" s="882">
      <c r="F209" s="1152" t="n"/>
      <c r="G209" s="1153" t="n"/>
      <c r="H209" s="1153" t="n"/>
    </row>
    <row r="210" ht="14.25" customHeight="1" s="882">
      <c r="F210" s="1152" t="n"/>
      <c r="G210" s="1153" t="n"/>
      <c r="H210" s="1153" t="n"/>
    </row>
    <row r="211" ht="14.25" customHeight="1" s="882">
      <c r="F211" s="1152" t="n"/>
      <c r="G211" s="1153" t="n"/>
      <c r="H211" s="1153" t="n"/>
    </row>
    <row r="212" ht="14.25" customHeight="1" s="882">
      <c r="F212" s="1152" t="n"/>
      <c r="G212" s="1153" t="n"/>
      <c r="H212" s="1153" t="n"/>
    </row>
    <row r="213" ht="14.25" customHeight="1" s="882">
      <c r="F213" s="1152" t="n"/>
      <c r="G213" s="1153" t="n"/>
      <c r="H213" s="1153" t="n"/>
    </row>
    <row r="214" ht="14.25" customHeight="1" s="882">
      <c r="F214" s="1152" t="n"/>
      <c r="G214" s="1153" t="n"/>
      <c r="H214" s="1153" t="n"/>
    </row>
    <row r="215" ht="14.25" customHeight="1" s="882">
      <c r="F215" s="1152" t="n"/>
      <c r="G215" s="1153" t="n"/>
      <c r="H215" s="1153" t="n"/>
    </row>
    <row r="216" ht="14.25" customHeight="1" s="882">
      <c r="F216" s="1152" t="n"/>
      <c r="G216" s="1153" t="n"/>
      <c r="H216" s="1153" t="n"/>
    </row>
    <row r="217" ht="14.25" customHeight="1" s="882">
      <c r="F217" s="1152" t="n"/>
      <c r="G217" s="1153" t="n"/>
      <c r="H217" s="1153" t="n"/>
    </row>
    <row r="218" ht="14.25" customHeight="1" s="882">
      <c r="F218" s="1152" t="n"/>
      <c r="G218" s="1153" t="n"/>
      <c r="H218" s="1153" t="n"/>
    </row>
    <row r="219" ht="14.25" customHeight="1" s="882">
      <c r="F219" s="1152" t="n"/>
      <c r="G219" s="1153" t="n"/>
      <c r="H219" s="1153" t="n"/>
    </row>
    <row r="220" ht="14.25" customHeight="1" s="882">
      <c r="F220" s="1152" t="n"/>
      <c r="G220" s="1153" t="n"/>
      <c r="H220" s="1153" t="n"/>
    </row>
    <row r="221" ht="14.25" customHeight="1" s="882">
      <c r="F221" s="1152" t="n"/>
      <c r="G221" s="1153" t="n"/>
      <c r="H221" s="1153" t="n"/>
    </row>
    <row r="222" ht="14.25" customHeight="1" s="882">
      <c r="F222" s="1152" t="n"/>
      <c r="G222" s="1153" t="n"/>
      <c r="H222" s="1153" t="n"/>
    </row>
    <row r="223" ht="14.25" customHeight="1" s="882">
      <c r="F223" s="1152" t="n"/>
      <c r="G223" s="1153" t="n"/>
      <c r="H223" s="1153" t="n"/>
    </row>
    <row r="224" ht="14.25" customHeight="1" s="882">
      <c r="F224" s="1152" t="n"/>
      <c r="G224" s="1153" t="n"/>
      <c r="H224" s="1153" t="n"/>
    </row>
    <row r="225" ht="14.25" customHeight="1" s="882">
      <c r="F225" s="1152" t="n"/>
      <c r="G225" s="1153" t="n"/>
      <c r="H225" s="1153" t="n"/>
    </row>
    <row r="226" ht="14.25" customHeight="1" s="882">
      <c r="F226" s="1152" t="n"/>
      <c r="G226" s="1153" t="n"/>
      <c r="H226" s="1153" t="n"/>
    </row>
    <row r="227" ht="14.25" customHeight="1" s="882">
      <c r="F227" s="1152" t="n"/>
      <c r="G227" s="1153" t="n"/>
      <c r="H227" s="1153" t="n"/>
    </row>
    <row r="228" ht="14.25" customHeight="1" s="882">
      <c r="F228" s="1152" t="n"/>
      <c r="G228" s="1153" t="n"/>
      <c r="H228" s="1153" t="n"/>
    </row>
    <row r="229" ht="14.25" customHeight="1" s="882">
      <c r="F229" s="1152" t="n"/>
      <c r="G229" s="1153" t="n"/>
      <c r="H229" s="1153" t="n"/>
    </row>
    <row r="230" ht="14.25" customHeight="1" s="882">
      <c r="F230" s="1152" t="n"/>
      <c r="G230" s="1153" t="n"/>
      <c r="H230" s="1153" t="n"/>
    </row>
    <row r="231" ht="14.25" customHeight="1" s="882">
      <c r="F231" s="1152" t="n"/>
      <c r="G231" s="1153" t="n"/>
      <c r="H231" s="1153" t="n"/>
    </row>
    <row r="232" ht="14.25" customHeight="1" s="882">
      <c r="F232" s="1152" t="n"/>
      <c r="G232" s="1153" t="n"/>
      <c r="H232" s="1153" t="n"/>
    </row>
    <row r="233" ht="14.25" customHeight="1" s="882">
      <c r="F233" s="1152" t="n"/>
      <c r="G233" s="1153" t="n"/>
      <c r="H233" s="1153" t="n"/>
    </row>
    <row r="234" ht="14.25" customHeight="1" s="882">
      <c r="F234" s="1152" t="n"/>
      <c r="G234" s="1153" t="n"/>
      <c r="H234" s="1153" t="n"/>
    </row>
    <row r="235" ht="14.25" customHeight="1" s="882">
      <c r="F235" s="1152" t="n"/>
      <c r="G235" s="1153" t="n"/>
      <c r="H235" s="1153" t="n"/>
    </row>
    <row r="236" ht="14.25" customHeight="1" s="882">
      <c r="F236" s="1152" t="n"/>
      <c r="G236" s="1153" t="n"/>
      <c r="H236" s="1153" t="n"/>
    </row>
    <row r="237" ht="14.25" customHeight="1" s="882">
      <c r="F237" s="1152" t="n"/>
      <c r="G237" s="1153" t="n"/>
      <c r="H237" s="1153" t="n"/>
    </row>
    <row r="238" ht="14.25" customHeight="1" s="882">
      <c r="F238" s="1152" t="n"/>
      <c r="G238" s="1153" t="n"/>
      <c r="H238" s="1153" t="n"/>
    </row>
    <row r="239" ht="14.25" customHeight="1" s="882">
      <c r="F239" s="1152" t="n"/>
      <c r="G239" s="1153" t="n"/>
      <c r="H239" s="1153" t="n"/>
    </row>
    <row r="240" ht="14.25" customHeight="1" s="882">
      <c r="F240" s="1152" t="n"/>
      <c r="G240" s="1153" t="n"/>
      <c r="H240" s="1153" t="n"/>
    </row>
    <row r="241" ht="14.25" customHeight="1" s="882">
      <c r="F241" s="1152" t="n"/>
      <c r="G241" s="1153" t="n"/>
      <c r="H241" s="1153" t="n"/>
    </row>
    <row r="242" ht="14.25" customHeight="1" s="882">
      <c r="F242" s="1152" t="n"/>
      <c r="G242" s="1153" t="n"/>
      <c r="H242" s="1153" t="n"/>
    </row>
    <row r="243" ht="14.25" customHeight="1" s="882">
      <c r="F243" s="1152" t="n"/>
      <c r="G243" s="1153" t="n"/>
      <c r="H243" s="1153" t="n"/>
    </row>
    <row r="244" ht="14.25" customHeight="1" s="882">
      <c r="F244" s="1152" t="n"/>
      <c r="G244" s="1153" t="n"/>
      <c r="H244" s="1153" t="n"/>
    </row>
    <row r="245" ht="14.25" customHeight="1" s="882">
      <c r="F245" s="1152" t="n"/>
      <c r="G245" s="1153" t="n"/>
      <c r="H245" s="1153" t="n"/>
    </row>
    <row r="246" ht="14.25" customHeight="1" s="882">
      <c r="F246" s="1152" t="n"/>
      <c r="G246" s="1153" t="n"/>
      <c r="H246" s="1153" t="n"/>
    </row>
    <row r="247" ht="14.25" customHeight="1" s="882">
      <c r="F247" s="1152" t="n"/>
      <c r="G247" s="1153" t="n"/>
      <c r="H247" s="1153" t="n"/>
    </row>
    <row r="248" ht="14.25" customHeight="1" s="882">
      <c r="F248" s="1152" t="n"/>
      <c r="G248" s="1153" t="n"/>
      <c r="H248" s="1153" t="n"/>
    </row>
    <row r="249" ht="14.25" customHeight="1" s="882">
      <c r="F249" s="1152" t="n"/>
      <c r="G249" s="1153" t="n"/>
      <c r="H249" s="1153" t="n"/>
    </row>
    <row r="250" ht="14.25" customHeight="1" s="882">
      <c r="F250" s="1152" t="n"/>
      <c r="G250" s="1153" t="n"/>
      <c r="H250" s="1153" t="n"/>
    </row>
    <row r="251" ht="14.25" customHeight="1" s="882">
      <c r="F251" s="1152" t="n"/>
      <c r="G251" s="1153" t="n"/>
      <c r="H251" s="1153" t="n"/>
    </row>
    <row r="252" ht="14.25" customHeight="1" s="882">
      <c r="F252" s="1152" t="n"/>
      <c r="G252" s="1153" t="n"/>
      <c r="H252" s="1153" t="n"/>
    </row>
    <row r="253" ht="14.25" customHeight="1" s="882">
      <c r="F253" s="1152" t="n"/>
      <c r="G253" s="1153" t="n"/>
      <c r="H253" s="1153" t="n"/>
    </row>
    <row r="254" ht="14.25" customHeight="1" s="882">
      <c r="F254" s="1152" t="n"/>
      <c r="G254" s="1153" t="n"/>
      <c r="H254" s="1153" t="n"/>
    </row>
    <row r="255" ht="14.25" customHeight="1" s="882">
      <c r="F255" s="1152" t="n"/>
      <c r="G255" s="1153" t="n"/>
      <c r="H255" s="1153" t="n"/>
    </row>
    <row r="256" ht="14.25" customHeight="1" s="882">
      <c r="F256" s="1152" t="n"/>
      <c r="G256" s="1153" t="n"/>
      <c r="H256" s="1153" t="n"/>
    </row>
    <row r="257" ht="14.25" customHeight="1" s="882">
      <c r="F257" s="1152" t="n"/>
      <c r="G257" s="1153" t="n"/>
      <c r="H257" s="1153" t="n"/>
    </row>
  </sheetData>
  <sheetProtection selectLockedCells="0" selectUnlockedCells="0" algorithmName="SHA-512" sheet="1" objects="1" insertRows="1" insertHyperlinks="1" autoFilter="1" scenarios="1" formatColumns="0" deleteColumns="1" insertColumns="1" pivotTables="1" deleteRows="1" formatCells="0" saltValue="YyK2xUMUQI05J5T2PFJp3w==" formatRows="0" sort="1" spinCount="100000" hashValue="zo7yzeajskUT4Z27zQj9sbV5TQeyuLfJD4K1oW816dkSOQd7qn+dfzHEGIcKHROZnkproxw2NTQ3Et5JwU1oEA=="/>
  <mergeCells count="91">
    <mergeCell ref="G21:H21"/>
    <mergeCell ref="E48:E49"/>
    <mergeCell ref="G23:H23"/>
    <mergeCell ref="B44:C45"/>
    <mergeCell ref="B34:D34"/>
    <mergeCell ref="B28:D28"/>
    <mergeCell ref="B37:D37"/>
    <mergeCell ref="D44:F45"/>
    <mergeCell ref="I17:I18"/>
    <mergeCell ref="B30:D30"/>
    <mergeCell ref="G18:H18"/>
    <mergeCell ref="B20:D20"/>
    <mergeCell ref="G34:H34"/>
    <mergeCell ref="I42:I43"/>
    <mergeCell ref="I20:I21"/>
    <mergeCell ref="B19:I19"/>
    <mergeCell ref="G44:G45"/>
    <mergeCell ref="F48:F49"/>
    <mergeCell ref="I44:I45"/>
    <mergeCell ref="G20:H20"/>
    <mergeCell ref="B46:C47"/>
    <mergeCell ref="B48:C49"/>
    <mergeCell ref="G12:H12"/>
    <mergeCell ref="B17:D17"/>
    <mergeCell ref="B22:I22"/>
    <mergeCell ref="B10:D10"/>
    <mergeCell ref="I13:I15"/>
    <mergeCell ref="B3:E3"/>
    <mergeCell ref="B36:D36"/>
    <mergeCell ref="G24:H24"/>
    <mergeCell ref="G33:H33"/>
    <mergeCell ref="G26:H26"/>
    <mergeCell ref="G35:H35"/>
    <mergeCell ref="B6:C6"/>
    <mergeCell ref="B31:D31"/>
    <mergeCell ref="G25:H25"/>
    <mergeCell ref="E10:E12"/>
    <mergeCell ref="B21:D21"/>
    <mergeCell ref="B41:I41"/>
    <mergeCell ref="B14:D14"/>
    <mergeCell ref="B7:C7"/>
    <mergeCell ref="B23:D23"/>
    <mergeCell ref="G42:G43"/>
    <mergeCell ref="B13:D13"/>
    <mergeCell ref="G37:H37"/>
    <mergeCell ref="G13:H13"/>
    <mergeCell ref="G15:H15"/>
    <mergeCell ref="B35:D35"/>
    <mergeCell ref="B9:C9"/>
    <mergeCell ref="B25:D25"/>
    <mergeCell ref="B40:I40"/>
    <mergeCell ref="B5:C5"/>
    <mergeCell ref="G32:H32"/>
    <mergeCell ref="H42:H43"/>
    <mergeCell ref="B42:C43"/>
    <mergeCell ref="B12:D12"/>
    <mergeCell ref="B4:C4"/>
    <mergeCell ref="E4:F9"/>
    <mergeCell ref="D42:F43"/>
    <mergeCell ref="H44:H45"/>
    <mergeCell ref="B16:I16"/>
    <mergeCell ref="G27:H27"/>
    <mergeCell ref="G36:H36"/>
    <mergeCell ref="B29:D29"/>
    <mergeCell ref="G17:H17"/>
    <mergeCell ref="B39:C39"/>
    <mergeCell ref="D48:D49"/>
    <mergeCell ref="F10:F12"/>
    <mergeCell ref="G10:H10"/>
    <mergeCell ref="H46:H47"/>
    <mergeCell ref="G28:H28"/>
    <mergeCell ref="B15:D15"/>
    <mergeCell ref="B8:C8"/>
    <mergeCell ref="B24:D24"/>
    <mergeCell ref="D39:I39"/>
    <mergeCell ref="B33:D33"/>
    <mergeCell ref="D46:F47"/>
    <mergeCell ref="I23:I35"/>
    <mergeCell ref="G30:H30"/>
    <mergeCell ref="B32:D32"/>
    <mergeCell ref="B26:D26"/>
    <mergeCell ref="G14:H14"/>
    <mergeCell ref="G29:H29"/>
    <mergeCell ref="B18:D18"/>
    <mergeCell ref="B27:D27"/>
    <mergeCell ref="E37:F37"/>
    <mergeCell ref="G31:H31"/>
    <mergeCell ref="G48:I48"/>
    <mergeCell ref="G46:G47"/>
    <mergeCell ref="I46:I47"/>
    <mergeCell ref="B2:D2"/>
  </mergeCells>
  <printOptions horizontalCentered="0" verticalCentered="0" headings="0" gridLines="0" gridLinesSet="1"/>
  <pageMargins left="0.2" right="0.2" top="0.75" bottom="0.25" header="0.3" footer="0.511811023622047"/>
  <pageSetup orientation="portrait" paperSize="1" scale="55" fitToHeight="1"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drawing xmlns:r="http://schemas.openxmlformats.org/officeDocument/2006/relationships" r:id="rId1"/>
</worksheet>
</file>

<file path=xl/worksheets/sheet6.xml><?xml version="1.0" encoding="utf-8"?>
<worksheet xmlns="http://schemas.openxmlformats.org/spreadsheetml/2006/main">
  <sheetPr filterMode="0">
    <outlinePr summaryBelow="1" summaryRight="1"/>
    <pageSetUpPr fitToPage="0"/>
  </sheetPr>
  <dimension ref="A1:M55"/>
  <sheetViews>
    <sheetView showFormulas="0" showGridLines="1" showRowColHeaders="1" showZeros="1" rightToLeft="0" tabSelected="0" showOutlineSymbols="1" defaultGridColor="1" view="pageBreakPreview" topLeftCell="A1" colorId="64" zoomScale="140" zoomScaleNormal="90" zoomScalePageLayoutView="140" workbookViewId="0">
      <selection pane="topLeft" activeCell="F44" activeCellId="0" sqref="A11:S58"/>
    </sheetView>
  </sheetViews>
  <sheetFormatPr baseColWidth="8" defaultColWidth="9.11328125" defaultRowHeight="13.5" customHeight="0" zeroHeight="0" outlineLevelRow="0"/>
  <cols>
    <col width="21" customWidth="1" style="1180" min="1" max="1"/>
    <col width="12.67" customWidth="1" style="1181" min="2" max="13"/>
    <col width="9.109999999999999" customWidth="1" style="1182" min="14" max="16384"/>
  </cols>
  <sheetData>
    <row r="1" ht="61.5" customHeight="1" s="882">
      <c r="A1" s="1183" t="n"/>
      <c r="B1" s="1184" t="inlineStr">
        <is>
          <t>FIELD SERVICE QUALITY SURVEY (OFFLINE)</t>
        </is>
      </c>
      <c r="C1" s="895" t="n"/>
      <c r="D1" s="895" t="n"/>
      <c r="E1" s="895" t="n"/>
      <c r="F1" s="895" t="n"/>
      <c r="G1" s="895" t="n"/>
      <c r="H1" s="895" t="n"/>
      <c r="I1" s="895" t="n"/>
      <c r="J1" s="895" t="n"/>
      <c r="K1" s="892" t="n"/>
      <c r="L1" s="1185" t="n"/>
      <c r="M1" s="892" t="n"/>
    </row>
    <row r="2" ht="15" customHeight="1" s="882">
      <c r="A2" s="1186" t="inlineStr">
        <is>
          <t>DOCUMENT NUMBER</t>
        </is>
      </c>
      <c r="B2" s="1186" t="inlineStr">
        <is>
          <t>CLASSIFICATION</t>
        </is>
      </c>
      <c r="C2" s="892" t="n"/>
      <c r="D2" s="1186" t="inlineStr">
        <is>
          <t>DOCUMENT LEVEL</t>
        </is>
      </c>
      <c r="E2" s="892" t="n"/>
      <c r="F2" s="1186" t="inlineStr">
        <is>
          <t>REVISION NUMBER</t>
        </is>
      </c>
      <c r="G2" s="892" t="n"/>
      <c r="H2" s="1186" t="inlineStr">
        <is>
          <t>ISSUE DATE</t>
        </is>
      </c>
      <c r="I2" s="892" t="n"/>
      <c r="J2" s="1186" t="inlineStr">
        <is>
          <t>PREPARED BY</t>
        </is>
      </c>
      <c r="K2" s="892" t="n"/>
      <c r="L2" s="1186" t="inlineStr">
        <is>
          <t>APPROVAL</t>
        </is>
      </c>
      <c r="M2" s="892" t="n"/>
    </row>
    <row r="3" ht="26.25" customHeight="1" s="882">
      <c r="A3" s="1187" t="inlineStr">
        <is>
          <t>GL-WFT-OEPS-L2-10.03</t>
        </is>
      </c>
      <c r="B3" s="1188" t="inlineStr">
        <is>
          <t>CONTROLLED</t>
        </is>
      </c>
      <c r="C3" s="892" t="n"/>
      <c r="D3" s="1188" t="inlineStr">
        <is>
          <t>L5</t>
        </is>
      </c>
      <c r="E3" s="892" t="n"/>
      <c r="F3" s="1188" t="n">
        <v>1</v>
      </c>
      <c r="G3" s="892" t="n"/>
      <c r="H3" s="1189" t="inlineStr">
        <is>
          <t>09 SEP 2020</t>
        </is>
      </c>
      <c r="I3" s="892" t="n"/>
      <c r="J3" s="1190" t="inlineStr">
        <is>
          <t>TECHNICAL ADVISORY COMMITTEE</t>
        </is>
      </c>
      <c r="K3" s="892" t="n"/>
      <c r="L3" s="1188" t="inlineStr">
        <is>
          <t>OEP APPROVAL BOARD</t>
        </is>
      </c>
      <c r="M3" s="892" t="n"/>
    </row>
    <row r="4" ht="37.5" customHeight="1" s="882"/>
    <row r="5" ht="18" customHeight="1" s="882">
      <c r="A5" s="1191" t="inlineStr">
        <is>
          <t>Date</t>
        </is>
      </c>
      <c r="B5" s="1192">
        <f>'Master Data'!E24</f>
        <v/>
      </c>
      <c r="C5" s="1193" t="n"/>
      <c r="D5" s="1193" t="n"/>
      <c r="E5" s="1193" t="n"/>
      <c r="F5" s="1193" t="n"/>
      <c r="G5" s="1193" t="n"/>
      <c r="H5" s="1194" t="n"/>
      <c r="I5" s="1195" t="n"/>
      <c r="L5" s="1182" t="n"/>
      <c r="M5" s="1182" t="n"/>
    </row>
    <row r="6" ht="18" customHeight="1" s="882">
      <c r="A6" s="1196" t="inlineStr">
        <is>
          <t>Client</t>
        </is>
      </c>
      <c r="B6" s="1197">
        <f>'Master Data'!B3</f>
        <v/>
      </c>
      <c r="C6" s="1198" t="n"/>
      <c r="D6" s="1198" t="n"/>
      <c r="E6" s="1198" t="n"/>
      <c r="F6" s="1198" t="n"/>
      <c r="G6" s="1198" t="n"/>
      <c r="H6" s="1199" t="n"/>
      <c r="I6" s="1200" t="n"/>
      <c r="L6" s="1182" t="n"/>
      <c r="M6" s="1182" t="n"/>
    </row>
    <row r="7" ht="18" customHeight="1" s="882">
      <c r="A7" s="1196" t="inlineStr">
        <is>
          <t>Client Contact</t>
        </is>
      </c>
      <c r="B7" s="1197">
        <f>'Master Data'!B4</f>
        <v/>
      </c>
      <c r="C7" s="1198" t="n"/>
      <c r="D7" s="1198" t="n"/>
      <c r="E7" s="1198" t="n"/>
      <c r="F7" s="1198" t="n"/>
      <c r="G7" s="1198" t="n"/>
      <c r="H7" s="1199" t="n"/>
      <c r="I7" s="1200" t="n"/>
      <c r="L7" s="1182" t="n"/>
      <c r="M7" s="1182" t="n"/>
    </row>
    <row r="8" ht="18" customHeight="1" s="882">
      <c r="A8" s="1196" t="inlineStr">
        <is>
          <t>Project</t>
        </is>
      </c>
      <c r="B8" s="1197">
        <f>'Master Data'!E10</f>
        <v/>
      </c>
      <c r="C8" s="1198" t="n"/>
      <c r="D8" s="1198" t="n"/>
      <c r="E8" s="1198" t="n"/>
      <c r="F8" s="1198" t="n"/>
      <c r="G8" s="1198" t="n"/>
      <c r="H8" s="1199" t="n"/>
      <c r="I8" s="1200" t="n"/>
      <c r="L8" s="1182" t="n"/>
      <c r="M8" s="1182" t="n"/>
    </row>
    <row r="9" ht="18" customHeight="1" s="882">
      <c r="A9" s="1196" t="inlineStr">
        <is>
          <t>Location</t>
        </is>
      </c>
      <c r="B9" s="1197">
        <f>'Master Data'!E8</f>
        <v/>
      </c>
      <c r="C9" s="1198" t="n"/>
      <c r="D9" s="1198" t="n"/>
      <c r="E9" s="1198" t="n"/>
      <c r="F9" s="1198" t="n"/>
      <c r="G9" s="1198" t="n"/>
      <c r="H9" s="1199" t="n"/>
      <c r="I9" s="1200" t="n"/>
      <c r="L9" s="1182" t="n"/>
      <c r="M9" s="1182" t="n"/>
    </row>
    <row r="10" ht="18" customHeight="1" s="882">
      <c r="A10" s="1196" t="inlineStr">
        <is>
          <t>WFT Product Line</t>
        </is>
      </c>
      <c r="B10" s="1197" t="inlineStr">
        <is>
          <t>Completion</t>
        </is>
      </c>
      <c r="C10" s="1198" t="n"/>
      <c r="D10" s="1198" t="n"/>
      <c r="E10" s="1198" t="n"/>
      <c r="F10" s="1198" t="n"/>
      <c r="G10" s="1198" t="n"/>
      <c r="H10" s="1199" t="n"/>
      <c r="I10" s="1200" t="n"/>
      <c r="L10" s="1182" t="n"/>
      <c r="M10" s="1182" t="n"/>
    </row>
    <row r="11" ht="18" customHeight="1" s="882">
      <c r="A11" s="1201" t="inlineStr">
        <is>
          <t>WFT Contact</t>
        </is>
      </c>
      <c r="B11" s="1202" t="inlineStr">
        <is>
          <t>Samy Ahmed</t>
        </is>
      </c>
      <c r="C11" s="1203" t="n"/>
      <c r="D11" s="1203" t="n"/>
      <c r="E11" s="1203" t="n"/>
      <c r="F11" s="1203" t="n"/>
      <c r="G11" s="1203" t="n"/>
      <c r="H11" s="1204" t="n"/>
      <c r="I11" s="1200" t="n"/>
      <c r="L11" s="1182" t="n"/>
      <c r="M11" s="1182" t="n"/>
    </row>
    <row r="12" ht="40.5" customHeight="1" s="882">
      <c r="M12" s="1205" t="inlineStr">
        <is>
          <t>Mark 'X' Below Coloured Performance Score</t>
        </is>
      </c>
    </row>
    <row r="13" ht="18" customHeight="1" s="882">
      <c r="A13" s="1206" t="inlineStr">
        <is>
          <t>Personnel</t>
        </is>
      </c>
      <c r="B13" s="1207" t="n">
        <v>1</v>
      </c>
      <c r="C13" s="1208" t="n"/>
      <c r="D13" s="1209" t="n">
        <v>2</v>
      </c>
      <c r="E13" s="1208" t="n"/>
      <c r="F13" s="1210" t="n">
        <v>3</v>
      </c>
      <c r="G13" s="1208" t="n"/>
      <c r="H13" s="1211" t="n">
        <v>4</v>
      </c>
      <c r="I13" s="1208" t="n"/>
      <c r="J13" s="1212" t="n">
        <v>5</v>
      </c>
      <c r="K13" s="1208" t="n"/>
      <c r="L13" s="1213" t="n">
        <v>6</v>
      </c>
      <c r="M13" s="1214" t="n"/>
    </row>
    <row r="14" ht="18" customHeight="1" s="882">
      <c r="A14" s="1215" t="n"/>
      <c r="B14" s="1216" t="n"/>
      <c r="C14" s="1217" t="n"/>
      <c r="D14" s="1216" t="n"/>
      <c r="E14" s="1217" t="n"/>
      <c r="F14" s="1216" t="n"/>
      <c r="G14" s="1217" t="n"/>
      <c r="H14" s="1216" t="n"/>
      <c r="I14" s="1217" t="n"/>
      <c r="J14" s="1216" t="n"/>
      <c r="K14" s="1217" t="n"/>
      <c r="L14" s="1218" t="n"/>
      <c r="M14" s="1219" t="n"/>
    </row>
    <row r="15" ht="18" customHeight="1" s="882">
      <c r="A15" s="1215" t="n"/>
      <c r="B15" s="1220" t="inlineStr">
        <is>
          <t>Failure</t>
        </is>
      </c>
      <c r="C15" s="1221" t="n"/>
      <c r="D15" s="1220" t="inlineStr">
        <is>
          <t>Poor</t>
        </is>
      </c>
      <c r="E15" s="1221" t="n"/>
      <c r="F15" s="1220" t="inlineStr">
        <is>
          <t>Mediocre</t>
        </is>
      </c>
      <c r="G15" s="1221" t="n"/>
      <c r="H15" s="1220" t="inlineStr">
        <is>
          <t>Satisfactory</t>
        </is>
      </c>
      <c r="I15" s="1221" t="n"/>
      <c r="J15" s="1220" t="inlineStr">
        <is>
          <t>Good</t>
        </is>
      </c>
      <c r="K15" s="1221" t="n"/>
      <c r="L15" s="1222" t="inlineStr">
        <is>
          <t>Excellent</t>
        </is>
      </c>
      <c r="M15" s="1223" t="n"/>
    </row>
    <row r="16" ht="66" customHeight="1" s="882">
      <c r="A16" s="1224" t="n"/>
      <c r="B16" s="1225" t="inlineStr">
        <is>
          <t xml:space="preserve">Personnel are not sufficiently trained nor competent to provide  the specific service(s) requested.
</t>
        </is>
      </c>
      <c r="C16" s="1224" t="n"/>
      <c r="D16" s="1226" t="inlineStr">
        <is>
          <t>Insufficient trained and competent personnel to provide satisfactory service.</t>
        </is>
      </c>
      <c r="E16" s="1224" t="n"/>
      <c r="F16" s="1226" t="inlineStr">
        <is>
          <t>Personnel were not fully equipped to be able to provide completely satisfactory service.</t>
        </is>
      </c>
      <c r="G16" s="1224" t="n"/>
      <c r="H16" s="1226" t="inlineStr">
        <is>
          <t>Personnel are trained and competent to provide the requested service.</t>
        </is>
      </c>
      <c r="I16" s="1224" t="n"/>
      <c r="J16" s="1226" t="inlineStr">
        <is>
          <t>Personnel are competent and experienced in service provided.</t>
        </is>
      </c>
      <c r="K16" s="1224" t="n"/>
      <c r="L16" s="1227" t="inlineStr">
        <is>
          <t>Disciplined and professional. Performance is amongst the highest relative to peers.</t>
        </is>
      </c>
      <c r="M16" s="1228" t="n"/>
    </row>
    <row r="17" ht="15" customHeight="1" s="882">
      <c r="A17" s="1229" t="n"/>
      <c r="B17" s="1230" t="n"/>
      <c r="C17" s="1230" t="n"/>
      <c r="D17" s="1230" t="n"/>
      <c r="E17" s="1230" t="n"/>
      <c r="F17" s="1230" t="n"/>
      <c r="G17" s="1230" t="n"/>
      <c r="H17" s="1230" t="n"/>
      <c r="I17" s="1230" t="n"/>
      <c r="J17" s="1230" t="n"/>
      <c r="K17" s="1230" t="n"/>
      <c r="L17" s="1230" t="n"/>
      <c r="M17" s="1205" t="inlineStr">
        <is>
          <t>Mark 'X' Below Coloured Performance Score</t>
        </is>
      </c>
    </row>
    <row r="18" ht="18" customHeight="1" s="882">
      <c r="A18" s="1206" t="inlineStr">
        <is>
          <t>Equipment / Service</t>
        </is>
      </c>
      <c r="B18" s="1207" t="n">
        <v>1</v>
      </c>
      <c r="C18" s="1208" t="n"/>
      <c r="D18" s="1209" t="n">
        <v>2</v>
      </c>
      <c r="E18" s="1208" t="n"/>
      <c r="F18" s="1210" t="n">
        <v>3</v>
      </c>
      <c r="G18" s="1208" t="n"/>
      <c r="H18" s="1211" t="n">
        <v>4</v>
      </c>
      <c r="I18" s="1208" t="n"/>
      <c r="J18" s="1212" t="n">
        <v>5</v>
      </c>
      <c r="K18" s="1208" t="n"/>
      <c r="L18" s="1213" t="n">
        <v>6</v>
      </c>
      <c r="M18" s="1214" t="n"/>
    </row>
    <row r="19" ht="18" customHeight="1" s="882">
      <c r="A19" s="1215" t="n"/>
      <c r="B19" s="1216" t="n"/>
      <c r="C19" s="1217" t="n"/>
      <c r="D19" s="1216" t="n"/>
      <c r="E19" s="1217" t="n"/>
      <c r="F19" s="1216" t="n"/>
      <c r="G19" s="1217" t="n"/>
      <c r="H19" s="1216" t="n"/>
      <c r="I19" s="1217" t="n"/>
      <c r="J19" s="1216" t="n"/>
      <c r="K19" s="1217" t="n"/>
      <c r="L19" s="1218" t="n"/>
      <c r="M19" s="1219" t="n"/>
    </row>
    <row r="20" ht="18" customHeight="1" s="882">
      <c r="A20" s="1215" t="n"/>
      <c r="B20" s="1220" t="inlineStr">
        <is>
          <t>Failure</t>
        </is>
      </c>
      <c r="C20" s="1221" t="n"/>
      <c r="D20" s="1220" t="inlineStr">
        <is>
          <t>Poor</t>
        </is>
      </c>
      <c r="E20" s="1221" t="n"/>
      <c r="F20" s="1220" t="inlineStr">
        <is>
          <t>Mediocre</t>
        </is>
      </c>
      <c r="G20" s="1221" t="n"/>
      <c r="H20" s="1220" t="inlineStr">
        <is>
          <t>Satisfactory</t>
        </is>
      </c>
      <c r="I20" s="1221" t="n"/>
      <c r="J20" s="1220" t="inlineStr">
        <is>
          <t>Good</t>
        </is>
      </c>
      <c r="K20" s="1221" t="n"/>
      <c r="L20" s="1222" t="inlineStr">
        <is>
          <t>Excellent</t>
        </is>
      </c>
      <c r="M20" s="1223" t="n"/>
    </row>
    <row r="21" ht="66" customHeight="1" s="882">
      <c r="A21" s="1224" t="n"/>
      <c r="B21" s="1226" t="inlineStr">
        <is>
          <t xml:space="preserve">Equipment/Service not fit for use.
</t>
        </is>
      </c>
      <c r="C21" s="1224" t="n"/>
      <c r="D21" s="1226" t="inlineStr">
        <is>
          <t>Inadequate and/or unreliable equipment/service provided.</t>
        </is>
      </c>
      <c r="E21" s="1224" t="n"/>
      <c r="F21" s="1226" t="inlineStr">
        <is>
          <t xml:space="preserve">Equipment/Service performed but problems were encountered, and level of quality was below expectation. </t>
        </is>
      </c>
      <c r="G21" s="1224" t="n"/>
      <c r="H21" s="1226" t="inlineStr">
        <is>
          <t>The quantity and quality of equipment/service is adequate to provide the service requested.</t>
        </is>
      </c>
      <c r="I21" s="1224" t="n"/>
      <c r="J21" s="1226" t="inlineStr">
        <is>
          <t xml:space="preserve">The equipment/service provided is fit for use, well maintained and reliable. </t>
        </is>
      </c>
      <c r="K21" s="1224" t="n"/>
      <c r="L21" s="1227" t="inlineStr">
        <is>
          <t>Equipment/Service exceeded expectations. Performance is amongst the highest relative to peers.</t>
        </is>
      </c>
      <c r="M21" s="1228" t="n"/>
    </row>
    <row r="22" ht="15" customHeight="1" s="882">
      <c r="A22" s="1229" t="n"/>
      <c r="B22" s="1230" t="n"/>
      <c r="C22" s="1230" t="n"/>
      <c r="D22" s="1230" t="n"/>
      <c r="E22" s="1230" t="n"/>
      <c r="F22" s="1230" t="n"/>
      <c r="G22" s="1230" t="n"/>
      <c r="H22" s="1230" t="n"/>
      <c r="I22" s="1230" t="n"/>
      <c r="J22" s="1230" t="n"/>
      <c r="K22" s="1230" t="n"/>
      <c r="L22" s="1230" t="n"/>
      <c r="M22" s="1205" t="inlineStr">
        <is>
          <t>Mark 'X' Below Coloured Performance Score</t>
        </is>
      </c>
    </row>
    <row r="23" ht="18" customHeight="1" s="882">
      <c r="A23" s="1206" t="inlineStr">
        <is>
          <t>Communication</t>
        </is>
      </c>
      <c r="B23" s="1207" t="n">
        <v>1</v>
      </c>
      <c r="C23" s="1208" t="n"/>
      <c r="D23" s="1209" t="n">
        <v>2</v>
      </c>
      <c r="E23" s="1208" t="n"/>
      <c r="F23" s="1210" t="n">
        <v>3</v>
      </c>
      <c r="G23" s="1208" t="n"/>
      <c r="H23" s="1211" t="n">
        <v>4</v>
      </c>
      <c r="I23" s="1208" t="n"/>
      <c r="J23" s="1212" t="n">
        <v>5</v>
      </c>
      <c r="K23" s="1208" t="n"/>
      <c r="L23" s="1213" t="n">
        <v>6</v>
      </c>
      <c r="M23" s="1214" t="n"/>
    </row>
    <row r="24" ht="18" customHeight="1" s="882">
      <c r="A24" s="1215" t="n"/>
      <c r="B24" s="1216" t="n"/>
      <c r="C24" s="1217" t="n"/>
      <c r="D24" s="1216" t="n"/>
      <c r="E24" s="1217" t="n"/>
      <c r="F24" s="1216" t="n"/>
      <c r="G24" s="1217" t="n"/>
      <c r="H24" s="1216" t="n"/>
      <c r="I24" s="1217" t="n"/>
      <c r="J24" s="1216" t="n"/>
      <c r="K24" s="1217" t="n"/>
      <c r="L24" s="1218" t="n"/>
      <c r="M24" s="1219" t="n"/>
    </row>
    <row r="25" ht="18" customHeight="1" s="882">
      <c r="A25" s="1215" t="n"/>
      <c r="B25" s="1220" t="inlineStr">
        <is>
          <t>Failure</t>
        </is>
      </c>
      <c r="C25" s="1221" t="n"/>
      <c r="D25" s="1220" t="inlineStr">
        <is>
          <t>Poor</t>
        </is>
      </c>
      <c r="E25" s="1221" t="n"/>
      <c r="F25" s="1220" t="inlineStr">
        <is>
          <t>Mediocre</t>
        </is>
      </c>
      <c r="G25" s="1221" t="n"/>
      <c r="H25" s="1220" t="inlineStr">
        <is>
          <t>Satisfactory</t>
        </is>
      </c>
      <c r="I25" s="1221" t="n"/>
      <c r="J25" s="1220" t="inlineStr">
        <is>
          <t>Good</t>
        </is>
      </c>
      <c r="K25" s="1221" t="n"/>
      <c r="L25" s="1222" t="inlineStr">
        <is>
          <t>Excellent</t>
        </is>
      </c>
      <c r="M25" s="1223" t="n"/>
    </row>
    <row r="26" ht="66" customHeight="1" s="882">
      <c r="A26" s="1224" t="n"/>
      <c r="B26" s="1226" t="inlineStr">
        <is>
          <t>Failed to understand customer requirements and/or personnel do not function as a team.</t>
        </is>
      </c>
      <c r="C26" s="1224" t="n"/>
      <c r="D26" s="1226" t="inlineStr">
        <is>
          <t xml:space="preserve">Unsatisfactory communication with customer and/or between team members. </t>
        </is>
      </c>
      <c r="E26" s="1224" t="n"/>
      <c r="F26" s="1226" t="inlineStr">
        <is>
          <t>Low level of communication with customer and between team members.</t>
        </is>
      </c>
      <c r="G26" s="1224" t="n"/>
      <c r="H26" s="1226" t="inlineStr">
        <is>
          <t>Satisfactory communication with customer and between team members.</t>
        </is>
      </c>
      <c r="I26" s="1224" t="n"/>
      <c r="J26" s="1226" t="inlineStr">
        <is>
          <t>Good understanding of customer requirements. Personnel work well as a team.</t>
        </is>
      </c>
      <c r="K26" s="1224" t="n"/>
      <c r="L26" s="1227" t="inlineStr">
        <is>
          <t>Personnel are responsive to customer requirements and foster collaboration amongst all stakeholders</t>
        </is>
      </c>
      <c r="M26" s="1228" t="n"/>
    </row>
    <row r="27" ht="15" customHeight="1" s="882">
      <c r="A27" s="1229" t="n"/>
      <c r="B27" s="1230" t="n"/>
      <c r="C27" s="1230" t="n"/>
      <c r="D27" s="1230" t="n"/>
      <c r="E27" s="1230" t="n"/>
      <c r="F27" s="1230" t="n"/>
      <c r="G27" s="1230" t="n"/>
      <c r="H27" s="1230" t="n"/>
      <c r="I27" s="1230" t="n"/>
      <c r="J27" s="1230" t="n"/>
      <c r="K27" s="1230" t="n"/>
      <c r="L27" s="1230" t="n"/>
      <c r="M27" s="1205" t="inlineStr">
        <is>
          <t>Mark 'X' Below Coloured Performance Score</t>
        </is>
      </c>
    </row>
    <row r="28" ht="18" customHeight="1" s="882">
      <c r="A28" s="1206" t="inlineStr">
        <is>
          <t>HSSE</t>
        </is>
      </c>
      <c r="B28" s="1207" t="n">
        <v>1</v>
      </c>
      <c r="C28" s="1208" t="n"/>
      <c r="D28" s="1209" t="n">
        <v>2</v>
      </c>
      <c r="E28" s="1208" t="n"/>
      <c r="F28" s="1210" t="n">
        <v>3</v>
      </c>
      <c r="G28" s="1208" t="n"/>
      <c r="H28" s="1211" t="n">
        <v>4</v>
      </c>
      <c r="I28" s="1208" t="n"/>
      <c r="J28" s="1212" t="n">
        <v>5</v>
      </c>
      <c r="K28" s="1208" t="n"/>
      <c r="L28" s="1213" t="n">
        <v>6</v>
      </c>
      <c r="M28" s="1214" t="n"/>
    </row>
    <row r="29" ht="18" customHeight="1" s="882">
      <c r="A29" s="1215" t="n"/>
      <c r="B29" s="1231" t="n"/>
      <c r="C29" s="1217" t="n"/>
      <c r="D29" s="1231" t="n"/>
      <c r="E29" s="1217" t="n"/>
      <c r="F29" s="1231" t="n"/>
      <c r="G29" s="1217" t="n"/>
      <c r="H29" s="1231" t="n"/>
      <c r="I29" s="1217" t="n"/>
      <c r="J29" s="1231" t="n"/>
      <c r="K29" s="1217" t="n"/>
      <c r="L29" s="1232" t="n"/>
      <c r="M29" s="1219" t="n"/>
    </row>
    <row r="30" ht="18" customHeight="1" s="882">
      <c r="A30" s="1215" t="n"/>
      <c r="B30" s="1220" t="inlineStr">
        <is>
          <t>Failure</t>
        </is>
      </c>
      <c r="C30" s="1221" t="n"/>
      <c r="D30" s="1220" t="inlineStr">
        <is>
          <t>Poor</t>
        </is>
      </c>
      <c r="E30" s="1221" t="n"/>
      <c r="F30" s="1220" t="inlineStr">
        <is>
          <t>Mediocre</t>
        </is>
      </c>
      <c r="G30" s="1221" t="n"/>
      <c r="H30" s="1220" t="inlineStr">
        <is>
          <t>Satisfactory</t>
        </is>
      </c>
      <c r="I30" s="1221" t="n"/>
      <c r="J30" s="1220" t="inlineStr">
        <is>
          <t>Good</t>
        </is>
      </c>
      <c r="K30" s="1221" t="n"/>
      <c r="L30" s="1222" t="inlineStr">
        <is>
          <t>Excellent</t>
        </is>
      </c>
      <c r="M30" s="1223" t="n"/>
    </row>
    <row r="31" ht="66" customHeight="1" s="882">
      <c r="A31" s="1224" t="n"/>
      <c r="B31" s="1226" t="inlineStr">
        <is>
          <t xml:space="preserve">  Loss and/or damage occurred due to Weatherford.                        Ineffective HSSE processes.</t>
        </is>
      </c>
      <c r="C31" s="1224" t="n"/>
      <c r="D31" s="1226" t="inlineStr">
        <is>
          <t>Loss and/or damage occurred due to Weatherford.                           HSSE processes not followed.</t>
        </is>
      </c>
      <c r="E31" s="1224" t="n"/>
      <c r="F31" s="1226" t="inlineStr">
        <is>
          <t>No loss or damage encountered but HSSE processes were not visible / adhered to.</t>
        </is>
      </c>
      <c r="G31" s="1224" t="n"/>
      <c r="H31" s="1226" t="inlineStr">
        <is>
          <t>No loss or damage due to Weatherford. Effective HSSE processes and adherence.</t>
        </is>
      </c>
      <c r="I31" s="1224" t="n"/>
      <c r="J31" s="1226" t="inlineStr">
        <is>
          <t>All operations conducted in a safe manner, in accordance with Risk Assessment &amp; HSSE Processes.</t>
        </is>
      </c>
      <c r="K31" s="1224" t="n"/>
      <c r="L31" s="1227" t="inlineStr">
        <is>
          <t xml:space="preserve">HSSE performance exceeds expectations. Performance is amongst the highest relative to peers. </t>
        </is>
      </c>
      <c r="M31" s="1228" t="n"/>
    </row>
    <row r="32" ht="15" customHeight="1" s="882">
      <c r="A32" s="1229" t="n"/>
      <c r="B32" s="1230" t="n"/>
      <c r="C32" s="1230" t="n"/>
      <c r="D32" s="1230" t="n"/>
      <c r="E32" s="1230" t="n"/>
      <c r="F32" s="1230" t="n"/>
      <c r="G32" s="1230" t="n"/>
      <c r="H32" s="1230" t="n"/>
      <c r="I32" s="1230" t="n"/>
      <c r="J32" s="1230" t="n"/>
      <c r="K32" s="1230" t="n"/>
      <c r="L32" s="1230" t="n"/>
      <c r="M32" s="1205" t="inlineStr">
        <is>
          <t>Mark 'X' Below Coloured Performance Score</t>
        </is>
      </c>
    </row>
    <row r="33" ht="18" customHeight="1" s="882">
      <c r="A33" s="1206" t="inlineStr">
        <is>
          <t>Overall</t>
        </is>
      </c>
      <c r="B33" s="1207" t="n">
        <v>1</v>
      </c>
      <c r="C33" s="1208" t="n"/>
      <c r="D33" s="1209" t="n">
        <v>2</v>
      </c>
      <c r="E33" s="1208" t="n"/>
      <c r="F33" s="1210" t="n">
        <v>3</v>
      </c>
      <c r="G33" s="1208" t="n"/>
      <c r="H33" s="1211" t="n">
        <v>4</v>
      </c>
      <c r="I33" s="1208" t="n"/>
      <c r="J33" s="1212" t="n">
        <v>5</v>
      </c>
      <c r="K33" s="1208" t="n"/>
      <c r="L33" s="1213" t="n">
        <v>6</v>
      </c>
      <c r="M33" s="1214" t="n"/>
    </row>
    <row r="34" ht="18" customHeight="1" s="882">
      <c r="A34" s="1215" t="n"/>
      <c r="B34" s="1216" t="n"/>
      <c r="C34" s="1217" t="n"/>
      <c r="D34" s="1216" t="n"/>
      <c r="E34" s="1217" t="n"/>
      <c r="F34" s="1216" t="n"/>
      <c r="G34" s="1217" t="n"/>
      <c r="H34" s="1216" t="n"/>
      <c r="I34" s="1217" t="n"/>
      <c r="J34" s="1216" t="n"/>
      <c r="K34" s="1217" t="n"/>
      <c r="L34" s="1218" t="n"/>
      <c r="M34" s="1219" t="n"/>
    </row>
    <row r="35" ht="18" customHeight="1" s="882">
      <c r="A35" s="1215" t="n"/>
      <c r="B35" s="1220" t="inlineStr">
        <is>
          <t>Failure</t>
        </is>
      </c>
      <c r="C35" s="1221" t="n"/>
      <c r="D35" s="1220" t="inlineStr">
        <is>
          <t>Poor</t>
        </is>
      </c>
      <c r="E35" s="1221" t="n"/>
      <c r="F35" s="1220" t="inlineStr">
        <is>
          <t>Mediocre</t>
        </is>
      </c>
      <c r="G35" s="1221" t="n"/>
      <c r="H35" s="1220" t="inlineStr">
        <is>
          <t>Satisfactory</t>
        </is>
      </c>
      <c r="I35" s="1221" t="n"/>
      <c r="J35" s="1220" t="inlineStr">
        <is>
          <t>Good</t>
        </is>
      </c>
      <c r="K35" s="1221" t="n"/>
      <c r="L35" s="1222" t="inlineStr">
        <is>
          <t>Excellent</t>
        </is>
      </c>
      <c r="M35" s="1223" t="n"/>
    </row>
    <row r="36" ht="66" customHeight="1" s="882">
      <c r="A36" s="1224" t="n"/>
      <c r="B36" s="1226" t="inlineStr">
        <is>
          <t>The overall level of service does not meet expectations and is amongst the lowest relative to peers.</t>
        </is>
      </c>
      <c r="C36" s="1224" t="n"/>
      <c r="D36" s="1226" t="inlineStr">
        <is>
          <t xml:space="preserve"> The overall level of service does not meet expectations</t>
        </is>
      </c>
      <c r="E36" s="1224" t="n"/>
      <c r="F36" s="1226" t="inlineStr">
        <is>
          <t>The requirements were met but overall service quality was below expectation.</t>
        </is>
      </c>
      <c r="G36" s="1224" t="n"/>
      <c r="H36" s="1226" t="inlineStr">
        <is>
          <t>The level of service provided conforms to mutually agreed requirements, the first time.</t>
        </is>
      </c>
      <c r="I36" s="1224" t="n"/>
      <c r="J36" s="1226" t="inlineStr">
        <is>
          <t>The overall level of service is good and exceeded expectations in some area.</t>
        </is>
      </c>
      <c r="K36" s="1224" t="n"/>
      <c r="L36" s="1227" t="inlineStr">
        <is>
          <t xml:space="preserve">Level of service provided exceeds expectations and is amongst the highest relative to peers. </t>
        </is>
      </c>
      <c r="M36" s="1228" t="n"/>
    </row>
    <row r="37" ht="15" customHeight="1" s="882">
      <c r="A37" s="1233" t="n"/>
      <c r="B37" s="1230" t="n"/>
      <c r="C37" s="1230" t="n"/>
      <c r="D37" s="1230" t="n"/>
      <c r="E37" s="1230" t="n"/>
      <c r="F37" s="1230" t="n"/>
      <c r="G37" s="1230" t="n"/>
      <c r="H37" s="1230" t="n"/>
      <c r="I37" s="1230" t="n"/>
      <c r="J37" s="1230" t="n"/>
      <c r="K37" s="1230" t="n"/>
      <c r="L37" s="1230" t="n"/>
      <c r="M37" s="1230" t="n"/>
    </row>
    <row r="38" ht="18" customHeight="1" s="882">
      <c r="A38" s="1234" t="inlineStr">
        <is>
          <t xml:space="preserve">How Can We Improve?
</t>
        </is>
      </c>
      <c r="B38" s="1235" t="n"/>
      <c r="C38" s="1235" t="n"/>
      <c r="D38" s="1235" t="n"/>
      <c r="E38" s="1235" t="n"/>
      <c r="F38" s="1235" t="n"/>
      <c r="G38" s="1236" t="n"/>
      <c r="H38" s="1236" t="n"/>
      <c r="I38" s="1236" t="n"/>
      <c r="J38" s="1236" t="n"/>
      <c r="K38" s="1236" t="n"/>
      <c r="L38" s="1236" t="n"/>
      <c r="M38" s="1236" t="n"/>
    </row>
    <row r="39" ht="18" customHeight="1" s="882">
      <c r="B39" s="1237" t="n"/>
      <c r="C39" s="1025" t="n"/>
      <c r="D39" s="1025" t="n"/>
      <c r="E39" s="1025" t="n"/>
      <c r="F39" s="1025" t="n"/>
      <c r="G39" s="1025" t="n"/>
      <c r="H39" s="1025" t="n"/>
      <c r="I39" s="1025" t="n"/>
      <c r="J39" s="1025" t="n"/>
      <c r="K39" s="1025" t="n"/>
      <c r="L39" s="1025" t="n"/>
      <c r="M39" s="1238" t="n"/>
    </row>
    <row r="40" ht="84" customHeight="1" s="882">
      <c r="A40" s="1239" t="n"/>
      <c r="B40" s="1240" t="n"/>
      <c r="C40" s="1241" t="n"/>
      <c r="D40" s="1241" t="n"/>
      <c r="E40" s="1241" t="n"/>
      <c r="F40" s="1241" t="n"/>
      <c r="G40" s="1241" t="n"/>
      <c r="H40" s="1241" t="n"/>
      <c r="I40" s="1241" t="n"/>
      <c r="J40" s="1241" t="n"/>
      <c r="K40" s="1241" t="n"/>
      <c r="L40" s="1241" t="n"/>
      <c r="M40" s="1242" t="n"/>
    </row>
    <row r="41" ht="13.5" customFormat="1" customHeight="1" s="1243">
      <c r="A41" s="1244" t="n"/>
      <c r="B41" s="1245" t="n"/>
      <c r="C41" s="1245" t="n"/>
      <c r="D41" s="1245" t="n"/>
      <c r="E41" s="1245" t="n"/>
      <c r="F41" s="1245" t="n"/>
      <c r="G41" s="1245" t="n"/>
      <c r="H41" s="1245" t="n"/>
      <c r="I41" s="1245" t="n"/>
      <c r="J41" s="1245" t="n"/>
      <c r="K41" s="1245" t="n"/>
      <c r="L41" s="1245" t="n"/>
      <c r="M41" s="1245" t="n"/>
    </row>
    <row r="42" ht="13.5" customFormat="1" customHeight="1" s="1243">
      <c r="A42" s="1244" t="n"/>
      <c r="B42" s="1245" t="n"/>
      <c r="C42" s="1245" t="n"/>
      <c r="D42" s="1245" t="n"/>
      <c r="E42" s="1245" t="n"/>
      <c r="F42" s="1245" t="n"/>
      <c r="G42" s="1245" t="n"/>
      <c r="H42" s="1245" t="n"/>
      <c r="I42" s="1245" t="n"/>
      <c r="J42" s="1245" t="n"/>
      <c r="K42" s="1246" t="inlineStr">
        <is>
          <t>NOTE: Although care has been taken in preparing the following survey, Weatherford cannot be held responsible for any errors or omissions in the survey and accept no liability whatsoever for any consequences arising from completing this survey. The company reserves the right to make changes to or take down this survey, or remove or alter any content at any time without notice. The information collected in relation to this survey will be used for research into customer satisfaction only. No third party access will be given to the data, not the personal information, collected as part of this survey.</t>
        </is>
      </c>
    </row>
    <row r="43" ht="13.5" customFormat="1" customHeight="1" s="1243">
      <c r="A43" s="1244" t="n"/>
      <c r="B43" s="1245" t="n"/>
      <c r="C43" s="1245" t="n"/>
      <c r="D43" s="1245" t="n"/>
      <c r="E43" s="1245" t="n"/>
      <c r="F43" s="1245" t="n"/>
      <c r="G43" s="1245" t="n"/>
      <c r="H43" s="1245" t="n"/>
      <c r="I43" s="1245" t="n"/>
      <c r="J43" s="1245" t="n"/>
    </row>
    <row r="44" ht="13.5" customFormat="1" customHeight="1" s="1243">
      <c r="A44" s="1247">
        <f>'Master Data'!B4</f>
        <v/>
      </c>
      <c r="E44" s="1245" t="n"/>
      <c r="F44" s="1247">
        <f>'Master Data'!B21</f>
        <v/>
      </c>
      <c r="J44" s="1245" t="n"/>
    </row>
    <row r="45" ht="13.5" customFormat="1" customHeight="1" s="1243">
      <c r="A45" s="917" t="n"/>
      <c r="B45" s="917" t="n"/>
      <c r="C45" s="917" t="n"/>
      <c r="D45" s="917" t="n"/>
      <c r="E45" s="1245" t="n"/>
      <c r="F45" s="917" t="n"/>
      <c r="G45" s="917" t="n"/>
      <c r="H45" s="917" t="n"/>
      <c r="I45" s="917" t="n"/>
      <c r="J45" s="1248" t="n"/>
    </row>
    <row r="46" ht="13.5" customFormat="1" customHeight="1" s="1243">
      <c r="A46" s="1249" t="inlineStr">
        <is>
          <t>Customer Representative</t>
        </is>
      </c>
      <c r="B46" s="1250" t="n"/>
      <c r="C46" s="1250" t="n"/>
      <c r="D46" s="1250" t="n"/>
      <c r="E46" s="1251" t="n"/>
      <c r="F46" s="1249" t="inlineStr">
        <is>
          <t>Weatherford Representative</t>
        </is>
      </c>
      <c r="G46" s="1251" t="n"/>
      <c r="H46" s="1251" t="n"/>
      <c r="I46" s="1251" t="n"/>
    </row>
    <row r="47" ht="23.25" customFormat="1" customHeight="1" s="1243">
      <c r="A47" s="1252" t="n"/>
      <c r="B47" s="1251" t="n"/>
      <c r="C47" s="1251" t="n"/>
      <c r="D47" s="1251" t="n"/>
      <c r="E47" s="1251" t="n"/>
      <c r="F47" s="1251" t="n"/>
      <c r="G47" s="1251" t="n"/>
      <c r="H47" s="1251" t="n"/>
      <c r="I47" s="1251" t="n"/>
      <c r="J47" s="1245" t="n"/>
    </row>
    <row r="48" ht="13.5" customFormat="1" customHeight="1" s="1243">
      <c r="A48" s="1247" t="n"/>
      <c r="E48" s="1251" t="n"/>
      <c r="F48" s="1247" t="n"/>
      <c r="J48" s="1245" t="n"/>
    </row>
    <row r="49" ht="13.5" customFormat="1" customHeight="1" s="1243">
      <c r="A49" s="917" t="n"/>
      <c r="B49" s="917" t="n"/>
      <c r="C49" s="917" t="n"/>
      <c r="D49" s="917" t="n"/>
      <c r="E49" s="1251" t="n"/>
      <c r="F49" s="917" t="n"/>
      <c r="G49" s="917" t="n"/>
      <c r="H49" s="917" t="n"/>
      <c r="I49" s="917" t="n"/>
      <c r="J49" s="1248" t="n"/>
    </row>
    <row r="50" ht="13.5" customFormat="1" customHeight="1" s="1243">
      <c r="A50" s="1249" t="inlineStr">
        <is>
          <t>Signature</t>
        </is>
      </c>
      <c r="B50" s="1250" t="inlineStr">
        <is>
          <t> </t>
        </is>
      </c>
      <c r="C50" s="1250" t="n"/>
      <c r="D50" s="1250" t="n"/>
      <c r="E50" s="1251" t="n"/>
      <c r="F50" s="1249" t="inlineStr">
        <is>
          <t>Signature</t>
        </is>
      </c>
      <c r="G50" s="1251" t="n"/>
      <c r="H50" s="1251" t="n"/>
      <c r="I50" s="1251" t="n"/>
    </row>
    <row r="51" ht="13.5" customFormat="1" customHeight="1" s="1243">
      <c r="A51" s="1244" t="n"/>
      <c r="B51" s="1245" t="n"/>
      <c r="C51" s="1245" t="n"/>
      <c r="D51" s="1245" t="n"/>
      <c r="E51" s="1245" t="n"/>
      <c r="F51" s="1245" t="n"/>
      <c r="G51" s="1245" t="n"/>
      <c r="H51" s="1245" t="n"/>
      <c r="I51" s="1245" t="n"/>
      <c r="J51" s="1245" t="n"/>
    </row>
    <row r="52" ht="12.75" customFormat="1" customHeight="1" s="1243">
      <c r="A52" s="1244" t="n"/>
      <c r="B52" s="1253" t="n"/>
      <c r="C52" s="1253" t="n"/>
      <c r="D52" s="1253" t="n"/>
      <c r="E52" s="1253" t="n"/>
      <c r="F52" s="1253" t="n"/>
      <c r="G52" s="1253" t="n"/>
      <c r="H52" s="1253" t="n"/>
      <c r="I52" s="1253" t="n"/>
      <c r="J52" s="1253" t="n"/>
    </row>
    <row r="53" ht="13.5" customHeight="1" s="882">
      <c r="A53" s="1254" t="inlineStr">
        <is>
          <t>©2020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row r="54" ht="13.5" customHeight="1" s="882"/>
    <row r="55" ht="13.5" customHeight="1" s="882"/>
  </sheetData>
  <sheetProtection selectLockedCells="0" selectUnlockedCells="0" algorithmName="SHA-512" sheet="1" objects="1" insertRows="1" insertHyperlinks="1" autoFilter="1" scenarios="1" formatColumns="0" deleteColumns="1" insertColumns="1" pivotTables="1" deleteRows="1" formatCells="0" saltValue="cIsuOOE6Z7wY1wrEwfjRjQ==" formatRows="0" sort="1" spinCount="100000" hashValue="1Z9zNuDy2f2VfOYG4AX10eoKNh6GcXc9rNmzFUg9T9DaC8oTP+gVtaeeEAiP6DifZE1hYvGQMK4+Jr/CT7krJA=="/>
  <mergeCells count="154">
    <mergeCell ref="L2:M2"/>
    <mergeCell ref="D20:E20"/>
    <mergeCell ref="H35:I35"/>
    <mergeCell ref="F29:G29"/>
    <mergeCell ref="F16:G16"/>
    <mergeCell ref="F25:G25"/>
    <mergeCell ref="J19:K19"/>
    <mergeCell ref="L19:M19"/>
    <mergeCell ref="J28:K28"/>
    <mergeCell ref="B31:C31"/>
    <mergeCell ref="D36:E36"/>
    <mergeCell ref="D31:E31"/>
    <mergeCell ref="L28:M28"/>
    <mergeCell ref="A38:A40"/>
    <mergeCell ref="L3:M3"/>
    <mergeCell ref="B21:C21"/>
    <mergeCell ref="F15:G15"/>
    <mergeCell ref="D13:E13"/>
    <mergeCell ref="B14:C14"/>
    <mergeCell ref="L14:M14"/>
    <mergeCell ref="B13:C13"/>
    <mergeCell ref="A18:A21"/>
    <mergeCell ref="L29:M29"/>
    <mergeCell ref="F23:G23"/>
    <mergeCell ref="J31:K31"/>
    <mergeCell ref="B11:H11"/>
    <mergeCell ref="F13:G13"/>
    <mergeCell ref="L31:M31"/>
    <mergeCell ref="H13:I13"/>
    <mergeCell ref="J21:K21"/>
    <mergeCell ref="B24:C24"/>
    <mergeCell ref="L21:M21"/>
    <mergeCell ref="D24:E24"/>
    <mergeCell ref="B33:C33"/>
    <mergeCell ref="D33:E33"/>
    <mergeCell ref="H15:I15"/>
    <mergeCell ref="H23:I23"/>
    <mergeCell ref="B26:C26"/>
    <mergeCell ref="J23:K23"/>
    <mergeCell ref="D26:E26"/>
    <mergeCell ref="B35:C35"/>
    <mergeCell ref="D35:E35"/>
    <mergeCell ref="B16:C16"/>
    <mergeCell ref="B25:C25"/>
    <mergeCell ref="B3:C3"/>
    <mergeCell ref="L16:M16"/>
    <mergeCell ref="D19:E19"/>
    <mergeCell ref="F19:G19"/>
    <mergeCell ref="D34:E34"/>
    <mergeCell ref="F34:G34"/>
    <mergeCell ref="B6:H6"/>
    <mergeCell ref="B18:C18"/>
    <mergeCell ref="H25:I25"/>
    <mergeCell ref="H34:I34"/>
    <mergeCell ref="B2:C2"/>
    <mergeCell ref="F30:G30"/>
    <mergeCell ref="J34:K34"/>
    <mergeCell ref="D2:E2"/>
    <mergeCell ref="F20:G20"/>
    <mergeCell ref="F18:G18"/>
    <mergeCell ref="F33:G33"/>
    <mergeCell ref="B7:H7"/>
    <mergeCell ref="H36:I36"/>
    <mergeCell ref="J36:K36"/>
    <mergeCell ref="L30:M30"/>
    <mergeCell ref="J20:K20"/>
    <mergeCell ref="A23:A26"/>
    <mergeCell ref="B29:C29"/>
    <mergeCell ref="L20:M20"/>
    <mergeCell ref="F31:G31"/>
    <mergeCell ref="H19:I19"/>
    <mergeCell ref="F28:G28"/>
    <mergeCell ref="H28:I28"/>
    <mergeCell ref="H3:I3"/>
    <mergeCell ref="J3:K3"/>
    <mergeCell ref="B8:H8"/>
    <mergeCell ref="B1:K1"/>
    <mergeCell ref="B15:C15"/>
    <mergeCell ref="D15:E15"/>
    <mergeCell ref="D29:E29"/>
    <mergeCell ref="D23:E23"/>
    <mergeCell ref="B10:H10"/>
    <mergeCell ref="H14:I14"/>
    <mergeCell ref="J29:K29"/>
    <mergeCell ref="B9:H9"/>
    <mergeCell ref="H31:I31"/>
    <mergeCell ref="B5:H5"/>
    <mergeCell ref="F21:G21"/>
    <mergeCell ref="H21:I21"/>
    <mergeCell ref="J24:K24"/>
    <mergeCell ref="A53:M55"/>
    <mergeCell ref="L24:M24"/>
    <mergeCell ref="L18:M18"/>
    <mergeCell ref="L33:M33"/>
    <mergeCell ref="F36:G36"/>
    <mergeCell ref="J26:K26"/>
    <mergeCell ref="L26:M26"/>
    <mergeCell ref="F2:G2"/>
    <mergeCell ref="J35:K35"/>
    <mergeCell ref="H2:I2"/>
    <mergeCell ref="L35:M35"/>
    <mergeCell ref="H16:I16"/>
    <mergeCell ref="J16:K16"/>
    <mergeCell ref="B19:C19"/>
    <mergeCell ref="B34:C34"/>
    <mergeCell ref="J25:K25"/>
    <mergeCell ref="B28:C28"/>
    <mergeCell ref="L25:M25"/>
    <mergeCell ref="D28:E28"/>
    <mergeCell ref="D3:E3"/>
    <mergeCell ref="D25:E25"/>
    <mergeCell ref="A13:A16"/>
    <mergeCell ref="A44:D45"/>
    <mergeCell ref="B30:C30"/>
    <mergeCell ref="D30:E30"/>
    <mergeCell ref="K42:M52"/>
    <mergeCell ref="J2:K2"/>
    <mergeCell ref="B20:C20"/>
    <mergeCell ref="A28:A31"/>
    <mergeCell ref="D14:E14"/>
    <mergeCell ref="F14:G14"/>
    <mergeCell ref="H30:I30"/>
    <mergeCell ref="A48:D49"/>
    <mergeCell ref="F44:I45"/>
    <mergeCell ref="H20:I20"/>
    <mergeCell ref="H29:I29"/>
    <mergeCell ref="J14:K14"/>
    <mergeCell ref="J13:K13"/>
    <mergeCell ref="L13:M13"/>
    <mergeCell ref="D21:E21"/>
    <mergeCell ref="F3:G3"/>
    <mergeCell ref="J30:K30"/>
    <mergeCell ref="F24:G24"/>
    <mergeCell ref="J15:K15"/>
    <mergeCell ref="L15:M15"/>
    <mergeCell ref="B23:C23"/>
    <mergeCell ref="L23:M23"/>
    <mergeCell ref="F26:G26"/>
    <mergeCell ref="A33:A36"/>
    <mergeCell ref="F35:G35"/>
    <mergeCell ref="D16:E16"/>
    <mergeCell ref="L1:M1"/>
    <mergeCell ref="B39:M40"/>
    <mergeCell ref="D18:E18"/>
    <mergeCell ref="L34:M34"/>
    <mergeCell ref="F48:I49"/>
    <mergeCell ref="H24:I24"/>
    <mergeCell ref="H18:I18"/>
    <mergeCell ref="H33:I33"/>
    <mergeCell ref="J18:K18"/>
    <mergeCell ref="J33:K33"/>
    <mergeCell ref="B36:C36"/>
    <mergeCell ref="L36:M36"/>
    <mergeCell ref="H26:I26"/>
  </mergeCells>
  <printOptions horizontalCentered="0" verticalCentered="0" headings="0" gridLines="0" gridLinesSet="1"/>
  <pageMargins left="0.2" right="0" top="0.2" bottom="0" header="0.511811023622047" footer="0.511811023622047"/>
  <pageSetup orientation="portrait" paperSize="1" scale="57" fitToHeight="1" fitToWidth="1" pageOrder="downThenOver" blackAndWhite="0" draft="0" horizontalDpi="300" verticalDpi="300" copies="1"/>
  <drawing xmlns:r="http://schemas.openxmlformats.org/officeDocument/2006/relationships" r:id="rId1"/>
</worksheet>
</file>

<file path=xl/worksheets/sheet7.xml><?xml version="1.0" encoding="utf-8"?>
<worksheet xmlns="http://schemas.openxmlformats.org/spreadsheetml/2006/main">
  <sheetPr filterMode="0">
    <outlinePr summaryBelow="1" summaryRight="1"/>
    <pageSetUpPr fitToPage="1"/>
  </sheetPr>
  <dimension ref="A1:CB43"/>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Y17" activeCellId="1" sqref="A11:S58 Y17"/>
    </sheetView>
  </sheetViews>
  <sheetFormatPr baseColWidth="8" defaultColWidth="9.11328125" defaultRowHeight="14.25" customHeight="0" zeroHeight="0" outlineLevelRow="0"/>
  <cols>
    <col width="1.66" customWidth="1" style="1255" min="1" max="1"/>
    <col width="25.89" customWidth="1" style="1255" min="2" max="2"/>
    <col width="29.56" customWidth="1" style="1255" min="3" max="3"/>
    <col width="3.55" customWidth="1" style="1255" min="4" max="4"/>
    <col width="3.67" customWidth="1" style="1255" min="5" max="5"/>
    <col width="3.55" customWidth="1" style="1255" min="6" max="40"/>
    <col width="13.11" customWidth="1" style="1255" min="41" max="41"/>
    <col width="1.66" customWidth="1" style="1255" min="42" max="42"/>
    <col width="9.109999999999999" customWidth="1" style="1255" min="43" max="43"/>
    <col hidden="1" width="9.109999999999999" customWidth="1" style="1255" min="44" max="80"/>
    <col width="9.109999999999999" customWidth="1" style="1255" min="81" max="16384"/>
  </cols>
  <sheetData>
    <row r="1" ht="6.75" customHeight="1" s="882">
      <c r="A1" s="1256" t="n"/>
      <c r="B1" s="1256" t="n"/>
      <c r="C1" s="1256" t="n"/>
      <c r="D1" s="1256" t="n"/>
      <c r="E1" s="1256" t="n"/>
      <c r="F1" s="1256" t="n"/>
      <c r="G1" s="1256" t="n"/>
      <c r="H1" s="1256" t="n"/>
      <c r="I1" s="1256" t="n"/>
      <c r="J1" s="1256" t="n"/>
      <c r="K1" s="1256" t="n"/>
      <c r="L1" s="1256" t="n"/>
      <c r="M1" s="1256" t="n"/>
      <c r="N1" s="1256" t="n"/>
      <c r="O1" s="1256" t="n"/>
      <c r="P1" s="1256" t="n"/>
      <c r="Q1" s="1256" t="n"/>
      <c r="R1" s="1256" t="n"/>
      <c r="S1" s="1256" t="n"/>
      <c r="T1" s="1256" t="n"/>
      <c r="U1" s="1256" t="n"/>
      <c r="V1" s="1256" t="n"/>
      <c r="W1" s="1256" t="n"/>
      <c r="X1" s="1256" t="n"/>
      <c r="Y1" s="1256" t="n"/>
      <c r="Z1" s="1256" t="n"/>
      <c r="AA1" s="1256" t="n"/>
      <c r="AB1" s="1256" t="n"/>
      <c r="AC1" s="1256" t="n"/>
      <c r="AD1" s="1256" t="n"/>
      <c r="AE1" s="1256" t="n"/>
      <c r="AF1" s="1256" t="n"/>
      <c r="AG1" s="1256" t="n"/>
      <c r="AH1" s="1256" t="n"/>
      <c r="AI1" s="1256" t="n"/>
      <c r="AJ1" s="1256" t="n"/>
      <c r="AK1" s="1256" t="n"/>
      <c r="AL1" s="1256" t="n"/>
      <c r="AM1" s="1256" t="n"/>
      <c r="AN1" s="1256" t="n"/>
      <c r="AO1" s="1256" t="n"/>
      <c r="AP1" s="1256" t="n"/>
    </row>
    <row r="2" ht="28.5" customHeight="1" s="882">
      <c r="A2" s="1256" t="n"/>
      <c r="B2" s="1257" t="n"/>
      <c r="C2" s="1258" t="inlineStr">
        <is>
          <t>PERSONNEL AND EQUIPMENT TIMESHEET</t>
        </is>
      </c>
      <c r="D2" s="1259" t="n"/>
      <c r="E2" s="1259" t="n"/>
      <c r="F2" s="1259" t="n"/>
      <c r="G2" s="1259" t="n"/>
      <c r="H2" s="1259" t="n"/>
      <c r="I2" s="1259" t="n"/>
      <c r="J2" s="1259" t="n"/>
      <c r="K2" s="1259" t="n"/>
      <c r="L2" s="1259" t="n"/>
      <c r="M2" s="1259" t="n"/>
      <c r="N2" s="1259" t="n"/>
      <c r="O2" s="1259" t="n"/>
      <c r="P2" s="1259" t="n"/>
      <c r="Q2" s="1259" t="n"/>
      <c r="R2" s="1259" t="n"/>
      <c r="S2" s="1259" t="n"/>
      <c r="T2" s="1259" t="n"/>
      <c r="U2" s="1259" t="n"/>
      <c r="V2" s="1259" t="n"/>
      <c r="W2" s="1259" t="n"/>
      <c r="X2" s="1259" t="n"/>
      <c r="Y2" s="1259" t="n"/>
      <c r="Z2" s="1259" t="n"/>
      <c r="AA2" s="1259" t="n"/>
      <c r="AB2" s="1259" t="n"/>
      <c r="AC2" s="1259" t="n"/>
      <c r="AD2" s="1259" t="n"/>
      <c r="AE2" s="1259" t="n"/>
      <c r="AF2" s="1259" t="n"/>
      <c r="AG2" s="1259" t="n"/>
      <c r="AH2" s="1259" t="n"/>
      <c r="AI2" s="1259" t="n"/>
      <c r="AJ2" s="1259" t="n"/>
      <c r="AK2" s="1259" t="n"/>
      <c r="AL2" s="1259" t="n"/>
      <c r="AM2" s="1260" t="n"/>
      <c r="AN2" s="1261" t="n"/>
      <c r="AO2" s="1262" t="n"/>
      <c r="AP2" s="1256" t="n"/>
    </row>
    <row r="3" ht="10.5" customHeight="1" s="882">
      <c r="A3" s="1256" t="n"/>
      <c r="B3" s="1263" t="n"/>
      <c r="C3" s="1264" t="inlineStr">
        <is>
          <t xml:space="preserve">Document Number </t>
        </is>
      </c>
      <c r="D3" s="1264" t="inlineStr">
        <is>
          <t xml:space="preserve">Function/ Devesion </t>
        </is>
      </c>
      <c r="E3" s="1259" t="n"/>
      <c r="F3" s="1259" t="n"/>
      <c r="G3" s="1259" t="n"/>
      <c r="H3" s="1259" t="n"/>
      <c r="I3" s="1265" t="n"/>
      <c r="J3" s="1264" t="inlineStr">
        <is>
          <t xml:space="preserve">Owner </t>
        </is>
      </c>
      <c r="K3" s="1259" t="n"/>
      <c r="L3" s="1259" t="n"/>
      <c r="M3" s="1259" t="n"/>
      <c r="N3" s="1259" t="n"/>
      <c r="O3" s="1265" t="n"/>
      <c r="P3" s="1264" t="inlineStr">
        <is>
          <t>SQ Review</t>
        </is>
      </c>
      <c r="Q3" s="1259" t="n"/>
      <c r="R3" s="1259" t="n"/>
      <c r="S3" s="1259" t="n"/>
      <c r="T3" s="1259" t="n"/>
      <c r="U3" s="1265" t="n"/>
      <c r="V3" s="1264" t="inlineStr">
        <is>
          <t xml:space="preserve">Approved by </t>
        </is>
      </c>
      <c r="W3" s="1259" t="n"/>
      <c r="X3" s="1259" t="n"/>
      <c r="Y3" s="1259" t="n"/>
      <c r="Z3" s="1259" t="n"/>
      <c r="AA3" s="1265" t="n"/>
      <c r="AB3" s="1264" t="inlineStr">
        <is>
          <t xml:space="preserve">Rev Date </t>
        </is>
      </c>
      <c r="AC3" s="1259" t="n"/>
      <c r="AD3" s="1259" t="n"/>
      <c r="AE3" s="1259" t="n"/>
      <c r="AF3" s="1259" t="n"/>
      <c r="AG3" s="1265" t="n"/>
      <c r="AH3" s="1264" t="inlineStr">
        <is>
          <t xml:space="preserve">Rev # </t>
        </is>
      </c>
      <c r="AI3" s="1259" t="n"/>
      <c r="AJ3" s="1259" t="n"/>
      <c r="AK3" s="1259" t="n"/>
      <c r="AL3" s="1265" t="n"/>
      <c r="AM3" s="1266" t="n"/>
      <c r="AN3" s="1267" t="n"/>
      <c r="AO3" s="1268" t="n"/>
      <c r="AP3" s="1256" t="n"/>
    </row>
    <row r="4" ht="11.25" customHeight="1" s="882">
      <c r="A4" s="1256" t="n"/>
      <c r="B4" s="1263" t="n"/>
      <c r="C4" s="1269" t="inlineStr">
        <is>
          <t>UAE-COMP-OEPS-L5-036</t>
        </is>
      </c>
      <c r="D4" s="1270" t="inlineStr">
        <is>
          <t xml:space="preserve">Completion </t>
        </is>
      </c>
      <c r="E4" s="1259" t="n"/>
      <c r="F4" s="1259" t="n"/>
      <c r="G4" s="1259" t="n"/>
      <c r="H4" s="1259" t="n"/>
      <c r="I4" s="1265" t="n"/>
      <c r="J4" s="1270" t="inlineStr">
        <is>
          <t>Hamed Hassan</t>
        </is>
      </c>
      <c r="K4" s="1259" t="n"/>
      <c r="L4" s="1259" t="n"/>
      <c r="M4" s="1259" t="n"/>
      <c r="N4" s="1259" t="n"/>
      <c r="O4" s="1265" t="n"/>
      <c r="P4" s="1270" t="inlineStr">
        <is>
          <t xml:space="preserve">Lambi Leslie </t>
        </is>
      </c>
      <c r="Q4" s="1259" t="n"/>
      <c r="R4" s="1259" t="n"/>
      <c r="S4" s="1259" t="n"/>
      <c r="T4" s="1259" t="n"/>
      <c r="U4" s="1265" t="n"/>
      <c r="V4" s="1270" t="inlineStr">
        <is>
          <t>Bassem Mahmoud</t>
        </is>
      </c>
      <c r="W4" s="1259" t="n"/>
      <c r="X4" s="1259" t="n"/>
      <c r="Y4" s="1259" t="n"/>
      <c r="Z4" s="1259" t="n"/>
      <c r="AA4" s="1265" t="n"/>
      <c r="AB4" s="1271" t="n">
        <v>45627</v>
      </c>
      <c r="AC4" s="1259" t="n"/>
      <c r="AD4" s="1259" t="n"/>
      <c r="AE4" s="1259" t="n"/>
      <c r="AF4" s="1259" t="n"/>
      <c r="AG4" s="1265" t="n"/>
      <c r="AH4" s="1270" t="n">
        <v>1</v>
      </c>
      <c r="AI4" s="1259" t="n"/>
      <c r="AJ4" s="1259" t="n"/>
      <c r="AK4" s="1259" t="n"/>
      <c r="AL4" s="1265" t="n"/>
      <c r="AM4" s="1266" t="n"/>
      <c r="AN4" s="1267" t="n"/>
      <c r="AO4" s="1268" t="n"/>
      <c r="AP4" s="1256" t="n"/>
    </row>
    <row r="5" ht="19.5" customHeight="1" s="882">
      <c r="A5" s="1256" t="n"/>
      <c r="B5" s="1263" t="n"/>
      <c r="C5" s="1272" t="inlineStr">
        <is>
          <t xml:space="preserve">Field : </t>
        </is>
      </c>
      <c r="D5" s="1273">
        <f>'Master Data'!E8</f>
        <v/>
      </c>
      <c r="E5" s="1259" t="n"/>
      <c r="F5" s="1259" t="n"/>
      <c r="G5" s="1259" t="n"/>
      <c r="H5" s="1265" t="n"/>
      <c r="I5" s="1274" t="inlineStr">
        <is>
          <t xml:space="preserve">Contract # : </t>
        </is>
      </c>
      <c r="J5" s="1259" t="n"/>
      <c r="K5" s="1259" t="n"/>
      <c r="L5" s="1259" t="n"/>
      <c r="M5" s="1259" t="n"/>
      <c r="N5" s="1259" t="n"/>
      <c r="O5" s="1265" t="n"/>
      <c r="P5" s="1275">
        <f>'Master Data'!B10</f>
        <v/>
      </c>
      <c r="Q5" s="1259" t="n"/>
      <c r="R5" s="1259" t="n"/>
      <c r="S5" s="1259" t="n"/>
      <c r="T5" s="1259" t="n"/>
      <c r="U5" s="1259" t="n"/>
      <c r="V5" s="1274" t="inlineStr">
        <is>
          <t>FTL / Service Ticket #:</t>
        </is>
      </c>
      <c r="W5" s="1259" t="n"/>
      <c r="X5" s="1259" t="n"/>
      <c r="Y5" s="1259" t="n"/>
      <c r="Z5" s="1259" t="n"/>
      <c r="AA5" s="1265" t="n"/>
      <c r="AB5" s="1276">
        <f>'Master Data'!B15</f>
        <v/>
      </c>
      <c r="AC5" s="1259" t="n"/>
      <c r="AD5" s="1259" t="n"/>
      <c r="AE5" s="1259" t="n"/>
      <c r="AF5" s="1259" t="n"/>
      <c r="AG5" s="1259" t="n"/>
      <c r="AH5" s="1259" t="n"/>
      <c r="AI5" s="1259" t="n"/>
      <c r="AJ5" s="1259" t="n"/>
      <c r="AK5" s="1259" t="n"/>
      <c r="AL5" s="1265" t="n"/>
      <c r="AM5" s="1266" t="n"/>
      <c r="AN5" s="1267" t="n"/>
      <c r="AO5" s="1268" t="n"/>
      <c r="AP5" s="1256" t="n"/>
    </row>
    <row r="6" ht="18.75" customHeight="1" s="882">
      <c r="A6" s="1256" t="n"/>
      <c r="B6" s="1277" t="n"/>
      <c r="C6" s="1272" t="inlineStr">
        <is>
          <t>Rig name:</t>
        </is>
      </c>
      <c r="D6" s="1273">
        <f>'Master Data'!E11</f>
        <v/>
      </c>
      <c r="E6" s="1259" t="n"/>
      <c r="F6" s="1259" t="n"/>
      <c r="G6" s="1259" t="n"/>
      <c r="H6" s="1265" t="n"/>
      <c r="I6" s="1274" t="inlineStr">
        <is>
          <t>Customer RO  #:</t>
        </is>
      </c>
      <c r="J6" s="1259" t="n"/>
      <c r="K6" s="1259" t="n"/>
      <c r="L6" s="1259" t="n"/>
      <c r="M6" s="1259" t="n"/>
      <c r="N6" s="1259" t="n"/>
      <c r="O6" s="1265" t="n"/>
      <c r="P6" s="1275">
        <f>'Master Data'!B11</f>
        <v/>
      </c>
      <c r="Q6" s="1259" t="n"/>
      <c r="R6" s="1259" t="n"/>
      <c r="S6" s="1259" t="n"/>
      <c r="T6" s="1259" t="n"/>
      <c r="U6" s="1259" t="n"/>
      <c r="V6" s="1274" t="inlineStr">
        <is>
          <t xml:space="preserve">Date </t>
        </is>
      </c>
      <c r="W6" s="1259" t="n"/>
      <c r="X6" s="1259" t="n"/>
      <c r="Y6" s="1259" t="n"/>
      <c r="Z6" s="1259" t="n"/>
      <c r="AA6" s="1265" t="n"/>
      <c r="AB6" s="1278" t="inlineStr">
        <is>
          <t xml:space="preserve">From </t>
        </is>
      </c>
      <c r="AC6" s="1259" t="n"/>
      <c r="AD6" s="1279">
        <f>'Master Data'!E12</f>
        <v/>
      </c>
      <c r="AE6" s="1259" t="n"/>
      <c r="AF6" s="1259" t="n"/>
      <c r="AG6" s="1259" t="n"/>
      <c r="AH6" s="1280" t="inlineStr">
        <is>
          <t>To:</t>
        </is>
      </c>
      <c r="AI6" s="1281">
        <f>'Master Data'!E15</f>
        <v/>
      </c>
      <c r="AJ6" s="1259" t="n"/>
      <c r="AK6" s="1259" t="n"/>
      <c r="AL6" s="1265" t="n"/>
      <c r="AM6" s="1282" t="n"/>
      <c r="AN6" s="1283" t="n"/>
      <c r="AO6" s="1284" t="n"/>
      <c r="AP6" s="1256" t="n"/>
    </row>
    <row r="7" ht="15" customHeight="1" s="882">
      <c r="A7" s="1256" t="n"/>
      <c r="B7" s="1285" t="inlineStr">
        <is>
          <t xml:space="preserve">Weatherford </t>
        </is>
      </c>
      <c r="C7" s="1272" t="inlineStr">
        <is>
          <t>Well Number:</t>
        </is>
      </c>
      <c r="D7" s="1273">
        <f>'Master Data'!E10</f>
        <v/>
      </c>
      <c r="E7" s="1259" t="n"/>
      <c r="F7" s="1259" t="n"/>
      <c r="G7" s="1259" t="n"/>
      <c r="H7" s="1265" t="n"/>
      <c r="I7" s="1274" t="inlineStr">
        <is>
          <t>Services performed:</t>
        </is>
      </c>
      <c r="J7" s="1259" t="n"/>
      <c r="K7" s="1259" t="n"/>
      <c r="L7" s="1259" t="n"/>
      <c r="M7" s="1259" t="n"/>
      <c r="N7" s="1259" t="n"/>
      <c r="O7" s="1265" t="n"/>
      <c r="P7" s="1286">
        <f>'Master Data'!E4</f>
        <v/>
      </c>
      <c r="Q7" s="1259" t="n"/>
      <c r="R7" s="1259" t="n"/>
      <c r="S7" s="1259" t="n"/>
      <c r="T7" s="1259" t="n"/>
      <c r="U7" s="1259" t="n"/>
      <c r="V7" s="1259" t="n"/>
      <c r="W7" s="1259" t="n"/>
      <c r="X7" s="1259" t="n"/>
      <c r="Y7" s="1259" t="n"/>
      <c r="Z7" s="1259" t="n"/>
      <c r="AA7" s="1259" t="n"/>
      <c r="AB7" s="1259" t="n"/>
      <c r="AC7" s="1259" t="n"/>
      <c r="AD7" s="1259" t="n"/>
      <c r="AE7" s="1259" t="n"/>
      <c r="AF7" s="1259" t="n"/>
      <c r="AG7" s="1259" t="n"/>
      <c r="AH7" s="1259" t="n"/>
      <c r="AI7" s="1259" t="n"/>
      <c r="AJ7" s="1259" t="n"/>
      <c r="AK7" s="1259" t="n"/>
      <c r="AL7" s="1265" t="n"/>
      <c r="AM7" s="1287" t="inlineStr">
        <is>
          <t>AON-STD-PET-24-0</t>
        </is>
      </c>
      <c r="AN7" s="1259" t="n"/>
      <c r="AO7" s="1265" t="n"/>
      <c r="AP7" s="1256" t="n"/>
    </row>
    <row r="8" ht="15" customHeight="1" s="882">
      <c r="A8" s="1256" t="n"/>
      <c r="B8" s="1288" t="n"/>
      <c r="C8" s="1289" t="n"/>
      <c r="D8" s="1290">
        <f>IF(TEXT(AD6,"mmm")=TEXT(AI6,"mmm"),TEXT(AD6,"mmm/yyy"),IF(TEXT(AD6,"yyyy")=TEXT(AI6,"yyyy"),TEXT(AD6,"mmm")&amp;" - "&amp;TEXT(AI6,"mmm")&amp;"/"&amp;TEXT(AI6,"yyyy"),TEXT(AD6,"mmm/yyyy")&amp;" - "&amp;TEXT(AI6,"mmm/yyyy")))</f>
        <v/>
      </c>
      <c r="E8" s="1259" t="n"/>
      <c r="F8" s="1259" t="n"/>
      <c r="G8" s="1259" t="n"/>
      <c r="H8" s="1259" t="n"/>
      <c r="I8" s="1259" t="n"/>
      <c r="J8" s="1259" t="n"/>
      <c r="K8" s="1259" t="n"/>
      <c r="L8" s="1259" t="n"/>
      <c r="M8" s="1259" t="n"/>
      <c r="N8" s="1259" t="n"/>
      <c r="O8" s="1259" t="n"/>
      <c r="P8" s="1259" t="n"/>
      <c r="Q8" s="1259" t="n"/>
      <c r="R8" s="1259" t="n"/>
      <c r="S8" s="1259" t="n"/>
      <c r="T8" s="1259" t="n"/>
      <c r="U8" s="1259" t="n"/>
      <c r="V8" s="1259" t="n"/>
      <c r="W8" s="1259" t="n"/>
      <c r="X8" s="1259" t="n"/>
      <c r="Y8" s="1259" t="n"/>
      <c r="Z8" s="1259" t="n"/>
      <c r="AA8" s="1259" t="n"/>
      <c r="AB8" s="1259" t="n"/>
      <c r="AC8" s="1259" t="n"/>
      <c r="AD8" s="1259" t="n"/>
      <c r="AE8" s="1259" t="n"/>
      <c r="AF8" s="1259" t="n"/>
      <c r="AG8" s="1259" t="n"/>
      <c r="AH8" s="1259" t="n"/>
      <c r="AI8" s="1259" t="n"/>
      <c r="AJ8" s="1259" t="n"/>
      <c r="AK8" s="1259" t="n"/>
      <c r="AL8" s="1265" t="n"/>
      <c r="AM8" s="1291" t="inlineStr">
        <is>
          <t>ADNOC ONSHORE</t>
        </is>
      </c>
      <c r="AN8" s="1259" t="n"/>
      <c r="AO8" s="1265" t="n"/>
      <c r="AP8" s="1292" t="n"/>
    </row>
    <row r="9" ht="18" customHeight="1" s="882">
      <c r="A9" s="1256" t="n"/>
      <c r="B9" s="1293" t="inlineStr">
        <is>
          <t xml:space="preserve">Eng Name </t>
        </is>
      </c>
      <c r="C9" s="1293" t="inlineStr">
        <is>
          <t xml:space="preserve">Designation </t>
        </is>
      </c>
      <c r="D9" s="1294">
        <f>$AD$6</f>
        <v/>
      </c>
      <c r="E9" s="1294">
        <f>D9+1</f>
        <v/>
      </c>
      <c r="F9" s="1294">
        <f>E9+1</f>
        <v/>
      </c>
      <c r="G9" s="1294">
        <f>F9+1</f>
        <v/>
      </c>
      <c r="H9" s="1294">
        <f>G9+1</f>
        <v/>
      </c>
      <c r="I9" s="1294">
        <f>H9+1</f>
        <v/>
      </c>
      <c r="J9" s="1294">
        <f>I9+1</f>
        <v/>
      </c>
      <c r="K9" s="1294">
        <f>J9+1</f>
        <v/>
      </c>
      <c r="L9" s="1294">
        <f>K9+1</f>
        <v/>
      </c>
      <c r="M9" s="1294">
        <f>L9+1</f>
        <v/>
      </c>
      <c r="N9" s="1294">
        <f>M9+1</f>
        <v/>
      </c>
      <c r="O9" s="1294">
        <f>N9+1</f>
        <v/>
      </c>
      <c r="P9" s="1294">
        <f>O9+1</f>
        <v/>
      </c>
      <c r="Q9" s="1294">
        <f>P9+1</f>
        <v/>
      </c>
      <c r="R9" s="1294">
        <f>Q9+1</f>
        <v/>
      </c>
      <c r="S9" s="1294">
        <f>R9+1</f>
        <v/>
      </c>
      <c r="T9" s="1294">
        <f>S9+1</f>
        <v/>
      </c>
      <c r="U9" s="1294">
        <f>T9+1</f>
        <v/>
      </c>
      <c r="V9" s="1294">
        <f>U9+1</f>
        <v/>
      </c>
      <c r="W9" s="1294">
        <f>V9+1</f>
        <v/>
      </c>
      <c r="X9" s="1294">
        <f>W9+1</f>
        <v/>
      </c>
      <c r="Y9" s="1294">
        <f>X9+1</f>
        <v/>
      </c>
      <c r="Z9" s="1294">
        <f>Y9+1</f>
        <v/>
      </c>
      <c r="AA9" s="1294">
        <f>Z9+1</f>
        <v/>
      </c>
      <c r="AB9" s="1294">
        <f>AA9+1</f>
        <v/>
      </c>
      <c r="AC9" s="1294">
        <f>AB9+1</f>
        <v/>
      </c>
      <c r="AD9" s="1294">
        <f>AC9+1</f>
        <v/>
      </c>
      <c r="AE9" s="1294">
        <f>AD9+1</f>
        <v/>
      </c>
      <c r="AF9" s="1294">
        <f>AE9+1</f>
        <v/>
      </c>
      <c r="AG9" s="1294">
        <f>AF9+1</f>
        <v/>
      </c>
      <c r="AH9" s="1294">
        <f>AG9+1</f>
        <v/>
      </c>
      <c r="AI9" s="1294">
        <f>AH9+1</f>
        <v/>
      </c>
      <c r="AJ9" s="1294">
        <f>AI9+1</f>
        <v/>
      </c>
      <c r="AK9" s="1294">
        <f>AJ9+1</f>
        <v/>
      </c>
      <c r="AL9" s="1294">
        <f>AK9+1</f>
        <v/>
      </c>
      <c r="AM9" s="1295" t="inlineStr">
        <is>
          <t>Total Days</t>
        </is>
      </c>
      <c r="AN9" s="1267" t="n"/>
      <c r="AO9" s="1268" t="n"/>
      <c r="AP9" s="1256" t="n"/>
    </row>
    <row r="10" ht="15.75" customHeight="1" s="882">
      <c r="A10" s="1256" t="n"/>
      <c r="B10" s="1263" t="n"/>
      <c r="C10" s="1263" t="n"/>
      <c r="D10" s="1277" t="n"/>
      <c r="E10" s="1277" t="n"/>
      <c r="F10" s="1277" t="n"/>
      <c r="G10" s="1277" t="n"/>
      <c r="H10" s="1277" t="n"/>
      <c r="I10" s="1277" t="n"/>
      <c r="J10" s="1277" t="n"/>
      <c r="K10" s="1277" t="n"/>
      <c r="L10" s="1277" t="n"/>
      <c r="M10" s="1277" t="n"/>
      <c r="N10" s="1277" t="n"/>
      <c r="O10" s="1277" t="n"/>
      <c r="P10" s="1277" t="n"/>
      <c r="Q10" s="1277" t="n"/>
      <c r="R10" s="1277" t="n"/>
      <c r="S10" s="1277" t="n"/>
      <c r="T10" s="1277" t="n"/>
      <c r="U10" s="1277" t="n"/>
      <c r="V10" s="1277" t="n"/>
      <c r="W10" s="1277" t="n"/>
      <c r="X10" s="1277" t="n"/>
      <c r="Y10" s="1277" t="n"/>
      <c r="Z10" s="1277" t="n"/>
      <c r="AA10" s="1277" t="n"/>
      <c r="AB10" s="1277" t="n"/>
      <c r="AC10" s="1277" t="n"/>
      <c r="AD10" s="1277" t="n"/>
      <c r="AE10" s="1277" t="n"/>
      <c r="AF10" s="1277" t="n"/>
      <c r="AG10" s="1277" t="n"/>
      <c r="AH10" s="1277" t="n"/>
      <c r="AI10" s="1277" t="n"/>
      <c r="AJ10" s="1277" t="n"/>
      <c r="AK10" s="1277" t="n"/>
      <c r="AL10" s="1277" t="n"/>
      <c r="AM10" s="1266" t="n"/>
      <c r="AN10" s="1267" t="n"/>
      <c r="AO10" s="1268" t="n"/>
      <c r="AP10" s="1256" t="n"/>
    </row>
    <row r="11" ht="13.5" customHeight="1" s="882">
      <c r="A11" s="1256" t="n"/>
      <c r="B11" s="1277" t="n"/>
      <c r="C11" s="1277" t="n"/>
      <c r="D11" s="1293" t="inlineStr">
        <is>
          <t>Personnel</t>
        </is>
      </c>
      <c r="E11" s="1259" t="n"/>
      <c r="F11" s="1259" t="n"/>
      <c r="G11" s="1259" t="n"/>
      <c r="H11" s="1259" t="n"/>
      <c r="I11" s="1259" t="n"/>
      <c r="J11" s="1259" t="n"/>
      <c r="K11" s="1259" t="n"/>
      <c r="L11" s="1259" t="n"/>
      <c r="M11" s="1259" t="n"/>
      <c r="N11" s="1259" t="n"/>
      <c r="O11" s="1259" t="n"/>
      <c r="P11" s="1259" t="n"/>
      <c r="Q11" s="1259" t="n"/>
      <c r="R11" s="1259" t="n"/>
      <c r="S11" s="1259" t="n"/>
      <c r="T11" s="1259" t="n"/>
      <c r="U11" s="1259" t="n"/>
      <c r="V11" s="1259" t="n"/>
      <c r="W11" s="1259" t="n"/>
      <c r="X11" s="1259" t="n"/>
      <c r="Y11" s="1259" t="n"/>
      <c r="Z11" s="1259" t="n"/>
      <c r="AA11" s="1259" t="n"/>
      <c r="AB11" s="1259" t="n"/>
      <c r="AC11" s="1259" t="n"/>
      <c r="AD11" s="1259" t="n"/>
      <c r="AE11" s="1259" t="n"/>
      <c r="AF11" s="1259" t="n"/>
      <c r="AG11" s="1259" t="n"/>
      <c r="AH11" s="1259" t="n"/>
      <c r="AI11" s="1259" t="n"/>
      <c r="AJ11" s="1259" t="n"/>
      <c r="AK11" s="1259" t="n"/>
      <c r="AL11" s="1265" t="n"/>
      <c r="AM11" s="1282" t="n"/>
      <c r="AN11" s="1283" t="n"/>
      <c r="AO11" s="1284" t="n"/>
      <c r="AP11" s="1256" t="n"/>
    </row>
    <row r="12" ht="14.25" customFormat="1" customHeight="1" s="1296">
      <c r="A12" s="1297" t="n"/>
      <c r="B12" s="1298">
        <f>IF('Master Data'!H3="","",'Master Data'!H3)</f>
        <v/>
      </c>
      <c r="C12" s="1298">
        <f>IF('Master Data'!I3="","",'Master Data'!I3)</f>
        <v/>
      </c>
      <c r="D12" s="1299" t="inlineStr">
        <is>
          <t>x</t>
        </is>
      </c>
      <c r="E12" s="1299" t="inlineStr">
        <is>
          <t>x</t>
        </is>
      </c>
      <c r="F12" s="1299" t="inlineStr">
        <is>
          <t>x</t>
        </is>
      </c>
      <c r="G12" s="1299" t="inlineStr">
        <is>
          <t>x</t>
        </is>
      </c>
      <c r="H12" s="1299" t="inlineStr">
        <is>
          <t>x</t>
        </is>
      </c>
      <c r="I12" s="1299" t="inlineStr">
        <is>
          <t>x</t>
        </is>
      </c>
      <c r="J12" s="1299" t="inlineStr">
        <is>
          <t>x</t>
        </is>
      </c>
      <c r="K12" s="1299" t="inlineStr">
        <is>
          <t>x</t>
        </is>
      </c>
      <c r="L12" s="1299" t="inlineStr">
        <is>
          <t>x</t>
        </is>
      </c>
      <c r="M12" s="1299" t="inlineStr">
        <is>
          <t>x</t>
        </is>
      </c>
      <c r="N12" s="1299" t="inlineStr">
        <is>
          <t>x</t>
        </is>
      </c>
      <c r="O12" s="1299" t="inlineStr">
        <is>
          <t>x</t>
        </is>
      </c>
      <c r="P12" s="1299" t="inlineStr">
        <is>
          <t>x</t>
        </is>
      </c>
      <c r="Q12" s="1299" t="inlineStr">
        <is>
          <t>x</t>
        </is>
      </c>
      <c r="R12" s="1299" t="inlineStr">
        <is>
          <t>x</t>
        </is>
      </c>
      <c r="S12" s="1299" t="inlineStr">
        <is>
          <t>x</t>
        </is>
      </c>
      <c r="T12" s="1299" t="inlineStr">
        <is>
          <t>x</t>
        </is>
      </c>
      <c r="U12" s="1299" t="inlineStr">
        <is>
          <t>x</t>
        </is>
      </c>
      <c r="V12" s="1299" t="inlineStr">
        <is>
          <t>x</t>
        </is>
      </c>
      <c r="W12" s="1299" t="inlineStr">
        <is>
          <t>x</t>
        </is>
      </c>
      <c r="X12" s="1299" t="inlineStr">
        <is>
          <t>x</t>
        </is>
      </c>
      <c r="Y12" s="1299" t="inlineStr">
        <is>
          <t>x</t>
        </is>
      </c>
      <c r="Z12" s="1299" t="inlineStr">
        <is>
          <t>x</t>
        </is>
      </c>
      <c r="AA12" s="1299" t="n"/>
      <c r="AB12" s="1299" t="n"/>
      <c r="AC12" s="1299" t="n"/>
      <c r="AD12" s="1299" t="n"/>
      <c r="AE12" s="1299" t="n"/>
      <c r="AF12" s="1299" t="n"/>
      <c r="AG12" s="1299" t="n"/>
      <c r="AH12" s="1299" t="n"/>
      <c r="AI12" s="1299" t="n"/>
      <c r="AJ12" s="1299" t="n"/>
      <c r="AK12" s="1299" t="n"/>
      <c r="AL12" s="1299" t="n"/>
      <c r="AM12" s="1300">
        <f>IF(COUNTA(D12:AL12)=0,"",COUNTA(D12:AL12))</f>
        <v/>
      </c>
      <c r="AN12" s="1259" t="n"/>
      <c r="AO12" s="1265" t="n"/>
      <c r="AP12" s="1297" t="n"/>
      <c r="AR12" s="1296">
        <f>IF(D12="X",1,0)</f>
        <v/>
      </c>
      <c r="AS12" s="1296">
        <f>IF(E12="X",1,0)</f>
        <v/>
      </c>
      <c r="AT12" s="1296">
        <f>IF(F12="X",1,0)</f>
        <v/>
      </c>
      <c r="AU12" s="1296">
        <f>IF(G12="X",1,0)</f>
        <v/>
      </c>
      <c r="AV12" s="1296">
        <f>IF(H12="X",1,0)</f>
        <v/>
      </c>
      <c r="AW12" s="1296">
        <f>IF(I12="X",1,0)</f>
        <v/>
      </c>
      <c r="AX12" s="1296">
        <f>IF(J12="X",1,0)</f>
        <v/>
      </c>
      <c r="AY12" s="1296">
        <f>IF(K12="X",1,0)</f>
        <v/>
      </c>
      <c r="AZ12" s="1296">
        <f>IF(L12="X",1,0)</f>
        <v/>
      </c>
      <c r="BA12" s="1296">
        <f>IF(M12="X",1,0)</f>
        <v/>
      </c>
      <c r="BB12" s="1296">
        <f>IF(N12="X",1,0)</f>
        <v/>
      </c>
      <c r="BC12" s="1296">
        <f>IF(O12="X",1,0)</f>
        <v/>
      </c>
      <c r="BD12" s="1296">
        <f>IF(P12="X",1,0)</f>
        <v/>
      </c>
      <c r="BE12" s="1296">
        <f>IF(Q12="X",1,0)</f>
        <v/>
      </c>
      <c r="BF12" s="1296">
        <f>IF(R12="X",1,0)</f>
        <v/>
      </c>
      <c r="BG12" s="1296">
        <f>IF(S12="X",1,0)</f>
        <v/>
      </c>
      <c r="BH12" s="1296">
        <f>IF(T12="X",1,0)</f>
        <v/>
      </c>
      <c r="BI12" s="1296">
        <f>IF(U12="X",1,0)</f>
        <v/>
      </c>
      <c r="BJ12" s="1296">
        <f>IF(V12="X",1,0)</f>
        <v/>
      </c>
      <c r="BK12" s="1296">
        <f>IF(W12="X",1,0)</f>
        <v/>
      </c>
      <c r="BL12" s="1296">
        <f>IF(X12="X",1,0)</f>
        <v/>
      </c>
      <c r="BM12" s="1296">
        <f>IF(Y12="X",1,0)</f>
        <v/>
      </c>
      <c r="BN12" s="1296">
        <f>IF(Z12="X",1,0)</f>
        <v/>
      </c>
      <c r="BO12" s="1296">
        <f>IF(AA12="X",1,0)</f>
        <v/>
      </c>
      <c r="BP12" s="1296">
        <f>IF(AB12="X",1,0)</f>
        <v/>
      </c>
      <c r="BQ12" s="1296">
        <f>IF(AC12="X",1,0)</f>
        <v/>
      </c>
      <c r="BR12" s="1296">
        <f>IF(AD12="X",1,0)</f>
        <v/>
      </c>
      <c r="BS12" s="1296">
        <f>IF(AE12="X",1,0)</f>
        <v/>
      </c>
      <c r="BT12" s="1296">
        <f>IF(AF12="X",1,0)</f>
        <v/>
      </c>
      <c r="BU12" s="1296">
        <f>IF(AG12="X",1,0)</f>
        <v/>
      </c>
      <c r="BV12" s="1296">
        <f>IF(AH12="X",1,0)</f>
        <v/>
      </c>
      <c r="BW12" s="1296">
        <f>IF(AI12="X",1,0)</f>
        <v/>
      </c>
      <c r="BX12" s="1296">
        <f>IF(AJ12="X",1,0)</f>
        <v/>
      </c>
      <c r="BY12" s="1296">
        <f>IF(AK12="X",1,0)</f>
        <v/>
      </c>
      <c r="BZ12" s="1296">
        <f>IF(AL12="X",1,0)</f>
        <v/>
      </c>
      <c r="CA12" s="1296">
        <f>IF(AM12="X",1,0)</f>
        <v/>
      </c>
      <c r="CB12" s="1296">
        <f>IF(AN12="X",1,0)</f>
        <v/>
      </c>
    </row>
    <row r="13" ht="14.25" customFormat="1" customHeight="1" s="1296">
      <c r="A13" s="1297" t="n"/>
      <c r="B13" s="1298">
        <f>IF('Master Data'!H4="","",'Master Data'!H4)</f>
        <v/>
      </c>
      <c r="C13" s="1298">
        <f>IF('Master Data'!I4="","",'Master Data'!I4)</f>
        <v/>
      </c>
      <c r="D13" s="1299" t="n"/>
      <c r="E13" s="1299" t="n"/>
      <c r="F13" s="1299" t="n"/>
      <c r="G13" s="1299" t="inlineStr">
        <is>
          <t>x</t>
        </is>
      </c>
      <c r="H13" s="1299" t="inlineStr">
        <is>
          <t>x</t>
        </is>
      </c>
      <c r="I13" s="1299" t="inlineStr">
        <is>
          <t>x</t>
        </is>
      </c>
      <c r="J13" s="1299" t="n"/>
      <c r="K13" s="1299" t="n"/>
      <c r="L13" s="1299" t="n"/>
      <c r="M13" s="1299" t="n"/>
      <c r="N13" s="1299" t="n"/>
      <c r="O13" s="1299" t="n"/>
      <c r="P13" s="1299" t="n"/>
      <c r="Q13" s="1299" t="n"/>
      <c r="R13" s="1299" t="n"/>
      <c r="S13" s="1299" t="n"/>
      <c r="T13" s="1299" t="n"/>
      <c r="U13" s="1299" t="n"/>
      <c r="V13" s="1299" t="n"/>
      <c r="W13" s="1299" t="n"/>
      <c r="X13" s="1299" t="n"/>
      <c r="Y13" s="1299" t="n"/>
      <c r="Z13" s="1299" t="n"/>
      <c r="AA13" s="1299" t="n"/>
      <c r="AB13" s="1301" t="n"/>
      <c r="AC13" s="1301" t="n"/>
      <c r="AD13" s="1301" t="n"/>
      <c r="AE13" s="1301" t="n"/>
      <c r="AF13" s="1301" t="n"/>
      <c r="AG13" s="1301" t="n"/>
      <c r="AH13" s="1301" t="n"/>
      <c r="AI13" s="1301" t="n"/>
      <c r="AJ13" s="1299" t="n"/>
      <c r="AK13" s="1299" t="n"/>
      <c r="AL13" s="1299" t="n"/>
      <c r="AM13" s="1300">
        <f>IF(COUNTA(D13:AL13)=0,"",COUNTA(D13:AL13))</f>
        <v/>
      </c>
      <c r="AN13" s="1259" t="n"/>
      <c r="AO13" s="1265" t="n"/>
      <c r="AP13" s="1297" t="n"/>
      <c r="AR13" s="1296">
        <f>IF(D13="X",1,0)</f>
        <v/>
      </c>
      <c r="AS13" s="1296">
        <f>IF(E13="X",1,0)</f>
        <v/>
      </c>
      <c r="AT13" s="1296">
        <f>IF(F13="X",1,0)</f>
        <v/>
      </c>
      <c r="AU13" s="1296">
        <f>IF(G13="X",1,0)</f>
        <v/>
      </c>
      <c r="AV13" s="1296">
        <f>IF(H13="X",1,0)</f>
        <v/>
      </c>
      <c r="AW13" s="1296">
        <f>IF(I13="X",1,0)</f>
        <v/>
      </c>
      <c r="AX13" s="1296">
        <f>IF(J13="X",1,0)</f>
        <v/>
      </c>
      <c r="AY13" s="1296">
        <f>IF(K13="X",1,0)</f>
        <v/>
      </c>
      <c r="AZ13" s="1296">
        <f>IF(L13="X",1,0)</f>
        <v/>
      </c>
      <c r="BA13" s="1296">
        <f>IF(M13="X",1,0)</f>
        <v/>
      </c>
      <c r="BB13" s="1296">
        <f>IF(N13="X",1,0)</f>
        <v/>
      </c>
      <c r="BC13" s="1296">
        <f>IF(O13="X",1,0)</f>
        <v/>
      </c>
      <c r="BD13" s="1296">
        <f>IF(P13="X",1,0)</f>
        <v/>
      </c>
      <c r="BE13" s="1296">
        <f>IF(Q13="X",1,0)</f>
        <v/>
      </c>
      <c r="BF13" s="1296">
        <f>IF(R13="X",1,0)</f>
        <v/>
      </c>
      <c r="BG13" s="1296">
        <f>IF(S13="X",1,0)</f>
        <v/>
      </c>
      <c r="BH13" s="1296">
        <f>IF(T13="X",1,0)</f>
        <v/>
      </c>
      <c r="BI13" s="1296">
        <f>IF(U13="X",1,0)</f>
        <v/>
      </c>
      <c r="BJ13" s="1296">
        <f>IF(V13="X",1,0)</f>
        <v/>
      </c>
      <c r="BK13" s="1296">
        <f>IF(W13="X",1,0)</f>
        <v/>
      </c>
      <c r="BL13" s="1296">
        <f>IF(X13="X",1,0)</f>
        <v/>
      </c>
      <c r="BM13" s="1296">
        <f>IF(Y13="X",1,0)</f>
        <v/>
      </c>
      <c r="BN13" s="1296">
        <f>IF(Z13="X",1,0)</f>
        <v/>
      </c>
      <c r="BO13" s="1296">
        <f>IF(AA13="X",1,0)</f>
        <v/>
      </c>
      <c r="BP13" s="1296">
        <f>IF(AB13="X",1,0)</f>
        <v/>
      </c>
      <c r="BQ13" s="1296">
        <f>IF(AC13="X",1,0)</f>
        <v/>
      </c>
      <c r="BR13" s="1296">
        <f>IF(AD13="X",1,0)</f>
        <v/>
      </c>
      <c r="BS13" s="1296">
        <f>IF(AE13="X",1,0)</f>
        <v/>
      </c>
      <c r="BT13" s="1296">
        <f>IF(AF13="X",1,0)</f>
        <v/>
      </c>
      <c r="BU13" s="1296">
        <f>IF(AG13="X",1,0)</f>
        <v/>
      </c>
      <c r="BV13" s="1296">
        <f>IF(AH13="X",1,0)</f>
        <v/>
      </c>
      <c r="BW13" s="1296">
        <f>IF(AI13="X",1,0)</f>
        <v/>
      </c>
      <c r="BX13" s="1296">
        <f>IF(AJ13="X",1,0)</f>
        <v/>
      </c>
      <c r="BY13" s="1296">
        <f>IF(AK13="X",1,0)</f>
        <v/>
      </c>
      <c r="BZ13" s="1296">
        <f>IF(AL13="X",1,0)</f>
        <v/>
      </c>
      <c r="CA13" s="1296">
        <f>IF(AM13="X",1,0)</f>
        <v/>
      </c>
      <c r="CB13" s="1296">
        <f>IF(AN13="X",1,0)</f>
        <v/>
      </c>
    </row>
    <row r="14" ht="14.25" customFormat="1" customHeight="1" s="1296">
      <c r="A14" s="1297" t="n"/>
      <c r="B14" s="1298">
        <f>IF('Master Data'!H8="","",'Master Data'!H8)</f>
        <v/>
      </c>
      <c r="C14" s="1298">
        <f>IF('Master Data'!I8="","",'Master Data'!I8)</f>
        <v/>
      </c>
      <c r="D14" s="1299" t="n"/>
      <c r="E14" s="1299" t="n"/>
      <c r="F14" s="1299" t="n"/>
      <c r="G14" s="1299" t="n"/>
      <c r="H14" s="1299" t="n"/>
      <c r="I14" s="1299" t="n"/>
      <c r="J14" s="1299" t="n"/>
      <c r="K14" s="1299" t="n"/>
      <c r="L14" s="1299" t="n"/>
      <c r="M14" s="1299" t="n"/>
      <c r="N14" s="1299" t="n"/>
      <c r="O14" s="1299" t="n"/>
      <c r="P14" s="1299" t="n"/>
      <c r="Q14" s="1299" t="n"/>
      <c r="R14" s="1299" t="n"/>
      <c r="S14" s="1299" t="n"/>
      <c r="T14" s="1299" t="n"/>
      <c r="U14" s="1299" t="n"/>
      <c r="V14" s="1299" t="n"/>
      <c r="W14" s="1299" t="n"/>
      <c r="X14" s="1299" t="n"/>
      <c r="Y14" s="1299" t="n"/>
      <c r="Z14" s="1299" t="n"/>
      <c r="AA14" s="1301" t="n"/>
      <c r="AB14" s="1301" t="n"/>
      <c r="AC14" s="1301" t="n"/>
      <c r="AD14" s="1301" t="n"/>
      <c r="AE14" s="1301" t="n"/>
      <c r="AF14" s="1301" t="n"/>
      <c r="AG14" s="1301" t="n"/>
      <c r="AH14" s="1301" t="n"/>
      <c r="AI14" s="1299" t="n"/>
      <c r="AJ14" s="1299" t="n"/>
      <c r="AK14" s="1299" t="n"/>
      <c r="AL14" s="1299" t="n"/>
      <c r="AM14" s="1300">
        <f>IF(COUNTA(D14:AL14)=0,"",COUNTA(D14:AL14))</f>
        <v/>
      </c>
      <c r="AN14" s="1259" t="n"/>
      <c r="AO14" s="1265" t="n"/>
      <c r="AP14" s="1297" t="n"/>
      <c r="AR14" s="1296">
        <f>IF(D14="X",1,0)</f>
        <v/>
      </c>
      <c r="AS14" s="1296">
        <f>IF(E14="X",1,0)</f>
        <v/>
      </c>
      <c r="AT14" s="1296">
        <f>IF(F14="X",1,0)</f>
        <v/>
      </c>
      <c r="AU14" s="1296">
        <f>IF(G14="X",1,0)</f>
        <v/>
      </c>
      <c r="AV14" s="1296">
        <f>IF(H14="X",1,0)</f>
        <v/>
      </c>
      <c r="AW14" s="1296">
        <f>IF(I14="X",1,0)</f>
        <v/>
      </c>
      <c r="AX14" s="1296">
        <f>IF(J14="X",1,0)</f>
        <v/>
      </c>
      <c r="AY14" s="1296">
        <f>IF(K14="X",1,0)</f>
        <v/>
      </c>
      <c r="AZ14" s="1296">
        <f>IF(L14="X",1,0)</f>
        <v/>
      </c>
      <c r="BA14" s="1296">
        <f>IF(M14="X",1,0)</f>
        <v/>
      </c>
      <c r="BB14" s="1296">
        <f>IF(N14="X",1,0)</f>
        <v/>
      </c>
      <c r="BC14" s="1296">
        <f>IF(O14="X",1,0)</f>
        <v/>
      </c>
      <c r="BD14" s="1296">
        <f>IF(P14="X",1,0)</f>
        <v/>
      </c>
      <c r="BE14" s="1296">
        <f>IF(Q14="X",1,0)</f>
        <v/>
      </c>
      <c r="BF14" s="1296">
        <f>IF(R14="X",1,0)</f>
        <v/>
      </c>
      <c r="BG14" s="1296">
        <f>IF(S14="X",1,0)</f>
        <v/>
      </c>
      <c r="BH14" s="1296">
        <f>IF(T14="X",1,0)</f>
        <v/>
      </c>
      <c r="BI14" s="1296">
        <f>IF(U14="X",1,0)</f>
        <v/>
      </c>
      <c r="BJ14" s="1296">
        <f>IF(V14="X",1,0)</f>
        <v/>
      </c>
      <c r="BK14" s="1296">
        <f>IF(W14="X",1,0)</f>
        <v/>
      </c>
      <c r="BL14" s="1296">
        <f>IF(X14="X",1,0)</f>
        <v/>
      </c>
      <c r="BM14" s="1296">
        <f>IF(Y14="X",1,0)</f>
        <v/>
      </c>
      <c r="BN14" s="1296">
        <f>IF(Z14="X",1,0)</f>
        <v/>
      </c>
      <c r="BO14" s="1296">
        <f>IF(AA14="X",1,0)</f>
        <v/>
      </c>
      <c r="BP14" s="1296">
        <f>IF(AB14="X",1,0)</f>
        <v/>
      </c>
      <c r="BQ14" s="1296">
        <f>IF(AC14="X",1,0)</f>
        <v/>
      </c>
      <c r="BR14" s="1296">
        <f>IF(AD14="X",1,0)</f>
        <v/>
      </c>
      <c r="BS14" s="1296">
        <f>IF(AE14="X",1,0)</f>
        <v/>
      </c>
      <c r="BT14" s="1296">
        <f>IF(AF14="X",1,0)</f>
        <v/>
      </c>
      <c r="BU14" s="1296">
        <f>IF(AG14="X",1,0)</f>
        <v/>
      </c>
      <c r="BV14" s="1296">
        <f>IF(AH14="X",1,0)</f>
        <v/>
      </c>
      <c r="BW14" s="1296">
        <f>IF(AI14="X",1,0)</f>
        <v/>
      </c>
      <c r="BX14" s="1296">
        <f>IF(AJ14="X",1,0)</f>
        <v/>
      </c>
      <c r="BY14" s="1296">
        <f>IF(AK14="X",1,0)</f>
        <v/>
      </c>
      <c r="BZ14" s="1296">
        <f>IF(AL14="X",1,0)</f>
        <v/>
      </c>
      <c r="CA14" s="1296">
        <f>IF(AM14="X",1,0)</f>
        <v/>
      </c>
      <c r="CB14" s="1296">
        <f>IF(AN14="X",1,0)</f>
        <v/>
      </c>
    </row>
    <row r="15" ht="14.25" customFormat="1" customHeight="1" s="1296">
      <c r="A15" s="1297" t="n"/>
      <c r="B15" s="1300">
        <f>IF('Master Data'!H10="","",'Master Data'!H10)</f>
        <v/>
      </c>
      <c r="C15" s="1300">
        <f>IF('Master Data'!I10="","",'Master Data'!I10)</f>
        <v/>
      </c>
      <c r="D15" s="1299" t="n"/>
      <c r="E15" s="1299" t="n"/>
      <c r="F15" s="1299" t="n"/>
      <c r="G15" s="1299" t="n"/>
      <c r="H15" s="1299" t="n"/>
      <c r="I15" s="1299" t="n"/>
      <c r="J15" s="1299" t="n"/>
      <c r="K15" s="1299" t="n"/>
      <c r="L15" s="1299" t="n"/>
      <c r="M15" s="1299" t="n"/>
      <c r="N15" s="1299" t="n"/>
      <c r="O15" s="1299" t="n"/>
      <c r="P15" s="1299" t="n"/>
      <c r="Q15" s="1299" t="n"/>
      <c r="R15" s="1299" t="n"/>
      <c r="S15" s="1299" t="n"/>
      <c r="T15" s="1299" t="n"/>
      <c r="U15" s="1299" t="n"/>
      <c r="V15" s="1299" t="n"/>
      <c r="W15" s="1299" t="n"/>
      <c r="X15" s="1299" t="n"/>
      <c r="Y15" s="1299" t="n"/>
      <c r="Z15" s="1299" t="n"/>
      <c r="AA15" s="1299" t="n"/>
      <c r="AB15" s="1299" t="n"/>
      <c r="AC15" s="1299" t="n"/>
      <c r="AD15" s="1299" t="n"/>
      <c r="AE15" s="1299" t="n"/>
      <c r="AF15" s="1299" t="n"/>
      <c r="AG15" s="1299" t="n"/>
      <c r="AH15" s="1299" t="n"/>
      <c r="AI15" s="1299" t="n"/>
      <c r="AJ15" s="1299" t="n"/>
      <c r="AK15" s="1299" t="n"/>
      <c r="AL15" s="1299" t="n"/>
      <c r="AM15" s="1300">
        <f>IF(COUNTA(D15:AL15)=0,"",COUNTA(D15:AL15))</f>
        <v/>
      </c>
      <c r="AN15" s="1259" t="n"/>
      <c r="AO15" s="1265" t="n"/>
      <c r="AP15" s="1297" t="n"/>
    </row>
    <row r="16" ht="14.25" customFormat="1" customHeight="1" s="1296">
      <c r="A16" s="1297" t="n"/>
      <c r="B16" s="1300">
        <f>IF('Master Data'!H11="","",'Master Data'!H11)</f>
        <v/>
      </c>
      <c r="C16" s="1300">
        <f>IF('Master Data'!I11="","",'Master Data'!I11)</f>
        <v/>
      </c>
      <c r="D16" s="1299" t="n"/>
      <c r="E16" s="1299" t="n"/>
      <c r="F16" s="1299" t="n"/>
      <c r="G16" s="1299" t="n"/>
      <c r="H16" s="1299" t="n"/>
      <c r="I16" s="1299" t="n"/>
      <c r="J16" s="1299" t="n"/>
      <c r="K16" s="1299" t="n"/>
      <c r="L16" s="1299" t="n"/>
      <c r="M16" s="1299" t="n"/>
      <c r="N16" s="1299" t="n"/>
      <c r="O16" s="1299" t="n"/>
      <c r="P16" s="1299" t="n"/>
      <c r="Q16" s="1299" t="n"/>
      <c r="R16" s="1299" t="n"/>
      <c r="S16" s="1299" t="n"/>
      <c r="T16" s="1299" t="n"/>
      <c r="U16" s="1299" t="n"/>
      <c r="V16" s="1299" t="n"/>
      <c r="W16" s="1299" t="n"/>
      <c r="X16" s="1299" t="n"/>
      <c r="Y16" s="1299" t="n"/>
      <c r="Z16" s="1299" t="n"/>
      <c r="AA16" s="1299" t="n"/>
      <c r="AB16" s="1299" t="n"/>
      <c r="AC16" s="1299" t="n"/>
      <c r="AD16" s="1299" t="n"/>
      <c r="AE16" s="1299" t="n"/>
      <c r="AF16" s="1299" t="n"/>
      <c r="AG16" s="1299" t="n"/>
      <c r="AH16" s="1299" t="n"/>
      <c r="AI16" s="1299" t="n"/>
      <c r="AJ16" s="1299" t="n"/>
      <c r="AK16" s="1299" t="n"/>
      <c r="AL16" s="1299" t="n"/>
      <c r="AM16" s="1300">
        <f>IF(COUNTA(D16:AL16)=0,"",COUNTA(D16:AL16))</f>
        <v/>
      </c>
      <c r="AN16" s="1259" t="n"/>
      <c r="AO16" s="1265" t="n"/>
      <c r="AP16" s="1297" t="n"/>
    </row>
    <row r="17" ht="14.25" customFormat="1" customHeight="1" s="1296">
      <c r="A17" s="1297" t="n"/>
      <c r="B17" s="1300">
        <f>IF('Master Data'!H12="","",'Master Data'!H12)</f>
        <v/>
      </c>
      <c r="C17" s="1300">
        <f>IF('Master Data'!I12="","",'Master Data'!I12)</f>
        <v/>
      </c>
      <c r="D17" s="1299" t="n"/>
      <c r="E17" s="1299" t="n"/>
      <c r="F17" s="1299" t="n"/>
      <c r="G17" s="1299" t="n"/>
      <c r="H17" s="1299" t="n"/>
      <c r="I17" s="1299" t="n"/>
      <c r="J17" s="1299" t="n"/>
      <c r="K17" s="1299" t="n"/>
      <c r="L17" s="1299" t="n"/>
      <c r="M17" s="1299" t="n"/>
      <c r="N17" s="1299" t="n"/>
      <c r="O17" s="1299" t="n"/>
      <c r="P17" s="1299" t="n"/>
      <c r="Q17" s="1299" t="n"/>
      <c r="R17" s="1299" t="n"/>
      <c r="S17" s="1299" t="n"/>
      <c r="T17" s="1299" t="n"/>
      <c r="U17" s="1299" t="n"/>
      <c r="V17" s="1299" t="n"/>
      <c r="W17" s="1299" t="n"/>
      <c r="X17" s="1299" t="n"/>
      <c r="Y17" s="1299" t="n"/>
      <c r="Z17" s="1299" t="n"/>
      <c r="AA17" s="1299" t="n"/>
      <c r="AB17" s="1299" t="n"/>
      <c r="AC17" s="1299" t="n"/>
      <c r="AD17" s="1299" t="n"/>
      <c r="AE17" s="1299" t="n"/>
      <c r="AF17" s="1299" t="n"/>
      <c r="AG17" s="1299" t="n"/>
      <c r="AH17" s="1299" t="n"/>
      <c r="AI17" s="1299" t="n"/>
      <c r="AJ17" s="1299" t="n"/>
      <c r="AK17" s="1299" t="n"/>
      <c r="AL17" s="1299" t="n"/>
      <c r="AM17" s="1300">
        <f>IF(COUNTA(D17:AL17)=0,"",COUNTA(D17:AL17))</f>
        <v/>
      </c>
      <c r="AN17" s="1259" t="n"/>
      <c r="AO17" s="1265" t="n"/>
      <c r="AP17" s="1297" t="n"/>
    </row>
    <row r="18" ht="14.25" customFormat="1" customHeight="1" s="1296">
      <c r="A18" s="1297" t="n"/>
      <c r="B18" s="1300">
        <f>IF('Master Data'!H13="","",'Master Data'!H13)</f>
        <v/>
      </c>
      <c r="C18" s="1300">
        <f>IF('Master Data'!I13="","",'Master Data'!I13)</f>
        <v/>
      </c>
      <c r="D18" s="1299" t="n"/>
      <c r="E18" s="1299" t="n"/>
      <c r="F18" s="1299" t="n"/>
      <c r="G18" s="1299" t="n"/>
      <c r="H18" s="1299" t="n"/>
      <c r="I18" s="1299" t="n"/>
      <c r="J18" s="1299" t="n"/>
      <c r="K18" s="1299" t="n"/>
      <c r="L18" s="1299" t="n"/>
      <c r="M18" s="1299" t="n"/>
      <c r="N18" s="1299" t="n"/>
      <c r="O18" s="1299" t="n"/>
      <c r="P18" s="1299" t="n"/>
      <c r="Q18" s="1299" t="n"/>
      <c r="R18" s="1299" t="n"/>
      <c r="S18" s="1299" t="n"/>
      <c r="T18" s="1299" t="n"/>
      <c r="U18" s="1299" t="n"/>
      <c r="V18" s="1299" t="n"/>
      <c r="W18" s="1299" t="n"/>
      <c r="X18" s="1299" t="n"/>
      <c r="Y18" s="1299" t="n"/>
      <c r="Z18" s="1299" t="n"/>
      <c r="AA18" s="1299" t="n"/>
      <c r="AB18" s="1299" t="n"/>
      <c r="AC18" s="1299" t="n"/>
      <c r="AD18" s="1299" t="n"/>
      <c r="AE18" s="1299" t="n"/>
      <c r="AF18" s="1299" t="n"/>
      <c r="AG18" s="1299" t="n"/>
      <c r="AH18" s="1299" t="n"/>
      <c r="AI18" s="1299" t="n"/>
      <c r="AJ18" s="1299" t="n"/>
      <c r="AK18" s="1299" t="n"/>
      <c r="AL18" s="1299" t="n"/>
      <c r="AM18" s="1300">
        <f>IF(COUNTA(D18:AL18)=0,"",COUNTA(D18:AL18))</f>
        <v/>
      </c>
      <c r="AN18" s="1259" t="n"/>
      <c r="AO18" s="1265" t="n"/>
      <c r="AP18" s="1297" t="n"/>
    </row>
    <row r="19" ht="14.25" customFormat="1" customHeight="1" s="1296">
      <c r="A19" s="1297" t="n"/>
      <c r="B19" s="1300">
        <f>IF('Master Data'!H14="","",'Master Data'!H14)</f>
        <v/>
      </c>
      <c r="C19" s="1300">
        <f>IF('Master Data'!I14="","",'Master Data'!I14)</f>
        <v/>
      </c>
      <c r="D19" s="1299" t="n"/>
      <c r="E19" s="1299" t="n"/>
      <c r="F19" s="1299" t="n"/>
      <c r="G19" s="1299" t="n"/>
      <c r="H19" s="1299" t="n"/>
      <c r="I19" s="1299" t="n"/>
      <c r="J19" s="1299" t="n"/>
      <c r="K19" s="1299" t="n"/>
      <c r="L19" s="1299" t="n"/>
      <c r="M19" s="1299" t="n"/>
      <c r="N19" s="1299" t="n"/>
      <c r="O19" s="1299" t="n"/>
      <c r="P19" s="1299" t="n"/>
      <c r="Q19" s="1299" t="n"/>
      <c r="R19" s="1299" t="n"/>
      <c r="S19" s="1299" t="n"/>
      <c r="T19" s="1299" t="n"/>
      <c r="U19" s="1299" t="n"/>
      <c r="V19" s="1299" t="n"/>
      <c r="W19" s="1299" t="n"/>
      <c r="X19" s="1299" t="n"/>
      <c r="Y19" s="1299" t="n"/>
      <c r="Z19" s="1299" t="n"/>
      <c r="AA19" s="1299" t="n"/>
      <c r="AB19" s="1299" t="n"/>
      <c r="AC19" s="1299" t="n"/>
      <c r="AD19" s="1299" t="n"/>
      <c r="AE19" s="1299" t="n"/>
      <c r="AF19" s="1299" t="n"/>
      <c r="AG19" s="1299" t="n"/>
      <c r="AH19" s="1299" t="n"/>
      <c r="AI19" s="1299" t="n"/>
      <c r="AJ19" s="1299" t="n"/>
      <c r="AK19" s="1299" t="n"/>
      <c r="AL19" s="1299" t="n"/>
      <c r="AM19" s="1300">
        <f>IF(COUNTA(D19:AL19)=0,"",COUNTA(D19:AL19))</f>
        <v/>
      </c>
      <c r="AN19" s="1259" t="n"/>
      <c r="AO19" s="1265" t="n"/>
      <c r="AP19" s="1297" t="n"/>
    </row>
    <row r="20" ht="14.25" customFormat="1" customHeight="1" s="1296">
      <c r="A20" s="1297" t="n"/>
      <c r="B20" s="1300">
        <f>IF('Master Data'!H15="","",'Master Data'!H15)</f>
        <v/>
      </c>
      <c r="C20" s="1300">
        <f>IF('Master Data'!I15="","",'Master Data'!I15)</f>
        <v/>
      </c>
      <c r="D20" s="1299" t="n"/>
      <c r="E20" s="1299" t="n"/>
      <c r="F20" s="1299" t="n"/>
      <c r="G20" s="1299" t="n"/>
      <c r="H20" s="1299" t="n"/>
      <c r="I20" s="1299" t="n"/>
      <c r="J20" s="1299" t="n"/>
      <c r="K20" s="1299" t="n"/>
      <c r="L20" s="1299" t="n"/>
      <c r="M20" s="1299" t="n"/>
      <c r="N20" s="1299" t="n"/>
      <c r="O20" s="1299" t="n"/>
      <c r="P20" s="1299" t="n"/>
      <c r="Q20" s="1299" t="n"/>
      <c r="R20" s="1299" t="n"/>
      <c r="S20" s="1299" t="n"/>
      <c r="T20" s="1299" t="n"/>
      <c r="U20" s="1299" t="n"/>
      <c r="V20" s="1299" t="n"/>
      <c r="W20" s="1299" t="n"/>
      <c r="X20" s="1299" t="n"/>
      <c r="Y20" s="1299" t="n"/>
      <c r="Z20" s="1299" t="n"/>
      <c r="AA20" s="1299" t="n"/>
      <c r="AB20" s="1299" t="n"/>
      <c r="AC20" s="1299" t="n"/>
      <c r="AD20" s="1299" t="n"/>
      <c r="AE20" s="1299" t="n"/>
      <c r="AF20" s="1299" t="n"/>
      <c r="AG20" s="1299" t="n"/>
      <c r="AH20" s="1299" t="n"/>
      <c r="AI20" s="1299" t="n"/>
      <c r="AJ20" s="1299" t="n"/>
      <c r="AK20" s="1299" t="n"/>
      <c r="AL20" s="1299" t="n"/>
      <c r="AM20" s="1300">
        <f>IF(COUNTA(D20:AL20)=0,"",COUNTA(D20:AL20))</f>
        <v/>
      </c>
      <c r="AN20" s="1259" t="n"/>
      <c r="AO20" s="1265" t="n"/>
      <c r="AP20" s="1297" t="n"/>
    </row>
    <row r="21" ht="14.25" customFormat="1" customHeight="1" s="1296">
      <c r="A21" s="1297" t="n"/>
      <c r="B21" s="1300">
        <f>IF('Master Data'!H16="","",'Master Data'!H16)</f>
        <v/>
      </c>
      <c r="C21" s="1300">
        <f>IF('Master Data'!I16="","",'Master Data'!I16)</f>
        <v/>
      </c>
      <c r="D21" s="1299" t="n"/>
      <c r="E21" s="1299" t="n"/>
      <c r="F21" s="1299" t="n"/>
      <c r="G21" s="1299" t="n"/>
      <c r="H21" s="1299" t="n"/>
      <c r="I21" s="1299" t="n"/>
      <c r="J21" s="1299" t="n"/>
      <c r="K21" s="1299" t="n"/>
      <c r="L21" s="1299" t="n"/>
      <c r="M21" s="1299" t="n"/>
      <c r="N21" s="1299" t="n"/>
      <c r="O21" s="1299" t="n"/>
      <c r="P21" s="1299" t="n"/>
      <c r="Q21" s="1299" t="n"/>
      <c r="R21" s="1299" t="n"/>
      <c r="S21" s="1299" t="n"/>
      <c r="T21" s="1299" t="n"/>
      <c r="U21" s="1299" t="n"/>
      <c r="V21" s="1299" t="n"/>
      <c r="W21" s="1299" t="n"/>
      <c r="X21" s="1299" t="n"/>
      <c r="Y21" s="1299" t="n"/>
      <c r="Z21" s="1299" t="n"/>
      <c r="AA21" s="1299" t="n"/>
      <c r="AB21" s="1299" t="n"/>
      <c r="AC21" s="1299" t="n"/>
      <c r="AD21" s="1299" t="n"/>
      <c r="AE21" s="1299" t="n"/>
      <c r="AF21" s="1299" t="n"/>
      <c r="AG21" s="1299" t="n"/>
      <c r="AH21" s="1299" t="n"/>
      <c r="AI21" s="1299" t="n"/>
      <c r="AJ21" s="1299" t="n"/>
      <c r="AK21" s="1299" t="n"/>
      <c r="AL21" s="1299" t="n"/>
      <c r="AM21" s="1300">
        <f>IF(COUNTA(D21:AL21)=0,"",COUNTA(D21:AL21))</f>
        <v/>
      </c>
      <c r="AN21" s="1259" t="n"/>
      <c r="AO21" s="1265" t="n"/>
      <c r="AP21" s="1297" t="n"/>
    </row>
    <row r="22" ht="14.25" customFormat="1" customHeight="1" s="1296">
      <c r="A22" s="1297" t="n"/>
      <c r="B22" s="1300">
        <f>IF('Master Data'!H17="","",'Master Data'!H17)</f>
        <v/>
      </c>
      <c r="C22" s="1300">
        <f>IF('Master Data'!I17="","",'Master Data'!I17)</f>
        <v/>
      </c>
      <c r="D22" s="1299" t="n"/>
      <c r="E22" s="1299" t="n"/>
      <c r="F22" s="1299" t="n"/>
      <c r="G22" s="1299" t="n"/>
      <c r="H22" s="1299" t="n"/>
      <c r="I22" s="1299" t="n"/>
      <c r="J22" s="1299" t="n"/>
      <c r="K22" s="1299" t="n"/>
      <c r="L22" s="1299" t="n"/>
      <c r="M22" s="1299" t="n"/>
      <c r="N22" s="1299" t="n"/>
      <c r="O22" s="1299" t="n"/>
      <c r="P22" s="1299" t="n"/>
      <c r="Q22" s="1299" t="n"/>
      <c r="R22" s="1299" t="n"/>
      <c r="S22" s="1299" t="n"/>
      <c r="T22" s="1299" t="n"/>
      <c r="U22" s="1299" t="n"/>
      <c r="V22" s="1299" t="n"/>
      <c r="W22" s="1299" t="n"/>
      <c r="X22" s="1299" t="n"/>
      <c r="Y22" s="1299" t="n"/>
      <c r="Z22" s="1299" t="n"/>
      <c r="AA22" s="1299" t="n"/>
      <c r="AB22" s="1299" t="n"/>
      <c r="AC22" s="1299" t="n"/>
      <c r="AD22" s="1299" t="n"/>
      <c r="AE22" s="1299" t="n"/>
      <c r="AF22" s="1299" t="n"/>
      <c r="AG22" s="1299" t="n"/>
      <c r="AH22" s="1299" t="n"/>
      <c r="AI22" s="1299" t="n"/>
      <c r="AJ22" s="1299" t="n"/>
      <c r="AK22" s="1299" t="n"/>
      <c r="AL22" s="1299" t="n"/>
      <c r="AM22" s="1300">
        <f>IF(COUNTA(D22:AL22)=0,"",COUNTA(D22:AL22))</f>
        <v/>
      </c>
      <c r="AN22" s="1259" t="n"/>
      <c r="AO22" s="1265" t="n"/>
      <c r="AP22" s="1297" t="n"/>
      <c r="AR22" s="1296">
        <f>IF(D22="X",1,0)</f>
        <v/>
      </c>
      <c r="AS22" s="1296">
        <f>IF(E22="X",1,0)</f>
        <v/>
      </c>
      <c r="AT22" s="1296">
        <f>IF(F22="X",1,0)</f>
        <v/>
      </c>
      <c r="AU22" s="1296">
        <f>IF(G22="X",1,0)</f>
        <v/>
      </c>
      <c r="AV22" s="1296">
        <f>IF(H22="X",1,0)</f>
        <v/>
      </c>
      <c r="AW22" s="1296">
        <f>IF(I22="X",1,0)</f>
        <v/>
      </c>
      <c r="AX22" s="1296">
        <f>IF(J22="X",1,0)</f>
        <v/>
      </c>
      <c r="AY22" s="1296">
        <f>IF(K22="X",1,0)</f>
        <v/>
      </c>
      <c r="AZ22" s="1296">
        <f>IF(L22="X",1,0)</f>
        <v/>
      </c>
      <c r="BA22" s="1296">
        <f>IF(M22="X",1,0)</f>
        <v/>
      </c>
      <c r="BB22" s="1296">
        <f>IF(N22="X",1,0)</f>
        <v/>
      </c>
      <c r="BC22" s="1296">
        <f>IF(O22="X",1,0)</f>
        <v/>
      </c>
      <c r="BD22" s="1296">
        <f>IF(P22="X",1,0)</f>
        <v/>
      </c>
      <c r="BE22" s="1296">
        <f>IF(Q22="X",1,0)</f>
        <v/>
      </c>
      <c r="BF22" s="1296">
        <f>IF(R22="X",1,0)</f>
        <v/>
      </c>
      <c r="BG22" s="1296">
        <f>IF(S22="X",1,0)</f>
        <v/>
      </c>
      <c r="BH22" s="1296">
        <f>IF(T22="X",1,0)</f>
        <v/>
      </c>
      <c r="BI22" s="1296">
        <f>IF(U22="X",1,0)</f>
        <v/>
      </c>
      <c r="BJ22" s="1296">
        <f>IF(V22="X",1,0)</f>
        <v/>
      </c>
      <c r="BK22" s="1296">
        <f>IF(W22="X",1,0)</f>
        <v/>
      </c>
      <c r="BL22" s="1296">
        <f>IF(X22="X",1,0)</f>
        <v/>
      </c>
      <c r="BM22" s="1296">
        <f>IF(Y22="X",1,0)</f>
        <v/>
      </c>
      <c r="BN22" s="1296">
        <f>IF(Z22="X",1,0)</f>
        <v/>
      </c>
      <c r="BO22" s="1296">
        <f>IF(AA22="X",1,0)</f>
        <v/>
      </c>
      <c r="BP22" s="1296">
        <f>IF(AB22="X",1,0)</f>
        <v/>
      </c>
      <c r="BQ22" s="1296">
        <f>IF(AC22="X",1,0)</f>
        <v/>
      </c>
      <c r="BR22" s="1296">
        <f>IF(AD22="X",1,0)</f>
        <v/>
      </c>
      <c r="BS22" s="1296">
        <f>IF(AE22="X",1,0)</f>
        <v/>
      </c>
      <c r="BT22" s="1296">
        <f>IF(AF22="X",1,0)</f>
        <v/>
      </c>
      <c r="BU22" s="1296">
        <f>IF(AG22="X",1,0)</f>
        <v/>
      </c>
      <c r="BV22" s="1296">
        <f>IF(AH22="X",1,0)</f>
        <v/>
      </c>
      <c r="BW22" s="1296">
        <f>IF(AI22="X",1,0)</f>
        <v/>
      </c>
      <c r="BX22" s="1296">
        <f>IF(AJ22="X",1,0)</f>
        <v/>
      </c>
      <c r="BY22" s="1296">
        <f>IF(AK22="X",1,0)</f>
        <v/>
      </c>
      <c r="BZ22" s="1296">
        <f>IF(AL22="X",1,0)</f>
        <v/>
      </c>
      <c r="CA22" s="1296">
        <f>IF(AM22="X",1,0)</f>
        <v/>
      </c>
      <c r="CB22" s="1296">
        <f>IF(AN22="X",1,0)</f>
        <v/>
      </c>
    </row>
    <row r="23" ht="14.25" customHeight="1" s="882">
      <c r="A23" s="1256" t="n"/>
      <c r="B23" s="1300">
        <f>IF('Master Data'!H18="","",'Master Data'!H18)</f>
        <v/>
      </c>
      <c r="C23" s="1300">
        <f>IF('Master Data'!I18="","",'Master Data'!I18)</f>
        <v/>
      </c>
      <c r="D23" s="1299" t="n"/>
      <c r="E23" s="1299" t="n"/>
      <c r="F23" s="1299" t="n"/>
      <c r="G23" s="1299" t="n"/>
      <c r="H23" s="1299" t="n"/>
      <c r="I23" s="1299" t="n"/>
      <c r="J23" s="1299" t="n"/>
      <c r="K23" s="1299" t="n"/>
      <c r="L23" s="1299" t="n"/>
      <c r="M23" s="1299" t="n"/>
      <c r="N23" s="1299" t="n"/>
      <c r="O23" s="1299" t="n"/>
      <c r="P23" s="1299" t="n"/>
      <c r="Q23" s="1299" t="n"/>
      <c r="R23" s="1299" t="n"/>
      <c r="S23" s="1299" t="n"/>
      <c r="T23" s="1299" t="n"/>
      <c r="U23" s="1299" t="n"/>
      <c r="V23" s="1299" t="n"/>
      <c r="W23" s="1299" t="n"/>
      <c r="X23" s="1299" t="n"/>
      <c r="Y23" s="1299" t="n"/>
      <c r="Z23" s="1299" t="n"/>
      <c r="AA23" s="1299" t="n"/>
      <c r="AB23" s="1299" t="n"/>
      <c r="AC23" s="1299" t="n"/>
      <c r="AD23" s="1299" t="n"/>
      <c r="AE23" s="1299" t="n"/>
      <c r="AF23" s="1299" t="n"/>
      <c r="AG23" s="1299" t="n"/>
      <c r="AH23" s="1299" t="n"/>
      <c r="AI23" s="1299" t="n"/>
      <c r="AJ23" s="1299" t="n"/>
      <c r="AK23" s="1299" t="n"/>
      <c r="AL23" s="1299" t="n"/>
      <c r="AM23" s="1300">
        <f>IF(COUNTA(D23:AL23)=0,"",COUNTA(D23:AL23))</f>
        <v/>
      </c>
      <c r="AN23" s="1259" t="n"/>
      <c r="AO23" s="1265" t="n"/>
      <c r="AP23" s="1256" t="n"/>
      <c r="AR23" s="1296">
        <f>IF(D23="X",1,0)</f>
        <v/>
      </c>
      <c r="AS23" s="1296">
        <f>IF(E23="X",1,0)</f>
        <v/>
      </c>
      <c r="AT23" s="1296">
        <f>IF(F23="X",1,0)</f>
        <v/>
      </c>
      <c r="AU23" s="1296">
        <f>IF(G23="X",1,0)</f>
        <v/>
      </c>
      <c r="AV23" s="1296">
        <f>IF(H23="X",1,0)</f>
        <v/>
      </c>
      <c r="AW23" s="1296">
        <f>IF(I23="X",1,0)</f>
        <v/>
      </c>
      <c r="AX23" s="1296">
        <f>IF(J23="X",1,0)</f>
        <v/>
      </c>
      <c r="AY23" s="1296">
        <f>IF(K23="X",1,0)</f>
        <v/>
      </c>
      <c r="AZ23" s="1296">
        <f>IF(L23="X",1,0)</f>
        <v/>
      </c>
      <c r="BA23" s="1296">
        <f>IF(M23="X",1,0)</f>
        <v/>
      </c>
      <c r="BB23" s="1296">
        <f>IF(N23="X",1,0)</f>
        <v/>
      </c>
      <c r="BC23" s="1296">
        <f>IF(O23="X",1,0)</f>
        <v/>
      </c>
      <c r="BD23" s="1296">
        <f>IF(P23="X",1,0)</f>
        <v/>
      </c>
      <c r="BE23" s="1296">
        <f>IF(Q23="X",1,0)</f>
        <v/>
      </c>
      <c r="BF23" s="1296">
        <f>IF(R23="X",1,0)</f>
        <v/>
      </c>
      <c r="BG23" s="1296">
        <f>IF(S23="X",1,0)</f>
        <v/>
      </c>
      <c r="BH23" s="1296">
        <f>IF(T23="X",1,0)</f>
        <v/>
      </c>
      <c r="BI23" s="1296">
        <f>IF(U23="X",1,0)</f>
        <v/>
      </c>
      <c r="BJ23" s="1296">
        <f>IF(V23="X",1,0)</f>
        <v/>
      </c>
      <c r="BK23" s="1296">
        <f>IF(W23="X",1,0)</f>
        <v/>
      </c>
      <c r="BL23" s="1296">
        <f>IF(X23="X",1,0)</f>
        <v/>
      </c>
      <c r="BM23" s="1296">
        <f>IF(Y23="X",1,0)</f>
        <v/>
      </c>
      <c r="BN23" s="1296">
        <f>IF(Z23="X",1,0)</f>
        <v/>
      </c>
      <c r="BO23" s="1296">
        <f>IF(AA23="X",1,0)</f>
        <v/>
      </c>
      <c r="BP23" s="1296">
        <f>IF(AB23="X",1,0)</f>
        <v/>
      </c>
      <c r="BQ23" s="1296">
        <f>IF(AC23="X",1,0)</f>
        <v/>
      </c>
      <c r="BR23" s="1296">
        <f>IF(AD23="X",1,0)</f>
        <v/>
      </c>
      <c r="BS23" s="1296">
        <f>IF(AE23="X",1,0)</f>
        <v/>
      </c>
      <c r="BT23" s="1296">
        <f>IF(AF23="X",1,0)</f>
        <v/>
      </c>
      <c r="BU23" s="1296">
        <f>IF(AG23="X",1,0)</f>
        <v/>
      </c>
      <c r="BV23" s="1296">
        <f>IF(AH23="X",1,0)</f>
        <v/>
      </c>
      <c r="BW23" s="1296">
        <f>IF(AI23="X",1,0)</f>
        <v/>
      </c>
      <c r="BX23" s="1296">
        <f>IF(AJ23="X",1,0)</f>
        <v/>
      </c>
      <c r="BY23" s="1296">
        <f>IF(AK23="X",1,0)</f>
        <v/>
      </c>
      <c r="BZ23" s="1296">
        <f>IF(AL23="X",1,0)</f>
        <v/>
      </c>
      <c r="CA23" s="1296">
        <f>IF(AM23="X",1,0)</f>
        <v/>
      </c>
      <c r="CB23" s="1296">
        <f>IF(AN23="X",1,0)</f>
        <v/>
      </c>
    </row>
    <row r="24" ht="14.25" customHeight="1" s="882">
      <c r="A24" s="1256" t="n"/>
      <c r="B24" s="1293" t="inlineStr">
        <is>
          <t>Part # /Serial #</t>
        </is>
      </c>
      <c r="C24" s="1293" t="inlineStr">
        <is>
          <t xml:space="preserve">Service Equipment </t>
        </is>
      </c>
      <c r="D24" s="1302" t="n"/>
      <c r="E24" s="1302" t="n"/>
      <c r="F24" s="1302" t="n"/>
      <c r="G24" s="1302" t="n"/>
      <c r="H24" s="1302" t="n"/>
      <c r="I24" s="1302" t="n"/>
      <c r="J24" s="1302" t="n"/>
      <c r="K24" s="1302" t="n"/>
      <c r="L24" s="1302" t="n"/>
      <c r="M24" s="1302" t="n"/>
      <c r="N24" s="1302" t="n"/>
      <c r="O24" s="1302" t="n"/>
      <c r="P24" s="1302" t="n"/>
      <c r="Q24" s="1302" t="n"/>
      <c r="R24" s="1302" t="n"/>
      <c r="S24" s="1302" t="n"/>
      <c r="T24" s="1302" t="n"/>
      <c r="U24" s="1302" t="n"/>
      <c r="V24" s="1302" t="n"/>
      <c r="W24" s="1302" t="n"/>
      <c r="X24" s="1302" t="n"/>
      <c r="Y24" s="1302" t="n"/>
      <c r="Z24" s="1302" t="n"/>
      <c r="AA24" s="1302" t="n"/>
      <c r="AB24" s="1302" t="n"/>
      <c r="AC24" s="1302" t="n"/>
      <c r="AD24" s="1302" t="n"/>
      <c r="AE24" s="1302" t="n"/>
      <c r="AF24" s="1302" t="n"/>
      <c r="AG24" s="1302" t="n"/>
      <c r="AH24" s="1302" t="n"/>
      <c r="AI24" s="1302" t="n"/>
      <c r="AJ24" s="1302" t="n"/>
      <c r="AK24" s="1302" t="n"/>
      <c r="AL24" s="1302" t="n"/>
      <c r="AM24" s="1303" t="n"/>
      <c r="AN24" s="1259" t="n"/>
      <c r="AO24" s="1265" t="n"/>
      <c r="AP24" s="1256" t="n"/>
      <c r="AR24" s="1296" t="n"/>
      <c r="AS24" s="1296" t="n"/>
      <c r="AT24" s="1296" t="n"/>
      <c r="AU24" s="1296" t="n"/>
      <c r="AV24" s="1296" t="n"/>
      <c r="AW24" s="1296" t="n"/>
      <c r="AX24" s="1296" t="n"/>
      <c r="AY24" s="1296" t="n"/>
      <c r="AZ24" s="1296" t="n"/>
      <c r="BA24" s="1296" t="n"/>
      <c r="BB24" s="1296" t="n"/>
      <c r="BC24" s="1296" t="n"/>
      <c r="BD24" s="1296" t="n"/>
      <c r="BE24" s="1296" t="n"/>
      <c r="BF24" s="1296" t="n"/>
      <c r="BG24" s="1296" t="n"/>
      <c r="BH24" s="1296" t="n"/>
      <c r="BI24" s="1296" t="n"/>
      <c r="BJ24" s="1296" t="n"/>
      <c r="BK24" s="1296" t="n"/>
      <c r="BL24" s="1296" t="n"/>
      <c r="BM24" s="1296" t="n"/>
      <c r="BN24" s="1296" t="n"/>
      <c r="BO24" s="1296" t="n"/>
      <c r="BP24" s="1296" t="n"/>
      <c r="BQ24" s="1296" t="n"/>
      <c r="BR24" s="1296" t="n"/>
      <c r="BS24" s="1296" t="n"/>
      <c r="BT24" s="1296" t="n"/>
      <c r="BU24" s="1296" t="n"/>
      <c r="BV24" s="1296" t="n"/>
      <c r="BW24" s="1296" t="n"/>
      <c r="BX24" s="1296" t="n"/>
      <c r="BY24" s="1296" t="n"/>
      <c r="BZ24" s="1296" t="n"/>
      <c r="CA24" s="1296" t="n"/>
      <c r="CB24" s="1296" t="n"/>
    </row>
    <row r="25" ht="14.25" customHeight="1" s="882">
      <c r="A25" s="1256" t="n"/>
      <c r="B25" s="1304">
        <f>'MS2'!F11</f>
        <v/>
      </c>
      <c r="C25" s="1305">
        <f>'MS2'!G11</f>
        <v/>
      </c>
      <c r="D25" s="1299" t="inlineStr">
        <is>
          <t>x</t>
        </is>
      </c>
      <c r="E25" s="1299" t="inlineStr">
        <is>
          <t>x</t>
        </is>
      </c>
      <c r="F25" s="1299" t="inlineStr">
        <is>
          <t>x</t>
        </is>
      </c>
      <c r="G25" s="1299" t="inlineStr">
        <is>
          <t>x</t>
        </is>
      </c>
      <c r="H25" s="1299" t="inlineStr">
        <is>
          <t>x</t>
        </is>
      </c>
      <c r="I25" s="1299" t="inlineStr">
        <is>
          <t>x</t>
        </is>
      </c>
      <c r="J25" s="1306" t="n"/>
      <c r="K25" s="1306" t="n"/>
      <c r="L25" s="1306" t="n"/>
      <c r="M25" s="1306" t="n"/>
      <c r="N25" s="1306" t="n"/>
      <c r="O25" s="1307" t="n"/>
      <c r="P25" s="1307" t="n"/>
      <c r="Q25" s="1307" t="n"/>
      <c r="R25" s="1307" t="n"/>
      <c r="S25" s="1307" t="n"/>
      <c r="T25" s="1307" t="n"/>
      <c r="U25" s="1307" t="n"/>
      <c r="V25" s="1307" t="n"/>
      <c r="W25" s="1307" t="n"/>
      <c r="X25" s="1307" t="n"/>
      <c r="Y25" s="1307" t="n"/>
      <c r="Z25" s="1301" t="n"/>
      <c r="AA25" s="1301" t="n"/>
      <c r="AB25" s="1301" t="n"/>
      <c r="AC25" s="1301" t="n"/>
      <c r="AD25" s="1301" t="n"/>
      <c r="AE25" s="1301" t="n"/>
      <c r="AF25" s="1301" t="n"/>
      <c r="AG25" s="1301" t="n"/>
      <c r="AH25" s="1306" t="n"/>
      <c r="AI25" s="1306" t="n"/>
      <c r="AJ25" s="1306" t="n"/>
      <c r="AK25" s="1306" t="n"/>
      <c r="AL25" s="1306" t="n"/>
      <c r="AM25" s="1300">
        <f>IF(COUNTA(D25:AL25)=0,"",COUNTA(D25:AL25))</f>
        <v/>
      </c>
      <c r="AN25" s="1259" t="n"/>
      <c r="AO25" s="1265" t="n"/>
      <c r="AP25" s="1256" t="n"/>
      <c r="AR25" s="1296">
        <f>IF(D25="X",1,0)</f>
        <v/>
      </c>
      <c r="AS25" s="1296">
        <f>IF(E25="X",1,0)</f>
        <v/>
      </c>
      <c r="AT25" s="1296">
        <f>IF(F25="X",1,0)</f>
        <v/>
      </c>
      <c r="AU25" s="1296">
        <f>IF(G25="X",1,0)</f>
        <v/>
      </c>
      <c r="AV25" s="1296">
        <f>IF(H25="X",1,0)</f>
        <v/>
      </c>
      <c r="AW25" s="1296">
        <f>IF(I25="X",1,0)</f>
        <v/>
      </c>
      <c r="AX25" s="1296">
        <f>IF(J25="X",1,0)</f>
        <v/>
      </c>
      <c r="AY25" s="1296">
        <f>IF(K25="X",1,0)</f>
        <v/>
      </c>
      <c r="AZ25" s="1296">
        <f>IF(L25="X",1,0)</f>
        <v/>
      </c>
      <c r="BA25" s="1296">
        <f>IF(M25="X",1,0)</f>
        <v/>
      </c>
      <c r="BB25" s="1296">
        <f>IF(N25="X",1,0)</f>
        <v/>
      </c>
      <c r="BC25" s="1296">
        <f>IF(O25="X",1,0)</f>
        <v/>
      </c>
      <c r="BD25" s="1296">
        <f>IF(P25="X",1,0)</f>
        <v/>
      </c>
      <c r="BE25" s="1296">
        <f>IF(Q25="X",1,0)</f>
        <v/>
      </c>
      <c r="BF25" s="1296">
        <f>IF(R25="X",1,0)</f>
        <v/>
      </c>
      <c r="BG25" s="1296">
        <f>IF(S25="X",1,0)</f>
        <v/>
      </c>
      <c r="BH25" s="1296">
        <f>IF(T25="X",1,0)</f>
        <v/>
      </c>
      <c r="BI25" s="1296">
        <f>IF(U25="X",1,0)</f>
        <v/>
      </c>
      <c r="BJ25" s="1296">
        <f>IF(V25="X",1,0)</f>
        <v/>
      </c>
      <c r="BK25" s="1296">
        <f>IF(W25="X",1,0)</f>
        <v/>
      </c>
      <c r="BL25" s="1296">
        <f>IF(X25="X",1,0)</f>
        <v/>
      </c>
      <c r="BM25" s="1296">
        <f>IF(Y25="X",1,0)</f>
        <v/>
      </c>
      <c r="BN25" s="1296">
        <f>IF(Z25="X",1,0)</f>
        <v/>
      </c>
      <c r="BO25" s="1296">
        <f>IF(AA25="X",1,0)</f>
        <v/>
      </c>
      <c r="BP25" s="1296">
        <f>IF(AB25="X",1,0)</f>
        <v/>
      </c>
      <c r="BQ25" s="1296">
        <f>IF(AC25="X",1,0)</f>
        <v/>
      </c>
      <c r="BR25" s="1296">
        <f>IF(AD25="X",1,0)</f>
        <v/>
      </c>
      <c r="BS25" s="1296">
        <f>IF(AE25="X",1,0)</f>
        <v/>
      </c>
      <c r="BT25" s="1296">
        <f>IF(AF25="X",1,0)</f>
        <v/>
      </c>
      <c r="BU25" s="1296">
        <f>IF(AG25="X",1,0)</f>
        <v/>
      </c>
      <c r="BV25" s="1296">
        <f>IF(AH25="X",1,0)</f>
        <v/>
      </c>
      <c r="BW25" s="1296">
        <f>IF(AI25="X",1,0)</f>
        <v/>
      </c>
      <c r="BX25" s="1296">
        <f>IF(AJ25="X",1,0)</f>
        <v/>
      </c>
      <c r="BY25" s="1296">
        <f>IF(AK25="X",1,0)</f>
        <v/>
      </c>
      <c r="BZ25" s="1296">
        <f>IF(AL25="X",1,0)</f>
        <v/>
      </c>
      <c r="CA25" s="1296">
        <f>IF(AM25="X",1,0)</f>
        <v/>
      </c>
      <c r="CB25" s="1296">
        <f>IF(AN25="X",1,0)</f>
        <v/>
      </c>
    </row>
    <row r="26" ht="14.25" customHeight="1" s="882">
      <c r="A26" s="1256" t="n"/>
      <c r="B26" s="1308">
        <f>'MS2'!F12</f>
        <v/>
      </c>
      <c r="C26" s="1309">
        <f>'MS2'!G12</f>
        <v/>
      </c>
      <c r="D26" s="1307" t="n"/>
      <c r="E26" s="1307" t="n"/>
      <c r="F26" s="1307" t="n"/>
      <c r="G26" s="1307" t="n"/>
      <c r="H26" s="1307" t="n"/>
      <c r="I26" s="1307" t="n"/>
      <c r="J26" s="1307" t="n"/>
      <c r="K26" s="1307" t="n"/>
      <c r="L26" s="1307" t="n"/>
      <c r="M26" s="1307" t="n"/>
      <c r="N26" s="1307" t="n"/>
      <c r="O26" s="1307" t="n"/>
      <c r="P26" s="1307" t="n"/>
      <c r="Q26" s="1307" t="n"/>
      <c r="R26" s="1307" t="n"/>
      <c r="S26" s="1307" t="n"/>
      <c r="T26" s="1307" t="n"/>
      <c r="U26" s="1307" t="n"/>
      <c r="V26" s="1307" t="n"/>
      <c r="W26" s="1307" t="n"/>
      <c r="X26" s="1307" t="n"/>
      <c r="Y26" s="1307" t="n"/>
      <c r="Z26" s="1301" t="n"/>
      <c r="AA26" s="1301" t="n"/>
      <c r="AB26" s="1301" t="n"/>
      <c r="AC26" s="1301" t="n"/>
      <c r="AD26" s="1301" t="n"/>
      <c r="AE26" s="1301" t="n"/>
      <c r="AF26" s="1301" t="n"/>
      <c r="AG26" s="1301" t="n"/>
      <c r="AH26" s="1301" t="n"/>
      <c r="AI26" s="1307" t="n"/>
      <c r="AJ26" s="1307" t="n"/>
      <c r="AK26" s="1307" t="n"/>
      <c r="AL26" s="1307" t="n"/>
      <c r="AM26" s="1300">
        <f>IF(COUNTA(D26:AL26)=0,"",COUNTA(D26:AL26))</f>
        <v/>
      </c>
      <c r="AN26" s="1259" t="n"/>
      <c r="AO26" s="1265" t="n"/>
      <c r="AP26" s="1256" t="n"/>
      <c r="AR26" s="1296">
        <f>IF(D26="X",1,0)</f>
        <v/>
      </c>
      <c r="AS26" s="1296">
        <f>IF(E26="X",1,0)</f>
        <v/>
      </c>
      <c r="AT26" s="1296">
        <f>IF(F26="X",1,0)</f>
        <v/>
      </c>
      <c r="AU26" s="1296">
        <f>IF(G26="X",1,0)</f>
        <v/>
      </c>
      <c r="AV26" s="1296">
        <f>IF(H26="X",1,0)</f>
        <v/>
      </c>
      <c r="AW26" s="1296">
        <f>IF(I26="X",1,0)</f>
        <v/>
      </c>
      <c r="AX26" s="1296">
        <f>IF(J26="X",1,0)</f>
        <v/>
      </c>
      <c r="AY26" s="1296">
        <f>IF(K26="X",1,0)</f>
        <v/>
      </c>
      <c r="AZ26" s="1296">
        <f>IF(L26="X",1,0)</f>
        <v/>
      </c>
      <c r="BA26" s="1296">
        <f>IF(M26="X",1,0)</f>
        <v/>
      </c>
      <c r="BB26" s="1296">
        <f>IF(N26="X",1,0)</f>
        <v/>
      </c>
      <c r="BC26" s="1296">
        <f>IF(O26="X",1,0)</f>
        <v/>
      </c>
      <c r="BD26" s="1296">
        <f>IF(P26="X",1,0)</f>
        <v/>
      </c>
      <c r="BE26" s="1296">
        <f>IF(Q26="X",1,0)</f>
        <v/>
      </c>
      <c r="BF26" s="1296">
        <f>IF(R26="X",1,0)</f>
        <v/>
      </c>
      <c r="BG26" s="1296">
        <f>IF(S26="X",1,0)</f>
        <v/>
      </c>
      <c r="BH26" s="1296">
        <f>IF(T26="X",1,0)</f>
        <v/>
      </c>
      <c r="BI26" s="1296">
        <f>IF(U26="X",1,0)</f>
        <v/>
      </c>
      <c r="BJ26" s="1296">
        <f>IF(V26="X",1,0)</f>
        <v/>
      </c>
      <c r="BK26" s="1296">
        <f>IF(W26="X",1,0)</f>
        <v/>
      </c>
      <c r="BL26" s="1296">
        <f>IF(X26="X",1,0)</f>
        <v/>
      </c>
      <c r="BM26" s="1296">
        <f>IF(Y26="X",1,0)</f>
        <v/>
      </c>
      <c r="BN26" s="1296">
        <f>IF(Z26="X",1,0)</f>
        <v/>
      </c>
      <c r="BO26" s="1296">
        <f>IF(AA26="X",1,0)</f>
        <v/>
      </c>
      <c r="BP26" s="1296">
        <f>IF(AB26="X",1,0)</f>
        <v/>
      </c>
      <c r="BQ26" s="1296">
        <f>IF(AC26="X",1,0)</f>
        <v/>
      </c>
      <c r="BR26" s="1296">
        <f>IF(AD26="X",1,0)</f>
        <v/>
      </c>
      <c r="BS26" s="1296">
        <f>IF(AE26="X",1,0)</f>
        <v/>
      </c>
      <c r="BT26" s="1296">
        <f>IF(AF26="X",1,0)</f>
        <v/>
      </c>
      <c r="BU26" s="1296">
        <f>IF(AG26="X",1,0)</f>
        <v/>
      </c>
      <c r="BV26" s="1296">
        <f>IF(AH26="X",1,0)</f>
        <v/>
      </c>
      <c r="BW26" s="1296">
        <f>IF(AI26="X",1,0)</f>
        <v/>
      </c>
      <c r="BX26" s="1296">
        <f>IF(AJ26="X",1,0)</f>
        <v/>
      </c>
      <c r="BY26" s="1296">
        <f>IF(AK26="X",1,0)</f>
        <v/>
      </c>
      <c r="BZ26" s="1296">
        <f>IF(AL26="X",1,0)</f>
        <v/>
      </c>
      <c r="CA26" s="1296">
        <f>IF(AM26="X",1,0)</f>
        <v/>
      </c>
      <c r="CB26" s="1296">
        <f>IF(AN26="X",1,0)</f>
        <v/>
      </c>
    </row>
    <row r="27" ht="14.25" customHeight="1" s="882">
      <c r="A27" s="1256" t="n"/>
      <c r="B27" s="1304">
        <f>'MS2'!F13</f>
        <v/>
      </c>
      <c r="C27" s="1309">
        <f>'MS2'!G13</f>
        <v/>
      </c>
      <c r="D27" s="1307" t="n"/>
      <c r="E27" s="1307" t="n"/>
      <c r="F27" s="1307" t="n"/>
      <c r="G27" s="1307" t="n"/>
      <c r="H27" s="1307" t="n"/>
      <c r="I27" s="1307" t="n"/>
      <c r="J27" s="1307" t="n"/>
      <c r="K27" s="1307" t="n"/>
      <c r="L27" s="1307" t="n"/>
      <c r="M27" s="1307" t="n"/>
      <c r="N27" s="1307" t="n"/>
      <c r="O27" s="1307" t="n"/>
      <c r="P27" s="1307" t="n"/>
      <c r="Q27" s="1307" t="n"/>
      <c r="R27" s="1307" t="n"/>
      <c r="S27" s="1307" t="n"/>
      <c r="T27" s="1307" t="n"/>
      <c r="U27" s="1307" t="n"/>
      <c r="V27" s="1307" t="n"/>
      <c r="W27" s="1307" t="n"/>
      <c r="X27" s="1307" t="n"/>
      <c r="Y27" s="1307" t="n"/>
      <c r="Z27" s="1307" t="n"/>
      <c r="AA27" s="1307" t="n"/>
      <c r="AB27" s="1307" t="n"/>
      <c r="AC27" s="1307" t="n"/>
      <c r="AD27" s="1307" t="n"/>
      <c r="AE27" s="1307" t="n"/>
      <c r="AF27" s="1307" t="n"/>
      <c r="AG27" s="1307" t="n"/>
      <c r="AH27" s="1307" t="n"/>
      <c r="AI27" s="1307" t="n"/>
      <c r="AJ27" s="1307" t="n"/>
      <c r="AK27" s="1307" t="n"/>
      <c r="AL27" s="1307" t="n"/>
      <c r="AM27" s="1300">
        <f>IF(COUNTA(D27:AL27)=0,"",COUNTA(D27:AL27))</f>
        <v/>
      </c>
      <c r="AN27" s="1259" t="n"/>
      <c r="AO27" s="1265" t="n"/>
      <c r="AP27" s="1256" t="n"/>
      <c r="AR27" s="1296">
        <f>IF(D27="X",1,0)</f>
        <v/>
      </c>
      <c r="AS27" s="1296">
        <f>IF(E27="X",1,0)</f>
        <v/>
      </c>
      <c r="AT27" s="1296">
        <f>IF(F27="X",1,0)</f>
        <v/>
      </c>
      <c r="AU27" s="1296">
        <f>IF(G27="X",1,0)</f>
        <v/>
      </c>
      <c r="AV27" s="1296">
        <f>IF(H27="X",1,0)</f>
        <v/>
      </c>
      <c r="AW27" s="1296">
        <f>IF(I27="X",1,0)</f>
        <v/>
      </c>
      <c r="AX27" s="1296">
        <f>IF(J27="X",1,0)</f>
        <v/>
      </c>
      <c r="AY27" s="1296">
        <f>IF(K27="X",1,0)</f>
        <v/>
      </c>
      <c r="AZ27" s="1296">
        <f>IF(L27="X",1,0)</f>
        <v/>
      </c>
      <c r="BA27" s="1296">
        <f>IF(M27="X",1,0)</f>
        <v/>
      </c>
      <c r="BB27" s="1296">
        <f>IF(N27="X",1,0)</f>
        <v/>
      </c>
      <c r="BC27" s="1296">
        <f>IF(O27="X",1,0)</f>
        <v/>
      </c>
      <c r="BD27" s="1296">
        <f>IF(P27="X",1,0)</f>
        <v/>
      </c>
      <c r="BE27" s="1296">
        <f>IF(Q27="X",1,0)</f>
        <v/>
      </c>
      <c r="BF27" s="1296">
        <f>IF(R27="X",1,0)</f>
        <v/>
      </c>
      <c r="BG27" s="1296">
        <f>IF(S27="X",1,0)</f>
        <v/>
      </c>
      <c r="BH27" s="1296">
        <f>IF(T27="X",1,0)</f>
        <v/>
      </c>
      <c r="BI27" s="1296">
        <f>IF(U27="X",1,0)</f>
        <v/>
      </c>
      <c r="BJ27" s="1296">
        <f>IF(V27="X",1,0)</f>
        <v/>
      </c>
      <c r="BK27" s="1296">
        <f>IF(W27="X",1,0)</f>
        <v/>
      </c>
      <c r="BL27" s="1296">
        <f>IF(X27="X",1,0)</f>
        <v/>
      </c>
      <c r="BM27" s="1296">
        <f>IF(Y27="X",1,0)</f>
        <v/>
      </c>
      <c r="BN27" s="1296">
        <f>IF(Z27="X",1,0)</f>
        <v/>
      </c>
      <c r="BO27" s="1296">
        <f>IF(AA27="X",1,0)</f>
        <v/>
      </c>
      <c r="BP27" s="1296">
        <f>IF(AB27="X",1,0)</f>
        <v/>
      </c>
      <c r="BQ27" s="1296">
        <f>IF(AC27="X",1,0)</f>
        <v/>
      </c>
      <c r="BR27" s="1296">
        <f>IF(AD27="X",1,0)</f>
        <v/>
      </c>
      <c r="BS27" s="1296">
        <f>IF(AE27="X",1,0)</f>
        <v/>
      </c>
      <c r="BT27" s="1296">
        <f>IF(AF27="X",1,0)</f>
        <v/>
      </c>
      <c r="BU27" s="1296">
        <f>IF(AG27="X",1,0)</f>
        <v/>
      </c>
      <c r="BV27" s="1296">
        <f>IF(AH27="X",1,0)</f>
        <v/>
      </c>
      <c r="BW27" s="1296">
        <f>IF(AI27="X",1,0)</f>
        <v/>
      </c>
      <c r="BX27" s="1296">
        <f>IF(AJ27="X",1,0)</f>
        <v/>
      </c>
      <c r="BY27" s="1296">
        <f>IF(AK27="X",1,0)</f>
        <v/>
      </c>
      <c r="BZ27" s="1296">
        <f>IF(AL27="X",1,0)</f>
        <v/>
      </c>
      <c r="CA27" s="1296">
        <f>IF(AM27="X",1,0)</f>
        <v/>
      </c>
      <c r="CB27" s="1296">
        <f>IF(AN27="X",1,0)</f>
        <v/>
      </c>
    </row>
    <row r="28" ht="14.25" customHeight="1" s="882">
      <c r="A28" s="1256" t="n"/>
      <c r="B28" s="1304" t="n"/>
      <c r="C28" s="1308" t="n"/>
      <c r="D28" s="1307" t="n"/>
      <c r="E28" s="1307" t="n"/>
      <c r="F28" s="1307" t="n"/>
      <c r="G28" s="1307" t="n"/>
      <c r="H28" s="1307" t="n"/>
      <c r="I28" s="1307" t="n"/>
      <c r="J28" s="1307" t="n"/>
      <c r="K28" s="1307" t="n"/>
      <c r="L28" s="1307" t="n"/>
      <c r="M28" s="1307" t="n"/>
      <c r="N28" s="1307" t="n"/>
      <c r="O28" s="1307" t="n"/>
      <c r="P28" s="1307" t="n"/>
      <c r="Q28" s="1307" t="n"/>
      <c r="R28" s="1307" t="n"/>
      <c r="S28" s="1307" t="n"/>
      <c r="T28" s="1307" t="n"/>
      <c r="U28" s="1307" t="n"/>
      <c r="V28" s="1307" t="n"/>
      <c r="W28" s="1307" t="n"/>
      <c r="X28" s="1307" t="n"/>
      <c r="Y28" s="1307" t="n"/>
      <c r="Z28" s="1307" t="n"/>
      <c r="AA28" s="1307" t="n"/>
      <c r="AB28" s="1307" t="n"/>
      <c r="AC28" s="1307" t="n"/>
      <c r="AD28" s="1307" t="n"/>
      <c r="AE28" s="1307" t="n"/>
      <c r="AF28" s="1307" t="n"/>
      <c r="AG28" s="1307" t="n"/>
      <c r="AH28" s="1307" t="n"/>
      <c r="AI28" s="1307" t="n"/>
      <c r="AJ28" s="1307" t="n"/>
      <c r="AK28" s="1307" t="n"/>
      <c r="AL28" s="1307" t="n"/>
      <c r="AM28" s="1300">
        <f>IF(COUNTA(D28:AL28)=0,"",COUNTA(D28:AL28))</f>
        <v/>
      </c>
      <c r="AN28" s="1259" t="n"/>
      <c r="AO28" s="1265" t="n"/>
      <c r="AP28" s="1256" t="n"/>
      <c r="AR28" s="1296" t="n"/>
      <c r="AS28" s="1296" t="n"/>
      <c r="AT28" s="1296" t="n"/>
      <c r="AU28" s="1296" t="n"/>
      <c r="AV28" s="1296" t="n"/>
      <c r="AW28" s="1296" t="n"/>
      <c r="AX28" s="1296" t="n"/>
      <c r="AY28" s="1296" t="n"/>
      <c r="AZ28" s="1296" t="n"/>
      <c r="BA28" s="1296" t="n"/>
      <c r="BB28" s="1296" t="n"/>
      <c r="BC28" s="1296" t="n"/>
      <c r="BD28" s="1296" t="n"/>
      <c r="BE28" s="1296" t="n"/>
      <c r="BF28" s="1296" t="n"/>
      <c r="BG28" s="1296" t="n"/>
      <c r="BH28" s="1296" t="n"/>
      <c r="BI28" s="1296" t="n"/>
      <c r="BJ28" s="1296" t="n"/>
      <c r="BK28" s="1296" t="n"/>
      <c r="BL28" s="1296" t="n"/>
      <c r="BM28" s="1296" t="n"/>
      <c r="BN28" s="1296" t="n"/>
      <c r="BO28" s="1296" t="n"/>
      <c r="BP28" s="1296" t="n"/>
      <c r="BQ28" s="1296" t="n"/>
      <c r="BR28" s="1296" t="n"/>
      <c r="BS28" s="1296" t="n"/>
      <c r="BT28" s="1296" t="n"/>
      <c r="BU28" s="1296" t="n"/>
      <c r="BV28" s="1296" t="n"/>
      <c r="BW28" s="1296" t="n"/>
      <c r="BX28" s="1296" t="n"/>
      <c r="BY28" s="1296" t="n"/>
      <c r="BZ28" s="1296" t="n"/>
      <c r="CA28" s="1296" t="n"/>
      <c r="CB28" s="1296" t="n"/>
    </row>
    <row r="29" ht="14.25" customHeight="1" s="882">
      <c r="A29" s="1256" t="n"/>
      <c r="B29" s="1304" t="n"/>
      <c r="C29" s="1308" t="n"/>
      <c r="D29" s="1307" t="n"/>
      <c r="E29" s="1307" t="n"/>
      <c r="F29" s="1307" t="n"/>
      <c r="G29" s="1307" t="n"/>
      <c r="H29" s="1307" t="n"/>
      <c r="I29" s="1307" t="n"/>
      <c r="J29" s="1307" t="n"/>
      <c r="K29" s="1307" t="n"/>
      <c r="L29" s="1307" t="n"/>
      <c r="M29" s="1307" t="n"/>
      <c r="N29" s="1307" t="n"/>
      <c r="O29" s="1307" t="n"/>
      <c r="P29" s="1307" t="n"/>
      <c r="Q29" s="1307" t="n"/>
      <c r="R29" s="1307" t="n"/>
      <c r="S29" s="1307" t="n"/>
      <c r="T29" s="1307" t="n"/>
      <c r="U29" s="1307" t="n"/>
      <c r="V29" s="1307" t="n"/>
      <c r="W29" s="1307" t="n"/>
      <c r="X29" s="1307" t="n"/>
      <c r="Y29" s="1307" t="n"/>
      <c r="Z29" s="1307" t="n"/>
      <c r="AA29" s="1307" t="n"/>
      <c r="AB29" s="1307" t="n"/>
      <c r="AC29" s="1307" t="n"/>
      <c r="AD29" s="1307" t="n"/>
      <c r="AE29" s="1307" t="n"/>
      <c r="AF29" s="1307" t="n"/>
      <c r="AG29" s="1307" t="n"/>
      <c r="AH29" s="1307" t="n"/>
      <c r="AI29" s="1307" t="n"/>
      <c r="AJ29" s="1307" t="n"/>
      <c r="AK29" s="1307" t="n"/>
      <c r="AL29" s="1307" t="n"/>
      <c r="AM29" s="1300">
        <f>IF(COUNTA(D29:AL29)=0,"",COUNTA(D29:AL29))</f>
        <v/>
      </c>
      <c r="AN29" s="1259" t="n"/>
      <c r="AO29" s="1265" t="n"/>
      <c r="AP29" s="1256" t="n"/>
      <c r="AR29" s="1296" t="n"/>
      <c r="AS29" s="1296" t="n"/>
      <c r="AT29" s="1296" t="n"/>
      <c r="AU29" s="1296" t="n"/>
      <c r="AV29" s="1296" t="n"/>
      <c r="AW29" s="1296" t="n"/>
      <c r="AX29" s="1296" t="n"/>
      <c r="AY29" s="1296" t="n"/>
      <c r="AZ29" s="1296" t="n"/>
      <c r="BA29" s="1296" t="n"/>
      <c r="BB29" s="1296" t="n"/>
      <c r="BC29" s="1296" t="n"/>
      <c r="BD29" s="1296" t="n"/>
      <c r="BE29" s="1296" t="n"/>
      <c r="BF29" s="1296" t="n"/>
      <c r="BG29" s="1296" t="n"/>
      <c r="BH29" s="1296" t="n"/>
      <c r="BI29" s="1296" t="n"/>
      <c r="BJ29" s="1296" t="n"/>
      <c r="BK29" s="1296" t="n"/>
      <c r="BL29" s="1296" t="n"/>
      <c r="BM29" s="1296" t="n"/>
      <c r="BN29" s="1296" t="n"/>
      <c r="BO29" s="1296" t="n"/>
      <c r="BP29" s="1296" t="n"/>
      <c r="BQ29" s="1296" t="n"/>
      <c r="BR29" s="1296" t="n"/>
      <c r="BS29" s="1296" t="n"/>
      <c r="BT29" s="1296" t="n"/>
      <c r="BU29" s="1296" t="n"/>
      <c r="BV29" s="1296" t="n"/>
      <c r="BW29" s="1296" t="n"/>
      <c r="BX29" s="1296" t="n"/>
      <c r="BY29" s="1296" t="n"/>
      <c r="BZ29" s="1296" t="n"/>
      <c r="CA29" s="1296" t="n"/>
      <c r="CB29" s="1296" t="n"/>
    </row>
    <row r="30" ht="14.25" customHeight="1" s="882">
      <c r="A30" s="1256" t="n"/>
      <c r="B30" s="1304" t="n"/>
      <c r="C30" s="1308" t="n"/>
      <c r="D30" s="1307" t="n"/>
      <c r="E30" s="1307" t="n"/>
      <c r="F30" s="1307" t="n"/>
      <c r="G30" s="1307" t="n"/>
      <c r="H30" s="1307" t="n"/>
      <c r="I30" s="1307" t="n"/>
      <c r="J30" s="1307" t="n"/>
      <c r="K30" s="1307" t="n"/>
      <c r="L30" s="1307" t="n"/>
      <c r="M30" s="1307" t="n"/>
      <c r="N30" s="1307" t="n"/>
      <c r="O30" s="1307" t="n"/>
      <c r="P30" s="1307" t="n"/>
      <c r="Q30" s="1307" t="n"/>
      <c r="R30" s="1307" t="n"/>
      <c r="S30" s="1307" t="n"/>
      <c r="T30" s="1307" t="n"/>
      <c r="U30" s="1307" t="n"/>
      <c r="V30" s="1307" t="n"/>
      <c r="W30" s="1307" t="n"/>
      <c r="X30" s="1307" t="n"/>
      <c r="Y30" s="1307" t="n"/>
      <c r="Z30" s="1307" t="n"/>
      <c r="AA30" s="1307" t="n"/>
      <c r="AB30" s="1307" t="n"/>
      <c r="AC30" s="1307" t="n"/>
      <c r="AD30" s="1307" t="n"/>
      <c r="AE30" s="1307" t="n"/>
      <c r="AF30" s="1307" t="n"/>
      <c r="AG30" s="1307" t="n"/>
      <c r="AH30" s="1307" t="n"/>
      <c r="AI30" s="1307" t="n"/>
      <c r="AJ30" s="1307" t="n"/>
      <c r="AK30" s="1307" t="n"/>
      <c r="AL30" s="1307" t="n"/>
      <c r="AM30" s="1300">
        <f>IF(COUNTA(D30:AL30)=0,"",COUNTA(D30:AL30))</f>
        <v/>
      </c>
      <c r="AN30" s="1259" t="n"/>
      <c r="AO30" s="1265" t="n"/>
      <c r="AP30" s="1256" t="n"/>
      <c r="AR30" s="1296">
        <f>IF(D30="X",1,0)</f>
        <v/>
      </c>
      <c r="AS30" s="1296">
        <f>IF(E30="X",1,0)</f>
        <v/>
      </c>
      <c r="AT30" s="1296">
        <f>IF(F30="X",1,0)</f>
        <v/>
      </c>
      <c r="AU30" s="1296">
        <f>IF(G30="X",1,0)</f>
        <v/>
      </c>
      <c r="AV30" s="1296">
        <f>IF(H30="X",1,0)</f>
        <v/>
      </c>
      <c r="AW30" s="1296">
        <f>IF(I30="X",1,0)</f>
        <v/>
      </c>
      <c r="AX30" s="1296">
        <f>IF(J30="X",1,0)</f>
        <v/>
      </c>
      <c r="AY30" s="1296">
        <f>IF(K30="X",1,0)</f>
        <v/>
      </c>
      <c r="AZ30" s="1296">
        <f>IF(L30="X",1,0)</f>
        <v/>
      </c>
      <c r="BA30" s="1296">
        <f>IF(M30="X",1,0)</f>
        <v/>
      </c>
      <c r="BB30" s="1296">
        <f>IF(N30="X",1,0)</f>
        <v/>
      </c>
      <c r="BC30" s="1296">
        <f>IF(O30="X",1,0)</f>
        <v/>
      </c>
      <c r="BD30" s="1296">
        <f>IF(P30="X",1,0)</f>
        <v/>
      </c>
      <c r="BE30" s="1296">
        <f>IF(Q30="X",1,0)</f>
        <v/>
      </c>
      <c r="BF30" s="1296">
        <f>IF(R30="X",1,0)</f>
        <v/>
      </c>
      <c r="BG30" s="1296">
        <f>IF(S30="X",1,0)</f>
        <v/>
      </c>
      <c r="BH30" s="1296">
        <f>IF(T30="X",1,0)</f>
        <v/>
      </c>
      <c r="BI30" s="1296">
        <f>IF(U30="X",1,0)</f>
        <v/>
      </c>
      <c r="BJ30" s="1296">
        <f>IF(V30="X",1,0)</f>
        <v/>
      </c>
      <c r="BK30" s="1296">
        <f>IF(W30="X",1,0)</f>
        <v/>
      </c>
      <c r="BL30" s="1296">
        <f>IF(X30="X",1,0)</f>
        <v/>
      </c>
      <c r="BM30" s="1296">
        <f>IF(Y30="X",1,0)</f>
        <v/>
      </c>
      <c r="BN30" s="1296">
        <f>IF(Z30="X",1,0)</f>
        <v/>
      </c>
      <c r="BO30" s="1296">
        <f>IF(AA30="X",1,0)</f>
        <v/>
      </c>
      <c r="BP30" s="1296">
        <f>IF(AB30="X",1,0)</f>
        <v/>
      </c>
      <c r="BQ30" s="1296">
        <f>IF(AC30="X",1,0)</f>
        <v/>
      </c>
      <c r="BR30" s="1296">
        <f>IF(AD30="X",1,0)</f>
        <v/>
      </c>
      <c r="BS30" s="1296">
        <f>IF(AE30="X",1,0)</f>
        <v/>
      </c>
      <c r="BT30" s="1296">
        <f>IF(AF30="X",1,0)</f>
        <v/>
      </c>
      <c r="BU30" s="1296">
        <f>IF(AG30="X",1,0)</f>
        <v/>
      </c>
      <c r="BV30" s="1296">
        <f>IF(AH30="X",1,0)</f>
        <v/>
      </c>
      <c r="BW30" s="1296">
        <f>IF(AI30="X",1,0)</f>
        <v/>
      </c>
      <c r="BX30" s="1296">
        <f>IF(AJ30="X",1,0)</f>
        <v/>
      </c>
      <c r="BY30" s="1296">
        <f>IF(AK30="X",1,0)</f>
        <v/>
      </c>
      <c r="BZ30" s="1296">
        <f>IF(AL30="X",1,0)</f>
        <v/>
      </c>
      <c r="CA30" s="1296">
        <f>IF(AM30="X",1,0)</f>
        <v/>
      </c>
      <c r="CB30" s="1296">
        <f>IF(AN30="X",1,0)</f>
        <v/>
      </c>
    </row>
    <row r="31" ht="14.25" customHeight="1" s="882">
      <c r="A31" s="1256" t="n"/>
      <c r="B31" s="1308" t="n"/>
      <c r="C31" s="1308" t="n"/>
      <c r="D31" s="1307" t="n"/>
      <c r="E31" s="1307" t="n"/>
      <c r="F31" s="1307" t="n"/>
      <c r="G31" s="1307" t="n"/>
      <c r="H31" s="1307" t="n"/>
      <c r="I31" s="1307" t="n"/>
      <c r="J31" s="1307" t="n"/>
      <c r="K31" s="1307" t="n"/>
      <c r="L31" s="1307" t="n"/>
      <c r="M31" s="1307" t="n"/>
      <c r="N31" s="1307" t="n"/>
      <c r="O31" s="1307" t="n"/>
      <c r="P31" s="1307" t="n"/>
      <c r="Q31" s="1307" t="n"/>
      <c r="R31" s="1307" t="n"/>
      <c r="S31" s="1307" t="n"/>
      <c r="T31" s="1307" t="n"/>
      <c r="U31" s="1307" t="n"/>
      <c r="V31" s="1307" t="n"/>
      <c r="W31" s="1307" t="n"/>
      <c r="X31" s="1307" t="n"/>
      <c r="Y31" s="1307" t="n"/>
      <c r="Z31" s="1307" t="n"/>
      <c r="AA31" s="1307" t="n"/>
      <c r="AB31" s="1307" t="n"/>
      <c r="AC31" s="1307" t="n"/>
      <c r="AD31" s="1307" t="n"/>
      <c r="AE31" s="1307" t="n"/>
      <c r="AF31" s="1307" t="n"/>
      <c r="AG31" s="1307" t="n"/>
      <c r="AH31" s="1307" t="n"/>
      <c r="AI31" s="1307" t="n"/>
      <c r="AJ31" s="1307" t="n"/>
      <c r="AK31" s="1307" t="n"/>
      <c r="AL31" s="1307" t="n"/>
      <c r="AM31" s="1300">
        <f>IF(COUNTA(D31:AL31)=0,"",COUNTA(D31:AL31))</f>
        <v/>
      </c>
      <c r="AN31" s="1259" t="n"/>
      <c r="AO31" s="1265" t="n"/>
      <c r="AP31" s="1256" t="n"/>
      <c r="AR31" s="1296" t="n"/>
      <c r="AS31" s="1296" t="n"/>
      <c r="AT31" s="1296" t="n"/>
      <c r="AU31" s="1296" t="n"/>
      <c r="AV31" s="1296" t="n"/>
      <c r="AW31" s="1296" t="n"/>
      <c r="AX31" s="1296" t="n"/>
      <c r="AY31" s="1296" t="n"/>
      <c r="AZ31" s="1296" t="n"/>
      <c r="BA31" s="1296" t="n"/>
      <c r="BB31" s="1296" t="n"/>
      <c r="BC31" s="1296" t="n"/>
      <c r="BD31" s="1296" t="n"/>
      <c r="BE31" s="1296" t="n"/>
      <c r="BF31" s="1296" t="n"/>
      <c r="BG31" s="1296" t="n"/>
      <c r="BH31" s="1296" t="n"/>
      <c r="BI31" s="1296" t="n"/>
      <c r="BJ31" s="1296" t="n"/>
      <c r="BK31" s="1296" t="n"/>
      <c r="BL31" s="1296" t="n"/>
      <c r="BM31" s="1296" t="n"/>
      <c r="BN31" s="1296" t="n"/>
      <c r="BO31" s="1296" t="n"/>
      <c r="BP31" s="1296" t="n"/>
      <c r="BQ31" s="1296" t="n"/>
      <c r="BR31" s="1296" t="n"/>
      <c r="BS31" s="1296" t="n"/>
      <c r="BT31" s="1296" t="n"/>
      <c r="BU31" s="1296" t="n"/>
      <c r="BV31" s="1296" t="n"/>
      <c r="BW31" s="1296" t="n"/>
      <c r="BX31" s="1296" t="n"/>
      <c r="BY31" s="1296" t="n"/>
      <c r="BZ31" s="1296" t="n"/>
      <c r="CA31" s="1296" t="n"/>
      <c r="CB31" s="1296" t="n"/>
    </row>
    <row r="32" ht="14.25" customHeight="1" s="882">
      <c r="A32" s="1256" t="n"/>
      <c r="B32" s="1308" t="n"/>
      <c r="C32" s="1308" t="n"/>
      <c r="D32" s="1307" t="n"/>
      <c r="E32" s="1307" t="n"/>
      <c r="F32" s="1307" t="n"/>
      <c r="G32" s="1307" t="n"/>
      <c r="H32" s="1307" t="n"/>
      <c r="I32" s="1307" t="n"/>
      <c r="J32" s="1307" t="n"/>
      <c r="K32" s="1307" t="n"/>
      <c r="L32" s="1307" t="n"/>
      <c r="M32" s="1307" t="n"/>
      <c r="N32" s="1307" t="n"/>
      <c r="O32" s="1307" t="n"/>
      <c r="P32" s="1307" t="n"/>
      <c r="Q32" s="1307" t="n"/>
      <c r="R32" s="1307" t="n"/>
      <c r="S32" s="1307" t="n"/>
      <c r="T32" s="1307" t="n"/>
      <c r="U32" s="1307" t="n"/>
      <c r="V32" s="1307" t="n"/>
      <c r="W32" s="1307" t="n"/>
      <c r="X32" s="1307" t="n"/>
      <c r="Y32" s="1307" t="n"/>
      <c r="Z32" s="1307" t="n"/>
      <c r="AA32" s="1307" t="n"/>
      <c r="AB32" s="1307" t="n"/>
      <c r="AC32" s="1307" t="n"/>
      <c r="AD32" s="1307" t="n"/>
      <c r="AE32" s="1307" t="n"/>
      <c r="AF32" s="1307" t="n"/>
      <c r="AG32" s="1307" t="n"/>
      <c r="AH32" s="1307" t="n"/>
      <c r="AI32" s="1307" t="n"/>
      <c r="AJ32" s="1307" t="n"/>
      <c r="AK32" s="1307" t="n"/>
      <c r="AL32" s="1307" t="n"/>
      <c r="AM32" s="1300">
        <f>IF(COUNTA(D32:AL32)=0,"",COUNTA(D32:AL32))</f>
        <v/>
      </c>
      <c r="AN32" s="1259" t="n"/>
      <c r="AO32" s="1265" t="n"/>
      <c r="AP32" s="1256" t="n"/>
      <c r="AR32" s="1296" t="n"/>
      <c r="AS32" s="1296" t="n"/>
      <c r="AT32" s="1296" t="n"/>
      <c r="AU32" s="1296" t="n"/>
      <c r="AV32" s="1296" t="n"/>
      <c r="AW32" s="1296" t="n"/>
      <c r="AX32" s="1296" t="n"/>
      <c r="AY32" s="1296" t="n"/>
      <c r="AZ32" s="1296" t="n"/>
      <c r="BA32" s="1296" t="n"/>
      <c r="BB32" s="1296" t="n"/>
      <c r="BC32" s="1296" t="n"/>
      <c r="BD32" s="1296" t="n"/>
      <c r="BE32" s="1296" t="n"/>
      <c r="BF32" s="1296" t="n"/>
      <c r="BG32" s="1296" t="n"/>
      <c r="BH32" s="1296" t="n"/>
      <c r="BI32" s="1296" t="n"/>
      <c r="BJ32" s="1296" t="n"/>
      <c r="BK32" s="1296" t="n"/>
      <c r="BL32" s="1296" t="n"/>
      <c r="BM32" s="1296" t="n"/>
      <c r="BN32" s="1296" t="n"/>
      <c r="BO32" s="1296" t="n"/>
      <c r="BP32" s="1296" t="n"/>
      <c r="BQ32" s="1296" t="n"/>
      <c r="BR32" s="1296" t="n"/>
      <c r="BS32" s="1296" t="n"/>
      <c r="BT32" s="1296" t="n"/>
      <c r="BU32" s="1296" t="n"/>
      <c r="BV32" s="1296" t="n"/>
      <c r="BW32" s="1296" t="n"/>
      <c r="BX32" s="1296" t="n"/>
      <c r="BY32" s="1296" t="n"/>
      <c r="BZ32" s="1296" t="n"/>
      <c r="CA32" s="1296" t="n"/>
      <c r="CB32" s="1296" t="n"/>
    </row>
    <row r="33" ht="14.25" customHeight="1" s="882">
      <c r="A33" s="1256" t="n"/>
      <c r="B33" s="1308" t="n"/>
      <c r="C33" s="1308" t="n"/>
      <c r="D33" s="1307" t="n"/>
      <c r="E33" s="1307" t="n"/>
      <c r="F33" s="1307" t="n"/>
      <c r="G33" s="1307" t="n"/>
      <c r="H33" s="1307" t="n"/>
      <c r="I33" s="1307" t="n"/>
      <c r="J33" s="1307" t="n"/>
      <c r="K33" s="1307" t="n"/>
      <c r="L33" s="1307" t="n"/>
      <c r="M33" s="1307" t="n"/>
      <c r="N33" s="1307" t="n"/>
      <c r="O33" s="1307" t="n"/>
      <c r="P33" s="1307" t="n"/>
      <c r="Q33" s="1307" t="n"/>
      <c r="R33" s="1307" t="n"/>
      <c r="S33" s="1307" t="n"/>
      <c r="T33" s="1307" t="n"/>
      <c r="U33" s="1307" t="n"/>
      <c r="V33" s="1307" t="n"/>
      <c r="W33" s="1307" t="n"/>
      <c r="X33" s="1307" t="n"/>
      <c r="Y33" s="1307" t="n"/>
      <c r="Z33" s="1307" t="n"/>
      <c r="AA33" s="1307" t="n"/>
      <c r="AB33" s="1307" t="n"/>
      <c r="AC33" s="1307" t="n"/>
      <c r="AD33" s="1307" t="n"/>
      <c r="AE33" s="1307" t="n"/>
      <c r="AF33" s="1307" t="n"/>
      <c r="AG33" s="1307" t="n"/>
      <c r="AH33" s="1307" t="n"/>
      <c r="AI33" s="1307" t="n"/>
      <c r="AJ33" s="1307" t="n"/>
      <c r="AK33" s="1307" t="n"/>
      <c r="AL33" s="1307" t="n"/>
      <c r="AM33" s="1300">
        <f>IF(COUNTA(D33:AL33)=0,"",COUNTA(D33:AL33))</f>
        <v/>
      </c>
      <c r="AN33" s="1259" t="n"/>
      <c r="AO33" s="1265" t="n"/>
      <c r="AP33" s="1256" t="n"/>
      <c r="AR33" s="1296">
        <f>IF(D33="X",1,0)</f>
        <v/>
      </c>
      <c r="AS33" s="1296">
        <f>IF(E33="X",1,0)</f>
        <v/>
      </c>
      <c r="AT33" s="1296">
        <f>IF(F33="X",1,0)</f>
        <v/>
      </c>
      <c r="AU33" s="1296">
        <f>IF(G33="X",1,0)</f>
        <v/>
      </c>
      <c r="AV33" s="1296">
        <f>IF(H33="X",1,0)</f>
        <v/>
      </c>
      <c r="AW33" s="1296">
        <f>IF(I33="X",1,0)</f>
        <v/>
      </c>
      <c r="AX33" s="1296">
        <f>IF(J33="X",1,0)</f>
        <v/>
      </c>
      <c r="AY33" s="1296">
        <f>IF(K33="X",1,0)</f>
        <v/>
      </c>
      <c r="AZ33" s="1296">
        <f>IF(L33="X",1,0)</f>
        <v/>
      </c>
      <c r="BA33" s="1296">
        <f>IF(M33="X",1,0)</f>
        <v/>
      </c>
      <c r="BB33" s="1296">
        <f>IF(N33="X",1,0)</f>
        <v/>
      </c>
      <c r="BC33" s="1296">
        <f>IF(O33="X",1,0)</f>
        <v/>
      </c>
      <c r="BD33" s="1296">
        <f>IF(P33="X",1,0)</f>
        <v/>
      </c>
      <c r="BE33" s="1296">
        <f>IF(Q33="X",1,0)</f>
        <v/>
      </c>
      <c r="BF33" s="1296">
        <f>IF(R33="X",1,0)</f>
        <v/>
      </c>
      <c r="BG33" s="1296">
        <f>IF(S33="X",1,0)</f>
        <v/>
      </c>
      <c r="BH33" s="1296">
        <f>IF(T33="X",1,0)</f>
        <v/>
      </c>
      <c r="BI33" s="1296">
        <f>IF(U33="X",1,0)</f>
        <v/>
      </c>
      <c r="BJ33" s="1296">
        <f>IF(V33="X",1,0)</f>
        <v/>
      </c>
      <c r="BK33" s="1296">
        <f>IF(W33="X",1,0)</f>
        <v/>
      </c>
      <c r="BL33" s="1296">
        <f>IF(X33="X",1,0)</f>
        <v/>
      </c>
      <c r="BM33" s="1296">
        <f>IF(Y33="X",1,0)</f>
        <v/>
      </c>
      <c r="BN33" s="1296">
        <f>IF(Z33="X",1,0)</f>
        <v/>
      </c>
      <c r="BO33" s="1296">
        <f>IF(AA33="X",1,0)</f>
        <v/>
      </c>
      <c r="BP33" s="1296">
        <f>IF(AB33="X",1,0)</f>
        <v/>
      </c>
      <c r="BQ33" s="1296">
        <f>IF(AC33="X",1,0)</f>
        <v/>
      </c>
      <c r="BR33" s="1296">
        <f>IF(AD33="X",1,0)</f>
        <v/>
      </c>
      <c r="BS33" s="1296">
        <f>IF(AE33="X",1,0)</f>
        <v/>
      </c>
      <c r="BT33" s="1296">
        <f>IF(AF33="X",1,0)</f>
        <v/>
      </c>
      <c r="BU33" s="1296">
        <f>IF(AG33="X",1,0)</f>
        <v/>
      </c>
      <c r="BV33" s="1296">
        <f>IF(AH33="X",1,0)</f>
        <v/>
      </c>
      <c r="BW33" s="1296">
        <f>IF(AI33="X",1,0)</f>
        <v/>
      </c>
      <c r="BX33" s="1296">
        <f>IF(AJ33="X",1,0)</f>
        <v/>
      </c>
      <c r="BY33" s="1296">
        <f>IF(AK33="X",1,0)</f>
        <v/>
      </c>
      <c r="BZ33" s="1296">
        <f>IF(AL33="X",1,0)</f>
        <v/>
      </c>
      <c r="CA33" s="1296">
        <f>IF(AM33="X",1,0)</f>
        <v/>
      </c>
      <c r="CB33" s="1296">
        <f>IF(AN33="X",1,0)</f>
        <v/>
      </c>
    </row>
    <row r="34" ht="14.25" customHeight="1" s="882">
      <c r="A34" s="1256" t="n"/>
      <c r="B34" s="1308" t="n"/>
      <c r="C34" s="1308" t="n"/>
      <c r="D34" s="1307" t="n"/>
      <c r="E34" s="1307" t="n"/>
      <c r="F34" s="1307" t="n"/>
      <c r="G34" s="1307" t="n"/>
      <c r="H34" s="1307" t="n"/>
      <c r="I34" s="1307" t="n"/>
      <c r="J34" s="1307" t="n"/>
      <c r="K34" s="1307" t="n"/>
      <c r="L34" s="1307" t="n"/>
      <c r="M34" s="1307" t="n"/>
      <c r="N34" s="1307" t="n"/>
      <c r="O34" s="1307" t="n"/>
      <c r="P34" s="1307" t="n"/>
      <c r="Q34" s="1307" t="n"/>
      <c r="R34" s="1307" t="n"/>
      <c r="S34" s="1307" t="n"/>
      <c r="T34" s="1307" t="n"/>
      <c r="U34" s="1307" t="n"/>
      <c r="V34" s="1307" t="n"/>
      <c r="W34" s="1307" t="n"/>
      <c r="X34" s="1307" t="n"/>
      <c r="Y34" s="1307" t="n"/>
      <c r="Z34" s="1307" t="n"/>
      <c r="AA34" s="1307" t="n"/>
      <c r="AB34" s="1307" t="n"/>
      <c r="AC34" s="1307" t="n"/>
      <c r="AD34" s="1307" t="n"/>
      <c r="AE34" s="1307" t="n"/>
      <c r="AF34" s="1307" t="n"/>
      <c r="AG34" s="1307" t="n"/>
      <c r="AH34" s="1307" t="n"/>
      <c r="AI34" s="1307" t="n"/>
      <c r="AJ34" s="1307" t="n"/>
      <c r="AK34" s="1307" t="n"/>
      <c r="AL34" s="1307" t="n"/>
      <c r="AM34" s="1300">
        <f>IF(COUNTA(D34:AL34)=0,"",COUNTA(D34:AL34))</f>
        <v/>
      </c>
      <c r="AN34" s="1259" t="n"/>
      <c r="AO34" s="1265" t="n"/>
      <c r="AP34" s="1256" t="n"/>
      <c r="AR34" s="1296">
        <f>IF(D34="X",1,0)</f>
        <v/>
      </c>
      <c r="AS34" s="1296">
        <f>IF(E34="X",1,0)</f>
        <v/>
      </c>
      <c r="AT34" s="1296">
        <f>IF(F34="X",1,0)</f>
        <v/>
      </c>
      <c r="AU34" s="1296">
        <f>IF(G34="X",1,0)</f>
        <v/>
      </c>
      <c r="AV34" s="1296">
        <f>IF(H34="X",1,0)</f>
        <v/>
      </c>
      <c r="AW34" s="1296">
        <f>IF(I34="X",1,0)</f>
        <v/>
      </c>
      <c r="AX34" s="1296">
        <f>IF(J34="X",1,0)</f>
        <v/>
      </c>
      <c r="AY34" s="1296">
        <f>IF(K34="X",1,0)</f>
        <v/>
      </c>
      <c r="AZ34" s="1296">
        <f>IF(L34="X",1,0)</f>
        <v/>
      </c>
      <c r="BA34" s="1296">
        <f>IF(M34="X",1,0)</f>
        <v/>
      </c>
      <c r="BB34" s="1296">
        <f>IF(N34="X",1,0)</f>
        <v/>
      </c>
      <c r="BC34" s="1296">
        <f>IF(O34="X",1,0)</f>
        <v/>
      </c>
      <c r="BD34" s="1296">
        <f>IF(P34="X",1,0)</f>
        <v/>
      </c>
      <c r="BE34" s="1296">
        <f>IF(Q34="X",1,0)</f>
        <v/>
      </c>
      <c r="BF34" s="1296">
        <f>IF(R34="X",1,0)</f>
        <v/>
      </c>
      <c r="BG34" s="1296">
        <f>IF(S34="X",1,0)</f>
        <v/>
      </c>
      <c r="BH34" s="1296">
        <f>IF(T34="X",1,0)</f>
        <v/>
      </c>
      <c r="BI34" s="1296">
        <f>IF(U34="X",1,0)</f>
        <v/>
      </c>
      <c r="BJ34" s="1296">
        <f>IF(V34="X",1,0)</f>
        <v/>
      </c>
      <c r="BK34" s="1296">
        <f>IF(W34="X",1,0)</f>
        <v/>
      </c>
      <c r="BL34" s="1296">
        <f>IF(X34="X",1,0)</f>
        <v/>
      </c>
      <c r="BM34" s="1296">
        <f>IF(Y34="X",1,0)</f>
        <v/>
      </c>
      <c r="BN34" s="1296">
        <f>IF(Z34="X",1,0)</f>
        <v/>
      </c>
      <c r="BO34" s="1296">
        <f>IF(AA34="X",1,0)</f>
        <v/>
      </c>
      <c r="BP34" s="1296">
        <f>IF(AB34="X",1,0)</f>
        <v/>
      </c>
      <c r="BQ34" s="1296">
        <f>IF(AC34="X",1,0)</f>
        <v/>
      </c>
      <c r="BR34" s="1296">
        <f>IF(AD34="X",1,0)</f>
        <v/>
      </c>
      <c r="BS34" s="1296">
        <f>IF(AE34="X",1,0)</f>
        <v/>
      </c>
      <c r="BT34" s="1296">
        <f>IF(AF34="X",1,0)</f>
        <v/>
      </c>
      <c r="BU34" s="1296">
        <f>IF(AG34="X",1,0)</f>
        <v/>
      </c>
      <c r="BV34" s="1296">
        <f>IF(AH34="X",1,0)</f>
        <v/>
      </c>
      <c r="BW34" s="1296">
        <f>IF(AI34="X",1,0)</f>
        <v/>
      </c>
      <c r="BX34" s="1296">
        <f>IF(AJ34="X",1,0)</f>
        <v/>
      </c>
      <c r="BY34" s="1296">
        <f>IF(AK34="X",1,0)</f>
        <v/>
      </c>
      <c r="BZ34" s="1296">
        <f>IF(AL34="X",1,0)</f>
        <v/>
      </c>
      <c r="CA34" s="1296">
        <f>IF(AM34="X",1,0)</f>
        <v/>
      </c>
      <c r="CB34" s="1296">
        <f>IF(AN34="X",1,0)</f>
        <v/>
      </c>
    </row>
    <row r="35" ht="9.75" customHeight="1" s="882">
      <c r="A35" s="1256" t="n"/>
      <c r="B35" s="1310" t="inlineStr">
        <is>
          <t>Operational Hours:</t>
        </is>
      </c>
      <c r="C35" s="1262" t="n"/>
      <c r="D35" s="1311" t="n"/>
      <c r="E35" s="1261" t="n"/>
      <c r="F35" s="1261" t="n"/>
      <c r="G35" s="1261" t="n"/>
      <c r="H35" s="1261" t="n"/>
      <c r="I35" s="1261" t="n"/>
      <c r="J35" s="1261" t="n"/>
      <c r="K35" s="1261" t="n"/>
      <c r="L35" s="1261" t="n"/>
      <c r="M35" s="1261" t="n"/>
      <c r="N35" s="1261" t="n"/>
      <c r="O35" s="1261" t="n"/>
      <c r="P35" s="1261" t="n"/>
      <c r="Q35" s="1261" t="n"/>
      <c r="R35" s="1261" t="n"/>
      <c r="S35" s="1261" t="n"/>
      <c r="T35" s="1261" t="n"/>
      <c r="U35" s="1261" t="n"/>
      <c r="V35" s="1261" t="n"/>
      <c r="W35" s="1261" t="n"/>
      <c r="X35" s="1261" t="n"/>
      <c r="Y35" s="1261" t="n"/>
      <c r="Z35" s="1261" t="n"/>
      <c r="AA35" s="1261" t="n"/>
      <c r="AB35" s="1261" t="n"/>
      <c r="AC35" s="1261" t="n"/>
      <c r="AD35" s="1261" t="n"/>
      <c r="AE35" s="1261" t="n"/>
      <c r="AF35" s="1261" t="n"/>
      <c r="AG35" s="1261" t="n"/>
      <c r="AH35" s="1261" t="n"/>
      <c r="AI35" s="1261" t="n"/>
      <c r="AJ35" s="1261" t="n"/>
      <c r="AK35" s="1261" t="n"/>
      <c r="AL35" s="1261" t="n"/>
      <c r="AM35" s="1261" t="n"/>
      <c r="AN35" s="1261" t="n"/>
      <c r="AO35" s="1262" t="n"/>
      <c r="AP35" s="1256" t="n"/>
    </row>
    <row r="36" ht="9.75" customHeight="1" s="882">
      <c r="A36" s="1256" t="n"/>
      <c r="B36" s="1282" t="n"/>
      <c r="C36" s="1284" t="n"/>
      <c r="D36" s="1282" t="n"/>
      <c r="E36" s="1283" t="n"/>
      <c r="F36" s="1283" t="n"/>
      <c r="G36" s="1283" t="n"/>
      <c r="H36" s="1283" t="n"/>
      <c r="I36" s="1283" t="n"/>
      <c r="J36" s="1283" t="n"/>
      <c r="K36" s="1283" t="n"/>
      <c r="L36" s="1283" t="n"/>
      <c r="M36" s="1283" t="n"/>
      <c r="N36" s="1283" t="n"/>
      <c r="O36" s="1283" t="n"/>
      <c r="P36" s="1283" t="n"/>
      <c r="Q36" s="1283" t="n"/>
      <c r="R36" s="1283" t="n"/>
      <c r="S36" s="1283" t="n"/>
      <c r="T36" s="1283" t="n"/>
      <c r="U36" s="1283" t="n"/>
      <c r="V36" s="1283" t="n"/>
      <c r="W36" s="1283" t="n"/>
      <c r="X36" s="1283" t="n"/>
      <c r="Y36" s="1283" t="n"/>
      <c r="Z36" s="1283" t="n"/>
      <c r="AA36" s="1283" t="n"/>
      <c r="AB36" s="1283" t="n"/>
      <c r="AC36" s="1283" t="n"/>
      <c r="AD36" s="1283" t="n"/>
      <c r="AE36" s="1283" t="n"/>
      <c r="AF36" s="1283" t="n"/>
      <c r="AG36" s="1283" t="n"/>
      <c r="AH36" s="1283" t="n"/>
      <c r="AI36" s="1283" t="n"/>
      <c r="AJ36" s="1283" t="n"/>
      <c r="AK36" s="1283" t="n"/>
      <c r="AL36" s="1283" t="n"/>
      <c r="AM36" s="1283" t="n"/>
      <c r="AN36" s="1283" t="n"/>
      <c r="AO36" s="1284" t="n"/>
      <c r="AP36" s="1256" t="n"/>
    </row>
    <row r="37" ht="19.5" customHeight="1" s="882">
      <c r="A37" s="1256" t="n"/>
      <c r="B37" s="1312" t="inlineStr">
        <is>
          <t xml:space="preserve">Supplier - Rep. </t>
        </is>
      </c>
      <c r="C37" s="1313">
        <f>'Master Data'!B21</f>
        <v/>
      </c>
      <c r="D37" s="1259" t="n"/>
      <c r="E37" s="1259" t="n"/>
      <c r="F37" s="1259" t="n"/>
      <c r="G37" s="1259" t="n"/>
      <c r="H37" s="1265" t="n"/>
      <c r="I37" s="1314" t="inlineStr">
        <is>
          <t>Customer Rep.</t>
        </is>
      </c>
      <c r="J37" s="1259" t="n"/>
      <c r="K37" s="1259" t="n"/>
      <c r="L37" s="1259" t="n"/>
      <c r="M37" s="1259" t="n"/>
      <c r="N37" s="1259" t="n"/>
      <c r="O37" s="1259" t="n"/>
      <c r="P37" s="1259" t="n"/>
      <c r="Q37" s="1259" t="n"/>
      <c r="R37" s="1259" t="n"/>
      <c r="S37" s="1259" t="n"/>
      <c r="T37" s="1259" t="n"/>
      <c r="U37" s="1265" t="n"/>
      <c r="V37" s="1314">
        <f>'Master Data'!B4</f>
        <v/>
      </c>
      <c r="W37" s="1259" t="n"/>
      <c r="X37" s="1259" t="n"/>
      <c r="Y37" s="1259" t="n"/>
      <c r="Z37" s="1259" t="n"/>
      <c r="AA37" s="1259" t="n"/>
      <c r="AB37" s="1259" t="n"/>
      <c r="AC37" s="1259" t="n"/>
      <c r="AD37" s="1259" t="n"/>
      <c r="AE37" s="1259" t="n"/>
      <c r="AF37" s="1259" t="n"/>
      <c r="AG37" s="1265" t="n"/>
      <c r="AH37" s="1315" t="inlineStr">
        <is>
          <t xml:space="preserve">Customer Stamp </t>
        </is>
      </c>
      <c r="AI37" s="1261" t="n"/>
      <c r="AJ37" s="1261" t="n"/>
      <c r="AK37" s="1261" t="n"/>
      <c r="AL37" s="1261" t="n"/>
      <c r="AM37" s="1261" t="n"/>
      <c r="AN37" s="1261" t="n"/>
      <c r="AO37" s="1262" t="n"/>
      <c r="AP37" s="1256" t="n"/>
    </row>
    <row r="38" ht="19.5" customHeight="1" s="882">
      <c r="A38" s="1256" t="n"/>
      <c r="B38" s="1312" t="inlineStr">
        <is>
          <t>Signature</t>
        </is>
      </c>
      <c r="C38" s="1313" t="n"/>
      <c r="D38" s="1259" t="n"/>
      <c r="E38" s="1259" t="n"/>
      <c r="F38" s="1259" t="n"/>
      <c r="G38" s="1259" t="n"/>
      <c r="H38" s="1265" t="n"/>
      <c r="I38" s="1314" t="inlineStr">
        <is>
          <t>Signature</t>
        </is>
      </c>
      <c r="J38" s="1259" t="n"/>
      <c r="K38" s="1259" t="n"/>
      <c r="L38" s="1259" t="n"/>
      <c r="M38" s="1259" t="n"/>
      <c r="N38" s="1259" t="n"/>
      <c r="O38" s="1259" t="n"/>
      <c r="P38" s="1259" t="n"/>
      <c r="Q38" s="1259" t="n"/>
      <c r="R38" s="1259" t="n"/>
      <c r="S38" s="1259" t="n"/>
      <c r="T38" s="1259" t="n"/>
      <c r="U38" s="1265" t="n"/>
      <c r="V38" s="1314" t="n"/>
      <c r="W38" s="1259" t="n"/>
      <c r="X38" s="1259" t="n"/>
      <c r="Y38" s="1259" t="n"/>
      <c r="Z38" s="1259" t="n"/>
      <c r="AA38" s="1259" t="n"/>
      <c r="AB38" s="1259" t="n"/>
      <c r="AC38" s="1259" t="n"/>
      <c r="AD38" s="1259" t="n"/>
      <c r="AE38" s="1259" t="n"/>
      <c r="AF38" s="1259" t="n"/>
      <c r="AG38" s="1265" t="n"/>
      <c r="AH38" s="1266" t="n"/>
      <c r="AI38" s="1267" t="n"/>
      <c r="AJ38" s="1267" t="n"/>
      <c r="AK38" s="1267" t="n"/>
      <c r="AL38" s="1267" t="n"/>
      <c r="AM38" s="1267" t="n"/>
      <c r="AN38" s="1267" t="n"/>
      <c r="AO38" s="1268" t="n"/>
      <c r="AP38" s="1256" t="n"/>
    </row>
    <row r="39" ht="18.75" customHeight="1" s="882">
      <c r="A39" s="1256" t="n"/>
      <c r="B39" s="1312" t="inlineStr">
        <is>
          <t xml:space="preserve">Date :- </t>
        </is>
      </c>
      <c r="C39" s="1316">
        <f>'Master Data'!E24</f>
        <v/>
      </c>
      <c r="D39" s="1000" t="n"/>
      <c r="E39" s="1000" t="n"/>
      <c r="F39" s="1000" t="n"/>
      <c r="G39" s="1000" t="n"/>
      <c r="H39" s="1001" t="n"/>
      <c r="I39" s="1313" t="inlineStr">
        <is>
          <t xml:space="preserve">Date :- </t>
        </is>
      </c>
      <c r="J39" s="1259" t="n"/>
      <c r="K39" s="1259" t="n"/>
      <c r="L39" s="1259" t="n"/>
      <c r="M39" s="1259" t="n"/>
      <c r="N39" s="1259" t="n"/>
      <c r="O39" s="1259" t="n"/>
      <c r="P39" s="1259" t="n"/>
      <c r="Q39" s="1259" t="n"/>
      <c r="R39" s="1259" t="n"/>
      <c r="S39" s="1259" t="n"/>
      <c r="T39" s="1259" t="n"/>
      <c r="U39" s="1265" t="n"/>
      <c r="V39" s="1316">
        <f>'Master Data'!E24</f>
        <v/>
      </c>
      <c r="W39" s="1000" t="n"/>
      <c r="X39" s="1000" t="n"/>
      <c r="Y39" s="1000" t="n"/>
      <c r="Z39" s="1000" t="n"/>
      <c r="AA39" s="1000" t="n"/>
      <c r="AB39" s="1000" t="n"/>
      <c r="AC39" s="1000" t="n"/>
      <c r="AD39" s="1000" t="n"/>
      <c r="AE39" s="1000" t="n"/>
      <c r="AF39" s="1000" t="n"/>
      <c r="AG39" s="1001" t="n"/>
      <c r="AH39" s="1282" t="n"/>
      <c r="AI39" s="1283" t="n"/>
      <c r="AJ39" s="1283" t="n"/>
      <c r="AK39" s="1283" t="n"/>
      <c r="AL39" s="1283" t="n"/>
      <c r="AM39" s="1283" t="n"/>
      <c r="AN39" s="1283" t="n"/>
      <c r="AO39" s="1284" t="n"/>
      <c r="AP39" s="1256" t="n"/>
      <c r="AR39" s="1296" t="n"/>
      <c r="AS39" s="1296" t="n"/>
      <c r="AT39" s="1296" t="n"/>
      <c r="AU39" s="1296" t="n"/>
      <c r="AV39" s="1296" t="n"/>
      <c r="AW39" s="1296" t="n"/>
      <c r="AX39" s="1296" t="n"/>
      <c r="AY39" s="1296" t="n"/>
      <c r="AZ39" s="1296" t="n"/>
      <c r="BA39" s="1296" t="n"/>
      <c r="BB39" s="1296" t="n"/>
      <c r="BC39" s="1296" t="n"/>
      <c r="BD39" s="1296" t="n"/>
      <c r="BE39" s="1296" t="n"/>
      <c r="BF39" s="1296" t="n"/>
      <c r="BG39" s="1296" t="n"/>
      <c r="BH39" s="1296" t="n"/>
      <c r="BI39" s="1296" t="n"/>
      <c r="BJ39" s="1296" t="n"/>
      <c r="BK39" s="1296" t="n"/>
      <c r="BL39" s="1296" t="n"/>
      <c r="BM39" s="1296" t="n"/>
      <c r="BN39" s="1296" t="n"/>
      <c r="BO39" s="1296" t="n"/>
      <c r="BP39" s="1296" t="n"/>
      <c r="BQ39" s="1296" t="n"/>
      <c r="BR39" s="1296" t="n"/>
      <c r="BS39" s="1296" t="n"/>
      <c r="BT39" s="1296" t="n"/>
      <c r="BU39" s="1296" t="n"/>
      <c r="BV39" s="1296" t="n"/>
      <c r="BW39" s="1296" t="n"/>
      <c r="BX39" s="1296" t="n"/>
      <c r="BY39" s="1296" t="n"/>
      <c r="BZ39" s="1296" t="n"/>
      <c r="CA39" s="1296" t="n"/>
      <c r="CB39" s="1296" t="n"/>
    </row>
    <row r="40" ht="14.25" customHeight="1" s="882">
      <c r="A40" s="1256" t="n"/>
      <c r="B40" s="1256" t="n"/>
      <c r="C40" s="1256" t="n"/>
      <c r="D40" s="1256" t="n"/>
      <c r="E40" s="1256" t="n"/>
      <c r="F40" s="1256" t="n"/>
      <c r="G40" s="1256" t="n"/>
      <c r="H40" s="1256" t="n"/>
      <c r="I40" s="1256" t="n"/>
      <c r="J40" s="1256" t="n"/>
      <c r="K40" s="1256" t="n"/>
      <c r="L40" s="1256" t="n"/>
      <c r="M40" s="1256" t="n"/>
      <c r="N40" s="1256" t="n"/>
      <c r="O40" s="1256" t="n"/>
      <c r="P40" s="1256" t="n"/>
      <c r="Q40" s="1256" t="n"/>
      <c r="R40" s="1256" t="n"/>
      <c r="S40" s="1256" t="n"/>
      <c r="T40" s="1256" t="n"/>
      <c r="U40" s="1256" t="n"/>
      <c r="V40" s="1256" t="n"/>
      <c r="W40" s="1256" t="n"/>
      <c r="X40" s="1256" t="n"/>
      <c r="Y40" s="1256" t="n"/>
      <c r="Z40" s="1256" t="n"/>
      <c r="AA40" s="1256" t="n"/>
      <c r="AB40" s="1256" t="n"/>
      <c r="AC40" s="1256" t="n"/>
      <c r="AD40" s="1256" t="n"/>
      <c r="AE40" s="1256" t="n"/>
      <c r="AF40" s="1256" t="n"/>
      <c r="AG40" s="1256" t="n"/>
      <c r="AH40" s="1256" t="n"/>
      <c r="AI40" s="1256" t="n"/>
      <c r="AJ40" s="1256" t="n"/>
      <c r="AK40" s="1256" t="n"/>
      <c r="AL40" s="1256" t="n"/>
      <c r="AM40" s="1256" t="n"/>
      <c r="AN40" s="1256" t="n"/>
      <c r="AO40" s="1256" t="n"/>
      <c r="AP40" s="1256" t="n"/>
    </row>
    <row r="43" ht="14.25" customHeight="1" s="882">
      <c r="E43" s="1317" t="n"/>
    </row>
  </sheetData>
  <sheetProtection selectLockedCells="0" selectUnlockedCells="0" algorithmName="SHA-512" sheet="1" objects="1" insertRows="1" insertHyperlinks="1" autoFilter="1" scenarios="1" formatColumns="0" deleteColumns="1" insertColumns="1" pivotTables="1" deleteRows="1" formatCells="0" saltValue="bT4lTD4mXOKx723/x5iIVw==" formatRows="0" sort="1" spinCount="100000" hashValue="GmbJp3OWBX2ib50zseQWOjKRN7y3tfsAhAdyrGnXvJVSnq0/yLaByGC8aEievHr70wS6fArMDq/BhGI1087nWQ=="/>
  <mergeCells count="107">
    <mergeCell ref="H9:H10"/>
    <mergeCell ref="J9:J10"/>
    <mergeCell ref="AM9:AO11"/>
    <mergeCell ref="AB5:AL5"/>
    <mergeCell ref="I38:U38"/>
    <mergeCell ref="V39:AG39"/>
    <mergeCell ref="AM30:AO30"/>
    <mergeCell ref="C39:H39"/>
    <mergeCell ref="I6:O6"/>
    <mergeCell ref="C2:AL2"/>
    <mergeCell ref="D3:I3"/>
    <mergeCell ref="AM7:AO7"/>
    <mergeCell ref="AM21:AO21"/>
    <mergeCell ref="C38:H38"/>
    <mergeCell ref="AC9:AC10"/>
    <mergeCell ref="AE9:AE10"/>
    <mergeCell ref="AM27:AO27"/>
    <mergeCell ref="V37:AG37"/>
    <mergeCell ref="AB3:AG3"/>
    <mergeCell ref="AM8:AO8"/>
    <mergeCell ref="AD6:AG6"/>
    <mergeCell ref="K9:K10"/>
    <mergeCell ref="M9:M10"/>
    <mergeCell ref="O9:O10"/>
    <mergeCell ref="AM22:AO22"/>
    <mergeCell ref="V38:AG38"/>
    <mergeCell ref="AB4:AG4"/>
    <mergeCell ref="P6:U6"/>
    <mergeCell ref="AM34:AO34"/>
    <mergeCell ref="P9:P10"/>
    <mergeCell ref="I39:U39"/>
    <mergeCell ref="AB9:AB10"/>
    <mergeCell ref="J4:O4"/>
    <mergeCell ref="V6:AA6"/>
    <mergeCell ref="AM20:AO20"/>
    <mergeCell ref="T9:T10"/>
    <mergeCell ref="V9:V10"/>
    <mergeCell ref="AH4:AL4"/>
    <mergeCell ref="D4:I4"/>
    <mergeCell ref="AF9:AF10"/>
    <mergeCell ref="AH9:AH10"/>
    <mergeCell ref="AM31:AO31"/>
    <mergeCell ref="AM12:AO12"/>
    <mergeCell ref="D9:D10"/>
    <mergeCell ref="F9:F10"/>
    <mergeCell ref="C37:H37"/>
    <mergeCell ref="AM32:AO32"/>
    <mergeCell ref="AM26:AO26"/>
    <mergeCell ref="G9:G10"/>
    <mergeCell ref="I9:I10"/>
    <mergeCell ref="U9:U10"/>
    <mergeCell ref="D5:H5"/>
    <mergeCell ref="D8:AL8"/>
    <mergeCell ref="C9:C11"/>
    <mergeCell ref="AM24:AO24"/>
    <mergeCell ref="Y9:Y10"/>
    <mergeCell ref="AA9:AA10"/>
    <mergeCell ref="AH3:AL3"/>
    <mergeCell ref="AK9:AK10"/>
    <mergeCell ref="D7:H7"/>
    <mergeCell ref="AM15:AO15"/>
    <mergeCell ref="L9:L10"/>
    <mergeCell ref="N9:N10"/>
    <mergeCell ref="B35:C36"/>
    <mergeCell ref="X9:X10"/>
    <mergeCell ref="P7:AL7"/>
    <mergeCell ref="AI6:AL6"/>
    <mergeCell ref="R9:R10"/>
    <mergeCell ref="AM14:AO14"/>
    <mergeCell ref="AM29:AO29"/>
    <mergeCell ref="AD9:AD10"/>
    <mergeCell ref="AM23:AO23"/>
    <mergeCell ref="AM13:AO13"/>
    <mergeCell ref="I5:O5"/>
    <mergeCell ref="AB6:AC6"/>
    <mergeCell ref="AG9:AG10"/>
    <mergeCell ref="AI9:AI10"/>
    <mergeCell ref="AH37:AO39"/>
    <mergeCell ref="E9:E10"/>
    <mergeCell ref="D6:H6"/>
    <mergeCell ref="Q9:Q10"/>
    <mergeCell ref="S9:S10"/>
    <mergeCell ref="AM16:AO16"/>
    <mergeCell ref="P3:U3"/>
    <mergeCell ref="AM25:AO25"/>
    <mergeCell ref="J3:O3"/>
    <mergeCell ref="D11:AL11"/>
    <mergeCell ref="W9:W10"/>
    <mergeCell ref="AM18:AO18"/>
    <mergeCell ref="P5:U5"/>
    <mergeCell ref="AM33:AO33"/>
    <mergeCell ref="V3:AA3"/>
    <mergeCell ref="I7:O7"/>
    <mergeCell ref="AM17:AO17"/>
    <mergeCell ref="B2:B6"/>
    <mergeCell ref="P4:U4"/>
    <mergeCell ref="Z9:Z10"/>
    <mergeCell ref="V5:AA5"/>
    <mergeCell ref="I37:U37"/>
    <mergeCell ref="AJ9:AJ10"/>
    <mergeCell ref="AM19:AO19"/>
    <mergeCell ref="D35:AO36"/>
    <mergeCell ref="AL9:AL10"/>
    <mergeCell ref="AM28:AO28"/>
    <mergeCell ref="B9:B11"/>
    <mergeCell ref="V4:AA4"/>
    <mergeCell ref="AM2:AO6"/>
  </mergeCells>
  <printOptions horizontalCentered="0" verticalCentered="0" headings="0" gridLines="0" gridLinesSet="1"/>
  <pageMargins left="0" right="0" top="0.861111111111111" bottom="0" header="0" footer="0"/>
  <pageSetup orientation="landscape" paperSize="9" scale="100" fitToHeight="0" fitToWidth="1" pageOrder="downThenOver" blackAndWhite="0" draft="0" horizontalDpi="300" verticalDpi="300" copies="1"/>
  <headerFooter differentOddEven="1" differentFirst="1">
    <oddHeader>&amp;L&amp;"arial,Regular"&amp;1 &amp;K737373 ADNOC Classification: Public#_x000D_</oddHeader>
    <oddFooter>&amp;C&amp;10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8.xml><?xml version="1.0" encoding="utf-8"?>
<worksheet xmlns="http://schemas.openxmlformats.org/spreadsheetml/2006/main">
  <sheetPr filterMode="0">
    <tabColor rgb="FFE2F0D9"/>
    <outlinePr summaryBelow="1" summaryRight="1"/>
    <pageSetUpPr fitToPage="0"/>
  </sheetPr>
  <dimension ref="A1:O28"/>
  <sheetViews>
    <sheetView showFormulas="0" showGridLines="0" showRowColHeaders="1" showZeros="1" rightToLeft="0" tabSelected="0" showOutlineSymbols="1" defaultGridColor="1" view="pageBreakPreview" topLeftCell="A1" colorId="64" zoomScale="140" zoomScaleNormal="100" zoomScalePageLayoutView="140" workbookViewId="0">
      <selection pane="topLeft" activeCell="H6" activeCellId="1" sqref="A11:S58 H6"/>
    </sheetView>
  </sheetViews>
  <sheetFormatPr baseColWidth="8" defaultColWidth="8.59765625" defaultRowHeight="14.25" customHeight="0" zeroHeight="0" outlineLevelRow="0"/>
  <cols>
    <col width="6.56" customWidth="1" style="930" min="3" max="3"/>
    <col width="17.56" customWidth="1" style="930" min="4" max="5"/>
    <col width="5.44" customWidth="1" style="930" min="6" max="6"/>
    <col width="14.78" customWidth="1" style="930" min="7" max="7"/>
    <col width="6.67" customWidth="1" style="930" min="8" max="8"/>
    <col width="6.56" customWidth="1" style="930" min="9" max="9"/>
    <col width="9.220000000000001" customWidth="1" style="930" min="10" max="10"/>
    <col width="8.33" customWidth="1" style="930" min="11" max="11"/>
  </cols>
  <sheetData>
    <row r="1" ht="45.75" customHeight="1" s="882">
      <c r="A1" s="1318" t="n"/>
      <c r="B1" s="887" t="n"/>
      <c r="C1" s="1319" t="inlineStr">
        <is>
          <t>1 of 1</t>
        </is>
      </c>
      <c r="D1" s="1320" t="inlineStr">
        <is>
          <t>Tools Backload Sheet</t>
        </is>
      </c>
      <c r="E1" s="886" t="n"/>
      <c r="F1" s="886" t="n"/>
      <c r="G1" s="886" t="n"/>
      <c r="H1" s="886" t="n"/>
      <c r="I1" s="887" t="n"/>
      <c r="J1" s="1320" t="n"/>
      <c r="K1" s="887" t="n"/>
    </row>
    <row r="2" ht="14.25" customHeight="1" s="882">
      <c r="A2" s="1319" t="inlineStr">
        <is>
          <t>DOCUMENT NUMBER</t>
        </is>
      </c>
      <c r="B2" s="887" t="n"/>
      <c r="C2" s="1319" t="inlineStr">
        <is>
          <t>CLASSIFICATION</t>
        </is>
      </c>
      <c r="D2" s="887" t="n"/>
      <c r="E2" s="1319" t="inlineStr">
        <is>
          <t>DOCUMENT LEVEL</t>
        </is>
      </c>
      <c r="F2" s="887" t="n"/>
      <c r="G2" s="1319" t="inlineStr">
        <is>
          <t>REVISION NUMBER</t>
        </is>
      </c>
      <c r="H2" s="1319" t="inlineStr">
        <is>
          <t>ISSUE DATE</t>
        </is>
      </c>
      <c r="I2" s="887" t="n"/>
      <c r="J2" s="1319" t="inlineStr">
        <is>
          <t>PREPARED BY</t>
        </is>
      </c>
      <c r="K2" s="1319" t="inlineStr">
        <is>
          <t>APPROVAL</t>
        </is>
      </c>
    </row>
    <row r="3" ht="18.75" customHeight="1" s="882">
      <c r="A3" s="1321" t="inlineStr">
        <is>
          <t>GL-COMP-OEPS-L4-15.10</t>
        </is>
      </c>
      <c r="B3" s="887" t="n"/>
      <c r="C3" s="1322" t="inlineStr">
        <is>
          <t>CONTROLLED</t>
        </is>
      </c>
      <c r="D3" s="887" t="n"/>
      <c r="E3" s="1322" t="inlineStr">
        <is>
          <t>L5</t>
        </is>
      </c>
      <c r="F3" s="887" t="n"/>
      <c r="G3" s="1322" t="n">
        <v>0</v>
      </c>
      <c r="H3" s="1322" t="inlineStr">
        <is>
          <t>6th September 2015</t>
        </is>
      </c>
      <c r="I3" s="887" t="n"/>
      <c r="J3" s="1322" t="inlineStr">
        <is>
          <t>WCT TAC</t>
        </is>
      </c>
      <c r="K3" s="1322" t="inlineStr">
        <is>
          <t>WCT TWIC</t>
        </is>
      </c>
    </row>
    <row r="5" ht="14.9" customHeight="1" s="882">
      <c r="A5" s="1323" t="inlineStr">
        <is>
          <t xml:space="preserve"> Backload From:</t>
        </is>
      </c>
      <c r="B5" s="887" t="n"/>
      <c r="C5" s="1324">
        <f>'Master Data'!E10</f>
        <v/>
      </c>
      <c r="D5" s="886" t="n"/>
      <c r="E5" s="887" t="n"/>
      <c r="F5" s="1323" t="inlineStr">
        <is>
          <t xml:space="preserve"> Job Number</t>
        </is>
      </c>
      <c r="G5" s="1323" t="n"/>
      <c r="H5" s="1324">
        <f>'Master Data'!B11</f>
        <v/>
      </c>
      <c r="I5" s="886" t="n"/>
      <c r="J5" s="886" t="n"/>
      <c r="K5" s="887" t="n"/>
    </row>
    <row r="6" ht="14.9" customHeight="1" s="882">
      <c r="A6" s="1323" t="inlineStr">
        <is>
          <t xml:space="preserve"> Backload to:</t>
        </is>
      </c>
      <c r="B6" s="887" t="n"/>
      <c r="C6" s="1325" t="inlineStr">
        <is>
          <t xml:space="preserve">Weatherford ICAD Base </t>
        </is>
      </c>
      <c r="D6" s="1326" t="n"/>
      <c r="E6" s="1327" t="n"/>
      <c r="F6" s="1323" t="inlineStr">
        <is>
          <t xml:space="preserve"> Rig/Well No.</t>
        </is>
      </c>
      <c r="G6" s="1323" t="n"/>
      <c r="H6" s="1328">
        <f>_xlfn.CONCAT('Master Data'!E11," / ", 'Master Data'!E10)</f>
        <v/>
      </c>
      <c r="I6" s="1329" t="n"/>
      <c r="J6" s="1329" t="n"/>
      <c r="K6" s="1330" t="n"/>
    </row>
    <row r="7" ht="14.25" customHeight="1" s="882">
      <c r="A7" s="1324" t="inlineStr">
        <is>
          <t>Backload Delivery</t>
        </is>
      </c>
      <c r="B7" s="886" t="n"/>
      <c r="C7" s="886" t="n"/>
      <c r="D7" s="886" t="n"/>
      <c r="E7" s="886" t="n"/>
      <c r="F7" s="886" t="n"/>
      <c r="G7" s="886" t="n"/>
      <c r="H7" s="886" t="n"/>
      <c r="I7" s="886" t="n"/>
      <c r="J7" s="886" t="n"/>
      <c r="K7" s="887" t="n"/>
    </row>
    <row r="8" ht="14.25" customHeight="1" s="882">
      <c r="A8" s="1324" t="inlineStr">
        <is>
          <t>Item</t>
        </is>
      </c>
      <c r="B8" s="1324" t="inlineStr">
        <is>
          <t>Description</t>
        </is>
      </c>
      <c r="C8" s="886" t="n"/>
      <c r="D8" s="886" t="n"/>
      <c r="E8" s="887" t="n"/>
      <c r="F8" s="1324" t="inlineStr">
        <is>
          <t>Serial Number</t>
        </is>
      </c>
      <c r="G8" s="887" t="n"/>
      <c r="H8" s="1324" t="inlineStr">
        <is>
          <t>Status</t>
        </is>
      </c>
      <c r="I8" s="886" t="n"/>
      <c r="J8" s="887" t="n"/>
      <c r="K8" s="1324" t="inlineStr">
        <is>
          <t>Quantity</t>
        </is>
      </c>
    </row>
    <row r="9" ht="14.25" customHeight="1" s="882">
      <c r="A9" s="1331" t="inlineStr">
        <is>
          <t xml:space="preserve">RENTAL ITEMS </t>
        </is>
      </c>
      <c r="B9" s="886" t="n"/>
      <c r="C9" s="886" t="n"/>
      <c r="D9" s="886" t="n"/>
      <c r="E9" s="887" t="n"/>
      <c r="F9" s="1331" t="n"/>
      <c r="G9" s="886" t="n"/>
      <c r="H9" s="886" t="n"/>
      <c r="I9" s="886" t="n"/>
      <c r="J9" s="886" t="n"/>
      <c r="K9" s="887" t="n"/>
    </row>
    <row r="10" ht="36" customHeight="1" s="882">
      <c r="A10" s="1332" t="n">
        <v>1</v>
      </c>
      <c r="B10" s="1333">
        <f>'MS2'!D11</f>
        <v/>
      </c>
      <c r="C10" s="1326" t="n"/>
      <c r="D10" s="1326" t="n"/>
      <c r="E10" s="1327" t="n"/>
      <c r="F10" s="1334">
        <f>'MS2'!F11</f>
        <v/>
      </c>
      <c r="G10" s="1327" t="n"/>
      <c r="H10" s="1334" t="n"/>
      <c r="I10" s="1326" t="n"/>
      <c r="J10" s="1327" t="n"/>
      <c r="K10" s="1334" t="inlineStr">
        <is>
          <t>1 EA</t>
        </is>
      </c>
    </row>
    <row r="11" ht="50.25" customHeight="1" s="882">
      <c r="A11" s="1332" t="n">
        <v>2</v>
      </c>
      <c r="B11" s="1333">
        <f>'MS2'!D12</f>
        <v/>
      </c>
      <c r="C11" s="1335" t="n"/>
      <c r="D11" s="1335" t="n"/>
      <c r="E11" s="1336" t="n"/>
      <c r="F11" s="1334">
        <f>'MS2'!F12</f>
        <v/>
      </c>
      <c r="G11" s="1336" t="n"/>
      <c r="H11" s="1334" t="n"/>
      <c r="I11" s="1335" t="n"/>
      <c r="J11" s="1336" t="n"/>
      <c r="K11" s="1334" t="inlineStr">
        <is>
          <t>1 EA</t>
        </is>
      </c>
    </row>
    <row r="12" ht="30" customHeight="1" s="882">
      <c r="A12" s="1337" t="n"/>
      <c r="B12" s="1013" t="n"/>
      <c r="C12" s="1089" t="n"/>
      <c r="D12" s="1089" t="n"/>
      <c r="E12" s="1338" t="n"/>
      <c r="F12" s="1013" t="n"/>
      <c r="G12" s="1338" t="n"/>
      <c r="H12" s="1013" t="n"/>
      <c r="I12" s="1089" t="n"/>
      <c r="J12" s="1338" t="n"/>
      <c r="K12" s="1337" t="n"/>
    </row>
    <row r="13" ht="15" customHeight="1" s="882">
      <c r="A13" s="1332" t="n">
        <v>3</v>
      </c>
      <c r="B13" s="1333">
        <f>'MS2'!D13</f>
        <v/>
      </c>
      <c r="C13" s="1326" t="n"/>
      <c r="D13" s="1326" t="n"/>
      <c r="E13" s="1327" t="n"/>
      <c r="F13" s="1334">
        <f>'MS2'!F13</f>
        <v/>
      </c>
      <c r="G13" s="1327" t="n"/>
      <c r="H13" s="1334" t="n"/>
      <c r="I13" s="1326" t="n"/>
      <c r="J13" s="1327" t="n"/>
      <c r="K13" s="1334" t="inlineStr">
        <is>
          <t>1EA</t>
        </is>
      </c>
    </row>
    <row r="14" ht="26.8" customHeight="1" s="882">
      <c r="A14" s="1339" t="n"/>
      <c r="B14" s="1340" t="n"/>
      <c r="C14" s="1326" t="n"/>
      <c r="D14" s="1326" t="n"/>
      <c r="E14" s="1327" t="n"/>
      <c r="F14" s="1334" t="n"/>
      <c r="G14" s="1327" t="n"/>
      <c r="H14" s="1334" t="n"/>
      <c r="I14" s="1326" t="n"/>
      <c r="J14" s="1327" t="n"/>
      <c r="K14" s="1334" t="n"/>
      <c r="O14" s="1341" t="n"/>
    </row>
    <row r="15" ht="15" customHeight="1" s="882">
      <c r="A15" s="1334" t="n"/>
      <c r="B15" s="1342" t="n"/>
      <c r="C15" s="1326" t="n"/>
      <c r="D15" s="1326" t="n"/>
      <c r="E15" s="1327" t="n"/>
      <c r="F15" s="1334" t="n"/>
      <c r="G15" s="1327" t="n"/>
      <c r="H15" s="1334" t="n"/>
      <c r="I15" s="1326" t="n"/>
      <c r="J15" s="1327" t="n"/>
      <c r="K15" s="1343" t="n"/>
    </row>
    <row r="16" ht="15" customHeight="1" s="882">
      <c r="A16" s="1334" t="n"/>
      <c r="B16" s="1342" t="n"/>
      <c r="C16" s="1326" t="n"/>
      <c r="D16" s="1326" t="n"/>
      <c r="E16" s="1327" t="n"/>
      <c r="F16" s="1334" t="n"/>
      <c r="G16" s="1327" t="n"/>
      <c r="H16" s="1334" t="n"/>
      <c r="I16" s="1326" t="n"/>
      <c r="J16" s="1327" t="n"/>
      <c r="K16" s="1343" t="n"/>
    </row>
    <row r="17" ht="15" customHeight="1" s="882">
      <c r="A17" s="1334" t="n"/>
      <c r="B17" s="1342" t="n"/>
      <c r="C17" s="1326" t="n"/>
      <c r="D17" s="1326" t="n"/>
      <c r="E17" s="1327" t="n"/>
      <c r="F17" s="1334" t="n"/>
      <c r="G17" s="1327" t="n"/>
      <c r="H17" s="1334" t="n"/>
      <c r="I17" s="1326" t="n"/>
      <c r="J17" s="1327" t="n"/>
      <c r="K17" s="1343" t="n"/>
    </row>
    <row r="18" ht="14.25" customHeight="1" s="882">
      <c r="A18" s="1344" t="inlineStr">
        <is>
          <t>REMARKS:</t>
        </is>
      </c>
      <c r="B18" s="1326" t="n"/>
      <c r="C18" s="1326" t="n"/>
      <c r="D18" s="1326" t="n"/>
      <c r="E18" s="1326" t="n"/>
      <c r="F18" s="1326" t="n"/>
      <c r="G18" s="1326" t="n"/>
      <c r="H18" s="1326" t="n"/>
      <c r="I18" s="1326" t="n"/>
      <c r="J18" s="1326" t="n"/>
      <c r="K18" s="1327" t="n"/>
    </row>
    <row r="19" ht="14.25" customHeight="1" s="882">
      <c r="A19" s="1345" t="n"/>
      <c r="B19" s="1326" t="n"/>
      <c r="C19" s="1326" t="n"/>
      <c r="D19" s="1326" t="n"/>
      <c r="E19" s="1326" t="n"/>
      <c r="F19" s="1326" t="n"/>
      <c r="G19" s="1326" t="n"/>
      <c r="H19" s="1326" t="n"/>
      <c r="I19" s="1326" t="n"/>
      <c r="J19" s="1326" t="n"/>
      <c r="K19" s="1327" t="n"/>
    </row>
    <row r="20" ht="14.25" customHeight="1" s="882">
      <c r="A20" s="1345" t="n"/>
      <c r="B20" s="1326" t="n"/>
      <c r="C20" s="1326" t="n"/>
      <c r="D20" s="1326" t="n"/>
      <c r="E20" s="1326" t="n"/>
      <c r="F20" s="1326" t="n"/>
      <c r="G20" s="1326" t="n"/>
      <c r="H20" s="1326" t="n"/>
      <c r="I20" s="1326" t="n"/>
      <c r="J20" s="1326" t="n"/>
      <c r="K20" s="1327" t="n"/>
    </row>
    <row r="21" ht="14.25" customHeight="1" s="882">
      <c r="A21" s="1346" t="n"/>
      <c r="B21" s="1326" t="n"/>
      <c r="C21" s="1326" t="n"/>
      <c r="D21" s="1326" t="n"/>
      <c r="E21" s="1326" t="n"/>
      <c r="F21" s="1326" t="n"/>
      <c r="G21" s="1326" t="n"/>
      <c r="H21" s="1326" t="n"/>
      <c r="I21" s="1326" t="n"/>
      <c r="J21" s="1326" t="n"/>
      <c r="K21" s="1327" t="n"/>
    </row>
    <row r="22" ht="14.9" customHeight="1" s="882">
      <c r="A22" s="1347" t="inlineStr">
        <is>
          <t>WFT Engineer:</t>
        </is>
      </c>
      <c r="B22" s="886" t="n"/>
      <c r="C22" s="887" t="n"/>
      <c r="D22" s="1348">
        <f>'Master Data'!B21</f>
        <v/>
      </c>
      <c r="E22" s="886" t="n"/>
      <c r="F22" s="886" t="n"/>
      <c r="G22" s="887" t="n"/>
      <c r="H22" s="1349" t="inlineStr">
        <is>
          <t>Date :</t>
        </is>
      </c>
      <c r="I22" s="1350">
        <f>'Master Data'!E24</f>
        <v/>
      </c>
      <c r="J22" s="1326" t="n"/>
      <c r="K22" s="1327" t="n"/>
    </row>
    <row r="23" ht="14.9" customHeight="1" s="882">
      <c r="A23" s="1347" t="inlineStr">
        <is>
          <t>Company Representative:</t>
        </is>
      </c>
      <c r="B23" s="886" t="n"/>
      <c r="C23" s="887" t="n"/>
      <c r="D23" s="1348" t="n"/>
      <c r="E23" s="886" t="n"/>
      <c r="F23" s="886" t="n"/>
      <c r="G23" s="887" t="n"/>
      <c r="H23" s="1349" t="inlineStr">
        <is>
          <t>Date :</t>
        </is>
      </c>
      <c r="I23" s="1350">
        <f>'Master Data'!E24</f>
        <v/>
      </c>
      <c r="J23" s="1326" t="n"/>
      <c r="K23" s="1327" t="n"/>
    </row>
    <row r="24" ht="14.9" customHeight="1" s="882">
      <c r="A24" s="1347" t="inlineStr">
        <is>
          <t>Delivery Method:</t>
        </is>
      </c>
      <c r="B24" s="886" t="n"/>
      <c r="C24" s="887" t="n"/>
      <c r="D24" s="1348" t="inlineStr">
        <is>
          <t> </t>
        </is>
      </c>
      <c r="E24" s="886" t="n"/>
      <c r="F24" s="886" t="n"/>
      <c r="G24" s="887" t="n"/>
      <c r="H24" s="1349" t="inlineStr">
        <is>
          <t>Date :</t>
        </is>
      </c>
      <c r="I24" s="1351" t="n"/>
      <c r="J24" s="886" t="n"/>
      <c r="K24" s="887" t="n"/>
    </row>
    <row r="25" ht="14.9" customHeight="1" s="882">
      <c r="A25" s="1352" t="n"/>
      <c r="B25" s="886" t="n"/>
      <c r="C25" s="887" t="n"/>
      <c r="D25" s="1348" t="n"/>
      <c r="E25" s="886" t="n"/>
      <c r="F25" s="886" t="n"/>
      <c r="G25" s="887" t="n"/>
      <c r="H25" s="1349" t="inlineStr">
        <is>
          <t>Date :</t>
        </is>
      </c>
      <c r="I25" s="1351" t="n"/>
      <c r="J25" s="886" t="n"/>
      <c r="K25" s="887" t="n"/>
    </row>
    <row r="26" ht="12" customHeight="1" s="882">
      <c r="A26" s="1353" t="n"/>
    </row>
    <row r="27" ht="14.25" customHeight="1" s="882">
      <c r="A27" s="1354" t="inlineStr">
        <is>
          <t>© ©2015 WEATHERFORD ALL RIGHTS RESERVED PROPRIETARY AND CONFIDENTIAL.</t>
        </is>
      </c>
    </row>
    <row r="28" ht="42.75" customHeight="1" s="882">
      <c r="A28" s="1355" t="inlineStr">
        <is>
          <t>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sheetData>
  <mergeCells count="65">
    <mergeCell ref="A25:C25"/>
    <mergeCell ref="I22:K22"/>
    <mergeCell ref="F10:G10"/>
    <mergeCell ref="F16:G16"/>
    <mergeCell ref="D25:G25"/>
    <mergeCell ref="J1:K1"/>
    <mergeCell ref="B15:E15"/>
    <mergeCell ref="D24:G24"/>
    <mergeCell ref="A1:B1"/>
    <mergeCell ref="B11:E12"/>
    <mergeCell ref="H17:J17"/>
    <mergeCell ref="A6:B6"/>
    <mergeCell ref="H5:K5"/>
    <mergeCell ref="H16:J16"/>
    <mergeCell ref="D23:G23"/>
    <mergeCell ref="I24:K24"/>
    <mergeCell ref="K11:K12"/>
    <mergeCell ref="F15:G15"/>
    <mergeCell ref="A23:C23"/>
    <mergeCell ref="A7:K7"/>
    <mergeCell ref="H13:J13"/>
    <mergeCell ref="I23:K23"/>
    <mergeCell ref="B16:E16"/>
    <mergeCell ref="A22:C22"/>
    <mergeCell ref="F9:K9"/>
    <mergeCell ref="F11:G12"/>
    <mergeCell ref="A3:B3"/>
    <mergeCell ref="F17:G17"/>
    <mergeCell ref="A27:K27"/>
    <mergeCell ref="F8:G8"/>
    <mergeCell ref="H15:J15"/>
    <mergeCell ref="D22:G22"/>
    <mergeCell ref="A2:B2"/>
    <mergeCell ref="H2:I2"/>
    <mergeCell ref="H11:J12"/>
    <mergeCell ref="C2:D2"/>
    <mergeCell ref="A18:K18"/>
    <mergeCell ref="H14:J14"/>
    <mergeCell ref="E2:F2"/>
    <mergeCell ref="A21:K21"/>
    <mergeCell ref="A26:K26"/>
    <mergeCell ref="A5:B5"/>
    <mergeCell ref="H8:J8"/>
    <mergeCell ref="H6:K6"/>
    <mergeCell ref="F13:G13"/>
    <mergeCell ref="A24:C24"/>
    <mergeCell ref="C6:E6"/>
    <mergeCell ref="H3:I3"/>
    <mergeCell ref="D1:I1"/>
    <mergeCell ref="B14:E14"/>
    <mergeCell ref="B17:E17"/>
    <mergeCell ref="H10:J10"/>
    <mergeCell ref="B8:E8"/>
    <mergeCell ref="C5:E5"/>
    <mergeCell ref="A20:K20"/>
    <mergeCell ref="B13:E13"/>
    <mergeCell ref="A19:K19"/>
    <mergeCell ref="A28:K28"/>
    <mergeCell ref="F14:G14"/>
    <mergeCell ref="E3:F3"/>
    <mergeCell ref="B10:E10"/>
    <mergeCell ref="C3:D3"/>
    <mergeCell ref="A9:E9"/>
    <mergeCell ref="A11:A12"/>
    <mergeCell ref="I25:K25"/>
  </mergeCells>
  <printOptions horizontalCentered="0" verticalCentered="0" headings="0" gridLines="0" gridLinesSet="1"/>
  <pageMargins left="0.25" right="0.25" top="0.444444444444444" bottom="0.75" header="0.3" footer="0.511811023622047"/>
  <pageSetup orientation="portrait" paperSize="9" scale="85" fitToHeight="1" fitToWidth="1" pageOrder="downThenOver" blackAndWhite="0" draft="0" horizontalDpi="300" verticalDpi="300" copies="1"/>
  <drawing xmlns:r="http://schemas.openxmlformats.org/officeDocument/2006/relationships" r:id="rId1"/>
  <legacyDrawing xmlns:r="http://schemas.openxmlformats.org/officeDocument/2006/relationships" r:id="anysvml"/>
</worksheet>
</file>

<file path=xl/worksheets/sheet9.xml><?xml version="1.0" encoding="utf-8"?>
<worksheet xmlns="http://schemas.openxmlformats.org/spreadsheetml/2006/main">
  <sheetPr filterMode="0">
    <tabColor rgb="FF00B050"/>
    <outlinePr summaryBelow="1" summaryRight="1"/>
    <pageSetUpPr fitToPage="1"/>
  </sheetPr>
  <dimension ref="A2:T46"/>
  <sheetViews>
    <sheetView showFormulas="0" showGridLines="1" showRowColHeaders="1" showZeros="1" rightToLeft="0" tabSelected="0" showOutlineSymbols="1" defaultGridColor="1" view="pageBreakPreview" topLeftCell="A28" colorId="64" zoomScale="140" zoomScaleNormal="72" zoomScalePageLayoutView="140" workbookViewId="0">
      <selection pane="topLeft" activeCell="I24" activeCellId="0" sqref="A11:S58"/>
    </sheetView>
  </sheetViews>
  <sheetFormatPr baseColWidth="8" defaultColWidth="8.890625" defaultRowHeight="12.75" customHeight="0" zeroHeight="0" outlineLevelRow="0"/>
  <cols>
    <col width="4.89" customWidth="1" style="1356" min="1" max="1"/>
    <col width="8.890000000000001" customWidth="1" style="1357" min="2" max="2"/>
    <col width="8.890000000000001" customWidth="1" style="1356" min="3" max="3"/>
    <col width="13.89" customWidth="1" style="1356" min="4" max="4"/>
    <col width="8.890000000000001" customWidth="1" style="1356" min="5" max="5"/>
    <col width="13.44" customWidth="1" style="1356" min="6" max="6"/>
    <col width="8.890000000000001" customWidth="1" style="1356" min="7" max="8"/>
    <col width="14" customWidth="1" style="1356" min="9" max="9"/>
    <col width="16.45" customWidth="1" style="1356" min="10" max="10"/>
    <col width="10.11" customWidth="1" style="1356" min="11" max="11"/>
    <col width="12.11" customWidth="1" style="1356" min="12" max="12"/>
    <col width="16.55" customWidth="1" style="1356" min="13" max="14"/>
    <col width="8.890000000000001" customWidth="1" style="1356" min="15" max="259"/>
    <col width="13.89" customWidth="1" style="1356" min="260" max="260"/>
    <col width="8.890000000000001" customWidth="1" style="1356" min="261" max="261"/>
    <col width="13.44" customWidth="1" style="1356" min="262" max="262"/>
    <col width="8.890000000000001" customWidth="1" style="1356" min="263" max="264"/>
    <col width="12.55" customWidth="1" style="1356" min="265" max="265"/>
    <col width="16.45" customWidth="1" style="1356" min="266" max="266"/>
    <col width="10.11" customWidth="1" style="1356" min="267" max="267"/>
    <col width="9.109999999999999" customWidth="1" style="1356" min="268" max="268"/>
    <col width="11.55" customWidth="1" style="1356" min="269" max="269"/>
    <col width="8.890000000000001" customWidth="1" style="1356" min="270" max="515"/>
    <col width="13.89" customWidth="1" style="1356" min="516" max="516"/>
    <col width="8.890000000000001" customWidth="1" style="1356" min="517" max="517"/>
    <col width="13.44" customWidth="1" style="1356" min="518" max="518"/>
    <col width="8.890000000000001" customWidth="1" style="1356" min="519" max="520"/>
    <col width="12.55" customWidth="1" style="1356" min="521" max="521"/>
    <col width="16.45" customWidth="1" style="1356" min="522" max="522"/>
    <col width="10.11" customWidth="1" style="1356" min="523" max="523"/>
    <col width="9.109999999999999" customWidth="1" style="1356" min="524" max="524"/>
    <col width="11.55" customWidth="1" style="1356" min="525" max="525"/>
    <col width="8.890000000000001" customWidth="1" style="1356" min="526" max="771"/>
    <col width="13.89" customWidth="1" style="1356" min="772" max="772"/>
    <col width="8.890000000000001" customWidth="1" style="1356" min="773" max="773"/>
    <col width="13.44" customWidth="1" style="1356" min="774" max="774"/>
    <col width="8.890000000000001" customWidth="1" style="1356" min="775" max="776"/>
    <col width="12.55" customWidth="1" style="1356" min="777" max="777"/>
    <col width="16.45" customWidth="1" style="1356" min="778" max="778"/>
    <col width="10.11" customWidth="1" style="1356" min="779" max="779"/>
    <col width="9.109999999999999" customWidth="1" style="1356" min="780" max="780"/>
    <col width="11.55" customWidth="1" style="1356" min="781" max="781"/>
    <col width="8.890000000000001" customWidth="1" style="1356" min="782" max="1027"/>
    <col width="13.89" customWidth="1" style="1356" min="1028" max="1028"/>
    <col width="8.890000000000001" customWidth="1" style="1356" min="1029" max="1029"/>
    <col width="13.44" customWidth="1" style="1356" min="1030" max="1030"/>
    <col width="8.890000000000001" customWidth="1" style="1356" min="1031" max="1032"/>
    <col width="12.55" customWidth="1" style="1356" min="1033" max="1033"/>
    <col width="16.45" customWidth="1" style="1356" min="1034" max="1034"/>
    <col width="10.11" customWidth="1" style="1356" min="1035" max="1035"/>
    <col width="9.109999999999999" customWidth="1" style="1356" min="1036" max="1036"/>
    <col width="11.55" customWidth="1" style="1356" min="1037" max="1037"/>
    <col width="8.890000000000001" customWidth="1" style="1356" min="1038" max="1283"/>
    <col width="13.89" customWidth="1" style="1356" min="1284" max="1284"/>
    <col width="8.890000000000001" customWidth="1" style="1356" min="1285" max="1285"/>
    <col width="13.44" customWidth="1" style="1356" min="1286" max="1286"/>
    <col width="8.890000000000001" customWidth="1" style="1356" min="1287" max="1288"/>
    <col width="12.55" customWidth="1" style="1356" min="1289" max="1289"/>
    <col width="16.45" customWidth="1" style="1356" min="1290" max="1290"/>
    <col width="10.11" customWidth="1" style="1356" min="1291" max="1291"/>
    <col width="9.109999999999999" customWidth="1" style="1356" min="1292" max="1292"/>
    <col width="11.55" customWidth="1" style="1356" min="1293" max="1293"/>
    <col width="8.890000000000001" customWidth="1" style="1356" min="1294" max="1539"/>
    <col width="13.89" customWidth="1" style="1356" min="1540" max="1540"/>
    <col width="8.890000000000001" customWidth="1" style="1356" min="1541" max="1541"/>
    <col width="13.44" customWidth="1" style="1356" min="1542" max="1542"/>
    <col width="8.890000000000001" customWidth="1" style="1356" min="1543" max="1544"/>
    <col width="12.55" customWidth="1" style="1356" min="1545" max="1545"/>
    <col width="16.45" customWidth="1" style="1356" min="1546" max="1546"/>
    <col width="10.11" customWidth="1" style="1356" min="1547" max="1547"/>
    <col width="9.109999999999999" customWidth="1" style="1356" min="1548" max="1548"/>
    <col width="11.55" customWidth="1" style="1356" min="1549" max="1549"/>
    <col width="8.890000000000001" customWidth="1" style="1356" min="1550" max="1795"/>
    <col width="13.89" customWidth="1" style="1356" min="1796" max="1796"/>
    <col width="8.890000000000001" customWidth="1" style="1356" min="1797" max="1797"/>
    <col width="13.44" customWidth="1" style="1356" min="1798" max="1798"/>
    <col width="8.890000000000001" customWidth="1" style="1356" min="1799" max="1800"/>
    <col width="12.55" customWidth="1" style="1356" min="1801" max="1801"/>
    <col width="16.45" customWidth="1" style="1356" min="1802" max="1802"/>
    <col width="10.11" customWidth="1" style="1356" min="1803" max="1803"/>
    <col width="9.109999999999999" customWidth="1" style="1356" min="1804" max="1804"/>
    <col width="11.55" customWidth="1" style="1356" min="1805" max="1805"/>
    <col width="8.890000000000001" customWidth="1" style="1356" min="1806" max="2051"/>
    <col width="13.89" customWidth="1" style="1356" min="2052" max="2052"/>
    <col width="8.890000000000001" customWidth="1" style="1356" min="2053" max="2053"/>
    <col width="13.44" customWidth="1" style="1356" min="2054" max="2054"/>
    <col width="8.890000000000001" customWidth="1" style="1356" min="2055" max="2056"/>
    <col width="12.55" customWidth="1" style="1356" min="2057" max="2057"/>
    <col width="16.45" customWidth="1" style="1356" min="2058" max="2058"/>
    <col width="10.11" customWidth="1" style="1356" min="2059" max="2059"/>
    <col width="9.109999999999999" customWidth="1" style="1356" min="2060" max="2060"/>
    <col width="11.55" customWidth="1" style="1356" min="2061" max="2061"/>
    <col width="8.890000000000001" customWidth="1" style="1356" min="2062" max="2307"/>
    <col width="13.89" customWidth="1" style="1356" min="2308" max="2308"/>
    <col width="8.890000000000001" customWidth="1" style="1356" min="2309" max="2309"/>
    <col width="13.44" customWidth="1" style="1356" min="2310" max="2310"/>
    <col width="8.890000000000001" customWidth="1" style="1356" min="2311" max="2312"/>
    <col width="12.55" customWidth="1" style="1356" min="2313" max="2313"/>
    <col width="16.45" customWidth="1" style="1356" min="2314" max="2314"/>
    <col width="10.11" customWidth="1" style="1356" min="2315" max="2315"/>
    <col width="9.109999999999999" customWidth="1" style="1356" min="2316" max="2316"/>
    <col width="11.55" customWidth="1" style="1356" min="2317" max="2317"/>
    <col width="8.890000000000001" customWidth="1" style="1356" min="2318" max="2563"/>
    <col width="13.89" customWidth="1" style="1356" min="2564" max="2564"/>
    <col width="8.890000000000001" customWidth="1" style="1356" min="2565" max="2565"/>
    <col width="13.44" customWidth="1" style="1356" min="2566" max="2566"/>
    <col width="8.890000000000001" customWidth="1" style="1356" min="2567" max="2568"/>
    <col width="12.55" customWidth="1" style="1356" min="2569" max="2569"/>
    <col width="16.45" customWidth="1" style="1356" min="2570" max="2570"/>
    <col width="10.11" customWidth="1" style="1356" min="2571" max="2571"/>
    <col width="9.109999999999999" customWidth="1" style="1356" min="2572" max="2572"/>
    <col width="11.55" customWidth="1" style="1356" min="2573" max="2573"/>
    <col width="8.890000000000001" customWidth="1" style="1356" min="2574" max="2819"/>
    <col width="13.89" customWidth="1" style="1356" min="2820" max="2820"/>
    <col width="8.890000000000001" customWidth="1" style="1356" min="2821" max="2821"/>
    <col width="13.44" customWidth="1" style="1356" min="2822" max="2822"/>
    <col width="8.890000000000001" customWidth="1" style="1356" min="2823" max="2824"/>
    <col width="12.55" customWidth="1" style="1356" min="2825" max="2825"/>
    <col width="16.45" customWidth="1" style="1356" min="2826" max="2826"/>
    <col width="10.11" customWidth="1" style="1356" min="2827" max="2827"/>
    <col width="9.109999999999999" customWidth="1" style="1356" min="2828" max="2828"/>
    <col width="11.55" customWidth="1" style="1356" min="2829" max="2829"/>
    <col width="8.890000000000001" customWidth="1" style="1356" min="2830" max="3075"/>
    <col width="13.89" customWidth="1" style="1356" min="3076" max="3076"/>
    <col width="8.890000000000001" customWidth="1" style="1356" min="3077" max="3077"/>
    <col width="13.44" customWidth="1" style="1356" min="3078" max="3078"/>
    <col width="8.890000000000001" customWidth="1" style="1356" min="3079" max="3080"/>
    <col width="12.55" customWidth="1" style="1356" min="3081" max="3081"/>
    <col width="16.45" customWidth="1" style="1356" min="3082" max="3082"/>
    <col width="10.11" customWidth="1" style="1356" min="3083" max="3083"/>
    <col width="9.109999999999999" customWidth="1" style="1356" min="3084" max="3084"/>
    <col width="11.55" customWidth="1" style="1356" min="3085" max="3085"/>
    <col width="8.890000000000001" customWidth="1" style="1356" min="3086" max="3331"/>
    <col width="13.89" customWidth="1" style="1356" min="3332" max="3332"/>
    <col width="8.890000000000001" customWidth="1" style="1356" min="3333" max="3333"/>
    <col width="13.44" customWidth="1" style="1356" min="3334" max="3334"/>
    <col width="8.890000000000001" customWidth="1" style="1356" min="3335" max="3336"/>
    <col width="12.55" customWidth="1" style="1356" min="3337" max="3337"/>
    <col width="16.45" customWidth="1" style="1356" min="3338" max="3338"/>
    <col width="10.11" customWidth="1" style="1356" min="3339" max="3339"/>
    <col width="9.109999999999999" customWidth="1" style="1356" min="3340" max="3340"/>
    <col width="11.55" customWidth="1" style="1356" min="3341" max="3341"/>
    <col width="8.890000000000001" customWidth="1" style="1356" min="3342" max="3587"/>
    <col width="13.89" customWidth="1" style="1356" min="3588" max="3588"/>
    <col width="8.890000000000001" customWidth="1" style="1356" min="3589" max="3589"/>
    <col width="13.44" customWidth="1" style="1356" min="3590" max="3590"/>
    <col width="8.890000000000001" customWidth="1" style="1356" min="3591" max="3592"/>
    <col width="12.55" customWidth="1" style="1356" min="3593" max="3593"/>
    <col width="16.45" customWidth="1" style="1356" min="3594" max="3594"/>
    <col width="10.11" customWidth="1" style="1356" min="3595" max="3595"/>
    <col width="9.109999999999999" customWidth="1" style="1356" min="3596" max="3596"/>
    <col width="11.55" customWidth="1" style="1356" min="3597" max="3597"/>
    <col width="8.890000000000001" customWidth="1" style="1356" min="3598" max="3843"/>
    <col width="13.89" customWidth="1" style="1356" min="3844" max="3844"/>
    <col width="8.890000000000001" customWidth="1" style="1356" min="3845" max="3845"/>
    <col width="13.44" customWidth="1" style="1356" min="3846" max="3846"/>
    <col width="8.890000000000001" customWidth="1" style="1356" min="3847" max="3848"/>
    <col width="12.55" customWidth="1" style="1356" min="3849" max="3849"/>
    <col width="16.45" customWidth="1" style="1356" min="3850" max="3850"/>
    <col width="10.11" customWidth="1" style="1356" min="3851" max="3851"/>
    <col width="9.109999999999999" customWidth="1" style="1356" min="3852" max="3852"/>
    <col width="11.55" customWidth="1" style="1356" min="3853" max="3853"/>
    <col width="8.890000000000001" customWidth="1" style="1356" min="3854" max="4099"/>
    <col width="13.89" customWidth="1" style="1356" min="4100" max="4100"/>
    <col width="8.890000000000001" customWidth="1" style="1356" min="4101" max="4101"/>
    <col width="13.44" customWidth="1" style="1356" min="4102" max="4102"/>
    <col width="8.890000000000001" customWidth="1" style="1356" min="4103" max="4104"/>
    <col width="12.55" customWidth="1" style="1356" min="4105" max="4105"/>
    <col width="16.45" customWidth="1" style="1356" min="4106" max="4106"/>
    <col width="10.11" customWidth="1" style="1356" min="4107" max="4107"/>
    <col width="9.109999999999999" customWidth="1" style="1356" min="4108" max="4108"/>
    <col width="11.55" customWidth="1" style="1356" min="4109" max="4109"/>
    <col width="8.890000000000001" customWidth="1" style="1356" min="4110" max="4355"/>
    <col width="13.89" customWidth="1" style="1356" min="4356" max="4356"/>
    <col width="8.890000000000001" customWidth="1" style="1356" min="4357" max="4357"/>
    <col width="13.44" customWidth="1" style="1356" min="4358" max="4358"/>
    <col width="8.890000000000001" customWidth="1" style="1356" min="4359" max="4360"/>
    <col width="12.55" customWidth="1" style="1356" min="4361" max="4361"/>
    <col width="16.45" customWidth="1" style="1356" min="4362" max="4362"/>
    <col width="10.11" customWidth="1" style="1356" min="4363" max="4363"/>
    <col width="9.109999999999999" customWidth="1" style="1356" min="4364" max="4364"/>
    <col width="11.55" customWidth="1" style="1356" min="4365" max="4365"/>
    <col width="8.890000000000001" customWidth="1" style="1356" min="4366" max="4611"/>
    <col width="13.89" customWidth="1" style="1356" min="4612" max="4612"/>
    <col width="8.890000000000001" customWidth="1" style="1356" min="4613" max="4613"/>
    <col width="13.44" customWidth="1" style="1356" min="4614" max="4614"/>
    <col width="8.890000000000001" customWidth="1" style="1356" min="4615" max="4616"/>
    <col width="12.55" customWidth="1" style="1356" min="4617" max="4617"/>
    <col width="16.45" customWidth="1" style="1356" min="4618" max="4618"/>
    <col width="10.11" customWidth="1" style="1356" min="4619" max="4619"/>
    <col width="9.109999999999999" customWidth="1" style="1356" min="4620" max="4620"/>
    <col width="11.55" customWidth="1" style="1356" min="4621" max="4621"/>
    <col width="8.890000000000001" customWidth="1" style="1356" min="4622" max="4867"/>
    <col width="13.89" customWidth="1" style="1356" min="4868" max="4868"/>
    <col width="8.890000000000001" customWidth="1" style="1356" min="4869" max="4869"/>
    <col width="13.44" customWidth="1" style="1356" min="4870" max="4870"/>
    <col width="8.890000000000001" customWidth="1" style="1356" min="4871" max="4872"/>
    <col width="12.55" customWidth="1" style="1356" min="4873" max="4873"/>
    <col width="16.45" customWidth="1" style="1356" min="4874" max="4874"/>
    <col width="10.11" customWidth="1" style="1356" min="4875" max="4875"/>
    <col width="9.109999999999999" customWidth="1" style="1356" min="4876" max="4876"/>
    <col width="11.55" customWidth="1" style="1356" min="4877" max="4877"/>
    <col width="8.890000000000001" customWidth="1" style="1356" min="4878" max="5123"/>
    <col width="13.89" customWidth="1" style="1356" min="5124" max="5124"/>
    <col width="8.890000000000001" customWidth="1" style="1356" min="5125" max="5125"/>
    <col width="13.44" customWidth="1" style="1356" min="5126" max="5126"/>
    <col width="8.890000000000001" customWidth="1" style="1356" min="5127" max="5128"/>
    <col width="12.55" customWidth="1" style="1356" min="5129" max="5129"/>
    <col width="16.45" customWidth="1" style="1356" min="5130" max="5130"/>
    <col width="10.11" customWidth="1" style="1356" min="5131" max="5131"/>
    <col width="9.109999999999999" customWidth="1" style="1356" min="5132" max="5132"/>
    <col width="11.55" customWidth="1" style="1356" min="5133" max="5133"/>
    <col width="8.890000000000001" customWidth="1" style="1356" min="5134" max="5379"/>
    <col width="13.89" customWidth="1" style="1356" min="5380" max="5380"/>
    <col width="8.890000000000001" customWidth="1" style="1356" min="5381" max="5381"/>
    <col width="13.44" customWidth="1" style="1356" min="5382" max="5382"/>
    <col width="8.890000000000001" customWidth="1" style="1356" min="5383" max="5384"/>
    <col width="12.55" customWidth="1" style="1356" min="5385" max="5385"/>
    <col width="16.45" customWidth="1" style="1356" min="5386" max="5386"/>
    <col width="10.11" customWidth="1" style="1356" min="5387" max="5387"/>
    <col width="9.109999999999999" customWidth="1" style="1356" min="5388" max="5388"/>
    <col width="11.55" customWidth="1" style="1356" min="5389" max="5389"/>
    <col width="8.890000000000001" customWidth="1" style="1356" min="5390" max="5635"/>
    <col width="13.89" customWidth="1" style="1356" min="5636" max="5636"/>
    <col width="8.890000000000001" customWidth="1" style="1356" min="5637" max="5637"/>
    <col width="13.44" customWidth="1" style="1356" min="5638" max="5638"/>
    <col width="8.890000000000001" customWidth="1" style="1356" min="5639" max="5640"/>
    <col width="12.55" customWidth="1" style="1356" min="5641" max="5641"/>
    <col width="16.45" customWidth="1" style="1356" min="5642" max="5642"/>
    <col width="10.11" customWidth="1" style="1356" min="5643" max="5643"/>
    <col width="9.109999999999999" customWidth="1" style="1356" min="5644" max="5644"/>
    <col width="11.55" customWidth="1" style="1356" min="5645" max="5645"/>
    <col width="8.890000000000001" customWidth="1" style="1356" min="5646" max="5891"/>
    <col width="13.89" customWidth="1" style="1356" min="5892" max="5892"/>
    <col width="8.890000000000001" customWidth="1" style="1356" min="5893" max="5893"/>
    <col width="13.44" customWidth="1" style="1356" min="5894" max="5894"/>
    <col width="8.890000000000001" customWidth="1" style="1356" min="5895" max="5896"/>
    <col width="12.55" customWidth="1" style="1356" min="5897" max="5897"/>
    <col width="16.45" customWidth="1" style="1356" min="5898" max="5898"/>
    <col width="10.11" customWidth="1" style="1356" min="5899" max="5899"/>
    <col width="9.109999999999999" customWidth="1" style="1356" min="5900" max="5900"/>
    <col width="11.55" customWidth="1" style="1356" min="5901" max="5901"/>
    <col width="8.890000000000001" customWidth="1" style="1356" min="5902" max="6147"/>
    <col width="13.89" customWidth="1" style="1356" min="6148" max="6148"/>
    <col width="8.890000000000001" customWidth="1" style="1356" min="6149" max="6149"/>
    <col width="13.44" customWidth="1" style="1356" min="6150" max="6150"/>
    <col width="8.890000000000001" customWidth="1" style="1356" min="6151" max="6152"/>
    <col width="12.55" customWidth="1" style="1356" min="6153" max="6153"/>
    <col width="16.45" customWidth="1" style="1356" min="6154" max="6154"/>
    <col width="10.11" customWidth="1" style="1356" min="6155" max="6155"/>
    <col width="9.109999999999999" customWidth="1" style="1356" min="6156" max="6156"/>
    <col width="11.55" customWidth="1" style="1356" min="6157" max="6157"/>
    <col width="8.890000000000001" customWidth="1" style="1356" min="6158" max="6403"/>
    <col width="13.89" customWidth="1" style="1356" min="6404" max="6404"/>
    <col width="8.890000000000001" customWidth="1" style="1356" min="6405" max="6405"/>
    <col width="13.44" customWidth="1" style="1356" min="6406" max="6406"/>
    <col width="8.890000000000001" customWidth="1" style="1356" min="6407" max="6408"/>
    <col width="12.55" customWidth="1" style="1356" min="6409" max="6409"/>
    <col width="16.45" customWidth="1" style="1356" min="6410" max="6410"/>
    <col width="10.11" customWidth="1" style="1356" min="6411" max="6411"/>
    <col width="9.109999999999999" customWidth="1" style="1356" min="6412" max="6412"/>
    <col width="11.55" customWidth="1" style="1356" min="6413" max="6413"/>
    <col width="8.890000000000001" customWidth="1" style="1356" min="6414" max="6659"/>
    <col width="13.89" customWidth="1" style="1356" min="6660" max="6660"/>
    <col width="8.890000000000001" customWidth="1" style="1356" min="6661" max="6661"/>
    <col width="13.44" customWidth="1" style="1356" min="6662" max="6662"/>
    <col width="8.890000000000001" customWidth="1" style="1356" min="6663" max="6664"/>
    <col width="12.55" customWidth="1" style="1356" min="6665" max="6665"/>
    <col width="16.45" customWidth="1" style="1356" min="6666" max="6666"/>
    <col width="10.11" customWidth="1" style="1356" min="6667" max="6667"/>
    <col width="9.109999999999999" customWidth="1" style="1356" min="6668" max="6668"/>
    <col width="11.55" customWidth="1" style="1356" min="6669" max="6669"/>
    <col width="8.890000000000001" customWidth="1" style="1356" min="6670" max="6915"/>
    <col width="13.89" customWidth="1" style="1356" min="6916" max="6916"/>
    <col width="8.890000000000001" customWidth="1" style="1356" min="6917" max="6917"/>
    <col width="13.44" customWidth="1" style="1356" min="6918" max="6918"/>
    <col width="8.890000000000001" customWidth="1" style="1356" min="6919" max="6920"/>
    <col width="12.55" customWidth="1" style="1356" min="6921" max="6921"/>
    <col width="16.45" customWidth="1" style="1356" min="6922" max="6922"/>
    <col width="10.11" customWidth="1" style="1356" min="6923" max="6923"/>
    <col width="9.109999999999999" customWidth="1" style="1356" min="6924" max="6924"/>
    <col width="11.55" customWidth="1" style="1356" min="6925" max="6925"/>
    <col width="8.890000000000001" customWidth="1" style="1356" min="6926" max="7171"/>
    <col width="13.89" customWidth="1" style="1356" min="7172" max="7172"/>
    <col width="8.890000000000001" customWidth="1" style="1356" min="7173" max="7173"/>
    <col width="13.44" customWidth="1" style="1356" min="7174" max="7174"/>
    <col width="8.890000000000001" customWidth="1" style="1356" min="7175" max="7176"/>
    <col width="12.55" customWidth="1" style="1356" min="7177" max="7177"/>
    <col width="16.45" customWidth="1" style="1356" min="7178" max="7178"/>
    <col width="10.11" customWidth="1" style="1356" min="7179" max="7179"/>
    <col width="9.109999999999999" customWidth="1" style="1356" min="7180" max="7180"/>
    <col width="11.55" customWidth="1" style="1356" min="7181" max="7181"/>
    <col width="8.890000000000001" customWidth="1" style="1356" min="7182" max="7427"/>
    <col width="13.89" customWidth="1" style="1356" min="7428" max="7428"/>
    <col width="8.890000000000001" customWidth="1" style="1356" min="7429" max="7429"/>
    <col width="13.44" customWidth="1" style="1356" min="7430" max="7430"/>
    <col width="8.890000000000001" customWidth="1" style="1356" min="7431" max="7432"/>
    <col width="12.55" customWidth="1" style="1356" min="7433" max="7433"/>
    <col width="16.45" customWidth="1" style="1356" min="7434" max="7434"/>
    <col width="10.11" customWidth="1" style="1356" min="7435" max="7435"/>
    <col width="9.109999999999999" customWidth="1" style="1356" min="7436" max="7436"/>
    <col width="11.55" customWidth="1" style="1356" min="7437" max="7437"/>
    <col width="8.890000000000001" customWidth="1" style="1356" min="7438" max="7683"/>
    <col width="13.89" customWidth="1" style="1356" min="7684" max="7684"/>
    <col width="8.890000000000001" customWidth="1" style="1356" min="7685" max="7685"/>
    <col width="13.44" customWidth="1" style="1356" min="7686" max="7686"/>
    <col width="8.890000000000001" customWidth="1" style="1356" min="7687" max="7688"/>
    <col width="12.55" customWidth="1" style="1356" min="7689" max="7689"/>
    <col width="16.45" customWidth="1" style="1356" min="7690" max="7690"/>
    <col width="10.11" customWidth="1" style="1356" min="7691" max="7691"/>
    <col width="9.109999999999999" customWidth="1" style="1356" min="7692" max="7692"/>
    <col width="11.55" customWidth="1" style="1356" min="7693" max="7693"/>
    <col width="8.890000000000001" customWidth="1" style="1356" min="7694" max="7939"/>
    <col width="13.89" customWidth="1" style="1356" min="7940" max="7940"/>
    <col width="8.890000000000001" customWidth="1" style="1356" min="7941" max="7941"/>
    <col width="13.44" customWidth="1" style="1356" min="7942" max="7942"/>
    <col width="8.890000000000001" customWidth="1" style="1356" min="7943" max="7944"/>
    <col width="12.55" customWidth="1" style="1356" min="7945" max="7945"/>
    <col width="16.45" customWidth="1" style="1356" min="7946" max="7946"/>
    <col width="10.11" customWidth="1" style="1356" min="7947" max="7947"/>
    <col width="9.109999999999999" customWidth="1" style="1356" min="7948" max="7948"/>
    <col width="11.55" customWidth="1" style="1356" min="7949" max="7949"/>
    <col width="8.890000000000001" customWidth="1" style="1356" min="7950" max="8195"/>
    <col width="13.89" customWidth="1" style="1356" min="8196" max="8196"/>
    <col width="8.890000000000001" customWidth="1" style="1356" min="8197" max="8197"/>
    <col width="13.44" customWidth="1" style="1356" min="8198" max="8198"/>
    <col width="8.890000000000001" customWidth="1" style="1356" min="8199" max="8200"/>
    <col width="12.55" customWidth="1" style="1356" min="8201" max="8201"/>
    <col width="16.45" customWidth="1" style="1356" min="8202" max="8202"/>
    <col width="10.11" customWidth="1" style="1356" min="8203" max="8203"/>
    <col width="9.109999999999999" customWidth="1" style="1356" min="8204" max="8204"/>
    <col width="11.55" customWidth="1" style="1356" min="8205" max="8205"/>
    <col width="8.890000000000001" customWidth="1" style="1356" min="8206" max="8451"/>
    <col width="13.89" customWidth="1" style="1356" min="8452" max="8452"/>
    <col width="8.890000000000001" customWidth="1" style="1356" min="8453" max="8453"/>
    <col width="13.44" customWidth="1" style="1356" min="8454" max="8454"/>
    <col width="8.890000000000001" customWidth="1" style="1356" min="8455" max="8456"/>
    <col width="12.55" customWidth="1" style="1356" min="8457" max="8457"/>
    <col width="16.45" customWidth="1" style="1356" min="8458" max="8458"/>
    <col width="10.11" customWidth="1" style="1356" min="8459" max="8459"/>
    <col width="9.109999999999999" customWidth="1" style="1356" min="8460" max="8460"/>
    <col width="11.55" customWidth="1" style="1356" min="8461" max="8461"/>
    <col width="8.890000000000001" customWidth="1" style="1356" min="8462" max="8707"/>
    <col width="13.89" customWidth="1" style="1356" min="8708" max="8708"/>
    <col width="8.890000000000001" customWidth="1" style="1356" min="8709" max="8709"/>
    <col width="13.44" customWidth="1" style="1356" min="8710" max="8710"/>
    <col width="8.890000000000001" customWidth="1" style="1356" min="8711" max="8712"/>
    <col width="12.55" customWidth="1" style="1356" min="8713" max="8713"/>
    <col width="16.45" customWidth="1" style="1356" min="8714" max="8714"/>
    <col width="10.11" customWidth="1" style="1356" min="8715" max="8715"/>
    <col width="9.109999999999999" customWidth="1" style="1356" min="8716" max="8716"/>
    <col width="11.55" customWidth="1" style="1356" min="8717" max="8717"/>
    <col width="8.890000000000001" customWidth="1" style="1356" min="8718" max="8963"/>
    <col width="13.89" customWidth="1" style="1356" min="8964" max="8964"/>
    <col width="8.890000000000001" customWidth="1" style="1356" min="8965" max="8965"/>
    <col width="13.44" customWidth="1" style="1356" min="8966" max="8966"/>
    <col width="8.890000000000001" customWidth="1" style="1356" min="8967" max="8968"/>
    <col width="12.55" customWidth="1" style="1356" min="8969" max="8969"/>
    <col width="16.45" customWidth="1" style="1356" min="8970" max="8970"/>
    <col width="10.11" customWidth="1" style="1356" min="8971" max="8971"/>
    <col width="9.109999999999999" customWidth="1" style="1356" min="8972" max="8972"/>
    <col width="11.55" customWidth="1" style="1356" min="8973" max="8973"/>
    <col width="8.890000000000001" customWidth="1" style="1356" min="8974" max="9219"/>
    <col width="13.89" customWidth="1" style="1356" min="9220" max="9220"/>
    <col width="8.890000000000001" customWidth="1" style="1356" min="9221" max="9221"/>
    <col width="13.44" customWidth="1" style="1356" min="9222" max="9222"/>
    <col width="8.890000000000001" customWidth="1" style="1356" min="9223" max="9224"/>
    <col width="12.55" customWidth="1" style="1356" min="9225" max="9225"/>
    <col width="16.45" customWidth="1" style="1356" min="9226" max="9226"/>
    <col width="10.11" customWidth="1" style="1356" min="9227" max="9227"/>
    <col width="9.109999999999999" customWidth="1" style="1356" min="9228" max="9228"/>
    <col width="11.55" customWidth="1" style="1356" min="9229" max="9229"/>
    <col width="8.890000000000001" customWidth="1" style="1356" min="9230" max="9475"/>
    <col width="13.89" customWidth="1" style="1356" min="9476" max="9476"/>
    <col width="8.890000000000001" customWidth="1" style="1356" min="9477" max="9477"/>
    <col width="13.44" customWidth="1" style="1356" min="9478" max="9478"/>
    <col width="8.890000000000001" customWidth="1" style="1356" min="9479" max="9480"/>
    <col width="12.55" customWidth="1" style="1356" min="9481" max="9481"/>
    <col width="16.45" customWidth="1" style="1356" min="9482" max="9482"/>
    <col width="10.11" customWidth="1" style="1356" min="9483" max="9483"/>
    <col width="9.109999999999999" customWidth="1" style="1356" min="9484" max="9484"/>
    <col width="11.55" customWidth="1" style="1356" min="9485" max="9485"/>
    <col width="8.890000000000001" customWidth="1" style="1356" min="9486" max="9731"/>
    <col width="13.89" customWidth="1" style="1356" min="9732" max="9732"/>
    <col width="8.890000000000001" customWidth="1" style="1356" min="9733" max="9733"/>
    <col width="13.44" customWidth="1" style="1356" min="9734" max="9734"/>
    <col width="8.890000000000001" customWidth="1" style="1356" min="9735" max="9736"/>
    <col width="12.55" customWidth="1" style="1356" min="9737" max="9737"/>
    <col width="16.45" customWidth="1" style="1356" min="9738" max="9738"/>
    <col width="10.11" customWidth="1" style="1356" min="9739" max="9739"/>
    <col width="9.109999999999999" customWidth="1" style="1356" min="9740" max="9740"/>
    <col width="11.55" customWidth="1" style="1356" min="9741" max="9741"/>
    <col width="8.890000000000001" customWidth="1" style="1356" min="9742" max="9987"/>
    <col width="13.89" customWidth="1" style="1356" min="9988" max="9988"/>
    <col width="8.890000000000001" customWidth="1" style="1356" min="9989" max="9989"/>
    <col width="13.44" customWidth="1" style="1356" min="9990" max="9990"/>
    <col width="8.890000000000001" customWidth="1" style="1356" min="9991" max="9992"/>
    <col width="12.55" customWidth="1" style="1356" min="9993" max="9993"/>
    <col width="16.45" customWidth="1" style="1356" min="9994" max="9994"/>
    <col width="10.11" customWidth="1" style="1356" min="9995" max="9995"/>
    <col width="9.109999999999999" customWidth="1" style="1356" min="9996" max="9996"/>
    <col width="11.55" customWidth="1" style="1356" min="9997" max="9997"/>
    <col width="8.890000000000001" customWidth="1" style="1356" min="9998" max="10243"/>
    <col width="13.89" customWidth="1" style="1356" min="10244" max="10244"/>
    <col width="8.890000000000001" customWidth="1" style="1356" min="10245" max="10245"/>
    <col width="13.44" customWidth="1" style="1356" min="10246" max="10246"/>
    <col width="8.890000000000001" customWidth="1" style="1356" min="10247" max="10248"/>
    <col width="12.55" customWidth="1" style="1356" min="10249" max="10249"/>
    <col width="16.45" customWidth="1" style="1356" min="10250" max="10250"/>
    <col width="10.11" customWidth="1" style="1356" min="10251" max="10251"/>
    <col width="9.109999999999999" customWidth="1" style="1356" min="10252" max="10252"/>
    <col width="11.55" customWidth="1" style="1356" min="10253" max="10253"/>
    <col width="8.890000000000001" customWidth="1" style="1356" min="10254" max="10499"/>
    <col width="13.89" customWidth="1" style="1356" min="10500" max="10500"/>
    <col width="8.890000000000001" customWidth="1" style="1356" min="10501" max="10501"/>
    <col width="13.44" customWidth="1" style="1356" min="10502" max="10502"/>
    <col width="8.890000000000001" customWidth="1" style="1356" min="10503" max="10504"/>
    <col width="12.55" customWidth="1" style="1356" min="10505" max="10505"/>
    <col width="16.45" customWidth="1" style="1356" min="10506" max="10506"/>
    <col width="10.11" customWidth="1" style="1356" min="10507" max="10507"/>
    <col width="9.109999999999999" customWidth="1" style="1356" min="10508" max="10508"/>
    <col width="11.55" customWidth="1" style="1356" min="10509" max="10509"/>
    <col width="8.890000000000001" customWidth="1" style="1356" min="10510" max="10755"/>
    <col width="13.89" customWidth="1" style="1356" min="10756" max="10756"/>
    <col width="8.890000000000001" customWidth="1" style="1356" min="10757" max="10757"/>
    <col width="13.44" customWidth="1" style="1356" min="10758" max="10758"/>
    <col width="8.890000000000001" customWidth="1" style="1356" min="10759" max="10760"/>
    <col width="12.55" customWidth="1" style="1356" min="10761" max="10761"/>
    <col width="16.45" customWidth="1" style="1356" min="10762" max="10762"/>
    <col width="10.11" customWidth="1" style="1356" min="10763" max="10763"/>
    <col width="9.109999999999999" customWidth="1" style="1356" min="10764" max="10764"/>
    <col width="11.55" customWidth="1" style="1356" min="10765" max="10765"/>
    <col width="8.890000000000001" customWidth="1" style="1356" min="10766" max="11011"/>
    <col width="13.89" customWidth="1" style="1356" min="11012" max="11012"/>
    <col width="8.890000000000001" customWidth="1" style="1356" min="11013" max="11013"/>
    <col width="13.44" customWidth="1" style="1356" min="11014" max="11014"/>
    <col width="8.890000000000001" customWidth="1" style="1356" min="11015" max="11016"/>
    <col width="12.55" customWidth="1" style="1356" min="11017" max="11017"/>
    <col width="16.45" customWidth="1" style="1356" min="11018" max="11018"/>
    <col width="10.11" customWidth="1" style="1356" min="11019" max="11019"/>
    <col width="9.109999999999999" customWidth="1" style="1356" min="11020" max="11020"/>
    <col width="11.55" customWidth="1" style="1356" min="11021" max="11021"/>
    <col width="8.890000000000001" customWidth="1" style="1356" min="11022" max="11267"/>
    <col width="13.89" customWidth="1" style="1356" min="11268" max="11268"/>
    <col width="8.890000000000001" customWidth="1" style="1356" min="11269" max="11269"/>
    <col width="13.44" customWidth="1" style="1356" min="11270" max="11270"/>
    <col width="8.890000000000001" customWidth="1" style="1356" min="11271" max="11272"/>
    <col width="12.55" customWidth="1" style="1356" min="11273" max="11273"/>
    <col width="16.45" customWidth="1" style="1356" min="11274" max="11274"/>
    <col width="10.11" customWidth="1" style="1356" min="11275" max="11275"/>
    <col width="9.109999999999999" customWidth="1" style="1356" min="11276" max="11276"/>
    <col width="11.55" customWidth="1" style="1356" min="11277" max="11277"/>
    <col width="8.890000000000001" customWidth="1" style="1356" min="11278" max="11523"/>
    <col width="13.89" customWidth="1" style="1356" min="11524" max="11524"/>
    <col width="8.890000000000001" customWidth="1" style="1356" min="11525" max="11525"/>
    <col width="13.44" customWidth="1" style="1356" min="11526" max="11526"/>
    <col width="8.890000000000001" customWidth="1" style="1356" min="11527" max="11528"/>
    <col width="12.55" customWidth="1" style="1356" min="11529" max="11529"/>
    <col width="16.45" customWidth="1" style="1356" min="11530" max="11530"/>
    <col width="10.11" customWidth="1" style="1356" min="11531" max="11531"/>
    <col width="9.109999999999999" customWidth="1" style="1356" min="11532" max="11532"/>
    <col width="11.55" customWidth="1" style="1356" min="11533" max="11533"/>
    <col width="8.890000000000001" customWidth="1" style="1356" min="11534" max="11779"/>
    <col width="13.89" customWidth="1" style="1356" min="11780" max="11780"/>
    <col width="8.890000000000001" customWidth="1" style="1356" min="11781" max="11781"/>
    <col width="13.44" customWidth="1" style="1356" min="11782" max="11782"/>
    <col width="8.890000000000001" customWidth="1" style="1356" min="11783" max="11784"/>
    <col width="12.55" customWidth="1" style="1356" min="11785" max="11785"/>
    <col width="16.45" customWidth="1" style="1356" min="11786" max="11786"/>
    <col width="10.11" customWidth="1" style="1356" min="11787" max="11787"/>
    <col width="9.109999999999999" customWidth="1" style="1356" min="11788" max="11788"/>
    <col width="11.55" customWidth="1" style="1356" min="11789" max="11789"/>
    <col width="8.890000000000001" customWidth="1" style="1356" min="11790" max="12035"/>
    <col width="13.89" customWidth="1" style="1356" min="12036" max="12036"/>
    <col width="8.890000000000001" customWidth="1" style="1356" min="12037" max="12037"/>
    <col width="13.44" customWidth="1" style="1356" min="12038" max="12038"/>
    <col width="8.890000000000001" customWidth="1" style="1356" min="12039" max="12040"/>
    <col width="12.55" customWidth="1" style="1356" min="12041" max="12041"/>
    <col width="16.45" customWidth="1" style="1356" min="12042" max="12042"/>
    <col width="10.11" customWidth="1" style="1356" min="12043" max="12043"/>
    <col width="9.109999999999999" customWidth="1" style="1356" min="12044" max="12044"/>
    <col width="11.55" customWidth="1" style="1356" min="12045" max="12045"/>
    <col width="8.890000000000001" customWidth="1" style="1356" min="12046" max="12291"/>
    <col width="13.89" customWidth="1" style="1356" min="12292" max="12292"/>
    <col width="8.890000000000001" customWidth="1" style="1356" min="12293" max="12293"/>
    <col width="13.44" customWidth="1" style="1356" min="12294" max="12294"/>
    <col width="8.890000000000001" customWidth="1" style="1356" min="12295" max="12296"/>
    <col width="12.55" customWidth="1" style="1356" min="12297" max="12297"/>
    <col width="16.45" customWidth="1" style="1356" min="12298" max="12298"/>
    <col width="10.11" customWidth="1" style="1356" min="12299" max="12299"/>
    <col width="9.109999999999999" customWidth="1" style="1356" min="12300" max="12300"/>
    <col width="11.55" customWidth="1" style="1356" min="12301" max="12301"/>
    <col width="8.890000000000001" customWidth="1" style="1356" min="12302" max="12547"/>
    <col width="13.89" customWidth="1" style="1356" min="12548" max="12548"/>
    <col width="8.890000000000001" customWidth="1" style="1356" min="12549" max="12549"/>
    <col width="13.44" customWidth="1" style="1356" min="12550" max="12550"/>
    <col width="8.890000000000001" customWidth="1" style="1356" min="12551" max="12552"/>
    <col width="12.55" customWidth="1" style="1356" min="12553" max="12553"/>
    <col width="16.45" customWidth="1" style="1356" min="12554" max="12554"/>
    <col width="10.11" customWidth="1" style="1356" min="12555" max="12555"/>
    <col width="9.109999999999999" customWidth="1" style="1356" min="12556" max="12556"/>
    <col width="11.55" customWidth="1" style="1356" min="12557" max="12557"/>
    <col width="8.890000000000001" customWidth="1" style="1356" min="12558" max="12803"/>
    <col width="13.89" customWidth="1" style="1356" min="12804" max="12804"/>
    <col width="8.890000000000001" customWidth="1" style="1356" min="12805" max="12805"/>
    <col width="13.44" customWidth="1" style="1356" min="12806" max="12806"/>
    <col width="8.890000000000001" customWidth="1" style="1356" min="12807" max="12808"/>
    <col width="12.55" customWidth="1" style="1356" min="12809" max="12809"/>
    <col width="16.45" customWidth="1" style="1356" min="12810" max="12810"/>
    <col width="10.11" customWidth="1" style="1356" min="12811" max="12811"/>
    <col width="9.109999999999999" customWidth="1" style="1356" min="12812" max="12812"/>
    <col width="11.55" customWidth="1" style="1356" min="12813" max="12813"/>
    <col width="8.890000000000001" customWidth="1" style="1356" min="12814" max="13059"/>
    <col width="13.89" customWidth="1" style="1356" min="13060" max="13060"/>
    <col width="8.890000000000001" customWidth="1" style="1356" min="13061" max="13061"/>
    <col width="13.44" customWidth="1" style="1356" min="13062" max="13062"/>
    <col width="8.890000000000001" customWidth="1" style="1356" min="13063" max="13064"/>
    <col width="12.55" customWidth="1" style="1356" min="13065" max="13065"/>
    <col width="16.45" customWidth="1" style="1356" min="13066" max="13066"/>
    <col width="10.11" customWidth="1" style="1356" min="13067" max="13067"/>
    <col width="9.109999999999999" customWidth="1" style="1356" min="13068" max="13068"/>
    <col width="11.55" customWidth="1" style="1356" min="13069" max="13069"/>
    <col width="8.890000000000001" customWidth="1" style="1356" min="13070" max="13315"/>
    <col width="13.89" customWidth="1" style="1356" min="13316" max="13316"/>
    <col width="8.890000000000001" customWidth="1" style="1356" min="13317" max="13317"/>
    <col width="13.44" customWidth="1" style="1356" min="13318" max="13318"/>
    <col width="8.890000000000001" customWidth="1" style="1356" min="13319" max="13320"/>
    <col width="12.55" customWidth="1" style="1356" min="13321" max="13321"/>
    <col width="16.45" customWidth="1" style="1356" min="13322" max="13322"/>
    <col width="10.11" customWidth="1" style="1356" min="13323" max="13323"/>
    <col width="9.109999999999999" customWidth="1" style="1356" min="13324" max="13324"/>
    <col width="11.55" customWidth="1" style="1356" min="13325" max="13325"/>
    <col width="8.890000000000001" customWidth="1" style="1356" min="13326" max="13571"/>
    <col width="13.89" customWidth="1" style="1356" min="13572" max="13572"/>
    <col width="8.890000000000001" customWidth="1" style="1356" min="13573" max="13573"/>
    <col width="13.44" customWidth="1" style="1356" min="13574" max="13574"/>
    <col width="8.890000000000001" customWidth="1" style="1356" min="13575" max="13576"/>
    <col width="12.55" customWidth="1" style="1356" min="13577" max="13577"/>
    <col width="16.45" customWidth="1" style="1356" min="13578" max="13578"/>
    <col width="10.11" customWidth="1" style="1356" min="13579" max="13579"/>
    <col width="9.109999999999999" customWidth="1" style="1356" min="13580" max="13580"/>
    <col width="11.55" customWidth="1" style="1356" min="13581" max="13581"/>
    <col width="8.890000000000001" customWidth="1" style="1356" min="13582" max="13827"/>
    <col width="13.89" customWidth="1" style="1356" min="13828" max="13828"/>
    <col width="8.890000000000001" customWidth="1" style="1356" min="13829" max="13829"/>
    <col width="13.44" customWidth="1" style="1356" min="13830" max="13830"/>
    <col width="8.890000000000001" customWidth="1" style="1356" min="13831" max="13832"/>
    <col width="12.55" customWidth="1" style="1356" min="13833" max="13833"/>
    <col width="16.45" customWidth="1" style="1356" min="13834" max="13834"/>
    <col width="10.11" customWidth="1" style="1356" min="13835" max="13835"/>
    <col width="9.109999999999999" customWidth="1" style="1356" min="13836" max="13836"/>
    <col width="11.55" customWidth="1" style="1356" min="13837" max="13837"/>
    <col width="8.890000000000001" customWidth="1" style="1356" min="13838" max="14083"/>
    <col width="13.89" customWidth="1" style="1356" min="14084" max="14084"/>
    <col width="8.890000000000001" customWidth="1" style="1356" min="14085" max="14085"/>
    <col width="13.44" customWidth="1" style="1356" min="14086" max="14086"/>
    <col width="8.890000000000001" customWidth="1" style="1356" min="14087" max="14088"/>
    <col width="12.55" customWidth="1" style="1356" min="14089" max="14089"/>
    <col width="16.45" customWidth="1" style="1356" min="14090" max="14090"/>
    <col width="10.11" customWidth="1" style="1356" min="14091" max="14091"/>
    <col width="9.109999999999999" customWidth="1" style="1356" min="14092" max="14092"/>
    <col width="11.55" customWidth="1" style="1356" min="14093" max="14093"/>
    <col width="8.890000000000001" customWidth="1" style="1356" min="14094" max="14339"/>
    <col width="13.89" customWidth="1" style="1356" min="14340" max="14340"/>
    <col width="8.890000000000001" customWidth="1" style="1356" min="14341" max="14341"/>
    <col width="13.44" customWidth="1" style="1356" min="14342" max="14342"/>
    <col width="8.890000000000001" customWidth="1" style="1356" min="14343" max="14344"/>
    <col width="12.55" customWidth="1" style="1356" min="14345" max="14345"/>
    <col width="16.45" customWidth="1" style="1356" min="14346" max="14346"/>
    <col width="10.11" customWidth="1" style="1356" min="14347" max="14347"/>
    <col width="9.109999999999999" customWidth="1" style="1356" min="14348" max="14348"/>
    <col width="11.55" customWidth="1" style="1356" min="14349" max="14349"/>
    <col width="8.890000000000001" customWidth="1" style="1356" min="14350" max="14595"/>
    <col width="13.89" customWidth="1" style="1356" min="14596" max="14596"/>
    <col width="8.890000000000001" customWidth="1" style="1356" min="14597" max="14597"/>
    <col width="13.44" customWidth="1" style="1356" min="14598" max="14598"/>
    <col width="8.890000000000001" customWidth="1" style="1356" min="14599" max="14600"/>
    <col width="12.55" customWidth="1" style="1356" min="14601" max="14601"/>
    <col width="16.45" customWidth="1" style="1356" min="14602" max="14602"/>
    <col width="10.11" customWidth="1" style="1356" min="14603" max="14603"/>
    <col width="9.109999999999999" customWidth="1" style="1356" min="14604" max="14604"/>
    <col width="11.55" customWidth="1" style="1356" min="14605" max="14605"/>
    <col width="8.890000000000001" customWidth="1" style="1356" min="14606" max="14851"/>
    <col width="13.89" customWidth="1" style="1356" min="14852" max="14852"/>
    <col width="8.890000000000001" customWidth="1" style="1356" min="14853" max="14853"/>
    <col width="13.44" customWidth="1" style="1356" min="14854" max="14854"/>
    <col width="8.890000000000001" customWidth="1" style="1356" min="14855" max="14856"/>
    <col width="12.55" customWidth="1" style="1356" min="14857" max="14857"/>
    <col width="16.45" customWidth="1" style="1356" min="14858" max="14858"/>
    <col width="10.11" customWidth="1" style="1356" min="14859" max="14859"/>
    <col width="9.109999999999999" customWidth="1" style="1356" min="14860" max="14860"/>
    <col width="11.55" customWidth="1" style="1356" min="14861" max="14861"/>
    <col width="8.890000000000001" customWidth="1" style="1356" min="14862" max="15107"/>
    <col width="13.89" customWidth="1" style="1356" min="15108" max="15108"/>
    <col width="8.890000000000001" customWidth="1" style="1356" min="15109" max="15109"/>
    <col width="13.44" customWidth="1" style="1356" min="15110" max="15110"/>
    <col width="8.890000000000001" customWidth="1" style="1356" min="15111" max="15112"/>
    <col width="12.55" customWidth="1" style="1356" min="15113" max="15113"/>
    <col width="16.45" customWidth="1" style="1356" min="15114" max="15114"/>
    <col width="10.11" customWidth="1" style="1356" min="15115" max="15115"/>
    <col width="9.109999999999999" customWidth="1" style="1356" min="15116" max="15116"/>
    <col width="11.55" customWidth="1" style="1356" min="15117" max="15117"/>
    <col width="8.890000000000001" customWidth="1" style="1356" min="15118" max="15363"/>
    <col width="13.89" customWidth="1" style="1356" min="15364" max="15364"/>
    <col width="8.890000000000001" customWidth="1" style="1356" min="15365" max="15365"/>
    <col width="13.44" customWidth="1" style="1356" min="15366" max="15366"/>
    <col width="8.890000000000001" customWidth="1" style="1356" min="15367" max="15368"/>
    <col width="12.55" customWidth="1" style="1356" min="15369" max="15369"/>
    <col width="16.45" customWidth="1" style="1356" min="15370" max="15370"/>
    <col width="10.11" customWidth="1" style="1356" min="15371" max="15371"/>
    <col width="9.109999999999999" customWidth="1" style="1356" min="15372" max="15372"/>
    <col width="11.55" customWidth="1" style="1356" min="15373" max="15373"/>
    <col width="8.890000000000001" customWidth="1" style="1356" min="15374" max="15619"/>
    <col width="13.89" customWidth="1" style="1356" min="15620" max="15620"/>
    <col width="8.890000000000001" customWidth="1" style="1356" min="15621" max="15621"/>
    <col width="13.44" customWidth="1" style="1356" min="15622" max="15622"/>
    <col width="8.890000000000001" customWidth="1" style="1356" min="15623" max="15624"/>
    <col width="12.55" customWidth="1" style="1356" min="15625" max="15625"/>
    <col width="16.45" customWidth="1" style="1356" min="15626" max="15626"/>
    <col width="10.11" customWidth="1" style="1356" min="15627" max="15627"/>
    <col width="9.109999999999999" customWidth="1" style="1356" min="15628" max="15628"/>
    <col width="11.55" customWidth="1" style="1356" min="15629" max="15629"/>
    <col width="8.890000000000001" customWidth="1" style="1356" min="15630" max="15875"/>
    <col width="13.89" customWidth="1" style="1356" min="15876" max="15876"/>
    <col width="8.890000000000001" customWidth="1" style="1356" min="15877" max="15877"/>
    <col width="13.44" customWidth="1" style="1356" min="15878" max="15878"/>
    <col width="8.890000000000001" customWidth="1" style="1356" min="15879" max="15880"/>
    <col width="12.55" customWidth="1" style="1356" min="15881" max="15881"/>
    <col width="16.45" customWidth="1" style="1356" min="15882" max="15882"/>
    <col width="10.11" customWidth="1" style="1356" min="15883" max="15883"/>
    <col width="9.109999999999999" customWidth="1" style="1356" min="15884" max="15884"/>
    <col width="11.55" customWidth="1" style="1356" min="15885" max="15885"/>
    <col width="8.890000000000001" customWidth="1" style="1356" min="15886" max="16131"/>
    <col width="13.89" customWidth="1" style="1356" min="16132" max="16132"/>
    <col width="8.890000000000001" customWidth="1" style="1356" min="16133" max="16133"/>
    <col width="13.44" customWidth="1" style="1356" min="16134" max="16134"/>
    <col width="8.890000000000001" customWidth="1" style="1356" min="16135" max="16136"/>
    <col width="12.55" customWidth="1" style="1356" min="16137" max="16137"/>
    <col width="16.45" customWidth="1" style="1356" min="16138" max="16138"/>
    <col width="10.11" customWidth="1" style="1356" min="16139" max="16139"/>
    <col width="9.109999999999999" customWidth="1" style="1356" min="16140" max="16140"/>
    <col width="11.55" customWidth="1" style="1356" min="16141" max="16141"/>
    <col width="8.890000000000001" customWidth="1" style="1356" min="16142" max="16384"/>
  </cols>
  <sheetData>
    <row r="2" ht="12.75" customHeight="1" s="882">
      <c r="A2" s="1358" t="n"/>
      <c r="B2" s="1359" t="n"/>
      <c r="C2" s="1360" t="n"/>
      <c r="D2" s="1360" t="n"/>
      <c r="E2" s="1360" t="n"/>
      <c r="F2" s="1360" t="n"/>
      <c r="G2" s="1360" t="n"/>
      <c r="H2" s="1360" t="n"/>
      <c r="I2" s="1360" t="n"/>
      <c r="J2" s="1360" t="n"/>
      <c r="K2" s="1360" t="n"/>
      <c r="L2" s="1360" t="n"/>
      <c r="M2" s="1360" t="n"/>
      <c r="N2" s="1361" t="n"/>
    </row>
    <row r="3" ht="12.75" customHeight="1" s="882">
      <c r="A3" s="1362" t="n"/>
      <c r="N3" s="1363" t="n"/>
    </row>
    <row r="4" ht="12.75" customHeight="1" s="882">
      <c r="A4" s="1362" t="n"/>
      <c r="N4" s="1363" t="n"/>
    </row>
    <row r="5" ht="12.75" customHeight="1" s="882">
      <c r="A5" s="1362" t="n"/>
      <c r="N5" s="1363" t="n"/>
    </row>
    <row r="6" ht="12.75" customHeight="1" s="882">
      <c r="A6" s="1362" t="n"/>
      <c r="N6" s="1363" t="n"/>
    </row>
    <row r="7" ht="12.75" customHeight="1" s="882">
      <c r="A7" s="1362" t="n"/>
      <c r="N7" s="1363" t="n"/>
    </row>
    <row r="8" ht="19.5" customHeight="1" s="882">
      <c r="A8" s="1362" t="n"/>
      <c r="L8" s="1364" t="n"/>
      <c r="N8" s="1363" t="n"/>
    </row>
    <row r="9" ht="12.75" customHeight="1" s="882">
      <c r="A9" s="1362" t="n"/>
      <c r="N9" s="1363" t="n"/>
    </row>
    <row r="10" ht="12.75" customHeight="1" s="882">
      <c r="A10" s="1362" t="n"/>
      <c r="N10" s="1363" t="n"/>
    </row>
    <row r="11" ht="12.75" customHeight="1" s="882">
      <c r="A11" s="1362" t="n"/>
      <c r="N11" s="1363" t="n"/>
    </row>
    <row r="12" ht="12.75" customHeight="1" s="882">
      <c r="A12" s="1362" t="n"/>
      <c r="N12" s="1363" t="n"/>
    </row>
    <row r="13" ht="12.75" customHeight="1" s="882">
      <c r="A13" s="1362" t="n"/>
      <c r="N13" s="1363" t="n"/>
    </row>
    <row r="14" ht="24" customHeight="1" s="882">
      <c r="A14" s="1362" t="n"/>
      <c r="B14" s="1365" t="inlineStr">
        <is>
          <t>Well Completion Report</t>
        </is>
      </c>
      <c r="N14" s="1366" t="n"/>
      <c r="O14" s="1367" t="n"/>
      <c r="P14" s="1367" t="n"/>
      <c r="Q14" s="1367" t="n"/>
      <c r="R14" s="1367" t="n"/>
      <c r="S14" s="1367" t="n"/>
      <c r="T14" s="1367" t="n"/>
    </row>
    <row r="15" ht="24" customHeight="1" s="882">
      <c r="A15" s="1362" t="n"/>
      <c r="N15" s="1366" t="n"/>
      <c r="O15" s="1367" t="n"/>
      <c r="P15" s="1367" t="n"/>
      <c r="Q15" s="1367" t="n"/>
      <c r="R15" s="1367" t="n"/>
      <c r="S15" s="1367" t="n"/>
      <c r="T15" s="1367" t="n"/>
    </row>
    <row r="16" ht="24" customHeight="1" s="882">
      <c r="A16" s="1362" t="n"/>
      <c r="N16" s="1366" t="n"/>
      <c r="O16" s="1367" t="n"/>
      <c r="P16" s="1367" t="n"/>
      <c r="Q16" s="1367" t="n"/>
      <c r="R16" s="1367" t="n"/>
      <c r="S16" s="1367" t="n"/>
      <c r="T16" s="1367" t="n"/>
    </row>
    <row r="17" ht="24" customHeight="1" s="882">
      <c r="A17" s="1362" t="n"/>
      <c r="N17" s="1366" t="n"/>
      <c r="O17" s="1367" t="n"/>
      <c r="P17" s="1367" t="n"/>
      <c r="Q17" s="1367" t="n"/>
      <c r="R17" s="1367" t="n"/>
      <c r="S17" s="1367" t="n"/>
      <c r="T17" s="1367" t="n"/>
    </row>
    <row r="18" ht="30" customHeight="1" s="882">
      <c r="A18" s="1362" t="n"/>
      <c r="N18" s="1366" t="n"/>
      <c r="O18" s="1367" t="n"/>
      <c r="P18" s="1367" t="n"/>
      <c r="Q18" s="1367" t="n"/>
      <c r="R18" s="1367" t="n"/>
      <c r="S18" s="1367" t="n"/>
      <c r="T18" s="1367" t="n"/>
    </row>
    <row r="19" ht="30" customHeight="1" s="882">
      <c r="A19" s="1362" t="n"/>
      <c r="N19" s="1366" t="n"/>
      <c r="O19" s="1367" t="n"/>
      <c r="P19" s="1367" t="n"/>
      <c r="Q19" s="1367" t="n"/>
      <c r="R19" s="1367" t="n"/>
      <c r="S19" s="1367" t="n"/>
      <c r="T19" s="1367" t="n"/>
    </row>
    <row r="20" ht="30" customHeight="1" s="882">
      <c r="A20" s="1362" t="n"/>
      <c r="N20" s="1366" t="n"/>
      <c r="O20" s="1367" t="n"/>
      <c r="P20" s="1367" t="n"/>
      <c r="Q20" s="1367" t="n"/>
      <c r="R20" s="1367" t="n"/>
      <c r="S20" s="1367" t="n"/>
      <c r="T20" s="1367" t="n"/>
    </row>
    <row r="21" ht="25.5" customHeight="1" s="882">
      <c r="A21" s="1362" t="n"/>
      <c r="B21" s="1368" t="n"/>
      <c r="C21" s="1368" t="n"/>
      <c r="D21" s="1368" t="n"/>
      <c r="E21" s="1368" t="n"/>
      <c r="F21" s="1368" t="n"/>
      <c r="G21" s="1368" t="n"/>
      <c r="H21" s="1368" t="n"/>
      <c r="I21" s="1368" t="n"/>
      <c r="J21" s="1368" t="n"/>
      <c r="K21" s="1368" t="n"/>
      <c r="L21" s="1368" t="n"/>
      <c r="M21" s="1368" t="n"/>
      <c r="N21" s="1366" t="n"/>
      <c r="O21" s="1367" t="n"/>
      <c r="P21" s="1367" t="n"/>
      <c r="Q21" s="1367" t="n"/>
      <c r="R21" s="1367" t="n"/>
      <c r="S21" s="1367" t="n"/>
      <c r="T21" s="1367" t="n"/>
    </row>
    <row r="22" ht="17.25" customHeight="1" s="882">
      <c r="A22" s="1362" t="n"/>
      <c r="B22" s="1369" t="n"/>
      <c r="C22" s="1369" t="n"/>
      <c r="D22" s="1370" t="n"/>
      <c r="E22" s="1371" t="n"/>
      <c r="F22" s="1371" t="n"/>
      <c r="G22" s="1371" t="n"/>
      <c r="H22" s="1371" t="n"/>
      <c r="I22" s="1371" t="n"/>
      <c r="J22" s="1371" t="n"/>
      <c r="K22" s="1371" t="n"/>
      <c r="L22" s="1371" t="n"/>
      <c r="M22" s="1371" t="n"/>
      <c r="N22" s="1372" t="n"/>
      <c r="O22" s="1370" t="n"/>
      <c r="P22" s="1370" t="n"/>
    </row>
    <row r="23" ht="28.5" customHeight="1" s="882">
      <c r="A23" s="1362" t="n"/>
      <c r="B23" s="1370" t="n"/>
      <c r="C23" s="1370" t="n"/>
      <c r="D23" s="1370" t="n"/>
      <c r="E23" s="1370" t="n"/>
      <c r="F23" s="1370" t="n"/>
      <c r="G23" s="1373" t="inlineStr">
        <is>
          <t>CUSTOMER:</t>
        </is>
      </c>
      <c r="H23" s="1374" t="n"/>
      <c r="I23" s="1375">
        <f>_xlfn.CONCAT('MS2'!C2:D2)</f>
        <v/>
      </c>
      <c r="N23" s="1372" t="n"/>
      <c r="O23" s="1370" t="n"/>
      <c r="P23" s="1370" t="n"/>
    </row>
    <row r="24" ht="28.5" customHeight="1" s="882">
      <c r="A24" s="1362" t="n"/>
      <c r="B24" s="1376" t="n"/>
      <c r="C24" s="1370" t="n"/>
      <c r="D24" s="1370" t="n"/>
      <c r="E24" s="1370" t="n"/>
      <c r="F24" s="1370" t="n"/>
      <c r="G24" s="1374" t="n"/>
      <c r="H24" s="1374" t="n"/>
      <c r="I24" s="1375" t="n"/>
      <c r="J24" s="1375" t="n"/>
      <c r="K24" s="1375" t="n"/>
      <c r="L24" s="1375" t="n"/>
      <c r="M24" s="1375" t="n"/>
      <c r="N24" s="1372" t="n"/>
      <c r="O24" s="1370" t="n"/>
      <c r="P24" s="1370" t="n"/>
    </row>
    <row r="25" ht="28.5" customHeight="1" s="882">
      <c r="A25" s="1362" t="n"/>
      <c r="B25" s="1376" t="n"/>
      <c r="C25" s="1370" t="n"/>
      <c r="D25" s="1370" t="n"/>
      <c r="E25" s="1370" t="n"/>
      <c r="F25" s="1370" t="n"/>
      <c r="G25" s="1373" t="inlineStr">
        <is>
          <t>FIELD:</t>
        </is>
      </c>
      <c r="H25" s="1374" t="n"/>
      <c r="I25" s="1375" t="inlineStr">
        <is>
          <t>BAB</t>
        </is>
      </c>
      <c r="N25" s="1372" t="n"/>
      <c r="O25" s="1370" t="n"/>
      <c r="P25" s="1370" t="n"/>
    </row>
    <row r="26" ht="28.5" customHeight="1" s="882">
      <c r="A26" s="1362" t="n"/>
      <c r="B26" s="1376" t="n"/>
      <c r="C26" s="1370" t="n"/>
      <c r="D26" s="1370" t="n"/>
      <c r="E26" s="1370" t="n"/>
      <c r="F26" s="1370" t="n"/>
      <c r="G26" s="1374" t="n"/>
      <c r="H26" s="1374" t="n"/>
      <c r="I26" s="1375" t="n"/>
      <c r="J26" s="1375" t="n"/>
      <c r="K26" s="1375" t="n"/>
      <c r="L26" s="1375" t="n"/>
      <c r="M26" s="1375" t="n"/>
      <c r="N26" s="1372" t="n"/>
      <c r="O26" s="1370" t="n"/>
      <c r="P26" s="1370" t="n"/>
    </row>
    <row r="27" ht="28.5" customHeight="1" s="882">
      <c r="A27" s="1362" t="n"/>
      <c r="B27" s="1370" t="n"/>
      <c r="C27" s="1370" t="n"/>
      <c r="D27" s="1370" t="n"/>
      <c r="E27" s="1370" t="n"/>
      <c r="F27" s="1370" t="n"/>
      <c r="G27" s="1373" t="inlineStr">
        <is>
          <t>WELL:</t>
        </is>
      </c>
      <c r="H27" s="1374" t="n"/>
      <c r="I27" s="1375">
        <f>'MS2'!I9</f>
        <v/>
      </c>
      <c r="N27" s="1372" t="n"/>
      <c r="O27" s="1370" t="n"/>
      <c r="P27" s="1370" t="n"/>
    </row>
    <row r="28" ht="28.5" customHeight="1" s="882">
      <c r="A28" s="1362" t="n"/>
      <c r="B28" s="1376" t="n"/>
      <c r="C28" s="1370" t="n"/>
      <c r="D28" s="1370" t="n"/>
      <c r="E28" s="1370" t="n"/>
      <c r="F28" s="1370" t="n"/>
      <c r="G28" s="1374" t="n"/>
      <c r="H28" s="1374" t="n"/>
      <c r="I28" s="1375" t="n"/>
      <c r="J28" s="1375" t="n"/>
      <c r="K28" s="1375" t="n"/>
      <c r="L28" s="1375" t="n"/>
      <c r="M28" s="1375" t="n"/>
      <c r="N28" s="1372" t="n"/>
      <c r="O28" s="1370" t="n"/>
      <c r="P28" s="1370" t="n"/>
    </row>
    <row r="29" ht="120" customHeight="1" s="882">
      <c r="A29" s="1362" t="n"/>
      <c r="B29" s="1370" t="n"/>
      <c r="C29" s="1370" t="n"/>
      <c r="D29" s="1370" t="n"/>
      <c r="E29" s="1370" t="n"/>
      <c r="F29" s="1370" t="n"/>
      <c r="G29" s="1377" t="inlineStr">
        <is>
          <t>COMPLETION TYPE:</t>
        </is>
      </c>
      <c r="H29" s="1374" t="n"/>
      <c r="I29" s="1378" t="inlineStr">
        <is>
          <t xml:space="preserve">3-1/2" Single Oil Producer, Alloy-28 Tubing, 3-1/2" TRSV, Permanent Conventional Packer, W/ Gas Lift, W/ Actuated Wellhead, Y-Shape
 </t>
        </is>
      </c>
      <c r="N29" s="1372" t="n"/>
      <c r="O29" s="1370" t="n"/>
      <c r="P29" s="1370" t="n"/>
    </row>
    <row r="30" ht="28.5" customHeight="1" s="882">
      <c r="A30" s="1362" t="n"/>
      <c r="B30" s="1370" t="n"/>
      <c r="C30" s="1370" t="n"/>
      <c r="D30" s="1370" t="n"/>
      <c r="E30" s="1370" t="n"/>
      <c r="F30" s="1370" t="n"/>
      <c r="G30" s="1373" t="n"/>
      <c r="H30" s="1374" t="n"/>
      <c r="I30" s="1375" t="n"/>
      <c r="J30" s="1375" t="n"/>
      <c r="K30" s="1375" t="n"/>
      <c r="L30" s="1375" t="n"/>
      <c r="M30" s="1375" t="n"/>
      <c r="N30" s="1372" t="n"/>
      <c r="O30" s="1370" t="n"/>
      <c r="P30" s="1370" t="n"/>
    </row>
    <row r="31" ht="28.5" customHeight="1" s="882">
      <c r="A31" s="1362" t="n"/>
      <c r="B31" s="1370" t="n"/>
      <c r="C31" s="1370" t="n"/>
      <c r="D31" s="1370" t="n"/>
      <c r="E31" s="1370" t="n"/>
      <c r="F31" s="1370" t="n"/>
      <c r="G31" s="1373" t="inlineStr">
        <is>
          <t>COMPLETION DATE:</t>
        </is>
      </c>
      <c r="H31" s="1374" t="n"/>
      <c r="I31" s="1375">
        <f>_xlfn.CONCAT('MS2'!C5:D5)</f>
        <v/>
      </c>
      <c r="N31" s="1372" t="n"/>
      <c r="O31" s="1370" t="n"/>
      <c r="P31" s="1370" t="n"/>
    </row>
    <row r="32" ht="28.5" customHeight="1" s="882">
      <c r="A32" s="1362" t="n"/>
      <c r="B32" s="1370" t="n"/>
      <c r="C32" s="1370" t="n"/>
      <c r="D32" s="1370" t="n"/>
      <c r="E32" s="1370" t="n"/>
      <c r="F32" s="1370" t="n"/>
      <c r="G32" s="1373" t="n"/>
      <c r="H32" s="1374" t="n"/>
      <c r="I32" s="1375" t="n"/>
      <c r="N32" s="1372" t="n"/>
      <c r="O32" s="1370" t="n"/>
      <c r="P32" s="1370" t="n"/>
    </row>
    <row r="33" ht="28.5" customHeight="1" s="882">
      <c r="A33" s="1362" t="n"/>
      <c r="B33" s="1370" t="n"/>
      <c r="C33" s="1370" t="n"/>
      <c r="D33" s="1370" t="n"/>
      <c r="E33" s="1370" t="n"/>
      <c r="F33" s="1370" t="n"/>
      <c r="G33" s="1373" t="inlineStr">
        <is>
          <t>DRILLING CONTRACTOR:</t>
        </is>
      </c>
      <c r="H33" s="1374" t="n"/>
      <c r="I33" s="1375" t="inlineStr">
        <is>
          <t>ADNOC DRILLING</t>
        </is>
      </c>
      <c r="N33" s="1372" t="n"/>
      <c r="O33" s="1370" t="n"/>
      <c r="P33" s="1370" t="n"/>
    </row>
    <row r="34" ht="28.5" customHeight="1" s="882">
      <c r="A34" s="1362" t="n"/>
      <c r="B34" s="1370" t="n"/>
      <c r="C34" s="1370" t="n"/>
      <c r="D34" s="1370" t="n"/>
      <c r="E34" s="1370" t="n"/>
      <c r="F34" s="1370" t="n"/>
      <c r="G34" s="1373" t="n"/>
      <c r="H34" s="1374" t="n"/>
      <c r="I34" s="1375" t="n"/>
      <c r="J34" s="1375" t="n"/>
      <c r="K34" s="1375" t="n"/>
      <c r="L34" s="1375" t="n"/>
      <c r="M34" s="1375" t="n"/>
      <c r="N34" s="1372" t="n"/>
      <c r="O34" s="1370" t="n"/>
      <c r="P34" s="1370" t="n"/>
    </row>
    <row r="35" ht="28.5" customHeight="1" s="882">
      <c r="A35" s="1362" t="n"/>
      <c r="B35" s="1370" t="n"/>
      <c r="C35" s="1370" t="n"/>
      <c r="D35" s="1370" t="n"/>
      <c r="E35" s="1370" t="n"/>
      <c r="F35" s="1370" t="n"/>
      <c r="G35" s="1373" t="inlineStr">
        <is>
          <t>RIG:</t>
        </is>
      </c>
      <c r="H35" s="1374" t="n"/>
      <c r="I35" s="1375">
        <f>'MS2'!I8</f>
        <v/>
      </c>
      <c r="N35" s="1372" t="n"/>
      <c r="O35" s="1370" t="n"/>
      <c r="P35" s="1370" t="n"/>
    </row>
    <row r="36" ht="28.5" customHeight="1" s="882">
      <c r="A36" s="1362" t="n"/>
      <c r="B36" s="1370" t="n"/>
      <c r="C36" s="1370" t="n"/>
      <c r="D36" s="1370" t="n"/>
      <c r="E36" s="1370" t="n"/>
      <c r="F36" s="1370" t="n"/>
      <c r="G36" s="1373" t="n"/>
      <c r="H36" s="1374" t="n"/>
      <c r="I36" s="1375" t="n"/>
      <c r="J36" s="1375" t="n"/>
      <c r="K36" s="1375" t="n"/>
      <c r="L36" s="1375" t="n"/>
      <c r="M36" s="1375" t="n"/>
      <c r="N36" s="1372" t="n"/>
      <c r="O36" s="1370" t="n"/>
      <c r="P36" s="1370" t="n"/>
    </row>
    <row r="37" ht="28.5" customHeight="1" s="882">
      <c r="A37" s="1362" t="n"/>
      <c r="B37" s="1370" t="n"/>
      <c r="C37" s="1370" t="n"/>
      <c r="D37" s="1370" t="n"/>
      <c r="E37" s="1370" t="n"/>
      <c r="F37" s="1370" t="n"/>
      <c r="G37" s="1373" t="inlineStr">
        <is>
          <t>ADNOC COMPLETION ENGINEER:</t>
        </is>
      </c>
      <c r="H37" s="1374" t="n"/>
      <c r="I37" s="1375" t="inlineStr">
        <is>
          <t xml:space="preserve">Mariam Rashed Alnuaimi </t>
        </is>
      </c>
      <c r="N37" s="1372" t="n"/>
      <c r="O37" s="1370" t="n"/>
      <c r="P37" s="1370" t="n"/>
    </row>
    <row r="38" ht="28.5" customHeight="1" s="882">
      <c r="A38" s="1362" t="n"/>
      <c r="B38" s="1370" t="n"/>
      <c r="C38" s="1370" t="n"/>
      <c r="D38" s="1370" t="n"/>
      <c r="E38" s="1370" t="n"/>
      <c r="F38" s="1370" t="n"/>
      <c r="G38" s="1373" t="n"/>
      <c r="H38" s="1374" t="n"/>
      <c r="I38" s="1375" t="n"/>
      <c r="J38" s="1375" t="n"/>
      <c r="K38" s="1375" t="n"/>
      <c r="L38" s="1375" t="n"/>
      <c r="M38" s="1375" t="n"/>
      <c r="N38" s="1372" t="n"/>
      <c r="O38" s="1370" t="n"/>
      <c r="P38" s="1370" t="n"/>
    </row>
    <row r="39" ht="28.5" customHeight="1" s="882">
      <c r="A39" s="1362" t="n"/>
      <c r="B39" s="1370" t="n"/>
      <c r="C39" s="1370" t="n"/>
      <c r="D39" s="1370" t="n"/>
      <c r="E39" s="1370" t="n"/>
      <c r="F39" s="1370" t="n"/>
      <c r="G39" s="1373" t="inlineStr">
        <is>
          <t>DRILLING SUPERVISOR:</t>
        </is>
      </c>
      <c r="H39" s="1374" t="n"/>
      <c r="I39" s="1375" t="inlineStr">
        <is>
          <t>IFEANYI / RASHED EASA</t>
        </is>
      </c>
      <c r="N39" s="1372" t="n"/>
      <c r="O39" s="1370" t="n"/>
      <c r="P39" s="1370" t="n"/>
    </row>
    <row r="40" ht="28.5" customHeight="1" s="882">
      <c r="A40" s="1362" t="n"/>
      <c r="B40" s="1370" t="n"/>
      <c r="C40" s="1370" t="n"/>
      <c r="D40" s="1370" t="n"/>
      <c r="E40" s="1370" t="n"/>
      <c r="F40" s="1370" t="n"/>
      <c r="G40" s="1379" t="n"/>
      <c r="H40" s="1374" t="n"/>
      <c r="I40" s="1375" t="n"/>
      <c r="J40" s="1375" t="n"/>
      <c r="K40" s="1375" t="n"/>
      <c r="L40" s="1375" t="n"/>
      <c r="M40" s="1375" t="n"/>
      <c r="N40" s="1372" t="n"/>
      <c r="O40" s="1370" t="n"/>
      <c r="P40" s="1370" t="n"/>
    </row>
    <row r="41" ht="28.5" customHeight="1" s="882">
      <c r="A41" s="1362" t="n"/>
      <c r="B41" s="1370" t="n"/>
      <c r="C41" s="1370" t="n"/>
      <c r="D41" s="1380" t="n"/>
      <c r="E41" s="1370" t="n"/>
      <c r="F41" s="1370" t="n"/>
      <c r="G41" s="1373" t="inlineStr">
        <is>
          <t>WEATHERFORD ENGINEER:</t>
        </is>
      </c>
      <c r="H41" s="1374" t="n"/>
      <c r="I41" s="1375" t="inlineStr">
        <is>
          <t xml:space="preserve">MAHMOUD ALI </t>
        </is>
      </c>
      <c r="N41" s="1372" t="n"/>
      <c r="O41" s="1370" t="n"/>
      <c r="P41" s="1370" t="n"/>
    </row>
    <row r="42" ht="28.5" customHeight="1" s="882">
      <c r="A42" s="1362" t="n"/>
      <c r="B42" s="1381" t="n"/>
      <c r="C42" s="1370" t="n"/>
      <c r="D42" s="1370" t="n"/>
      <c r="E42" s="1370" t="n"/>
      <c r="F42" s="1370" t="n"/>
      <c r="G42" s="1382" t="n"/>
      <c r="H42" s="1382" t="n"/>
      <c r="I42" s="1383" t="n"/>
      <c r="J42" s="1384" t="n"/>
      <c r="K42" s="1384" t="n"/>
      <c r="L42" s="1384" t="n"/>
      <c r="M42" s="1384" t="n"/>
      <c r="N42" s="1372" t="n"/>
      <c r="O42" s="1370" t="n"/>
      <c r="P42" s="1370" t="n"/>
    </row>
    <row r="43" ht="28.5" customHeight="1" s="882">
      <c r="A43" s="1362" t="n"/>
      <c r="B43" s="1381" t="n"/>
      <c r="C43" s="1370" t="n"/>
      <c r="D43" s="1370" t="n"/>
      <c r="E43" s="1370" t="n"/>
      <c r="F43" s="1370" t="n"/>
      <c r="G43" s="1373" t="inlineStr">
        <is>
          <t>COMPLETION CODE:</t>
        </is>
      </c>
      <c r="H43" s="1374" t="n"/>
      <c r="I43" s="1385" t="inlineStr">
        <is>
          <t xml:space="preserve">OP307/28CBB30 
</t>
        </is>
      </c>
      <c r="J43" s="1055" t="n"/>
      <c r="K43" s="1055" t="n"/>
      <c r="L43" s="1055" t="n"/>
      <c r="M43" s="1055" t="n"/>
      <c r="N43" s="1055" t="n"/>
      <c r="O43" s="1055" t="n"/>
      <c r="P43" s="1059" t="n"/>
    </row>
    <row r="44" ht="17.35" customHeight="1" s="882">
      <c r="A44" s="1362" t="n"/>
      <c r="B44" s="1381" t="n"/>
      <c r="C44" s="1370" t="n"/>
      <c r="D44" s="1370" t="n"/>
      <c r="E44" s="1384" t="n"/>
      <c r="F44" s="1384" t="n"/>
      <c r="G44" s="1384" t="n"/>
      <c r="H44" s="1384" t="n"/>
      <c r="I44" s="1018" t="n"/>
      <c r="J44" s="1017" t="n"/>
      <c r="K44" s="1017" t="n"/>
      <c r="L44" s="1017" t="n"/>
      <c r="M44" s="1017" t="n"/>
      <c r="N44" s="1017" t="n"/>
      <c r="O44" s="1017" t="n"/>
      <c r="P44" s="1067" t="n"/>
    </row>
    <row r="45" ht="17.35" customHeight="1" s="882">
      <c r="A45" s="1362" t="n"/>
      <c r="B45" s="1381" t="n"/>
      <c r="C45" s="1370" t="n"/>
      <c r="D45" s="1370" t="n"/>
      <c r="E45" s="1384" t="n"/>
      <c r="F45" s="1384" t="n"/>
      <c r="G45" s="1384" t="n"/>
      <c r="H45" s="1384" t="n"/>
      <c r="I45" s="1384" t="n"/>
      <c r="J45" s="1384" t="n"/>
      <c r="K45" s="1384" t="n"/>
      <c r="L45" s="1384" t="n"/>
      <c r="M45" s="1384" t="n"/>
      <c r="N45" s="1372" t="n"/>
      <c r="O45" s="1370" t="n"/>
      <c r="P45" s="1370" t="n"/>
    </row>
    <row r="46" ht="12.75" customHeight="1" s="882">
      <c r="A46" s="1386" t="n"/>
      <c r="B46" s="1387" t="n"/>
      <c r="C46" s="1388" t="n"/>
      <c r="D46" s="1388" t="n"/>
      <c r="E46" s="1388" t="n"/>
      <c r="F46" s="1388" t="n"/>
      <c r="G46" s="1388" t="n"/>
      <c r="H46" s="1388" t="n"/>
      <c r="I46" s="1388" t="n"/>
      <c r="J46" s="1388" t="n"/>
      <c r="K46" s="1388" t="n"/>
      <c r="L46" s="1388" t="n"/>
      <c r="M46" s="1388" t="n"/>
      <c r="N46" s="1389" t="n"/>
    </row>
  </sheetData>
  <mergeCells count="14">
    <mergeCell ref="I35:M35"/>
    <mergeCell ref="I29:M29"/>
    <mergeCell ref="I25:M25"/>
    <mergeCell ref="I32:M32"/>
    <mergeCell ref="I23:M23"/>
    <mergeCell ref="I41:M41"/>
    <mergeCell ref="B14:M20"/>
    <mergeCell ref="I33:M33"/>
    <mergeCell ref="I27:M27"/>
    <mergeCell ref="I43:P44"/>
    <mergeCell ref="I37:M37"/>
    <mergeCell ref="L8:M8"/>
    <mergeCell ref="I39:M39"/>
    <mergeCell ref="I31:M31"/>
  </mergeCells>
  <printOptions horizontalCentered="0" verticalCentered="0" headings="0" gridLines="0" gridLinesSet="1"/>
  <pageMargins left="0.7" right="0.7" top="0.75" bottom="0.75" header="0.511811023622047" footer="0.511811023622047"/>
  <pageSetup orientation="portrait" paperSize="9" scale="100" fitToHeight="1" fitToWidth="1" pageOrder="downThenOver" blackAndWhite="0" draft="0" horizontalDpi="300" verticalDpi="300" copies="1"/>
  <drawing xmlns:r="http://schemas.openxmlformats.org/officeDocument/2006/relationships" r:id="rId1"/>
</worksheet>
</file>

<file path=xl/worksheets/sheet10.xml><?xml version="1.0" encoding="utf-8"?>
<worksheet xmlns="http://schemas.openxmlformats.org/spreadsheetml/2006/main">
  <sheetPr filterMode="0">
    <tabColor rgb="FF00B050"/>
    <outlinePr summaryBelow="1" summaryRight="1"/>
    <pageSetUpPr fitToPage="1"/>
  </sheetPr>
  <dimension ref="A1:V117"/>
  <sheetViews>
    <sheetView showFormulas="0" showGridLines="0" showRowColHeaders="1" showZeros="1" rightToLeft="0" tabSelected="0" showOutlineSymbols="1" defaultGridColor="1" view="pageBreakPreview" topLeftCell="A79" colorId="64" zoomScale="140" zoomScaleNormal="145" zoomScalePageLayoutView="140" workbookViewId="0">
      <selection pane="topLeft" activeCell="D95" activeCellId="1" sqref="A11:S58 D95"/>
    </sheetView>
  </sheetViews>
  <sheetFormatPr baseColWidth="8" defaultColWidth="8.59765625" defaultRowHeight="14.25" customHeight="0" zeroHeight="0" outlineLevelRow="0"/>
  <cols>
    <col width="5.66" customWidth="1" style="1390" min="1" max="1"/>
    <col width="1.44" customWidth="1" style="930" min="2" max="2"/>
    <col width="12.55" customWidth="1" style="930" min="3" max="3"/>
    <col width="14.11" customWidth="1" style="930" min="4" max="4"/>
    <col width="16" customWidth="1" style="930" min="5" max="5"/>
    <col width="11.78" customWidth="1" style="930" min="6" max="6"/>
    <col width="8.890000000000001" customWidth="1" style="930" min="7" max="7"/>
    <col width="9.56" customWidth="1" style="930" min="8" max="8"/>
    <col width="10.22" customWidth="1" style="930" min="9" max="10"/>
    <col width="15.33" customWidth="1" style="930" min="11" max="11"/>
    <col width="50" customWidth="1" style="930" min="12" max="12"/>
  </cols>
  <sheetData>
    <row r="1" ht="15" customFormat="1" customHeight="1" s="1391">
      <c r="A1" s="1392" t="n"/>
      <c r="B1" s="1393" t="inlineStr">
        <is>
          <t xml:space="preserve">RUNNING PROCEDURE : </t>
        </is>
      </c>
      <c r="C1" s="1394" t="n"/>
      <c r="D1" s="1394" t="n"/>
      <c r="F1" s="1395" t="n"/>
      <c r="G1" s="1395" t="n"/>
      <c r="H1" s="1395" t="n"/>
      <c r="I1" s="1395" t="n"/>
      <c r="J1" s="1395" t="n"/>
      <c r="K1" s="1396" t="n"/>
      <c r="M1" s="1397" t="n"/>
      <c r="N1" s="1397" t="n"/>
      <c r="O1" s="1397" t="n"/>
      <c r="P1" s="1397" t="n"/>
      <c r="Q1" s="1397" t="n"/>
      <c r="R1" s="1397" t="n"/>
      <c r="S1" s="1397" t="n"/>
      <c r="T1" s="1397" t="n"/>
      <c r="U1" s="1397" t="n"/>
    </row>
    <row r="2" ht="24.45" customFormat="1" customHeight="1" s="1391">
      <c r="A2" s="1392" t="n"/>
      <c r="B2" s="1398" t="n"/>
      <c r="C2" s="1399" t="inlineStr">
        <is>
          <t>Well  :</t>
        </is>
      </c>
      <c r="D2" s="1400">
        <f>'MS2'!I9</f>
        <v/>
      </c>
      <c r="E2" s="1399" t="inlineStr">
        <is>
          <t>Rig   :</t>
        </is>
      </c>
      <c r="F2" s="1401">
        <f>'MS2'!I8</f>
        <v/>
      </c>
      <c r="G2" s="1402" t="n"/>
      <c r="H2" s="1402" t="n"/>
      <c r="I2" s="1402" t="n"/>
      <c r="J2" s="1402" t="n"/>
      <c r="M2" s="1403" t="inlineStr">
        <is>
          <t>Annulus Test</t>
        </is>
      </c>
      <c r="N2" s="1403" t="inlineStr">
        <is>
          <t>Hanger Test</t>
        </is>
      </c>
      <c r="O2" s="1403" t="inlineStr">
        <is>
          <t>CL Test</t>
        </is>
      </c>
      <c r="P2" s="1404" t="n"/>
      <c r="Q2" s="1404" t="inlineStr">
        <is>
          <t xml:space="preserve">PRESSURE UP TBG TO </t>
        </is>
      </c>
      <c r="R2" s="1404" t="inlineStr">
        <is>
          <t xml:space="preserve"> PSI / 10 MINS TO SET PKR, INCREASE TO </t>
        </is>
      </c>
      <c r="S2" s="1404" t="inlineStr">
        <is>
          <t xml:space="preserve"> / 30 MINS TO TEST TBG</t>
        </is>
      </c>
      <c r="T2" s="1404" t="n"/>
      <c r="U2" s="1404" t="n"/>
      <c r="V2" s="1405" t="n"/>
    </row>
    <row r="3" ht="28.5" customFormat="1" customHeight="1" s="1391">
      <c r="A3" s="1392" t="n"/>
      <c r="B3" s="1398" t="n"/>
      <c r="C3" s="1399" t="inlineStr">
        <is>
          <t>CWLE :</t>
        </is>
      </c>
      <c r="D3" s="1393" t="inlineStr">
        <is>
          <t xml:space="preserve">MAHMOUD </t>
        </is>
      </c>
      <c r="E3" s="1399" t="inlineStr">
        <is>
          <t>DS   :</t>
        </is>
      </c>
      <c r="F3" s="1401" t="n"/>
      <c r="G3" s="1398" t="n"/>
      <c r="H3" s="1398" t="n"/>
      <c r="I3" s="1398" t="n"/>
      <c r="J3" s="1398" t="n"/>
      <c r="M3" s="1403" t="inlineStr">
        <is>
          <t>3500 PSI</t>
        </is>
      </c>
      <c r="N3" s="1403" t="inlineStr">
        <is>
          <t>5000 PSI</t>
        </is>
      </c>
      <c r="O3" s="1403" t="inlineStr">
        <is>
          <t>5000 PSI</t>
        </is>
      </c>
      <c r="P3" s="1404" t="n"/>
      <c r="Q3" s="1404" t="inlineStr">
        <is>
          <t xml:space="preserve">PRESSURE TEST ANNULUS TO </t>
        </is>
      </c>
      <c r="R3" s="1404" t="inlineStr">
        <is>
          <t xml:space="preserve"> / 30 MINS. OBSERVE TBG FOR RETURN</t>
        </is>
      </c>
      <c r="S3" s="1404" t="n"/>
      <c r="T3" s="1404" t="n"/>
      <c r="U3" s="1404" t="n"/>
      <c r="V3" s="1405" t="n"/>
    </row>
    <row r="4" ht="14.25" customFormat="1" customHeight="1" s="1391">
      <c r="A4" s="1392" t="n"/>
      <c r="C4" s="1406" t="n"/>
      <c r="D4" s="1407" t="n"/>
      <c r="E4" s="1408" t="n"/>
      <c r="F4" s="1409" t="n"/>
      <c r="G4" s="1409" t="n"/>
      <c r="H4" s="1409" t="n"/>
      <c r="I4" s="1409" t="n"/>
      <c r="J4" s="1409" t="n"/>
      <c r="K4" s="1409" t="n"/>
      <c r="M4" s="1404" t="n"/>
      <c r="N4" s="1404" t="n"/>
      <c r="O4" s="1404" t="n"/>
      <c r="P4" s="1404" t="n"/>
      <c r="Q4" s="1404" t="n"/>
      <c r="R4" s="1404" t="n"/>
      <c r="S4" s="1404" t="n"/>
      <c r="T4" s="1404" t="n"/>
      <c r="U4" s="1404" t="n"/>
      <c r="V4" s="1405" t="n"/>
    </row>
    <row r="5" ht="17.35" customFormat="1" customHeight="1" s="1391">
      <c r="A5" s="1410" t="n"/>
      <c r="B5" s="1411" t="n"/>
      <c r="C5" s="1412" t="inlineStr">
        <is>
          <t xml:space="preserve">NOTES : </t>
        </is>
      </c>
      <c r="D5" s="1411" t="n"/>
      <c r="E5" s="1411" t="n"/>
      <c r="F5" s="1411" t="n"/>
      <c r="G5" s="1411" t="n"/>
      <c r="H5" s="1411" t="n"/>
      <c r="I5" s="1411" t="n"/>
      <c r="J5" s="1411" t="n"/>
      <c r="K5" s="1411" t="n"/>
      <c r="L5" s="1411" t="n"/>
      <c r="M5" s="1397" t="n"/>
      <c r="N5" s="1397" t="n"/>
      <c r="O5" s="1397" t="n"/>
      <c r="P5" s="1397" t="n"/>
      <c r="Q5" s="1397" t="n"/>
      <c r="R5" s="1397" t="n"/>
      <c r="S5" s="1397" t="n"/>
      <c r="T5" s="1397" t="n"/>
      <c r="U5" s="1397" t="n"/>
    </row>
    <row r="6" ht="17.35" customFormat="1" customHeight="1" s="1391">
      <c r="A6" s="1413" t="n">
        <v>1</v>
      </c>
      <c r="B6" s="1414" t="inlineStr">
        <is>
          <t xml:space="preserve"> USE FILTRATION UNIT FOR COMPLETION FLUID. COMPLETION FLUID TO BE USED ALL THE TIME.</t>
        </is>
      </c>
      <c r="M6" s="1415" t="n"/>
      <c r="N6" s="1397" t="n"/>
      <c r="O6" s="1397" t="n"/>
      <c r="P6" s="1397" t="n"/>
      <c r="Q6" s="1397" t="n"/>
      <c r="R6" s="1397" t="n"/>
      <c r="S6" s="1397" t="n"/>
      <c r="T6" s="1397" t="n"/>
      <c r="U6" s="1397" t="n"/>
    </row>
    <row r="7" ht="17.35" customFormat="1" customHeight="1" s="1391">
      <c r="A7" s="1413" t="n">
        <v>2</v>
      </c>
      <c r="B7" s="1414" t="inlineStr">
        <is>
          <t>ENSURE THE WELL HOLE IS CENTRALLY ALIGNED BEFORE RIH COMPLETION</t>
        </is>
      </c>
      <c r="M7" s="1415" t="n"/>
      <c r="N7" s="1397" t="n"/>
      <c r="O7" s="1397" t="n"/>
      <c r="P7" s="1397" t="n"/>
      <c r="Q7" s="1397" t="n"/>
      <c r="R7" s="1397" t="n"/>
      <c r="S7" s="1397" t="n"/>
      <c r="T7" s="1397" t="n"/>
      <c r="U7" s="1397" t="n"/>
    </row>
    <row r="8" ht="17.35" customFormat="1" customHeight="1" s="1391">
      <c r="A8" s="1413" t="n">
        <v>3</v>
      </c>
      <c r="B8" s="1414" t="inlineStr">
        <is>
          <t>SAFETY VALVE WITH REQUIRED X-OVERS TO BE READY AND AVAILABLE ON THE RIG FLOOR FOR USE IN DUE TIME</t>
        </is>
      </c>
      <c r="M8" s="1415" t="n"/>
      <c r="N8" s="1397" t="n"/>
      <c r="O8" s="1397" t="n"/>
      <c r="P8" s="1397" t="n"/>
      <c r="Q8" s="1397" t="n"/>
      <c r="R8" s="1397" t="n"/>
      <c r="S8" s="1397" t="n"/>
      <c r="T8" s="1397" t="n"/>
      <c r="U8" s="1397" t="n"/>
    </row>
    <row r="9" ht="17.35" customFormat="1" customHeight="1" s="1391">
      <c r="A9" s="1413" t="n">
        <v>4</v>
      </c>
      <c r="B9" s="1414" t="inlineStr">
        <is>
          <t>USE SAFETY CLAMP ON STRING TILL REQUIRED STRING WEIGHT IS ACHIEVED  TILL 20K +-</t>
        </is>
      </c>
      <c r="M9" s="1415" t="n"/>
      <c r="N9" s="1397" t="n"/>
      <c r="O9" s="1397" t="n"/>
      <c r="P9" s="1397" t="n"/>
      <c r="Q9" s="1397" t="n"/>
      <c r="R9" s="1397" t="n"/>
      <c r="S9" s="1397" t="n"/>
      <c r="T9" s="1397" t="n"/>
      <c r="U9" s="1397" t="n"/>
    </row>
    <row r="10" ht="17.35" customFormat="1" customHeight="1" s="1391">
      <c r="A10" s="1413" t="n">
        <v>5</v>
      </c>
      <c r="B10" s="1414" t="inlineStr">
        <is>
          <t>IF ANY TUBING DAMAGE (DIRECTLY REPLACE), IF FOUND OVER TORQUE - COMMUNICATE W/ THREAD INSPECTOR</t>
        </is>
      </c>
      <c r="M10" s="1415" t="n"/>
      <c r="N10" s="1397" t="n"/>
      <c r="O10" s="1397" t="n"/>
      <c r="P10" s="1397" t="n"/>
      <c r="Q10" s="1397" t="n"/>
      <c r="R10" s="1397" t="n"/>
      <c r="S10" s="1397" t="n"/>
      <c r="T10" s="1397" t="n"/>
      <c r="U10" s="1397" t="n"/>
    </row>
    <row r="11" ht="17.35" customFormat="1" customHeight="1" s="1391">
      <c r="A11" s="1413" t="n">
        <v>6</v>
      </c>
      <c r="B11" s="1414" t="inlineStr">
        <is>
          <t xml:space="preserve"> COVER THE HOLE WHILE PERFORMING ANY TASK OVER THE ROTARY</t>
        </is>
      </c>
      <c r="M11" s="1415" t="n"/>
      <c r="N11" s="1397" t="n"/>
      <c r="O11" s="1397" t="n"/>
      <c r="P11" s="1397" t="n"/>
      <c r="Q11" s="1397" t="n"/>
      <c r="R11" s="1397" t="n"/>
      <c r="S11" s="1397" t="n"/>
      <c r="T11" s="1397" t="n"/>
      <c r="U11" s="1397" t="n"/>
    </row>
    <row r="12" ht="17.35" customFormat="1" customHeight="1" s="1391">
      <c r="A12" s="1413" t="n">
        <v>7</v>
      </c>
      <c r="B12" s="1414" t="inlineStr">
        <is>
          <t>AFTER M/UP TRSV, CARE SHOULD BE TAKEN WHILE SETTING SLIPS NOT TO CRUSH CONTROL LINE</t>
        </is>
      </c>
      <c r="M12" s="1415" t="n"/>
      <c r="N12" s="1397" t="n"/>
      <c r="O12" s="1397" t="n"/>
      <c r="P12" s="1397" t="n"/>
      <c r="Q12" s="1397" t="n"/>
      <c r="R12" s="1397" t="n"/>
      <c r="S12" s="1397" t="n"/>
      <c r="T12" s="1397" t="n"/>
      <c r="U12" s="1397" t="n"/>
    </row>
    <row r="13" ht="17.35" customFormat="1" customHeight="1" s="1391">
      <c r="A13" s="1413" t="n">
        <v>8</v>
      </c>
      <c r="B13" s="1414" t="inlineStr">
        <is>
          <t>USE THE MINIMUM AMOUNT OF PIPE DOPE WITH PAINT BRUSH AND ONLY IN PIN SIDE</t>
        </is>
      </c>
      <c r="M13" s="1415" t="n"/>
      <c r="N13" s="1397" t="n"/>
      <c r="O13" s="1397" t="n"/>
      <c r="P13" s="1397" t="n"/>
      <c r="Q13" s="1397" t="n"/>
      <c r="R13" s="1397" t="n"/>
      <c r="S13" s="1397" t="n"/>
      <c r="T13" s="1397" t="n"/>
      <c r="U13" s="1397" t="n"/>
    </row>
    <row r="14" ht="17.35" customFormat="1" customHeight="1" s="1391">
      <c r="A14" s="1413" t="n">
        <v>9</v>
      </c>
      <c r="B14" s="1414" t="inlineStr">
        <is>
          <t>WELLHEAD ENGR TO ENSURE THE LOCKDOWN SCREWS RETRACTED BEFORE START RIH.</t>
        </is>
      </c>
      <c r="M14" s="1415" t="n"/>
      <c r="N14" s="1397" t="n"/>
      <c r="O14" s="1397" t="n"/>
      <c r="P14" s="1397" t="n"/>
      <c r="Q14" s="1397" t="n"/>
      <c r="R14" s="1397" t="n"/>
      <c r="S14" s="1397" t="n"/>
      <c r="T14" s="1397" t="n"/>
      <c r="U14" s="1397" t="n"/>
    </row>
    <row r="15" ht="14.25" customFormat="1" customHeight="1" s="1391">
      <c r="A15" s="1416" t="inlineStr">
        <is>
          <t xml:space="preserve">        IMPORTANT NOTES:-   </t>
        </is>
      </c>
      <c r="B15" s="1055" t="n"/>
      <c r="C15" s="1055" t="n"/>
      <c r="D15" s="1055" t="n"/>
      <c r="E15" s="1055" t="n"/>
      <c r="F15" s="1055" t="n"/>
      <c r="G15" s="1055" t="n"/>
      <c r="H15" s="1055" t="n"/>
      <c r="I15" s="1055" t="n"/>
      <c r="J15" s="1055" t="n"/>
      <c r="K15" s="1055" t="n"/>
      <c r="L15" s="1055" t="n"/>
      <c r="M15" s="1415" t="n"/>
      <c r="N15" s="1397" t="n"/>
      <c r="O15" s="1397" t="n"/>
      <c r="P15" s="1397" t="n"/>
      <c r="Q15" s="1397" t="n"/>
      <c r="R15" s="1397" t="n"/>
      <c r="S15" s="1397" t="n"/>
      <c r="T15" s="1397" t="n"/>
      <c r="U15" s="1397" t="n"/>
    </row>
    <row r="16" ht="10.5" customFormat="1" customHeight="1" s="1391">
      <c r="A16" s="1018" t="n"/>
      <c r="B16" s="1017" t="n"/>
      <c r="C16" s="1017" t="n"/>
      <c r="D16" s="1017" t="n"/>
      <c r="E16" s="1017" t="n"/>
      <c r="F16" s="1017" t="n"/>
      <c r="G16" s="1017" t="n"/>
      <c r="H16" s="1017" t="n"/>
      <c r="I16" s="1017" t="n"/>
      <c r="J16" s="1017" t="n"/>
      <c r="K16" s="1017" t="n"/>
      <c r="L16" s="1017" t="n"/>
      <c r="M16" s="1415" t="n"/>
      <c r="N16" s="1397" t="n"/>
      <c r="O16" s="1397" t="n"/>
      <c r="P16" s="1397" t="n"/>
      <c r="Q16" s="1397" t="n"/>
      <c r="R16" s="1397" t="n"/>
      <c r="S16" s="1397" t="n"/>
      <c r="T16" s="1397" t="n"/>
      <c r="U16" s="1397" t="n"/>
    </row>
    <row r="17" ht="82.5" customFormat="1" customHeight="1" s="1391">
      <c r="A17" s="1417" t="inlineStr">
        <is>
          <t>NO FILL-UP BY MUD PUMP / SUPERCHARGER.USE  HOSE TO FILL THE COMPLETION STRING, AND ENSURE THE TUBING IS FULL BEFORE PROCEEDING WITH RIH FOR THE FIRST 5 JOINTS. AFTER EVERY 10 JOINTS, PERFORM FILL-UP.</t>
        </is>
      </c>
      <c r="B17" s="886" t="n"/>
      <c r="C17" s="886" t="n"/>
      <c r="D17" s="886" t="n"/>
      <c r="E17" s="886" t="n"/>
      <c r="F17" s="886" t="n"/>
      <c r="G17" s="886" t="n"/>
      <c r="H17" s="886" t="n"/>
      <c r="I17" s="886" t="n"/>
      <c r="J17" s="886" t="n"/>
      <c r="K17" s="886" t="n"/>
      <c r="L17" s="886" t="n"/>
      <c r="M17" s="1418" t="n"/>
      <c r="N17" s="1397" t="n"/>
      <c r="O17" s="1397" t="n"/>
      <c r="P17" s="1397" t="n"/>
      <c r="Q17" s="1397" t="n"/>
      <c r="R17" s="1397" t="n"/>
      <c r="S17" s="1397" t="n"/>
      <c r="T17" s="1397" t="n"/>
      <c r="U17" s="1397" t="n"/>
    </row>
    <row r="18" ht="21" customFormat="1" customHeight="1" s="1391">
      <c r="A18" s="1419" t="inlineStr">
        <is>
          <t>●  DRILLER TO MAKE SURE KEEP ANNULUS FILLED ALL THE TIME BY RUNNING FROM TRIP TANK	&amp; TRIP SHEET FILLED</t>
        </is>
      </c>
      <c r="B18" s="1055" t="n"/>
      <c r="C18" s="1055" t="n"/>
      <c r="D18" s="1055" t="n"/>
      <c r="E18" s="1055" t="n"/>
      <c r="F18" s="1055" t="n"/>
      <c r="G18" s="1055" t="n"/>
      <c r="H18" s="1055" t="n"/>
      <c r="I18" s="1055" t="n"/>
      <c r="J18" s="1055" t="n"/>
      <c r="K18" s="1055" t="n"/>
      <c r="L18" s="1055" t="n"/>
      <c r="M18" s="1418" t="n"/>
      <c r="N18" s="1397" t="n"/>
      <c r="O18" s="1397" t="n"/>
      <c r="P18" s="1397" t="n"/>
      <c r="Q18" s="1397" t="n"/>
      <c r="R18" s="1397" t="n"/>
      <c r="S18" s="1397" t="n"/>
      <c r="T18" s="1397" t="n"/>
      <c r="U18" s="1397" t="n"/>
    </row>
    <row r="19" ht="27" customFormat="1" customHeight="1" s="1391">
      <c r="A19" s="1420" t="inlineStr">
        <is>
          <t>● BEFORE FILLING UP THE TUBING, MAKE SURE TO GET CLEAR BRINE ON THE RIG FLOOR AND FLUSH THE SURFACE LINES. DO NOT PROCEED UNTIL CLEAR BRINE IS OBSERVED ON THE RIG FLOOR</t>
        </is>
      </c>
      <c r="M19" s="1418" t="n"/>
      <c r="N19" s="1397" t="n"/>
      <c r="O19" s="1397" t="n"/>
      <c r="P19" s="1397" t="n"/>
      <c r="Q19" s="1397" t="n"/>
      <c r="R19" s="1397" t="n"/>
      <c r="S19" s="1397" t="n"/>
      <c r="T19" s="1397" t="n"/>
      <c r="U19" s="1397" t="n"/>
    </row>
    <row r="20" ht="19.5" customFormat="1" customHeight="1" s="1391">
      <c r="A20" s="1420" t="inlineStr">
        <is>
          <t xml:space="preserve">●  NO SLACK OFF WEIGHT ON PACKER  MORE THAN 3 TO 4KIPS . NOTE:- CONTROL RUNNING SPEED INSIDE 7" CASING DURING RIH,   NO JERKING &amp; ROTATION.			                                      		                                                           </t>
        </is>
      </c>
      <c r="M20" s="1418" t="n"/>
      <c r="N20" s="1397" t="n"/>
      <c r="O20" s="1397" t="n"/>
      <c r="P20" s="1397" t="n"/>
      <c r="Q20" s="1397" t="n"/>
      <c r="R20" s="1397" t="n"/>
      <c r="S20" s="1397" t="n"/>
      <c r="T20" s="1397" t="n"/>
      <c r="U20" s="1397" t="n"/>
    </row>
    <row r="21" ht="30.75" customFormat="1" customHeight="1" s="1391">
      <c r="A21" s="1420" t="inlineStr">
        <is>
          <t>● EXTRA CARE TO BE TAKEN AT TOL TO PREVENT IMPACT BECAUSE IF IMPACTED THE SUDDEN STOP CAN CAUSE A HAMMER EFFECT ON THE TOOL RESULTING IN A POSSIBLE COMPLETE CYCLE   . NO JERKING ALLOWED CONTROL RUNNING SPEED</t>
        </is>
      </c>
      <c r="M21" s="1418" t="n"/>
      <c r="N21" s="1397" t="n"/>
      <c r="O21" s="1397" t="n"/>
      <c r="P21" s="1397" t="n"/>
      <c r="Q21" s="1397" t="n"/>
      <c r="R21" s="1397" t="n"/>
      <c r="S21" s="1397" t="n"/>
      <c r="T21" s="1397" t="n"/>
      <c r="U21" s="1397" t="n"/>
    </row>
    <row r="22" ht="17.25" customFormat="1" customHeight="1" s="1391">
      <c r="A22" s="1421" t="inlineStr">
        <is>
          <t xml:space="preserve"> ●  IN A POSSIBLE COMPLETE CYCLE  NO JERKING ALLOWED CONTROL RUNNING SPEED    in 9-5/8" 60 FT /MIN )   in 7"   (45 FT/MIN)  LINER REDUCE RUNNING SPEED  </t>
        </is>
      </c>
      <c r="M22" s="1418" t="n"/>
      <c r="N22" s="1397" t="n"/>
      <c r="O22" s="1397" t="n"/>
      <c r="P22" s="1397" t="n"/>
      <c r="Q22" s="1397" t="n"/>
      <c r="R22" s="1397" t="n"/>
      <c r="S22" s="1397" t="n"/>
      <c r="T22" s="1397" t="n"/>
      <c r="U22" s="1397" t="n"/>
    </row>
    <row r="23" ht="31.5" customFormat="1" customHeight="1" s="1391">
      <c r="A23" s="1422" t="inlineStr">
        <is>
          <t>CAUTION: RUNNING SPEED OF THE PACKER IS LIMITED TO MAXIMUM RATE OF A 60-FT STAND/30 SEC. EXCEEDING THE SPECIFIED RUNNING SPEED MAY CAUSE DAMAGE TO THE PACKER. REDUCE RUNNING SPEED WHILE PASSING THE PACKER THROUGH RESTRICTIONS</t>
        </is>
      </c>
      <c r="M23" s="1418" t="n"/>
      <c r="N23" s="1397" t="n"/>
      <c r="O23" s="1397" t="n"/>
      <c r="P23" s="1397" t="n"/>
      <c r="Q23" s="1397" t="n"/>
      <c r="R23" s="1397" t="n"/>
      <c r="S23" s="1397" t="n"/>
      <c r="T23" s="1397" t="n"/>
      <c r="U23" s="1397" t="n"/>
    </row>
    <row r="24" ht="18" customFormat="1" customHeight="1" s="1391">
      <c r="A24" s="1423" t="n"/>
      <c r="M24" s="1418" t="n"/>
      <c r="N24" s="1397" t="n"/>
      <c r="O24" s="1397" t="n"/>
      <c r="P24" s="1397" t="n"/>
      <c r="Q24" s="1397" t="n"/>
      <c r="R24" s="1397" t="n"/>
      <c r="S24" s="1397" t="n"/>
      <c r="T24" s="1397" t="n"/>
      <c r="U24" s="1397" t="n"/>
    </row>
    <row r="25" ht="18" customFormat="1" customHeight="1" s="1391">
      <c r="A25" s="1424" t="inlineStr">
        <is>
          <t xml:space="preserve"> ● WHILE PICK UP THE GAS LIFT MANDREL EXTRA CARE SHOULD BE TAKEN AS THERE IS EXTERNAL DVX CHECK VALVES INSTALLED</t>
        </is>
      </c>
      <c r="M25" s="1418" t="n"/>
      <c r="N25" s="1397" t="n"/>
      <c r="O25" s="1397" t="n"/>
      <c r="P25" s="1397" t="n"/>
      <c r="Q25" s="1397" t="n"/>
      <c r="R25" s="1397" t="n"/>
      <c r="S25" s="1397" t="n"/>
      <c r="T25" s="1397" t="n"/>
      <c r="U25" s="1397" t="n"/>
    </row>
    <row r="26" ht="18" customFormat="1" customHeight="1" s="1391">
      <c r="A26" s="1425" t="inlineStr">
        <is>
          <t xml:space="preserve">●  REMOVE WEAR BUSHING AND CHECK WB CONDITION.  </t>
        </is>
      </c>
      <c r="M26" s="1418" t="n"/>
      <c r="N26" s="1397" t="n"/>
      <c r="O26" s="1397" t="n"/>
      <c r="P26" s="1397" t="n"/>
      <c r="Q26" s="1397" t="n"/>
      <c r="R26" s="1397" t="n"/>
      <c r="S26" s="1397" t="n"/>
      <c r="T26" s="1397" t="n"/>
      <c r="U26" s="1397" t="n"/>
    </row>
    <row r="27" ht="15" customFormat="1" customHeight="1" s="1391">
      <c r="A27" s="1425" t="inlineStr">
        <is>
          <t xml:space="preserve">●  PERFORM PJSM (PRE JOB SAFETY MEETING)- FOR TRS RIG UP </t>
        </is>
      </c>
      <c r="M27" s="1418" t="n"/>
      <c r="N27" s="1397" t="n"/>
      <c r="O27" s="1397" t="n"/>
      <c r="P27" s="1397" t="n"/>
      <c r="Q27" s="1397" t="n"/>
      <c r="R27" s="1397" t="n"/>
      <c r="S27" s="1397" t="n"/>
      <c r="T27" s="1397" t="n"/>
      <c r="U27" s="1397" t="n"/>
    </row>
    <row r="28" ht="15" customFormat="1" customHeight="1" s="1426">
      <c r="A28" s="1427" t="n"/>
      <c r="B28" s="1428" t="n"/>
      <c r="C28" s="1429" t="n"/>
      <c r="D28" s="1430" t="n"/>
      <c r="E28" s="1430" t="n"/>
      <c r="F28" s="1430" t="n"/>
      <c r="G28" s="1430" t="n"/>
      <c r="H28" s="1430" t="n"/>
      <c r="I28" s="1430" t="n"/>
      <c r="J28" s="1430" t="n"/>
      <c r="K28" s="1430" t="n"/>
      <c r="L28" s="1430" t="n"/>
      <c r="M28" s="1431" t="n"/>
      <c r="N28" s="1431" t="n"/>
      <c r="O28" s="1431" t="n"/>
      <c r="P28" s="1431" t="n"/>
      <c r="Q28" s="1431" t="n"/>
      <c r="R28" s="1431" t="n"/>
      <c r="S28" s="1431" t="n"/>
      <c r="T28" s="1431" t="n"/>
      <c r="U28" s="1431" t="n"/>
    </row>
    <row r="29" ht="15" customFormat="1" customHeight="1" s="1432">
      <c r="A29" s="1433" t="inlineStr">
        <is>
          <t xml:space="preserve">1) </t>
        </is>
      </c>
      <c r="B29" s="1434" t="n"/>
      <c r="C29" s="1435" t="inlineStr">
        <is>
          <t>P/U ASSY</t>
        </is>
      </c>
      <c r="D29" s="1436" t="inlineStr">
        <is>
          <t>A</t>
        </is>
      </c>
      <c r="E29" s="1435" t="n"/>
      <c r="F29" s="1437" t="inlineStr">
        <is>
          <t xml:space="preserve">WIRELINE ENTRY GUIDE       SN: 16339547-10-008              PN 2996481 </t>
        </is>
      </c>
      <c r="G29" s="1437" t="n"/>
      <c r="H29" s="1437" t="n"/>
      <c r="I29" s="1437" t="n"/>
      <c r="J29" s="1438" t="n"/>
      <c r="K29" s="1438" t="n"/>
      <c r="L29" s="1438" t="n"/>
    </row>
    <row r="30" ht="11.25" customFormat="1" customHeight="1" s="1426">
      <c r="A30" s="1427" t="n"/>
      <c r="B30" s="1428" t="n"/>
      <c r="C30" s="1429" t="n"/>
      <c r="D30" s="1439" t="n"/>
      <c r="E30" s="1429" t="n"/>
      <c r="F30" s="1440" t="n"/>
      <c r="G30" s="1440" t="n"/>
      <c r="H30" s="1440" t="n"/>
      <c r="I30" s="1440" t="n"/>
      <c r="J30" s="1430" t="n"/>
      <c r="K30" s="1430" t="n"/>
      <c r="L30" s="1430" t="n"/>
      <c r="M30" s="1431" t="n"/>
    </row>
    <row r="31" ht="15" customFormat="1" customHeight="1" s="1426">
      <c r="A31" s="1427" t="inlineStr">
        <is>
          <t xml:space="preserve">2) </t>
        </is>
      </c>
      <c r="B31" s="1428" t="n"/>
      <c r="C31" s="1429" t="inlineStr">
        <is>
          <t>M/U TBG JT</t>
        </is>
      </c>
      <c r="D31" s="1441" t="n">
        <v>5</v>
      </c>
      <c r="E31" s="1429" t="n"/>
      <c r="F31" s="1430" t="n"/>
      <c r="G31" s="1442" t="inlineStr">
        <is>
          <t>66</t>
        </is>
      </c>
      <c r="H31" s="1443">
        <f>G31-D31+1</f>
        <v/>
      </c>
      <c r="I31" s="1444" t="inlineStr">
        <is>
          <t>3-1/2" TUBING 9.2 LB/FT ALLOY 28 TSH BL</t>
        </is>
      </c>
      <c r="L31" s="1430" t="n"/>
      <c r="M31" s="1431" t="n"/>
    </row>
    <row r="32" ht="15" customFormat="1" customHeight="1" s="1426">
      <c r="A32" s="1427" t="n"/>
      <c r="B32" s="1428" t="n"/>
      <c r="C32" s="1429" t="n"/>
      <c r="D32" s="1445" t="n"/>
      <c r="E32" s="1429" t="n"/>
      <c r="F32" s="1430" t="n"/>
      <c r="G32" s="1446" t="n"/>
      <c r="H32" s="1447" t="n"/>
      <c r="I32" s="1439" t="n"/>
      <c r="J32" s="1448" t="n"/>
      <c r="K32" s="1449" t="n"/>
      <c r="L32" s="1059" t="n"/>
      <c r="M32" s="1431" t="n"/>
    </row>
    <row r="33" ht="15" customFormat="1" customHeight="1" s="1426">
      <c r="A33" s="1427" t="inlineStr">
        <is>
          <t>3)</t>
        </is>
      </c>
      <c r="B33" s="1428" t="n"/>
      <c r="C33" s="1429" t="inlineStr">
        <is>
          <t>P/U ASSY</t>
        </is>
      </c>
      <c r="D33" s="1450" t="inlineStr">
        <is>
          <t>SP-1</t>
        </is>
      </c>
      <c r="E33" s="1429" t="inlineStr">
        <is>
          <t xml:space="preserve"> &amp; RIH</t>
        </is>
      </c>
      <c r="F33" s="1439" t="inlineStr">
        <is>
          <t xml:space="preserve">SWELL PAKER </t>
        </is>
      </c>
      <c r="J33" s="1451" t="n"/>
      <c r="K33" s="1108" t="n"/>
      <c r="L33" s="995" t="n"/>
      <c r="M33" s="1431" t="n"/>
    </row>
    <row r="34" ht="15" customFormat="1" customHeight="1" s="1426">
      <c r="A34" s="1427" t="n"/>
      <c r="B34" s="1428" t="n"/>
      <c r="C34" s="1429" t="n"/>
      <c r="D34" s="1439" t="n"/>
      <c r="E34" s="1429" t="n"/>
      <c r="F34" s="1439" t="n"/>
      <c r="G34" s="1439" t="n"/>
      <c r="H34" s="1439" t="n"/>
      <c r="I34" s="1439" t="n"/>
      <c r="J34" s="1452" t="n"/>
      <c r="K34" s="1018" t="n"/>
      <c r="L34" s="1067" t="n"/>
      <c r="M34" s="1431" t="n"/>
    </row>
    <row r="35" ht="15" customFormat="1" customHeight="1" s="1426">
      <c r="A35" s="1427" t="inlineStr">
        <is>
          <t>4)</t>
        </is>
      </c>
      <c r="B35" s="1428" t="n"/>
      <c r="C35" s="1429" t="inlineStr">
        <is>
          <t>M/U TBG JT</t>
        </is>
      </c>
      <c r="D35" s="1441" t="n">
        <v>67</v>
      </c>
      <c r="E35" s="1429" t="n"/>
      <c r="F35" s="1430" t="n"/>
      <c r="G35" s="1442" t="inlineStr">
        <is>
          <t>145</t>
        </is>
      </c>
      <c r="H35" s="1443">
        <f>G35-D35+1</f>
        <v/>
      </c>
      <c r="I35" s="1444" t="inlineStr">
        <is>
          <t>3-1/2" TUBING 9.2 LB/FT ALLOY 28 TSH BL</t>
        </is>
      </c>
      <c r="L35" s="1430" t="n"/>
      <c r="M35" s="1431" t="n"/>
    </row>
    <row r="36" ht="15" customFormat="1" customHeight="1" s="1426">
      <c r="A36" s="1453" t="n"/>
      <c r="B36" s="1430" t="n"/>
      <c r="C36" s="1454" t="n"/>
      <c r="D36" s="1454" t="n"/>
      <c r="E36" s="1454" t="n"/>
      <c r="F36" s="1454" t="n"/>
      <c r="G36" s="1454" t="n"/>
      <c r="H36" s="1454" t="n"/>
      <c r="I36" s="1454" t="n"/>
      <c r="J36" s="1454" t="n"/>
      <c r="K36" s="1454" t="n"/>
      <c r="L36" s="1430" t="n"/>
      <c r="M36" s="1455" t="n"/>
    </row>
    <row r="37" ht="18" customFormat="1" customHeight="1" s="1426">
      <c r="A37" s="1427" t="inlineStr">
        <is>
          <t>5)</t>
        </is>
      </c>
      <c r="B37" s="1428" t="n"/>
      <c r="C37" s="1429" t="inlineStr">
        <is>
          <t>P/U ASSY</t>
        </is>
      </c>
      <c r="D37" s="1450" t="inlineStr">
        <is>
          <t>B</t>
        </is>
      </c>
      <c r="E37" s="1429" t="inlineStr">
        <is>
          <t xml:space="preserve"> &amp; RIH</t>
        </is>
      </c>
      <c r="F37" s="1456" t="inlineStr">
        <is>
          <t>3-1/2" MCBD NINE-DH  BARRIER DEVICE</t>
        </is>
      </c>
      <c r="I37" s="995" t="n"/>
      <c r="J37" s="1448" t="n"/>
      <c r="K37" s="1449" t="inlineStr">
        <is>
          <t xml:space="preserve">FILL UP BY HOSE ONLY  NO MUD PUMP  OR SUPERCHARGER </t>
        </is>
      </c>
      <c r="L37" s="1059" t="n"/>
      <c r="M37" s="1431" t="n"/>
    </row>
    <row r="38" ht="20.25" customFormat="1" customHeight="1" s="1426">
      <c r="A38" s="1453" t="n"/>
      <c r="B38" s="1430" t="n"/>
      <c r="C38" s="1454" t="n"/>
      <c r="D38" s="1454" t="n"/>
      <c r="E38" s="1454" t="n"/>
      <c r="F38" s="1457" t="n"/>
      <c r="G38" s="1457" t="n"/>
      <c r="H38" s="1457" t="n"/>
      <c r="I38" s="1457" t="n"/>
      <c r="J38" s="1451" t="inlineStr">
        <is>
          <t xml:space="preserve">FILL UP </t>
        </is>
      </c>
      <c r="K38" s="1108" t="n"/>
      <c r="L38" s="995" t="n"/>
      <c r="M38" s="1455" t="n"/>
    </row>
    <row r="39" ht="14.25" customFormat="1" customHeight="1" s="1426">
      <c r="A39" s="1453" t="n"/>
      <c r="B39" s="1430" t="n"/>
      <c r="C39" s="1454" t="n"/>
      <c r="D39" s="1454" t="n"/>
      <c r="E39" s="1454" t="n"/>
      <c r="F39" s="1458" t="n"/>
      <c r="G39" s="1454" t="n"/>
      <c r="H39" s="1454" t="n"/>
      <c r="I39" s="1454" t="n"/>
      <c r="J39" s="1452" t="n"/>
      <c r="K39" s="1018" t="n"/>
      <c r="L39" s="1067" t="n"/>
      <c r="M39" s="1455" t="n"/>
    </row>
    <row r="40" ht="1.5" customFormat="1" customHeight="1" s="1426">
      <c r="A40" s="1453" t="n"/>
      <c r="B40" s="1430" t="n"/>
      <c r="C40" s="1459" t="n"/>
      <c r="D40" s="1460" t="n"/>
      <c r="E40" s="1460" t="n"/>
      <c r="F40" s="1458" t="n"/>
      <c r="G40" s="1460" t="n"/>
      <c r="H40" s="1460" t="n"/>
      <c r="I40" s="1460" t="n"/>
      <c r="J40" s="1460" t="n"/>
      <c r="K40" s="1460" t="n"/>
      <c r="L40" s="1430" t="n"/>
      <c r="M40" s="1455" t="n"/>
    </row>
    <row r="41" ht="15" customFormat="1" customHeight="1" s="1426">
      <c r="A41" s="1453" t="n"/>
      <c r="B41" s="1430" t="n"/>
      <c r="C41" s="1461" t="inlineStr">
        <is>
          <t xml:space="preserve">●	CONTROL RUNNING SPEED NO JERKING OR OVER SLACK OFF MORE THAN 3 KLBS	</t>
        </is>
      </c>
      <c r="L41" s="1430" t="n"/>
      <c r="M41" s="1455" t="n"/>
    </row>
    <row r="42" ht="9.75" customFormat="1" customHeight="1" s="1426">
      <c r="A42" s="1453" t="n"/>
      <c r="B42" s="1430" t="n"/>
      <c r="L42" s="1430" t="n"/>
      <c r="M42" s="1455" t="n"/>
    </row>
    <row r="43" ht="15" customFormat="1" customHeight="1" s="1426">
      <c r="A43" s="1427" t="inlineStr">
        <is>
          <t>6)</t>
        </is>
      </c>
      <c r="B43" s="1428" t="n"/>
      <c r="C43" s="1429" t="inlineStr">
        <is>
          <t>M/U TBG JT</t>
        </is>
      </c>
      <c r="D43" s="1441" t="n">
        <v>146</v>
      </c>
      <c r="E43" s="1429" t="n"/>
      <c r="F43" s="1430" t="n"/>
      <c r="G43" s="1442" t="inlineStr">
        <is>
          <t>147</t>
        </is>
      </c>
      <c r="H43" s="1443">
        <f>G43-D43+1</f>
        <v/>
      </c>
      <c r="I43" s="1444" t="inlineStr">
        <is>
          <t>3-1/2" TUBING 9.2 LB/FT ALLOY 28 TSH BL</t>
        </is>
      </c>
      <c r="L43" s="1430" t="n"/>
      <c r="M43" s="1431" t="n"/>
    </row>
    <row r="44" ht="15" customFormat="1" customHeight="1" s="1462">
      <c r="A44" s="1463" t="n"/>
      <c r="B44" s="1464" t="n"/>
      <c r="C44" s="1465" t="inlineStr">
        <is>
          <t>● ALWAYS COVER THE HOLE TO AVOID DROP OBJECT</t>
        </is>
      </c>
      <c r="L44" s="1466" t="n"/>
    </row>
    <row r="45" ht="83.25" customFormat="1" customHeight="1" s="1426">
      <c r="A45" s="1427" t="inlineStr">
        <is>
          <t>7)</t>
        </is>
      </c>
      <c r="B45" s="1428" t="n"/>
      <c r="C45" s="1429" t="inlineStr">
        <is>
          <t>P/U ASSY</t>
        </is>
      </c>
      <c r="D45" s="1467" t="inlineStr">
        <is>
          <t>C</t>
        </is>
      </c>
      <c r="E45" s="1429" t="inlineStr">
        <is>
          <t xml:space="preserve"> &amp; RIH</t>
        </is>
      </c>
      <c r="F45" s="1468" t="inlineStr">
        <is>
          <t xml:space="preserve">
DESCRIPTION :WEATHERFORD PACKER REMOVABLE HYDRAULIC OPTI PACKER 7.0 29-32 PPF, 6 SHEAR SCREW, 320 PSI EACH SREW AND TOTAL VALUE 2550 PSI ELEMENT - AFLAS
P/N: 2960170 S/N: 12857761-01
SAP: 130010037571 SUPPLIER: WEATHERFORD
LOWER CONN . 3-1/2" VAM TOP 9.2#PPF INC 925 110 KSI PINUPPER CONN . 3-1/2" VAM TOP 9.2#PPF INC 925 110 KSI BOX
DESCRIPTION :WEATHERFORD PACKER REMOVABLE HYDRAULIC OPTI PACKER 7.0 29-32 PPF, 6 SHEAR SCREW, 320 PSI EACH SREW AND TOTAL VALUE 2550 PSI ELEMENT - AFLAS
P/N: 2960170 S/N: 12857761-01
SAP: 130010037571 SUPPLIER: WEATHERFORD
</t>
        </is>
      </c>
      <c r="M45" s="1455" t="n"/>
    </row>
    <row r="46" ht="17.25" customFormat="1" customHeight="1" s="1469">
      <c r="A46" s="1470" t="n"/>
      <c r="B46" s="1471" t="n"/>
      <c r="C46" s="1465" t="n"/>
      <c r="D46" s="1465" t="n"/>
      <c r="E46" s="1465" t="n"/>
      <c r="F46" s="1472" t="inlineStr">
        <is>
          <t>CHECK NUMBER OF SHEAR SCREW (COMPARE WITH SUB ASSEMBLY DATASHEET), RUBBER ELEMENT CONDITION, SLIPS AND ETC</t>
        </is>
      </c>
      <c r="G46" s="1465" t="n"/>
      <c r="H46" s="1465" t="n"/>
      <c r="I46" s="1465" t="n"/>
      <c r="J46" s="1465" t="n"/>
      <c r="K46" s="1465" t="n"/>
      <c r="L46" s="1473" t="n"/>
    </row>
    <row r="47" ht="15" customFormat="1" customHeight="1" s="1474">
      <c r="A47" s="1475" t="inlineStr">
        <is>
          <t>8)</t>
        </is>
      </c>
      <c r="B47" s="1476" t="n"/>
      <c r="C47" s="1477" t="inlineStr">
        <is>
          <t>M/U TBG JT</t>
        </is>
      </c>
      <c r="D47" s="1478" t="n">
        <v>148</v>
      </c>
      <c r="E47" s="1477" t="inlineStr">
        <is>
          <t xml:space="preserve"> &amp;  RIH TILL TBG JT</t>
        </is>
      </c>
      <c r="F47" s="1458" t="n"/>
      <c r="G47" s="1478" t="n">
        <v>192</v>
      </c>
      <c r="H47" s="1443">
        <f>G47-D47+1</f>
        <v/>
      </c>
      <c r="I47" s="1444" t="inlineStr">
        <is>
          <t>3-1/2" TUBING 9.2 LB/FT ALLOY 28 TSH BL</t>
        </is>
      </c>
      <c r="L47" s="1477" t="n"/>
    </row>
    <row r="48" ht="17.25" customFormat="1" customHeight="1" s="1469">
      <c r="A48" s="1470" t="n"/>
      <c r="B48" s="1471" t="n"/>
      <c r="C48" s="1465" t="n"/>
      <c r="D48" s="1465" t="n"/>
      <c r="E48" s="1465" t="n"/>
      <c r="F48" s="1465" t="n"/>
      <c r="G48" s="1465" t="n"/>
      <c r="H48" s="1465" t="n"/>
      <c r="I48" s="1465" t="n"/>
      <c r="J48" s="1465" t="n"/>
      <c r="K48" s="1465" t="n"/>
      <c r="L48" s="1473" t="n"/>
    </row>
    <row r="49" ht="46.5" customFormat="1" customHeight="1" s="1426">
      <c r="A49" s="1427" t="inlineStr">
        <is>
          <t>9)</t>
        </is>
      </c>
      <c r="B49" s="1428" t="n"/>
      <c r="C49" s="1429" t="inlineStr">
        <is>
          <t>P/U ASSY</t>
        </is>
      </c>
      <c r="D49" s="1467" t="inlineStr">
        <is>
          <t>D1</t>
        </is>
      </c>
      <c r="E49" s="1429" t="inlineStr">
        <is>
          <t xml:space="preserve"> &amp; RIH</t>
        </is>
      </c>
      <c r="F49" s="1479" t="inlineStr">
        <is>
          <t xml:space="preserve">WEATHERFORD SIDE POCKET MANDREL GROOVED Mandrel, SBRO-2NGRDUMMY                                 </t>
        </is>
      </c>
      <c r="M49" s="1455" t="n"/>
    </row>
    <row r="50" ht="15" customFormat="1" customHeight="1" s="1426">
      <c r="A50" s="1427" t="inlineStr">
        <is>
          <t>10)</t>
        </is>
      </c>
      <c r="B50" s="1428" t="n"/>
      <c r="C50" s="1429" t="inlineStr">
        <is>
          <t>M/U TBG JT</t>
        </is>
      </c>
      <c r="D50" s="1441" t="n">
        <v>193</v>
      </c>
      <c r="E50" s="1429" t="n"/>
      <c r="F50" s="1430" t="n"/>
      <c r="G50" s="1442" t="inlineStr">
        <is>
          <t>207</t>
        </is>
      </c>
      <c r="H50" s="1443">
        <f>G50-D50+1</f>
        <v/>
      </c>
      <c r="I50" s="1444" t="inlineStr">
        <is>
          <t>3-1/2" TUBING 9.2 LB/FT ALLOY 28 TSH BL</t>
        </is>
      </c>
      <c r="L50" s="1430" t="n"/>
      <c r="M50" s="1431" t="n"/>
    </row>
    <row r="51" ht="15" customFormat="1" customHeight="1" s="1426">
      <c r="A51" s="1453" t="n"/>
      <c r="B51" s="1430" t="n"/>
      <c r="C51" s="1454" t="n"/>
      <c r="D51" s="1454" t="n"/>
      <c r="E51" s="1454" t="n"/>
      <c r="F51" s="1454" t="n"/>
      <c r="G51" s="1454" t="n"/>
      <c r="H51" s="1454" t="n"/>
      <c r="I51" s="1454" t="n"/>
      <c r="J51" s="1454" t="n"/>
      <c r="K51" s="1454" t="n"/>
      <c r="L51" s="1430" t="n"/>
      <c r="M51" s="1455" t="n"/>
    </row>
    <row r="52" ht="15" customFormat="1" customHeight="1" s="1426">
      <c r="A52" s="1427" t="inlineStr">
        <is>
          <t>11)</t>
        </is>
      </c>
      <c r="B52" s="1428" t="n"/>
      <c r="C52" s="1429" t="inlineStr">
        <is>
          <t>P/U ASSY</t>
        </is>
      </c>
      <c r="D52" s="1450" t="inlineStr">
        <is>
          <t>D2</t>
        </is>
      </c>
      <c r="E52" s="1429" t="inlineStr">
        <is>
          <t xml:space="preserve"> &amp; RIH</t>
        </is>
      </c>
      <c r="F52" s="1479" t="inlineStr">
        <is>
          <t xml:space="preserve">WEATHERFORD SIDE POCKET MANDREL GROOVED Mandrel, SBRO-2NGRDUMMY                                 </t>
        </is>
      </c>
      <c r="M52" s="1431" t="n"/>
    </row>
    <row r="53" ht="20.25" customFormat="1" customHeight="1" s="1426">
      <c r="A53" s="1453" t="n"/>
      <c r="B53" s="1430" t="n"/>
      <c r="C53" s="1454" t="n"/>
      <c r="D53" s="1454" t="n"/>
      <c r="E53" s="1454" t="n"/>
      <c r="M53" s="1455" t="n"/>
    </row>
    <row r="54" ht="14.25" customFormat="1" customHeight="1" s="1426">
      <c r="A54" s="1453" t="n"/>
      <c r="B54" s="1430" t="n"/>
      <c r="C54" s="1454" t="n"/>
      <c r="D54" s="1454" t="n"/>
      <c r="E54" s="1454" t="n"/>
      <c r="F54" s="1458" t="n"/>
      <c r="G54" s="1454" t="n"/>
      <c r="H54" s="1454" t="n"/>
      <c r="I54" s="1454" t="n"/>
      <c r="J54" s="1454" t="n"/>
      <c r="K54" s="1454" t="n"/>
      <c r="L54" s="1430" t="n"/>
      <c r="M54" s="1455" t="n"/>
    </row>
    <row r="55" ht="1.5" customFormat="1" customHeight="1" s="1426">
      <c r="A55" s="1453" t="n"/>
      <c r="B55" s="1430" t="n"/>
      <c r="C55" s="1459" t="n"/>
      <c r="D55" s="1460" t="n"/>
      <c r="E55" s="1460" t="n"/>
      <c r="F55" s="1458" t="n"/>
      <c r="G55" s="1460" t="n"/>
      <c r="H55" s="1460" t="n"/>
      <c r="I55" s="1460" t="n"/>
      <c r="J55" s="1460" t="n"/>
      <c r="K55" s="1460" t="n"/>
      <c r="L55" s="1430" t="n"/>
      <c r="M55" s="1455" t="n"/>
    </row>
    <row r="56" ht="15" customFormat="1" customHeight="1" s="1426">
      <c r="A56" s="1453" t="n"/>
      <c r="B56" s="1430" t="n"/>
      <c r="C56" s="1461" t="inlineStr">
        <is>
          <t xml:space="preserve">●	CONTROL RUNNING SPEED NO JERKING OR OVER SLACK OFF MORE THAN 3 KLBS	</t>
        </is>
      </c>
      <c r="L56" s="1430" t="n"/>
      <c r="M56" s="1455" t="n"/>
    </row>
    <row r="57" ht="9.75" customFormat="1" customHeight="1" s="1426">
      <c r="A57" s="1453" t="n"/>
      <c r="B57" s="1430" t="n"/>
      <c r="L57" s="1430" t="n"/>
      <c r="M57" s="1455" t="n"/>
    </row>
    <row r="58" ht="15" customFormat="1" customHeight="1" s="1426">
      <c r="A58" s="1427" t="inlineStr">
        <is>
          <t>12)</t>
        </is>
      </c>
      <c r="B58" s="1428" t="n"/>
      <c r="C58" s="1429" t="inlineStr">
        <is>
          <t>M/U TBG JT</t>
        </is>
      </c>
      <c r="D58" s="1441" t="n">
        <v>208</v>
      </c>
      <c r="E58" s="1429" t="n"/>
      <c r="F58" s="1430" t="n"/>
      <c r="G58" s="1442" t="inlineStr">
        <is>
          <t>235</t>
        </is>
      </c>
      <c r="H58" s="1443">
        <f>G58-D58+1</f>
        <v/>
      </c>
      <c r="I58" s="1444" t="inlineStr">
        <is>
          <t>3-1/2" TUBING 9.2 LB/FT ALLOY 28 TSH BL</t>
        </is>
      </c>
      <c r="L58" s="1430" t="n"/>
      <c r="M58" s="1431" t="n"/>
    </row>
    <row r="59" ht="15" customFormat="1" customHeight="1" s="1462">
      <c r="A59" s="1463" t="n"/>
      <c r="B59" s="1464" t="n"/>
      <c r="C59" s="1465" t="inlineStr">
        <is>
          <t>● ALWAYS COVER THE HOLE TO AVOID DROP OBJECT</t>
        </is>
      </c>
      <c r="L59" s="1466" t="n"/>
    </row>
    <row r="60" ht="35.25" customFormat="1" customHeight="1" s="1426">
      <c r="A60" s="1427" t="inlineStr">
        <is>
          <t>13)</t>
        </is>
      </c>
      <c r="B60" s="1428" t="n"/>
      <c r="C60" s="1429" t="inlineStr">
        <is>
          <t>P/U ASSY</t>
        </is>
      </c>
      <c r="D60" s="1467" t="inlineStr">
        <is>
          <t>D3</t>
        </is>
      </c>
      <c r="E60" s="1429" t="inlineStr">
        <is>
          <t xml:space="preserve"> &amp; RIH</t>
        </is>
      </c>
      <c r="F60" s="1479" t="inlineStr">
        <is>
          <t xml:space="preserve">WEATHERFORD SIDE POCKET MANDREL GROOVED Mandrel, SBRO-2NGRDUMMY                                 </t>
        </is>
      </c>
      <c r="M60" s="1455" t="n"/>
    </row>
    <row r="61" ht="17.25" customFormat="1" customHeight="1" s="1469">
      <c r="A61" s="1470" t="n"/>
      <c r="B61" s="1471" t="n"/>
      <c r="C61" s="1465" t="n"/>
      <c r="D61" s="1465" t="n"/>
      <c r="E61" s="1465" t="n"/>
      <c r="F61" s="1465" t="n"/>
      <c r="G61" s="1465" t="n"/>
      <c r="H61" s="1465" t="n"/>
      <c r="I61" s="1465" t="n"/>
      <c r="J61" s="1465" t="n"/>
      <c r="K61" s="1465" t="n"/>
      <c r="L61" s="1473" t="n"/>
    </row>
    <row r="62" ht="15" customFormat="1" customHeight="1" s="1474">
      <c r="A62" s="1475" t="inlineStr">
        <is>
          <t>14)</t>
        </is>
      </c>
      <c r="B62" s="1476" t="n"/>
      <c r="C62" s="1477" t="inlineStr">
        <is>
          <t>M/U TBG JT</t>
        </is>
      </c>
      <c r="D62" s="1478" t="n">
        <v>236</v>
      </c>
      <c r="E62" s="1477" t="inlineStr">
        <is>
          <t xml:space="preserve"> &amp;  RIH TILL TBG JT</t>
        </is>
      </c>
      <c r="F62" s="1458" t="n"/>
      <c r="G62" s="1478" t="n">
        <v>284</v>
      </c>
      <c r="H62" s="1443">
        <f>G62-D62+1</f>
        <v/>
      </c>
      <c r="I62" s="1444" t="inlineStr">
        <is>
          <t>3-1/2" TUBING 9.2 LB/FT ALLOY 28 TSH BL</t>
        </is>
      </c>
      <c r="L62" s="1477" t="n"/>
    </row>
    <row r="63" ht="17.25" customFormat="1" customHeight="1" s="1469">
      <c r="A63" s="1470" t="n"/>
      <c r="B63" s="1471" t="n"/>
      <c r="C63" s="1465" t="n"/>
      <c r="D63" s="1465" t="n"/>
      <c r="E63" s="1465" t="n"/>
      <c r="F63" s="1465" t="n"/>
      <c r="G63" s="1465" t="n"/>
      <c r="H63" s="1465" t="n"/>
      <c r="I63" s="1465" t="n"/>
      <c r="J63" s="1465" t="n"/>
      <c r="K63" s="1465" t="n"/>
      <c r="L63" s="1473" t="n"/>
    </row>
    <row r="64" ht="46.5" customFormat="1" customHeight="1" s="1426">
      <c r="A64" s="1427" t="inlineStr">
        <is>
          <t>15)</t>
        </is>
      </c>
      <c r="B64" s="1428" t="n"/>
      <c r="C64" s="1429" t="inlineStr">
        <is>
          <t>P/U ASSY</t>
        </is>
      </c>
      <c r="D64" s="1467" t="inlineStr">
        <is>
          <t>D4</t>
        </is>
      </c>
      <c r="E64" s="1429" t="inlineStr">
        <is>
          <t xml:space="preserve"> &amp; RIH</t>
        </is>
      </c>
      <c r="F64" s="1479" t="inlineStr">
        <is>
          <t>WEATHERFORD SIDE POCKET MANDREL Mandrel, SBRO-2JGRDVX 3.5 9.2# Vam Top BxP S13CR95 QP-277DUMMY SN 12796498-02</t>
        </is>
      </c>
      <c r="M64" s="1455" t="n"/>
    </row>
    <row r="65" ht="17.25" customFormat="1" customHeight="1" s="1469">
      <c r="A65" s="1470" t="n"/>
      <c r="B65" s="1471" t="n"/>
      <c r="C65" s="1465" t="n"/>
      <c r="D65" s="1465" t="n"/>
      <c r="E65" s="1465" t="n"/>
      <c r="F65" s="1465" t="n"/>
      <c r="G65" s="1465" t="n"/>
      <c r="H65" s="1465" t="n"/>
      <c r="I65" s="1465" t="n"/>
      <c r="J65" s="1465" t="n"/>
      <c r="K65" s="1465" t="n"/>
      <c r="L65" s="1473" t="n"/>
    </row>
    <row r="66" ht="15" customFormat="1" customHeight="1" s="1474">
      <c r="A66" s="1475" t="inlineStr">
        <is>
          <t>16)</t>
        </is>
      </c>
      <c r="B66" s="1476" t="n"/>
      <c r="C66" s="1477" t="inlineStr">
        <is>
          <t>M/U TBG JT</t>
        </is>
      </c>
      <c r="D66" s="1478" t="n">
        <v>285</v>
      </c>
      <c r="E66" s="1477" t="inlineStr">
        <is>
          <t xml:space="preserve"> &amp;  RIH TILL TBG JT</t>
        </is>
      </c>
      <c r="F66" s="1458" t="n"/>
      <c r="G66" s="1478" t="n">
        <v>359</v>
      </c>
      <c r="H66" s="1443">
        <f>G66-D66+1</f>
        <v/>
      </c>
      <c r="I66" s="1444" t="inlineStr">
        <is>
          <t>3-1/2" TUBING 9.2 LB/FT ALLOY 28 TSH BL</t>
        </is>
      </c>
      <c r="L66" s="1477" t="n"/>
    </row>
    <row r="67" ht="17.25" customFormat="1" customHeight="1" s="1469">
      <c r="A67" s="1470" t="n"/>
      <c r="B67" s="1471" t="n"/>
      <c r="C67" s="1465" t="n"/>
      <c r="D67" s="1465" t="n"/>
      <c r="E67" s="1465" t="n"/>
      <c r="F67" s="1465" t="n"/>
      <c r="G67" s="1465" t="n"/>
      <c r="H67" s="1465" t="n"/>
      <c r="I67" s="1465" t="n"/>
      <c r="J67" s="1465" t="n"/>
      <c r="K67" s="1465" t="n"/>
      <c r="L67" s="1473" t="n"/>
    </row>
    <row r="68" ht="65.25" customFormat="1" customHeight="1" s="1426">
      <c r="A68" s="1427" t="inlineStr">
        <is>
          <t>17)</t>
        </is>
      </c>
      <c r="B68" s="1428" t="n"/>
      <c r="C68" s="1429" t="inlineStr">
        <is>
          <t>P/U ASSY</t>
        </is>
      </c>
      <c r="D68" s="1467" t="inlineStr">
        <is>
          <t>F</t>
        </is>
      </c>
      <c r="E68" s="1429" t="inlineStr">
        <is>
          <t xml:space="preserve"> &amp; RIH</t>
        </is>
      </c>
      <c r="F68" s="1468" t="inlineStr">
        <is>
          <t xml:space="preserve">
DESCRIPTION : WEATHERFORD ASSY,TRSV,3.5WZPE-10 2.813WOR,2KSD,9.2H VAM TOP,WN302
PN: 2980845
S/N: 12777594-01
SAP: 130010038007
SUPPLIER: WEATHERFORD
</t>
        </is>
      </c>
      <c r="M68" s="1455" t="n"/>
    </row>
    <row r="69" ht="17.25" customFormat="1" customHeight="1" s="1469">
      <c r="A69" s="1470" t="n"/>
      <c r="B69" s="1471" t="n"/>
      <c r="C69" s="1465" t="n"/>
      <c r="D69" s="1465" t="n"/>
      <c r="E69" s="1465" t="n"/>
      <c r="F69" s="1465" t="n"/>
      <c r="G69" s="1465" t="n"/>
      <c r="H69" s="1465" t="n"/>
      <c r="I69" s="1465" t="n"/>
      <c r="J69" s="1465" t="n"/>
      <c r="K69" s="1465" t="n"/>
      <c r="L69" s="1473" t="n"/>
    </row>
    <row r="70" ht="15" customFormat="1" customHeight="1" s="1474">
      <c r="A70" s="1475" t="inlineStr">
        <is>
          <t>18)</t>
        </is>
      </c>
      <c r="B70" s="1476" t="n"/>
      <c r="C70" s="1477" t="inlineStr">
        <is>
          <t xml:space="preserve">M/U TBG </t>
        </is>
      </c>
      <c r="D70" s="1478" t="n">
        <v>360</v>
      </c>
      <c r="E70" s="1477" t="inlineStr">
        <is>
          <t xml:space="preserve"> &amp;  RIH TILL TBG JT</t>
        </is>
      </c>
      <c r="F70" s="1458" t="n"/>
      <c r="G70" s="1478" t="n">
        <v>364</v>
      </c>
      <c r="H70" s="1443">
        <f>G70-D70+1</f>
        <v/>
      </c>
      <c r="I70" s="1444" t="inlineStr">
        <is>
          <t>3-1/2" TUBING 9.2 LB/FT ALLOY 28 TSH BL</t>
        </is>
      </c>
      <c r="L70" s="1477" t="n"/>
    </row>
    <row r="71" ht="35.25" customFormat="1" customHeight="1" s="1474">
      <c r="A71" s="1475" t="n">
        <v>19</v>
      </c>
      <c r="B71" s="1476" t="n"/>
      <c r="C71" s="1477" t="inlineStr">
        <is>
          <t xml:space="preserve">CHANGE ELEVATORS FRO, 3-1/2"  TO 4-1/2" </t>
        </is>
      </c>
      <c r="D71" s="1480" t="n"/>
      <c r="E71" s="1477" t="n"/>
      <c r="F71" s="1458" t="n"/>
      <c r="G71" s="1480" t="n"/>
      <c r="H71" s="1481" t="n"/>
      <c r="I71" s="1482" t="n"/>
      <c r="J71" s="1482" t="n"/>
      <c r="K71" s="1482" t="n"/>
      <c r="L71" s="1482" t="n"/>
    </row>
    <row r="72" ht="17.25" customFormat="1" customHeight="1" s="1469">
      <c r="A72" s="1470" t="n"/>
      <c r="B72" s="1471" t="n"/>
      <c r="C72" s="1465" t="n"/>
      <c r="D72" s="1465" t="n"/>
      <c r="E72" s="1465" t="n"/>
      <c r="F72" s="1465" t="n"/>
      <c r="G72" s="1465" t="n"/>
      <c r="H72" s="1465" t="n"/>
      <c r="I72" s="1465" t="n"/>
      <c r="J72" s="1465" t="n"/>
      <c r="K72" s="1465" t="n"/>
      <c r="L72" s="1473" t="n"/>
    </row>
    <row r="73" ht="17.25" customFormat="1" customHeight="1" s="1469">
      <c r="A73" s="1470" t="n"/>
      <c r="B73" s="1471" t="n"/>
      <c r="C73" s="1465" t="n"/>
      <c r="D73" s="1465" t="n"/>
      <c r="E73" s="1465" t="n"/>
      <c r="F73" s="1465" t="n"/>
      <c r="G73" s="1465" t="n"/>
      <c r="H73" s="1465" t="n"/>
      <c r="I73" s="1465" t="n"/>
      <c r="J73" s="1465" t="n"/>
      <c r="K73" s="1465" t="n"/>
      <c r="L73" s="1473" t="n"/>
    </row>
    <row r="74" ht="15.75" customFormat="1" customHeight="1" s="1474">
      <c r="A74" s="1483" t="n">
        <v>20</v>
      </c>
      <c r="B74" s="1477" t="n"/>
      <c r="C74" s="1477" t="inlineStr">
        <is>
          <t>P/U ASSY</t>
        </is>
      </c>
      <c r="D74" s="1484" t="inlineStr">
        <is>
          <t>G</t>
        </is>
      </c>
      <c r="E74" s="1477" t="n"/>
      <c r="F74" s="1484" t="inlineStr">
        <is>
          <t>4-1/2''  TUBING HANGER</t>
        </is>
      </c>
      <c r="G74" s="895" t="n"/>
      <c r="H74" s="895" t="n"/>
      <c r="I74" s="895" t="n"/>
      <c r="J74" s="895" t="n"/>
      <c r="K74" s="892" t="n"/>
      <c r="L74" s="1477" t="n"/>
    </row>
    <row r="75" ht="111" customFormat="1" customHeight="1" s="933">
      <c r="A75" s="1485" t="n"/>
      <c r="B75" s="1486" t="n"/>
      <c r="C75" s="1487" t="inlineStr">
        <is>
          <t xml:space="preserve">COMPLETION TESTING </t>
        </is>
      </c>
    </row>
    <row r="76" ht="28.5" customFormat="1" customHeight="1" s="933">
      <c r="A76" s="1488" t="n">
        <v>21</v>
      </c>
      <c r="B76" s="1489" t="n"/>
      <c r="C76" s="1490" t="inlineStr">
        <is>
          <t>P/U &amp; M/U tubing hanger and Feedthru control line into same (do not wrap control line). Test control line to 7,500
psi for 10 minutes. Extend control line to surface and kept 7500 psi on C/L.</t>
        </is>
      </c>
      <c r="L76" s="1489" t="n"/>
    </row>
    <row r="77" ht="15" customFormat="1" customHeight="1" s="1491">
      <c r="A77" s="1492" t="n"/>
      <c r="B77" s="1493" t="n"/>
      <c r="C77" s="1494" t="inlineStr">
        <is>
          <t>● CLEAN OUT TUBING HEAD SPOOL FROM ANY DEBRIS AND ENSURE THE LOCK DOWN SCREW IN THE TUBING</t>
        </is>
      </c>
      <c r="D77" s="1494" t="n"/>
      <c r="E77" s="1494" t="n"/>
      <c r="F77" s="1494" t="n"/>
      <c r="G77" s="1494" t="n"/>
      <c r="H77" s="1494" t="n"/>
      <c r="I77" s="1494" t="n"/>
      <c r="J77" s="1494" t="n"/>
      <c r="K77" s="1494" t="n"/>
      <c r="L77" s="1493" t="n"/>
    </row>
    <row r="78" ht="15" customFormat="1" customHeight="1" s="1495">
      <c r="A78" s="1496" t="n"/>
      <c r="B78" s="1497" t="n"/>
      <c r="C78" s="1498" t="inlineStr">
        <is>
          <t>● WELLHEAD ENGR TO ENSURE THE LOCKDOWN SCREWS RETRACTED BEFORE LANDING TUBING HANGER.</t>
        </is>
      </c>
      <c r="D78" s="1498" t="n"/>
      <c r="E78" s="1498" t="n"/>
      <c r="F78" s="1498" t="n"/>
      <c r="G78" s="1498" t="n"/>
      <c r="H78" s="1498" t="n"/>
      <c r="I78" s="1498" t="n"/>
      <c r="J78" s="1498" t="n"/>
      <c r="K78" s="1498" t="n"/>
      <c r="L78" s="1497" t="n"/>
    </row>
    <row r="79" ht="15" customFormat="1" customHeight="1" s="1495">
      <c r="A79" s="1499" t="n"/>
      <c r="B79" s="1497" t="n"/>
      <c r="C79" s="1498" t="inlineStr">
        <is>
          <t>● WELLHEAD ENGR TO MARK THE TBG HGR TO VISIBLY CHECK FOR PROPER LANDING THROUGH SOV</t>
        </is>
      </c>
      <c r="D79" s="1498" t="n"/>
      <c r="E79" s="1498" t="n"/>
      <c r="F79" s="1498" t="n"/>
      <c r="G79" s="1498" t="n"/>
      <c r="H79" s="1498" t="n"/>
      <c r="I79" s="1498" t="n"/>
      <c r="J79" s="1498" t="n"/>
      <c r="K79" s="1498" t="n"/>
      <c r="L79" s="1497" t="n"/>
    </row>
    <row r="80" ht="15" customFormat="1" customHeight="1" s="1495">
      <c r="A80" s="1488" t="n"/>
      <c r="B80" s="1497" t="n"/>
      <c r="C80" s="1498" t="inlineStr">
        <is>
          <t xml:space="preserve">●RECORD P/U AND S/O WEIGHT. </t>
        </is>
      </c>
      <c r="D80" s="1498" t="n"/>
      <c r="E80" s="1498" t="n"/>
      <c r="F80" s="1498" t="n"/>
      <c r="G80" s="1498" t="n"/>
      <c r="H80" s="1498" t="n"/>
      <c r="I80" s="1498" t="n"/>
      <c r="J80" s="1498" t="n"/>
      <c r="K80" s="1498" t="n"/>
      <c r="L80" s="1500" t="n"/>
    </row>
    <row r="81" ht="15" customHeight="1" s="882">
      <c r="A81" s="1488" t="n">
        <v>22</v>
      </c>
      <c r="B81" s="1501" t="n"/>
      <c r="C81" s="1502" t="inlineStr">
        <is>
          <t>R/U INJECTION MANIFOLD AND TESTED TO 5000 PSI FOR 10 MINS IN SOLID HOLDING PRESSURE.</t>
        </is>
      </c>
      <c r="D81" s="1502" t="n"/>
      <c r="E81" s="1502" t="n"/>
      <c r="F81" s="1502" t="n"/>
      <c r="G81" s="1502" t="n"/>
      <c r="H81" s="1502" t="n"/>
      <c r="I81" s="1502" t="n"/>
      <c r="J81" s="1502" t="n"/>
      <c r="K81" s="1502" t="n"/>
      <c r="L81" s="1501" t="n"/>
    </row>
    <row r="82" ht="62.25" customHeight="1" s="882">
      <c r="A82" s="1488" t="n">
        <v>23</v>
      </c>
      <c r="B82" s="1501" t="n"/>
      <c r="C82" s="1490" t="inlineStr">
        <is>
          <t>OPEN MASTER VALVE AND START PRESSURE UP WITH LOW PRESSURE 500 PSI HOLD FOR 3 MINS. THEN
1000 PSI HOLD FOR 3 MINS, ENSURE LOW PRESSURE IN SOLID PRESSURE TEST PRIOR TO SET PACKER.
CONTINUE INCREASE GRADUALLY TO 4000 PSI, HOLD FOR 30 MINS. TO FULLY SET PACKER AND TUBING TEST.</t>
        </is>
      </c>
    </row>
    <row r="83" ht="15" customHeight="1" s="882">
      <c r="A83" s="1488" t="n">
        <v>24</v>
      </c>
      <c r="B83" s="1501" t="n"/>
      <c r="C83" s="1501" t="inlineStr">
        <is>
          <t>KEEP 4000 PSI ON THE TUBING, BLEED CONTROL LINE PRESSURE TO 0 PSI TO CLOSE THE TRSV</t>
        </is>
      </c>
      <c r="D83" s="1501" t="n"/>
      <c r="E83" s="1501" t="n"/>
      <c r="F83" s="1501" t="n"/>
      <c r="G83" s="1501" t="n"/>
      <c r="H83" s="1501" t="n"/>
      <c r="I83" s="1501" t="n"/>
      <c r="J83" s="1501" t="n"/>
      <c r="K83" s="1501" t="n"/>
      <c r="L83" s="1502" t="n"/>
    </row>
    <row r="84" ht="15" customHeight="1" s="882">
      <c r="A84" s="1488" t="n">
        <v>25</v>
      </c>
      <c r="B84" s="1501" t="n"/>
      <c r="C84" s="1501" t="inlineStr">
        <is>
          <t>BLEED TUBING ABOVE SV TO 3500 PSI AS QUICKLY AS PRACTICAL AND MEASURE RETURNS AND MONITOR FOR 15 MINUTES.</t>
        </is>
      </c>
      <c r="D84" s="1501" t="n"/>
      <c r="E84" s="1501" t="n"/>
      <c r="F84" s="1501" t="n"/>
      <c r="G84" s="1501" t="n"/>
      <c r="H84" s="1501" t="n"/>
      <c r="I84" s="1501" t="n"/>
      <c r="J84" s="1501" t="n"/>
      <c r="K84" s="1501" t="n"/>
      <c r="L84" s="1502" t="n"/>
    </row>
    <row r="85" ht="15" customHeight="1" s="882">
      <c r="A85" s="1488" t="n">
        <v>26</v>
      </c>
      <c r="B85" s="1501" t="n"/>
      <c r="C85" s="1501" t="inlineStr">
        <is>
          <t>BLEED TUBING ABOVE SV TO 800  PSI AS QUICKLY AS PRACTICAL AND MEASURE RETURNS AND MONITOR FOR 15 MINUTES.</t>
        </is>
      </c>
      <c r="D85" s="1501" t="n"/>
      <c r="E85" s="1501" t="n"/>
      <c r="F85" s="1501" t="n"/>
      <c r="G85" s="1501" t="n"/>
      <c r="H85" s="1501" t="n"/>
      <c r="I85" s="1501" t="n"/>
      <c r="J85" s="1501" t="n"/>
      <c r="K85" s="1501" t="n"/>
      <c r="L85" s="1502" t="n"/>
    </row>
    <row r="86" ht="15" customHeight="1" s="882">
      <c r="A86" s="1488" t="n">
        <v>27</v>
      </c>
      <c r="B86" s="1501" t="n"/>
      <c r="C86" s="1501" t="inlineStr">
        <is>
          <t>INCREASE TUBING PRESSURE BACK TO 4000 PSI TO EQUALIZE ACROSS THE TRSV . INCREASE CL PRESSURETO 7500 PSI TO OPEN TRSV</t>
        </is>
      </c>
      <c r="D86" s="1501" t="n"/>
      <c r="E86" s="1501" t="n"/>
      <c r="F86" s="1501" t="n"/>
      <c r="G86" s="1501" t="n"/>
      <c r="H86" s="1501" t="n"/>
      <c r="I86" s="1501" t="n"/>
      <c r="J86" s="1501" t="n"/>
      <c r="K86" s="1501" t="n"/>
      <c r="L86" s="1502" t="n"/>
    </row>
    <row r="87" ht="15" customHeight="1" s="882">
      <c r="A87" s="1488" t="n">
        <v>28</v>
      </c>
      <c r="B87" s="1501" t="n"/>
      <c r="C87" s="1503" t="inlineStr">
        <is>
          <t>BLEED TUBING PRESSURE DOWN TO 0 PSI. CHECK RETURNS TO ENSURE VALVE IS OPEN. RECORD VOLUME.</t>
        </is>
      </c>
      <c r="D87" s="1501" t="n"/>
      <c r="E87" s="1501" t="n"/>
      <c r="F87" s="1501" t="n"/>
      <c r="G87" s="1501" t="n"/>
      <c r="H87" s="1501" t="n"/>
      <c r="I87" s="1501" t="n"/>
      <c r="J87" s="1501" t="n"/>
      <c r="K87" s="1501" t="n"/>
      <c r="L87" s="1502" t="n"/>
    </row>
    <row r="88" ht="15" customHeight="1" s="882">
      <c r="A88" s="1488" t="n">
        <v>29</v>
      </c>
      <c r="B88" s="1501" t="n"/>
      <c r="C88" s="1501" t="inlineStr">
        <is>
          <t>REFER TO SERVICE PROVIDER PROCEDURE FOR ANY DEVIATION FROM THE PROGRAM</t>
        </is>
      </c>
      <c r="D88" s="1501" t="n"/>
      <c r="E88" s="1501" t="n"/>
      <c r="F88" s="1501" t="n"/>
      <c r="G88" s="1501" t="n"/>
      <c r="H88" s="1501" t="n"/>
      <c r="I88" s="1501" t="n"/>
      <c r="J88" s="1501" t="n"/>
      <c r="K88" s="1501" t="n"/>
      <c r="L88" s="1502" t="n"/>
    </row>
    <row r="89" ht="15" customHeight="1" s="882">
      <c r="A89" s="1488" t="n"/>
      <c r="B89" s="1501" t="n"/>
      <c r="C89" s="1502" t="inlineStr">
        <is>
          <t>● REVIEW AND VERIFY REMAINING CYCLES BASED ON TAG RECORD</t>
        </is>
      </c>
      <c r="D89" s="1502" t="n"/>
      <c r="E89" s="1502" t="n"/>
      <c r="F89" s="1502" t="n"/>
      <c r="G89" s="1502" t="n"/>
      <c r="H89" s="1502" t="n"/>
      <c r="I89" s="1502" t="n"/>
      <c r="J89" s="1502" t="n"/>
      <c r="K89" s="1502" t="n"/>
      <c r="L89" s="1502" t="n"/>
    </row>
    <row r="90" ht="15" customHeight="1" s="882">
      <c r="A90" s="1488" t="n"/>
      <c r="B90" s="1501" t="n"/>
      <c r="C90" s="1502" t="inlineStr">
        <is>
          <t>● APPLY PRESSURE IN THE TUBING STRING 2500 PSI FOR 5 MINS. AND BLEED OFF AS QUICK AS POSSIBLE TO 0 PSI KEEP 10 MINS.</t>
        </is>
      </c>
      <c r="D90" s="1502" t="n"/>
      <c r="E90" s="1502" t="n"/>
      <c r="F90" s="1502" t="n"/>
      <c r="G90" s="1502" t="n"/>
      <c r="H90" s="1502" t="n"/>
      <c r="I90" s="1502" t="n"/>
      <c r="J90" s="1502" t="n"/>
      <c r="K90" s="1502" t="n"/>
      <c r="L90" s="1502" t="n"/>
    </row>
    <row r="91" ht="15" customHeight="1" s="882">
      <c r="A91" s="1488" t="n"/>
      <c r="B91" s="1501" t="n"/>
      <c r="C91" s="1504" t="inlineStr">
        <is>
          <t>●CALL TOWN TO DECIDE EXTRA PRESSURE (4000 PSI) AND CYCLES. IF NOT SUCCESS - PROCEED TO RUPTURE WITH SLICK LINE CHISSEL.</t>
        </is>
      </c>
      <c r="D91" s="1502" t="n"/>
      <c r="E91" s="1502" t="n"/>
      <c r="F91" s="1502" t="n"/>
      <c r="G91" s="1502" t="n"/>
      <c r="H91" s="1502" t="n"/>
      <c r="I91" s="1502" t="n"/>
      <c r="J91" s="1502" t="n"/>
      <c r="K91" s="1502" t="n"/>
      <c r="L91" s="1502" t="n"/>
    </row>
    <row r="92" ht="15" customHeight="1" s="882">
      <c r="A92" s="1488" t="n"/>
      <c r="B92" s="1501" t="n"/>
      <c r="C92" s="1505" t="inlineStr">
        <is>
          <t xml:space="preserve">NOTE: IF THE BARRIER DEVICE DOES NOT RUPTURE AS PER PROGRAMMED CYCLES, CALL OFFICE PRIOR DOING EXTRA CYCLES.  </t>
        </is>
      </c>
      <c r="D92" s="1502" t="n"/>
      <c r="E92" s="1502" t="n"/>
      <c r="F92" s="1502" t="n"/>
      <c r="G92" s="1502" t="n"/>
      <c r="H92" s="1502" t="n"/>
      <c r="I92" s="1502" t="n"/>
      <c r="J92" s="1502" t="n"/>
      <c r="K92" s="1502" t="n"/>
      <c r="L92" s="1502" t="n"/>
    </row>
    <row r="93" ht="15" customHeight="1" s="882">
      <c r="A93" s="1488" t="n">
        <v>30</v>
      </c>
      <c r="B93" s="1501" t="n"/>
      <c r="C93" s="1497" t="inlineStr">
        <is>
          <t xml:space="preserve">TEST TUBING AGAINST OPEN HOLE TO 0.65 PSI/FT OR MAX 1000 PSI  OR 3 BPM W/CMT UNIT. </t>
        </is>
      </c>
      <c r="D93" s="1501" t="n"/>
      <c r="E93" s="1501" t="n"/>
      <c r="F93" s="1501" t="n"/>
      <c r="G93" s="1501" t="n"/>
      <c r="H93" s="1501" t="n"/>
      <c r="I93" s="1501" t="n"/>
      <c r="J93" s="1501" t="n"/>
      <c r="K93" s="1501" t="n"/>
      <c r="L93" s="1502" t="n"/>
    </row>
    <row r="94" ht="15" customFormat="1" customHeight="1" s="1495">
      <c r="A94" s="1488" t="n"/>
      <c r="B94" s="1497" t="n"/>
      <c r="C94" s="1498" t="inlineStr">
        <is>
          <t>● OPEN SOV (ANNULUS VALVE). ENSURE ANNULUS IS FULL AND OBSERVE ANNULUS FOR RETURNS.</t>
        </is>
      </c>
      <c r="D94" s="1498" t="n"/>
      <c r="E94" s="1498" t="n"/>
      <c r="F94" s="1498" t="n"/>
      <c r="G94" s="1498" t="n"/>
      <c r="H94" s="1498" t="n"/>
      <c r="I94" s="1498" t="n"/>
      <c r="J94" s="1498" t="n"/>
      <c r="K94" s="1498" t="n"/>
      <c r="L94" s="1498" t="n"/>
    </row>
    <row r="95" ht="15" customHeight="1" s="882">
      <c r="A95" s="1488" t="n">
        <v>31</v>
      </c>
      <c r="B95" s="1501" t="n"/>
      <c r="C95" s="1498" t="inlineStr">
        <is>
          <t>PRESSURE TEST ANNULUS TO 3700 PSI/30MINS, OK W/CMT UNIT.</t>
        </is>
      </c>
      <c r="D95" s="1498" t="n"/>
      <c r="E95" s="1498" t="n"/>
      <c r="F95" s="1498" t="n"/>
      <c r="G95" s="1502" t="n"/>
      <c r="H95" s="1502" t="n"/>
      <c r="I95" s="1502" t="n"/>
      <c r="J95" s="1502" t="n"/>
      <c r="K95" s="1502" t="n"/>
      <c r="L95" s="1502" t="n"/>
    </row>
    <row r="96" ht="15" customFormat="1" customHeight="1" s="1495">
      <c r="A96" s="1488" t="n"/>
      <c r="B96" s="1497" t="n"/>
      <c r="C96" s="1498" t="inlineStr">
        <is>
          <t>● OBSERVE TBG STRING FOR RETURNS.</t>
        </is>
      </c>
      <c r="D96" s="1498" t="n"/>
      <c r="E96" s="1498" t="n"/>
      <c r="F96" s="1498" t="n"/>
      <c r="G96" s="1498" t="n"/>
      <c r="H96" s="1498" t="n"/>
      <c r="I96" s="1498" t="n"/>
      <c r="J96" s="1498" t="n"/>
      <c r="K96" s="1498" t="n"/>
      <c r="L96" s="1498" t="n"/>
    </row>
    <row r="97" ht="15" customHeight="1" s="882">
      <c r="A97" s="1488" t="n">
        <v>32</v>
      </c>
      <c r="B97" s="1501" t="n"/>
      <c r="C97" s="1502" t="inlineStr">
        <is>
          <t xml:space="preserve"> BLEED OFF C/ LINE TO ZERO, BACK OUT AND L/D LANDING JT.  INSTALL NRV IN TBG HGR.</t>
        </is>
      </c>
      <c r="D97" s="1502" t="n"/>
      <c r="E97" s="1502" t="n"/>
      <c r="F97" s="1502" t="n"/>
      <c r="G97" s="1502" t="n"/>
      <c r="H97" s="1502" t="n"/>
      <c r="I97" s="1502" t="n"/>
      <c r="J97" s="1502" t="n"/>
      <c r="K97" s="1502" t="n"/>
      <c r="L97" s="1502" t="n"/>
    </row>
    <row r="98" ht="15" customFormat="1" customHeight="1" s="1495">
      <c r="A98" s="1488" t="n"/>
      <c r="B98" s="1497" t="n"/>
      <c r="C98" s="1498" t="inlineStr">
        <is>
          <t>● CHECK LANDING JT THREADS, CLEAN, DOPE &amp; INSTALL CLEAN PROTECTORS ON PIN &amp; BOX</t>
        </is>
      </c>
      <c r="D98" s="1498" t="n"/>
      <c r="E98" s="1498" t="n"/>
      <c r="F98" s="1498" t="n"/>
      <c r="G98" s="1498" t="n"/>
      <c r="H98" s="1498" t="n"/>
      <c r="I98" s="1498" t="n"/>
      <c r="J98" s="1498" t="n"/>
      <c r="K98" s="1498" t="n"/>
      <c r="L98" s="1498" t="n"/>
    </row>
    <row r="99" ht="15" customHeight="1" s="882">
      <c r="A99" s="1488" t="n">
        <v>33</v>
      </c>
      <c r="B99" s="1501" t="n"/>
      <c r="C99" s="1502" t="inlineStr">
        <is>
          <t>N/D BOP'S AS PER WELLHEAD PROCEDURE.</t>
        </is>
      </c>
      <c r="D99" s="1502" t="n"/>
      <c r="E99" s="1502" t="n"/>
      <c r="F99" s="1502" t="n"/>
      <c r="G99" s="1502" t="n"/>
      <c r="H99" s="1502" t="n"/>
      <c r="I99" s="1502" t="n"/>
      <c r="J99" s="1502" t="n"/>
      <c r="K99" s="1502" t="n"/>
      <c r="L99" s="1501" t="n"/>
    </row>
    <row r="100" ht="15" customHeight="1" s="882">
      <c r="A100" s="1488" t="n">
        <v>34</v>
      </c>
      <c r="B100" s="1501" t="n"/>
      <c r="C100" s="1502" t="inlineStr">
        <is>
          <t>N/U XMAS TREE &amp; TEST TBG HGR CAVITY AS PER PROCEDURE.</t>
        </is>
      </c>
      <c r="D100" s="1502" t="n"/>
      <c r="E100" s="1502" t="n"/>
      <c r="F100" s="1502" t="n"/>
      <c r="G100" s="1502" t="n"/>
      <c r="H100" s="1502" t="n"/>
      <c r="I100" s="1502" t="n"/>
      <c r="J100" s="1502" t="n"/>
      <c r="K100" s="1502" t="n"/>
      <c r="L100" s="1498" t="n"/>
    </row>
    <row r="101" ht="15" customHeight="1" s="882">
      <c r="A101" s="1488" t="n"/>
      <c r="B101" s="1501" t="n"/>
      <c r="C101" s="1506" t="inlineStr">
        <is>
          <t xml:space="preserve">● TEST THE CONTROL LINE AGAINST THE SAFETY VALVE TO 5000PSI/15 MINS AND ENSURE THE INDICATIONS OF OPENING OF SAFETY VALVE (STROKES) ARE VERY CLEAR. </t>
        </is>
      </c>
      <c r="L101" s="1498" t="n"/>
    </row>
    <row r="102" ht="15" customHeight="1" s="882">
      <c r="A102" s="1488" t="n"/>
      <c r="B102" s="1501" t="n"/>
      <c r="L102" s="1498" t="n"/>
    </row>
    <row r="103" ht="19.5" customHeight="1" s="882">
      <c r="A103" s="1488" t="n"/>
      <c r="B103" s="1501" t="n"/>
      <c r="C103" s="1506" t="inlineStr">
        <is>
          <t>● INSTALLATION &amp; TESTING THE TUBING HANGER AND X-TREE WILL BE MADE AS PER WELLHEAD MANUFACTURER PROCEDURE AND THEIR SERVICE ENGINEER RECOMMENDATIONS</t>
        </is>
      </c>
      <c r="L103" s="1498" t="n"/>
    </row>
    <row r="104" ht="15" customHeight="1" s="882">
      <c r="A104" s="1488" t="n"/>
      <c r="B104" s="1501" t="n"/>
      <c r="L104" s="1498" t="n"/>
    </row>
    <row r="105" ht="15" customHeight="1" s="882">
      <c r="A105" s="1488" t="n"/>
      <c r="B105" s="1501" t="n"/>
      <c r="C105" s="1498" t="inlineStr">
        <is>
          <t xml:space="preserve">● WELLHEAD ENGINEER TO ENSURE THE CLEANING OF THE PORT DURING TREE INSTALLATION. </t>
        </is>
      </c>
      <c r="D105" s="1498" t="n"/>
      <c r="E105" s="1498" t="n"/>
      <c r="F105" s="1498" t="n"/>
      <c r="G105" s="1498" t="n"/>
      <c r="H105" s="1498" t="n"/>
      <c r="I105" s="1498" t="n"/>
      <c r="J105" s="1498" t="n"/>
      <c r="K105" s="1498" t="n"/>
      <c r="L105" s="1507" t="n"/>
    </row>
    <row r="106" ht="15" customHeight="1" s="882">
      <c r="A106" s="1488" t="n"/>
      <c r="B106" s="1508" t="n"/>
      <c r="C106" s="1507" t="inlineStr">
        <is>
          <t xml:space="preserve">TEST ALL XMAS TREE COMPONENTS AS PER WELLHEAD ENGINEER PROCEDURE. </t>
        </is>
      </c>
      <c r="D106" s="1507" t="n"/>
      <c r="E106" s="1507" t="n"/>
      <c r="F106" s="1507" t="n"/>
      <c r="G106" s="1507" t="n"/>
      <c r="H106" s="1507" t="n"/>
      <c r="I106" s="1507" t="n"/>
      <c r="J106" s="1507" t="n"/>
      <c r="K106" s="1507" t="n"/>
      <c r="L106" s="1508" t="n"/>
    </row>
    <row r="107" ht="15" customFormat="1" customHeight="1" s="1509">
      <c r="A107" s="1488" t="n">
        <v>35</v>
      </c>
      <c r="B107" s="1510" t="n"/>
      <c r="C107" s="1510" t="inlineStr">
        <is>
          <t>REMOVE TEST PLUG AND INSTALL NRV</t>
        </is>
      </c>
      <c r="D107" s="1510" t="n"/>
      <c r="E107" s="1510" t="n"/>
      <c r="F107" s="1510" t="n"/>
      <c r="G107" s="1510" t="n"/>
      <c r="H107" s="1510" t="n"/>
      <c r="I107" s="1510" t="n"/>
      <c r="J107" s="1510" t="n"/>
      <c r="K107" s="1510" t="n"/>
      <c r="L107" s="1510" t="n"/>
    </row>
    <row r="108" ht="15" customFormat="1" customHeight="1" s="1509">
      <c r="A108" s="1488" t="n">
        <v>36</v>
      </c>
      <c r="B108" s="1510" t="n"/>
      <c r="C108" s="1510" t="inlineStr">
        <is>
          <t>SECURE WELL &amp; RELEASE RIG AS PER ADM</t>
        </is>
      </c>
      <c r="D108" s="1510" t="n"/>
      <c r="E108" s="1510" t="n"/>
      <c r="F108" s="1510" t="n"/>
      <c r="G108" s="1510" t="n"/>
      <c r="H108" s="1510" t="n"/>
      <c r="I108" s="1510" t="n"/>
      <c r="J108" s="1510" t="n"/>
      <c r="K108" s="1510" t="n"/>
      <c r="L108" s="1510" t="n"/>
    </row>
    <row r="109" ht="15" customHeight="1" s="882">
      <c r="A109" s="1511" t="n"/>
      <c r="B109" s="1508" t="n"/>
      <c r="C109" s="1508" t="n"/>
      <c r="D109" s="1508" t="n"/>
      <c r="E109" s="1508" t="n"/>
      <c r="F109" s="1508" t="n"/>
      <c r="G109" s="1508" t="n"/>
      <c r="H109" s="1508" t="n"/>
      <c r="I109" s="1508" t="n"/>
      <c r="J109" s="1508" t="n"/>
      <c r="K109" s="1508" t="n"/>
      <c r="L109" s="1508" t="n"/>
    </row>
    <row r="110" ht="14.25" customHeight="1" s="882">
      <c r="A110" s="1512" t="n"/>
      <c r="B110" s="1513" t="n"/>
      <c r="C110" s="1514" t="n"/>
      <c r="J110" s="1513" t="n"/>
      <c r="K110" s="1513" t="n"/>
    </row>
    <row r="111" ht="14.25" customHeight="1" s="882">
      <c r="A111" s="1512" t="n"/>
      <c r="B111" s="1513" t="n"/>
      <c r="C111" s="1513" t="n"/>
      <c r="D111" s="1513" t="n"/>
      <c r="E111" s="1513" t="n"/>
      <c r="F111" s="1513" t="n"/>
      <c r="G111" s="1513" t="n"/>
      <c r="H111" s="1513" t="n"/>
      <c r="I111" s="1513" t="n"/>
      <c r="J111" s="1513" t="n"/>
      <c r="K111" s="1513" t="n"/>
    </row>
    <row r="112" ht="14.25" customHeight="1" s="882">
      <c r="A112" s="1512" t="n"/>
      <c r="B112" s="1513" t="n"/>
      <c r="C112" s="1513" t="n"/>
      <c r="D112" s="1513" t="n"/>
      <c r="E112" s="1513" t="n"/>
      <c r="F112" s="1513" t="n"/>
      <c r="G112" s="1513" t="n"/>
      <c r="H112" s="1513" t="n"/>
      <c r="I112" s="1513" t="n"/>
      <c r="J112" s="1513" t="n"/>
      <c r="K112" s="1513" t="n"/>
    </row>
    <row r="117" ht="14.25" customHeight="1" s="882">
      <c r="A117" s="1512" t="n"/>
      <c r="B117" s="1513" t="n"/>
      <c r="C117" s="1513" t="n"/>
      <c r="D117" s="1513" t="n"/>
      <c r="E117" s="1513" t="n"/>
      <c r="F117" s="1513" t="n"/>
      <c r="G117" s="1513" t="n"/>
      <c r="H117" s="1513" t="n"/>
      <c r="I117" s="1513" t="n"/>
      <c r="J117" s="1513" t="n"/>
      <c r="K117" s="1513" t="n"/>
    </row>
  </sheetData>
  <mergeCells count="51">
    <mergeCell ref="I47:K47"/>
    <mergeCell ref="C110:I110"/>
    <mergeCell ref="A25:L25"/>
    <mergeCell ref="I66:K66"/>
    <mergeCell ref="B7:L7"/>
    <mergeCell ref="C44:K44"/>
    <mergeCell ref="C82:L82"/>
    <mergeCell ref="F37:I37"/>
    <mergeCell ref="I43:K43"/>
    <mergeCell ref="A18:L18"/>
    <mergeCell ref="A27:L27"/>
    <mergeCell ref="I58:K58"/>
    <mergeCell ref="A21:L21"/>
    <mergeCell ref="F60:L60"/>
    <mergeCell ref="A26:L26"/>
    <mergeCell ref="F49:L49"/>
    <mergeCell ref="C59:K59"/>
    <mergeCell ref="B12:L12"/>
    <mergeCell ref="I62:K62"/>
    <mergeCell ref="A15:L16"/>
    <mergeCell ref="C76:K76"/>
    <mergeCell ref="K37:L39"/>
    <mergeCell ref="F64:L64"/>
    <mergeCell ref="B11:L11"/>
    <mergeCell ref="A23:L23"/>
    <mergeCell ref="C101:K102"/>
    <mergeCell ref="C103:K104"/>
    <mergeCell ref="K32:L34"/>
    <mergeCell ref="A22:L22"/>
    <mergeCell ref="A17:L17"/>
    <mergeCell ref="I35:K35"/>
    <mergeCell ref="B14:L14"/>
    <mergeCell ref="F68:L68"/>
    <mergeCell ref="B8:L8"/>
    <mergeCell ref="A20:L20"/>
    <mergeCell ref="B13:L13"/>
    <mergeCell ref="I50:K50"/>
    <mergeCell ref="A19:L19"/>
    <mergeCell ref="F52:L53"/>
    <mergeCell ref="I31:K31"/>
    <mergeCell ref="B10:L10"/>
    <mergeCell ref="C56:K57"/>
    <mergeCell ref="F33:I33"/>
    <mergeCell ref="C41:K42"/>
    <mergeCell ref="B9:L9"/>
    <mergeCell ref="F45:L45"/>
    <mergeCell ref="A24:L24"/>
    <mergeCell ref="C75:L75"/>
    <mergeCell ref="B6:L6"/>
    <mergeCell ref="I70:K70"/>
    <mergeCell ref="F74:K74"/>
  </mergeCells>
  <printOptions horizontalCentered="0" verticalCentered="0" headings="0" gridLines="0" gridLinesSet="1"/>
  <pageMargins left="0" right="0.2" top="0.5" bottom="0" header="0" footer="0.511811023622047"/>
  <pageSetup orientation="portrait" paperSize="9" scale="100" fitToHeight="4"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rowBreaks count="1" manualBreakCount="1">
    <brk id="110" min="0" max="16383" man="1"/>
  </rowBreaks>
</worksheet>
</file>

<file path=xl/worksheets/sheet11.xml><?xml version="1.0" encoding="utf-8"?>
<worksheet xmlns="http://schemas.openxmlformats.org/spreadsheetml/2006/main">
  <sheetPr filterMode="0">
    <outlinePr summaryBelow="1" summaryRight="1"/>
    <pageSetUpPr fitToPage="1"/>
  </sheetPr>
  <dimension ref="A1:T954"/>
  <sheetViews>
    <sheetView showFormulas="0" showGridLines="0" showRowColHeaders="1" showZeros="1" rightToLeft="0" tabSelected="0" showOutlineSymbols="1" defaultGridColor="1" view="pageBreakPreview" topLeftCell="A14" colorId="64" zoomScale="140" zoomScaleNormal="55" zoomScalePageLayoutView="140" workbookViewId="0">
      <selection pane="topLeft" activeCell="A16" activeCellId="0" sqref="A11:S58"/>
    </sheetView>
  </sheetViews>
  <sheetFormatPr baseColWidth="8" defaultColWidth="8.78125" defaultRowHeight="12.75" customHeight="0" zeroHeight="0" outlineLevelRow="0"/>
  <cols>
    <col width="29.33" customWidth="1" style="1515" min="1" max="1"/>
    <col width="78.22" customWidth="1" style="1516" min="2" max="2"/>
    <col width="20.22" customWidth="1" style="1515" min="3" max="3"/>
    <col width="27.11" customWidth="1" style="1517" min="4" max="4"/>
    <col width="26.67" customWidth="1" style="1517" min="5" max="5"/>
    <col width="33.22" customWidth="1" style="1517" min="6" max="6"/>
    <col width="33.44" customWidth="1" style="1517" min="7" max="7"/>
    <col width="35.78" customWidth="1" style="1517" min="8" max="8"/>
    <col width="18.78" customWidth="1" style="1517" min="9" max="9"/>
    <col width="19.67" customWidth="1" style="1517" min="10" max="10"/>
    <col width="6.67" customWidth="1" style="1517" min="11" max="11"/>
    <col hidden="1" width="8.779999999999999" customWidth="1" style="1517" min="12" max="13"/>
    <col hidden="1" width="10.16" customWidth="1" style="1517" min="14" max="14"/>
    <col width="47.45" customWidth="1" style="1517" min="15" max="15"/>
    <col width="17.66" customWidth="1" style="1517" min="16" max="16"/>
    <col width="8.779999999999999" customWidth="1" style="1517" min="17" max="16384"/>
  </cols>
  <sheetData>
    <row r="1" ht="39.75" customHeight="1" s="882">
      <c r="A1" s="1518" t="n"/>
      <c r="B1" s="1519" t="inlineStr">
        <is>
          <t>1 of 1</t>
        </is>
      </c>
      <c r="C1" s="1520" t="inlineStr">
        <is>
          <t xml:space="preserve">Completion Runninng Tally </t>
        </is>
      </c>
      <c r="D1" s="962" t="n"/>
      <c r="E1" s="962" t="n"/>
      <c r="F1" s="962" t="n"/>
      <c r="G1" s="890" t="n"/>
      <c r="H1" s="1521" t="n"/>
      <c r="I1" s="1522" t="n"/>
    </row>
    <row r="2" ht="39.75" customHeight="1" s="882">
      <c r="A2" s="1523" t="n"/>
      <c r="B2" s="1519" t="n"/>
      <c r="C2" s="1523" t="inlineStr">
        <is>
          <t>CLASSIFICATION</t>
        </is>
      </c>
      <c r="D2" s="1524" t="inlineStr">
        <is>
          <t>DOCUMENT LEVEL</t>
        </is>
      </c>
      <c r="E2" s="1525" t="inlineStr">
        <is>
          <t>REVISION NUMBER</t>
        </is>
      </c>
      <c r="F2" s="1525" t="inlineStr">
        <is>
          <t>ISSUE DATE</t>
        </is>
      </c>
      <c r="G2" s="1525" t="inlineStr">
        <is>
          <t>PREPARED BY</t>
        </is>
      </c>
      <c r="H2" s="1526" t="inlineStr">
        <is>
          <t>APPROVAL</t>
        </is>
      </c>
      <c r="I2" s="1522" t="n"/>
    </row>
    <row r="3" ht="39.75" customHeight="1" s="882">
      <c r="A3" s="1527" t="inlineStr">
        <is>
          <t>AE- COMP -OEPS-L4-090</t>
        </is>
      </c>
      <c r="B3" s="1519" t="n"/>
      <c r="C3" s="1518" t="inlineStr">
        <is>
          <t>CONTROLLED</t>
        </is>
      </c>
      <c r="D3" s="1528" t="inlineStr">
        <is>
          <t>L5</t>
        </is>
      </c>
      <c r="E3" s="1529" t="inlineStr">
        <is>
          <t>FINAL</t>
        </is>
      </c>
      <c r="F3" s="1530" t="n">
        <v>43382</v>
      </c>
      <c r="G3" s="1529" t="inlineStr">
        <is>
          <t>WCT UAE</t>
        </is>
      </c>
      <c r="H3" s="1531" t="inlineStr">
        <is>
          <t>WCT TWIC</t>
        </is>
      </c>
      <c r="I3" s="1522" t="n"/>
      <c r="K3" s="1532" t="n"/>
    </row>
    <row r="4" ht="39.75" customHeight="1" s="882">
      <c r="A4" s="1533" t="n"/>
      <c r="B4" s="969" t="n"/>
      <c r="C4" s="969" t="n"/>
      <c r="D4" s="969" t="n"/>
      <c r="E4" s="969" t="n"/>
      <c r="F4" s="969" t="n"/>
      <c r="G4" s="969" t="n"/>
      <c r="H4" s="1033" t="n"/>
      <c r="I4" s="1534" t="n"/>
      <c r="O4" s="1535" t="n"/>
    </row>
    <row r="5" ht="97.5" customHeight="1" s="882">
      <c r="A5" s="1536" t="inlineStr">
        <is>
          <t xml:space="preserve">Customer </t>
        </is>
      </c>
      <c r="B5" s="1537">
        <f>_xlfn.CONCAT('MS2'!C2:D2)</f>
        <v/>
      </c>
      <c r="C5" s="1536" t="inlineStr">
        <is>
          <t xml:space="preserve">Start Date </t>
        </is>
      </c>
      <c r="D5" s="1538" t="n">
        <v>46183</v>
      </c>
      <c r="E5" s="1539" t="inlineStr">
        <is>
          <t xml:space="preserve">Completion Type </t>
        </is>
      </c>
      <c r="F5" s="1540" t="inlineStr">
        <is>
          <t>3-1/2" Single Oil Producer, Alloy-28 Tubing, 3-1/2" TRSV,Packer, W/
Gas Lift, W/ Actuated Wellhead, Y-Shape</t>
        </is>
      </c>
      <c r="G5" s="1539" t="inlineStr">
        <is>
          <t>Co.man Representative</t>
        </is>
      </c>
      <c r="H5" s="1541" t="inlineStr">
        <is>
          <t>IFEANYI / RASHED EASA</t>
        </is>
      </c>
      <c r="I5" s="1534" t="n"/>
    </row>
    <row r="6" ht="39.75" customHeight="1" s="882">
      <c r="A6" s="1536" t="inlineStr">
        <is>
          <t xml:space="preserve">Rig Name </t>
        </is>
      </c>
      <c r="B6" s="1537">
        <f>'MS2'!I8</f>
        <v/>
      </c>
      <c r="C6" s="1536" t="inlineStr">
        <is>
          <t xml:space="preserve">Field Name </t>
        </is>
      </c>
      <c r="D6" s="1542" t="inlineStr">
        <is>
          <t>BAB</t>
        </is>
      </c>
      <c r="E6" s="1536" t="inlineStr">
        <is>
          <t>Rig Type</t>
        </is>
      </c>
      <c r="F6" s="1543" t="inlineStr">
        <is>
          <t>LAND RIG</t>
        </is>
      </c>
      <c r="G6" s="1544" t="inlineStr">
        <is>
          <t xml:space="preserve">ADNOC Eng. </t>
        </is>
      </c>
      <c r="H6" s="1545" t="inlineStr">
        <is>
          <t xml:space="preserve">Mariam Rashed Alnuaimi </t>
        </is>
      </c>
      <c r="I6" s="1534" t="n"/>
      <c r="O6" s="1546" t="n"/>
      <c r="P6" s="1546" t="n"/>
    </row>
    <row r="7" ht="39.75" customHeight="1" s="882">
      <c r="A7" s="1536" t="inlineStr">
        <is>
          <t xml:space="preserve">Well Name </t>
        </is>
      </c>
      <c r="B7" s="1537">
        <f>'MS2'!I9</f>
        <v/>
      </c>
      <c r="C7" s="1536" t="inlineStr">
        <is>
          <t xml:space="preserve">Rig Location </t>
        </is>
      </c>
      <c r="D7" s="1547" t="inlineStr">
        <is>
          <t>ABU DHABI</t>
        </is>
      </c>
      <c r="E7" s="1548" t="inlineStr">
        <is>
          <t xml:space="preserve">Drilling Enginner </t>
        </is>
      </c>
      <c r="F7" s="1549" t="n"/>
      <c r="G7" s="1550" t="inlineStr">
        <is>
          <t xml:space="preserve">WFD Eng. </t>
        </is>
      </c>
      <c r="H7" s="1551">
        <f t="array" ref="H7:K7">'MS2'!F6:I6</f>
        <v/>
      </c>
      <c r="I7" s="1552" t="n">
        <v>0</v>
      </c>
      <c r="J7" s="1517" t="n">
        <v>0</v>
      </c>
      <c r="K7" s="1517" t="n">
        <v>0</v>
      </c>
      <c r="O7" s="1546" t="n"/>
      <c r="P7" s="1546" t="n"/>
    </row>
    <row r="8" ht="39.75" customFormat="1" customHeight="1" s="1553">
      <c r="A8" s="1554" t="inlineStr">
        <is>
          <t>Top Of Packr</t>
        </is>
      </c>
      <c r="B8" s="1555">
        <f>G175</f>
        <v/>
      </c>
      <c r="C8" s="1556" t="n"/>
      <c r="D8" s="1557" t="n"/>
      <c r="E8" s="1558" t="n"/>
      <c r="F8" s="1557" t="n"/>
      <c r="G8" s="1559" t="n"/>
      <c r="H8" s="1560" t="n"/>
      <c r="O8" s="1561" t="n"/>
      <c r="P8" s="1561" t="n"/>
    </row>
    <row r="9" ht="39.75" customHeight="1" s="882">
      <c r="A9" s="1554" t="inlineStr">
        <is>
          <t>Top Of Packr to Top of Element</t>
        </is>
      </c>
      <c r="B9" s="1562">
        <f>B8+2.75</f>
        <v/>
      </c>
      <c r="C9" s="1563" t="inlineStr">
        <is>
          <t>TOP DRIVE Wt.</t>
        </is>
      </c>
      <c r="D9" s="1564" t="inlineStr">
        <is>
          <t>5,000 LBS</t>
        </is>
      </c>
      <c r="E9" s="1565" t="inlineStr">
        <is>
          <t xml:space="preserve">PUW </t>
        </is>
      </c>
      <c r="F9" s="1566" t="n"/>
      <c r="G9" s="1567" t="inlineStr">
        <is>
          <t xml:space="preserve">Tubing Size, Weight, Grade </t>
        </is>
      </c>
      <c r="H9" s="1568" t="inlineStr">
        <is>
          <t>3-1/2" TUBING 9.2 LB/FT ALLOY 28 TSH BL</t>
        </is>
      </c>
      <c r="O9" s="1569" t="n"/>
      <c r="P9" s="1546" t="n"/>
    </row>
    <row r="10" ht="39.75" customHeight="1" s="882">
      <c r="A10" s="1554" t="inlineStr">
        <is>
          <t>Top of Packr to Top of CTR</t>
        </is>
      </c>
      <c r="B10" s="1570">
        <f>B9+5.98</f>
        <v/>
      </c>
      <c r="C10" s="1563" t="inlineStr">
        <is>
          <t>7" CASING COLLAR</t>
        </is>
      </c>
      <c r="D10" s="1571" t="inlineStr">
        <is>
          <t>6863.71' -6906.28'</t>
        </is>
      </c>
      <c r="E10" s="1563" t="inlineStr">
        <is>
          <t>SOW</t>
        </is>
      </c>
      <c r="F10" s="1572" t="n"/>
      <c r="G10" s="1573" t="inlineStr">
        <is>
          <t xml:space="preserve">Tubing Connection </t>
        </is>
      </c>
      <c r="H10" s="1574" t="inlineStr">
        <is>
          <t xml:space="preserve">TSH BLUE </t>
        </is>
      </c>
      <c r="I10" s="1535" t="n"/>
      <c r="O10" s="1569" t="n"/>
      <c r="P10" s="1546" t="n"/>
    </row>
    <row r="11" ht="39.75" customHeight="1" s="882">
      <c r="A11" s="1575" t="inlineStr">
        <is>
          <t>length of CTR Target</t>
        </is>
      </c>
      <c r="B11" s="1576">
        <f>B10+2</f>
        <v/>
      </c>
      <c r="C11" s="1577" t="inlineStr">
        <is>
          <t>Packer Away From Collar</t>
        </is>
      </c>
      <c r="D11" s="918" t="n"/>
      <c r="E11" s="1578">
        <f>I2-B9</f>
        <v/>
      </c>
      <c r="F11" s="1579" t="n"/>
      <c r="G11" s="1580" t="inlineStr">
        <is>
          <t>M/UP LOSS</t>
        </is>
      </c>
      <c r="H11" s="1581" t="n">
        <v>0.301</v>
      </c>
      <c r="I11" s="1582" t="n"/>
      <c r="O11" s="1534" t="n"/>
    </row>
    <row r="12" ht="39.75" customHeight="1" s="882">
      <c r="A12" s="1575" t="inlineStr">
        <is>
          <t>Top of Packer to PIP Tag</t>
        </is>
      </c>
      <c r="B12" s="1576">
        <f>B8+8.68</f>
        <v/>
      </c>
      <c r="C12" s="1583" t="n"/>
      <c r="D12" s="1584" t="n"/>
      <c r="E12" s="1584" t="n"/>
      <c r="F12" s="1584" t="n"/>
      <c r="G12" s="1580" t="inlineStr">
        <is>
          <t>3 1/2" V.TOP 9.2 ,L80</t>
        </is>
      </c>
      <c r="H12" s="1581" t="inlineStr">
        <is>
          <t xml:space="preserve">3 1/2" V.TOP 9.2 ,L80 TUBING </t>
        </is>
      </c>
      <c r="O12" s="1534" t="n"/>
    </row>
    <row r="13" ht="72.75" customFormat="1" customHeight="1" s="1585">
      <c r="A13" s="1586" t="inlineStr">
        <is>
          <t xml:space="preserve">Run No </t>
        </is>
      </c>
      <c r="B13" s="1586" t="n"/>
      <c r="C13" s="1586" t="inlineStr">
        <is>
          <t>Item Length [ft]</t>
        </is>
      </c>
      <c r="D13" s="1587" t="inlineStr">
        <is>
          <t>Net Length [ft]</t>
        </is>
      </c>
      <c r="E13" s="1588" t="inlineStr">
        <is>
          <t>Cum Length [ft]</t>
        </is>
      </c>
      <c r="F13" s="1588" t="inlineStr">
        <is>
          <t>Bottom Depth [ft]</t>
        </is>
      </c>
      <c r="G13" s="1588" t="inlineStr">
        <is>
          <t>Top Depth [ft]</t>
        </is>
      </c>
      <c r="H13" s="1589" t="inlineStr">
        <is>
          <t xml:space="preserve">Assembly number and equipment details </t>
        </is>
      </c>
      <c r="I13" s="1590" t="n"/>
    </row>
    <row r="14" ht="123" customFormat="1" customHeight="1" s="1591">
      <c r="A14" s="1592" t="inlineStr">
        <is>
          <t>A</t>
        </is>
      </c>
      <c r="B14" s="1593" t="inlineStr">
        <is>
          <t>UPPER CONN. 3-1/2" VAM TOP 9.2#PPF BOX VM 28 110 KSI
DESCRIPTION: WIRELINE ENTRY GUIDE
SN: 16339547-10-008
PN 2996481
SAP: 130010036277
SUPPLIER: WEATHERFORD</t>
        </is>
      </c>
      <c r="C14" s="1594" t="n">
        <v>0.6</v>
      </c>
      <c r="D14" s="1595">
        <f>C14</f>
        <v/>
      </c>
      <c r="E14" s="1596">
        <f>D14</f>
        <v/>
      </c>
      <c r="F14" s="1597" t="n">
        <v>11538.89</v>
      </c>
      <c r="G14" s="1597">
        <f>F14-D14</f>
        <v/>
      </c>
      <c r="H14" s="1598">
        <f>F423</f>
        <v/>
      </c>
      <c r="I14" s="1599" t="n"/>
      <c r="J14" s="1600" t="n"/>
      <c r="K14" s="1025" t="n"/>
      <c r="L14" s="1025" t="n"/>
      <c r="O14" s="1601" t="n"/>
    </row>
    <row r="15" ht="91.5" customFormat="1" customHeight="1" s="1591">
      <c r="A15" s="1172" t="n"/>
      <c r="B15" s="1593" t="inlineStr">
        <is>
          <t>UPPER CONN. 3-1/2" TSH BLUE BOX 9.2 PPF SN 28 110 KSI
DESCRIPTION: 5 FEET XOVER
SAP: 130005011340
SUPPLIER: TENARIS
LOWER CONN. 3-1/2" VAM TOP PIN 9.2 PPF SN 28 110 KSI</t>
        </is>
      </c>
      <c r="C15" s="1594" t="n">
        <v>4.96</v>
      </c>
      <c r="D15" s="1602">
        <f>C15</f>
        <v/>
      </c>
      <c r="E15" s="1603">
        <f>E14+D15</f>
        <v/>
      </c>
      <c r="F15" s="1603">
        <f>F14-D14</f>
        <v/>
      </c>
      <c r="G15" s="1604">
        <f>G14-D15</f>
        <v/>
      </c>
      <c r="H15" s="1605">
        <f>F14-H14</f>
        <v/>
      </c>
      <c r="I15" s="1606" t="n"/>
      <c r="J15" s="1600" t="n"/>
      <c r="K15" s="1607" t="n"/>
      <c r="L15" s="1607" t="n"/>
      <c r="O15" s="1608" t="n"/>
      <c r="P15" s="1609" t="n"/>
      <c r="Q15" s="1609" t="n"/>
      <c r="R15" s="1609" t="n"/>
      <c r="S15" s="1609" t="n"/>
      <c r="T15" s="1609" t="n"/>
    </row>
    <row r="16" ht="39" customFormat="1" customHeight="1" s="1591">
      <c r="A16" s="1610" t="inlineStr">
        <is>
          <t>JT.#1</t>
        </is>
      </c>
      <c r="B16" s="1610" t="inlineStr">
        <is>
          <t>3 1/2" TSH</t>
        </is>
      </c>
      <c r="C16" s="1611" t="n">
        <v>31</v>
      </c>
      <c r="D16" s="1612">
        <f>C16-0.301</f>
        <v/>
      </c>
      <c r="E16" s="1613">
        <f>E15+D16</f>
        <v/>
      </c>
      <c r="F16" s="1613">
        <f>F15-D15</f>
        <v/>
      </c>
      <c r="G16" s="1614">
        <f>G15-D16</f>
        <v/>
      </c>
      <c r="H16" s="1615" t="n"/>
      <c r="O16" s="1608" t="n"/>
      <c r="P16" s="1609" t="n"/>
      <c r="Q16" s="1609" t="n"/>
      <c r="R16" s="1609" t="n"/>
      <c r="S16" s="1609" t="n"/>
      <c r="T16" s="1609" t="n"/>
    </row>
    <row r="17" ht="39.75" customFormat="1" customHeight="1" s="1591">
      <c r="A17" s="1610" t="inlineStr">
        <is>
          <t>JT.#2</t>
        </is>
      </c>
      <c r="B17" s="1610" t="inlineStr">
        <is>
          <t>3 1/2" TSH</t>
        </is>
      </c>
      <c r="C17" s="1611" t="n">
        <v>31</v>
      </c>
      <c r="D17" s="1612">
        <f>C17-0.301</f>
        <v/>
      </c>
      <c r="E17" s="1613">
        <f>E16+D17</f>
        <v/>
      </c>
      <c r="F17" s="1613">
        <f>F16-D16</f>
        <v/>
      </c>
      <c r="G17" s="1614">
        <f>G16-D17</f>
        <v/>
      </c>
      <c r="H17" s="1616" t="n"/>
      <c r="O17" s="1608" t="n"/>
      <c r="P17" s="1609" t="n"/>
      <c r="Q17" s="1609" t="n"/>
      <c r="R17" s="1609" t="n"/>
      <c r="S17" s="1609" t="n"/>
      <c r="T17" s="1609" t="n"/>
    </row>
    <row r="18" ht="39.75" customFormat="1" customHeight="1" s="1591">
      <c r="A18" s="1610" t="inlineStr">
        <is>
          <t>JT.#3</t>
        </is>
      </c>
      <c r="B18" s="1610" t="inlineStr">
        <is>
          <t>3 1/2" TSH</t>
        </is>
      </c>
      <c r="C18" s="1611" t="n">
        <v>31</v>
      </c>
      <c r="D18" s="1612">
        <f>C18-0.301</f>
        <v/>
      </c>
      <c r="E18" s="1613">
        <f>E17+D18</f>
        <v/>
      </c>
      <c r="F18" s="1613">
        <f>F17-D17</f>
        <v/>
      </c>
      <c r="G18" s="1614">
        <f>G17-D18</f>
        <v/>
      </c>
      <c r="H18" s="1615" t="n"/>
      <c r="I18" s="1617" t="n"/>
      <c r="O18" s="1608" t="n"/>
      <c r="P18" s="1609" t="n"/>
      <c r="Q18" s="1609" t="n"/>
      <c r="R18" s="1609" t="n"/>
      <c r="S18" s="1609" t="n"/>
      <c r="T18" s="1609" t="n"/>
    </row>
    <row r="19" ht="39.75" customFormat="1" customHeight="1" s="1591">
      <c r="A19" s="1610" t="inlineStr">
        <is>
          <t>JT.#4</t>
        </is>
      </c>
      <c r="B19" s="1610" t="inlineStr">
        <is>
          <t>3 1/2" TSH</t>
        </is>
      </c>
      <c r="C19" s="1611" t="n">
        <v>31</v>
      </c>
      <c r="D19" s="1612">
        <f>C19-0.301</f>
        <v/>
      </c>
      <c r="E19" s="1613">
        <f>E18+D19</f>
        <v/>
      </c>
      <c r="F19" s="1613">
        <f>F18-D18</f>
        <v/>
      </c>
      <c r="G19" s="1614">
        <f>G18-D19</f>
        <v/>
      </c>
      <c r="H19" s="1616" t="n"/>
      <c r="O19" s="1608" t="n"/>
      <c r="P19" s="1609" t="n"/>
      <c r="Q19" s="1609" t="n"/>
      <c r="R19" s="1609" t="n"/>
      <c r="S19" s="1609" t="n"/>
      <c r="T19" s="1609" t="n"/>
    </row>
    <row r="20" ht="39.75" customFormat="1" customHeight="1" s="1591">
      <c r="A20" s="1610" t="inlineStr">
        <is>
          <t>JT.#5</t>
        </is>
      </c>
      <c r="B20" s="1610" t="inlineStr">
        <is>
          <t>3 1/2" TSH</t>
        </is>
      </c>
      <c r="C20" s="1611" t="n">
        <v>31</v>
      </c>
      <c r="D20" s="1612">
        <f>C20-0.301</f>
        <v/>
      </c>
      <c r="E20" s="1613">
        <f>E19+D20</f>
        <v/>
      </c>
      <c r="F20" s="1613">
        <f>F19-D19</f>
        <v/>
      </c>
      <c r="G20" s="1614">
        <f>G19-D20</f>
        <v/>
      </c>
      <c r="H20" s="1618" t="n"/>
      <c r="I20" s="1619" t="n"/>
      <c r="K20" s="1620" t="n"/>
      <c r="O20" s="1608" t="n"/>
      <c r="P20" s="1609" t="n"/>
      <c r="Q20" s="1609" t="n"/>
      <c r="R20" s="1609" t="n"/>
      <c r="S20" s="1609" t="n"/>
      <c r="T20" s="1609" t="n"/>
    </row>
    <row r="21" ht="39.75" customFormat="1" customHeight="1" s="1591">
      <c r="A21" s="1621" t="inlineStr">
        <is>
          <t>SP-01</t>
        </is>
      </c>
      <c r="B21" s="1622" t="inlineStr">
        <is>
          <t>UPPER CONN. 3-1/2" VAM TOP BOX 9.2 PPF SN 28 110 KSI
DESCRIPTION: 5 FEET XOVER
SAP: 130005011340
SUPPLIER: TENARIS
UPPER CONN. 3-1/2" TSH BLUE PIN 9.2 PPF SN 28 110 KSI</t>
        </is>
      </c>
      <c r="C21" s="1623" t="n">
        <v>5.18</v>
      </c>
      <c r="D21" s="1612">
        <f>C21-0.301</f>
        <v/>
      </c>
      <c r="E21" s="1613">
        <f>E20+D21</f>
        <v/>
      </c>
      <c r="F21" s="1613">
        <f>F20-D20</f>
        <v/>
      </c>
      <c r="G21" s="1614">
        <f>G20-D21</f>
        <v/>
      </c>
      <c r="H21" s="1618" t="n"/>
      <c r="I21" s="1619" t="n"/>
      <c r="K21" s="1620" t="n"/>
      <c r="O21" s="1608" t="n"/>
      <c r="P21" s="1609" t="n"/>
      <c r="Q21" s="1609" t="n"/>
      <c r="R21" s="1609" t="n"/>
      <c r="S21" s="1609" t="n"/>
      <c r="T21" s="1609" t="n"/>
    </row>
    <row r="22" ht="39.75" customFormat="1" customHeight="1" s="1591">
      <c r="A22" s="1624" t="n"/>
      <c r="B22" s="1622" t="inlineStr">
        <is>
          <t>UPPER CONN.
3-1/2 9.2 PPF, 110KSI VAM TOP BOX
DESCRIPTION:
PCKR, SWEL,6,3-1/2,A925, OIL
P/N: 2991712
S/N: RDT-UAE-1003629
SAP: 130010039426
SUPPLIER: WFD-REACTIVE
LOWER CONN.</t>
        </is>
      </c>
      <c r="C22" s="1623" t="n">
        <v>30.88</v>
      </c>
      <c r="D22" s="1612">
        <f>C22-0.301</f>
        <v/>
      </c>
      <c r="E22" s="1613">
        <f>E21+D22</f>
        <v/>
      </c>
      <c r="F22" s="1613">
        <f>F21-D21</f>
        <v/>
      </c>
      <c r="G22" s="1614">
        <f>G21-D22</f>
        <v/>
      </c>
      <c r="H22" s="1618" t="n"/>
      <c r="I22" s="1619" t="n"/>
      <c r="K22" s="1620" t="n"/>
      <c r="O22" s="1608" t="n"/>
      <c r="P22" s="1609" t="n"/>
      <c r="Q22" s="1609" t="n"/>
      <c r="R22" s="1609" t="n"/>
      <c r="S22" s="1609" t="n"/>
      <c r="T22" s="1609" t="n"/>
    </row>
    <row r="23" ht="39.75" customFormat="1" customHeight="1" s="1591">
      <c r="A23" s="1172" t="n"/>
      <c r="B23" s="1622" t="inlineStr">
        <is>
          <t>UPPER CONN . 3-1/2" TSH BLUE BOX 9.2 PPF SN 28 110 KSI
DESCRIPTION: 3 FEET XOVER
SAP: 130005011337
SUPPLIER: TENARIS
LOWER CONN. 3-1/2" VAM TOP PIN 9.2 PPF SN 28 110 KSI</t>
        </is>
      </c>
      <c r="C23" s="1623" t="n">
        <v>2.78</v>
      </c>
      <c r="D23" s="1612">
        <f>C23-0.301</f>
        <v/>
      </c>
      <c r="E23" s="1613">
        <f>E22+D23</f>
        <v/>
      </c>
      <c r="F23" s="1613">
        <f>F22-D22</f>
        <v/>
      </c>
      <c r="G23" s="1614">
        <f>G22-D23</f>
        <v/>
      </c>
      <c r="H23" s="1618" t="n"/>
      <c r="I23" s="1619" t="n"/>
      <c r="K23" s="1620" t="n"/>
      <c r="O23" s="1608" t="n"/>
      <c r="P23" s="1609" t="n"/>
      <c r="Q23" s="1609" t="n"/>
      <c r="R23" s="1609" t="n"/>
      <c r="S23" s="1609" t="n"/>
      <c r="T23" s="1609" t="n"/>
    </row>
    <row r="24" ht="39.75" customFormat="1" customHeight="1" s="1591">
      <c r="A24" s="1610" t="inlineStr">
        <is>
          <t>JT.#6</t>
        </is>
      </c>
      <c r="B24" s="1610" t="inlineStr">
        <is>
          <t>3 1/2" TSH</t>
        </is>
      </c>
      <c r="C24" s="1611" t="n">
        <v>31</v>
      </c>
      <c r="D24" s="1612">
        <f>C24-0.301</f>
        <v/>
      </c>
      <c r="E24" s="1613">
        <f>E23+D24</f>
        <v/>
      </c>
      <c r="F24" s="1613">
        <f>F23-D23</f>
        <v/>
      </c>
      <c r="G24" s="1614">
        <f>G23-D24</f>
        <v/>
      </c>
      <c r="H24" s="1615" t="n"/>
      <c r="O24" s="1608" t="n"/>
      <c r="P24" s="1609" t="n"/>
      <c r="Q24" s="1609" t="n"/>
      <c r="R24" s="1609" t="n"/>
      <c r="S24" s="1609" t="n"/>
      <c r="T24" s="1609" t="n"/>
    </row>
    <row r="25" ht="39.75" customFormat="1" customHeight="1" s="1591">
      <c r="A25" s="1610" t="inlineStr">
        <is>
          <t>JT.#7</t>
        </is>
      </c>
      <c r="B25" s="1610" t="inlineStr">
        <is>
          <t>3 1/2" TSH</t>
        </is>
      </c>
      <c r="C25" s="1611" t="n">
        <v>31</v>
      </c>
      <c r="D25" s="1612">
        <f>C25-0.301</f>
        <v/>
      </c>
      <c r="E25" s="1613">
        <f>E24+D25</f>
        <v/>
      </c>
      <c r="F25" s="1613">
        <f>F24-D24</f>
        <v/>
      </c>
      <c r="G25" s="1614">
        <f>G24-D25</f>
        <v/>
      </c>
      <c r="H25" s="1615" t="n"/>
      <c r="O25" s="1608" t="n"/>
      <c r="P25" s="1609" t="n"/>
      <c r="Q25" s="1609" t="n"/>
      <c r="R25" s="1609" t="n"/>
      <c r="S25" s="1609" t="n"/>
      <c r="T25" s="1609" t="n"/>
    </row>
    <row r="26" ht="39.75" customFormat="1" customHeight="1" s="1591">
      <c r="A26" s="1610" t="inlineStr">
        <is>
          <t>JT.#8</t>
        </is>
      </c>
      <c r="B26" s="1610" t="inlineStr">
        <is>
          <t>3 1/2" TSH</t>
        </is>
      </c>
      <c r="C26" s="1611" t="n">
        <v>31</v>
      </c>
      <c r="D26" s="1612">
        <f>C26-0.301</f>
        <v/>
      </c>
      <c r="E26" s="1613">
        <f>E25+D26</f>
        <v/>
      </c>
      <c r="F26" s="1613">
        <f>F25-D25</f>
        <v/>
      </c>
      <c r="G26" s="1614">
        <f>G25-D26</f>
        <v/>
      </c>
      <c r="H26" s="1615" t="n"/>
      <c r="O26" s="1608" t="n"/>
      <c r="P26" s="1609" t="n"/>
      <c r="Q26" s="1609" t="n"/>
      <c r="R26" s="1609" t="n"/>
      <c r="S26" s="1609" t="n"/>
      <c r="T26" s="1609" t="n"/>
    </row>
    <row r="27" ht="39" customFormat="1" customHeight="1" s="1591">
      <c r="A27" s="1610" t="inlineStr">
        <is>
          <t>JT.#9</t>
        </is>
      </c>
      <c r="B27" s="1610" t="inlineStr">
        <is>
          <t>3 1/2" TSH</t>
        </is>
      </c>
      <c r="C27" s="1611" t="n">
        <v>31</v>
      </c>
      <c r="D27" s="1612">
        <f>C27-0.301</f>
        <v/>
      </c>
      <c r="E27" s="1613">
        <f>E26+D27</f>
        <v/>
      </c>
      <c r="F27" s="1613">
        <f>F26-D26</f>
        <v/>
      </c>
      <c r="G27" s="1614">
        <f>G26-D27</f>
        <v/>
      </c>
      <c r="H27" s="1615" t="n"/>
      <c r="O27" s="1608" t="n"/>
      <c r="P27" s="1609" t="n"/>
      <c r="Q27" s="1609" t="n"/>
      <c r="R27" s="1609" t="n"/>
      <c r="S27" s="1609" t="n"/>
      <c r="T27" s="1609" t="n"/>
    </row>
    <row r="28" ht="39.75" customFormat="1" customHeight="1" s="1591">
      <c r="A28" s="1610" t="inlineStr">
        <is>
          <t>JT.#10</t>
        </is>
      </c>
      <c r="B28" s="1610" t="inlineStr">
        <is>
          <t>3 1/2" TSH</t>
        </is>
      </c>
      <c r="C28" s="1611" t="n">
        <v>31</v>
      </c>
      <c r="D28" s="1612">
        <f>C28-0.301</f>
        <v/>
      </c>
      <c r="E28" s="1613">
        <f>E27+D28</f>
        <v/>
      </c>
      <c r="F28" s="1613">
        <f>F27-D27</f>
        <v/>
      </c>
      <c r="G28" s="1614">
        <f>G27-D28</f>
        <v/>
      </c>
      <c r="H28" s="1615" t="n"/>
      <c r="O28" s="1608" t="n"/>
      <c r="P28" s="1609" t="n"/>
      <c r="Q28" s="1609" t="n"/>
      <c r="R28" s="1609" t="n"/>
      <c r="S28" s="1609" t="n"/>
      <c r="T28" s="1609" t="n"/>
    </row>
    <row r="29" ht="39.75" customFormat="1" customHeight="1" s="1591">
      <c r="A29" s="1610" t="inlineStr">
        <is>
          <t>JT.#11</t>
        </is>
      </c>
      <c r="B29" s="1610" t="inlineStr">
        <is>
          <t>3 1/2" TSH</t>
        </is>
      </c>
      <c r="C29" s="1611" t="n">
        <v>31</v>
      </c>
      <c r="D29" s="1612">
        <f>C29-0.301</f>
        <v/>
      </c>
      <c r="E29" s="1613">
        <f>E28+D29</f>
        <v/>
      </c>
      <c r="F29" s="1613">
        <f>F28-D28</f>
        <v/>
      </c>
      <c r="G29" s="1614">
        <f>G28-D29</f>
        <v/>
      </c>
      <c r="H29" s="1615" t="n"/>
      <c r="O29" s="1608" t="n"/>
    </row>
    <row r="30" ht="39.75" customFormat="1" customHeight="1" s="1591">
      <c r="A30" s="1610" t="inlineStr">
        <is>
          <t>JT.#12</t>
        </is>
      </c>
      <c r="B30" s="1610" t="inlineStr">
        <is>
          <t>3 1/2" TSH</t>
        </is>
      </c>
      <c r="C30" s="1611" t="n">
        <v>31</v>
      </c>
      <c r="D30" s="1612">
        <f>C30-0.301</f>
        <v/>
      </c>
      <c r="E30" s="1613">
        <f>E29+D30</f>
        <v/>
      </c>
      <c r="F30" s="1613">
        <f>F29-D29</f>
        <v/>
      </c>
      <c r="G30" s="1614">
        <f>G29-D30</f>
        <v/>
      </c>
      <c r="H30" s="1615" t="n"/>
      <c r="O30" s="1608" t="n"/>
    </row>
    <row r="31" ht="39.75" customFormat="1" customHeight="1" s="1591">
      <c r="A31" s="1610" t="inlineStr">
        <is>
          <t>JT.#13</t>
        </is>
      </c>
      <c r="B31" s="1610" t="inlineStr">
        <is>
          <t>3 1/2" TSH</t>
        </is>
      </c>
      <c r="C31" s="1611" t="n">
        <v>31</v>
      </c>
      <c r="D31" s="1612">
        <f>C31-0.301</f>
        <v/>
      </c>
      <c r="E31" s="1613">
        <f>E30+D31</f>
        <v/>
      </c>
      <c r="F31" s="1613">
        <f>F30-D30</f>
        <v/>
      </c>
      <c r="G31" s="1614">
        <f>G30-D31</f>
        <v/>
      </c>
      <c r="H31" s="1615" t="n"/>
      <c r="O31" s="1608" t="n"/>
    </row>
    <row r="32" ht="39.75" customFormat="1" customHeight="1" s="1591">
      <c r="A32" s="1610" t="inlineStr">
        <is>
          <t>JT.#14</t>
        </is>
      </c>
      <c r="B32" s="1610" t="inlineStr">
        <is>
          <t>3 1/2" TSH</t>
        </is>
      </c>
      <c r="C32" s="1611" t="n">
        <v>31</v>
      </c>
      <c r="D32" s="1612">
        <f>C32-0.301</f>
        <v/>
      </c>
      <c r="E32" s="1613">
        <f>E31+D32</f>
        <v/>
      </c>
      <c r="F32" s="1613">
        <f>F31-D31</f>
        <v/>
      </c>
      <c r="G32" s="1614">
        <f>G31-D32</f>
        <v/>
      </c>
      <c r="H32" s="1615" t="n"/>
    </row>
    <row r="33" ht="39.75" customFormat="1" customHeight="1" s="1591">
      <c r="A33" s="1610" t="inlineStr">
        <is>
          <t>JT.#15</t>
        </is>
      </c>
      <c r="B33" s="1610" t="inlineStr">
        <is>
          <t>3 1/2" TSH</t>
        </is>
      </c>
      <c r="C33" s="1611" t="n">
        <v>31</v>
      </c>
      <c r="D33" s="1612">
        <f>C33-0.301</f>
        <v/>
      </c>
      <c r="E33" s="1613">
        <f>E32+D33</f>
        <v/>
      </c>
      <c r="F33" s="1613">
        <f>F32-D32</f>
        <v/>
      </c>
      <c r="G33" s="1614">
        <f>G32-D33</f>
        <v/>
      </c>
      <c r="H33" s="1615" t="n"/>
    </row>
    <row r="34" ht="39.75" customFormat="1" customHeight="1" s="1591">
      <c r="A34" s="1625" t="inlineStr">
        <is>
          <t>B</t>
        </is>
      </c>
      <c r="B34" s="1626" t="inlineStr">
        <is>
          <t>UPPER CONN. 3-1/2" VAM TOP BOX 9.2 PPF SN 28 110 KSI
DESCRIPTION: 5 FEET XOVER
SAP: 130005011340
SUPPLIER: TENARIS
LOWER CONN. 3-1/2" TSH BLUE PIN 9.2 PPF SN 28 110 KSI</t>
        </is>
      </c>
      <c r="C34" s="1627" t="n">
        <v>5.18</v>
      </c>
      <c r="D34" s="1612">
        <f>C34-0.301</f>
        <v/>
      </c>
      <c r="E34" s="1613">
        <f>E33+D34</f>
        <v/>
      </c>
      <c r="F34" s="1613">
        <f>F33-D33</f>
        <v/>
      </c>
      <c r="G34" s="1614">
        <f>G33-D34</f>
        <v/>
      </c>
      <c r="H34" s="1615" t="n"/>
    </row>
    <row r="35" ht="39.75" customFormat="1" customHeight="1" s="1591">
      <c r="A35" s="1624" t="n"/>
      <c r="B35" s="1626" t="inlineStr">
        <is>
          <t>UPPER CONN. 3-1/2" SENTINEL PRIME BOX 9.2 PPF TX28-110 KSI
DESCRIPTION: 5 FEET XOVER
SAP: 130013006385
SUPPLIER: TBX
LOWER CONN. 3-1/2" VAM TOP PIN 9.2 PPF TX28- 110 KSI</t>
        </is>
      </c>
      <c r="C35" s="1627" t="n">
        <v>4.91</v>
      </c>
      <c r="D35" s="1612">
        <f>C35-0.301</f>
        <v/>
      </c>
      <c r="E35" s="1613">
        <f>E34+D35</f>
        <v/>
      </c>
      <c r="F35" s="1613">
        <f>F34-D34</f>
        <v/>
      </c>
      <c r="G35" s="1614">
        <f>G34-D35</f>
        <v/>
      </c>
      <c r="H35" s="1615" t="n"/>
    </row>
    <row r="36" ht="39.75" customFormat="1" customHeight="1" s="1591">
      <c r="A36" s="1624" t="n"/>
      <c r="B36" s="1626" t="inlineStr">
        <is>
          <t>UPPER CONN. 3-1/2" SENTINEL PRIME 9.2#PPF INC 925 BOX
DESCRIPTION: NINE ENERGY MULTICYCLE BARRIER DEVICE
7 CYCLES REMAINING
P/N: 3207251
S/N: 100 086 877
SAP: 130010036003 SUPPLIER: NINE ENERGY
LOWER CONN- 3 1/2 9.2 SENTINEL PRIME 9.2 PPF INC 925 PIN</t>
        </is>
      </c>
      <c r="C36" s="1627" t="n">
        <v>5.22</v>
      </c>
      <c r="D36" s="1612">
        <f>C36-0.301</f>
        <v/>
      </c>
      <c r="E36" s="1613">
        <f>E35+D36</f>
        <v/>
      </c>
      <c r="F36" s="1613">
        <f>F35-D35</f>
        <v/>
      </c>
      <c r="G36" s="1614">
        <f>G35-D36</f>
        <v/>
      </c>
      <c r="H36" s="1615" t="n"/>
    </row>
    <row r="37" ht="39.75" customFormat="1" customHeight="1" s="1591">
      <c r="A37" s="1624" t="n"/>
      <c r="B37" s="1626" t="inlineStr">
        <is>
          <t>UPPER CONN. 3-1/2" VAM TOP BOX 9.2 PPF TX28- 110 KSI
DESCRIPTION: 5 FEET XOVER
SAP: 130013006383
SUPPLIER: TBX
LOWER CONN -3-1/2" SENTINEL PRIME PIN 9.2 PPF TX28-110 KSI</t>
        </is>
      </c>
      <c r="C37" s="1627" t="n">
        <v>4.8</v>
      </c>
      <c r="D37" s="1612">
        <f>C37-0.301</f>
        <v/>
      </c>
      <c r="E37" s="1613">
        <f>E36+D37</f>
        <v/>
      </c>
      <c r="F37" s="1613">
        <f>F36-D36</f>
        <v/>
      </c>
      <c r="G37" s="1614">
        <f>G36-D37</f>
        <v/>
      </c>
      <c r="H37" s="1615" t="n"/>
    </row>
    <row r="38" ht="39.75" customFormat="1" customHeight="1" s="1591">
      <c r="A38" s="1172" t="n"/>
      <c r="B38" s="1626" t="inlineStr">
        <is>
          <t>UPPER CONN. 3-1/2" TSH BLUE BOX 9.2 PPF SN 28 110 KSI
DESCRIPTION: 10 FEET XOVER
SAP: 130005011444
SUPPLIER: TENARIS
LOWER CONN. 3-1/2" VAM TOP PIN 9.2 PPF SN 28 110 KSI</t>
        </is>
      </c>
      <c r="C38" s="1627" t="n">
        <v>9.83</v>
      </c>
      <c r="D38" s="1612">
        <f>C38-0.301</f>
        <v/>
      </c>
      <c r="E38" s="1613">
        <f>E37+D38</f>
        <v/>
      </c>
      <c r="F38" s="1613">
        <f>F37-D37</f>
        <v/>
      </c>
      <c r="G38" s="1614">
        <f>G37-D38</f>
        <v/>
      </c>
      <c r="H38" s="1615" t="n"/>
    </row>
    <row r="39" ht="39.75" customFormat="1" customHeight="1" s="1591">
      <c r="A39" s="1610" t="inlineStr">
        <is>
          <t>JT.#16</t>
        </is>
      </c>
      <c r="B39" s="1610" t="inlineStr">
        <is>
          <t>3 1/2" TSH</t>
        </is>
      </c>
      <c r="C39" s="1611" t="n">
        <v>31</v>
      </c>
      <c r="D39" s="1612">
        <f>C39-0.301</f>
        <v/>
      </c>
      <c r="E39" s="1613">
        <f>E38+D39</f>
        <v/>
      </c>
      <c r="F39" s="1613">
        <f>F38-D38</f>
        <v/>
      </c>
      <c r="G39" s="1614">
        <f>G38-D39</f>
        <v/>
      </c>
      <c r="H39" s="1615" t="n"/>
    </row>
    <row r="40" ht="39.75" customFormat="1" customHeight="1" s="1591">
      <c r="A40" s="1610" t="inlineStr">
        <is>
          <t>JT.#17</t>
        </is>
      </c>
      <c r="B40" s="1610" t="inlineStr">
        <is>
          <t>3 1/2" TSH</t>
        </is>
      </c>
      <c r="C40" s="1611" t="n">
        <v>31</v>
      </c>
      <c r="D40" s="1612">
        <f>C40-0.301</f>
        <v/>
      </c>
      <c r="E40" s="1613">
        <f>E39+D40</f>
        <v/>
      </c>
      <c r="F40" s="1613">
        <f>F39-D39</f>
        <v/>
      </c>
      <c r="G40" s="1614">
        <f>G39-D40</f>
        <v/>
      </c>
      <c r="H40" s="1615" t="n"/>
    </row>
    <row r="41" ht="39.75" customFormat="1" customHeight="1" s="1591">
      <c r="A41" s="1610" t="inlineStr">
        <is>
          <t>JT.#18</t>
        </is>
      </c>
      <c r="B41" s="1610" t="inlineStr">
        <is>
          <t>3 1/2" TSH</t>
        </is>
      </c>
      <c r="C41" s="1611" t="n">
        <v>31</v>
      </c>
      <c r="D41" s="1612">
        <f>C41-0.301</f>
        <v/>
      </c>
      <c r="E41" s="1613">
        <f>E40+D41</f>
        <v/>
      </c>
      <c r="F41" s="1613">
        <f>F40-D40</f>
        <v/>
      </c>
      <c r="G41" s="1614">
        <f>G40-D41</f>
        <v/>
      </c>
      <c r="H41" s="1615" t="n"/>
    </row>
    <row r="42" ht="39.75" customFormat="1" customHeight="1" s="1591">
      <c r="A42" s="1610" t="inlineStr">
        <is>
          <t>JT.#19</t>
        </is>
      </c>
      <c r="B42" s="1610" t="inlineStr">
        <is>
          <t>3 1/2" TSH</t>
        </is>
      </c>
      <c r="C42" s="1611" t="n">
        <v>31</v>
      </c>
      <c r="D42" s="1612">
        <f>C42-0.301</f>
        <v/>
      </c>
      <c r="E42" s="1613">
        <f>E41+D42</f>
        <v/>
      </c>
      <c r="F42" s="1613">
        <f>F41-D41</f>
        <v/>
      </c>
      <c r="G42" s="1614">
        <f>G41-D42</f>
        <v/>
      </c>
      <c r="H42" s="1615" t="n"/>
    </row>
    <row r="43" ht="39.75" customFormat="1" customHeight="1" s="1591">
      <c r="A43" s="1610" t="inlineStr">
        <is>
          <t>JT.#20</t>
        </is>
      </c>
      <c r="B43" s="1610" t="inlineStr">
        <is>
          <t>3 1/2" TSH</t>
        </is>
      </c>
      <c r="C43" s="1611" t="n">
        <v>31</v>
      </c>
      <c r="D43" s="1612">
        <f>C43-0.301</f>
        <v/>
      </c>
      <c r="E43" s="1613">
        <f>E42+D43</f>
        <v/>
      </c>
      <c r="F43" s="1613">
        <f>F42-D42</f>
        <v/>
      </c>
      <c r="G43" s="1614">
        <f>G42-D43</f>
        <v/>
      </c>
      <c r="H43" s="1615" t="n"/>
    </row>
    <row r="44" ht="39.75" customFormat="1" customHeight="1" s="1591">
      <c r="A44" s="1610" t="inlineStr">
        <is>
          <t>JT.#21</t>
        </is>
      </c>
      <c r="B44" s="1610" t="inlineStr">
        <is>
          <t>3 1/2" TSH</t>
        </is>
      </c>
      <c r="C44" s="1611" t="n">
        <v>31</v>
      </c>
      <c r="D44" s="1612">
        <f>C44-0.301</f>
        <v/>
      </c>
      <c r="E44" s="1613">
        <f>E43+D44</f>
        <v/>
      </c>
      <c r="F44" s="1613">
        <f>F43-D43</f>
        <v/>
      </c>
      <c r="G44" s="1614">
        <f>G43-D44</f>
        <v/>
      </c>
      <c r="H44" s="1615" t="n"/>
    </row>
    <row r="45" ht="39.75" customFormat="1" customHeight="1" s="1591">
      <c r="A45" s="1610" t="inlineStr">
        <is>
          <t>JT.#22</t>
        </is>
      </c>
      <c r="B45" s="1610" t="inlineStr">
        <is>
          <t>3 1/2" TSH</t>
        </is>
      </c>
      <c r="C45" s="1611" t="n">
        <v>31</v>
      </c>
      <c r="D45" s="1612">
        <f>C45-0.301</f>
        <v/>
      </c>
      <c r="E45" s="1613">
        <f>E44+D45</f>
        <v/>
      </c>
      <c r="F45" s="1613">
        <f>F44-D44</f>
        <v/>
      </c>
      <c r="G45" s="1614">
        <f>G44-D45</f>
        <v/>
      </c>
      <c r="H45" s="1615" t="n"/>
    </row>
    <row r="46" ht="39.75" customFormat="1" customHeight="1" s="1591">
      <c r="A46" s="1610" t="inlineStr">
        <is>
          <t>JT.#23</t>
        </is>
      </c>
      <c r="B46" s="1610" t="inlineStr">
        <is>
          <t>3 1/2" TSH</t>
        </is>
      </c>
      <c r="C46" s="1611" t="n">
        <v>31</v>
      </c>
      <c r="D46" s="1612">
        <f>C46-0.301</f>
        <v/>
      </c>
      <c r="E46" s="1613">
        <f>E45+D46</f>
        <v/>
      </c>
      <c r="F46" s="1613">
        <f>F45-D45</f>
        <v/>
      </c>
      <c r="G46" s="1614">
        <f>G45-D46</f>
        <v/>
      </c>
      <c r="H46" s="1615" t="n"/>
    </row>
    <row r="47" ht="39.75" customFormat="1" customHeight="1" s="1591">
      <c r="A47" s="1610" t="inlineStr">
        <is>
          <t>JT.#24</t>
        </is>
      </c>
      <c r="B47" s="1610" t="inlineStr">
        <is>
          <t>3 1/2" TSH</t>
        </is>
      </c>
      <c r="C47" s="1611" t="n">
        <v>31</v>
      </c>
      <c r="D47" s="1612">
        <f>C47-0.301</f>
        <v/>
      </c>
      <c r="E47" s="1613">
        <f>E46+D47</f>
        <v/>
      </c>
      <c r="F47" s="1613">
        <f>F46-D46</f>
        <v/>
      </c>
      <c r="G47" s="1614">
        <f>G46-D47</f>
        <v/>
      </c>
      <c r="H47" s="1615" t="n"/>
    </row>
    <row r="48" ht="39.75" customFormat="1" customHeight="1" s="1591">
      <c r="A48" s="1610" t="inlineStr">
        <is>
          <t>JT.#25</t>
        </is>
      </c>
      <c r="B48" s="1610" t="inlineStr">
        <is>
          <t>3 1/2" TSH</t>
        </is>
      </c>
      <c r="C48" s="1611" t="n">
        <v>31</v>
      </c>
      <c r="D48" s="1612">
        <f>C48-0.301</f>
        <v/>
      </c>
      <c r="E48" s="1613">
        <f>E47+D48</f>
        <v/>
      </c>
      <c r="F48" s="1613">
        <f>F47-D47</f>
        <v/>
      </c>
      <c r="G48" s="1614">
        <f>G47-D48</f>
        <v/>
      </c>
      <c r="H48" s="1615" t="n"/>
    </row>
    <row r="49" ht="39.75" customFormat="1" customHeight="1" s="1591">
      <c r="A49" s="1610" t="inlineStr">
        <is>
          <t>JT.#26</t>
        </is>
      </c>
      <c r="B49" s="1610" t="inlineStr">
        <is>
          <t>3 1/2" TSH</t>
        </is>
      </c>
      <c r="C49" s="1611" t="n">
        <v>31</v>
      </c>
      <c r="D49" s="1612">
        <f>C49-0.301</f>
        <v/>
      </c>
      <c r="E49" s="1613">
        <f>E48+D49</f>
        <v/>
      </c>
      <c r="F49" s="1613">
        <f>F48-D48</f>
        <v/>
      </c>
      <c r="G49" s="1614">
        <f>G48-D49</f>
        <v/>
      </c>
      <c r="H49" s="1615" t="n"/>
    </row>
    <row r="50" ht="39.75" customFormat="1" customHeight="1" s="1591">
      <c r="A50" s="1610" t="inlineStr">
        <is>
          <t>JT.#27</t>
        </is>
      </c>
      <c r="B50" s="1610" t="inlineStr">
        <is>
          <t>3 1/2" TSH</t>
        </is>
      </c>
      <c r="C50" s="1611" t="n">
        <v>31</v>
      </c>
      <c r="D50" s="1612">
        <f>C50-0.301</f>
        <v/>
      </c>
      <c r="E50" s="1613">
        <f>E49+D50</f>
        <v/>
      </c>
      <c r="F50" s="1613">
        <f>F49-D49</f>
        <v/>
      </c>
      <c r="G50" s="1614">
        <f>G49-D50</f>
        <v/>
      </c>
      <c r="H50" s="1615" t="n"/>
    </row>
    <row r="51" ht="39.75" customFormat="1" customHeight="1" s="1591">
      <c r="A51" s="1610" t="inlineStr">
        <is>
          <t>JT.#28</t>
        </is>
      </c>
      <c r="B51" s="1610" t="inlineStr">
        <is>
          <t>3 1/2" TSH</t>
        </is>
      </c>
      <c r="C51" s="1611" t="n">
        <v>31</v>
      </c>
      <c r="D51" s="1612">
        <f>C51-0.301</f>
        <v/>
      </c>
      <c r="E51" s="1613">
        <f>E50+D51</f>
        <v/>
      </c>
      <c r="F51" s="1613">
        <f>F50-D50</f>
        <v/>
      </c>
      <c r="G51" s="1614">
        <f>G50-D51</f>
        <v/>
      </c>
      <c r="H51" s="1615" t="n"/>
    </row>
    <row r="52" ht="39.75" customFormat="1" customHeight="1" s="1591">
      <c r="A52" s="1610" t="inlineStr">
        <is>
          <t>JT.#29</t>
        </is>
      </c>
      <c r="B52" s="1610" t="inlineStr">
        <is>
          <t>3 1/2" TSH</t>
        </is>
      </c>
      <c r="C52" s="1611" t="n">
        <v>31</v>
      </c>
      <c r="D52" s="1612">
        <f>C52-0.301</f>
        <v/>
      </c>
      <c r="E52" s="1613">
        <f>E51+D52</f>
        <v/>
      </c>
      <c r="F52" s="1613">
        <f>F51-D51</f>
        <v/>
      </c>
      <c r="G52" s="1614">
        <f>G51-D52</f>
        <v/>
      </c>
      <c r="H52" s="1615" t="n"/>
    </row>
    <row r="53" ht="39.75" customFormat="1" customHeight="1" s="1591">
      <c r="A53" s="1610" t="inlineStr">
        <is>
          <t>JT.#30</t>
        </is>
      </c>
      <c r="B53" s="1610" t="inlineStr">
        <is>
          <t>3 1/2" TSH</t>
        </is>
      </c>
      <c r="C53" s="1611" t="n">
        <v>31</v>
      </c>
      <c r="D53" s="1612">
        <f>C53-0.301</f>
        <v/>
      </c>
      <c r="E53" s="1613">
        <f>E52+D53</f>
        <v/>
      </c>
      <c r="F53" s="1613">
        <f>F52-D52</f>
        <v/>
      </c>
      <c r="G53" s="1614">
        <f>G52-D53</f>
        <v/>
      </c>
      <c r="H53" s="1615" t="n"/>
    </row>
    <row r="54" ht="39.75" customFormat="1" customHeight="1" s="1591">
      <c r="A54" s="1610" t="inlineStr">
        <is>
          <t>JT.#31</t>
        </is>
      </c>
      <c r="B54" s="1610" t="inlineStr">
        <is>
          <t>3 1/2" TSH</t>
        </is>
      </c>
      <c r="C54" s="1611" t="n">
        <v>31</v>
      </c>
      <c r="D54" s="1612">
        <f>C54-0.301</f>
        <v/>
      </c>
      <c r="E54" s="1613">
        <f>E53+D54</f>
        <v/>
      </c>
      <c r="F54" s="1613">
        <f>F53-D53</f>
        <v/>
      </c>
      <c r="G54" s="1614">
        <f>G53-D54</f>
        <v/>
      </c>
      <c r="H54" s="1615" t="n"/>
    </row>
    <row r="55" ht="39.75" customFormat="1" customHeight="1" s="1591">
      <c r="A55" s="1610" t="inlineStr">
        <is>
          <t>JT.#32</t>
        </is>
      </c>
      <c r="B55" s="1610" t="inlineStr">
        <is>
          <t>3 1/2" TSH</t>
        </is>
      </c>
      <c r="C55" s="1611" t="n">
        <v>31</v>
      </c>
      <c r="D55" s="1612">
        <f>C55-0.301</f>
        <v/>
      </c>
      <c r="E55" s="1613">
        <f>E54+D55</f>
        <v/>
      </c>
      <c r="F55" s="1613">
        <f>F54-D54</f>
        <v/>
      </c>
      <c r="G55" s="1614">
        <f>G54-D55</f>
        <v/>
      </c>
      <c r="H55" s="1615" t="n"/>
    </row>
    <row r="56" ht="39.75" customFormat="1" customHeight="1" s="1591">
      <c r="A56" s="1610" t="inlineStr">
        <is>
          <t>JT.#33</t>
        </is>
      </c>
      <c r="B56" s="1610" t="inlineStr">
        <is>
          <t>3 1/2" TSH</t>
        </is>
      </c>
      <c r="C56" s="1611" t="n">
        <v>31</v>
      </c>
      <c r="D56" s="1612">
        <f>C56-0.301</f>
        <v/>
      </c>
      <c r="E56" s="1613">
        <f>E55+D56</f>
        <v/>
      </c>
      <c r="F56" s="1613">
        <f>F55-D55</f>
        <v/>
      </c>
      <c r="G56" s="1614">
        <f>G55-D56</f>
        <v/>
      </c>
      <c r="H56" s="1615" t="n"/>
    </row>
    <row r="57" ht="39.75" customFormat="1" customHeight="1" s="1591">
      <c r="A57" s="1610" t="inlineStr">
        <is>
          <t>JT.#34</t>
        </is>
      </c>
      <c r="B57" s="1610" t="inlineStr">
        <is>
          <t>3 1/2" TSH</t>
        </is>
      </c>
      <c r="C57" s="1611" t="n">
        <v>31</v>
      </c>
      <c r="D57" s="1612">
        <f>C57-0.301</f>
        <v/>
      </c>
      <c r="E57" s="1613">
        <f>E56+D57</f>
        <v/>
      </c>
      <c r="F57" s="1613">
        <f>F56-D56</f>
        <v/>
      </c>
      <c r="G57" s="1614">
        <f>G56-D57</f>
        <v/>
      </c>
      <c r="H57" s="1615" t="n"/>
    </row>
    <row r="58" ht="39.75" customFormat="1" customHeight="1" s="1591">
      <c r="A58" s="1610" t="inlineStr">
        <is>
          <t>JT.#35</t>
        </is>
      </c>
      <c r="B58" s="1610" t="inlineStr">
        <is>
          <t>3 1/2" TSH</t>
        </is>
      </c>
      <c r="C58" s="1611" t="n">
        <v>31</v>
      </c>
      <c r="D58" s="1612">
        <f>C58-0.301</f>
        <v/>
      </c>
      <c r="E58" s="1613">
        <f>E57+D58</f>
        <v/>
      </c>
      <c r="F58" s="1613">
        <f>F57-D57</f>
        <v/>
      </c>
      <c r="G58" s="1614">
        <f>G57-D58</f>
        <v/>
      </c>
      <c r="H58" s="1615" t="n"/>
    </row>
    <row r="59" ht="39.75" customFormat="1" customHeight="1" s="1591">
      <c r="A59" s="1610" t="inlineStr">
        <is>
          <t>JT.#36</t>
        </is>
      </c>
      <c r="B59" s="1610" t="inlineStr">
        <is>
          <t>3 1/2" TSH</t>
        </is>
      </c>
      <c r="C59" s="1611" t="n">
        <v>31</v>
      </c>
      <c r="D59" s="1612">
        <f>C59-0.301</f>
        <v/>
      </c>
      <c r="E59" s="1613">
        <f>E58+D59</f>
        <v/>
      </c>
      <c r="F59" s="1613">
        <f>F58-D58</f>
        <v/>
      </c>
      <c r="G59" s="1614">
        <f>G58-D59</f>
        <v/>
      </c>
      <c r="H59" s="1615" t="n"/>
    </row>
    <row r="60" ht="39.75" customFormat="1" customHeight="1" s="1591">
      <c r="A60" s="1610" t="inlineStr">
        <is>
          <t>JT.#37</t>
        </is>
      </c>
      <c r="B60" s="1610" t="inlineStr">
        <is>
          <t>3 1/2" TSH</t>
        </is>
      </c>
      <c r="C60" s="1611" t="n">
        <v>31</v>
      </c>
      <c r="D60" s="1612">
        <f>C60-0.301</f>
        <v/>
      </c>
      <c r="E60" s="1613">
        <f>E59+D60</f>
        <v/>
      </c>
      <c r="F60" s="1613">
        <f>F59-D59</f>
        <v/>
      </c>
      <c r="G60" s="1614">
        <f>G59-D60</f>
        <v/>
      </c>
      <c r="H60" s="1615" t="n"/>
    </row>
    <row r="61" ht="39.75" customFormat="1" customHeight="1" s="1591">
      <c r="A61" s="1628" t="inlineStr">
        <is>
          <t>C</t>
        </is>
      </c>
      <c r="B61" s="1629" t="inlineStr">
        <is>
          <t>UPPER CONN. 3-1/2" VAM TOP BOX 9.2 PPF SN 28 110 KSI
DESCRIPTION: 5 FEET XOVER
SAP: 130005011340
SUPPLIER: TENARIS
LOWER CONN. 3-1/2" TSH BLUE PIN 9.2 PPF SN 28 110 KSI</t>
        </is>
      </c>
      <c r="C61" s="1630" t="n">
        <v>5.16</v>
      </c>
      <c r="D61" s="1612">
        <f>C61-0.301</f>
        <v/>
      </c>
      <c r="E61" s="1613">
        <f>E60+D61</f>
        <v/>
      </c>
      <c r="F61" s="1613">
        <f>F60-D60</f>
        <v/>
      </c>
      <c r="G61" s="1614">
        <f>G60-D61</f>
        <v/>
      </c>
      <c r="H61" s="1615" t="n"/>
    </row>
    <row r="62" ht="39.75" customFormat="1" customHeight="1" s="1591">
      <c r="A62" s="1624" t="n"/>
      <c r="B62" s="1629" t="inlineStr">
        <is>
          <t>UPPER CONN. 3-1/2" VAM TOP 9.2#PPF INC 925 KSI BOX
DESCRIPTION: 2.750 WXN Nipple
PN: 2963809
S/N :12527047-08
SAP: 130010036868
SUPPLIER: WEATHERFORD
LOWER CONN.3-1/2" VAM TOP 9.2#PPF INC 925KSI PIN</t>
        </is>
      </c>
      <c r="C62" s="1630" t="n">
        <v>1.15</v>
      </c>
      <c r="D62" s="1612">
        <f>C62-0.301</f>
        <v/>
      </c>
      <c r="E62" s="1613">
        <f>E61+D62</f>
        <v/>
      </c>
      <c r="F62" s="1613">
        <f>F61-D61</f>
        <v/>
      </c>
      <c r="G62" s="1614">
        <f>G61-D62</f>
        <v/>
      </c>
      <c r="H62" s="1615" t="n"/>
    </row>
    <row r="63" ht="39.75" customFormat="1" customHeight="1" s="1591">
      <c r="A63" s="1624" t="n"/>
      <c r="B63" s="1629" t="inlineStr">
        <is>
          <t>UPPER CONN. 3-1/2" VAM TOP 9.2#PPF SM 2535 BOX
DESCRIPTION: 5 FEET PUP JOINT
SAP: 130005002758
SUPPLIER: VAM
LOWER CONN. 3-1/2" VAM TOP 9.2#PPF SM 2535 PIN</t>
        </is>
      </c>
      <c r="C63" s="1630" t="n">
        <v>4.92</v>
      </c>
      <c r="D63" s="1631">
        <f>C63-0.301</f>
        <v/>
      </c>
      <c r="E63" s="1613">
        <f>E62+D63</f>
        <v/>
      </c>
      <c r="F63" s="1613">
        <f>F62-D62</f>
        <v/>
      </c>
      <c r="G63" s="1614">
        <f>G62-D63</f>
        <v/>
      </c>
      <c r="H63" s="1632" t="n"/>
    </row>
    <row r="64" ht="39.75" customFormat="1" customHeight="1" s="1591">
      <c r="A64" s="1624" t="n"/>
      <c r="B64" s="1629" t="inlineStr">
        <is>
          <t>UPPER CONN. 3-1/2" VAM TOP 9.2#PPF SM2535 BOX
DESCRIPTION: 10 FEET PUP JOINT
SAP: 130013000213
SUPPLIER: VAM
LOWER CONN. 3-1/2" VAM TOP 9.2#PPF SM2535 PIN</t>
        </is>
      </c>
      <c r="C64" s="1630" t="n">
        <v>9.92</v>
      </c>
      <c r="D64" s="1612">
        <f>C64-0.301</f>
        <v/>
      </c>
      <c r="E64" s="1613">
        <f>E63+D64</f>
        <v/>
      </c>
      <c r="F64" s="1613">
        <f>F63-D63</f>
        <v/>
      </c>
      <c r="G64" s="1614">
        <f>G63-D64</f>
        <v/>
      </c>
      <c r="H64" s="1633" t="n"/>
      <c r="K64" s="1620" t="n"/>
    </row>
    <row r="65" ht="39.75" customFormat="1" customHeight="1" s="1591">
      <c r="A65" s="1624" t="n"/>
      <c r="B65" s="1629"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65" s="1630" t="n">
        <v>9.710000000000001</v>
      </c>
      <c r="D65" s="1612">
        <f>C65-0.301</f>
        <v/>
      </c>
      <c r="E65" s="1613">
        <f>E64+D65</f>
        <v/>
      </c>
      <c r="F65" s="1613">
        <f>F64-D64</f>
        <v/>
      </c>
      <c r="G65" s="1614">
        <f>G64-D65</f>
        <v/>
      </c>
      <c r="H65" s="1633" t="n"/>
      <c r="K65" s="1620" t="n"/>
    </row>
    <row r="66" ht="39.75" customFormat="1" customHeight="1" s="1591">
      <c r="A66" s="1172" t="n"/>
      <c r="B66" s="1629" t="inlineStr">
        <is>
          <t>UPPER CONN. 3-1/2" TSH BLUE BOX 9.2 PPF SN 28 110 KSI
DESCRIPTION: 5 FEET XOVER
SAP: 130005011444
SUPPLIER: TENARIS
LOWER CONN. 3-1/2" VAM TOP PIN 9.2 PPF SN 28 110 KSI</t>
        </is>
      </c>
      <c r="C66" s="1630" t="n">
        <v>4.99</v>
      </c>
      <c r="D66" s="1631">
        <f>C66-0.301</f>
        <v/>
      </c>
      <c r="E66" s="1613">
        <f>E65+D66</f>
        <v/>
      </c>
      <c r="F66" s="1613">
        <f>F65-D65</f>
        <v/>
      </c>
      <c r="G66" s="1614">
        <f>G65-D66</f>
        <v/>
      </c>
      <c r="H66" s="1634" t="n"/>
      <c r="K66" s="1620" t="n"/>
    </row>
    <row r="67" ht="39.75" customFormat="1" customHeight="1" s="1591">
      <c r="A67" s="1610" t="inlineStr">
        <is>
          <t>JT.#38</t>
        </is>
      </c>
      <c r="B67" s="1610" t="inlineStr">
        <is>
          <t>3 1/2" TSH</t>
        </is>
      </c>
      <c r="C67" s="1611" t="n">
        <v>31</v>
      </c>
      <c r="D67" s="1612">
        <f>C67-0.301</f>
        <v/>
      </c>
      <c r="E67" s="1613">
        <f>E66+D67</f>
        <v/>
      </c>
      <c r="F67" s="1613">
        <f>F66-D66</f>
        <v/>
      </c>
      <c r="G67" s="1614">
        <f>G66-D67</f>
        <v/>
      </c>
      <c r="H67" s="1618" t="n"/>
      <c r="K67" s="1620" t="n"/>
    </row>
    <row r="68" ht="39.75" customFormat="1" customHeight="1" s="1591">
      <c r="A68" s="1610" t="inlineStr">
        <is>
          <t>JT.#39</t>
        </is>
      </c>
      <c r="B68" s="1610" t="inlineStr">
        <is>
          <t>3 1/2" TSH</t>
        </is>
      </c>
      <c r="C68" s="1611" t="n">
        <v>31</v>
      </c>
      <c r="D68" s="1612">
        <f>C68-0.301</f>
        <v/>
      </c>
      <c r="E68" s="1613">
        <f>E67+D68</f>
        <v/>
      </c>
      <c r="F68" s="1613">
        <f>F67-D67</f>
        <v/>
      </c>
      <c r="G68" s="1614">
        <f>G67-D68</f>
        <v/>
      </c>
      <c r="H68" s="1618" t="n"/>
      <c r="K68" s="1620" t="n"/>
    </row>
    <row r="69" ht="39.75" customFormat="1" customHeight="1" s="1591">
      <c r="A69" s="1610" t="inlineStr">
        <is>
          <t>JT.#40</t>
        </is>
      </c>
      <c r="B69" s="1610" t="inlineStr">
        <is>
          <t>3 1/2" TSH</t>
        </is>
      </c>
      <c r="C69" s="1611" t="n">
        <v>31</v>
      </c>
      <c r="D69" s="1612">
        <f>C69-0.301</f>
        <v/>
      </c>
      <c r="E69" s="1613">
        <f>E68+D69</f>
        <v/>
      </c>
      <c r="F69" s="1613">
        <f>F68-D68</f>
        <v/>
      </c>
      <c r="G69" s="1614">
        <f>G68-D69</f>
        <v/>
      </c>
      <c r="H69" s="1618" t="n"/>
      <c r="K69" s="1620" t="n"/>
    </row>
    <row r="70" ht="39.75" customFormat="1" customHeight="1" s="1591">
      <c r="A70" s="1610" t="inlineStr">
        <is>
          <t>JT.#41</t>
        </is>
      </c>
      <c r="B70" s="1610" t="inlineStr">
        <is>
          <t>3 1/2" TSH</t>
        </is>
      </c>
      <c r="C70" s="1611" t="n">
        <v>31</v>
      </c>
      <c r="D70" s="1612">
        <f>C70-0.301</f>
        <v/>
      </c>
      <c r="E70" s="1613">
        <f>E69+D70</f>
        <v/>
      </c>
      <c r="F70" s="1613">
        <f>F69-D69</f>
        <v/>
      </c>
      <c r="G70" s="1614">
        <f>G69-D70</f>
        <v/>
      </c>
      <c r="H70" s="1618" t="n"/>
      <c r="K70" s="1620" t="n"/>
    </row>
    <row r="71" ht="39.75" customFormat="1" customHeight="1" s="1591">
      <c r="A71" s="1610" t="inlineStr">
        <is>
          <t>JT.#42</t>
        </is>
      </c>
      <c r="B71" s="1610" t="inlineStr">
        <is>
          <t>3 1/2" TSH</t>
        </is>
      </c>
      <c r="C71" s="1611" t="n">
        <v>31</v>
      </c>
      <c r="D71" s="1612">
        <f>C71-0.301</f>
        <v/>
      </c>
      <c r="E71" s="1613">
        <f>E70+D71</f>
        <v/>
      </c>
      <c r="F71" s="1613">
        <f>F70-D70</f>
        <v/>
      </c>
      <c r="G71" s="1614">
        <f>G70-D71</f>
        <v/>
      </c>
      <c r="H71" s="1618" t="n"/>
      <c r="K71" s="1620" t="n"/>
    </row>
    <row r="72" ht="39.75" customFormat="1" customHeight="1" s="1591">
      <c r="A72" s="1610" t="inlineStr">
        <is>
          <t>JT.#43</t>
        </is>
      </c>
      <c r="B72" s="1610" t="inlineStr">
        <is>
          <t>3 1/2" TSH</t>
        </is>
      </c>
      <c r="C72" s="1611" t="n">
        <v>31</v>
      </c>
      <c r="D72" s="1612">
        <f>C72-0.301</f>
        <v/>
      </c>
      <c r="E72" s="1613">
        <f>E71+D72</f>
        <v/>
      </c>
      <c r="F72" s="1613">
        <f>F71-D71</f>
        <v/>
      </c>
      <c r="G72" s="1614">
        <f>G71-D72</f>
        <v/>
      </c>
      <c r="H72" s="1618" t="n"/>
      <c r="K72" s="1620" t="n"/>
    </row>
    <row r="73" ht="39.75" customFormat="1" customHeight="1" s="1591">
      <c r="A73" s="1610" t="inlineStr">
        <is>
          <t>JT.#44</t>
        </is>
      </c>
      <c r="B73" s="1610" t="inlineStr">
        <is>
          <t>3 1/2" TSH</t>
        </is>
      </c>
      <c r="C73" s="1611" t="n">
        <v>31</v>
      </c>
      <c r="D73" s="1612">
        <f>C73-0.301</f>
        <v/>
      </c>
      <c r="E73" s="1613">
        <f>E72+D73</f>
        <v/>
      </c>
      <c r="F73" s="1613">
        <f>F72-D72</f>
        <v/>
      </c>
      <c r="G73" s="1614">
        <f>G72-D73</f>
        <v/>
      </c>
      <c r="H73" s="1618" t="n"/>
      <c r="K73" s="1620" t="n"/>
    </row>
    <row r="74" ht="39.75" customFormat="1" customHeight="1" s="1591">
      <c r="A74" s="1610" t="inlineStr">
        <is>
          <t>JT.#45</t>
        </is>
      </c>
      <c r="B74" s="1610" t="inlineStr">
        <is>
          <t>3 1/2" TSH</t>
        </is>
      </c>
      <c r="C74" s="1611" t="n">
        <v>31</v>
      </c>
      <c r="D74" s="1612">
        <f>C74-0.301</f>
        <v/>
      </c>
      <c r="E74" s="1613">
        <f>E73+D74</f>
        <v/>
      </c>
      <c r="F74" s="1613">
        <f>F73-D73</f>
        <v/>
      </c>
      <c r="G74" s="1614">
        <f>G73-D74</f>
        <v/>
      </c>
      <c r="H74" s="1635" t="n"/>
      <c r="K74" s="1620" t="n"/>
    </row>
    <row r="75" ht="39.75" customFormat="1" customHeight="1" s="1591">
      <c r="A75" s="1610" t="inlineStr">
        <is>
          <t>JT.#46</t>
        </is>
      </c>
      <c r="B75" s="1610" t="inlineStr">
        <is>
          <t>3 1/2" TSH</t>
        </is>
      </c>
      <c r="C75" s="1611" t="n">
        <v>31</v>
      </c>
      <c r="D75" s="1612">
        <f>C75-0.301</f>
        <v/>
      </c>
      <c r="E75" s="1613">
        <f>E74+D75</f>
        <v/>
      </c>
      <c r="F75" s="1613">
        <f>F74-D74</f>
        <v/>
      </c>
      <c r="G75" s="1614">
        <f>G74-D75</f>
        <v/>
      </c>
      <c r="H75" s="1618" t="n"/>
      <c r="K75" s="1620" t="n"/>
    </row>
    <row r="76" ht="39.75" customFormat="1" customHeight="1" s="1591">
      <c r="A76" s="1610" t="inlineStr">
        <is>
          <t>JT.#47</t>
        </is>
      </c>
      <c r="B76" s="1610" t="inlineStr">
        <is>
          <t>3 1/2" TSH</t>
        </is>
      </c>
      <c r="C76" s="1611" t="n">
        <v>31</v>
      </c>
      <c r="D76" s="1612">
        <f>C76-0.301</f>
        <v/>
      </c>
      <c r="E76" s="1613">
        <f>E75+D76</f>
        <v/>
      </c>
      <c r="F76" s="1613">
        <f>F75-D75</f>
        <v/>
      </c>
      <c r="G76" s="1614">
        <f>G75-D76</f>
        <v/>
      </c>
      <c r="H76" s="1618" t="n"/>
      <c r="K76" s="1620" t="n"/>
    </row>
    <row r="77" ht="39.75" customFormat="1" customHeight="1" s="1591">
      <c r="A77" s="1610" t="inlineStr">
        <is>
          <t>JT.#48</t>
        </is>
      </c>
      <c r="B77" s="1610" t="inlineStr">
        <is>
          <t>3 1/2" TSH</t>
        </is>
      </c>
      <c r="C77" s="1611" t="n">
        <v>31</v>
      </c>
      <c r="D77" s="1612">
        <f>C77-0.301</f>
        <v/>
      </c>
      <c r="E77" s="1613">
        <f>E76+D77</f>
        <v/>
      </c>
      <c r="F77" s="1613">
        <f>F76-D76</f>
        <v/>
      </c>
      <c r="G77" s="1614">
        <f>G76-D77</f>
        <v/>
      </c>
      <c r="H77" s="1618" t="n"/>
      <c r="K77" s="1620" t="n"/>
    </row>
    <row r="78" ht="39.75" customFormat="1" customHeight="1" s="1591">
      <c r="A78" s="1610" t="inlineStr">
        <is>
          <t>JT.#49</t>
        </is>
      </c>
      <c r="B78" s="1610" t="inlineStr">
        <is>
          <t>3 1/2" TSH</t>
        </is>
      </c>
      <c r="C78" s="1611" t="n">
        <v>31</v>
      </c>
      <c r="D78" s="1612">
        <f>C78-0.301</f>
        <v/>
      </c>
      <c r="E78" s="1613">
        <f>E77+D78</f>
        <v/>
      </c>
      <c r="F78" s="1613">
        <f>F77-D77</f>
        <v/>
      </c>
      <c r="G78" s="1614">
        <f>G77-D78</f>
        <v/>
      </c>
      <c r="H78" s="1618" t="n"/>
      <c r="K78" s="1620" t="n"/>
    </row>
    <row r="79" ht="39.75" customFormat="1" customHeight="1" s="1591">
      <c r="A79" s="1610" t="inlineStr">
        <is>
          <t>JT.#50</t>
        </is>
      </c>
      <c r="B79" s="1610" t="inlineStr">
        <is>
          <t>3 1/2" TSH</t>
        </is>
      </c>
      <c r="C79" s="1611" t="n">
        <v>31</v>
      </c>
      <c r="D79" s="1612">
        <f>C79-0.301</f>
        <v/>
      </c>
      <c r="E79" s="1613">
        <f>E78+D79</f>
        <v/>
      </c>
      <c r="F79" s="1613">
        <f>F78-D78</f>
        <v/>
      </c>
      <c r="G79" s="1614">
        <f>G78-D79</f>
        <v/>
      </c>
      <c r="H79" s="1636" t="n"/>
      <c r="K79" s="1620" t="n"/>
    </row>
    <row r="80" ht="39.75" customFormat="1" customHeight="1" s="1591">
      <c r="A80" s="1610" t="inlineStr">
        <is>
          <t>JT.#51</t>
        </is>
      </c>
      <c r="B80" s="1610" t="inlineStr">
        <is>
          <t>3 1/2" TSH</t>
        </is>
      </c>
      <c r="C80" s="1611" t="n">
        <v>31</v>
      </c>
      <c r="D80" s="1631">
        <f>C80-0.301</f>
        <v/>
      </c>
      <c r="E80" s="1613">
        <f>E79+D80</f>
        <v/>
      </c>
      <c r="F80" s="1613">
        <f>F79-D79</f>
        <v/>
      </c>
      <c r="G80" s="1614">
        <f>G79-D80</f>
        <v/>
      </c>
      <c r="H80" s="1636" t="n"/>
      <c r="K80" s="1620" t="n"/>
    </row>
    <row r="81" ht="39.75" customFormat="1" customHeight="1" s="1591">
      <c r="A81" s="1610" t="inlineStr">
        <is>
          <t>JT.#52</t>
        </is>
      </c>
      <c r="B81" s="1610" t="inlineStr">
        <is>
          <t>3 1/2" TSH</t>
        </is>
      </c>
      <c r="C81" s="1611" t="n">
        <v>31</v>
      </c>
      <c r="D81" s="1612">
        <f>C81-0.301</f>
        <v/>
      </c>
      <c r="E81" s="1613">
        <f>E80+D81</f>
        <v/>
      </c>
      <c r="F81" s="1613">
        <f>F80-D80</f>
        <v/>
      </c>
      <c r="G81" s="1614">
        <f>G80-D81</f>
        <v/>
      </c>
      <c r="H81" s="1636" t="n"/>
      <c r="K81" s="1620" t="n"/>
    </row>
    <row r="82" ht="141.75" customFormat="1" customHeight="1" s="1591">
      <c r="A82" s="1610" t="inlineStr">
        <is>
          <t>JT.#53</t>
        </is>
      </c>
      <c r="B82" s="1610" t="inlineStr">
        <is>
          <t>3 1/2" TSH</t>
        </is>
      </c>
      <c r="C82" s="1611" t="n">
        <v>31</v>
      </c>
      <c r="D82" s="1637">
        <f>C82-0.301</f>
        <v/>
      </c>
      <c r="E82" s="1613">
        <f>E81+D82</f>
        <v/>
      </c>
      <c r="F82" s="1613">
        <f>F81-D81</f>
        <v/>
      </c>
      <c r="G82" s="1614">
        <f>G81-D82</f>
        <v/>
      </c>
      <c r="H82" s="1638" t="n"/>
      <c r="I82" s="1617" t="n"/>
      <c r="J82" s="1600" t="n"/>
      <c r="K82" s="1025" t="n"/>
      <c r="L82" s="1025" t="n"/>
      <c r="O82" s="1609" t="n"/>
      <c r="P82" s="1609" t="n"/>
      <c r="Q82" s="1609" t="n"/>
      <c r="R82" s="1609" t="n"/>
      <c r="S82" s="1609" t="n"/>
      <c r="T82" s="1609" t="n"/>
    </row>
    <row r="83" ht="208.5" customFormat="1" customHeight="1" s="1591">
      <c r="A83" s="1610" t="inlineStr">
        <is>
          <t>JT.#54</t>
        </is>
      </c>
      <c r="B83" s="1610" t="inlineStr">
        <is>
          <t>3 1/2" TSH</t>
        </is>
      </c>
      <c r="C83" s="1611" t="n">
        <v>31</v>
      </c>
      <c r="D83" s="1639">
        <f>C83</f>
        <v/>
      </c>
      <c r="E83" s="1613">
        <f>E82+D83</f>
        <v/>
      </c>
      <c r="F83" s="1613">
        <f>F82-D82</f>
        <v/>
      </c>
      <c r="G83" s="1614">
        <f>G82-D83</f>
        <v/>
      </c>
      <c r="H83" s="1640" t="n"/>
      <c r="J83" s="1600" t="n"/>
      <c r="K83" s="1607" t="n"/>
      <c r="L83" s="1607" t="n"/>
      <c r="O83" s="1609" t="n"/>
      <c r="P83" s="1609" t="n"/>
      <c r="Q83" s="1609" t="n"/>
      <c r="R83" s="1609" t="n"/>
      <c r="S83" s="1609" t="n"/>
      <c r="T83" s="1609" t="n"/>
    </row>
    <row r="84" ht="102.75" customFormat="1" customHeight="1" s="1591">
      <c r="A84" s="1610" t="inlineStr">
        <is>
          <t>JT.#55</t>
        </is>
      </c>
      <c r="B84" s="1610" t="inlineStr">
        <is>
          <t>3 1/2" TSH</t>
        </is>
      </c>
      <c r="C84" s="1611" t="n">
        <v>31</v>
      </c>
      <c r="D84" s="1639">
        <f>C84</f>
        <v/>
      </c>
      <c r="E84" s="1613">
        <f>E83+D84</f>
        <v/>
      </c>
      <c r="F84" s="1613">
        <f>F83-D83</f>
        <v/>
      </c>
      <c r="G84" s="1614">
        <f>G83-D84</f>
        <v/>
      </c>
      <c r="H84" s="1641" t="n"/>
      <c r="J84" s="1600" t="n"/>
      <c r="K84" s="1607" t="n"/>
      <c r="L84" s="1607" t="n"/>
      <c r="O84" s="1609" t="n"/>
      <c r="P84" s="1609" t="n"/>
      <c r="Q84" s="1609" t="n"/>
      <c r="R84" s="1609" t="n"/>
      <c r="S84" s="1609" t="n"/>
      <c r="T84" s="1609" t="n"/>
    </row>
    <row r="85" ht="39.75" customFormat="1" customHeight="1" s="1591">
      <c r="A85" s="1610" t="inlineStr">
        <is>
          <t>JT.#56</t>
        </is>
      </c>
      <c r="B85" s="1610" t="inlineStr">
        <is>
          <t>3 1/2" TSH</t>
        </is>
      </c>
      <c r="C85" s="1611" t="n">
        <v>31</v>
      </c>
      <c r="D85" s="1612">
        <f>C85-0.301</f>
        <v/>
      </c>
      <c r="E85" s="1613">
        <f>E84+D85</f>
        <v/>
      </c>
      <c r="F85" s="1613">
        <f>F84-D84</f>
        <v/>
      </c>
      <c r="G85" s="1614">
        <f>G84-D85</f>
        <v/>
      </c>
      <c r="H85" s="1618" t="n"/>
      <c r="K85" s="1620" t="n"/>
    </row>
    <row r="86" ht="39.75" customFormat="1" customHeight="1" s="1591">
      <c r="A86" s="1610" t="inlineStr">
        <is>
          <t>JT.#57</t>
        </is>
      </c>
      <c r="B86" s="1610" t="inlineStr">
        <is>
          <t>3 1/2" TSH</t>
        </is>
      </c>
      <c r="C86" s="1611" t="n">
        <v>31</v>
      </c>
      <c r="D86" s="1612">
        <f>C86-0.301</f>
        <v/>
      </c>
      <c r="E86" s="1613">
        <f>E85+D86</f>
        <v/>
      </c>
      <c r="F86" s="1613">
        <f>F85-D85</f>
        <v/>
      </c>
      <c r="G86" s="1614">
        <f>G85-D86</f>
        <v/>
      </c>
      <c r="H86" s="1618" t="n"/>
      <c r="K86" s="1620" t="n"/>
    </row>
    <row r="87" ht="39.75" customFormat="1" customHeight="1" s="1591">
      <c r="A87" s="1642" t="inlineStr">
        <is>
          <t>D1</t>
        </is>
      </c>
      <c r="B87" s="1643" t="inlineStr">
        <is>
          <t>UPPER CONN. 3-1/2" VAM TOP BOX 9.2 PPF SN 28 110 KSI
DESCRIPTION: 5 FEET XOVER
SAP: 130005011340
SUPPLIER: TENARIS
LOWER CONN. 3-1/2" TSH BLUE PIN 9.2 PPF SN 28 110 KSI</t>
        </is>
      </c>
      <c r="C87" s="1644" t="n">
        <v>5.2</v>
      </c>
      <c r="D87" s="1612">
        <f>C87-0.301</f>
        <v/>
      </c>
      <c r="E87" s="1613">
        <f>E86+D87</f>
        <v/>
      </c>
      <c r="F87" s="1613">
        <f>F86-D86</f>
        <v/>
      </c>
      <c r="G87" s="1614">
        <f>G86-D87</f>
        <v/>
      </c>
      <c r="H87" s="1618" t="n"/>
      <c r="K87" s="1620" t="n"/>
    </row>
    <row r="88" ht="39.75" customFormat="1" customHeight="1" s="1591">
      <c r="A88" s="1624" t="n"/>
      <c r="B88" s="1643" t="inlineStr">
        <is>
          <t>UPPER CONN. 3-1/2" SENTINEL PRIME BOX 9.2 PPF TX28-110 KSI
DESCRIPTION: 5 FEET XOVER
SAP: 130013006385
SUPPLIER: TBX
LOWER CONN. 3-1/2" VAM TOP PIN 9.2 PPF TX28-110 KSI</t>
        </is>
      </c>
      <c r="C88" s="1644" t="n">
        <v>4.96</v>
      </c>
      <c r="D88" s="1612">
        <f>C88-0.301</f>
        <v/>
      </c>
      <c r="E88" s="1613">
        <f>E87+D88</f>
        <v/>
      </c>
      <c r="F88" s="1613">
        <f>F87-D87</f>
        <v/>
      </c>
      <c r="G88" s="1614">
        <f>G87-D88</f>
        <v/>
      </c>
      <c r="H88" s="1618" t="n"/>
      <c r="K88" s="1620" t="n"/>
    </row>
    <row r="89" ht="39.75" customFormat="1" customHeight="1" s="1591">
      <c r="A89" s="1624" t="n"/>
      <c r="B89" s="1643"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89" s="1644" t="n">
        <v>8.69</v>
      </c>
      <c r="D89" s="1612">
        <f>C89-0.301</f>
        <v/>
      </c>
      <c r="E89" s="1613">
        <f>E88+D89</f>
        <v/>
      </c>
      <c r="F89" s="1613">
        <f>F88-D88</f>
        <v/>
      </c>
      <c r="G89" s="1614">
        <f>G88-D89</f>
        <v/>
      </c>
      <c r="H89" s="1635" t="n"/>
      <c r="K89" s="1620" t="n"/>
    </row>
    <row r="90" ht="39.75" customFormat="1" customHeight="1" s="1591">
      <c r="A90" s="1624" t="n"/>
      <c r="B90" s="1643" t="inlineStr">
        <is>
          <t>UPPER CONN. 3-1/2" VAM TOP BOX 9.2 PPF TX28- 110 KSI
DESCRIPTION: 5 FEET XOVER
SAP: 130013006383
SUPPLIER: TBX
LOWER CONN -3-1/2" SENTINEL PRIME PIN 9.2 PPF TX28-110 KSI</t>
        </is>
      </c>
      <c r="C90" s="1644" t="n">
        <v>4.85</v>
      </c>
      <c r="D90" s="1612">
        <f>C90-0.301</f>
        <v/>
      </c>
      <c r="E90" s="1613">
        <f>E89+D90</f>
        <v/>
      </c>
      <c r="F90" s="1613">
        <f>F89-D89</f>
        <v/>
      </c>
      <c r="G90" s="1614">
        <f>G89-D90</f>
        <v/>
      </c>
      <c r="H90" s="1618" t="n"/>
      <c r="K90" s="1620" t="n"/>
    </row>
    <row r="91" ht="39.75" customFormat="1" customHeight="1" s="1591">
      <c r="A91" s="1172" t="n"/>
      <c r="B91" s="1643" t="inlineStr">
        <is>
          <t>UPPER CONN. 3-1/2" TSH BLUE BOX 9.2 PPF SN 28 110 KSI
DESCRIPTION: 10 FEET XOVER
SAP: 130005012487
SUPPLIER: TENARIS
LOWER CONN. 3-1/2" VAM TOP PIN 9.2 PPF SN 28 110 KSI</t>
        </is>
      </c>
      <c r="C91" s="1644" t="n">
        <v>9.949999999999999</v>
      </c>
      <c r="D91" s="1612">
        <f>C91-0.301</f>
        <v/>
      </c>
      <c r="E91" s="1613">
        <f>E90+D91</f>
        <v/>
      </c>
      <c r="F91" s="1613">
        <f>F90-D90</f>
        <v/>
      </c>
      <c r="G91" s="1614">
        <f>G90-D91</f>
        <v/>
      </c>
      <c r="H91" s="1618" t="n"/>
      <c r="K91" s="1620" t="n"/>
    </row>
    <row r="92" ht="39.75" customFormat="1" customHeight="1" s="1591">
      <c r="A92" s="1610" t="inlineStr">
        <is>
          <t>JT.#58</t>
        </is>
      </c>
      <c r="B92" s="1610" t="inlineStr">
        <is>
          <t>3 1/2" TSH</t>
        </is>
      </c>
      <c r="C92" s="1611" t="n">
        <v>31</v>
      </c>
      <c r="D92" s="1612">
        <f>C92-0.301</f>
        <v/>
      </c>
      <c r="E92" s="1613">
        <f>E91+D92</f>
        <v/>
      </c>
      <c r="F92" s="1613">
        <f>F91-D91</f>
        <v/>
      </c>
      <c r="G92" s="1614">
        <f>G91-D92</f>
        <v/>
      </c>
      <c r="H92" s="1618" t="n"/>
      <c r="K92" s="1620" t="n"/>
    </row>
    <row r="93" ht="39.75" customFormat="1" customHeight="1" s="1591">
      <c r="A93" s="1610" t="inlineStr">
        <is>
          <t>JT.#59</t>
        </is>
      </c>
      <c r="B93" s="1610" t="inlineStr">
        <is>
          <t>3 1/2" TSH</t>
        </is>
      </c>
      <c r="C93" s="1611" t="n">
        <v>31</v>
      </c>
      <c r="D93" s="1612">
        <f>C93-0.301</f>
        <v/>
      </c>
      <c r="E93" s="1613">
        <f>E92+D93</f>
        <v/>
      </c>
      <c r="F93" s="1613">
        <f>F92-D92</f>
        <v/>
      </c>
      <c r="G93" s="1614">
        <f>G92-D93</f>
        <v/>
      </c>
      <c r="H93" s="1618" t="n"/>
      <c r="K93" s="1620" t="n"/>
    </row>
    <row r="94" ht="39.75" customFormat="1" customHeight="1" s="1591">
      <c r="A94" s="1610" t="inlineStr">
        <is>
          <t>JT.#60</t>
        </is>
      </c>
      <c r="B94" s="1610" t="inlineStr">
        <is>
          <t>3 1/2" TSH</t>
        </is>
      </c>
      <c r="C94" s="1611" t="n">
        <v>31</v>
      </c>
      <c r="D94" s="1612">
        <f>C94-0.301</f>
        <v/>
      </c>
      <c r="E94" s="1613">
        <f>E93+D94</f>
        <v/>
      </c>
      <c r="F94" s="1613">
        <f>F93-D93</f>
        <v/>
      </c>
      <c r="G94" s="1614">
        <f>G93-D94</f>
        <v/>
      </c>
      <c r="H94" s="1618" t="n"/>
      <c r="K94" s="1620" t="n"/>
    </row>
    <row r="95" ht="39.75" customFormat="1" customHeight="1" s="1591">
      <c r="A95" s="1610" t="inlineStr">
        <is>
          <t>JT.#61</t>
        </is>
      </c>
      <c r="B95" s="1610" t="inlineStr">
        <is>
          <t>3 1/2" TSH</t>
        </is>
      </c>
      <c r="C95" s="1611" t="n">
        <v>31</v>
      </c>
      <c r="D95" s="1612">
        <f>C95-0.301</f>
        <v/>
      </c>
      <c r="E95" s="1613">
        <f>E94+D95</f>
        <v/>
      </c>
      <c r="F95" s="1613">
        <f>F94-D94</f>
        <v/>
      </c>
      <c r="G95" s="1614">
        <f>G94-D95</f>
        <v/>
      </c>
      <c r="H95" s="1635" t="n"/>
      <c r="K95" s="1620" t="n"/>
    </row>
    <row r="96" ht="39.75" customFormat="1" customHeight="1" s="1591">
      <c r="A96" s="1610" t="inlineStr">
        <is>
          <t>JT.#62</t>
        </is>
      </c>
      <c r="B96" s="1610" t="inlineStr">
        <is>
          <t>3 1/2" TSH</t>
        </is>
      </c>
      <c r="C96" s="1611" t="n">
        <v>31</v>
      </c>
      <c r="D96" s="1612">
        <f>C96-0.301</f>
        <v/>
      </c>
      <c r="E96" s="1613">
        <f>E95+D96</f>
        <v/>
      </c>
      <c r="F96" s="1613">
        <f>F95-D95</f>
        <v/>
      </c>
      <c r="G96" s="1614">
        <f>G95-D96</f>
        <v/>
      </c>
      <c r="H96" s="1618" t="n"/>
      <c r="I96" s="1645" t="n"/>
      <c r="K96" s="1620" t="n"/>
    </row>
    <row r="97" ht="39.75" customFormat="1" customHeight="1" s="1591">
      <c r="A97" s="1610" t="inlineStr">
        <is>
          <t>JT.#63</t>
        </is>
      </c>
      <c r="B97" s="1610" t="inlineStr">
        <is>
          <t>3 1/2" TSH</t>
        </is>
      </c>
      <c r="C97" s="1611" t="n">
        <v>31</v>
      </c>
      <c r="D97" s="1612">
        <f>C97-0.301</f>
        <v/>
      </c>
      <c r="E97" s="1613">
        <f>E96+D97</f>
        <v/>
      </c>
      <c r="F97" s="1613">
        <f>F96-D96</f>
        <v/>
      </c>
      <c r="G97" s="1614">
        <f>G96-D97</f>
        <v/>
      </c>
      <c r="H97" s="1618" t="n"/>
      <c r="I97" s="1645" t="n"/>
      <c r="K97" s="1620" t="n"/>
    </row>
    <row r="98" ht="39.75" customFormat="1" customHeight="1" s="1591">
      <c r="A98" s="1610" t="inlineStr">
        <is>
          <t>JT.#64</t>
        </is>
      </c>
      <c r="B98" s="1610" t="inlineStr">
        <is>
          <t>3 1/2" TSH</t>
        </is>
      </c>
      <c r="C98" s="1611" t="n">
        <v>31</v>
      </c>
      <c r="D98" s="1612">
        <f>C98-0.301</f>
        <v/>
      </c>
      <c r="E98" s="1613">
        <f>E97+D98</f>
        <v/>
      </c>
      <c r="F98" s="1613">
        <f>F97-D97</f>
        <v/>
      </c>
      <c r="G98" s="1614">
        <f>G97-D98</f>
        <v/>
      </c>
      <c r="H98" s="1618" t="n"/>
      <c r="I98" s="1645" t="n"/>
      <c r="K98" s="1620" t="n"/>
    </row>
    <row r="99" ht="39.75" customFormat="1" customHeight="1" s="1591">
      <c r="A99" s="1610" t="inlineStr">
        <is>
          <t>JT.#65</t>
        </is>
      </c>
      <c r="B99" s="1610" t="inlineStr">
        <is>
          <t>3 1/2" TSH</t>
        </is>
      </c>
      <c r="C99" s="1611" t="n">
        <v>31</v>
      </c>
      <c r="D99" s="1612">
        <f>C99-0.301</f>
        <v/>
      </c>
      <c r="E99" s="1613">
        <f>E98+D99</f>
        <v/>
      </c>
      <c r="F99" s="1613">
        <f>F98-D98</f>
        <v/>
      </c>
      <c r="G99" s="1614">
        <f>G98-D99</f>
        <v/>
      </c>
      <c r="H99" s="1618" t="n"/>
      <c r="I99" s="1645" t="n"/>
      <c r="K99" s="1620" t="n"/>
    </row>
    <row r="100" ht="39.75" customFormat="1" customHeight="1" s="1591">
      <c r="A100" s="1610" t="inlineStr">
        <is>
          <t>JT.#66</t>
        </is>
      </c>
      <c r="B100" s="1610" t="inlineStr">
        <is>
          <t>3 1/2" TSH</t>
        </is>
      </c>
      <c r="C100" s="1611" t="n">
        <v>31</v>
      </c>
      <c r="D100" s="1612">
        <f>C100-0.301</f>
        <v/>
      </c>
      <c r="E100" s="1613">
        <f>E99+D100</f>
        <v/>
      </c>
      <c r="F100" s="1613">
        <f>F99-D99</f>
        <v/>
      </c>
      <c r="G100" s="1614">
        <f>G99-D100</f>
        <v/>
      </c>
      <c r="H100" s="1618" t="n"/>
      <c r="I100" s="1645" t="n"/>
      <c r="K100" s="1620" t="n"/>
    </row>
    <row r="101" ht="39.75" customFormat="1" customHeight="1" s="1591">
      <c r="A101" s="1610" t="inlineStr">
        <is>
          <t>JT.#67</t>
        </is>
      </c>
      <c r="B101" s="1610" t="inlineStr">
        <is>
          <t>3 1/2" TSH</t>
        </is>
      </c>
      <c r="C101" s="1611" t="n">
        <v>31</v>
      </c>
      <c r="D101" s="1612">
        <f>C101-0.301</f>
        <v/>
      </c>
      <c r="E101" s="1613">
        <f>E100+D101</f>
        <v/>
      </c>
      <c r="F101" s="1613">
        <f>F100-D100</f>
        <v/>
      </c>
      <c r="G101" s="1614">
        <f>G100-D101</f>
        <v/>
      </c>
      <c r="H101" s="1618" t="n"/>
      <c r="K101" s="1620" t="n"/>
    </row>
    <row r="102" ht="39.75" customFormat="1" customHeight="1" s="1591">
      <c r="A102" s="1610" t="inlineStr">
        <is>
          <t>JT.#68</t>
        </is>
      </c>
      <c r="B102" s="1610" t="inlineStr">
        <is>
          <t>3 1/2" TSH</t>
        </is>
      </c>
      <c r="C102" s="1611" t="n">
        <v>31</v>
      </c>
      <c r="D102" s="1612">
        <f>C102-0.301</f>
        <v/>
      </c>
      <c r="E102" s="1613">
        <f>E101+D102</f>
        <v/>
      </c>
      <c r="F102" s="1613">
        <f>F101-D101</f>
        <v/>
      </c>
      <c r="G102" s="1614">
        <f>G101-D102</f>
        <v/>
      </c>
      <c r="H102" s="1618" t="n"/>
      <c r="K102" s="1620" t="n"/>
    </row>
    <row r="103" ht="39.75" customFormat="1" customHeight="1" s="1591">
      <c r="A103" s="1610" t="inlineStr">
        <is>
          <t>JT.#69</t>
        </is>
      </c>
      <c r="B103" s="1610" t="inlineStr">
        <is>
          <t>3 1/2" TSH</t>
        </is>
      </c>
      <c r="C103" s="1611" t="n">
        <v>31</v>
      </c>
      <c r="D103" s="1612">
        <f>C103-0.301</f>
        <v/>
      </c>
      <c r="E103" s="1613">
        <f>E102+D103</f>
        <v/>
      </c>
      <c r="F103" s="1613">
        <f>F102-D102</f>
        <v/>
      </c>
      <c r="G103" s="1614">
        <f>G102-D103</f>
        <v/>
      </c>
      <c r="H103" s="1635" t="n"/>
      <c r="K103" s="1620" t="n"/>
    </row>
    <row r="104" ht="39.75" customFormat="1" customHeight="1" s="1591">
      <c r="A104" s="1610" t="inlineStr">
        <is>
          <t>JT.#70</t>
        </is>
      </c>
      <c r="B104" s="1610" t="inlineStr">
        <is>
          <t>3 1/2" TSH</t>
        </is>
      </c>
      <c r="C104" s="1611" t="n">
        <v>31</v>
      </c>
      <c r="D104" s="1612">
        <f>C104-0.301</f>
        <v/>
      </c>
      <c r="E104" s="1613">
        <f>E103+D104</f>
        <v/>
      </c>
      <c r="F104" s="1613">
        <f>F103-D103</f>
        <v/>
      </c>
      <c r="G104" s="1614">
        <f>G103-D104</f>
        <v/>
      </c>
      <c r="H104" s="1618" t="n"/>
      <c r="K104" s="1620" t="n"/>
    </row>
    <row r="105" ht="39.75" customFormat="1" customHeight="1" s="1591">
      <c r="A105" s="1610" t="inlineStr">
        <is>
          <t>JT.#71</t>
        </is>
      </c>
      <c r="B105" s="1610" t="inlineStr">
        <is>
          <t>3 1/2" TSH</t>
        </is>
      </c>
      <c r="C105" s="1611" t="n">
        <v>31</v>
      </c>
      <c r="D105" s="1612">
        <f>C105-0.301</f>
        <v/>
      </c>
      <c r="E105" s="1613">
        <f>E104+D105</f>
        <v/>
      </c>
      <c r="F105" s="1613">
        <f>F104-D104</f>
        <v/>
      </c>
      <c r="G105" s="1614">
        <f>G104-D105</f>
        <v/>
      </c>
      <c r="H105" s="1618" t="n"/>
      <c r="K105" s="1620" t="n"/>
    </row>
    <row r="106" ht="39.75" customFormat="1" customHeight="1" s="1591">
      <c r="A106" s="1610" t="inlineStr">
        <is>
          <t>JT.#72</t>
        </is>
      </c>
      <c r="B106" s="1610" t="inlineStr">
        <is>
          <t>3 1/2" TSH</t>
        </is>
      </c>
      <c r="C106" s="1611" t="n">
        <v>31</v>
      </c>
      <c r="D106" s="1612">
        <f>C106-0.301</f>
        <v/>
      </c>
      <c r="E106" s="1613">
        <f>E105+D106</f>
        <v/>
      </c>
      <c r="F106" s="1613">
        <f>F105-D105</f>
        <v/>
      </c>
      <c r="G106" s="1614">
        <f>G105-D106</f>
        <v/>
      </c>
      <c r="H106" s="1618" t="n"/>
      <c r="K106" s="1620" t="n"/>
    </row>
    <row r="107" ht="39.75" customFormat="1" customHeight="1" s="1591">
      <c r="A107" s="1610" t="inlineStr">
        <is>
          <t>JT.#73</t>
        </is>
      </c>
      <c r="B107" s="1610" t="inlineStr">
        <is>
          <t>3 1/2" TSH</t>
        </is>
      </c>
      <c r="C107" s="1611" t="n">
        <v>31</v>
      </c>
      <c r="D107" s="1612">
        <f>C107-0.301</f>
        <v/>
      </c>
      <c r="E107" s="1613">
        <f>E106+D107</f>
        <v/>
      </c>
      <c r="F107" s="1613">
        <f>F106-D106</f>
        <v/>
      </c>
      <c r="G107" s="1614">
        <f>G106-D107</f>
        <v/>
      </c>
      <c r="H107" s="1618" t="n"/>
      <c r="K107" s="1620" t="n"/>
    </row>
    <row r="108" ht="39.75" customFormat="1" customHeight="1" s="1591">
      <c r="A108" s="1610" t="inlineStr">
        <is>
          <t>JT.#74</t>
        </is>
      </c>
      <c r="B108" s="1610" t="inlineStr">
        <is>
          <t>3 1/2" TSH</t>
        </is>
      </c>
      <c r="C108" s="1611" t="n">
        <v>31</v>
      </c>
      <c r="D108" s="1612">
        <f>C108-0.301</f>
        <v/>
      </c>
      <c r="E108" s="1613">
        <f>E107+D108</f>
        <v/>
      </c>
      <c r="F108" s="1613">
        <f>F107-D107</f>
        <v/>
      </c>
      <c r="G108" s="1614">
        <f>G107-D108</f>
        <v/>
      </c>
      <c r="H108" s="1618" t="n"/>
      <c r="K108" s="1620" t="n"/>
    </row>
    <row r="109" ht="39.75" customFormat="1" customHeight="1" s="1591">
      <c r="A109" s="1610" t="inlineStr">
        <is>
          <t>JT.#75</t>
        </is>
      </c>
      <c r="B109" s="1610" t="inlineStr">
        <is>
          <t>3 1/2" TSH</t>
        </is>
      </c>
      <c r="C109" s="1611" t="n">
        <v>31</v>
      </c>
      <c r="D109" s="1612">
        <f>C109-0.301</f>
        <v/>
      </c>
      <c r="E109" s="1613">
        <f>E108+D109</f>
        <v/>
      </c>
      <c r="F109" s="1613">
        <f>F108-D108</f>
        <v/>
      </c>
      <c r="G109" s="1614">
        <f>G108-D109</f>
        <v/>
      </c>
      <c r="H109" s="1618" t="n"/>
      <c r="K109" s="1620" t="n"/>
    </row>
    <row r="110" ht="39.75" customFormat="1" customHeight="1" s="1591">
      <c r="A110" s="1610" t="inlineStr">
        <is>
          <t>JT.#76</t>
        </is>
      </c>
      <c r="B110" s="1610" t="inlineStr">
        <is>
          <t>3 1/2" TSH</t>
        </is>
      </c>
      <c r="C110" s="1611" t="n">
        <v>31</v>
      </c>
      <c r="D110" s="1612">
        <f>C110-0.301</f>
        <v/>
      </c>
      <c r="E110" s="1613">
        <f>E109+D110</f>
        <v/>
      </c>
      <c r="F110" s="1613">
        <f>F109-D109</f>
        <v/>
      </c>
      <c r="G110" s="1614">
        <f>G109-D110</f>
        <v/>
      </c>
      <c r="H110" s="1618" t="n"/>
      <c r="K110" s="1620" t="n"/>
    </row>
    <row r="111" ht="39.75" customFormat="1" customHeight="1" s="1591">
      <c r="A111" s="1610" t="inlineStr">
        <is>
          <t>JT.#77</t>
        </is>
      </c>
      <c r="B111" s="1610" t="inlineStr">
        <is>
          <t>3 1/2" TSH</t>
        </is>
      </c>
      <c r="C111" s="1611" t="n">
        <v>31</v>
      </c>
      <c r="D111" s="1612">
        <f>C111-0.301</f>
        <v/>
      </c>
      <c r="E111" s="1613">
        <f>E110+D111</f>
        <v/>
      </c>
      <c r="F111" s="1613">
        <f>F110-D110</f>
        <v/>
      </c>
      <c r="G111" s="1614">
        <f>G110-D111</f>
        <v/>
      </c>
      <c r="H111" s="1618" t="n"/>
      <c r="K111" s="1620" t="n"/>
    </row>
    <row r="112" ht="39" customFormat="1" customHeight="1" s="1591">
      <c r="A112" s="1646" t="inlineStr">
        <is>
          <t>D2</t>
        </is>
      </c>
      <c r="B112" s="1647" t="inlineStr">
        <is>
          <t>UPPER CONN. 3-1/2" VAM TOP BOX 9.2 PPF SN 28 110 KSI
DESCRIPTION: 5 FEET XOVER
SAP: 130005011340
SUPPLIER: TENARIS
LOWER CONN. 3-1/2" TSH BLUE PIN 9.2 PPF SN 28 110 KSI</t>
        </is>
      </c>
      <c r="C112" s="1648" t="n">
        <v>5.18</v>
      </c>
      <c r="D112" s="1612">
        <f>C112-0.301</f>
        <v/>
      </c>
      <c r="E112" s="1613">
        <f>E111+D112</f>
        <v/>
      </c>
      <c r="F112" s="1613">
        <f>F111-D111</f>
        <v/>
      </c>
      <c r="G112" s="1614">
        <f>G111-D112</f>
        <v/>
      </c>
      <c r="H112" s="1618" t="n"/>
      <c r="K112" s="1620" t="n"/>
    </row>
    <row r="113" ht="39.75" customFormat="1" customHeight="1" s="1591">
      <c r="A113" s="1624" t="n"/>
      <c r="B113" s="1647" t="inlineStr">
        <is>
          <t>UPPER CONN. 3-1/2" SENTINEL PRIME BOX 9.2 PPF TX28- 110 KSI
DESCRIPTION: 5 FEET XOVER
SAP: 130013006385
SUPPLIER: TBX
LOWER CONN. 3-1/2" VAM TOP PIN 9.2 PPF TX28-110 KSI</t>
        </is>
      </c>
      <c r="C113" s="1648" t="n">
        <v>4.97</v>
      </c>
      <c r="D113" s="1612">
        <f>C113-0.301</f>
        <v/>
      </c>
      <c r="E113" s="1613">
        <f>E112+D113</f>
        <v/>
      </c>
      <c r="F113" s="1613">
        <f>F112-D112</f>
        <v/>
      </c>
      <c r="G113" s="1614">
        <f>G112-D113</f>
        <v/>
      </c>
      <c r="H113" s="1635" t="n"/>
      <c r="K113" s="1620" t="n"/>
    </row>
    <row r="114" ht="39.75" customFormat="1" customHeight="1" s="1591">
      <c r="A114" s="1624" t="n"/>
      <c r="B114" s="1647"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14" s="1648" t="n">
        <v>8.69</v>
      </c>
      <c r="D114" s="1612">
        <f>C114-0.301</f>
        <v/>
      </c>
      <c r="E114" s="1613">
        <f>E113+D114</f>
        <v/>
      </c>
      <c r="F114" s="1613">
        <f>F113-D113</f>
        <v/>
      </c>
      <c r="G114" s="1614">
        <f>G113-D114</f>
        <v/>
      </c>
      <c r="H114" s="1618" t="n"/>
      <c r="K114" s="1620" t="n"/>
    </row>
    <row r="115" ht="39.75" customFormat="1" customHeight="1" s="1591">
      <c r="A115" s="1624" t="n"/>
      <c r="B115" s="1647" t="inlineStr">
        <is>
          <t>UPPER CONN. 3-1/2" VAM TOP BOX 9.2 PPF TX28- 110 KSI
DESCRIPTION: 5 FEET XOVER
SAP: 130013006383
SUPPLIER: TBX
LOWER CONN -3-1/2" SENTINEL PRIME PIN 9.2 PPF TX28-110 KSI</t>
        </is>
      </c>
      <c r="C115" s="1648" t="n">
        <v>4.8</v>
      </c>
      <c r="D115" s="1612">
        <f>C115-0.301</f>
        <v/>
      </c>
      <c r="E115" s="1613">
        <f>E114+D115</f>
        <v/>
      </c>
      <c r="F115" s="1613">
        <f>F114-D114</f>
        <v/>
      </c>
      <c r="G115" s="1614">
        <f>G114-D115</f>
        <v/>
      </c>
      <c r="H115" s="1618" t="n"/>
      <c r="K115" s="1620" t="n"/>
    </row>
    <row r="116" ht="39.75" customFormat="1" customHeight="1" s="1591">
      <c r="A116" s="1172" t="n"/>
      <c r="B116" s="1647" t="inlineStr">
        <is>
          <t>UPPER CONN. 3-1/2" TSH BLUE BOX 9.2 PPF SN 28 110 KSI
DESCRIPTION: 10 FEET XOVER
SAP: 130005012487
SUPPLIER: TENARIS
LOWER CONN. 3-1/2" VAM TOP PIN 9.2 PPF SN 28 110 KSI</t>
        </is>
      </c>
      <c r="C116" s="1648" t="n">
        <v>9.949999999999999</v>
      </c>
      <c r="D116" s="1612">
        <f>C116-0.301</f>
        <v/>
      </c>
      <c r="E116" s="1613">
        <f>E115+D116</f>
        <v/>
      </c>
      <c r="F116" s="1613">
        <f>F115-D115</f>
        <v/>
      </c>
      <c r="G116" s="1614">
        <f>G115-D116</f>
        <v/>
      </c>
      <c r="H116" s="1618" t="n"/>
      <c r="K116" s="1620" t="n"/>
    </row>
    <row r="117" ht="39.75" customFormat="1" customHeight="1" s="1591">
      <c r="A117" s="1610" t="inlineStr">
        <is>
          <t>JT.#78</t>
        </is>
      </c>
      <c r="B117" s="1610" t="inlineStr">
        <is>
          <t>3 1/2" TSH</t>
        </is>
      </c>
      <c r="C117" s="1611" t="n">
        <v>31</v>
      </c>
      <c r="D117" s="1612">
        <f>C117-0.301</f>
        <v/>
      </c>
      <c r="E117" s="1613">
        <f>E116+D117</f>
        <v/>
      </c>
      <c r="F117" s="1613">
        <f>F116-D116</f>
        <v/>
      </c>
      <c r="G117" s="1614">
        <f>G116-D117</f>
        <v/>
      </c>
      <c r="H117" s="1618" t="n"/>
      <c r="K117" s="1620" t="n"/>
    </row>
    <row r="118" ht="39.75" customFormat="1" customHeight="1" s="1591">
      <c r="A118" s="1610" t="inlineStr">
        <is>
          <t>JT.#79</t>
        </is>
      </c>
      <c r="B118" s="1610" t="inlineStr">
        <is>
          <t>3 1/2" TSH</t>
        </is>
      </c>
      <c r="C118" s="1611" t="n">
        <v>31</v>
      </c>
      <c r="D118" s="1649">
        <f>C118-0.301</f>
        <v/>
      </c>
      <c r="E118" s="1613">
        <f>E117+D118</f>
        <v/>
      </c>
      <c r="F118" s="1613">
        <f>F117-D117</f>
        <v/>
      </c>
      <c r="G118" s="1614">
        <f>G117-D118</f>
        <v/>
      </c>
      <c r="H118" s="1634" t="n"/>
      <c r="K118" s="1620" t="n"/>
    </row>
    <row r="119" ht="39.75" customFormat="1" customHeight="1" s="1591">
      <c r="A119" s="1610" t="inlineStr">
        <is>
          <t>JT.#80</t>
        </is>
      </c>
      <c r="B119" s="1610" t="inlineStr">
        <is>
          <t>3 1/2" TSH</t>
        </is>
      </c>
      <c r="C119" s="1611" t="n">
        <v>31</v>
      </c>
      <c r="D119" s="1649">
        <f>C119-0.301</f>
        <v/>
      </c>
      <c r="E119" s="1613">
        <f>E118+D119</f>
        <v/>
      </c>
      <c r="F119" s="1613">
        <f>F118-D118</f>
        <v/>
      </c>
      <c r="G119" s="1614">
        <f>G118-D119</f>
        <v/>
      </c>
      <c r="H119" s="1618" t="n"/>
      <c r="K119" s="1620" t="n"/>
    </row>
    <row r="120" ht="39.75" customFormat="1" customHeight="1" s="1591">
      <c r="A120" s="1610" t="inlineStr">
        <is>
          <t>JT.#81</t>
        </is>
      </c>
      <c r="B120" s="1610" t="inlineStr">
        <is>
          <t>3 1/2" TSH</t>
        </is>
      </c>
      <c r="C120" s="1611" t="n">
        <v>31</v>
      </c>
      <c r="D120" s="1612">
        <f>C120-0.301</f>
        <v/>
      </c>
      <c r="E120" s="1613">
        <f>E119+D120</f>
        <v/>
      </c>
      <c r="F120" s="1613">
        <f>F119-D119</f>
        <v/>
      </c>
      <c r="G120" s="1614">
        <f>G119-D120</f>
        <v/>
      </c>
      <c r="H120" s="1618" t="n"/>
      <c r="K120" s="1620" t="n"/>
    </row>
    <row r="121" ht="39.75" customFormat="1" customHeight="1" s="1591">
      <c r="A121" s="1610" t="inlineStr">
        <is>
          <t>JT.#82</t>
        </is>
      </c>
      <c r="B121" s="1610" t="inlineStr">
        <is>
          <t>3 1/2" TSH</t>
        </is>
      </c>
      <c r="C121" s="1611" t="n">
        <v>31</v>
      </c>
      <c r="D121" s="1612">
        <f>C121-0.301</f>
        <v/>
      </c>
      <c r="E121" s="1613">
        <f>E120+D121</f>
        <v/>
      </c>
      <c r="F121" s="1613">
        <f>F120-D120</f>
        <v/>
      </c>
      <c r="G121" s="1614">
        <f>G120-D121</f>
        <v/>
      </c>
      <c r="H121" s="1618" t="n"/>
      <c r="K121" s="1620" t="n"/>
    </row>
    <row r="122" ht="39.75" customFormat="1" customHeight="1" s="1591">
      <c r="A122" s="1610" t="inlineStr">
        <is>
          <t>JT.#83</t>
        </is>
      </c>
      <c r="B122" s="1610" t="inlineStr">
        <is>
          <t>3 1/2" TSH</t>
        </is>
      </c>
      <c r="C122" s="1611" t="n">
        <v>31</v>
      </c>
      <c r="D122" s="1612">
        <f>C122-0.301</f>
        <v/>
      </c>
      <c r="E122" s="1613">
        <f>E121+D122</f>
        <v/>
      </c>
      <c r="F122" s="1613">
        <f>F121-D121</f>
        <v/>
      </c>
      <c r="G122" s="1614">
        <f>G121-D122</f>
        <v/>
      </c>
      <c r="H122" s="1618" t="n"/>
      <c r="K122" s="1620" t="n"/>
    </row>
    <row r="123" ht="39.75" customFormat="1" customHeight="1" s="1591">
      <c r="A123" s="1610" t="inlineStr">
        <is>
          <t>JT.#84</t>
        </is>
      </c>
      <c r="B123" s="1610" t="inlineStr">
        <is>
          <t>3 1/2" TSH</t>
        </is>
      </c>
      <c r="C123" s="1611" t="n">
        <v>31</v>
      </c>
      <c r="D123" s="1612">
        <f>C123-0.301</f>
        <v/>
      </c>
      <c r="E123" s="1613">
        <f>E122+D123</f>
        <v/>
      </c>
      <c r="F123" s="1613">
        <f>F122-D122</f>
        <v/>
      </c>
      <c r="G123" s="1614">
        <f>G122-D123</f>
        <v/>
      </c>
      <c r="H123" s="1618" t="n"/>
      <c r="K123" s="1620" t="n"/>
    </row>
    <row r="124" ht="39.75" customFormat="1" customHeight="1" s="1591">
      <c r="A124" s="1610" t="inlineStr">
        <is>
          <t>JT.#85</t>
        </is>
      </c>
      <c r="B124" s="1610" t="inlineStr">
        <is>
          <t>3 1/2" TSH</t>
        </is>
      </c>
      <c r="C124" s="1611" t="n">
        <v>31</v>
      </c>
      <c r="D124" s="1612">
        <f>C124-0.301</f>
        <v/>
      </c>
      <c r="E124" s="1613">
        <f>E123+D124</f>
        <v/>
      </c>
      <c r="F124" s="1613">
        <f>F123-D123</f>
        <v/>
      </c>
      <c r="G124" s="1614">
        <f>G123-D124</f>
        <v/>
      </c>
      <c r="H124" s="1635" t="n"/>
      <c r="K124" s="1620" t="n"/>
    </row>
    <row r="125" ht="39.75" customFormat="1" customHeight="1" s="1591">
      <c r="A125" s="1610" t="inlineStr">
        <is>
          <t>JT.#86</t>
        </is>
      </c>
      <c r="B125" s="1610" t="inlineStr">
        <is>
          <t>3 1/2" TSH</t>
        </is>
      </c>
      <c r="C125" s="1611" t="n">
        <v>31</v>
      </c>
      <c r="D125" s="1612">
        <f>C125-0.301</f>
        <v/>
      </c>
      <c r="E125" s="1613">
        <f>E124+D125</f>
        <v/>
      </c>
      <c r="F125" s="1613">
        <f>F124-D124</f>
        <v/>
      </c>
      <c r="G125" s="1614">
        <f>G124-D125</f>
        <v/>
      </c>
      <c r="H125" s="1618" t="n"/>
      <c r="K125" s="1620" t="n"/>
    </row>
    <row r="126" ht="39.75" customFormat="1" customHeight="1" s="1591">
      <c r="A126" s="1610" t="inlineStr">
        <is>
          <t>JT.#87</t>
        </is>
      </c>
      <c r="B126" s="1610" t="inlineStr">
        <is>
          <t>3 1/2" TSH</t>
        </is>
      </c>
      <c r="C126" s="1611" t="n">
        <v>31</v>
      </c>
      <c r="D126" s="1612">
        <f>C126-0.301</f>
        <v/>
      </c>
      <c r="E126" s="1613">
        <f>E125+D126</f>
        <v/>
      </c>
      <c r="F126" s="1613">
        <f>F125-D125</f>
        <v/>
      </c>
      <c r="G126" s="1614">
        <f>G125-D126</f>
        <v/>
      </c>
      <c r="H126" s="1618" t="n"/>
      <c r="K126" s="1620" t="n"/>
    </row>
    <row r="127" ht="39.75" customFormat="1" customHeight="1" s="1591">
      <c r="A127" s="1610" t="inlineStr">
        <is>
          <t>JT.#88</t>
        </is>
      </c>
      <c r="B127" s="1610" t="inlineStr">
        <is>
          <t>3 1/2" TSH</t>
        </is>
      </c>
      <c r="C127" s="1611" t="n">
        <v>31</v>
      </c>
      <c r="D127" s="1612">
        <f>C127-0.301</f>
        <v/>
      </c>
      <c r="E127" s="1613">
        <f>E126+D127</f>
        <v/>
      </c>
      <c r="F127" s="1613">
        <f>F126-D126</f>
        <v/>
      </c>
      <c r="G127" s="1614">
        <f>G126-D127</f>
        <v/>
      </c>
      <c r="H127" s="1618" t="n"/>
      <c r="K127" s="1620" t="n"/>
    </row>
    <row r="128" ht="39.75" customFormat="1" customHeight="1" s="1591">
      <c r="A128" s="1610" t="inlineStr">
        <is>
          <t>JT.#89</t>
        </is>
      </c>
      <c r="B128" s="1610" t="inlineStr">
        <is>
          <t>3 1/2" TSH</t>
        </is>
      </c>
      <c r="C128" s="1611" t="n">
        <v>31</v>
      </c>
      <c r="D128" s="1612">
        <f>C128-0.301</f>
        <v/>
      </c>
      <c r="E128" s="1613">
        <f>E127+D128</f>
        <v/>
      </c>
      <c r="F128" s="1613">
        <f>F127-D127</f>
        <v/>
      </c>
      <c r="G128" s="1614">
        <f>G127-D128</f>
        <v/>
      </c>
      <c r="H128" s="1618" t="n"/>
      <c r="K128" s="1620" t="n"/>
    </row>
    <row r="129" ht="39.75" customFormat="1" customHeight="1" s="1591">
      <c r="A129" s="1610" t="inlineStr">
        <is>
          <t>JT.#90</t>
        </is>
      </c>
      <c r="B129" s="1610" t="inlineStr">
        <is>
          <t>3 1/2" TSH</t>
        </is>
      </c>
      <c r="C129" s="1611" t="n">
        <v>31</v>
      </c>
      <c r="D129" s="1612">
        <f>C129-0.301</f>
        <v/>
      </c>
      <c r="E129" s="1613">
        <f>E128+D129</f>
        <v/>
      </c>
      <c r="F129" s="1613">
        <f>F128-D128</f>
        <v/>
      </c>
      <c r="G129" s="1614">
        <f>G128-D129</f>
        <v/>
      </c>
      <c r="H129" s="1618" t="n"/>
      <c r="K129" s="1620" t="n"/>
    </row>
    <row r="130" ht="39.75" customFormat="1" customHeight="1" s="1591">
      <c r="A130" s="1610" t="inlineStr">
        <is>
          <t>JT.#91</t>
        </is>
      </c>
      <c r="B130" s="1610" t="inlineStr">
        <is>
          <t>3 1/2" TSH</t>
        </is>
      </c>
      <c r="C130" s="1611" t="n">
        <v>31</v>
      </c>
      <c r="D130" s="1612">
        <f>C130-0.301</f>
        <v/>
      </c>
      <c r="E130" s="1613">
        <f>E129+D130</f>
        <v/>
      </c>
      <c r="F130" s="1613">
        <f>F129-D129</f>
        <v/>
      </c>
      <c r="G130" s="1614">
        <f>G129-D130</f>
        <v/>
      </c>
      <c r="H130" s="1618" t="n"/>
      <c r="K130" s="1620" t="n"/>
    </row>
    <row r="131" ht="39.75" customFormat="1" customHeight="1" s="1591">
      <c r="A131" s="1610" t="inlineStr">
        <is>
          <t>JT.#92</t>
        </is>
      </c>
      <c r="B131" s="1610" t="inlineStr">
        <is>
          <t>3 1/2" TSH</t>
        </is>
      </c>
      <c r="C131" s="1611" t="n">
        <v>31</v>
      </c>
      <c r="D131" s="1612">
        <f>C131-0.301</f>
        <v/>
      </c>
      <c r="E131" s="1613">
        <f>E130+D131</f>
        <v/>
      </c>
      <c r="F131" s="1613">
        <f>F130-D130</f>
        <v/>
      </c>
      <c r="G131" s="1614">
        <f>G130-D131</f>
        <v/>
      </c>
      <c r="H131" s="1618" t="n"/>
      <c r="K131" s="1620" t="n"/>
    </row>
    <row r="132" ht="39.75" customFormat="1" customHeight="1" s="1591">
      <c r="A132" s="1610" t="inlineStr">
        <is>
          <t>JT.#93</t>
        </is>
      </c>
      <c r="B132" s="1610" t="inlineStr">
        <is>
          <t>3 1/2" TSH</t>
        </is>
      </c>
      <c r="C132" s="1611" t="n">
        <v>31</v>
      </c>
      <c r="D132" s="1612">
        <f>C132-0.301</f>
        <v/>
      </c>
      <c r="E132" s="1613">
        <f>E131+D132</f>
        <v/>
      </c>
      <c r="F132" s="1613">
        <f>F131-D131</f>
        <v/>
      </c>
      <c r="G132" s="1614">
        <f>G131-D132</f>
        <v/>
      </c>
      <c r="H132" s="1618" t="n"/>
      <c r="K132" s="1620" t="n"/>
    </row>
    <row r="133" ht="39.75" customFormat="1" customHeight="1" s="1591">
      <c r="A133" s="1610" t="inlineStr">
        <is>
          <t>JT.#94</t>
        </is>
      </c>
      <c r="B133" s="1610" t="inlineStr">
        <is>
          <t>3 1/2" TSH</t>
        </is>
      </c>
      <c r="C133" s="1611" t="n">
        <v>31</v>
      </c>
      <c r="D133" s="1612">
        <f>C133-0.301</f>
        <v/>
      </c>
      <c r="E133" s="1613">
        <f>E132+D133</f>
        <v/>
      </c>
      <c r="F133" s="1613">
        <f>F132-D132</f>
        <v/>
      </c>
      <c r="G133" s="1614">
        <f>G132-D133</f>
        <v/>
      </c>
      <c r="H133" s="1635" t="n"/>
      <c r="K133" s="1620" t="n"/>
    </row>
    <row r="134" ht="39.75" customFormat="1" customHeight="1" s="1591">
      <c r="A134" s="1610" t="inlineStr">
        <is>
          <t>JT.#95</t>
        </is>
      </c>
      <c r="B134" s="1610" t="inlineStr">
        <is>
          <t>3 1/2" TSH</t>
        </is>
      </c>
      <c r="C134" s="1611" t="n">
        <v>31</v>
      </c>
      <c r="D134" s="1612">
        <f>C134-0.301</f>
        <v/>
      </c>
      <c r="E134" s="1613">
        <f>E133+D134</f>
        <v/>
      </c>
      <c r="F134" s="1613">
        <f>F133-D133</f>
        <v/>
      </c>
      <c r="G134" s="1614">
        <f>G133-D134</f>
        <v/>
      </c>
      <c r="H134" s="1618" t="n"/>
      <c r="K134" s="1620" t="n"/>
    </row>
    <row r="135" ht="39.75" customFormat="1" customHeight="1" s="1591">
      <c r="A135" s="1610" t="inlineStr">
        <is>
          <t>JT.#96</t>
        </is>
      </c>
      <c r="B135" s="1610" t="inlineStr">
        <is>
          <t>3 1/2" TSH</t>
        </is>
      </c>
      <c r="C135" s="1611" t="n">
        <v>31</v>
      </c>
      <c r="D135" s="1612">
        <f>C135-0.301</f>
        <v/>
      </c>
      <c r="E135" s="1613">
        <f>E134+D135</f>
        <v/>
      </c>
      <c r="F135" s="1613">
        <f>F134-D134</f>
        <v/>
      </c>
      <c r="G135" s="1614">
        <f>G134-D135</f>
        <v/>
      </c>
      <c r="H135" s="1618" t="n"/>
      <c r="K135" s="1620" t="n"/>
    </row>
    <row r="136" ht="39.75" customFormat="1" customHeight="1" s="1591">
      <c r="A136" s="1610" t="inlineStr">
        <is>
          <t>JT.#97</t>
        </is>
      </c>
      <c r="B136" s="1610" t="inlineStr">
        <is>
          <t>3 1/2" TSH</t>
        </is>
      </c>
      <c r="C136" s="1611" t="n">
        <v>31</v>
      </c>
      <c r="D136" s="1612">
        <f>C136-0.301</f>
        <v/>
      </c>
      <c r="E136" s="1613">
        <f>E135+D136</f>
        <v/>
      </c>
      <c r="F136" s="1613">
        <f>F135-D135</f>
        <v/>
      </c>
      <c r="G136" s="1614">
        <f>G135-D136</f>
        <v/>
      </c>
      <c r="H136" s="1618" t="n"/>
      <c r="K136" s="1620" t="n"/>
    </row>
    <row r="137" ht="39.75" customFormat="1" customHeight="1" s="1591">
      <c r="A137" s="1650" t="inlineStr">
        <is>
          <t>D3</t>
        </is>
      </c>
      <c r="B137" s="1651" t="inlineStr">
        <is>
          <t>UPPER CONN. 3-1/2" VAM TOP BOX 9.2 PPF SN 28 110 KSI
DESCRIPTION: 5 FEET XOVER
SAP: 130005011340
SUPPLIER: TENARIS
LOWER CONN. 3-1/2" TSH BLUE PIN 9.2 PPF SN 28 110 KSI</t>
        </is>
      </c>
      <c r="C137" s="1652" t="n">
        <v>5.19</v>
      </c>
      <c r="D137" s="1612">
        <f>C137-0.301</f>
        <v/>
      </c>
      <c r="E137" s="1613">
        <f>E136+D137</f>
        <v/>
      </c>
      <c r="F137" s="1613">
        <f>F136-D136</f>
        <v/>
      </c>
      <c r="G137" s="1614">
        <f>G136-D137</f>
        <v/>
      </c>
      <c r="H137" s="1618" t="n"/>
      <c r="K137" s="1620" t="n"/>
    </row>
    <row r="138" ht="39.75" customFormat="1" customHeight="1" s="1591">
      <c r="A138" s="1624" t="n"/>
      <c r="B138" s="1651" t="inlineStr">
        <is>
          <t>UPPER CONN. 3-1/2" SENTINEL PRIME BOX 9.2 PPF TX28-110 KSI
DESCRIPTION: 5 FEET XOVER
SAP: 130013006385
SUPPLIER: TBX
LOWER CONN. 3-1/2" VAM TOP PIN 9.2 PPF TX28-110 KSI</t>
        </is>
      </c>
      <c r="C138" s="1652" t="n">
        <v>4.96</v>
      </c>
      <c r="D138" s="1612">
        <f>C138-0.301</f>
        <v/>
      </c>
      <c r="E138" s="1613">
        <f>E137+D138</f>
        <v/>
      </c>
      <c r="F138" s="1613">
        <f>F137-D137</f>
        <v/>
      </c>
      <c r="G138" s="1614">
        <f>G137-D138</f>
        <v/>
      </c>
      <c r="H138" s="1618" t="n"/>
      <c r="K138" s="1620" t="n"/>
    </row>
    <row r="139" ht="39.75" customFormat="1" customHeight="1" s="1591">
      <c r="A139" s="1624" t="n"/>
      <c r="B139" s="1651"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39" s="1652" t="n">
        <v>8.69</v>
      </c>
      <c r="D139" s="1612">
        <f>C139-0.301</f>
        <v/>
      </c>
      <c r="E139" s="1613">
        <f>E138+D139</f>
        <v/>
      </c>
      <c r="F139" s="1613">
        <f>F138-D138</f>
        <v/>
      </c>
      <c r="G139" s="1614">
        <f>G138-D139</f>
        <v/>
      </c>
      <c r="H139" s="1618" t="n"/>
      <c r="K139" s="1620" t="n"/>
    </row>
    <row r="140" ht="39.75" customFormat="1" customHeight="1" s="1591">
      <c r="A140" s="1624" t="n"/>
      <c r="B140" s="1651" t="inlineStr">
        <is>
          <t>UPPER CONN. 3-1/2" VAM TOP BOX 9.2 PPF TX28- 110 KSI
DESCRIPTION: 5 FEET XOVER
SAP: 130013006383
SUPPLIER: TBX
LOWER CONN -3-1/2" SENTINEL PRIME PIN 9.2 PPF TX28-110 KSI</t>
        </is>
      </c>
      <c r="C140" s="1652" t="n">
        <v>4.88</v>
      </c>
      <c r="D140" s="1612">
        <f>C140-0.301</f>
        <v/>
      </c>
      <c r="E140" s="1613">
        <f>E139+D140</f>
        <v/>
      </c>
      <c r="F140" s="1613">
        <f>F139-D139</f>
        <v/>
      </c>
      <c r="G140" s="1614">
        <f>G139-D140</f>
        <v/>
      </c>
      <c r="H140" s="1618" t="n"/>
      <c r="K140" s="1620" t="n"/>
    </row>
    <row r="141" ht="39.75" customFormat="1" customHeight="1" s="1591">
      <c r="A141" s="1172" t="n"/>
      <c r="B141" s="1651" t="inlineStr">
        <is>
          <t>UPPER CONN. 3-1/2" TSH BLUE BOX 9.2 PPF SN 28 110 KSI
DESCRIPTION: 10 FEET XOVER
SAP: 130005012487
SUPPLIER: TENARIS
LOWER CONN. 3-1/2" VAM TOP PIN 9.2 PPF SN 28 110 KSI</t>
        </is>
      </c>
      <c r="C141" s="1652" t="n">
        <v>9.93</v>
      </c>
      <c r="D141" s="1612">
        <f>C141-0.301</f>
        <v/>
      </c>
      <c r="E141" s="1613">
        <f>E140+D141</f>
        <v/>
      </c>
      <c r="F141" s="1613">
        <f>F140-D140</f>
        <v/>
      </c>
      <c r="G141" s="1614">
        <f>G140-D141</f>
        <v/>
      </c>
      <c r="H141" s="1618" t="n"/>
      <c r="K141" s="1620" t="n"/>
    </row>
    <row r="142" ht="39.75" customFormat="1" customHeight="1" s="1591">
      <c r="A142" s="1610" t="inlineStr">
        <is>
          <t>JT.#98</t>
        </is>
      </c>
      <c r="B142" s="1610" t="inlineStr">
        <is>
          <t>3 1/2" TSH</t>
        </is>
      </c>
      <c r="C142" s="1611" t="n">
        <v>31</v>
      </c>
      <c r="D142" s="1612">
        <f>C142-0.301</f>
        <v/>
      </c>
      <c r="E142" s="1613">
        <f>E141+D142</f>
        <v/>
      </c>
      <c r="F142" s="1613">
        <f>F141-D141</f>
        <v/>
      </c>
      <c r="G142" s="1614">
        <f>G141-D142</f>
        <v/>
      </c>
      <c r="H142" s="1618" t="n"/>
      <c r="K142" s="1620" t="n"/>
    </row>
    <row r="143" ht="39.75" customFormat="1" customHeight="1" s="1591">
      <c r="A143" s="1610" t="inlineStr">
        <is>
          <t>JT.#99</t>
        </is>
      </c>
      <c r="B143" s="1610" t="inlineStr">
        <is>
          <t>3 1/2" TSH</t>
        </is>
      </c>
      <c r="C143" s="1611" t="n">
        <v>31</v>
      </c>
      <c r="D143" s="1612">
        <f>C143-0.301</f>
        <v/>
      </c>
      <c r="E143" s="1613">
        <f>E142+D143</f>
        <v/>
      </c>
      <c r="F143" s="1613">
        <f>F142-D142</f>
        <v/>
      </c>
      <c r="G143" s="1614">
        <f>G142-D143</f>
        <v/>
      </c>
      <c r="H143" s="1635" t="n"/>
      <c r="K143" s="1620" t="n"/>
    </row>
    <row r="144" ht="39.75" customFormat="1" customHeight="1" s="1591">
      <c r="A144" s="1610" t="inlineStr">
        <is>
          <t>JT.#100</t>
        </is>
      </c>
      <c r="B144" s="1610" t="inlineStr">
        <is>
          <t>3 1/2" TSH</t>
        </is>
      </c>
      <c r="C144" s="1611" t="n">
        <v>31</v>
      </c>
      <c r="D144" s="1612">
        <f>C144-0.301</f>
        <v/>
      </c>
      <c r="E144" s="1613">
        <f>E143+D144</f>
        <v/>
      </c>
      <c r="F144" s="1613">
        <f>F143-D143</f>
        <v/>
      </c>
      <c r="G144" s="1614">
        <f>G143-D144</f>
        <v/>
      </c>
      <c r="H144" s="1618" t="n"/>
      <c r="K144" s="1620" t="n"/>
    </row>
    <row r="145" ht="39.75" customFormat="1" customHeight="1" s="1591">
      <c r="A145" s="1610" t="inlineStr">
        <is>
          <t>JT.#101</t>
        </is>
      </c>
      <c r="B145" s="1610" t="inlineStr">
        <is>
          <t>3 1/2" TSH</t>
        </is>
      </c>
      <c r="C145" s="1611" t="n">
        <v>31</v>
      </c>
      <c r="D145" s="1612">
        <f>C145-0.301</f>
        <v/>
      </c>
      <c r="E145" s="1613">
        <f>E144+D145</f>
        <v/>
      </c>
      <c r="F145" s="1613">
        <f>F144-D144</f>
        <v/>
      </c>
      <c r="G145" s="1614">
        <f>G144-D145</f>
        <v/>
      </c>
      <c r="H145" s="1618" t="n"/>
      <c r="K145" s="1620" t="n"/>
    </row>
    <row r="146" ht="39.75" customFormat="1" customHeight="1" s="1591">
      <c r="A146" s="1610" t="inlineStr">
        <is>
          <t>JT.#102</t>
        </is>
      </c>
      <c r="B146" s="1610" t="inlineStr">
        <is>
          <t>3 1/2" TSH</t>
        </is>
      </c>
      <c r="C146" s="1611" t="n">
        <v>31</v>
      </c>
      <c r="D146" s="1612">
        <f>C146-0.301</f>
        <v/>
      </c>
      <c r="E146" s="1613">
        <f>E145+D146</f>
        <v/>
      </c>
      <c r="F146" s="1613">
        <f>F145-D145</f>
        <v/>
      </c>
      <c r="G146" s="1614">
        <f>G145-D146</f>
        <v/>
      </c>
      <c r="H146" s="1618" t="n"/>
      <c r="K146" s="1620" t="n"/>
    </row>
    <row r="147" ht="39.75" customFormat="1" customHeight="1" s="1591">
      <c r="A147" s="1610" t="inlineStr">
        <is>
          <t>JT.#103</t>
        </is>
      </c>
      <c r="B147" s="1610" t="inlineStr">
        <is>
          <t>3 1/2" TSH</t>
        </is>
      </c>
      <c r="C147" s="1611" t="n">
        <v>31</v>
      </c>
      <c r="D147" s="1612">
        <f>C147-0.301</f>
        <v/>
      </c>
      <c r="E147" s="1613">
        <f>E146+D147</f>
        <v/>
      </c>
      <c r="F147" s="1613">
        <f>F146-D146</f>
        <v/>
      </c>
      <c r="G147" s="1614">
        <f>G146-D147</f>
        <v/>
      </c>
      <c r="H147" s="1618" t="n"/>
      <c r="K147" s="1620" t="n"/>
    </row>
    <row r="148" ht="39.75" customFormat="1" customHeight="1" s="1591">
      <c r="A148" s="1610" t="inlineStr">
        <is>
          <t>JT.#104</t>
        </is>
      </c>
      <c r="B148" s="1610" t="inlineStr">
        <is>
          <t>3 1/2" TSH</t>
        </is>
      </c>
      <c r="C148" s="1611" t="n">
        <v>31</v>
      </c>
      <c r="D148" s="1649">
        <f>C148-0.301</f>
        <v/>
      </c>
      <c r="E148" s="1613">
        <f>E147+D148</f>
        <v/>
      </c>
      <c r="F148" s="1613">
        <f>F147-D147</f>
        <v/>
      </c>
      <c r="G148" s="1614">
        <f>G147-D148</f>
        <v/>
      </c>
      <c r="H148" s="1634" t="n"/>
      <c r="K148" s="1620" t="n"/>
    </row>
    <row r="149" ht="39.75" customFormat="1" customHeight="1" s="1591">
      <c r="A149" s="1610" t="inlineStr">
        <is>
          <t>JT.#105</t>
        </is>
      </c>
      <c r="B149" s="1610" t="inlineStr">
        <is>
          <t>3 1/2" TSH</t>
        </is>
      </c>
      <c r="C149" s="1611" t="n">
        <v>31</v>
      </c>
      <c r="D149" s="1649">
        <f>C149-0.301</f>
        <v/>
      </c>
      <c r="E149" s="1613">
        <f>E148+D149</f>
        <v/>
      </c>
      <c r="F149" s="1613">
        <f>F148-D148</f>
        <v/>
      </c>
      <c r="G149" s="1614">
        <f>G148-D149</f>
        <v/>
      </c>
      <c r="H149" s="1653" t="n"/>
      <c r="K149" s="1620" t="n"/>
    </row>
    <row r="150" ht="39.75" customFormat="1" customHeight="1" s="1591">
      <c r="A150" s="1610" t="inlineStr">
        <is>
          <t>JT.#106</t>
        </is>
      </c>
      <c r="B150" s="1610" t="inlineStr">
        <is>
          <t>3 1/2" TSH</t>
        </is>
      </c>
      <c r="C150" s="1611" t="n">
        <v>31</v>
      </c>
      <c r="D150" s="1612">
        <f>C150-0.301</f>
        <v/>
      </c>
      <c r="E150" s="1613">
        <f>E149+D150</f>
        <v/>
      </c>
      <c r="F150" s="1613">
        <f>F149-D149</f>
        <v/>
      </c>
      <c r="G150" s="1614">
        <f>G149-D150</f>
        <v/>
      </c>
      <c r="H150" s="1618" t="n"/>
      <c r="K150" s="1620" t="n"/>
    </row>
    <row r="151" ht="39.75" customFormat="1" customHeight="1" s="1591">
      <c r="A151" s="1610" t="inlineStr">
        <is>
          <t>JT.#107</t>
        </is>
      </c>
      <c r="B151" s="1610" t="inlineStr">
        <is>
          <t>3 1/2" TSH</t>
        </is>
      </c>
      <c r="C151" s="1611" t="n">
        <v>31</v>
      </c>
      <c r="D151" s="1612">
        <f>C151-0.301</f>
        <v/>
      </c>
      <c r="E151" s="1613">
        <f>E150+D151</f>
        <v/>
      </c>
      <c r="F151" s="1613">
        <f>F150-D150</f>
        <v/>
      </c>
      <c r="G151" s="1614">
        <f>G150-D151</f>
        <v/>
      </c>
      <c r="H151" s="1618" t="n"/>
      <c r="K151" s="1620" t="n"/>
    </row>
    <row r="152" ht="39.75" customFormat="1" customHeight="1" s="1591">
      <c r="A152" s="1610" t="inlineStr">
        <is>
          <t>JT.#108</t>
        </is>
      </c>
      <c r="B152" s="1610" t="inlineStr">
        <is>
          <t>3 1/2" TSH</t>
        </is>
      </c>
      <c r="C152" s="1611" t="n">
        <v>31</v>
      </c>
      <c r="D152" s="1612">
        <f>C152-0.301</f>
        <v/>
      </c>
      <c r="E152" s="1613">
        <f>E151+D152</f>
        <v/>
      </c>
      <c r="F152" s="1613">
        <f>F151-D151</f>
        <v/>
      </c>
      <c r="G152" s="1614">
        <f>G151-D152</f>
        <v/>
      </c>
      <c r="H152" s="1618" t="n"/>
      <c r="K152" s="1620" t="n"/>
    </row>
    <row r="153" ht="39.75" customFormat="1" customHeight="1" s="1591">
      <c r="A153" s="1610" t="inlineStr">
        <is>
          <t>JT.#109</t>
        </is>
      </c>
      <c r="B153" s="1610" t="inlineStr">
        <is>
          <t>3 1/2" TSH</t>
        </is>
      </c>
      <c r="C153" s="1611" t="n">
        <v>31</v>
      </c>
      <c r="D153" s="1612">
        <f>C153-0.301</f>
        <v/>
      </c>
      <c r="E153" s="1613">
        <f>E152+D153</f>
        <v/>
      </c>
      <c r="F153" s="1613">
        <f>F152-D152</f>
        <v/>
      </c>
      <c r="G153" s="1614">
        <f>G152-D153</f>
        <v/>
      </c>
      <c r="H153" s="1635" t="n"/>
      <c r="K153" s="1620" t="n"/>
    </row>
    <row r="154" ht="39.75" customFormat="1" customHeight="1" s="1591">
      <c r="A154" s="1610" t="inlineStr">
        <is>
          <t>JT.#110</t>
        </is>
      </c>
      <c r="B154" s="1610" t="inlineStr">
        <is>
          <t>3 1/2" TSH</t>
        </is>
      </c>
      <c r="C154" s="1611" t="n">
        <v>31</v>
      </c>
      <c r="D154" s="1612">
        <f>C154-0.301</f>
        <v/>
      </c>
      <c r="E154" s="1613">
        <f>E153+D154</f>
        <v/>
      </c>
      <c r="F154" s="1613">
        <f>F153-D153</f>
        <v/>
      </c>
      <c r="G154" s="1614">
        <f>G153-D154</f>
        <v/>
      </c>
      <c r="H154" s="1618" t="n"/>
      <c r="K154" s="1620" t="n"/>
    </row>
    <row r="155" ht="39.75" customFormat="1" customHeight="1" s="1591">
      <c r="A155" s="1610" t="inlineStr">
        <is>
          <t>JT.#111</t>
        </is>
      </c>
      <c r="B155" s="1610" t="inlineStr">
        <is>
          <t>3 1/2" TSH</t>
        </is>
      </c>
      <c r="C155" s="1611" t="n">
        <v>31</v>
      </c>
      <c r="D155" s="1612">
        <f>C155-0.301</f>
        <v/>
      </c>
      <c r="E155" s="1613">
        <f>E154+D155</f>
        <v/>
      </c>
      <c r="F155" s="1613">
        <f>F154-D154</f>
        <v/>
      </c>
      <c r="G155" s="1614">
        <f>G154-D155</f>
        <v/>
      </c>
      <c r="H155" s="1618" t="n"/>
      <c r="K155" s="1620" t="n"/>
    </row>
    <row r="156" ht="39.75" customFormat="1" customHeight="1" s="1591">
      <c r="A156" s="1610" t="inlineStr">
        <is>
          <t>JT.#112</t>
        </is>
      </c>
      <c r="B156" s="1610" t="inlineStr">
        <is>
          <t>3 1/2" TSH</t>
        </is>
      </c>
      <c r="C156" s="1611" t="n">
        <v>31</v>
      </c>
      <c r="D156" s="1612">
        <f>C156-0.301</f>
        <v/>
      </c>
      <c r="E156" s="1613">
        <f>E155+D156</f>
        <v/>
      </c>
      <c r="F156" s="1613">
        <f>F155-D155</f>
        <v/>
      </c>
      <c r="G156" s="1614">
        <f>G155-D156</f>
        <v/>
      </c>
      <c r="H156" s="1618" t="n"/>
      <c r="K156" s="1620" t="n"/>
    </row>
    <row r="157" ht="39.75" customFormat="1" customHeight="1" s="1591">
      <c r="A157" s="1610" t="inlineStr">
        <is>
          <t>JT.#113</t>
        </is>
      </c>
      <c r="B157" s="1610" t="inlineStr">
        <is>
          <t>3 1/2" TSH</t>
        </is>
      </c>
      <c r="C157" s="1611" t="n">
        <v>31</v>
      </c>
      <c r="D157" s="1612">
        <f>C157-0.301</f>
        <v/>
      </c>
      <c r="E157" s="1613">
        <f>E156+D157</f>
        <v/>
      </c>
      <c r="F157" s="1613">
        <f>F156-D156</f>
        <v/>
      </c>
      <c r="G157" s="1614">
        <f>G156-D157</f>
        <v/>
      </c>
      <c r="H157" s="1618" t="n"/>
      <c r="K157" s="1620" t="n"/>
    </row>
    <row r="158" ht="39.75" customFormat="1" customHeight="1" s="1591">
      <c r="A158" s="1610" t="inlineStr">
        <is>
          <t>JT.#114</t>
        </is>
      </c>
      <c r="B158" s="1610" t="inlineStr">
        <is>
          <t>3 1/2" TSH</t>
        </is>
      </c>
      <c r="C158" s="1611" t="n">
        <v>31</v>
      </c>
      <c r="D158" s="1612">
        <f>C158-0.301</f>
        <v/>
      </c>
      <c r="E158" s="1613">
        <f>E157+D158</f>
        <v/>
      </c>
      <c r="F158" s="1613">
        <f>F157-D157</f>
        <v/>
      </c>
      <c r="G158" s="1614">
        <f>G157-D158</f>
        <v/>
      </c>
      <c r="H158" s="1618" t="n"/>
      <c r="K158" s="1620" t="n"/>
    </row>
    <row r="159" ht="39.75" customFormat="1" customHeight="1" s="1591">
      <c r="A159" s="1610" t="inlineStr">
        <is>
          <t>JT.#115</t>
        </is>
      </c>
      <c r="B159" s="1610" t="inlineStr">
        <is>
          <t>3 1/2" TSH</t>
        </is>
      </c>
      <c r="C159" s="1611" t="n">
        <v>31</v>
      </c>
      <c r="D159" s="1612">
        <f>C159-0.301</f>
        <v/>
      </c>
      <c r="E159" s="1613">
        <f>E158+D159</f>
        <v/>
      </c>
      <c r="F159" s="1613">
        <f>F158-D158</f>
        <v/>
      </c>
      <c r="G159" s="1614">
        <f>G158-D159</f>
        <v/>
      </c>
      <c r="H159" s="1618" t="n"/>
      <c r="K159" s="1620" t="n"/>
    </row>
    <row r="160" ht="39.75" customFormat="1" customHeight="1" s="1591">
      <c r="A160" s="1610" t="inlineStr">
        <is>
          <t>JT.#116</t>
        </is>
      </c>
      <c r="B160" s="1610" t="inlineStr">
        <is>
          <t>3 1/2" TSH</t>
        </is>
      </c>
      <c r="C160" s="1611" t="n">
        <v>31</v>
      </c>
      <c r="D160" s="1612">
        <f>C160-0.301</f>
        <v/>
      </c>
      <c r="E160" s="1613">
        <f>E159+D160</f>
        <v/>
      </c>
      <c r="F160" s="1613">
        <f>F159-D159</f>
        <v/>
      </c>
      <c r="G160" s="1614">
        <f>G159-D160</f>
        <v/>
      </c>
      <c r="H160" s="1618" t="n"/>
      <c r="K160" s="1620" t="n"/>
    </row>
    <row r="161" ht="39.75" customFormat="1" customHeight="1" s="1591">
      <c r="A161" s="1610" t="inlineStr">
        <is>
          <t>JT.#117</t>
        </is>
      </c>
      <c r="B161" s="1610" t="inlineStr">
        <is>
          <t>3 1/2" TSH</t>
        </is>
      </c>
      <c r="C161" s="1611" t="n">
        <v>31</v>
      </c>
      <c r="D161" s="1612">
        <f>C161-0.301</f>
        <v/>
      </c>
      <c r="E161" s="1613">
        <f>E160+D161</f>
        <v/>
      </c>
      <c r="F161" s="1613">
        <f>F160-D160</f>
        <v/>
      </c>
      <c r="G161" s="1614">
        <f>G160-D161</f>
        <v/>
      </c>
      <c r="H161" s="1618" t="n"/>
      <c r="K161" s="1620" t="n"/>
    </row>
    <row r="162" ht="39.75" customFormat="1" customHeight="1" s="1591">
      <c r="A162" s="1654" t="inlineStr">
        <is>
          <t>D4</t>
        </is>
      </c>
      <c r="B162" s="1655" t="inlineStr">
        <is>
          <t>UPPER CONN. 3-1/2" VAM TOP BOX 9.2 PPF SN 28 110 KSI
DESCRIPTION: 5 FEET XOVER
SAP: 130005011340
SUPPLIER: TENARIS
LOWER CONN. 3-1/2" TSH BLUE PIN 9.2 PPF SN 28 110 KSI</t>
        </is>
      </c>
      <c r="C162" s="1656" t="n">
        <v>5.18</v>
      </c>
      <c r="D162" s="1612">
        <f>C162-0.301</f>
        <v/>
      </c>
      <c r="E162" s="1613">
        <f>E161+D162</f>
        <v/>
      </c>
      <c r="F162" s="1613">
        <f>F161-D161</f>
        <v/>
      </c>
      <c r="G162" s="1614">
        <f>G161-D162</f>
        <v/>
      </c>
      <c r="H162" s="1618" t="n"/>
      <c r="K162" s="1620" t="n"/>
    </row>
    <row r="163" ht="39.75" customFormat="1" customHeight="1" s="1591">
      <c r="A163" s="1624" t="n"/>
      <c r="B163" s="1655" t="inlineStr">
        <is>
          <t>UPPER CONN. 3-1/2" SENTINEL PRIME BOX 9.2 PPF TX28-110 KSI
DESCRIPTION: 5 FEET XOVER
SAP: 130013006385
SUPPLIER: TBX
LOWER CONN. 3-1/2" VAM TOP PIN 9.2 PPF TX28-110 KSI</t>
        </is>
      </c>
      <c r="C163" s="1656" t="n">
        <v>4.96</v>
      </c>
      <c r="D163" s="1612">
        <f>C163-0.301</f>
        <v/>
      </c>
      <c r="E163" s="1613">
        <f>E162+D163</f>
        <v/>
      </c>
      <c r="F163" s="1613">
        <f>F162-D162</f>
        <v/>
      </c>
      <c r="G163" s="1614">
        <f>G162-D163</f>
        <v/>
      </c>
      <c r="K163" s="1620" t="n"/>
    </row>
    <row r="164" ht="129" customFormat="1" customHeight="1" s="1591">
      <c r="A164" s="1624" t="n"/>
      <c r="B164" s="1655"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64" s="1656" t="n">
        <v>8.69</v>
      </c>
      <c r="D164" s="1657">
        <f>C164-0.301</f>
        <v/>
      </c>
      <c r="E164" s="1613">
        <f>E163+D164</f>
        <v/>
      </c>
      <c r="F164" s="1613">
        <f>F163-D163</f>
        <v/>
      </c>
      <c r="G164" s="1614">
        <f>G163-D164</f>
        <v/>
      </c>
      <c r="H164" s="1658" t="n"/>
    </row>
    <row r="165" ht="129" customFormat="1" customHeight="1" s="1591">
      <c r="A165" s="1624" t="n"/>
      <c r="B165" s="1655" t="inlineStr">
        <is>
          <t>UPPER CONN. 3-1/2" VAM TOP BOX 9.2 PPF TX28- 110 KSI
DESCRIPTION: 10 FEET XOVER
SAP: 1130013006387
SUPPLIER: TBX
LOWER CONN-3-1/2" SENTINELPRIME PIN 9.2 PPF TX28110 KSI</t>
        </is>
      </c>
      <c r="C165" s="1656" t="n">
        <v>9.779999999999999</v>
      </c>
      <c r="D165" s="1657">
        <f>C165</f>
        <v/>
      </c>
      <c r="E165" s="1613">
        <f>E164+D165</f>
        <v/>
      </c>
      <c r="F165" s="1613">
        <f>F164-D164</f>
        <v/>
      </c>
      <c r="G165" s="1614">
        <f>G164-D165</f>
        <v/>
      </c>
      <c r="H165" s="1658" t="n"/>
    </row>
    <row r="166" ht="204" customFormat="1" customHeight="1" s="1591">
      <c r="A166" s="1172" t="n"/>
      <c r="B166" s="1655" t="inlineStr">
        <is>
          <t>UPPER CONN. 3-1/2" TSH BLUE BOX 9.2 PPF SN 28 110 KSI
DESCRIPTION: 5 FEET XOVER
SAP: 130005011340
SUPPLIER: TENARIS
LOWER CONN. 3-1/2" VAM TOP PIN 9.2 PPF SN 28 110 KSI</t>
        </is>
      </c>
      <c r="C166" s="1656" t="n">
        <v>4.96</v>
      </c>
      <c r="D166" s="1659">
        <f>C166</f>
        <v/>
      </c>
      <c r="E166" s="1613">
        <f>E165+D166</f>
        <v/>
      </c>
      <c r="F166" s="1613">
        <f>F165-D165</f>
        <v/>
      </c>
      <c r="G166" s="1614">
        <f>G165-D166</f>
        <v/>
      </c>
      <c r="H166" s="1660" t="n"/>
    </row>
    <row r="167" ht="141.75" customFormat="1" customHeight="1" s="1591">
      <c r="A167" s="1610" t="inlineStr">
        <is>
          <t>JT.#118</t>
        </is>
      </c>
      <c r="B167" s="1610" t="inlineStr">
        <is>
          <t>3 1/2" TSH</t>
        </is>
      </c>
      <c r="C167" s="1611" t="n">
        <v>31</v>
      </c>
      <c r="D167" s="1661">
        <f>C167</f>
        <v/>
      </c>
      <c r="E167" s="1613">
        <f>E166+D167</f>
        <v/>
      </c>
      <c r="F167" s="1613">
        <f>F166-D166</f>
        <v/>
      </c>
      <c r="G167" s="1614">
        <f>G166-D167</f>
        <v/>
      </c>
      <c r="H167" s="1662" t="n"/>
      <c r="I167" s="1591">
        <f>364-146</f>
        <v/>
      </c>
    </row>
    <row r="168" ht="141.75" customFormat="1" customHeight="1" s="1591">
      <c r="A168" s="1610" t="inlineStr">
        <is>
          <t>JT.#119</t>
        </is>
      </c>
      <c r="B168" s="1610" t="inlineStr">
        <is>
          <t>3 1/2" TSH</t>
        </is>
      </c>
      <c r="C168" s="1611" t="n">
        <v>31</v>
      </c>
      <c r="D168" s="1661">
        <f>C168</f>
        <v/>
      </c>
      <c r="E168" s="1613">
        <f>E167+D168</f>
        <v/>
      </c>
      <c r="F168" s="1613">
        <f>F167-D167</f>
        <v/>
      </c>
      <c r="G168" s="1614">
        <f>G167-D168</f>
        <v/>
      </c>
      <c r="H168" s="1663" t="n"/>
      <c r="J168" s="1664">
        <f>I167/10</f>
        <v/>
      </c>
      <c r="O168" s="1591">
        <f>J167/10</f>
        <v/>
      </c>
    </row>
    <row r="169" ht="39.75" customFormat="1" customHeight="1" s="1591">
      <c r="A169" s="1610" t="inlineStr">
        <is>
          <t>JT.#120</t>
        </is>
      </c>
      <c r="B169" s="1610" t="inlineStr">
        <is>
          <t>3 1/2" TSH</t>
        </is>
      </c>
      <c r="C169" s="1611" t="n">
        <v>31</v>
      </c>
      <c r="D169" s="1612">
        <f>C169-0.301</f>
        <v/>
      </c>
      <c r="E169" s="1613">
        <f>E168+D169</f>
        <v/>
      </c>
      <c r="F169" s="1613">
        <f>F168-D168</f>
        <v/>
      </c>
      <c r="G169" s="1614">
        <f>G168-D169</f>
        <v/>
      </c>
      <c r="H169" s="1618" t="n"/>
      <c r="K169" s="1620" t="n"/>
    </row>
    <row r="170" ht="39" customFormat="1" customHeight="1" s="1591">
      <c r="A170" s="1610" t="inlineStr">
        <is>
          <t>JT.#121</t>
        </is>
      </c>
      <c r="B170" s="1610" t="inlineStr">
        <is>
          <t>3 1/2" TSH</t>
        </is>
      </c>
      <c r="C170" s="1611" t="n">
        <v>31</v>
      </c>
      <c r="D170" s="1612">
        <f>C170-0.301</f>
        <v/>
      </c>
      <c r="E170" s="1613">
        <f>E169+D170</f>
        <v/>
      </c>
      <c r="F170" s="1613">
        <f>F169-D169</f>
        <v/>
      </c>
      <c r="G170" s="1614">
        <f>G169-D170</f>
        <v/>
      </c>
      <c r="H170" s="1636" t="inlineStr">
        <is>
          <t xml:space="preserve">FILL UP STRING </t>
        </is>
      </c>
      <c r="K170" s="1620" t="n"/>
    </row>
    <row r="171" ht="123" customFormat="1" customHeight="1" s="1591">
      <c r="A171" s="1610" t="inlineStr">
        <is>
          <t>JT.#122</t>
        </is>
      </c>
      <c r="B171" s="1610" t="inlineStr">
        <is>
          <t>3 1/2" TSH</t>
        </is>
      </c>
      <c r="C171" s="1611" t="n">
        <v>31</v>
      </c>
      <c r="D171" s="1657">
        <f>C171-0.252</f>
        <v/>
      </c>
      <c r="E171" s="1613">
        <f>E170+D171</f>
        <v/>
      </c>
      <c r="F171" s="1613">
        <f>F170-D170</f>
        <v/>
      </c>
      <c r="G171" s="1614">
        <f>G170-D171</f>
        <v/>
      </c>
      <c r="H171" s="1665" t="n"/>
      <c r="J171" s="1591">
        <f>J168*4</f>
        <v/>
      </c>
    </row>
    <row r="172" ht="163.5" customFormat="1" customHeight="1" s="1591">
      <c r="A172" s="1610" t="inlineStr">
        <is>
          <t>JT.#123</t>
        </is>
      </c>
      <c r="B172" s="1610" t="inlineStr">
        <is>
          <t>3 1/2" TSH</t>
        </is>
      </c>
      <c r="C172" s="1611" t="n">
        <v>31</v>
      </c>
      <c r="D172" s="1659">
        <f>C172</f>
        <v/>
      </c>
      <c r="E172" s="1613">
        <f>E171+D172</f>
        <v/>
      </c>
      <c r="F172" s="1613">
        <f>F171-D171</f>
        <v/>
      </c>
      <c r="G172" s="1614">
        <f>G171-D172</f>
        <v/>
      </c>
      <c r="H172" s="1660" t="n"/>
      <c r="J172" s="1591">
        <f>J171/60</f>
        <v/>
      </c>
    </row>
    <row r="173" ht="180.75" customFormat="1" customHeight="1" s="1591">
      <c r="A173" s="1610" t="inlineStr">
        <is>
          <t>JT.#124</t>
        </is>
      </c>
      <c r="B173" s="1610" t="inlineStr">
        <is>
          <t>3 1/2" TSH</t>
        </is>
      </c>
      <c r="C173" s="1611" t="n">
        <v>31</v>
      </c>
      <c r="D173" s="1659">
        <f>C173</f>
        <v/>
      </c>
      <c r="E173" s="1613">
        <f>E172+D173</f>
        <v/>
      </c>
      <c r="F173" s="1613">
        <f>F172-D172</f>
        <v/>
      </c>
      <c r="G173" s="1614">
        <f>G172-D173</f>
        <v/>
      </c>
      <c r="H173" s="1666" t="n"/>
    </row>
    <row r="174" ht="135" customFormat="1" customHeight="1" s="1591">
      <c r="A174" s="1610" t="inlineStr">
        <is>
          <t>JT.#125</t>
        </is>
      </c>
      <c r="B174" s="1610" t="inlineStr">
        <is>
          <t>3 1/2" TSH</t>
        </is>
      </c>
      <c r="C174" s="1611" t="n">
        <v>31</v>
      </c>
      <c r="D174" s="1659">
        <f>C174</f>
        <v/>
      </c>
      <c r="E174" s="1613">
        <f>E173+D174</f>
        <v/>
      </c>
      <c r="F174" s="1613">
        <f>F173-D173</f>
        <v/>
      </c>
      <c r="G174" s="1614">
        <f>G173-D174</f>
        <v/>
      </c>
      <c r="H174" s="1667" t="n"/>
    </row>
    <row r="175" ht="333" customFormat="1" customHeight="1" s="1591">
      <c r="A175" s="1610" t="inlineStr">
        <is>
          <t>JT.#126</t>
        </is>
      </c>
      <c r="B175" s="1610" t="inlineStr">
        <is>
          <t>3 1/2" TSH</t>
        </is>
      </c>
      <c r="C175" s="1611" t="n">
        <v>31</v>
      </c>
      <c r="D175" s="1659">
        <f>C175</f>
        <v/>
      </c>
      <c r="E175" s="1613">
        <f>E174+D175</f>
        <v/>
      </c>
      <c r="F175" s="1613">
        <f>F174-D174</f>
        <v/>
      </c>
      <c r="G175" s="1614">
        <f>G174-D175</f>
        <v/>
      </c>
      <c r="H175" s="1668" t="inlineStr">
        <is>
          <t>TRAGET DEPTH 6875.00'
CASING COLAR  6863.71' -6906.28'</t>
        </is>
      </c>
      <c r="I175" s="1669" t="n"/>
      <c r="J175" s="1670" t="n"/>
    </row>
    <row r="176" ht="141.75" customFormat="1" customHeight="1" s="1591">
      <c r="A176" s="1610" t="inlineStr">
        <is>
          <t>JT.#127</t>
        </is>
      </c>
      <c r="B176" s="1610" t="inlineStr">
        <is>
          <t>3 1/2" TSH</t>
        </is>
      </c>
      <c r="C176" s="1611" t="n">
        <v>31</v>
      </c>
      <c r="D176" s="1661">
        <f>C176</f>
        <v/>
      </c>
      <c r="E176" s="1613">
        <f>E175+D176</f>
        <v/>
      </c>
      <c r="F176" s="1613">
        <f>F175-D175</f>
        <v/>
      </c>
      <c r="G176" s="1614">
        <f>G175-D176</f>
        <v/>
      </c>
      <c r="H176" s="1671" t="n"/>
      <c r="I176" s="1617" t="n"/>
    </row>
    <row r="177" ht="39.75" customFormat="1" customHeight="1" s="1591">
      <c r="A177" s="1610" t="inlineStr">
        <is>
          <t>JT.#128</t>
        </is>
      </c>
      <c r="B177" s="1610" t="inlineStr">
        <is>
          <t>3 1/2" TSH</t>
        </is>
      </c>
      <c r="C177" s="1611" t="n">
        <v>31</v>
      </c>
      <c r="D177" s="1612">
        <f>C177-0.301</f>
        <v/>
      </c>
      <c r="E177" s="1613">
        <f>E176+D177</f>
        <v/>
      </c>
      <c r="F177" s="1613">
        <f>F176-D176</f>
        <v/>
      </c>
      <c r="G177" s="1614">
        <f>G176-D177</f>
        <v/>
      </c>
      <c r="H177" s="1636" t="inlineStr">
        <is>
          <t xml:space="preserve">FILL UP STRING </t>
        </is>
      </c>
      <c r="K177" s="1620" t="n"/>
    </row>
    <row r="178" ht="39.75" customFormat="1" customHeight="1" s="1591">
      <c r="A178" s="1610" t="inlineStr">
        <is>
          <t>JT.#129</t>
        </is>
      </c>
      <c r="B178" s="1610" t="inlineStr">
        <is>
          <t>3 1/2" TSH</t>
        </is>
      </c>
      <c r="C178" s="1611" t="n">
        <v>31</v>
      </c>
      <c r="D178" s="1612">
        <f>C178-0.301</f>
        <v/>
      </c>
      <c r="E178" s="1613">
        <f>E177+D178</f>
        <v/>
      </c>
      <c r="F178" s="1613">
        <f>F177-D177</f>
        <v/>
      </c>
      <c r="G178" s="1614">
        <f>G177-D178</f>
        <v/>
      </c>
      <c r="H178" s="1618" t="n"/>
      <c r="K178" s="1620" t="n"/>
    </row>
    <row r="179" ht="39.75" customFormat="1" customHeight="1" s="1591">
      <c r="A179" s="1610" t="inlineStr">
        <is>
          <t>JT.#130</t>
        </is>
      </c>
      <c r="B179" s="1610" t="inlineStr">
        <is>
          <t>3 1/2" TSH</t>
        </is>
      </c>
      <c r="C179" s="1611" t="n">
        <v>31</v>
      </c>
      <c r="D179" s="1612">
        <f>C179-0.301</f>
        <v/>
      </c>
      <c r="E179" s="1613">
        <f>E178+D179</f>
        <v/>
      </c>
      <c r="F179" s="1613">
        <f>F178-D178</f>
        <v/>
      </c>
      <c r="G179" s="1614">
        <f>G178-D179</f>
        <v/>
      </c>
      <c r="H179" s="1618" t="n"/>
      <c r="K179" s="1620" t="n"/>
    </row>
    <row r="180" ht="39.75" customFormat="1" customHeight="1" s="1591">
      <c r="A180" s="1610" t="inlineStr">
        <is>
          <t>JT.#131</t>
        </is>
      </c>
      <c r="B180" s="1610" t="inlineStr">
        <is>
          <t>3 1/2" TSH</t>
        </is>
      </c>
      <c r="C180" s="1611" t="n">
        <v>31</v>
      </c>
      <c r="D180" s="1612">
        <f>C180-0.301</f>
        <v/>
      </c>
      <c r="E180" s="1613">
        <f>E179+D180</f>
        <v/>
      </c>
      <c r="F180" s="1613">
        <f>F179-D179</f>
        <v/>
      </c>
      <c r="G180" s="1614">
        <f>G179-D180</f>
        <v/>
      </c>
      <c r="H180" s="1618" t="n"/>
      <c r="K180" s="1620" t="n"/>
    </row>
    <row r="181" ht="39.75" customFormat="1" customHeight="1" s="1591">
      <c r="A181" s="1610" t="inlineStr">
        <is>
          <t>JT.#132</t>
        </is>
      </c>
      <c r="B181" s="1610" t="inlineStr">
        <is>
          <t>3 1/2" TSH</t>
        </is>
      </c>
      <c r="C181" s="1611" t="n">
        <v>31</v>
      </c>
      <c r="D181" s="1612">
        <f>C181-0.301</f>
        <v/>
      </c>
      <c r="E181" s="1613">
        <f>E180+D181</f>
        <v/>
      </c>
      <c r="F181" s="1613">
        <f>F180-D180</f>
        <v/>
      </c>
      <c r="G181" s="1614">
        <f>G180-D181</f>
        <v/>
      </c>
      <c r="H181" s="1618" t="n"/>
      <c r="K181" s="1620" t="n"/>
    </row>
    <row r="182" ht="39.75" customFormat="1" customHeight="1" s="1591">
      <c r="A182" s="1610" t="inlineStr">
        <is>
          <t>JT.#133</t>
        </is>
      </c>
      <c r="B182" s="1610" t="inlineStr">
        <is>
          <t>3 1/2" TSH</t>
        </is>
      </c>
      <c r="C182" s="1611" t="n">
        <v>31</v>
      </c>
      <c r="D182" s="1612">
        <f>C182-0.301</f>
        <v/>
      </c>
      <c r="E182" s="1613">
        <f>E181+D182</f>
        <v/>
      </c>
      <c r="F182" s="1613">
        <f>F181-D181</f>
        <v/>
      </c>
      <c r="G182" s="1614">
        <f>G181-D182</f>
        <v/>
      </c>
      <c r="H182" s="1618" t="n"/>
      <c r="K182" s="1620" t="n"/>
    </row>
    <row r="183" ht="39.75" customFormat="1" customHeight="1" s="1591">
      <c r="A183" s="1610" t="inlineStr">
        <is>
          <t>JT.#134</t>
        </is>
      </c>
      <c r="B183" s="1610" t="inlineStr">
        <is>
          <t>3 1/2" TSH</t>
        </is>
      </c>
      <c r="C183" s="1611" t="n">
        <v>31</v>
      </c>
      <c r="D183" s="1612">
        <f>C183-0.301</f>
        <v/>
      </c>
      <c r="E183" s="1613">
        <f>E182+D183</f>
        <v/>
      </c>
      <c r="F183" s="1613">
        <f>F182-D182</f>
        <v/>
      </c>
      <c r="G183" s="1614">
        <f>G182-D183</f>
        <v/>
      </c>
      <c r="H183" s="1618" t="n"/>
      <c r="K183" s="1620" t="n"/>
    </row>
    <row r="184" ht="39.75" customFormat="1" customHeight="1" s="1591">
      <c r="A184" s="1610" t="inlineStr">
        <is>
          <t>JT.#135</t>
        </is>
      </c>
      <c r="B184" s="1610" t="inlineStr">
        <is>
          <t>3 1/2" TSH</t>
        </is>
      </c>
      <c r="C184" s="1611" t="n">
        <v>31</v>
      </c>
      <c r="D184" s="1612">
        <f>C184-0.301</f>
        <v/>
      </c>
      <c r="E184" s="1613">
        <f>E183+D184</f>
        <v/>
      </c>
      <c r="F184" s="1613">
        <f>F183-D183</f>
        <v/>
      </c>
      <c r="G184" s="1614">
        <f>G183-D184</f>
        <v/>
      </c>
      <c r="H184" s="1618" t="n"/>
      <c r="K184" s="1620" t="n"/>
    </row>
    <row r="185" ht="39.75" customFormat="1" customHeight="1" s="1591">
      <c r="A185" s="1610" t="inlineStr">
        <is>
          <t>JT.#136</t>
        </is>
      </c>
      <c r="B185" s="1610" t="inlineStr">
        <is>
          <t>3 1/2" TSH</t>
        </is>
      </c>
      <c r="C185" s="1611" t="n">
        <v>31</v>
      </c>
      <c r="D185" s="1612">
        <f>C185-0.301</f>
        <v/>
      </c>
      <c r="E185" s="1613">
        <f>E184+D185</f>
        <v/>
      </c>
      <c r="F185" s="1613">
        <f>F184-D184</f>
        <v/>
      </c>
      <c r="G185" s="1614">
        <f>G184-D185</f>
        <v/>
      </c>
      <c r="H185" s="1635" t="n"/>
      <c r="K185" s="1620" t="n"/>
    </row>
    <row r="186" ht="39.75" customFormat="1" customHeight="1" s="1591">
      <c r="A186" s="1610" t="inlineStr">
        <is>
          <t>JT.#137</t>
        </is>
      </c>
      <c r="B186" s="1610" t="inlineStr">
        <is>
          <t>3 1/2" TSH</t>
        </is>
      </c>
      <c r="C186" s="1611" t="n">
        <v>31</v>
      </c>
      <c r="D186" s="1612">
        <f>C186-0.301</f>
        <v/>
      </c>
      <c r="E186" s="1613">
        <f>E185+D186</f>
        <v/>
      </c>
      <c r="F186" s="1613">
        <f>F185-D185</f>
        <v/>
      </c>
      <c r="G186" s="1614">
        <f>G185-D186</f>
        <v/>
      </c>
      <c r="H186" s="1618" t="n"/>
      <c r="K186" s="1620" t="n"/>
    </row>
    <row r="187" ht="39.75" customFormat="1" customHeight="1" s="1591">
      <c r="A187" s="1672" t="inlineStr">
        <is>
          <t>F</t>
        </is>
      </c>
      <c r="B187" s="1673" t="inlineStr">
        <is>
          <t>UPPER CONN. 3-1/2" VAM TOP BOX 9.2 PPF SN 28 110 KSI
DESCRIPTION: 5 FEET XOVER
SAP: 130005011340
SUPPLIER: TENARIS
UPPER CONN. 3-1/2" TSH BLUE PIN 9.2 PPF SN 28 110 KSI</t>
        </is>
      </c>
      <c r="C187" s="1674" t="n">
        <v>5.02</v>
      </c>
      <c r="D187" s="1612">
        <f>C187-0.301</f>
        <v/>
      </c>
      <c r="E187" s="1613">
        <f>E186+D187</f>
        <v/>
      </c>
      <c r="F187" s="1613">
        <f>F186-D186</f>
        <v/>
      </c>
      <c r="G187" s="1614">
        <f>G186-D187</f>
        <v/>
      </c>
      <c r="H187" s="1636" t="inlineStr">
        <is>
          <t xml:space="preserve">FILL UP STRING </t>
        </is>
      </c>
      <c r="K187" s="1620" t="n"/>
    </row>
    <row r="188" ht="39.75" customFormat="1" customHeight="1" s="1591">
      <c r="A188" s="1624" t="n"/>
      <c r="B188" s="1673" t="inlineStr">
        <is>
          <t>UPPER CONN. 3-1/2" VAM TOP 9.2#PPF INCOLOY 925 BOX
DESCRIPTION: FLOW COUPLING
PN: 2996124
S/N: 130777-04-001
SAP: 130010035671
S UPPLIER: WEATHERFORD
LOWER CONN. 3-1/2" VAM TOP 9.2#PPF</t>
        </is>
      </c>
      <c r="C188" s="1674" t="n">
        <v>5.75</v>
      </c>
      <c r="D188" s="1612">
        <f>C188-0.301</f>
        <v/>
      </c>
      <c r="E188" s="1613">
        <f>E187+D188</f>
        <v/>
      </c>
      <c r="F188" s="1613">
        <f>F187-D187</f>
        <v/>
      </c>
      <c r="G188" s="1614">
        <f>G187-D188</f>
        <v/>
      </c>
      <c r="H188" s="1618" t="n"/>
      <c r="K188" s="1620" t="n"/>
    </row>
    <row r="189" ht="39.75" customFormat="1" customHeight="1" s="1591">
      <c r="A189" s="1624" t="n"/>
      <c r="B189" s="1673" t="inlineStr">
        <is>
          <t>UPPER CONN. 3-1/2" VAM TOP 9.2#PPF
INCOLOY 925
BOX
DESCRIPTION: WEATHERFORD ASSY, TRSV,3.5WZPE-10
2.813WOR,2kSD,9.2# VAM TOP, WN302
PN: 2980845
S/N: 12777594-01
SAP: 130010038007
SUPPLIER: WEATHERFORD
LOWER CONN. 3-1/2" VAM TOP 9.2#PPF</t>
        </is>
      </c>
      <c r="C189" s="1674" t="n">
        <v>4.44</v>
      </c>
      <c r="D189" s="1612">
        <f>C189-0.301</f>
        <v/>
      </c>
      <c r="E189" s="1613">
        <f>E188+D189</f>
        <v/>
      </c>
      <c r="F189" s="1613">
        <f>F188-D188</f>
        <v/>
      </c>
      <c r="G189" s="1614">
        <f>G188-D189</f>
        <v/>
      </c>
      <c r="H189" s="1618" t="n"/>
      <c r="K189" s="1620" t="n"/>
    </row>
    <row r="190" ht="39.75" customFormat="1" customHeight="1" s="1591">
      <c r="A190" s="1624" t="n"/>
      <c r="B190" s="1673" t="inlineStr">
        <is>
          <t>UPPER CONN. 3-1/2" VAM TOP 9.2#PPF
INCOLOY 925
BOX
DESCRIPTION: FLOW COUPLING
P/N: 2996124
S/N: 130777-02-002
SAP: 130010035671
SUPPLIER: WEATHERFORD
LOWER CONN. 3-1/2" VAM TOP 9.2#PPF</t>
        </is>
      </c>
      <c r="C190" s="1674" t="n">
        <v>5.75</v>
      </c>
      <c r="D190" s="1612">
        <f>C190-0.301</f>
        <v/>
      </c>
      <c r="E190" s="1613">
        <f>E189+D190</f>
        <v/>
      </c>
      <c r="F190" s="1613">
        <f>F189-D189</f>
        <v/>
      </c>
      <c r="G190" s="1614">
        <f>G189-D190</f>
        <v/>
      </c>
      <c r="H190" s="1618" t="n"/>
      <c r="K190" s="1620" t="n"/>
    </row>
    <row r="191" ht="39.75" customFormat="1" customHeight="1" s="1591">
      <c r="A191" s="1172" t="n"/>
      <c r="B191" s="1673" t="inlineStr">
        <is>
          <t>UPPER CONN. 3-1/2" TSH BLUE BOX 9.2 PPF SN 28 110 KSI
DESCRIPTION: 10 FEET XOVER
SAP: 130005012487
SUPPLIER: TENARIS
LOWER CONN. 3-1/2" VAM TOP PIN 9.2 PPF SN 28 110 KSI</t>
        </is>
      </c>
      <c r="C191" s="1674" t="n">
        <v>9.93</v>
      </c>
      <c r="D191" s="1612">
        <f>C191-0.301</f>
        <v/>
      </c>
      <c r="E191" s="1613">
        <f>E190+D191</f>
        <v/>
      </c>
      <c r="F191" s="1613">
        <f>F190-D190</f>
        <v/>
      </c>
      <c r="G191" s="1614">
        <f>G190-D191</f>
        <v/>
      </c>
      <c r="H191" s="1618" t="n"/>
      <c r="K191" s="1620" t="n"/>
    </row>
    <row r="192" ht="39.75" customFormat="1" customHeight="1" s="1591">
      <c r="A192" s="1610" t="inlineStr">
        <is>
          <t>JT.#138</t>
        </is>
      </c>
      <c r="B192" s="1610" t="inlineStr">
        <is>
          <t>3 1/2" TSH</t>
        </is>
      </c>
      <c r="C192" s="1611" t="n">
        <v>31</v>
      </c>
      <c r="D192" s="1612">
        <f>C192-0.301</f>
        <v/>
      </c>
      <c r="E192" s="1613">
        <f>E191+D192</f>
        <v/>
      </c>
      <c r="F192" s="1613">
        <f>F191-D191</f>
        <v/>
      </c>
      <c r="G192" s="1614">
        <f>G191-D192</f>
        <v/>
      </c>
      <c r="H192" s="1618" t="n"/>
      <c r="K192" s="1620" t="n"/>
    </row>
    <row r="193" ht="39.75" customFormat="1" customHeight="1" s="1591">
      <c r="A193" s="1610" t="inlineStr">
        <is>
          <t>JT.#139</t>
        </is>
      </c>
      <c r="B193" s="1610" t="inlineStr">
        <is>
          <t>3 1/2" TSH</t>
        </is>
      </c>
      <c r="C193" s="1611" t="n">
        <v>31</v>
      </c>
      <c r="D193" s="1612">
        <f>C193-0.301</f>
        <v/>
      </c>
      <c r="E193" s="1613">
        <f>E192+D193</f>
        <v/>
      </c>
      <c r="F193" s="1613">
        <f>F192-D192</f>
        <v/>
      </c>
      <c r="G193" s="1614">
        <f>G192-D193</f>
        <v/>
      </c>
      <c r="H193" s="1618" t="n"/>
      <c r="K193" s="1620" t="n"/>
    </row>
    <row r="194" ht="39.75" customFormat="1" customHeight="1" s="1591">
      <c r="A194" s="1610" t="inlineStr">
        <is>
          <t>JT.#140</t>
        </is>
      </c>
      <c r="B194" s="1610" t="inlineStr">
        <is>
          <t>3 1/2" TSH</t>
        </is>
      </c>
      <c r="C194" s="1611" t="n">
        <v>31</v>
      </c>
      <c r="D194" s="1612">
        <f>C194-0.301</f>
        <v/>
      </c>
      <c r="E194" s="1613">
        <f>E193+D194</f>
        <v/>
      </c>
      <c r="F194" s="1613">
        <f>F193-D193</f>
        <v/>
      </c>
      <c r="G194" s="1614">
        <f>G193-D194</f>
        <v/>
      </c>
      <c r="H194" s="1618" t="n"/>
      <c r="K194" s="1620" t="n"/>
    </row>
    <row r="195" ht="39.75" customFormat="1" customHeight="1" s="1591">
      <c r="A195" s="1610" t="inlineStr">
        <is>
          <t>JT.#141</t>
        </is>
      </c>
      <c r="B195" s="1610" t="inlineStr">
        <is>
          <t>3 1/2" TSH</t>
        </is>
      </c>
      <c r="C195" s="1611" t="n">
        <v>31</v>
      </c>
      <c r="D195" s="1612">
        <f>C195-0.301</f>
        <v/>
      </c>
      <c r="E195" s="1613">
        <f>E194+D195</f>
        <v/>
      </c>
      <c r="F195" s="1613">
        <f>F194-D194</f>
        <v/>
      </c>
      <c r="G195" s="1614">
        <f>G194-D195</f>
        <v/>
      </c>
      <c r="H195" s="1635" t="n"/>
      <c r="K195" s="1620" t="n"/>
    </row>
    <row r="196" ht="39.75" customFormat="1" customHeight="1" s="1591">
      <c r="A196" s="1610" t="inlineStr">
        <is>
          <t>JT.#142</t>
        </is>
      </c>
      <c r="B196" s="1610" t="inlineStr">
        <is>
          <t>3 1/2" TSH</t>
        </is>
      </c>
      <c r="C196" s="1611" t="n">
        <v>31</v>
      </c>
      <c r="D196" s="1612">
        <f>C196-0.301</f>
        <v/>
      </c>
      <c r="E196" s="1613">
        <f>E195+D196</f>
        <v/>
      </c>
      <c r="F196" s="1613">
        <f>F195-D195</f>
        <v/>
      </c>
      <c r="G196" s="1614">
        <f>G195-D196</f>
        <v/>
      </c>
      <c r="H196" s="1618" t="n"/>
      <c r="K196" s="1620" t="n"/>
    </row>
    <row r="197" ht="39.75" customFormat="1" customHeight="1" s="1591">
      <c r="A197" s="1675" t="inlineStr">
        <is>
          <t>F - 1</t>
        </is>
      </c>
      <c r="B197" s="1676" t="inlineStr">
        <is>
          <t>UPPER CONN. 3-1/2" TENARIS BLUE 9.2#PPF SN 28 110 KSI
DESCRIPTION: 5 FEET PUP JOINT
SAP: 130005011338
SUPPLIER:TENARIS
LOWER CONN. 3-1/2" TENARIS BLUE 9.2#PPF SN 28 110 KSI</t>
        </is>
      </c>
      <c r="C197" s="1677" t="n">
        <v>5.08</v>
      </c>
      <c r="D197" s="1612">
        <f>C197-0.301</f>
        <v/>
      </c>
      <c r="E197" s="1613">
        <f>E196+D197</f>
        <v/>
      </c>
      <c r="F197" s="1613">
        <f>F196-D196</f>
        <v/>
      </c>
      <c r="G197" s="1614">
        <f>G196-D197</f>
        <v/>
      </c>
      <c r="H197" s="1636" t="inlineStr">
        <is>
          <t xml:space="preserve">FILL UP STRING </t>
        </is>
      </c>
      <c r="K197" s="1620" t="n"/>
    </row>
    <row r="198" ht="39.75" customFormat="1" customHeight="1" s="1591">
      <c r="A198" s="1624" t="n"/>
      <c r="B198" s="1676" t="inlineStr">
        <is>
          <t>UPPER CONN. 4-1/2" VAM TOP 12.6 #PPF SN 28 120 KSI BOX
DESCRIPTION : X OVER
4 1/2 PIN TOP X 3 1/2 PIN BTM
SAP: 130005012767 SUPPLIER: TENARIS
LOWER CONN. 3-1/2" TENARIS BLUE 9.2#PPF SN 28 120 KSI PIN</t>
        </is>
      </c>
      <c r="C198" s="1677" t="n">
        <v>2.48</v>
      </c>
      <c r="D198" s="1612">
        <f>C198-0.301</f>
        <v/>
      </c>
      <c r="E198" s="1613">
        <f>E197+D198</f>
        <v/>
      </c>
      <c r="F198" s="1613">
        <f>F197-D197</f>
        <v/>
      </c>
      <c r="G198" s="1614">
        <f>G197-D198</f>
        <v/>
      </c>
      <c r="H198" s="1618" t="n"/>
      <c r="K198" s="1620" t="n"/>
    </row>
    <row r="199" ht="39.75" customFormat="1" customHeight="1" s="1591">
      <c r="A199" s="1624" t="n"/>
      <c r="B199" s="1676" t="inlineStr">
        <is>
          <t>UPPER CONN. 4-1/2" VAM TOP 12.6 #PPF INC 718 120 KSI BOX
DESCRIPTION: GE TBGHGR; CWCT-ED-CLL; 11 X 4-1/2; 4-1/2 12.6 PPF
VAM TOP BOX BTM; 4-1/2 VAM
P/N: R893330-1ADC11 REV D
S/N - ADWHT80698-05
SAP: 130010044633
SUPPLIER: GE
LOWER CONN. 4-1/2" VAM TOP 12.6 #PPF INC 718 120 KSI BOX</t>
        </is>
      </c>
      <c r="C199" s="1677" t="n">
        <v>1.9</v>
      </c>
      <c r="D199" s="1612">
        <f>C199-0.301</f>
        <v/>
      </c>
      <c r="E199" s="1613">
        <f>E198+D199</f>
        <v/>
      </c>
      <c r="F199" s="1613">
        <f>F198-D198</f>
        <v/>
      </c>
      <c r="G199" s="1614">
        <f>G198-D199</f>
        <v/>
      </c>
      <c r="H199" s="1618" t="n"/>
      <c r="K199" s="1620" t="n"/>
    </row>
    <row r="200" ht="39.75" customFormat="1" customHeight="1" s="1591">
      <c r="A200" s="1172" t="n"/>
      <c r="B200" s="1676" t="inlineStr">
        <is>
          <t>UPPER CONN. 4-1/2" VAMTOP 12.6# L80
Box
DESCRIPTION: 30' LANDING JOINT
SAP: 130005009160
SUPPLIER:VAM
LOWER CONN. 4-1/2" VAMTOP 12.6# L80 PIN</t>
        </is>
      </c>
      <c r="C200" s="1677" t="n">
        <v>24.82</v>
      </c>
      <c r="D200" s="1612">
        <f>C200-0.301</f>
        <v/>
      </c>
      <c r="E200" s="1613">
        <f>E199+D200</f>
        <v/>
      </c>
      <c r="F200" s="1613">
        <f>F199-D199</f>
        <v/>
      </c>
      <c r="G200" s="1614">
        <f>G199-D200</f>
        <v/>
      </c>
      <c r="H200" s="1618" t="n"/>
      <c r="K200" s="1620" t="n"/>
    </row>
    <row r="201" ht="39.75" customFormat="1" customHeight="1" s="1591">
      <c r="A201" s="1610" t="n"/>
      <c r="B201" s="1610" t="n"/>
      <c r="C201" s="1610" t="n"/>
      <c r="D201" s="1612">
        <f>C201-0.301</f>
        <v/>
      </c>
      <c r="E201" s="1613">
        <f>E200+D201</f>
        <v/>
      </c>
      <c r="F201" s="1613">
        <f>F200-D200</f>
        <v/>
      </c>
      <c r="G201" s="1614">
        <f>G200-D201</f>
        <v/>
      </c>
      <c r="H201" s="1618" t="n"/>
      <c r="K201" s="1620" t="n"/>
    </row>
    <row r="202" ht="39.75" customFormat="1" customHeight="1" s="1591">
      <c r="A202" s="1678" t="inlineStr">
        <is>
          <t>A</t>
        </is>
      </c>
      <c r="B202" s="1679" t="inlineStr">
        <is>
          <t>UPPER CONN. 3-1/2" VAM TOP 9.2#PPF BOX VM 28 110 KSI
DESCRIPTION: WIRELINE ENTRY GUIDE
SN: 16339547-10-008
PN 2996481
SAP: 130010036277
SUPPLIER: WEATHERFORD</t>
        </is>
      </c>
      <c r="C202" s="1680" t="n">
        <v>0.6</v>
      </c>
      <c r="D202" s="1612">
        <f>C202-0.301</f>
        <v/>
      </c>
      <c r="E202" s="1613">
        <f>E201+D202</f>
        <v/>
      </c>
      <c r="F202" s="1613">
        <f>F201-D201</f>
        <v/>
      </c>
      <c r="G202" s="1614">
        <f>G201-D202</f>
        <v/>
      </c>
      <c r="H202" s="1618" t="n"/>
      <c r="K202" s="1620" t="n"/>
    </row>
    <row r="203" ht="39.75" customFormat="1" customHeight="1" s="1591">
      <c r="A203" s="1172" t="n"/>
      <c r="B203" s="1679" t="inlineStr">
        <is>
          <t>UPPER CONN. 3-1/2" TSH BLUE BOX 9.2 PPF SN 28 110 KSI
DESCRIPTION: 5 FEET XOVER
SAP: 130005011340
SUPPLIER: TENARIS
LOWER CONN. 3-1/2" VAM TOP PIN 9.2 PPF SN 28 110 KSI</t>
        </is>
      </c>
      <c r="C203" s="1680" t="n">
        <v>4.96</v>
      </c>
      <c r="D203" s="1612">
        <f>C203-0.301</f>
        <v/>
      </c>
      <c r="E203" s="1613">
        <f>E202+D203</f>
        <v/>
      </c>
      <c r="F203" s="1613">
        <f>F202-D202</f>
        <v/>
      </c>
      <c r="G203" s="1614">
        <f>G202-D203</f>
        <v/>
      </c>
      <c r="H203" s="1618" t="n"/>
      <c r="K203" s="1620" t="n"/>
    </row>
    <row r="204" ht="39.75" customFormat="1" customHeight="1" s="1591">
      <c r="A204" s="1610" t="inlineStr">
        <is>
          <t>JT.#1</t>
        </is>
      </c>
      <c r="B204" s="1610" t="inlineStr">
        <is>
          <t>3-1/2" TUBING 9.2 LB/FT ALLOY 28 TSH BL</t>
        </is>
      </c>
      <c r="C204" s="1611" t="n">
        <v>31</v>
      </c>
      <c r="D204" s="1612">
        <f>C204-0.301</f>
        <v/>
      </c>
      <c r="E204" s="1613">
        <f>E203+D204</f>
        <v/>
      </c>
      <c r="F204" s="1613">
        <f>F203-D203</f>
        <v/>
      </c>
      <c r="G204" s="1614">
        <f>G203-D204</f>
        <v/>
      </c>
      <c r="H204" s="1618" t="n"/>
      <c r="K204" s="1620" t="n"/>
    </row>
    <row r="205" ht="39.75" customFormat="1" customHeight="1" s="1591">
      <c r="A205" s="1610" t="inlineStr">
        <is>
          <t>JT.#2</t>
        </is>
      </c>
      <c r="B205" s="1610" t="inlineStr">
        <is>
          <t>3-1/2" TUBING 9.2 LB/FT ALLOY 28 TSH BL</t>
        </is>
      </c>
      <c r="C205" s="1611" t="n">
        <v>31</v>
      </c>
      <c r="D205" s="1612">
        <f>C205-0.301</f>
        <v/>
      </c>
      <c r="E205" s="1613">
        <f>E204+D205</f>
        <v/>
      </c>
      <c r="F205" s="1613">
        <f>F204-D204</f>
        <v/>
      </c>
      <c r="G205" s="1614">
        <f>G204-D205</f>
        <v/>
      </c>
      <c r="H205" s="1635" t="n"/>
      <c r="K205" s="1620" t="n"/>
    </row>
    <row r="206" ht="39.75" customFormat="1" customHeight="1" s="1591">
      <c r="A206" s="1610" t="inlineStr">
        <is>
          <t>JT.#3</t>
        </is>
      </c>
      <c r="B206" s="1610" t="inlineStr">
        <is>
          <t>3-1/2" TUBING 9.2 LB/FT ALLOY 28 TSH BL</t>
        </is>
      </c>
      <c r="C206" s="1611" t="n">
        <v>31</v>
      </c>
      <c r="D206" s="1612">
        <f>C206-0.301</f>
        <v/>
      </c>
      <c r="E206" s="1613">
        <f>E205+D206</f>
        <v/>
      </c>
      <c r="F206" s="1613">
        <f>F205-D205</f>
        <v/>
      </c>
      <c r="G206" s="1614">
        <f>G205-D206</f>
        <v/>
      </c>
      <c r="H206" s="1636" t="inlineStr">
        <is>
          <t xml:space="preserve">FILL UP STRING </t>
        </is>
      </c>
      <c r="K206" s="1620" t="n"/>
    </row>
    <row r="207" ht="39.75" customFormat="1" customHeight="1" s="1591">
      <c r="A207" s="1610" t="inlineStr">
        <is>
          <t>JT.#4</t>
        </is>
      </c>
      <c r="B207" s="1610" t="inlineStr">
        <is>
          <t>3-1/2" TUBING 9.2 LB/FT ALLOY 28 TSH BL</t>
        </is>
      </c>
      <c r="C207" s="1611" t="n">
        <v>31</v>
      </c>
      <c r="D207" s="1612">
        <f>C207-0.301</f>
        <v/>
      </c>
      <c r="E207" s="1613">
        <f>E206+D207</f>
        <v/>
      </c>
      <c r="F207" s="1613">
        <f>F206-D206</f>
        <v/>
      </c>
      <c r="G207" s="1614">
        <f>G206-D207</f>
        <v/>
      </c>
      <c r="H207" s="1618" t="n"/>
      <c r="K207" s="1620" t="n"/>
    </row>
    <row r="208" ht="39.75" customFormat="1" customHeight="1" s="1591">
      <c r="A208" s="1610" t="inlineStr">
        <is>
          <t>JT.#5</t>
        </is>
      </c>
      <c r="B208" s="1610" t="inlineStr">
        <is>
          <t>3-1/2" TUBING 9.2 LB/FT ALLOY 28 TSH BL</t>
        </is>
      </c>
      <c r="C208" s="1611" t="n">
        <v>31</v>
      </c>
      <c r="D208" s="1612">
        <f>C208-0.301</f>
        <v/>
      </c>
      <c r="E208" s="1613">
        <f>E207+D208</f>
        <v/>
      </c>
      <c r="F208" s="1613">
        <f>F207-D207</f>
        <v/>
      </c>
      <c r="G208" s="1614">
        <f>G207-D208</f>
        <v/>
      </c>
      <c r="H208" s="1618" t="n"/>
      <c r="K208" s="1620" t="n"/>
    </row>
    <row r="209" ht="39.75" customFormat="1" customHeight="1" s="1591">
      <c r="A209" s="1610" t="inlineStr">
        <is>
          <t>JT.#6</t>
        </is>
      </c>
      <c r="B209" s="1610" t="inlineStr">
        <is>
          <t>3-1/2" TUBING 9.2 LB/FT ALLOY 28 TSH BL</t>
        </is>
      </c>
      <c r="C209" s="1611" t="n">
        <v>31</v>
      </c>
      <c r="D209" s="1612">
        <f>C209-0.301</f>
        <v/>
      </c>
      <c r="E209" s="1613">
        <f>E208+D209</f>
        <v/>
      </c>
      <c r="F209" s="1613">
        <f>F208-D208</f>
        <v/>
      </c>
      <c r="G209" s="1614">
        <f>G208-D209</f>
        <v/>
      </c>
      <c r="H209" s="1618" t="n"/>
      <c r="K209" s="1620" t="n"/>
    </row>
    <row r="210" ht="39.75" customFormat="1" customHeight="1" s="1591">
      <c r="A210" s="1610" t="inlineStr">
        <is>
          <t>JT.#7</t>
        </is>
      </c>
      <c r="B210" s="1610" t="inlineStr">
        <is>
          <t>3-1/2" TUBING 9.2 LB/FT ALLOY 28 TSH BL</t>
        </is>
      </c>
      <c r="C210" s="1611" t="n">
        <v>31</v>
      </c>
      <c r="D210" s="1612">
        <f>C210-0.301</f>
        <v/>
      </c>
      <c r="E210" s="1613">
        <f>E209+D210</f>
        <v/>
      </c>
      <c r="F210" s="1613">
        <f>F209-D209</f>
        <v/>
      </c>
      <c r="G210" s="1614">
        <f>G209-D210</f>
        <v/>
      </c>
      <c r="H210" s="1681" t="n"/>
      <c r="K210" s="1620" t="n"/>
    </row>
    <row r="211" ht="39.75" customFormat="1" customHeight="1" s="1591">
      <c r="A211" s="1610" t="inlineStr">
        <is>
          <t>JT.#8</t>
        </is>
      </c>
      <c r="B211" s="1610" t="inlineStr">
        <is>
          <t>3-1/2" TUBING 9.2 LB/FT ALLOY 28 TSH BL</t>
        </is>
      </c>
      <c r="C211" s="1611" t="n">
        <v>31</v>
      </c>
      <c r="D211" s="1612">
        <f>C211-0.301</f>
        <v/>
      </c>
      <c r="E211" s="1613">
        <f>E210+D211</f>
        <v/>
      </c>
      <c r="F211" s="1613">
        <f>F210-D210</f>
        <v/>
      </c>
      <c r="G211" s="1614">
        <f>G210-D211</f>
        <v/>
      </c>
      <c r="H211" s="1681" t="n"/>
      <c r="K211" s="1620" t="n"/>
    </row>
    <row r="212" ht="39.75" customFormat="1" customHeight="1" s="1591">
      <c r="A212" s="1610" t="inlineStr">
        <is>
          <t>JT.#9</t>
        </is>
      </c>
      <c r="B212" s="1610" t="inlineStr">
        <is>
          <t>3-1/2" TUBING 9.2 LB/FT ALLOY 28 TSH BL</t>
        </is>
      </c>
      <c r="C212" s="1611" t="n">
        <v>31</v>
      </c>
      <c r="D212" s="1612">
        <f>C212-0.301</f>
        <v/>
      </c>
      <c r="E212" s="1613">
        <f>E211+D212</f>
        <v/>
      </c>
      <c r="F212" s="1613">
        <f>F211-D211</f>
        <v/>
      </c>
      <c r="G212" s="1614">
        <f>G211-D212</f>
        <v/>
      </c>
      <c r="H212" s="1681" t="n"/>
      <c r="K212" s="1620" t="n"/>
    </row>
    <row r="213" ht="39.75" customFormat="1" customHeight="1" s="1591">
      <c r="A213" s="1610" t="inlineStr">
        <is>
          <t>JT.#10</t>
        </is>
      </c>
      <c r="B213" s="1610" t="inlineStr">
        <is>
          <t>3-1/2" TUBING 9.2 LB/FT ALLOY 28 TSH BL</t>
        </is>
      </c>
      <c r="C213" s="1611" t="n">
        <v>31</v>
      </c>
      <c r="D213" s="1612">
        <f>C213-0.301</f>
        <v/>
      </c>
      <c r="E213" s="1613">
        <f>E212+D213</f>
        <v/>
      </c>
      <c r="F213" s="1613">
        <f>F212-D212</f>
        <v/>
      </c>
      <c r="G213" s="1614">
        <f>G212-D213</f>
        <v/>
      </c>
      <c r="H213" s="1681" t="n"/>
      <c r="K213" s="1620" t="n"/>
    </row>
    <row r="214" ht="39.75" customFormat="1" customHeight="1" s="1591">
      <c r="A214" s="1610" t="inlineStr">
        <is>
          <t>JT.#11</t>
        </is>
      </c>
      <c r="B214" s="1610" t="inlineStr">
        <is>
          <t>3-1/2" TUBING 9.2 LB/FT ALLOY 28 TSH BL</t>
        </is>
      </c>
      <c r="C214" s="1611" t="n">
        <v>31</v>
      </c>
      <c r="D214" s="1612">
        <f>C214-0.301</f>
        <v/>
      </c>
      <c r="E214" s="1613">
        <f>E213+D214</f>
        <v/>
      </c>
      <c r="F214" s="1613">
        <f>F213-D213</f>
        <v/>
      </c>
      <c r="G214" s="1614">
        <f>G213-D214</f>
        <v/>
      </c>
      <c r="H214" s="1681" t="n"/>
      <c r="K214" s="1620" t="n"/>
    </row>
    <row r="215" ht="39.75" customFormat="1" customHeight="1" s="1591">
      <c r="A215" s="1610" t="inlineStr">
        <is>
          <t>JT.#12</t>
        </is>
      </c>
      <c r="B215" s="1610" t="inlineStr">
        <is>
          <t>3-1/2" TUBING 9.2 LB/FT ALLOY 28 TSH BL</t>
        </is>
      </c>
      <c r="C215" s="1611" t="n">
        <v>31</v>
      </c>
      <c r="D215" s="1612">
        <f>C215-0.301</f>
        <v/>
      </c>
      <c r="E215" s="1613">
        <f>E214+D215</f>
        <v/>
      </c>
      <c r="F215" s="1613">
        <f>F214-D214</f>
        <v/>
      </c>
      <c r="G215" s="1614">
        <f>G214-D215</f>
        <v/>
      </c>
      <c r="H215" s="1635" t="n"/>
      <c r="K215" s="1620" t="n"/>
    </row>
    <row r="216" ht="39.75" customFormat="1" customHeight="1" s="1591">
      <c r="A216" s="1610" t="inlineStr">
        <is>
          <t>JT.#13</t>
        </is>
      </c>
      <c r="B216" s="1610" t="inlineStr">
        <is>
          <t>3-1/2" TUBING 9.2 LB/FT ALLOY 28 TSH BL</t>
        </is>
      </c>
      <c r="C216" s="1611" t="n">
        <v>31</v>
      </c>
      <c r="D216" s="1612">
        <f>C216-0.301</f>
        <v/>
      </c>
      <c r="E216" s="1613">
        <f>E215+D216</f>
        <v/>
      </c>
      <c r="F216" s="1613">
        <f>F215-D215</f>
        <v/>
      </c>
      <c r="G216" s="1614">
        <f>G215-D216</f>
        <v/>
      </c>
      <c r="H216" s="1681" t="n"/>
      <c r="K216" s="1620" t="n"/>
    </row>
    <row r="217" ht="39.75" customFormat="1" customHeight="1" s="1591">
      <c r="A217" s="1610" t="inlineStr">
        <is>
          <t>JT.#14</t>
        </is>
      </c>
      <c r="B217" s="1610" t="inlineStr">
        <is>
          <t>3-1/2" TUBING 9.2 LB/FT ALLOY 28 TSH BL</t>
        </is>
      </c>
      <c r="C217" s="1611" t="n">
        <v>31</v>
      </c>
      <c r="D217" s="1612">
        <f>C217-0.301</f>
        <v/>
      </c>
      <c r="E217" s="1613">
        <f>E216+D217</f>
        <v/>
      </c>
      <c r="F217" s="1613">
        <f>F216-D216</f>
        <v/>
      </c>
      <c r="G217" s="1614">
        <f>G216-D217</f>
        <v/>
      </c>
      <c r="H217" s="1636" t="inlineStr">
        <is>
          <t xml:space="preserve">FILL UP STRING </t>
        </is>
      </c>
      <c r="K217" s="1620" t="n"/>
    </row>
    <row r="218" ht="39.75" customFormat="1" customHeight="1" s="1591">
      <c r="A218" s="1610" t="inlineStr">
        <is>
          <t>JT.#15</t>
        </is>
      </c>
      <c r="B218" s="1610" t="inlineStr">
        <is>
          <t>3-1/2" TUBING 9.2 LB/FT ALLOY 28 TSH BL</t>
        </is>
      </c>
      <c r="C218" s="1611" t="n">
        <v>31</v>
      </c>
      <c r="D218" s="1612">
        <f>C218-0.301</f>
        <v/>
      </c>
      <c r="E218" s="1613">
        <f>E217+D218</f>
        <v/>
      </c>
      <c r="F218" s="1613">
        <f>F217-D217</f>
        <v/>
      </c>
      <c r="G218" s="1614">
        <f>G217-D218</f>
        <v/>
      </c>
      <c r="H218" s="1682" t="n"/>
      <c r="K218" s="1620" t="n"/>
    </row>
    <row r="219" ht="39.75" customFormat="1" customHeight="1" s="1591">
      <c r="A219" s="1610" t="inlineStr">
        <is>
          <t>JT.#16</t>
        </is>
      </c>
      <c r="B219" s="1610" t="inlineStr">
        <is>
          <t>3-1/2" TUBING 9.2 LB/FT ALLOY 28 TSH BL</t>
        </is>
      </c>
      <c r="C219" s="1611" t="n">
        <v>31</v>
      </c>
      <c r="D219" s="1612">
        <f>C219-0.301</f>
        <v/>
      </c>
      <c r="E219" s="1613">
        <f>E218+D219</f>
        <v/>
      </c>
      <c r="F219" s="1613">
        <f>F218-D218</f>
        <v/>
      </c>
      <c r="G219" s="1614">
        <f>G218-D219</f>
        <v/>
      </c>
      <c r="H219" s="1683" t="n"/>
      <c r="K219" s="1620" t="n"/>
    </row>
    <row r="220" ht="39.75" customFormat="1" customHeight="1" s="1591">
      <c r="A220" s="1610" t="inlineStr">
        <is>
          <t>JT.#17</t>
        </is>
      </c>
      <c r="B220" s="1610" t="inlineStr">
        <is>
          <t>3-1/2" TUBING 9.2 LB/FT ALLOY 28 TSH BL</t>
        </is>
      </c>
      <c r="C220" s="1611" t="n">
        <v>31</v>
      </c>
      <c r="D220" s="1612">
        <f>C220-0.301</f>
        <v/>
      </c>
      <c r="E220" s="1613">
        <f>E219+D220</f>
        <v/>
      </c>
      <c r="F220" s="1613">
        <f>F219-D219</f>
        <v/>
      </c>
      <c r="G220" s="1614">
        <f>G219-D220</f>
        <v/>
      </c>
      <c r="H220" s="1684" t="n"/>
      <c r="K220" s="1620" t="n"/>
    </row>
    <row r="221" ht="39.75" customFormat="1" customHeight="1" s="1591">
      <c r="A221" s="1610" t="inlineStr">
        <is>
          <t>JT.#18</t>
        </is>
      </c>
      <c r="B221" s="1610" t="inlineStr">
        <is>
          <t>3-1/2" TUBING 9.2 LB/FT ALLOY 28 TSH BL</t>
        </is>
      </c>
      <c r="C221" s="1611" t="n">
        <v>31</v>
      </c>
      <c r="D221" s="1612">
        <f>C221-0.301</f>
        <v/>
      </c>
      <c r="E221" s="1613">
        <f>E220+D221</f>
        <v/>
      </c>
      <c r="F221" s="1613">
        <f>F220-D220</f>
        <v/>
      </c>
      <c r="G221" s="1614">
        <f>G220-D221</f>
        <v/>
      </c>
      <c r="H221" s="1685" t="n"/>
      <c r="K221" s="1620" t="n"/>
    </row>
    <row r="222" ht="171" customFormat="1" customHeight="1" s="1591">
      <c r="A222" s="1610" t="inlineStr">
        <is>
          <t>JT.#19</t>
        </is>
      </c>
      <c r="B222" s="1610" t="inlineStr">
        <is>
          <t>3-1/2" TUBING 9.2 LB/FT ALLOY 28 TSH BL</t>
        </is>
      </c>
      <c r="C222" s="1611" t="n">
        <v>31</v>
      </c>
      <c r="D222" s="1657">
        <f>C222-0.301</f>
        <v/>
      </c>
      <c r="E222" s="1613">
        <f>E221+D222</f>
        <v/>
      </c>
      <c r="F222" s="1613">
        <f>F221-D221</f>
        <v/>
      </c>
      <c r="G222" s="1614">
        <f>G221-D222</f>
        <v/>
      </c>
      <c r="H222" s="1686" t="n"/>
    </row>
    <row r="223" ht="171" customFormat="1" customHeight="1" s="1591">
      <c r="A223" s="1610" t="inlineStr">
        <is>
          <t>JT.#20</t>
        </is>
      </c>
      <c r="B223" s="1610" t="inlineStr">
        <is>
          <t>3-1/2" TUBING 9.2 LB/FT ALLOY 28 TSH BL</t>
        </is>
      </c>
      <c r="C223" s="1611" t="n">
        <v>31</v>
      </c>
      <c r="D223" s="1657">
        <f>C223</f>
        <v/>
      </c>
      <c r="E223" s="1613">
        <f>E222+D223</f>
        <v/>
      </c>
      <c r="F223" s="1613">
        <f>F222-D222</f>
        <v/>
      </c>
      <c r="G223" s="1614">
        <f>G222-D223</f>
        <v/>
      </c>
      <c r="H223" s="1686" t="n"/>
    </row>
    <row r="224" ht="290.25" customFormat="1" customHeight="1" s="1591">
      <c r="A224" s="1610" t="inlineStr">
        <is>
          <t>JT.#21</t>
        </is>
      </c>
      <c r="B224" s="1610" t="inlineStr">
        <is>
          <t>3-1/2" TUBING 9.2 LB/FT ALLOY 28 TSH BL</t>
        </is>
      </c>
      <c r="C224" s="1611" t="n">
        <v>31</v>
      </c>
      <c r="D224" s="1661">
        <f>C224</f>
        <v/>
      </c>
      <c r="E224" s="1613">
        <f>E223+D224</f>
        <v/>
      </c>
      <c r="F224" s="1613">
        <f>F223-D223</f>
        <v/>
      </c>
      <c r="G224" s="1614">
        <f>G223-D224</f>
        <v/>
      </c>
      <c r="H224" s="1671" t="inlineStr">
        <is>
          <t>TARGET @5500'</t>
        </is>
      </c>
    </row>
    <row r="225" ht="174.75" customFormat="1" customHeight="1" s="1591">
      <c r="A225" s="1610" t="inlineStr">
        <is>
          <t>JT.#22</t>
        </is>
      </c>
      <c r="B225" s="1610" t="inlineStr">
        <is>
          <t>3-1/2" TUBING 9.2 LB/FT ALLOY 28 TSH BL</t>
        </is>
      </c>
      <c r="C225" s="1611" t="n">
        <v>31</v>
      </c>
      <c r="D225" s="1661">
        <f>C225</f>
        <v/>
      </c>
      <c r="E225" s="1613">
        <f>E224+D225</f>
        <v/>
      </c>
      <c r="F225" s="1613">
        <f>F224-D224</f>
        <v/>
      </c>
      <c r="G225" s="1614">
        <f>G224-D225</f>
        <v/>
      </c>
      <c r="H225" s="1671" t="n"/>
    </row>
    <row r="226" ht="171" customFormat="1" customHeight="1" s="1591">
      <c r="A226" s="1610" t="inlineStr">
        <is>
          <t>JT.#23</t>
        </is>
      </c>
      <c r="B226" s="1610" t="inlineStr">
        <is>
          <t>3-1/2" TUBING 9.2 LB/FT ALLOY 28 TSH BL</t>
        </is>
      </c>
      <c r="C226" s="1611" t="n">
        <v>31</v>
      </c>
      <c r="D226" s="1661">
        <f>C226</f>
        <v/>
      </c>
      <c r="E226" s="1613">
        <f>E225+D226</f>
        <v/>
      </c>
      <c r="F226" s="1613">
        <f>F225-D225</f>
        <v/>
      </c>
      <c r="G226" s="1614">
        <f>G225-D226</f>
        <v/>
      </c>
      <c r="H226" s="1671" t="n"/>
    </row>
    <row r="227" ht="39.75" customFormat="1" customHeight="1" s="1591">
      <c r="A227" s="1610" t="inlineStr">
        <is>
          <t>JT.#24</t>
        </is>
      </c>
      <c r="B227" s="1610" t="inlineStr">
        <is>
          <t>3-1/2" TUBING 9.2 LB/FT ALLOY 28 TSH BL</t>
        </is>
      </c>
      <c r="C227" s="1611" t="n">
        <v>31</v>
      </c>
      <c r="D227" s="1612">
        <f>C227-0.301</f>
        <v/>
      </c>
      <c r="E227" s="1613">
        <f>E226+D227</f>
        <v/>
      </c>
      <c r="F227" s="1613">
        <f>F226-D226</f>
        <v/>
      </c>
      <c r="G227" s="1614">
        <f>G226-D227</f>
        <v/>
      </c>
      <c r="H227" s="1681" t="n"/>
      <c r="K227" s="1620" t="n"/>
    </row>
    <row r="228" ht="39.75" customFormat="1" customHeight="1" s="1591">
      <c r="A228" s="1610" t="inlineStr">
        <is>
          <t>JT.#25</t>
        </is>
      </c>
      <c r="B228" s="1610" t="inlineStr">
        <is>
          <t>3-1/2" TUBING 9.2 LB/FT ALLOY 28 TSH BL</t>
        </is>
      </c>
      <c r="C228" s="1611" t="n">
        <v>31</v>
      </c>
      <c r="D228" s="1631">
        <f>C228-0.301</f>
        <v/>
      </c>
      <c r="E228" s="1613">
        <f>E227+D228</f>
        <v/>
      </c>
      <c r="F228" s="1613">
        <f>F227-D227</f>
        <v/>
      </c>
      <c r="G228" s="1614">
        <f>G227-D228</f>
        <v/>
      </c>
      <c r="H228" s="1682" t="n"/>
      <c r="K228" s="1620" t="n"/>
    </row>
    <row r="229" ht="39.75" customFormat="1" customHeight="1" s="1591">
      <c r="A229" s="1610" t="inlineStr">
        <is>
          <t>JT.#26</t>
        </is>
      </c>
      <c r="B229" s="1610" t="inlineStr">
        <is>
          <t>3-1/2" TUBING 9.2 LB/FT ALLOY 28 TSH BL</t>
        </is>
      </c>
      <c r="C229" s="1611" t="n">
        <v>31</v>
      </c>
      <c r="D229" s="1612">
        <f>C229-0.301</f>
        <v/>
      </c>
      <c r="E229" s="1613">
        <f>E228+D229</f>
        <v/>
      </c>
      <c r="F229" s="1613">
        <f>F228-D228</f>
        <v/>
      </c>
      <c r="G229" s="1614">
        <f>G228-D229</f>
        <v/>
      </c>
      <c r="H229" s="1685" t="n"/>
      <c r="K229" s="1620" t="n"/>
    </row>
    <row r="230" ht="39.75" customFormat="1" customHeight="1" s="1591">
      <c r="A230" s="1610" t="inlineStr">
        <is>
          <t>JT.#27</t>
        </is>
      </c>
      <c r="B230" s="1610" t="inlineStr">
        <is>
          <t>3-1/2" TUBING 9.2 LB/FT ALLOY 28 TSH BL</t>
        </is>
      </c>
      <c r="C230" s="1611" t="n">
        <v>31</v>
      </c>
      <c r="D230" s="1612">
        <f>C230-0.301</f>
        <v/>
      </c>
      <c r="E230" s="1613">
        <f>E229+D230</f>
        <v/>
      </c>
      <c r="F230" s="1613">
        <f>F229-D229</f>
        <v/>
      </c>
      <c r="G230" s="1614">
        <f>G229-D230</f>
        <v/>
      </c>
      <c r="H230" s="1635" t="n"/>
      <c r="K230" s="1620" t="n"/>
    </row>
    <row r="231" ht="39.75" customFormat="1" customHeight="1" s="1591">
      <c r="A231" s="1610" t="inlineStr">
        <is>
          <t>JT.#28</t>
        </is>
      </c>
      <c r="B231" s="1610" t="inlineStr">
        <is>
          <t>3-1/2" TUBING 9.2 LB/FT ALLOY 28 TSH BL</t>
        </is>
      </c>
      <c r="C231" s="1611" t="n">
        <v>31</v>
      </c>
      <c r="D231" s="1612">
        <f>C231-0.301</f>
        <v/>
      </c>
      <c r="E231" s="1613">
        <f>E230+D231</f>
        <v/>
      </c>
      <c r="F231" s="1613">
        <f>F230-D230</f>
        <v/>
      </c>
      <c r="G231" s="1614">
        <f>G230-D231</f>
        <v/>
      </c>
      <c r="K231" s="1620" t="n"/>
    </row>
    <row r="232" ht="39.75" customFormat="1" customHeight="1" s="1591">
      <c r="A232" s="1610" t="inlineStr">
        <is>
          <t>JT.#29</t>
        </is>
      </c>
      <c r="B232" s="1610" t="inlineStr">
        <is>
          <t>3-1/2" TUBING 9.2 LB/FT ALLOY 28 TSH BL</t>
        </is>
      </c>
      <c r="C232" s="1611" t="n">
        <v>31</v>
      </c>
      <c r="D232" s="1612">
        <f>C232-0.301</f>
        <v/>
      </c>
      <c r="E232" s="1613">
        <f>E231+D232</f>
        <v/>
      </c>
      <c r="F232" s="1613">
        <f>F231-D231</f>
        <v/>
      </c>
      <c r="G232" s="1614">
        <f>G231-D232</f>
        <v/>
      </c>
      <c r="H232" s="1636" t="inlineStr">
        <is>
          <t xml:space="preserve">FILL UP STRING </t>
        </is>
      </c>
      <c r="K232" s="1620" t="n"/>
    </row>
    <row r="233" ht="39.75" customFormat="1" customHeight="1" s="1591">
      <c r="A233" s="1610" t="inlineStr">
        <is>
          <t>JT.#30</t>
        </is>
      </c>
      <c r="B233" s="1610" t="inlineStr">
        <is>
          <t>3-1/2" TUBING 9.2 LB/FT ALLOY 28 TSH BL</t>
        </is>
      </c>
      <c r="C233" s="1611" t="n">
        <v>31</v>
      </c>
      <c r="D233" s="1612">
        <f>C233-0.301</f>
        <v/>
      </c>
      <c r="E233" s="1613">
        <f>E232+D233</f>
        <v/>
      </c>
      <c r="F233" s="1613">
        <f>F232-D232</f>
        <v/>
      </c>
      <c r="G233" s="1614">
        <f>G232-D233</f>
        <v/>
      </c>
      <c r="K233" s="1620" t="n"/>
    </row>
    <row r="234" ht="39.75" customFormat="1" customHeight="1" s="1591">
      <c r="A234" s="1610" t="inlineStr">
        <is>
          <t>JT.#31</t>
        </is>
      </c>
      <c r="B234" s="1610" t="inlineStr">
        <is>
          <t>3-1/2" TUBING 9.2 LB/FT ALLOY 28 TSH BL</t>
        </is>
      </c>
      <c r="C234" s="1611" t="n">
        <v>31</v>
      </c>
      <c r="D234" s="1612">
        <f>C234-0.301</f>
        <v/>
      </c>
      <c r="E234" s="1613">
        <f>E233+D234</f>
        <v/>
      </c>
      <c r="F234" s="1613">
        <f>F233-D233</f>
        <v/>
      </c>
      <c r="G234" s="1614">
        <f>G233-D234</f>
        <v/>
      </c>
      <c r="H234" s="1681" t="n"/>
      <c r="K234" s="1620" t="n"/>
    </row>
    <row r="235" ht="39.75" customFormat="1" customHeight="1" s="1591">
      <c r="A235" s="1610" t="inlineStr">
        <is>
          <t>JT.#32</t>
        </is>
      </c>
      <c r="B235" s="1610" t="inlineStr">
        <is>
          <t>3-1/2" TUBING 9.2 LB/FT ALLOY 28 TSH BL</t>
        </is>
      </c>
      <c r="C235" s="1611" t="n">
        <v>31</v>
      </c>
      <c r="D235" s="1612">
        <f>C235-0.301</f>
        <v/>
      </c>
      <c r="E235" s="1613">
        <f>E234+D235</f>
        <v/>
      </c>
      <c r="F235" s="1613">
        <f>F234-D234</f>
        <v/>
      </c>
      <c r="G235" s="1614">
        <f>G234-D235</f>
        <v/>
      </c>
      <c r="H235" s="1681" t="n"/>
      <c r="K235" s="1620" t="n"/>
    </row>
    <row r="236" ht="39.75" customFormat="1" customHeight="1" s="1591">
      <c r="A236" s="1610" t="inlineStr">
        <is>
          <t>JT.#33</t>
        </is>
      </c>
      <c r="B236" s="1610" t="inlineStr">
        <is>
          <t>3-1/2" TUBING 9.2 LB/FT ALLOY 28 TSH BL</t>
        </is>
      </c>
      <c r="C236" s="1611" t="n">
        <v>31</v>
      </c>
      <c r="D236" s="1612">
        <f>C236-0.301</f>
        <v/>
      </c>
      <c r="E236" s="1613">
        <f>E235+D236</f>
        <v/>
      </c>
      <c r="F236" s="1613">
        <f>F235-D235</f>
        <v/>
      </c>
      <c r="G236" s="1614">
        <f>G235-D236</f>
        <v/>
      </c>
      <c r="H236" s="1681" t="n"/>
      <c r="K236" s="1620" t="n"/>
    </row>
    <row r="237" ht="39.75" customFormat="1" customHeight="1" s="1591">
      <c r="A237" s="1610" t="inlineStr">
        <is>
          <t>JT.#34</t>
        </is>
      </c>
      <c r="B237" s="1610" t="inlineStr">
        <is>
          <t>3-1/2" TUBING 9.2 LB/FT ALLOY 28 TSH BL</t>
        </is>
      </c>
      <c r="C237" s="1611" t="n">
        <v>31</v>
      </c>
      <c r="D237" s="1612">
        <f>C237-0.301</f>
        <v/>
      </c>
      <c r="E237" s="1613">
        <f>E236+D237</f>
        <v/>
      </c>
      <c r="F237" s="1613">
        <f>F236-D236</f>
        <v/>
      </c>
      <c r="G237" s="1614">
        <f>G236-D237</f>
        <v/>
      </c>
      <c r="H237" s="1681" t="n"/>
      <c r="K237" s="1620" t="n"/>
    </row>
    <row r="238" ht="39.75" customFormat="1" customHeight="1" s="1591">
      <c r="A238" s="1610" t="inlineStr">
        <is>
          <t>JT.#35</t>
        </is>
      </c>
      <c r="B238" s="1610" t="inlineStr">
        <is>
          <t>3-1/2" TUBING 9.2 LB/FT ALLOY 28 TSH BL</t>
        </is>
      </c>
      <c r="C238" s="1611" t="n">
        <v>31</v>
      </c>
      <c r="D238" s="1612">
        <f>C238-0.301</f>
        <v/>
      </c>
      <c r="E238" s="1613">
        <f>E237+D238</f>
        <v/>
      </c>
      <c r="F238" s="1613">
        <f>F237-D237</f>
        <v/>
      </c>
      <c r="G238" s="1614">
        <f>G237-D238</f>
        <v/>
      </c>
      <c r="H238" s="1681" t="n"/>
      <c r="K238" s="1620" t="n"/>
    </row>
    <row r="239" ht="39.75" customFormat="1" customHeight="1" s="1591">
      <c r="A239" s="1610" t="inlineStr">
        <is>
          <t>JT.#36</t>
        </is>
      </c>
      <c r="B239" s="1610" t="inlineStr">
        <is>
          <t>3-1/2" TUBING 9.2 LB/FT ALLOY 28 TSH BL</t>
        </is>
      </c>
      <c r="C239" s="1611" t="n">
        <v>31</v>
      </c>
      <c r="D239" s="1612">
        <f>C239-0.301</f>
        <v/>
      </c>
      <c r="E239" s="1613">
        <f>E238+D239</f>
        <v/>
      </c>
      <c r="F239" s="1613">
        <f>F238-D238</f>
        <v/>
      </c>
      <c r="G239" s="1614">
        <f>G238-D239</f>
        <v/>
      </c>
      <c r="H239" s="1681" t="n"/>
      <c r="K239" s="1620" t="n"/>
    </row>
    <row r="240" ht="39.75" customFormat="1" customHeight="1" s="1591">
      <c r="A240" s="1610" t="inlineStr">
        <is>
          <t>JT.#37</t>
        </is>
      </c>
      <c r="B240" s="1610" t="inlineStr">
        <is>
          <t>3-1/2" TUBING 9.2 LB/FT ALLOY 28 TSH BL</t>
        </is>
      </c>
      <c r="C240" s="1611" t="n">
        <v>31</v>
      </c>
      <c r="D240" s="1612">
        <f>C240-0.301</f>
        <v/>
      </c>
      <c r="E240" s="1613">
        <f>E239+D240</f>
        <v/>
      </c>
      <c r="F240" s="1613">
        <f>F239-D239</f>
        <v/>
      </c>
      <c r="G240" s="1614">
        <f>G239-D240</f>
        <v/>
      </c>
      <c r="H240" s="1635" t="n"/>
      <c r="K240" s="1620" t="n"/>
    </row>
    <row r="241" ht="39.75" customFormat="1" customHeight="1" s="1591">
      <c r="A241" s="1610" t="inlineStr">
        <is>
          <t>JT.#38</t>
        </is>
      </c>
      <c r="B241" s="1610" t="inlineStr">
        <is>
          <t>3-1/2" TUBING 9.2 LB/FT ALLOY 28 TSH BL</t>
        </is>
      </c>
      <c r="C241" s="1611" t="n">
        <v>31</v>
      </c>
      <c r="D241" s="1612">
        <f>C241-0.301</f>
        <v/>
      </c>
      <c r="E241" s="1613">
        <f>E240+D241</f>
        <v/>
      </c>
      <c r="F241" s="1613">
        <f>F240-D240</f>
        <v/>
      </c>
      <c r="G241" s="1614">
        <f>G240-D241</f>
        <v/>
      </c>
      <c r="K241" s="1620" t="n"/>
    </row>
    <row r="242" ht="108" customFormat="1" customHeight="1" s="1591">
      <c r="A242" s="1610" t="inlineStr">
        <is>
          <t>JT.#39</t>
        </is>
      </c>
      <c r="B242" s="1610" t="inlineStr">
        <is>
          <t>3-1/2" TUBING 9.2 LB/FT ALLOY 28 TSH BL</t>
        </is>
      </c>
      <c r="C242" s="1611" t="n">
        <v>31</v>
      </c>
      <c r="D242" s="1657">
        <f>C242-0.301</f>
        <v/>
      </c>
      <c r="E242" s="1613">
        <f>E241+D242</f>
        <v/>
      </c>
      <c r="F242" s="1613">
        <f>F241-D241</f>
        <v/>
      </c>
      <c r="G242" s="1614">
        <f>G241-D242</f>
        <v/>
      </c>
      <c r="H242" s="1686" t="n"/>
    </row>
    <row r="243" ht="112.5" customFormat="1" customHeight="1" s="1591">
      <c r="A243" s="1610" t="inlineStr">
        <is>
          <t>JT.#40</t>
        </is>
      </c>
      <c r="B243" s="1610" t="inlineStr">
        <is>
          <t>3-1/2" TUBING 9.2 LB/FT ALLOY 28 TSH BL</t>
        </is>
      </c>
      <c r="C243" s="1611" t="n">
        <v>31</v>
      </c>
      <c r="D243" s="1657">
        <f>C243</f>
        <v/>
      </c>
      <c r="E243" s="1613">
        <f>E242+D243</f>
        <v/>
      </c>
      <c r="F243" s="1613">
        <f>F242-D242</f>
        <v/>
      </c>
      <c r="G243" s="1614">
        <f>G242-D243</f>
        <v/>
      </c>
      <c r="H243" s="1686" t="n"/>
    </row>
    <row r="244" ht="207" customFormat="1" customHeight="1" s="1591">
      <c r="A244" s="1610" t="inlineStr">
        <is>
          <t>JT.#41</t>
        </is>
      </c>
      <c r="B244" s="1610" t="inlineStr">
        <is>
          <t>3-1/2" TUBING 9.2 LB/FT ALLOY 28 TSH BL</t>
        </is>
      </c>
      <c r="C244" s="1611" t="n">
        <v>31</v>
      </c>
      <c r="D244" s="1661">
        <f>C244</f>
        <v/>
      </c>
      <c r="E244" s="1613">
        <f>E243+D244</f>
        <v/>
      </c>
      <c r="F244" s="1613">
        <f>F243-D243</f>
        <v/>
      </c>
      <c r="G244" s="1614">
        <f>G243-D244</f>
        <v/>
      </c>
      <c r="H244" s="1671" t="inlineStr">
        <is>
          <t>TARGET @5000'</t>
        </is>
      </c>
    </row>
    <row r="245" ht="131.25" customFormat="1" customHeight="1" s="1591">
      <c r="A245" s="1610" t="inlineStr">
        <is>
          <t>JT.#42</t>
        </is>
      </c>
      <c r="B245" s="1610" t="inlineStr">
        <is>
          <t>3-1/2" TUBING 9.2 LB/FT ALLOY 28 TSH BL</t>
        </is>
      </c>
      <c r="C245" s="1611" t="n">
        <v>31</v>
      </c>
      <c r="D245" s="1661">
        <f>C245</f>
        <v/>
      </c>
      <c r="E245" s="1613">
        <f>E244+D245</f>
        <v/>
      </c>
      <c r="F245" s="1613">
        <f>F244-D244</f>
        <v/>
      </c>
      <c r="G245" s="1614">
        <f>G244-D245</f>
        <v/>
      </c>
      <c r="H245" s="1671" t="n"/>
    </row>
    <row r="246" ht="131.25" customFormat="1" customHeight="1" s="1591">
      <c r="A246" s="1610" t="inlineStr">
        <is>
          <t>JT.#43</t>
        </is>
      </c>
      <c r="B246" s="1610" t="inlineStr">
        <is>
          <t>3-1/2" TUBING 9.2 LB/FT ALLOY 28 TSH BL</t>
        </is>
      </c>
      <c r="C246" s="1611" t="n">
        <v>31</v>
      </c>
      <c r="D246" s="1661">
        <f>C246</f>
        <v/>
      </c>
      <c r="E246" s="1613">
        <f>E245+D246</f>
        <v/>
      </c>
      <c r="F246" s="1613">
        <f>F245-D245</f>
        <v/>
      </c>
      <c r="G246" s="1614">
        <f>G245-D246</f>
        <v/>
      </c>
      <c r="H246" s="1671" t="n"/>
    </row>
    <row r="247" ht="39.75" customFormat="1" customHeight="1" s="1591">
      <c r="A247" s="1610" t="inlineStr">
        <is>
          <t>JT.#44</t>
        </is>
      </c>
      <c r="B247" s="1610" t="inlineStr">
        <is>
          <t>3-1/2" TUBING 9.2 LB/FT ALLOY 28 TSH BL</t>
        </is>
      </c>
      <c r="C247" s="1611" t="n">
        <v>31</v>
      </c>
      <c r="D247" s="1612">
        <f>C247-0.301</f>
        <v/>
      </c>
      <c r="E247" s="1613">
        <f>E246+D247</f>
        <v/>
      </c>
      <c r="F247" s="1613">
        <f>F246-D246</f>
        <v/>
      </c>
      <c r="G247" s="1614">
        <f>G246-D247</f>
        <v/>
      </c>
      <c r="H247" s="1636" t="inlineStr">
        <is>
          <t xml:space="preserve">FILL UP STRING </t>
        </is>
      </c>
      <c r="K247" s="1620" t="n"/>
    </row>
    <row r="248" ht="39.75" customFormat="1" customHeight="1" s="1591">
      <c r="A248" s="1610" t="inlineStr">
        <is>
          <t>JT.#45</t>
        </is>
      </c>
      <c r="B248" s="1610" t="inlineStr">
        <is>
          <t>3-1/2" TUBING 9.2 LB/FT ALLOY 28 TSH BL</t>
        </is>
      </c>
      <c r="C248" s="1611" t="n">
        <v>31</v>
      </c>
      <c r="D248" s="1612">
        <f>C248-0.301</f>
        <v/>
      </c>
      <c r="E248" s="1613">
        <f>E247+D248</f>
        <v/>
      </c>
      <c r="F248" s="1613">
        <f>F247-D247</f>
        <v/>
      </c>
      <c r="G248" s="1614">
        <f>G247-D248</f>
        <v/>
      </c>
      <c r="K248" s="1620" t="n"/>
    </row>
    <row r="249" ht="39.75" customFormat="1" customHeight="1" s="1591">
      <c r="A249" s="1610" t="inlineStr">
        <is>
          <t>JT.#46</t>
        </is>
      </c>
      <c r="B249" s="1610" t="inlineStr">
        <is>
          <t>3-1/2" TUBING 9.2 LB/FT ALLOY 28 TSH BL</t>
        </is>
      </c>
      <c r="C249" s="1611" t="n">
        <v>31</v>
      </c>
      <c r="D249" s="1612">
        <f>C249-0.301</f>
        <v/>
      </c>
      <c r="E249" s="1613">
        <f>E248+D249</f>
        <v/>
      </c>
      <c r="F249" s="1613">
        <f>F248-D248</f>
        <v/>
      </c>
      <c r="G249" s="1614">
        <f>G248-D249</f>
        <v/>
      </c>
      <c r="H249" s="1681" t="n"/>
      <c r="K249" s="1620" t="n"/>
    </row>
    <row r="250" ht="39.75" customFormat="1" customHeight="1" s="1591">
      <c r="A250" s="1610" t="inlineStr">
        <is>
          <t>JT.#47</t>
        </is>
      </c>
      <c r="B250" s="1610" t="inlineStr">
        <is>
          <t>3-1/2" TUBING 9.2 LB/FT ALLOY 28 TSH BL</t>
        </is>
      </c>
      <c r="C250" s="1611" t="n">
        <v>31</v>
      </c>
      <c r="D250" s="1612">
        <f>C250-0.301</f>
        <v/>
      </c>
      <c r="E250" s="1613">
        <f>E249+D250</f>
        <v/>
      </c>
      <c r="F250" s="1613">
        <f>F249-D249</f>
        <v/>
      </c>
      <c r="G250" s="1614">
        <f>G249-D250</f>
        <v/>
      </c>
      <c r="H250" s="1681" t="n"/>
      <c r="K250" s="1620" t="n"/>
    </row>
    <row r="251" ht="39.75" customFormat="1" customHeight="1" s="1591">
      <c r="A251" s="1610" t="inlineStr">
        <is>
          <t>JT.#48</t>
        </is>
      </c>
      <c r="B251" s="1610" t="inlineStr">
        <is>
          <t>3-1/2" TUBING 9.2 LB/FT ALLOY 28 TSH BL</t>
        </is>
      </c>
      <c r="C251" s="1611" t="n">
        <v>31</v>
      </c>
      <c r="D251" s="1612">
        <f>C251-0.301</f>
        <v/>
      </c>
      <c r="E251" s="1613">
        <f>E250+D251</f>
        <v/>
      </c>
      <c r="F251" s="1613">
        <f>F250-D250</f>
        <v/>
      </c>
      <c r="G251" s="1614">
        <f>G250-D251</f>
        <v/>
      </c>
      <c r="H251" s="1681" t="n"/>
      <c r="K251" s="1620" t="n"/>
    </row>
    <row r="252" ht="39.75" customFormat="1" customHeight="1" s="1591">
      <c r="A252" s="1610" t="inlineStr">
        <is>
          <t>JT.#49</t>
        </is>
      </c>
      <c r="B252" s="1610" t="inlineStr">
        <is>
          <t>3-1/2" TUBING 9.2 LB/FT ALLOY 28 TSH BL</t>
        </is>
      </c>
      <c r="C252" s="1611" t="n">
        <v>31</v>
      </c>
      <c r="D252" s="1612">
        <f>C252-0.301</f>
        <v/>
      </c>
      <c r="E252" s="1613">
        <f>E251+D252</f>
        <v/>
      </c>
      <c r="F252" s="1613">
        <f>F251-D251</f>
        <v/>
      </c>
      <c r="G252" s="1614">
        <f>G251-D252</f>
        <v/>
      </c>
      <c r="H252" s="1681" t="n"/>
      <c r="K252" s="1620" t="n"/>
    </row>
    <row r="253" ht="39.75" customFormat="1" customHeight="1" s="1591">
      <c r="A253" s="1610" t="inlineStr">
        <is>
          <t>JT.#50</t>
        </is>
      </c>
      <c r="B253" s="1610" t="inlineStr">
        <is>
          <t>3-1/2" TUBING 9.2 LB/FT ALLOY 28 TSH BL</t>
        </is>
      </c>
      <c r="C253" s="1611" t="n">
        <v>31</v>
      </c>
      <c r="D253" s="1612">
        <f>C253-0.301</f>
        <v/>
      </c>
      <c r="E253" s="1613">
        <f>E252+D253</f>
        <v/>
      </c>
      <c r="F253" s="1613">
        <f>F252-D252</f>
        <v/>
      </c>
      <c r="G253" s="1614">
        <f>G252-D253</f>
        <v/>
      </c>
      <c r="H253" s="1681" t="n"/>
      <c r="K253" s="1620" t="n"/>
    </row>
    <row r="254" ht="39.75" customFormat="1" customHeight="1" s="1591">
      <c r="A254" s="1610" t="inlineStr">
        <is>
          <t>JT.#51</t>
        </is>
      </c>
      <c r="B254" s="1610" t="inlineStr">
        <is>
          <t>3-1/2" TUBING 9.2 LB/FT ALLOY 28 TSH BL</t>
        </is>
      </c>
      <c r="C254" s="1611" t="n">
        <v>31</v>
      </c>
      <c r="D254" s="1612">
        <f>C254-0.301</f>
        <v/>
      </c>
      <c r="E254" s="1613">
        <f>E253+D254</f>
        <v/>
      </c>
      <c r="F254" s="1613">
        <f>F253-D253</f>
        <v/>
      </c>
      <c r="G254" s="1614">
        <f>G253-D254</f>
        <v/>
      </c>
      <c r="H254" s="1681" t="n"/>
      <c r="K254" s="1620" t="n"/>
    </row>
    <row r="255" ht="39.75" customFormat="1" customHeight="1" s="1591">
      <c r="A255" s="1610" t="inlineStr">
        <is>
          <t>JT.#52</t>
        </is>
      </c>
      <c r="B255" s="1610" t="inlineStr">
        <is>
          <t>3-1/2" TUBING 9.2 LB/FT ALLOY 28 TSH BL</t>
        </is>
      </c>
      <c r="C255" s="1611" t="n">
        <v>31</v>
      </c>
      <c r="D255" s="1612">
        <f>C255-0.301</f>
        <v/>
      </c>
      <c r="E255" s="1613">
        <f>E254+D255</f>
        <v/>
      </c>
      <c r="F255" s="1613">
        <f>F254-D254</f>
        <v/>
      </c>
      <c r="G255" s="1614">
        <f>G254-D255</f>
        <v/>
      </c>
      <c r="H255" s="1635" t="n"/>
      <c r="K255" s="1620" t="n"/>
    </row>
    <row r="256" ht="39.75" customFormat="1" customHeight="1" s="1591">
      <c r="A256" s="1610" t="inlineStr">
        <is>
          <t>JT.#53</t>
        </is>
      </c>
      <c r="B256" s="1610" t="inlineStr">
        <is>
          <t>3-1/2" TUBING 9.2 LB/FT ALLOY 28 TSH BL</t>
        </is>
      </c>
      <c r="C256" s="1611" t="n">
        <v>31</v>
      </c>
      <c r="D256" s="1612">
        <f>C256-0.301</f>
        <v/>
      </c>
      <c r="E256" s="1613">
        <f>E255+D256</f>
        <v/>
      </c>
      <c r="F256" s="1613">
        <f>F255-D255</f>
        <v/>
      </c>
      <c r="G256" s="1614">
        <f>G255-D256</f>
        <v/>
      </c>
      <c r="K256" s="1620" t="n"/>
    </row>
    <row r="257" ht="39.75" customFormat="1" customHeight="1" s="1591">
      <c r="A257" s="1610" t="inlineStr">
        <is>
          <t>JT.#54</t>
        </is>
      </c>
      <c r="B257" s="1610" t="inlineStr">
        <is>
          <t>3-1/2" TUBING 9.2 LB/FT ALLOY 28 TSH BL</t>
        </is>
      </c>
      <c r="C257" s="1611" t="n">
        <v>31</v>
      </c>
      <c r="D257" s="1612">
        <f>C257-0.301</f>
        <v/>
      </c>
      <c r="E257" s="1613">
        <f>E256+D257</f>
        <v/>
      </c>
      <c r="F257" s="1613">
        <f>F256-D256</f>
        <v/>
      </c>
      <c r="G257" s="1614">
        <f>G256-D257</f>
        <v/>
      </c>
      <c r="H257" s="1681" t="n"/>
      <c r="K257" s="1620" t="n"/>
    </row>
    <row r="258" ht="39.75" customFormat="1" customHeight="1" s="1591">
      <c r="A258" s="1610" t="inlineStr">
        <is>
          <t>JT.#55</t>
        </is>
      </c>
      <c r="B258" s="1610" t="inlineStr">
        <is>
          <t>3-1/2" TUBING 9.2 LB/FT ALLOY 28 TSH BL</t>
        </is>
      </c>
      <c r="C258" s="1611" t="n">
        <v>31</v>
      </c>
      <c r="D258" s="1612">
        <f>C258-0.301</f>
        <v/>
      </c>
      <c r="E258" s="1613">
        <f>E257+D258</f>
        <v/>
      </c>
      <c r="F258" s="1613">
        <f>F257-D257</f>
        <v/>
      </c>
      <c r="G258" s="1614">
        <f>G257-D258</f>
        <v/>
      </c>
      <c r="H258" s="1636" t="inlineStr">
        <is>
          <t xml:space="preserve">FILL UP STRING </t>
        </is>
      </c>
      <c r="K258" s="1620" t="n"/>
    </row>
    <row r="259" ht="39.75" customFormat="1" customHeight="1" s="1591">
      <c r="A259" s="1610" t="inlineStr">
        <is>
          <t>JT.#56</t>
        </is>
      </c>
      <c r="B259" s="1610" t="inlineStr">
        <is>
          <t>3-1/2" TUBING 9.2 LB/FT ALLOY 28 TSH BL</t>
        </is>
      </c>
      <c r="C259" s="1611" t="n">
        <v>31</v>
      </c>
      <c r="D259" s="1612">
        <f>C259-0.301</f>
        <v/>
      </c>
      <c r="E259" s="1613">
        <f>E258+D259</f>
        <v/>
      </c>
      <c r="F259" s="1613">
        <f>F258-D258</f>
        <v/>
      </c>
      <c r="G259" s="1614">
        <f>G258-D259</f>
        <v/>
      </c>
      <c r="H259" s="1681" t="n"/>
      <c r="K259" s="1620" t="n"/>
    </row>
    <row r="260" ht="39.75" customFormat="1" customHeight="1" s="1591">
      <c r="A260" s="1610" t="inlineStr">
        <is>
          <t>JT.#57</t>
        </is>
      </c>
      <c r="B260" s="1610" t="inlineStr">
        <is>
          <t>3-1/2" TUBING 9.2 LB/FT ALLOY 28 TSH BL</t>
        </is>
      </c>
      <c r="C260" s="1611" t="n">
        <v>31</v>
      </c>
      <c r="D260" s="1612">
        <f>C260-0.301</f>
        <v/>
      </c>
      <c r="E260" s="1613">
        <f>E259+D260</f>
        <v/>
      </c>
      <c r="F260" s="1613">
        <f>F259-D259</f>
        <v/>
      </c>
      <c r="G260" s="1614">
        <f>G259-D260</f>
        <v/>
      </c>
      <c r="H260" s="1681" t="n"/>
      <c r="K260" s="1620" t="n"/>
    </row>
    <row r="261" ht="39.75" customFormat="1" customHeight="1" s="1591">
      <c r="A261" s="1610" t="inlineStr">
        <is>
          <t>JT.#58</t>
        </is>
      </c>
      <c r="B261" s="1610" t="inlineStr">
        <is>
          <t>3-1/2" TUBING 9.2 LB/FT ALLOY 28 TSH BL</t>
        </is>
      </c>
      <c r="C261" s="1611" t="n">
        <v>31</v>
      </c>
      <c r="D261" s="1612">
        <f>C261-0.301</f>
        <v/>
      </c>
      <c r="E261" s="1613">
        <f>E260+D261</f>
        <v/>
      </c>
      <c r="F261" s="1613">
        <f>F260-D260</f>
        <v/>
      </c>
      <c r="G261" s="1614">
        <f>G260-D261</f>
        <v/>
      </c>
      <c r="H261" s="1681" t="n"/>
      <c r="K261" s="1620" t="n"/>
    </row>
    <row r="262" ht="39.75" customFormat="1" customHeight="1" s="1591">
      <c r="A262" s="1610" t="inlineStr">
        <is>
          <t>JT.#59</t>
        </is>
      </c>
      <c r="B262" s="1610" t="inlineStr">
        <is>
          <t>3-1/2" TUBING 9.2 LB/FT ALLOY 28 TSH BL</t>
        </is>
      </c>
      <c r="C262" s="1611" t="n">
        <v>31</v>
      </c>
      <c r="D262" s="1612">
        <f>C262-0.301</f>
        <v/>
      </c>
      <c r="E262" s="1613">
        <f>E261+D262</f>
        <v/>
      </c>
      <c r="F262" s="1613">
        <f>F261-D261</f>
        <v/>
      </c>
      <c r="G262" s="1614">
        <f>G261-D262</f>
        <v/>
      </c>
      <c r="H262" s="1681" t="n"/>
      <c r="K262" s="1620" t="n"/>
    </row>
    <row r="263" ht="39.75" customFormat="1" customHeight="1" s="1591">
      <c r="A263" s="1610" t="inlineStr">
        <is>
          <t>JT.#60</t>
        </is>
      </c>
      <c r="B263" s="1610" t="inlineStr">
        <is>
          <t>3-1/2" TUBING 9.2 LB/FT ALLOY 28 TSH BL</t>
        </is>
      </c>
      <c r="C263" s="1611" t="n">
        <v>31</v>
      </c>
      <c r="D263" s="1612">
        <f>C263-0.301</f>
        <v/>
      </c>
      <c r="E263" s="1613">
        <f>E262+D263</f>
        <v/>
      </c>
      <c r="F263" s="1613">
        <f>F262-D262</f>
        <v/>
      </c>
      <c r="G263" s="1614">
        <f>G262-D263</f>
        <v/>
      </c>
      <c r="H263" s="1681" t="n"/>
      <c r="K263" s="1620" t="n"/>
    </row>
    <row r="264" ht="39.75" customFormat="1" customHeight="1" s="1591">
      <c r="A264" s="1610" t="inlineStr">
        <is>
          <t>JT.#61</t>
        </is>
      </c>
      <c r="B264" s="1610" t="inlineStr">
        <is>
          <t>3-1/2" TUBING 9.2 LB/FT ALLOY 28 TSH BL</t>
        </is>
      </c>
      <c r="C264" s="1611" t="n">
        <v>31</v>
      </c>
      <c r="D264" s="1612">
        <f>C264-0.301</f>
        <v/>
      </c>
      <c r="E264" s="1613">
        <f>E263+D264</f>
        <v/>
      </c>
      <c r="F264" s="1613">
        <f>F263-D263</f>
        <v/>
      </c>
      <c r="G264" s="1614">
        <f>G263-D264</f>
        <v/>
      </c>
      <c r="H264" s="1681" t="n"/>
      <c r="K264" s="1620" t="n"/>
    </row>
    <row r="265" ht="39.75" customFormat="1" customHeight="1" s="1591">
      <c r="A265" s="1610" t="inlineStr">
        <is>
          <t>JT.#62</t>
        </is>
      </c>
      <c r="B265" s="1610" t="inlineStr">
        <is>
          <t>3-1/2" TUBING 9.2 LB/FT ALLOY 28 TSH BL</t>
        </is>
      </c>
      <c r="C265" s="1611" t="n">
        <v>31</v>
      </c>
      <c r="D265" s="1612">
        <f>C265-0.301</f>
        <v/>
      </c>
      <c r="E265" s="1613">
        <f>E264+D265</f>
        <v/>
      </c>
      <c r="F265" s="1613">
        <f>F264-D264</f>
        <v/>
      </c>
      <c r="G265" s="1614">
        <f>G264-D265</f>
        <v/>
      </c>
      <c r="H265" s="1635" t="inlineStr">
        <is>
          <t>.</t>
        </is>
      </c>
      <c r="K265" s="1620" t="n"/>
    </row>
    <row r="266" ht="39.75" customFormat="1" customHeight="1" s="1591">
      <c r="A266" s="1610" t="inlineStr">
        <is>
          <t>JT.#63</t>
        </is>
      </c>
      <c r="B266" s="1610" t="inlineStr">
        <is>
          <t>3-1/2" TUBING 9.2 LB/FT ALLOY 28 TSH BL</t>
        </is>
      </c>
      <c r="C266" s="1611" t="n">
        <v>31</v>
      </c>
      <c r="D266" s="1612">
        <f>C266-0.301</f>
        <v/>
      </c>
      <c r="E266" s="1613">
        <f>E265+D266</f>
        <v/>
      </c>
      <c r="F266" s="1613">
        <f>F265-D265</f>
        <v/>
      </c>
      <c r="G266" s="1614">
        <f>G265-D266</f>
        <v/>
      </c>
      <c r="K266" s="1620" t="n"/>
    </row>
    <row r="267" ht="39.75" customFormat="1" customHeight="1" s="1591">
      <c r="A267" s="1610" t="inlineStr">
        <is>
          <t>JT.#64</t>
        </is>
      </c>
      <c r="B267" s="1610" t="inlineStr">
        <is>
          <t>3-1/2" TUBING 9.2 LB/FT ALLOY 28 TSH BL</t>
        </is>
      </c>
      <c r="C267" s="1611" t="n">
        <v>31</v>
      </c>
      <c r="D267" s="1612">
        <f>C267-0.301</f>
        <v/>
      </c>
      <c r="E267" s="1613">
        <f>E266+D267</f>
        <v/>
      </c>
      <c r="F267" s="1613">
        <f>F266-D266</f>
        <v/>
      </c>
      <c r="G267" s="1614">
        <f>G266-D267</f>
        <v/>
      </c>
      <c r="H267" s="1636" t="inlineStr">
        <is>
          <t xml:space="preserve">FILL UP STRING </t>
        </is>
      </c>
      <c r="K267" s="1620" t="n"/>
    </row>
    <row r="268" ht="39.75" customFormat="1" customHeight="1" s="1591">
      <c r="A268" s="1610" t="inlineStr">
        <is>
          <t>JT.#65</t>
        </is>
      </c>
      <c r="B268" s="1610" t="inlineStr">
        <is>
          <t>3-1/2" TUBING 9.2 LB/FT ALLOY 28 TSH BL</t>
        </is>
      </c>
      <c r="C268" s="1611" t="n">
        <v>31</v>
      </c>
      <c r="D268" s="1612">
        <f>C268-0.301</f>
        <v/>
      </c>
      <c r="E268" s="1613">
        <f>E267+D268</f>
        <v/>
      </c>
      <c r="F268" s="1613">
        <f>F267-D267</f>
        <v/>
      </c>
      <c r="G268" s="1614">
        <f>G267-D268</f>
        <v/>
      </c>
      <c r="K268" s="1620" t="n"/>
    </row>
    <row r="269" ht="39.75" customFormat="1" customHeight="1" s="1591">
      <c r="A269" s="1610" t="inlineStr">
        <is>
          <t>JT.#66</t>
        </is>
      </c>
      <c r="B269" s="1610" t="inlineStr">
        <is>
          <t>3-1/2" TUBING 9.2 LB/FT ALLOY 28 TSH BL</t>
        </is>
      </c>
      <c r="C269" s="1611" t="n">
        <v>31</v>
      </c>
      <c r="D269" s="1612">
        <f>C269-0.301</f>
        <v/>
      </c>
      <c r="E269" s="1613">
        <f>E268+D269</f>
        <v/>
      </c>
      <c r="F269" s="1613">
        <f>F268-D268</f>
        <v/>
      </c>
      <c r="G269" s="1614">
        <f>G268-D269</f>
        <v/>
      </c>
      <c r="H269" s="1681" t="n"/>
      <c r="K269" s="1620" t="n"/>
    </row>
    <row r="270" ht="39.75" customFormat="1" customHeight="1" s="1591">
      <c r="A270" s="1687" t="inlineStr">
        <is>
          <t>SP-01</t>
        </is>
      </c>
      <c r="B270" s="1688" t="inlineStr">
        <is>
          <t>UPPER CONN. 3-1/2" VAM TOP BOX 9.2 PPF SN 28 110 KSI
DESCRIPTION: 5 FEET XOVER
SAP: 130005011340
SUPPLIER: TENARIS
UPPER CONN. 3-1/2" TSH BLUE PIN 9.2 PPF SN 28 110 KSI</t>
        </is>
      </c>
      <c r="C270" s="1689" t="n">
        <v>5.18</v>
      </c>
      <c r="D270" s="1612">
        <f>C270-0.301</f>
        <v/>
      </c>
      <c r="E270" s="1613">
        <f>E269+D270</f>
        <v/>
      </c>
      <c r="F270" s="1613">
        <f>F269-D269</f>
        <v/>
      </c>
      <c r="G270" s="1614">
        <f>G269-D270</f>
        <v/>
      </c>
      <c r="H270" s="1681" t="n"/>
      <c r="K270" s="1620" t="n"/>
    </row>
    <row r="271" ht="39.75" customFormat="1" customHeight="1" s="1591">
      <c r="A271" s="1624" t="n"/>
      <c r="B271" s="1688" t="inlineStr">
        <is>
          <t>UPPER CONN.
3-1/2 9.2 PPF, 110KSI VAM TOP BOX
DESCRIPTION:
PCKR, SWEL,6,3-1/2,A925, OIL
P/N: 2991712
S/N: RDT-UAE-1003629
SAP: 130010039426
SUPPLIER: WFD-REACTIVE
LOWER CONN.</t>
        </is>
      </c>
      <c r="C271" s="1689" t="n">
        <v>30.88</v>
      </c>
      <c r="D271" s="1612">
        <f>C271-0.301</f>
        <v/>
      </c>
      <c r="E271" s="1613">
        <f>E270+D271</f>
        <v/>
      </c>
      <c r="F271" s="1613">
        <f>F270-D270</f>
        <v/>
      </c>
      <c r="G271" s="1614">
        <f>G270-D271</f>
        <v/>
      </c>
      <c r="H271" s="1681" t="n"/>
      <c r="K271" s="1620" t="n"/>
    </row>
    <row r="272" ht="39.75" customFormat="1" customHeight="1" s="1591">
      <c r="A272" s="1172" t="n"/>
      <c r="B272" s="1688" t="inlineStr">
        <is>
          <t>UPPER CONN . 3-1/2" TSH BLUE BOX 9.2 PPF SN 28 110 KSI
DESCRIPTION: 3 FEET XOVER
SAP: 130005011337
SUPPLIER: TENARIS
LOWER CONN. 3-1/2" VAM TOP PIN 9.2 PPF SN 28 110 KSI</t>
        </is>
      </c>
      <c r="C272" s="1689" t="n">
        <v>2.78</v>
      </c>
      <c r="D272" s="1612">
        <f>C272-0.301</f>
        <v/>
      </c>
      <c r="E272" s="1613">
        <f>E271+D272</f>
        <v/>
      </c>
      <c r="F272" s="1613">
        <f>F271-D271</f>
        <v/>
      </c>
      <c r="G272" s="1614">
        <f>G271-D272</f>
        <v/>
      </c>
      <c r="H272" s="1681" t="n"/>
      <c r="K272" s="1620" t="n"/>
    </row>
    <row r="273" ht="39.75" customFormat="1" customHeight="1" s="1591">
      <c r="A273" s="1610" t="inlineStr">
        <is>
          <t>JT.#67</t>
        </is>
      </c>
      <c r="B273" s="1610" t="inlineStr">
        <is>
          <t>3-1/2" TUBING 9.2 LB/FT ALLOY 28 TSH BL</t>
        </is>
      </c>
      <c r="C273" s="1611" t="n">
        <v>31</v>
      </c>
      <c r="D273" s="1612">
        <f>C273-0.301</f>
        <v/>
      </c>
      <c r="E273" s="1613">
        <f>E272+D273</f>
        <v/>
      </c>
      <c r="F273" s="1613">
        <f>F272-D272</f>
        <v/>
      </c>
      <c r="G273" s="1614">
        <f>G272-D273</f>
        <v/>
      </c>
      <c r="H273" s="1681" t="n"/>
      <c r="K273" s="1620" t="n"/>
    </row>
    <row r="274" ht="39.75" customFormat="1" customHeight="1" s="1591">
      <c r="A274" s="1610" t="inlineStr">
        <is>
          <t>JT.#68</t>
        </is>
      </c>
      <c r="B274" s="1610" t="inlineStr">
        <is>
          <t>3-1/2" TUBING 9.2 LB/FT ALLOY 28 TSH BL</t>
        </is>
      </c>
      <c r="C274" s="1611" t="n">
        <v>31</v>
      </c>
      <c r="D274" s="1612">
        <f>C274-0.301</f>
        <v/>
      </c>
      <c r="E274" s="1613">
        <f>E273+D274</f>
        <v/>
      </c>
      <c r="F274" s="1613">
        <f>F273-D273</f>
        <v/>
      </c>
      <c r="G274" s="1614">
        <f>G273-D274</f>
        <v/>
      </c>
      <c r="H274" s="1690" t="n"/>
      <c r="K274" s="1620" t="n"/>
    </row>
    <row r="275" ht="153" customFormat="1" customHeight="1" s="1591">
      <c r="A275" s="1610" t="inlineStr">
        <is>
          <t>JT.#69</t>
        </is>
      </c>
      <c r="B275" s="1610" t="inlineStr">
        <is>
          <t>3-1/2" TUBING 9.2 LB/FT ALLOY 28 TSH BL</t>
        </is>
      </c>
      <c r="C275" s="1611" t="n">
        <v>31</v>
      </c>
      <c r="D275" s="1657">
        <f>C275-0.301</f>
        <v/>
      </c>
      <c r="E275" s="1613">
        <f>E274+D275</f>
        <v/>
      </c>
      <c r="F275" s="1613">
        <f>F274-D274</f>
        <v/>
      </c>
      <c r="G275" s="1614">
        <f>G274-D275</f>
        <v/>
      </c>
      <c r="H275" s="1686" t="n"/>
    </row>
    <row r="276" ht="103.5" customFormat="1" customHeight="1" s="1591">
      <c r="A276" s="1610" t="inlineStr">
        <is>
          <t>JT.#70</t>
        </is>
      </c>
      <c r="B276" s="1610" t="inlineStr">
        <is>
          <t>3-1/2" TUBING 9.2 LB/FT ALLOY 28 TSH BL</t>
        </is>
      </c>
      <c r="C276" s="1611" t="n">
        <v>31</v>
      </c>
      <c r="D276" s="1657">
        <f>C276</f>
        <v/>
      </c>
      <c r="E276" s="1613">
        <f>E275+D276</f>
        <v/>
      </c>
      <c r="F276" s="1613">
        <f>F275-D275</f>
        <v/>
      </c>
      <c r="G276" s="1614">
        <f>G275-D276</f>
        <v/>
      </c>
      <c r="H276" s="1686" t="n"/>
    </row>
    <row r="277" ht="226.5" customFormat="1" customHeight="1" s="1591">
      <c r="A277" s="1610" t="inlineStr">
        <is>
          <t>JT.#71</t>
        </is>
      </c>
      <c r="B277" s="1610" t="inlineStr">
        <is>
          <t>3-1/2" TUBING 9.2 LB/FT ALLOY 28 TSH BL</t>
        </is>
      </c>
      <c r="C277" s="1611" t="n">
        <v>31</v>
      </c>
      <c r="D277" s="1661">
        <f>C277</f>
        <v/>
      </c>
      <c r="E277" s="1613">
        <f>E276+D277</f>
        <v/>
      </c>
      <c r="F277" s="1613">
        <f>F276-D276</f>
        <v/>
      </c>
      <c r="G277" s="1614">
        <f>G276-D277</f>
        <v/>
      </c>
      <c r="H277" s="1671" t="inlineStr">
        <is>
          <t>TARGET @4100'</t>
        </is>
      </c>
    </row>
    <row r="278" ht="176.25" customFormat="1" customHeight="1" s="1591">
      <c r="A278" s="1610" t="inlineStr">
        <is>
          <t>JT.#72</t>
        </is>
      </c>
      <c r="B278" s="1610" t="inlineStr">
        <is>
          <t>3-1/2" TUBING 9.2 LB/FT ALLOY 28 TSH BL</t>
        </is>
      </c>
      <c r="C278" s="1611" t="n">
        <v>31</v>
      </c>
      <c r="D278" s="1661">
        <f>C278</f>
        <v/>
      </c>
      <c r="E278" s="1613">
        <f>E277+D278</f>
        <v/>
      </c>
      <c r="F278" s="1613">
        <f>F277-D277</f>
        <v/>
      </c>
      <c r="G278" s="1614">
        <f>G277-D278</f>
        <v/>
      </c>
      <c r="H278" s="1671" t="n"/>
    </row>
    <row r="279" ht="162.75" customFormat="1" customHeight="1" s="1591">
      <c r="A279" s="1610" t="inlineStr">
        <is>
          <t>JT.#73</t>
        </is>
      </c>
      <c r="B279" s="1610" t="inlineStr">
        <is>
          <t>3-1/2" TUBING 9.2 LB/FT ALLOY 28 TSH BL</t>
        </is>
      </c>
      <c r="C279" s="1611" t="n">
        <v>31</v>
      </c>
      <c r="D279" s="1661">
        <f>C279</f>
        <v/>
      </c>
      <c r="E279" s="1613">
        <f>E278+D279</f>
        <v/>
      </c>
      <c r="F279" s="1613">
        <f>F278-D278</f>
        <v/>
      </c>
      <c r="G279" s="1614">
        <f>G278-D279</f>
        <v/>
      </c>
      <c r="H279" s="1671" t="n"/>
    </row>
    <row r="280" ht="39.75" customFormat="1" customHeight="1" s="1591">
      <c r="A280" s="1610" t="inlineStr">
        <is>
          <t>JT.#74</t>
        </is>
      </c>
      <c r="B280" s="1610" t="inlineStr">
        <is>
          <t>3-1/2" TUBING 9.2 LB/FT ALLOY 28 TSH BL</t>
        </is>
      </c>
      <c r="C280" s="1611" t="n">
        <v>31</v>
      </c>
      <c r="D280" s="1612">
        <f>C280-0.301</f>
        <v/>
      </c>
      <c r="E280" s="1613">
        <f>E279+D280</f>
        <v/>
      </c>
      <c r="F280" s="1613">
        <f>F279-D279</f>
        <v/>
      </c>
      <c r="G280" s="1614">
        <f>G279-D280</f>
        <v/>
      </c>
      <c r="H280" s="1635" t="inlineStr">
        <is>
          <t>.</t>
        </is>
      </c>
      <c r="K280" s="1620" t="n"/>
    </row>
    <row r="281" ht="39.75" customFormat="1" customHeight="1" s="1591">
      <c r="A281" s="1610" t="inlineStr">
        <is>
          <t>JT.#75</t>
        </is>
      </c>
      <c r="B281" s="1610" t="inlineStr">
        <is>
          <t>3-1/2" TUBING 9.2 LB/FT ALLOY 28 TSH BL</t>
        </is>
      </c>
      <c r="C281" s="1611" t="n">
        <v>31</v>
      </c>
      <c r="D281" s="1612">
        <f>C281-0.301</f>
        <v/>
      </c>
      <c r="E281" s="1613">
        <f>E280+D281</f>
        <v/>
      </c>
      <c r="F281" s="1613">
        <f>F280-D280</f>
        <v/>
      </c>
      <c r="G281" s="1614">
        <f>G280-D281</f>
        <v/>
      </c>
      <c r="K281" s="1620" t="n"/>
    </row>
    <row r="282" ht="39.75" customFormat="1" customHeight="1" s="1591">
      <c r="A282" s="1610" t="inlineStr">
        <is>
          <t>JT.#76</t>
        </is>
      </c>
      <c r="B282" s="1610" t="inlineStr">
        <is>
          <t>3-1/2" TUBING 9.2 LB/FT ALLOY 28 TSH BL</t>
        </is>
      </c>
      <c r="C282" s="1611" t="n">
        <v>31</v>
      </c>
      <c r="D282" s="1612">
        <f>C282-0.301</f>
        <v/>
      </c>
      <c r="E282" s="1613">
        <f>E281+D282</f>
        <v/>
      </c>
      <c r="F282" s="1613">
        <f>F281-D281</f>
        <v/>
      </c>
      <c r="G282" s="1614">
        <f>G281-D282</f>
        <v/>
      </c>
      <c r="H282" s="1636" t="inlineStr">
        <is>
          <t xml:space="preserve">FILL UP STRING </t>
        </is>
      </c>
      <c r="K282" s="1620" t="n"/>
    </row>
    <row r="283" ht="39.75" customFormat="1" customHeight="1" s="1591">
      <c r="A283" s="1610" t="inlineStr">
        <is>
          <t>JT.#77</t>
        </is>
      </c>
      <c r="B283" s="1610" t="inlineStr">
        <is>
          <t>3-1/2" TUBING 9.2 LB/FT ALLOY 28 TSH BL</t>
        </is>
      </c>
      <c r="C283" s="1611" t="n">
        <v>31</v>
      </c>
      <c r="D283" s="1612">
        <f>C283-0.301</f>
        <v/>
      </c>
      <c r="E283" s="1613">
        <f>E282+D283</f>
        <v/>
      </c>
      <c r="F283" s="1613">
        <f>F282-D282</f>
        <v/>
      </c>
      <c r="G283" s="1614">
        <f>G282-D283</f>
        <v/>
      </c>
      <c r="K283" s="1620" t="n"/>
    </row>
    <row r="284" ht="39.75" customFormat="1" customHeight="1" s="1591">
      <c r="A284" s="1610" t="inlineStr">
        <is>
          <t>JT.#78</t>
        </is>
      </c>
      <c r="B284" s="1610" t="inlineStr">
        <is>
          <t>3-1/2" TUBING 9.2 LB/FT ALLOY 28 TSH BL</t>
        </is>
      </c>
      <c r="C284" s="1611" t="n">
        <v>31</v>
      </c>
      <c r="D284" s="1612">
        <f>C284-0.301</f>
        <v/>
      </c>
      <c r="E284" s="1613">
        <f>E283+D284</f>
        <v/>
      </c>
      <c r="F284" s="1613">
        <f>F283-D283</f>
        <v/>
      </c>
      <c r="G284" s="1614">
        <f>G283-D284</f>
        <v/>
      </c>
      <c r="H284" s="1681" t="n"/>
      <c r="K284" s="1620" t="n"/>
    </row>
    <row r="285" ht="39.75" customFormat="1" customHeight="1" s="1591">
      <c r="A285" s="1610" t="inlineStr">
        <is>
          <t>JT.#79</t>
        </is>
      </c>
      <c r="B285" s="1610" t="inlineStr">
        <is>
          <t>3-1/2" TUBING 9.2 LB/FT ALLOY 28 TSH BL</t>
        </is>
      </c>
      <c r="C285" s="1611" t="n">
        <v>31</v>
      </c>
      <c r="D285" s="1612">
        <f>C285-0.301</f>
        <v/>
      </c>
      <c r="E285" s="1613">
        <f>E284+D285</f>
        <v/>
      </c>
      <c r="F285" s="1613">
        <f>F284-D284</f>
        <v/>
      </c>
      <c r="G285" s="1614">
        <f>G284-D285</f>
        <v/>
      </c>
      <c r="H285" s="1681" t="n"/>
      <c r="K285" s="1620" t="n"/>
    </row>
    <row r="286" ht="39.75" customFormat="1" customHeight="1" s="1591">
      <c r="A286" s="1610" t="inlineStr">
        <is>
          <t>JT.#80</t>
        </is>
      </c>
      <c r="B286" s="1610" t="inlineStr">
        <is>
          <t>3-1/2" TUBING 9.2 LB/FT ALLOY 28 TSH BL</t>
        </is>
      </c>
      <c r="C286" s="1611" t="n">
        <v>31</v>
      </c>
      <c r="D286" s="1612">
        <f>C286-0.301</f>
        <v/>
      </c>
      <c r="E286" s="1613">
        <f>E285+D286</f>
        <v/>
      </c>
      <c r="F286" s="1613">
        <f>F285-D285</f>
        <v/>
      </c>
      <c r="G286" s="1614">
        <f>G285-D286</f>
        <v/>
      </c>
      <c r="H286" s="1681" t="n"/>
      <c r="K286" s="1620" t="n"/>
    </row>
    <row r="287" ht="39.75" customFormat="1" customHeight="1" s="1591">
      <c r="A287" s="1610" t="inlineStr">
        <is>
          <t>JT.#81</t>
        </is>
      </c>
      <c r="B287" s="1610" t="inlineStr">
        <is>
          <t>3-1/2" TUBING 9.2 LB/FT ALLOY 28 TSH BL</t>
        </is>
      </c>
      <c r="C287" s="1611" t="n">
        <v>31</v>
      </c>
      <c r="D287" s="1612">
        <f>C287-0.301</f>
        <v/>
      </c>
      <c r="E287" s="1613">
        <f>E286+D287</f>
        <v/>
      </c>
      <c r="F287" s="1613">
        <f>F286-D286</f>
        <v/>
      </c>
      <c r="G287" s="1614">
        <f>G286-D287</f>
        <v/>
      </c>
      <c r="H287" s="1681" t="n"/>
      <c r="K287" s="1620" t="n"/>
    </row>
    <row r="288" ht="39.75" customFormat="1" customHeight="1" s="1591">
      <c r="A288" s="1610" t="inlineStr">
        <is>
          <t>JT.#82</t>
        </is>
      </c>
      <c r="B288" s="1610" t="inlineStr">
        <is>
          <t>3-1/2" TUBING 9.2 LB/FT ALLOY 28 TSH BL</t>
        </is>
      </c>
      <c r="C288" s="1611" t="n">
        <v>31</v>
      </c>
      <c r="D288" s="1612">
        <f>C288-0.301</f>
        <v/>
      </c>
      <c r="E288" s="1613">
        <f>E287+D288</f>
        <v/>
      </c>
      <c r="F288" s="1613">
        <f>F287-D287</f>
        <v/>
      </c>
      <c r="G288" s="1614">
        <f>G287-D288</f>
        <v/>
      </c>
      <c r="H288" s="1681" t="n"/>
      <c r="K288" s="1620" t="n"/>
    </row>
    <row r="289" ht="39.75" customFormat="1" customHeight="1" s="1591">
      <c r="A289" s="1610" t="inlineStr">
        <is>
          <t>JT.#83</t>
        </is>
      </c>
      <c r="B289" s="1610" t="inlineStr">
        <is>
          <t>3-1/2" TUBING 9.2 LB/FT ALLOY 28 TSH BL</t>
        </is>
      </c>
      <c r="C289" s="1611" t="n">
        <v>31</v>
      </c>
      <c r="D289" s="1612">
        <f>C289-0.301</f>
        <v/>
      </c>
      <c r="E289" s="1613">
        <f>E288+D289</f>
        <v/>
      </c>
      <c r="F289" s="1613">
        <f>F288-D288</f>
        <v/>
      </c>
      <c r="G289" s="1614">
        <f>G288-D289</f>
        <v/>
      </c>
      <c r="H289" s="1681" t="n"/>
      <c r="K289" s="1620" t="n"/>
    </row>
    <row r="290" ht="39.75" customFormat="1" customHeight="1" s="1591">
      <c r="A290" s="1610" t="inlineStr">
        <is>
          <t>JT.#84</t>
        </is>
      </c>
      <c r="B290" s="1610" t="inlineStr">
        <is>
          <t>3-1/2" TUBING 9.2 LB/FT ALLOY 28 TSH BL</t>
        </is>
      </c>
      <c r="C290" s="1611" t="n">
        <v>31</v>
      </c>
      <c r="D290" s="1612">
        <f>C290-0.301</f>
        <v/>
      </c>
      <c r="E290" s="1613">
        <f>E289+D290</f>
        <v/>
      </c>
      <c r="F290" s="1613">
        <f>F289-D289</f>
        <v/>
      </c>
      <c r="G290" s="1614">
        <f>G289-D290</f>
        <v/>
      </c>
      <c r="H290" s="1635" t="inlineStr">
        <is>
          <t>.</t>
        </is>
      </c>
      <c r="K290" s="1620" t="n"/>
    </row>
    <row r="291" ht="39.75" customFormat="1" customHeight="1" s="1591">
      <c r="A291" s="1610" t="inlineStr">
        <is>
          <t>JT.#85</t>
        </is>
      </c>
      <c r="B291" s="1610" t="inlineStr">
        <is>
          <t>3-1/2" TUBING 9.2 LB/FT ALLOY 28 TSH BL</t>
        </is>
      </c>
      <c r="C291" s="1611" t="n">
        <v>31</v>
      </c>
      <c r="D291" s="1612">
        <f>C291-0.301</f>
        <v/>
      </c>
      <c r="E291" s="1613">
        <f>E290+D291</f>
        <v/>
      </c>
      <c r="F291" s="1613">
        <f>F290-D290</f>
        <v/>
      </c>
      <c r="G291" s="1614">
        <f>G290-D291</f>
        <v/>
      </c>
      <c r="K291" s="1620" t="n"/>
    </row>
    <row r="292" ht="39.75" customFormat="1" customHeight="1" s="1591">
      <c r="A292" s="1610" t="inlineStr">
        <is>
          <t>JT.#86</t>
        </is>
      </c>
      <c r="B292" s="1610" t="inlineStr">
        <is>
          <t>3-1/2" TUBING 9.2 LB/FT ALLOY 28 TSH BL</t>
        </is>
      </c>
      <c r="C292" s="1611" t="n">
        <v>31</v>
      </c>
      <c r="D292" s="1612">
        <f>C292-0.301</f>
        <v/>
      </c>
      <c r="E292" s="1613">
        <f>E291+D292</f>
        <v/>
      </c>
      <c r="F292" s="1613">
        <f>F291-D291</f>
        <v/>
      </c>
      <c r="G292" s="1614">
        <f>G291-D292</f>
        <v/>
      </c>
      <c r="H292" s="1636" t="inlineStr">
        <is>
          <t xml:space="preserve">FILL UP STRING </t>
        </is>
      </c>
      <c r="K292" s="1620" t="n"/>
    </row>
    <row r="293" ht="39.75" customFormat="1" customHeight="1" s="1591">
      <c r="A293" s="1610" t="inlineStr">
        <is>
          <t>JT.#87</t>
        </is>
      </c>
      <c r="B293" s="1610" t="inlineStr">
        <is>
          <t>3-1/2" TUBING 9.2 LB/FT ALLOY 28 TSH BL</t>
        </is>
      </c>
      <c r="C293" s="1611" t="n">
        <v>31</v>
      </c>
      <c r="D293" s="1612">
        <f>C293-0.301</f>
        <v/>
      </c>
      <c r="E293" s="1613">
        <f>E292+D293</f>
        <v/>
      </c>
      <c r="F293" s="1613">
        <f>F292-D292</f>
        <v/>
      </c>
      <c r="G293" s="1614">
        <f>G292-D293</f>
        <v/>
      </c>
      <c r="K293" s="1620" t="n"/>
    </row>
    <row r="294" ht="39.75" customFormat="1" customHeight="1" s="1591">
      <c r="A294" s="1610" t="inlineStr">
        <is>
          <t>JT.#88</t>
        </is>
      </c>
      <c r="B294" s="1610" t="inlineStr">
        <is>
          <t>3-1/2" TUBING 9.2 LB/FT ALLOY 28 TSH BL</t>
        </is>
      </c>
      <c r="C294" s="1611" t="n">
        <v>31</v>
      </c>
      <c r="D294" s="1612">
        <f>C294-0.301</f>
        <v/>
      </c>
      <c r="E294" s="1613">
        <f>E293+D294</f>
        <v/>
      </c>
      <c r="F294" s="1613">
        <f>F293-D293</f>
        <v/>
      </c>
      <c r="G294" s="1614">
        <f>G293-D294</f>
        <v/>
      </c>
      <c r="H294" s="1681" t="n"/>
      <c r="K294" s="1620" t="n"/>
    </row>
    <row r="295" ht="39.75" customFormat="1" customHeight="1" s="1591">
      <c r="A295" s="1610" t="inlineStr">
        <is>
          <t>JT.#89</t>
        </is>
      </c>
      <c r="B295" s="1610" t="inlineStr">
        <is>
          <t>3-1/2" TUBING 9.2 LB/FT ALLOY 28 TSH BL</t>
        </is>
      </c>
      <c r="C295" s="1611" t="n">
        <v>31</v>
      </c>
      <c r="D295" s="1612">
        <f>C295-0.301</f>
        <v/>
      </c>
      <c r="E295" s="1613">
        <f>E294+D295</f>
        <v/>
      </c>
      <c r="F295" s="1613">
        <f>F294-D294</f>
        <v/>
      </c>
      <c r="G295" s="1614">
        <f>G294-D295</f>
        <v/>
      </c>
      <c r="H295" s="1681" t="n"/>
      <c r="K295" s="1620" t="n"/>
    </row>
    <row r="296" ht="39.75" customFormat="1" customHeight="1" s="1591">
      <c r="A296" s="1610" t="inlineStr">
        <is>
          <t>JT.#90</t>
        </is>
      </c>
      <c r="B296" s="1610" t="inlineStr">
        <is>
          <t>3-1/2" TUBING 9.2 LB/FT ALLOY 28 TSH BL</t>
        </is>
      </c>
      <c r="C296" s="1611" t="n">
        <v>31</v>
      </c>
      <c r="D296" s="1612">
        <f>C296-0.301</f>
        <v/>
      </c>
      <c r="E296" s="1613">
        <f>E295+D296</f>
        <v/>
      </c>
      <c r="F296" s="1613">
        <f>F295-D295</f>
        <v/>
      </c>
      <c r="G296" s="1614">
        <f>G295-D296</f>
        <v/>
      </c>
      <c r="H296" s="1681" t="n"/>
      <c r="K296" s="1620" t="n"/>
    </row>
    <row r="297" ht="39.75" customFormat="1" customHeight="1" s="1591">
      <c r="A297" s="1610" t="inlineStr">
        <is>
          <t>JT.#91</t>
        </is>
      </c>
      <c r="B297" s="1610" t="inlineStr">
        <is>
          <t>3-1/2" TUBING 9.2 LB/FT ALLOY 28 TSH BL</t>
        </is>
      </c>
      <c r="C297" s="1611" t="n">
        <v>31</v>
      </c>
      <c r="D297" s="1612">
        <f>C297-0.301</f>
        <v/>
      </c>
      <c r="E297" s="1613">
        <f>E296+D297</f>
        <v/>
      </c>
      <c r="F297" s="1613">
        <f>F296-D296</f>
        <v/>
      </c>
      <c r="G297" s="1614">
        <f>G296-D297</f>
        <v/>
      </c>
      <c r="H297" s="1681" t="n"/>
      <c r="K297" s="1620" t="n"/>
    </row>
    <row r="298" ht="39.75" customFormat="1" customHeight="1" s="1591">
      <c r="A298" s="1610" t="inlineStr">
        <is>
          <t>JT.#92</t>
        </is>
      </c>
      <c r="B298" s="1610" t="inlineStr">
        <is>
          <t>3-1/2" TUBING 9.2 LB/FT ALLOY 28 TSH BL</t>
        </is>
      </c>
      <c r="C298" s="1611" t="n">
        <v>31</v>
      </c>
      <c r="D298" s="1612">
        <f>C298-0.301</f>
        <v/>
      </c>
      <c r="E298" s="1613">
        <f>E297+D298</f>
        <v/>
      </c>
      <c r="F298" s="1613">
        <f>F297-D297</f>
        <v/>
      </c>
      <c r="G298" s="1614">
        <f>G297-D298</f>
        <v/>
      </c>
      <c r="H298" s="1681" t="n"/>
      <c r="K298" s="1620" t="n"/>
    </row>
    <row r="299" ht="39.75" customFormat="1" customHeight="1" s="1591">
      <c r="A299" s="1610" t="inlineStr">
        <is>
          <t>JT.#93</t>
        </is>
      </c>
      <c r="B299" s="1610" t="inlineStr">
        <is>
          <t>3-1/2" TUBING 9.2 LB/FT ALLOY 28 TSH BL</t>
        </is>
      </c>
      <c r="C299" s="1611" t="n">
        <v>31</v>
      </c>
      <c r="D299" s="1612">
        <f>C299-0.301</f>
        <v/>
      </c>
      <c r="E299" s="1613">
        <f>E298+D299</f>
        <v/>
      </c>
      <c r="F299" s="1613">
        <f>F298-D298</f>
        <v/>
      </c>
      <c r="G299" s="1614">
        <f>G298-D299</f>
        <v/>
      </c>
      <c r="H299" s="1681" t="n"/>
      <c r="K299" s="1620" t="n"/>
    </row>
    <row r="300" ht="39.75" customFormat="1" customHeight="1" s="1591">
      <c r="A300" s="1610" t="inlineStr">
        <is>
          <t>JT.#94</t>
        </is>
      </c>
      <c r="B300" s="1610" t="inlineStr">
        <is>
          <t>3-1/2" TUBING 9.2 LB/FT ALLOY 28 TSH BL</t>
        </is>
      </c>
      <c r="C300" s="1611" t="n">
        <v>31</v>
      </c>
      <c r="D300" s="1612">
        <f>C300-0.301</f>
        <v/>
      </c>
      <c r="E300" s="1613">
        <f>E299+D300</f>
        <v/>
      </c>
      <c r="F300" s="1613">
        <f>F299-D299</f>
        <v/>
      </c>
      <c r="G300" s="1614">
        <f>G299-D300</f>
        <v/>
      </c>
      <c r="H300" s="1635" t="inlineStr">
        <is>
          <t>.</t>
        </is>
      </c>
      <c r="K300" s="1620" t="n"/>
    </row>
    <row r="301" ht="39.75" customFormat="1" customHeight="1" s="1591">
      <c r="A301" s="1610" t="inlineStr">
        <is>
          <t>JT.#95</t>
        </is>
      </c>
      <c r="B301" s="1610" t="inlineStr">
        <is>
          <t>3-1/2" TUBING 9.2 LB/FT ALLOY 28 TSH BL</t>
        </is>
      </c>
      <c r="C301" s="1611" t="n">
        <v>31</v>
      </c>
      <c r="D301" s="1612">
        <f>C301-0.301</f>
        <v/>
      </c>
      <c r="E301" s="1613">
        <f>E300+D301</f>
        <v/>
      </c>
      <c r="F301" s="1613">
        <f>F300-D300</f>
        <v/>
      </c>
      <c r="G301" s="1614">
        <f>G300-D301</f>
        <v/>
      </c>
      <c r="H301" s="1681" t="n"/>
      <c r="K301" s="1620" t="n"/>
    </row>
    <row r="302" ht="39.75" customFormat="1" customHeight="1" s="1591">
      <c r="A302" s="1610" t="inlineStr">
        <is>
          <t>JT.#96</t>
        </is>
      </c>
      <c r="B302" s="1610" t="inlineStr">
        <is>
          <t>3-1/2" TUBING 9.2 LB/FT ALLOY 28 TSH BL</t>
        </is>
      </c>
      <c r="C302" s="1611" t="n">
        <v>31</v>
      </c>
      <c r="D302" s="1612">
        <f>C302-0.301</f>
        <v/>
      </c>
      <c r="E302" s="1613">
        <f>E301+D302</f>
        <v/>
      </c>
      <c r="F302" s="1613">
        <f>F301-D301</f>
        <v/>
      </c>
      <c r="G302" s="1614">
        <f>G301-D302</f>
        <v/>
      </c>
      <c r="H302" s="1636" t="inlineStr">
        <is>
          <t xml:space="preserve">FILL UP STRING </t>
        </is>
      </c>
      <c r="K302" s="1620" t="n"/>
    </row>
    <row r="303" ht="39.75" customFormat="1" customHeight="1" s="1591">
      <c r="A303" s="1610" t="inlineStr">
        <is>
          <t>JT.#97</t>
        </is>
      </c>
      <c r="B303" s="1610" t="inlineStr">
        <is>
          <t>3-1/2" TUBING 9.2 LB/FT ALLOY 28 TSH BL</t>
        </is>
      </c>
      <c r="C303" s="1611" t="n">
        <v>31</v>
      </c>
      <c r="D303" s="1612">
        <f>C303-0.301</f>
        <v/>
      </c>
      <c r="E303" s="1613">
        <f>E302+D303</f>
        <v/>
      </c>
      <c r="F303" s="1613">
        <f>F302-D302</f>
        <v/>
      </c>
      <c r="G303" s="1614">
        <f>G302-D303</f>
        <v/>
      </c>
      <c r="K303" s="1620" t="n"/>
    </row>
    <row r="304" ht="39.75" customFormat="1" customHeight="1" s="1591">
      <c r="A304" s="1610" t="inlineStr">
        <is>
          <t>JT.#98</t>
        </is>
      </c>
      <c r="B304" s="1610" t="inlineStr">
        <is>
          <t>3-1/2" TUBING 9.2 LB/FT ALLOY 28 TSH BL</t>
        </is>
      </c>
      <c r="C304" s="1611" t="n">
        <v>31</v>
      </c>
      <c r="D304" s="1612">
        <f>C304-0.301</f>
        <v/>
      </c>
      <c r="E304" s="1613">
        <f>E303+D304</f>
        <v/>
      </c>
      <c r="F304" s="1613">
        <f>F303-D303</f>
        <v/>
      </c>
      <c r="G304" s="1614">
        <f>G303-D304</f>
        <v/>
      </c>
      <c r="H304" s="1681" t="n"/>
      <c r="K304" s="1620" t="n"/>
    </row>
    <row r="305" ht="39.75" customFormat="1" customHeight="1" s="1591">
      <c r="A305" s="1610" t="inlineStr">
        <is>
          <t>JT.#99</t>
        </is>
      </c>
      <c r="B305" s="1610" t="inlineStr">
        <is>
          <t>3-1/2" TUBING 9.2 LB/FT ALLOY 28 TSH BL</t>
        </is>
      </c>
      <c r="C305" s="1611" t="n">
        <v>31</v>
      </c>
      <c r="D305" s="1612">
        <f>C305-0.301</f>
        <v/>
      </c>
      <c r="E305" s="1613">
        <f>E304+D305</f>
        <v/>
      </c>
      <c r="F305" s="1613">
        <f>F304-D304</f>
        <v/>
      </c>
      <c r="G305" s="1614">
        <f>G304-D305</f>
        <v/>
      </c>
      <c r="H305" s="1681" t="n"/>
      <c r="K305" s="1620" t="n"/>
    </row>
    <row r="306" ht="39.75" customFormat="1" customHeight="1" s="1591">
      <c r="A306" s="1610" t="inlineStr">
        <is>
          <t>JT.#100</t>
        </is>
      </c>
      <c r="B306" s="1610" t="inlineStr">
        <is>
          <t>3-1/2" TUBING 9.2 LB/FT ALLOY 28 TSH BL</t>
        </is>
      </c>
      <c r="C306" s="1611" t="n">
        <v>31</v>
      </c>
      <c r="D306" s="1612">
        <f>C306-0.301</f>
        <v/>
      </c>
      <c r="E306" s="1613">
        <f>E305+D306</f>
        <v/>
      </c>
      <c r="F306" s="1613">
        <f>F305-D305</f>
        <v/>
      </c>
      <c r="G306" s="1614">
        <f>G305-D306</f>
        <v/>
      </c>
      <c r="H306" s="1681" t="n"/>
      <c r="K306" s="1620" t="n"/>
    </row>
    <row r="307" ht="39.75" customFormat="1" customHeight="1" s="1591">
      <c r="A307" s="1610" t="inlineStr">
        <is>
          <t>JT.#101</t>
        </is>
      </c>
      <c r="B307" s="1610" t="inlineStr">
        <is>
          <t>3-1/2" TUBING 9.2 LB/FT ALLOY 28 TSH BL</t>
        </is>
      </c>
      <c r="C307" s="1611" t="n">
        <v>31</v>
      </c>
      <c r="D307" s="1612">
        <f>C307-0.301</f>
        <v/>
      </c>
      <c r="E307" s="1613">
        <f>E306+D307</f>
        <v/>
      </c>
      <c r="F307" s="1613">
        <f>F306-D306</f>
        <v/>
      </c>
      <c r="G307" s="1614">
        <f>G306-D307</f>
        <v/>
      </c>
      <c r="H307" s="1681" t="n"/>
      <c r="K307" s="1620" t="n"/>
    </row>
    <row r="308" ht="39.75" customFormat="1" customHeight="1" s="1591">
      <c r="A308" s="1610" t="inlineStr">
        <is>
          <t>JT.#102</t>
        </is>
      </c>
      <c r="B308" s="1610" t="inlineStr">
        <is>
          <t>3-1/2" TUBING 9.2 LB/FT ALLOY 28 TSH BL</t>
        </is>
      </c>
      <c r="C308" s="1611" t="n">
        <v>31</v>
      </c>
      <c r="D308" s="1612">
        <f>C308-0.301</f>
        <v/>
      </c>
      <c r="E308" s="1613">
        <f>E307+D308</f>
        <v/>
      </c>
      <c r="F308" s="1613">
        <f>F307-D307</f>
        <v/>
      </c>
      <c r="G308" s="1614">
        <f>G307-D308</f>
        <v/>
      </c>
      <c r="H308" s="1681" t="n"/>
      <c r="K308" s="1620" t="n"/>
    </row>
    <row r="309" ht="39.75" customFormat="1" customHeight="1" s="1591">
      <c r="A309" s="1610" t="inlineStr">
        <is>
          <t>JT.#103</t>
        </is>
      </c>
      <c r="B309" s="1610" t="inlineStr">
        <is>
          <t>3-1/2" TUBING 9.2 LB/FT ALLOY 28 TSH BL</t>
        </is>
      </c>
      <c r="C309" s="1611" t="n">
        <v>31</v>
      </c>
      <c r="D309" s="1612">
        <f>C309-0.301</f>
        <v/>
      </c>
      <c r="E309" s="1613">
        <f>E308+D309</f>
        <v/>
      </c>
      <c r="F309" s="1613">
        <f>F308-D308</f>
        <v/>
      </c>
      <c r="G309" s="1614">
        <f>G308-D309</f>
        <v/>
      </c>
      <c r="H309" s="1681" t="n"/>
      <c r="K309" s="1620" t="n"/>
    </row>
    <row r="310" ht="39.75" customFormat="1" customHeight="1" s="1591">
      <c r="A310" s="1610" t="inlineStr">
        <is>
          <t>JT.#104</t>
        </is>
      </c>
      <c r="B310" s="1610" t="inlineStr">
        <is>
          <t>3-1/2" TUBING 9.2 LB/FT ALLOY 28 TSH BL</t>
        </is>
      </c>
      <c r="C310" s="1611" t="n">
        <v>31</v>
      </c>
      <c r="D310" s="1612">
        <f>C310-0.301</f>
        <v/>
      </c>
      <c r="E310" s="1613">
        <f>E309+D310</f>
        <v/>
      </c>
      <c r="F310" s="1613">
        <f>F309-D309</f>
        <v/>
      </c>
      <c r="G310" s="1614">
        <f>G309-D310</f>
        <v/>
      </c>
      <c r="H310" s="1635" t="inlineStr">
        <is>
          <t>.</t>
        </is>
      </c>
      <c r="K310" s="1620" t="n"/>
    </row>
    <row r="311" ht="39.75" customFormat="1" customHeight="1" s="1591">
      <c r="A311" s="1610" t="inlineStr">
        <is>
          <t>JT.#105</t>
        </is>
      </c>
      <c r="B311" s="1610" t="inlineStr">
        <is>
          <t>3-1/2" TUBING 9.2 LB/FT ALLOY 28 TSH BL</t>
        </is>
      </c>
      <c r="C311" s="1611" t="n">
        <v>31</v>
      </c>
      <c r="D311" s="1612">
        <f>C311-0.301</f>
        <v/>
      </c>
      <c r="E311" s="1613">
        <f>E310+D311</f>
        <v/>
      </c>
      <c r="F311" s="1613">
        <f>F310-D310</f>
        <v/>
      </c>
      <c r="G311" s="1614">
        <f>G310-D311</f>
        <v/>
      </c>
      <c r="H311" s="1681" t="n"/>
      <c r="K311" s="1620" t="n"/>
    </row>
    <row r="312" ht="39.75" customFormat="1" customHeight="1" s="1591">
      <c r="A312" s="1610" t="inlineStr">
        <is>
          <t>JT.#106</t>
        </is>
      </c>
      <c r="B312" s="1610" t="inlineStr">
        <is>
          <t>3-1/2" TUBING 9.2 LB/FT ALLOY 28 TSH BL</t>
        </is>
      </c>
      <c r="C312" s="1611" t="n">
        <v>31</v>
      </c>
      <c r="D312" s="1612">
        <f>C312-0.301</f>
        <v/>
      </c>
      <c r="E312" s="1613">
        <f>E311+D312</f>
        <v/>
      </c>
      <c r="F312" s="1613">
        <f>F311-D311</f>
        <v/>
      </c>
      <c r="G312" s="1614">
        <f>G311-D312</f>
        <v/>
      </c>
      <c r="H312" s="1636" t="inlineStr">
        <is>
          <t xml:space="preserve">FILL UP STRING </t>
        </is>
      </c>
      <c r="K312" s="1620" t="n"/>
    </row>
    <row r="313" ht="39.75" customFormat="1" customHeight="1" s="1591">
      <c r="A313" s="1610" t="inlineStr">
        <is>
          <t>JT.#107</t>
        </is>
      </c>
      <c r="B313" s="1610" t="inlineStr">
        <is>
          <t>3-1/2" TUBING 9.2 LB/FT ALLOY 28 TSH BL</t>
        </is>
      </c>
      <c r="C313" s="1611" t="n">
        <v>31</v>
      </c>
      <c r="D313" s="1612">
        <f>C313-0.301</f>
        <v/>
      </c>
      <c r="E313" s="1613">
        <f>E312+D313</f>
        <v/>
      </c>
      <c r="F313" s="1613">
        <f>F312-D312</f>
        <v/>
      </c>
      <c r="G313" s="1614">
        <f>G312-D313</f>
        <v/>
      </c>
      <c r="H313" s="1681" t="n"/>
      <c r="K313" s="1620" t="n"/>
    </row>
    <row r="314" ht="39.75" customFormat="1" customHeight="1" s="1591">
      <c r="A314" s="1610" t="inlineStr">
        <is>
          <t>JT.#108</t>
        </is>
      </c>
      <c r="B314" s="1610" t="inlineStr">
        <is>
          <t>3-1/2" TUBING 9.2 LB/FT ALLOY 28 TSH BL</t>
        </is>
      </c>
      <c r="C314" s="1611" t="n">
        <v>31</v>
      </c>
      <c r="D314" s="1612">
        <f>C314-0.301</f>
        <v/>
      </c>
      <c r="E314" s="1613">
        <f>E313+D314</f>
        <v/>
      </c>
      <c r="F314" s="1613">
        <f>F313-D313</f>
        <v/>
      </c>
      <c r="G314" s="1614">
        <f>G313-D314</f>
        <v/>
      </c>
      <c r="H314" s="1681" t="n"/>
      <c r="K314" s="1620" t="n"/>
    </row>
    <row r="315" ht="39.75" customFormat="1" customHeight="1" s="1591">
      <c r="A315" s="1610" t="inlineStr">
        <is>
          <t>JT.#109</t>
        </is>
      </c>
      <c r="B315" s="1610" t="inlineStr">
        <is>
          <t>3-1/2" TUBING 9.2 LB/FT ALLOY 28 TSH BL</t>
        </is>
      </c>
      <c r="C315" s="1611" t="n">
        <v>31</v>
      </c>
      <c r="D315" s="1612">
        <f>C315-0.301</f>
        <v/>
      </c>
      <c r="E315" s="1613">
        <f>E314+D315</f>
        <v/>
      </c>
      <c r="F315" s="1613">
        <f>F314-D314</f>
        <v/>
      </c>
      <c r="G315" s="1614">
        <f>G314-D315</f>
        <v/>
      </c>
      <c r="H315" s="1681" t="n"/>
      <c r="K315" s="1620" t="n"/>
    </row>
    <row r="316" ht="39.75" customFormat="1" customHeight="1" s="1591">
      <c r="A316" s="1610" t="inlineStr">
        <is>
          <t>JT.#110</t>
        </is>
      </c>
      <c r="B316" s="1610" t="inlineStr">
        <is>
          <t>3-1/2" TUBING 9.2 LB/FT ALLOY 28 TSH BL</t>
        </is>
      </c>
      <c r="C316" s="1611" t="n">
        <v>31</v>
      </c>
      <c r="D316" s="1612">
        <f>C316-0.301</f>
        <v/>
      </c>
      <c r="E316" s="1613">
        <f>E315+D316</f>
        <v/>
      </c>
      <c r="F316" s="1613">
        <f>F315-D315</f>
        <v/>
      </c>
      <c r="G316" s="1614">
        <f>G315-D316</f>
        <v/>
      </c>
      <c r="H316" s="1681" t="n"/>
      <c r="K316" s="1620" t="n"/>
    </row>
    <row r="317" ht="39.75" customFormat="1" customHeight="1" s="1591">
      <c r="A317" s="1610" t="inlineStr">
        <is>
          <t>JT.#111</t>
        </is>
      </c>
      <c r="B317" s="1610" t="inlineStr">
        <is>
          <t>3-1/2" TUBING 9.2 LB/FT ALLOY 28 TSH BL</t>
        </is>
      </c>
      <c r="C317" s="1611" t="n">
        <v>31</v>
      </c>
      <c r="D317" s="1612">
        <f>C317-0.301</f>
        <v/>
      </c>
      <c r="E317" s="1613">
        <f>E316+D317</f>
        <v/>
      </c>
      <c r="F317" s="1613">
        <f>F316-D316</f>
        <v/>
      </c>
      <c r="G317" s="1614">
        <f>G316-D317</f>
        <v/>
      </c>
      <c r="H317" s="1681" t="n"/>
      <c r="K317" s="1620" t="n"/>
    </row>
    <row r="318" ht="39.75" customFormat="1" customHeight="1" s="1591">
      <c r="A318" s="1610" t="inlineStr">
        <is>
          <t>JT.#112</t>
        </is>
      </c>
      <c r="B318" s="1610" t="inlineStr">
        <is>
          <t>3-1/2" TUBING 9.2 LB/FT ALLOY 28 TSH BL</t>
        </is>
      </c>
      <c r="C318" s="1611" t="n">
        <v>31</v>
      </c>
      <c r="D318" s="1612">
        <f>C318-0.301</f>
        <v/>
      </c>
      <c r="E318" s="1613">
        <f>E317+D318</f>
        <v/>
      </c>
      <c r="F318" s="1613">
        <f>F317-D317</f>
        <v/>
      </c>
      <c r="G318" s="1614">
        <f>G317-D318</f>
        <v/>
      </c>
      <c r="H318" s="1681" t="n"/>
      <c r="K318" s="1620" t="n"/>
    </row>
    <row r="319" ht="39.75" customFormat="1" customHeight="1" s="1591">
      <c r="A319" s="1610" t="inlineStr">
        <is>
          <t>JT.#113</t>
        </is>
      </c>
      <c r="B319" s="1610" t="inlineStr">
        <is>
          <t>3-1/2" TUBING 9.2 LB/FT ALLOY 28 TSH BL</t>
        </is>
      </c>
      <c r="C319" s="1611" t="n">
        <v>31</v>
      </c>
      <c r="D319" s="1612">
        <f>C319-0.301</f>
        <v/>
      </c>
      <c r="E319" s="1613">
        <f>E318+D319</f>
        <v/>
      </c>
      <c r="F319" s="1613">
        <f>F318-D318</f>
        <v/>
      </c>
      <c r="G319" s="1614">
        <f>G318-D319</f>
        <v/>
      </c>
      <c r="H319" s="1681" t="n"/>
      <c r="K319" s="1620" t="n"/>
    </row>
    <row r="320" ht="39.75" customFormat="1" customHeight="1" s="1591">
      <c r="A320" s="1610" t="inlineStr">
        <is>
          <t>JT.#114</t>
        </is>
      </c>
      <c r="B320" s="1610" t="inlineStr">
        <is>
          <t>3-1/2" TUBING 9.2 LB/FT ALLOY 28 TSH BL</t>
        </is>
      </c>
      <c r="C320" s="1611" t="n">
        <v>31</v>
      </c>
      <c r="D320" s="1649">
        <f>C320-0.301</f>
        <v/>
      </c>
      <c r="E320" s="1613">
        <f>E319+D320</f>
        <v/>
      </c>
      <c r="F320" s="1613">
        <f>F319-D319</f>
        <v/>
      </c>
      <c r="G320" s="1614">
        <f>G319-D320</f>
        <v/>
      </c>
      <c r="H320" s="1691" t="inlineStr">
        <is>
          <t>.</t>
        </is>
      </c>
      <c r="K320" s="1620" t="n"/>
    </row>
    <row r="321" ht="39.75" customFormat="1" customHeight="1" s="1591">
      <c r="A321" s="1610" t="inlineStr">
        <is>
          <t>JT.#115</t>
        </is>
      </c>
      <c r="B321" s="1610" t="inlineStr">
        <is>
          <t>3-1/2" TUBING 9.2 LB/FT ALLOY 28 TSH BL</t>
        </is>
      </c>
      <c r="C321" s="1611" t="n">
        <v>31</v>
      </c>
      <c r="D321" s="1612">
        <f>C321-0.301</f>
        <v/>
      </c>
      <c r="E321" s="1613">
        <f>E320+D321</f>
        <v/>
      </c>
      <c r="F321" s="1613">
        <f>F320-D320</f>
        <v/>
      </c>
      <c r="G321" s="1614">
        <f>G320-D321</f>
        <v/>
      </c>
      <c r="H321" s="1635" t="n"/>
      <c r="K321" s="1620" t="n"/>
    </row>
    <row r="322" ht="39.75" customFormat="1" customHeight="1" s="1591">
      <c r="A322" s="1610" t="inlineStr">
        <is>
          <t>JT.#116</t>
        </is>
      </c>
      <c r="B322" s="1610" t="inlineStr">
        <is>
          <t>3-1/2" TUBING 9.2 LB/FT ALLOY 28 TSH BL</t>
        </is>
      </c>
      <c r="C322" s="1611" t="n">
        <v>31</v>
      </c>
      <c r="D322" s="1612">
        <f>C322-0.301</f>
        <v/>
      </c>
      <c r="E322" s="1613">
        <f>E321+D322</f>
        <v/>
      </c>
      <c r="F322" s="1613">
        <f>F321-D321</f>
        <v/>
      </c>
      <c r="G322" s="1614">
        <f>G321-D322</f>
        <v/>
      </c>
      <c r="H322" s="1636" t="inlineStr">
        <is>
          <t xml:space="preserve">FILL UP STRING </t>
        </is>
      </c>
      <c r="K322" s="1620" t="n"/>
    </row>
    <row r="323" ht="39.75" customFormat="1" customHeight="1" s="1591">
      <c r="A323" s="1610" t="inlineStr">
        <is>
          <t>JT.#117</t>
        </is>
      </c>
      <c r="B323" s="1610" t="inlineStr">
        <is>
          <t>3-1/2" TUBING 9.2 LB/FT ALLOY 28 TSH BL</t>
        </is>
      </c>
      <c r="C323" s="1611" t="n">
        <v>31</v>
      </c>
      <c r="D323" s="1612">
        <f>C323-0.301</f>
        <v/>
      </c>
      <c r="E323" s="1613">
        <f>E322+D323</f>
        <v/>
      </c>
      <c r="F323" s="1613">
        <f>F322-D322</f>
        <v/>
      </c>
      <c r="G323" s="1614">
        <f>G322-D323</f>
        <v/>
      </c>
      <c r="H323" s="1681" t="n"/>
      <c r="K323" s="1620" t="n"/>
    </row>
    <row r="324" ht="39.75" customFormat="1" customHeight="1" s="1591">
      <c r="A324" s="1610" t="inlineStr">
        <is>
          <t>JT.#118</t>
        </is>
      </c>
      <c r="B324" s="1610" t="inlineStr">
        <is>
          <t>3-1/2" TUBING 9.2 LB/FT ALLOY 28 TSH BL</t>
        </is>
      </c>
      <c r="C324" s="1611" t="n">
        <v>31</v>
      </c>
      <c r="D324" s="1612">
        <f>C324-0.301</f>
        <v/>
      </c>
      <c r="E324" s="1613">
        <f>E323+D324</f>
        <v/>
      </c>
      <c r="F324" s="1613">
        <f>F323-D323</f>
        <v/>
      </c>
      <c r="G324" s="1614">
        <f>G323-D324</f>
        <v/>
      </c>
      <c r="K324" s="1620" t="n"/>
    </row>
    <row r="325" ht="39.75" customFormat="1" customHeight="1" s="1591">
      <c r="A325" s="1610" t="inlineStr">
        <is>
          <t>JT.#119</t>
        </is>
      </c>
      <c r="B325" s="1610" t="inlineStr">
        <is>
          <t>3-1/2" TUBING 9.2 LB/FT ALLOY 28 TSH BL</t>
        </is>
      </c>
      <c r="C325" s="1611" t="n">
        <v>31</v>
      </c>
      <c r="D325" s="1612">
        <f>C325-0.301</f>
        <v/>
      </c>
      <c r="E325" s="1613">
        <f>E324+D325</f>
        <v/>
      </c>
      <c r="F325" s="1613">
        <f>F324-D324</f>
        <v/>
      </c>
      <c r="G325" s="1614">
        <f>G324-D325</f>
        <v/>
      </c>
      <c r="H325" s="1681" t="n"/>
      <c r="K325" s="1620" t="n"/>
    </row>
    <row r="326" ht="39.75" customFormat="1" customHeight="1" s="1591">
      <c r="A326" s="1610" t="inlineStr">
        <is>
          <t>JT.#120</t>
        </is>
      </c>
      <c r="B326" s="1610" t="inlineStr">
        <is>
          <t>3-1/2" TUBING 9.2 LB/FT ALLOY 28 TSH BL</t>
        </is>
      </c>
      <c r="C326" s="1611" t="n">
        <v>31</v>
      </c>
      <c r="D326" s="1612">
        <f>C326-0.301</f>
        <v/>
      </c>
      <c r="E326" s="1613">
        <f>E325+D326</f>
        <v/>
      </c>
      <c r="F326" s="1613">
        <f>F325-D325</f>
        <v/>
      </c>
      <c r="G326" s="1614">
        <f>G325-D326</f>
        <v/>
      </c>
      <c r="H326" s="1681" t="n"/>
      <c r="K326" s="1620" t="n"/>
    </row>
    <row r="327" ht="39.75" customFormat="1" customHeight="1" s="1591">
      <c r="A327" s="1610" t="inlineStr">
        <is>
          <t>JT.#121</t>
        </is>
      </c>
      <c r="B327" s="1610" t="inlineStr">
        <is>
          <t>3-1/2" TUBING 9.2 LB/FT ALLOY 28 TSH BL</t>
        </is>
      </c>
      <c r="C327" s="1611" t="n">
        <v>31</v>
      </c>
      <c r="D327" s="1612">
        <f>C327-0.301</f>
        <v/>
      </c>
      <c r="E327" s="1613">
        <f>E326+D327</f>
        <v/>
      </c>
      <c r="F327" s="1613">
        <f>F326-D326</f>
        <v/>
      </c>
      <c r="G327" s="1614">
        <f>G326-D327</f>
        <v/>
      </c>
      <c r="H327" s="1681" t="n"/>
      <c r="K327" s="1620" t="n"/>
    </row>
    <row r="328" ht="39.75" customFormat="1" customHeight="1" s="1591">
      <c r="A328" s="1610" t="inlineStr">
        <is>
          <t>JT.#122</t>
        </is>
      </c>
      <c r="B328" s="1610" t="inlineStr">
        <is>
          <t>3-1/2" TUBING 9.2 LB/FT ALLOY 28 TSH BL</t>
        </is>
      </c>
      <c r="C328" s="1611" t="n">
        <v>31</v>
      </c>
      <c r="D328" s="1612">
        <f>C328-0.301</f>
        <v/>
      </c>
      <c r="E328" s="1613">
        <f>E327+D328</f>
        <v/>
      </c>
      <c r="F328" s="1613">
        <f>F327-D327</f>
        <v/>
      </c>
      <c r="G328" s="1614">
        <f>G327-D328</f>
        <v/>
      </c>
      <c r="H328" s="1681" t="n"/>
      <c r="K328" s="1620" t="n"/>
    </row>
    <row r="329" ht="108" customFormat="1" customHeight="1" s="1591">
      <c r="A329" s="1610" t="inlineStr">
        <is>
          <t>JT.#123</t>
        </is>
      </c>
      <c r="B329" s="1610" t="inlineStr">
        <is>
          <t>3-1/2" TUBING 9.2 LB/FT ALLOY 28 TSH BL</t>
        </is>
      </c>
      <c r="C329" s="1611" t="n">
        <v>31</v>
      </c>
      <c r="D329" s="1657">
        <f>C329-0.301</f>
        <v/>
      </c>
      <c r="E329" s="1613">
        <f>E328+D329</f>
        <v/>
      </c>
      <c r="F329" s="1613">
        <f>F328-D328</f>
        <v/>
      </c>
      <c r="G329" s="1614">
        <f>G328-D329</f>
        <v/>
      </c>
      <c r="H329" s="1686" t="n"/>
    </row>
    <row r="330" ht="103.5" customFormat="1" customHeight="1" s="1591">
      <c r="A330" s="1610" t="inlineStr">
        <is>
          <t>JT.#124</t>
        </is>
      </c>
      <c r="B330" s="1610" t="inlineStr">
        <is>
          <t>3-1/2" TUBING 9.2 LB/FT ALLOY 28 TSH BL</t>
        </is>
      </c>
      <c r="C330" s="1611" t="n">
        <v>31</v>
      </c>
      <c r="D330" s="1657">
        <f>C330</f>
        <v/>
      </c>
      <c r="E330" s="1613">
        <f>E329+D330</f>
        <v/>
      </c>
      <c r="F330" s="1613">
        <f>F329-D329</f>
        <v/>
      </c>
      <c r="G330" s="1614">
        <f>G329-D330</f>
        <v/>
      </c>
      <c r="H330" s="1686" t="n"/>
    </row>
    <row r="331" ht="226.5" customFormat="1" customHeight="1" s="1591">
      <c r="A331" s="1610" t="inlineStr">
        <is>
          <t>JT.#125</t>
        </is>
      </c>
      <c r="B331" s="1610" t="inlineStr">
        <is>
          <t>3-1/2" TUBING 9.2 LB/FT ALLOY 28 TSH BL</t>
        </is>
      </c>
      <c r="C331" s="1611" t="n">
        <v>31</v>
      </c>
      <c r="D331" s="1661">
        <f>C331</f>
        <v/>
      </c>
      <c r="E331" s="1613">
        <f>E330+D331</f>
        <v/>
      </c>
      <c r="F331" s="1613">
        <f>F330-D330</f>
        <v/>
      </c>
      <c r="G331" s="1614">
        <f>G330-D331</f>
        <v/>
      </c>
      <c r="H331" s="1671" t="inlineStr">
        <is>
          <t>TARGET @2561'</t>
        </is>
      </c>
    </row>
    <row r="332" ht="131.25" customFormat="1" customHeight="1" s="1591">
      <c r="A332" s="1610" t="inlineStr">
        <is>
          <t>JT.#126</t>
        </is>
      </c>
      <c r="B332" s="1610" t="inlineStr">
        <is>
          <t>3-1/2" TUBING 9.2 LB/FT ALLOY 28 TSH BL</t>
        </is>
      </c>
      <c r="C332" s="1611" t="n">
        <v>31</v>
      </c>
      <c r="D332" s="1661">
        <f>C332</f>
        <v/>
      </c>
      <c r="E332" s="1613">
        <f>E331+D332</f>
        <v/>
      </c>
      <c r="F332" s="1613">
        <f>F331-D331</f>
        <v/>
      </c>
      <c r="G332" s="1614">
        <f>G331-D332</f>
        <v/>
      </c>
      <c r="H332" s="1671" t="n"/>
    </row>
    <row r="333" ht="131.25" customFormat="1" customHeight="1" s="1591">
      <c r="A333" s="1610" t="inlineStr">
        <is>
          <t>JT.#127</t>
        </is>
      </c>
      <c r="B333" s="1610" t="inlineStr">
        <is>
          <t>3-1/2" TUBING 9.2 LB/FT ALLOY 28 TSH BL</t>
        </is>
      </c>
      <c r="C333" s="1611" t="n">
        <v>31</v>
      </c>
      <c r="D333" s="1661">
        <f>C333</f>
        <v/>
      </c>
      <c r="E333" s="1613">
        <f>E332+D333</f>
        <v/>
      </c>
      <c r="F333" s="1613">
        <f>F332-D332</f>
        <v/>
      </c>
      <c r="G333" s="1614">
        <f>G332-D333</f>
        <v/>
      </c>
      <c r="H333" s="1671" t="n"/>
    </row>
    <row r="334" ht="39.75" customFormat="1" customHeight="1" s="1591">
      <c r="A334" s="1610" t="inlineStr">
        <is>
          <t>JT.#128</t>
        </is>
      </c>
      <c r="B334" s="1610" t="inlineStr">
        <is>
          <t>3-1/2" TUBING 9.2 LB/FT ALLOY 28 TSH BL</t>
        </is>
      </c>
      <c r="C334" s="1611" t="n">
        <v>31</v>
      </c>
      <c r="D334" s="1612">
        <f>C334-0.301</f>
        <v/>
      </c>
      <c r="E334" s="1613">
        <f>E333+D334</f>
        <v/>
      </c>
      <c r="F334" s="1613">
        <f>F333-D333</f>
        <v/>
      </c>
      <c r="G334" s="1614">
        <f>G333-D334</f>
        <v/>
      </c>
      <c r="H334" s="1681" t="n"/>
      <c r="K334" s="1620" t="n"/>
    </row>
    <row r="335" ht="39.75" customFormat="1" customHeight="1" s="1591">
      <c r="A335" s="1610" t="inlineStr">
        <is>
          <t>JT.#129</t>
        </is>
      </c>
      <c r="B335" s="1610" t="inlineStr">
        <is>
          <t>3-1/2" TUBING 9.2 LB/FT ALLOY 28 TSH BL</t>
        </is>
      </c>
      <c r="C335" s="1611" t="n">
        <v>31</v>
      </c>
      <c r="D335" s="1612">
        <f>C335-0.301</f>
        <v/>
      </c>
      <c r="E335" s="1613">
        <f>E334+D335</f>
        <v/>
      </c>
      <c r="F335" s="1613">
        <f>F334-D334</f>
        <v/>
      </c>
      <c r="G335" s="1614">
        <f>G334-D335</f>
        <v/>
      </c>
      <c r="H335" s="1681" t="n"/>
      <c r="K335" s="1620" t="n"/>
    </row>
    <row r="336" ht="39.75" customFormat="1" customHeight="1" s="1591">
      <c r="A336" s="1610" t="inlineStr">
        <is>
          <t>JT.#130</t>
        </is>
      </c>
      <c r="B336" s="1610" t="inlineStr">
        <is>
          <t>3-1/2" TUBING 9.2 LB/FT ALLOY 28 TSH BL</t>
        </is>
      </c>
      <c r="C336" s="1611" t="n">
        <v>31</v>
      </c>
      <c r="D336" s="1612">
        <f>C336-0.301</f>
        <v/>
      </c>
      <c r="E336" s="1613">
        <f>E335+D336</f>
        <v/>
      </c>
      <c r="F336" s="1613">
        <f>F335-D335</f>
        <v/>
      </c>
      <c r="G336" s="1614">
        <f>G335-D336</f>
        <v/>
      </c>
      <c r="H336" s="1635" t="inlineStr">
        <is>
          <t>.</t>
        </is>
      </c>
      <c r="K336" s="1620" t="n"/>
    </row>
    <row r="337" ht="39.75" customFormat="1" customHeight="1" s="1591">
      <c r="A337" s="1610" t="inlineStr">
        <is>
          <t>JT.#131</t>
        </is>
      </c>
      <c r="B337" s="1610" t="inlineStr">
        <is>
          <t>3-1/2" TUBING 9.2 LB/FT ALLOY 28 TSH BL</t>
        </is>
      </c>
      <c r="C337" s="1611" t="n">
        <v>31</v>
      </c>
      <c r="D337" s="1612">
        <f>C337-0.301</f>
        <v/>
      </c>
      <c r="E337" s="1613">
        <f>E336+D337</f>
        <v/>
      </c>
      <c r="F337" s="1613">
        <f>F336-D336</f>
        <v/>
      </c>
      <c r="G337" s="1614">
        <f>G336-D337</f>
        <v/>
      </c>
      <c r="H337" s="1636" t="inlineStr">
        <is>
          <t xml:space="preserve">FILL UP STRING </t>
        </is>
      </c>
      <c r="K337" s="1620" t="n"/>
    </row>
    <row r="338" ht="39.75" customFormat="1" customHeight="1" s="1591">
      <c r="A338" s="1610" t="inlineStr">
        <is>
          <t>JT.#132</t>
        </is>
      </c>
      <c r="B338" s="1610" t="inlineStr">
        <is>
          <t>3-1/2" TUBING 9.2 LB/FT ALLOY 28 TSH BL</t>
        </is>
      </c>
      <c r="C338" s="1611" t="n">
        <v>31</v>
      </c>
      <c r="D338" s="1612">
        <f>C338-0.301</f>
        <v/>
      </c>
      <c r="E338" s="1613">
        <f>E337+D338</f>
        <v/>
      </c>
      <c r="F338" s="1613">
        <f>F337-D337</f>
        <v/>
      </c>
      <c r="G338" s="1614">
        <f>G337-D338</f>
        <v/>
      </c>
      <c r="H338" s="1681" t="n"/>
      <c r="K338" s="1620" t="n"/>
    </row>
    <row r="339" ht="39.75" customFormat="1" customHeight="1" s="1591">
      <c r="A339" s="1610" t="inlineStr">
        <is>
          <t>JT.#133</t>
        </is>
      </c>
      <c r="B339" s="1610" t="inlineStr">
        <is>
          <t>3-1/2" TUBING 9.2 LB/FT ALLOY 28 TSH BL</t>
        </is>
      </c>
      <c r="C339" s="1611" t="n">
        <v>31</v>
      </c>
      <c r="D339" s="1612">
        <f>C339-0.301</f>
        <v/>
      </c>
      <c r="E339" s="1613">
        <f>E338+D339</f>
        <v/>
      </c>
      <c r="F339" s="1613">
        <f>F338-D338</f>
        <v/>
      </c>
      <c r="G339" s="1614">
        <f>G338-D339</f>
        <v/>
      </c>
      <c r="K339" s="1620" t="n"/>
    </row>
    <row r="340" ht="39.75" customFormat="1" customHeight="1" s="1591">
      <c r="A340" s="1610" t="inlineStr">
        <is>
          <t>JT.#134</t>
        </is>
      </c>
      <c r="B340" s="1610" t="inlineStr">
        <is>
          <t>3-1/2" TUBING 9.2 LB/FT ALLOY 28 TSH BL</t>
        </is>
      </c>
      <c r="C340" s="1611" t="n">
        <v>31</v>
      </c>
      <c r="D340" s="1612">
        <f>C340-0.301</f>
        <v/>
      </c>
      <c r="E340" s="1613">
        <f>E339+D340</f>
        <v/>
      </c>
      <c r="F340" s="1613">
        <f>F339-D339</f>
        <v/>
      </c>
      <c r="G340" s="1614">
        <f>G339-D340</f>
        <v/>
      </c>
      <c r="H340" s="1681" t="n"/>
      <c r="K340" s="1620" t="n"/>
    </row>
    <row r="341" ht="39.75" customFormat="1" customHeight="1" s="1591">
      <c r="A341" s="1610" t="inlineStr">
        <is>
          <t>JT.#135</t>
        </is>
      </c>
      <c r="B341" s="1610" t="inlineStr">
        <is>
          <t>3-1/2" TUBING 9.2 LB/FT ALLOY 28 TSH BL</t>
        </is>
      </c>
      <c r="C341" s="1611" t="n">
        <v>31</v>
      </c>
      <c r="D341" s="1612">
        <f>C341-0.301</f>
        <v/>
      </c>
      <c r="E341" s="1613">
        <f>E340+D341</f>
        <v/>
      </c>
      <c r="F341" s="1613">
        <f>F340-D340</f>
        <v/>
      </c>
      <c r="G341" s="1614">
        <f>G340-D341</f>
        <v/>
      </c>
      <c r="H341" s="1681" t="n"/>
      <c r="K341" s="1620" t="n"/>
    </row>
    <row r="342" ht="39.75" customFormat="1" customHeight="1" s="1591">
      <c r="A342" s="1610" t="inlineStr">
        <is>
          <t>JT.#136</t>
        </is>
      </c>
      <c r="B342" s="1610" t="inlineStr">
        <is>
          <t>3-1/2" TUBING 9.2 LB/FT ALLOY 28 TSH BL</t>
        </is>
      </c>
      <c r="C342" s="1611" t="n">
        <v>31</v>
      </c>
      <c r="D342" s="1612">
        <f>C342-0.301</f>
        <v/>
      </c>
      <c r="E342" s="1613">
        <f>E341+D342</f>
        <v/>
      </c>
      <c r="F342" s="1613">
        <f>F341-D341</f>
        <v/>
      </c>
      <c r="G342" s="1614">
        <f>G341-D342</f>
        <v/>
      </c>
      <c r="H342" s="1681" t="n"/>
      <c r="K342" s="1620" t="n"/>
    </row>
    <row r="343" ht="39.75" customFormat="1" customHeight="1" s="1591">
      <c r="A343" s="1610" t="inlineStr">
        <is>
          <t>JT.#137</t>
        </is>
      </c>
      <c r="B343" s="1610" t="inlineStr">
        <is>
          <t>3-1/2" TUBING 9.2 LB/FT ALLOY 28 TSH BL</t>
        </is>
      </c>
      <c r="C343" s="1611" t="n">
        <v>31</v>
      </c>
      <c r="D343" s="1612">
        <f>C343-0.301</f>
        <v/>
      </c>
      <c r="E343" s="1613">
        <f>E342+D343</f>
        <v/>
      </c>
      <c r="F343" s="1613">
        <f>F342-D342</f>
        <v/>
      </c>
      <c r="G343" s="1614">
        <f>G342-D343</f>
        <v/>
      </c>
      <c r="H343" s="1681" t="n"/>
      <c r="K343" s="1620" t="n"/>
    </row>
    <row r="344" ht="39.75" customFormat="1" customHeight="1" s="1591">
      <c r="A344" s="1610" t="inlineStr">
        <is>
          <t>JT.#138</t>
        </is>
      </c>
      <c r="B344" s="1610" t="inlineStr">
        <is>
          <t>3-1/2" TUBING 9.2 LB/FT ALLOY 28 TSH BL</t>
        </is>
      </c>
      <c r="C344" s="1611" t="n">
        <v>31</v>
      </c>
      <c r="D344" s="1612">
        <f>C344-0.301</f>
        <v/>
      </c>
      <c r="E344" s="1613">
        <f>E343+D344</f>
        <v/>
      </c>
      <c r="F344" s="1613">
        <f>F343-D343</f>
        <v/>
      </c>
      <c r="G344" s="1614">
        <f>G343-D344</f>
        <v/>
      </c>
      <c r="H344" s="1681" t="n"/>
      <c r="K344" s="1620" t="n"/>
    </row>
    <row r="345" ht="39.75" customFormat="1" customHeight="1" s="1591">
      <c r="A345" s="1610" t="inlineStr">
        <is>
          <t>JT.#139</t>
        </is>
      </c>
      <c r="B345" s="1610" t="inlineStr">
        <is>
          <t>3-1/2" TUBING 9.2 LB/FT ALLOY 28 TSH BL</t>
        </is>
      </c>
      <c r="C345" s="1611" t="n">
        <v>31</v>
      </c>
      <c r="D345" s="1612">
        <f>C345-0.301</f>
        <v/>
      </c>
      <c r="E345" s="1613">
        <f>E344+D345</f>
        <v/>
      </c>
      <c r="F345" s="1613">
        <f>F344-D344</f>
        <v/>
      </c>
      <c r="G345" s="1614">
        <f>G344-D345</f>
        <v/>
      </c>
      <c r="H345" s="1690" t="n"/>
      <c r="K345" s="1620" t="n"/>
    </row>
    <row r="346" ht="39.75" customFormat="1" customHeight="1" s="1591">
      <c r="A346" s="1610" t="inlineStr">
        <is>
          <t>JT.#140</t>
        </is>
      </c>
      <c r="B346" s="1610" t="inlineStr">
        <is>
          <t>3-1/2" TUBING 9.2 LB/FT ALLOY 28 TSH BL</t>
        </is>
      </c>
      <c r="C346" s="1611" t="n">
        <v>31</v>
      </c>
      <c r="D346" s="1612">
        <f>C346-0.301</f>
        <v/>
      </c>
      <c r="E346" s="1613">
        <f>E345+D346</f>
        <v/>
      </c>
      <c r="F346" s="1613">
        <f>F345-D345</f>
        <v/>
      </c>
      <c r="G346" s="1614">
        <f>G345-D346</f>
        <v/>
      </c>
      <c r="H346" s="1635" t="inlineStr">
        <is>
          <t>.</t>
        </is>
      </c>
      <c r="K346" s="1620" t="n"/>
    </row>
    <row r="347" ht="39.75" customFormat="1" customHeight="1" s="1591">
      <c r="A347" s="1610" t="inlineStr">
        <is>
          <t>JT.#141</t>
        </is>
      </c>
      <c r="B347" s="1610" t="inlineStr">
        <is>
          <t>3-1/2" TUBING 9.2 LB/FT ALLOY 28 TSH BL</t>
        </is>
      </c>
      <c r="C347" s="1611" t="n">
        <v>31</v>
      </c>
      <c r="D347" s="1612">
        <f>C347-0.301</f>
        <v/>
      </c>
      <c r="E347" s="1613">
        <f>E346+D347</f>
        <v/>
      </c>
      <c r="F347" s="1613">
        <f>F346-D346</f>
        <v/>
      </c>
      <c r="G347" s="1614">
        <f>G346-D347</f>
        <v/>
      </c>
      <c r="H347" s="1636" t="inlineStr">
        <is>
          <t xml:space="preserve">FILL UP STRING </t>
        </is>
      </c>
      <c r="K347" s="1620" t="n"/>
    </row>
    <row r="348" ht="39.75" customFormat="1" customHeight="1" s="1591">
      <c r="A348" s="1610" t="inlineStr">
        <is>
          <t>JT.#142</t>
        </is>
      </c>
      <c r="B348" s="1610" t="inlineStr">
        <is>
          <t>3-1/2" TUBING 9.2 LB/FT ALLOY 28 TSH BL</t>
        </is>
      </c>
      <c r="C348" s="1611" t="n">
        <v>31</v>
      </c>
      <c r="D348" s="1612">
        <f>C348-0.301</f>
        <v/>
      </c>
      <c r="E348" s="1613">
        <f>E347+D348</f>
        <v/>
      </c>
      <c r="F348" s="1613">
        <f>F347-D347</f>
        <v/>
      </c>
      <c r="G348" s="1614">
        <f>G347-D348</f>
        <v/>
      </c>
      <c r="H348" s="1681" t="n"/>
      <c r="K348" s="1620" t="n"/>
    </row>
    <row r="349" ht="39.75" customFormat="1" customHeight="1" s="1591">
      <c r="A349" s="1610" t="inlineStr">
        <is>
          <t>JT.#143</t>
        </is>
      </c>
      <c r="B349" s="1610" t="inlineStr">
        <is>
          <t>3-1/2" TUBING 9.2 LB/FT ALLOY 28 TSH BL</t>
        </is>
      </c>
      <c r="C349" s="1611" t="n">
        <v>31</v>
      </c>
      <c r="D349" s="1612">
        <f>C349-0.301</f>
        <v/>
      </c>
      <c r="E349" s="1613">
        <f>E348+D349</f>
        <v/>
      </c>
      <c r="F349" s="1613">
        <f>F348-D348</f>
        <v/>
      </c>
      <c r="G349" s="1614">
        <f>G348-D349</f>
        <v/>
      </c>
      <c r="K349" s="1620" t="n"/>
    </row>
    <row r="350" ht="39.75" customFormat="1" customHeight="1" s="1591">
      <c r="A350" s="1610" t="inlineStr">
        <is>
          <t>JT.#144</t>
        </is>
      </c>
      <c r="B350" s="1610" t="inlineStr">
        <is>
          <t>3-1/2" TUBING 9.2 LB/FT ALLOY 28 TSH BL</t>
        </is>
      </c>
      <c r="C350" s="1611" t="n">
        <v>31</v>
      </c>
      <c r="D350" s="1612">
        <f>C350-0.301</f>
        <v/>
      </c>
      <c r="E350" s="1613">
        <f>E349+D350</f>
        <v/>
      </c>
      <c r="F350" s="1613">
        <f>F349-D349</f>
        <v/>
      </c>
      <c r="G350" s="1614">
        <f>G349-D350</f>
        <v/>
      </c>
      <c r="H350" s="1681" t="n"/>
      <c r="K350" s="1620" t="n"/>
    </row>
    <row r="351" ht="39.75" customFormat="1" customHeight="1" s="1591">
      <c r="A351" s="1610" t="inlineStr">
        <is>
          <t>JT.#145</t>
        </is>
      </c>
      <c r="B351" s="1610" t="inlineStr">
        <is>
          <t>3-1/2" TUBING 9.2 LB/FT ALLOY 28 TSH BL</t>
        </is>
      </c>
      <c r="C351" s="1611" t="n">
        <v>31</v>
      </c>
      <c r="D351" s="1612">
        <f>C351-0.301</f>
        <v/>
      </c>
      <c r="E351" s="1613">
        <f>E350+D351</f>
        <v/>
      </c>
      <c r="F351" s="1613">
        <f>F350-D350</f>
        <v/>
      </c>
      <c r="G351" s="1614">
        <f>G350-D351</f>
        <v/>
      </c>
      <c r="H351" s="1681" t="n"/>
      <c r="K351" s="1620" t="n"/>
    </row>
    <row r="352" ht="39.75" customFormat="1" customHeight="1" s="1591">
      <c r="A352" s="1692" t="inlineStr">
        <is>
          <t>B</t>
        </is>
      </c>
      <c r="B352" s="1693" t="inlineStr">
        <is>
          <t>UPPER CONN. 3-1/2" VAM TOP BOX 9.2 PPF SN 28 110 KSI
DESCRIPTION: 5 FEET XOVER
SAP: 130005011340
SUPPLIER: TENARIS
LOWER CONN. 3-1/2" TSH BLUE PIN 9.2 PPF SN 28 110 KSI</t>
        </is>
      </c>
      <c r="C352" s="1694" t="n">
        <v>5.18</v>
      </c>
      <c r="D352" s="1612">
        <f>C352-0.301</f>
        <v/>
      </c>
      <c r="E352" s="1613">
        <f>E351+D352</f>
        <v/>
      </c>
      <c r="F352" s="1613">
        <f>F351-D351</f>
        <v/>
      </c>
      <c r="G352" s="1614">
        <f>G351-D352</f>
        <v/>
      </c>
      <c r="H352" s="1681" t="n"/>
      <c r="K352" s="1620" t="n"/>
    </row>
    <row r="353" ht="39.75" customFormat="1" customHeight="1" s="1591">
      <c r="A353" s="1624" t="n"/>
      <c r="B353" s="1693" t="inlineStr">
        <is>
          <t>UPPER CONN. 3-1/2" SENTINEL PRIME BOX 9.2 PPF TX28-110 KSI
DESCRIPTION: 5 FEET XOVER
SAP: 130013006385
SUPPLIER: TBX
LOWER CONN. 3-1/2" VAM TOP PIN 9.2 PPF TX28- 110 KSI</t>
        </is>
      </c>
      <c r="C353" s="1694" t="n">
        <v>4.91</v>
      </c>
      <c r="D353" s="1612">
        <f>C353-0.301</f>
        <v/>
      </c>
      <c r="E353" s="1613">
        <f>E352+D353</f>
        <v/>
      </c>
      <c r="F353" s="1613">
        <f>F352-D352</f>
        <v/>
      </c>
      <c r="G353" s="1614">
        <f>G352-D353</f>
        <v/>
      </c>
      <c r="H353" s="1681" t="n"/>
      <c r="K353" s="1620" t="n"/>
    </row>
    <row r="354" ht="39.75" customFormat="1" customHeight="1" s="1591">
      <c r="A354" s="1624" t="n"/>
      <c r="B354" s="1693" t="inlineStr">
        <is>
          <t>UPPER CONN. 3-1/2" SENTINEL PRIME 9.2#PPF INC 925 BOX
DESCRIPTION: NINE ENERGY MULTICYCLE BARRIER DEVICE
7 CYCLES REMAINING
P/N: 3207251
S/N: 100 086 877
SAP: 130010036003 SUPPLIER: NINE ENERGY
LOWER CONN- 3 1/2 9.2 SENTINEL PRIME 9.2 PPF INC 925 PIN</t>
        </is>
      </c>
      <c r="C354" s="1694" t="n">
        <v>5.22</v>
      </c>
      <c r="D354" s="1612">
        <f>C354-0.301</f>
        <v/>
      </c>
      <c r="E354" s="1613">
        <f>E353+D354</f>
        <v/>
      </c>
      <c r="F354" s="1613">
        <f>F353-D353</f>
        <v/>
      </c>
      <c r="G354" s="1614">
        <f>G353-D354</f>
        <v/>
      </c>
      <c r="H354" s="1681" t="n"/>
      <c r="K354" s="1620" t="n"/>
    </row>
    <row r="355" ht="39.75" customFormat="1" customHeight="1" s="1591">
      <c r="A355" s="1624" t="n"/>
      <c r="B355" s="1693" t="inlineStr">
        <is>
          <t>UPPER CONN. 3-1/2" VAM TOP BOX 9.2 PPF TX28- 110 KSI
DESCRIPTION: 5 FEET XOVER
SAP: 130013006383
SUPPLIER: TBX
LOWER CONN -3-1/2" SENTINEL PRIME PIN 9.2 PPF TX28-110 KSI</t>
        </is>
      </c>
      <c r="C355" s="1694" t="n">
        <v>4.8</v>
      </c>
      <c r="D355" s="1612">
        <f>C355-0.301</f>
        <v/>
      </c>
      <c r="E355" s="1613">
        <f>E354+D355</f>
        <v/>
      </c>
      <c r="F355" s="1613">
        <f>F354-D354</f>
        <v/>
      </c>
      <c r="G355" s="1614">
        <f>G354-D355</f>
        <v/>
      </c>
      <c r="H355" s="1681" t="n"/>
      <c r="K355" s="1620" t="n"/>
    </row>
    <row r="356" ht="39.75" customFormat="1" customHeight="1" s="1591">
      <c r="A356" s="1172" t="n"/>
      <c r="B356" s="1693" t="inlineStr">
        <is>
          <t>UPPER CONN. 3-1/2" TSH BLUE BOX 9.2 PPF SN 28 110 KSI
DESCRIPTION: 10 FEET XOVER
SAP: 130005011444
SUPPLIER: TENARIS
LOWER CONN. 3-1/2" VAM TOP PIN 9.2 PPF SN 28 110 KSI</t>
        </is>
      </c>
      <c r="C356" s="1694" t="n">
        <v>9.83</v>
      </c>
      <c r="D356" s="1612">
        <f>C356-0.301</f>
        <v/>
      </c>
      <c r="E356" s="1613">
        <f>E355+D356</f>
        <v/>
      </c>
      <c r="F356" s="1613">
        <f>F355-D355</f>
        <v/>
      </c>
      <c r="G356" s="1614">
        <f>G355-D356</f>
        <v/>
      </c>
      <c r="H356" s="1635" t="inlineStr">
        <is>
          <t>.</t>
        </is>
      </c>
      <c r="K356" s="1620" t="n"/>
    </row>
    <row r="357" ht="39.75" customFormat="1" customHeight="1" s="1591">
      <c r="A357" s="1610" t="inlineStr">
        <is>
          <t>JT.#146</t>
        </is>
      </c>
      <c r="B357" s="1610" t="inlineStr">
        <is>
          <t>3-1/2" TUBING 9.2 LB/FT ALLOY 28 TSH BL</t>
        </is>
      </c>
      <c r="C357" s="1611" t="n">
        <v>31</v>
      </c>
      <c r="D357" s="1612">
        <f>C357-0.301</f>
        <v/>
      </c>
      <c r="E357" s="1613">
        <f>E356+D357</f>
        <v/>
      </c>
      <c r="F357" s="1613">
        <f>F356-D356</f>
        <v/>
      </c>
      <c r="G357" s="1614">
        <f>G356-D357</f>
        <v/>
      </c>
      <c r="H357" s="1636" t="inlineStr">
        <is>
          <t xml:space="preserve">FILL UP STRING </t>
        </is>
      </c>
      <c r="K357" s="1620" t="n"/>
    </row>
    <row r="358" ht="39.75" customFormat="1" customHeight="1" s="1591">
      <c r="A358" s="1610" t="inlineStr">
        <is>
          <t>JT.#147</t>
        </is>
      </c>
      <c r="B358" s="1610" t="inlineStr">
        <is>
          <t>3-1/2" TUBING 9.2 LB/FT ALLOY 28 TSH BL</t>
        </is>
      </c>
      <c r="C358" s="1611" t="n">
        <v>31</v>
      </c>
      <c r="D358" s="1612">
        <f>C358-0.301</f>
        <v/>
      </c>
      <c r="E358" s="1613">
        <f>E357+D358</f>
        <v/>
      </c>
      <c r="F358" s="1613">
        <f>F357-D357</f>
        <v/>
      </c>
      <c r="G358" s="1614">
        <f>G357-D358</f>
        <v/>
      </c>
      <c r="H358" s="1681" t="n"/>
      <c r="K358" s="1620" t="n"/>
    </row>
    <row r="359" ht="39.75" customFormat="1" customHeight="1" s="1591">
      <c r="A359" s="1695" t="inlineStr">
        <is>
          <t>C</t>
        </is>
      </c>
      <c r="B359" s="1696" t="inlineStr">
        <is>
          <t>UPPER CONN. 3-1/2" VAM TOP BOX 9.2 PPF SN 28 110 KSI
DESCRIPTION: 5 FEET XOVER
SAP: 130005011340
SUPPLIER: TENARIS
LOWER CONN. 3-1/2" TSH BLUE PIN 9.2 PPF SN 28 110 KSI</t>
        </is>
      </c>
      <c r="C359" s="1697" t="n">
        <v>5.16</v>
      </c>
      <c r="D359" s="1612">
        <f>C359-0.301</f>
        <v/>
      </c>
      <c r="E359" s="1613">
        <f>E358+D359</f>
        <v/>
      </c>
      <c r="F359" s="1613">
        <f>F358-D358</f>
        <v/>
      </c>
      <c r="G359" s="1614">
        <f>G358-D359</f>
        <v/>
      </c>
      <c r="K359" s="1620" t="n"/>
    </row>
    <row r="360" ht="39.75" customFormat="1" customHeight="1" s="1591">
      <c r="A360" s="1624" t="n"/>
      <c r="B360" s="1696" t="inlineStr">
        <is>
          <t>UPPER CONN. 3-1/2" VAM TOP 9.2#PPF INC 925 KSI BOX
DESCRIPTION: 2.750 WXN Nipple
PN: 2963809
S/N :12527047-08
SAP: 130010036868
SUPPLIER: WEATHERFORD
LOWER CONN.3-1/2" VAM TOP 9.2#PPF INC 925KSI PIN</t>
        </is>
      </c>
      <c r="C360" s="1697" t="n">
        <v>1.15</v>
      </c>
      <c r="D360" s="1612">
        <f>C360-0.301</f>
        <v/>
      </c>
      <c r="E360" s="1613">
        <f>E359+D360</f>
        <v/>
      </c>
      <c r="F360" s="1613">
        <f>F359-D359</f>
        <v/>
      </c>
      <c r="G360" s="1614">
        <f>G359-D360</f>
        <v/>
      </c>
      <c r="H360" s="1681" t="n"/>
      <c r="K360" s="1620" t="n"/>
    </row>
    <row r="361" ht="39.75" customFormat="1" customHeight="1" s="1591">
      <c r="A361" s="1624" t="n"/>
      <c r="B361" s="1696" t="inlineStr">
        <is>
          <t>UPPER CONN. 3-1/2" VAM TOP 9.2#PPF SM 2535 BOX
DESCRIPTION: 5 FEET PUP JOINT
SAP: 130005002758
SUPPLIER: VAM
LOWER CONN. 3-1/2" VAM TOP 9.2#PPF SM 2535 PIN</t>
        </is>
      </c>
      <c r="C361" s="1697" t="n">
        <v>4.92</v>
      </c>
      <c r="D361" s="1612">
        <f>C361-0.301</f>
        <v/>
      </c>
      <c r="E361" s="1613">
        <f>E360+D361</f>
        <v/>
      </c>
      <c r="F361" s="1613">
        <f>F360-D360</f>
        <v/>
      </c>
      <c r="G361" s="1614">
        <f>G360-D361</f>
        <v/>
      </c>
      <c r="H361" s="1681" t="n"/>
      <c r="K361" s="1620" t="n"/>
    </row>
    <row r="362" ht="39.75" customFormat="1" customHeight="1" s="1591">
      <c r="A362" s="1624" t="n"/>
      <c r="B362" s="1696" t="inlineStr">
        <is>
          <t>UPPER CONN. 3-1/2" VAM TOP 9.2#PPF SM2535 BOX
DESCRIPTION: 10 FEET PUP JOINT
SAP: 130013000213
SUPPLIER: VAM
LOWER CONN. 3-1/2" VAM TOP 9.2#PPF SM2535 PIN</t>
        </is>
      </c>
      <c r="C362" s="1697" t="n">
        <v>9.92</v>
      </c>
      <c r="D362" s="1612">
        <f>C362-0.301</f>
        <v/>
      </c>
      <c r="E362" s="1613">
        <f>E361+D362</f>
        <v/>
      </c>
      <c r="F362" s="1613">
        <f>F361-D361</f>
        <v/>
      </c>
      <c r="G362" s="1614">
        <f>G361-D362</f>
        <v/>
      </c>
      <c r="H362" s="1681" t="n"/>
      <c r="K362" s="1620" t="n"/>
    </row>
    <row r="363" ht="39.75" customFormat="1" customHeight="1" s="1591">
      <c r="A363" s="1624" t="n"/>
      <c r="B363" s="1696"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63" s="1697" t="n">
        <v>9.710000000000001</v>
      </c>
      <c r="D363" s="1612">
        <f>C363-0.301</f>
        <v/>
      </c>
      <c r="E363" s="1613">
        <f>E362+D363</f>
        <v/>
      </c>
      <c r="F363" s="1613">
        <f>F362-D362</f>
        <v/>
      </c>
      <c r="G363" s="1614">
        <f>G362-D363</f>
        <v/>
      </c>
      <c r="H363" s="1681" t="n"/>
      <c r="K363" s="1620" t="n"/>
    </row>
    <row r="364" ht="39.75" customFormat="1" customHeight="1" s="1591">
      <c r="A364" s="1172" t="n"/>
      <c r="B364" s="1696" t="inlineStr">
        <is>
          <t>UPPER CONN. 3-1/2" TSH BLUE BOX 9.2 PPF SN 28 110 KSI
DESCRIPTION: 5 FEET XOVER
SAP: 130005011444
SUPPLIER: TENARIS
LOWER CONN. 3-1/2" VAM TOP PIN 9.2 PPF SN 28 110 KSI</t>
        </is>
      </c>
      <c r="C364" s="1697" t="n">
        <v>4.99</v>
      </c>
      <c r="D364" s="1612">
        <f>C364-0.301</f>
        <v/>
      </c>
      <c r="E364" s="1613">
        <f>E363+D364</f>
        <v/>
      </c>
      <c r="F364" s="1613">
        <f>F363-D363</f>
        <v/>
      </c>
      <c r="G364" s="1614">
        <f>G363-D364</f>
        <v/>
      </c>
      <c r="H364" s="1681" t="n"/>
      <c r="K364" s="1620" t="n"/>
    </row>
    <row r="365" ht="39.75" customFormat="1" customHeight="1" s="1591">
      <c r="A365" s="1610" t="inlineStr">
        <is>
          <t>JT.#148</t>
        </is>
      </c>
      <c r="B365" s="1610" t="inlineStr">
        <is>
          <t>3-1/2" TUBING 9.2 LB/FT ALLOY 28 TSH BL</t>
        </is>
      </c>
      <c r="C365" s="1611" t="n">
        <v>31</v>
      </c>
      <c r="D365" s="1612">
        <f>C365-0.301</f>
        <v/>
      </c>
      <c r="E365" s="1613">
        <f>E364+D365</f>
        <v/>
      </c>
      <c r="F365" s="1613">
        <f>F364-D364</f>
        <v/>
      </c>
      <c r="G365" s="1614">
        <f>G364-D365</f>
        <v/>
      </c>
      <c r="H365" s="1681" t="n"/>
      <c r="K365" s="1620" t="n"/>
    </row>
    <row r="366" ht="39.75" customFormat="1" customHeight="1" s="1591">
      <c r="A366" s="1610" t="inlineStr">
        <is>
          <t>JT.#149</t>
        </is>
      </c>
      <c r="B366" s="1610" t="inlineStr">
        <is>
          <t>3-1/2" TUBING 9.2 LB/FT ALLOY 28 TSH BL</t>
        </is>
      </c>
      <c r="C366" s="1611" t="n">
        <v>31</v>
      </c>
      <c r="D366" s="1612">
        <f>C366-0.301</f>
        <v/>
      </c>
      <c r="E366" s="1613">
        <f>E365+D366</f>
        <v/>
      </c>
      <c r="F366" s="1613">
        <f>F365-D365</f>
        <v/>
      </c>
      <c r="G366" s="1614">
        <f>G365-D366</f>
        <v/>
      </c>
      <c r="H366" s="1635" t="inlineStr">
        <is>
          <t>.</t>
        </is>
      </c>
      <c r="K366" s="1620" t="n"/>
    </row>
    <row r="367" ht="39.75" customFormat="1" customHeight="1" s="1591">
      <c r="A367" s="1610" t="inlineStr">
        <is>
          <t>JT.#150</t>
        </is>
      </c>
      <c r="B367" s="1610" t="inlineStr">
        <is>
          <t>3-1/2" TUBING 9.2 LB/FT ALLOY 28 TSH BL</t>
        </is>
      </c>
      <c r="C367" s="1611" t="n">
        <v>31</v>
      </c>
      <c r="D367" s="1612">
        <f>C367-0.301</f>
        <v/>
      </c>
      <c r="E367" s="1613">
        <f>E366+D367</f>
        <v/>
      </c>
      <c r="F367" s="1613">
        <f>F366-D366</f>
        <v/>
      </c>
      <c r="G367" s="1614">
        <f>G366-D367</f>
        <v/>
      </c>
      <c r="H367" s="1636" t="inlineStr">
        <is>
          <t xml:space="preserve">FILL UP STRING </t>
        </is>
      </c>
      <c r="K367" s="1620" t="n"/>
    </row>
    <row r="368" ht="39.75" customFormat="1" customHeight="1" s="1591">
      <c r="A368" s="1610" t="inlineStr">
        <is>
          <t>JT.#151</t>
        </is>
      </c>
      <c r="B368" s="1610" t="inlineStr">
        <is>
          <t>3-1/2" TUBING 9.2 LB/FT ALLOY 28 TSH BL</t>
        </is>
      </c>
      <c r="C368" s="1611" t="n">
        <v>31</v>
      </c>
      <c r="D368" s="1612">
        <f>C368-0.301</f>
        <v/>
      </c>
      <c r="E368" s="1613">
        <f>E367+D368</f>
        <v/>
      </c>
      <c r="F368" s="1613">
        <f>F367-D367</f>
        <v/>
      </c>
      <c r="G368" s="1614">
        <f>G367-D368</f>
        <v/>
      </c>
      <c r="H368" s="1681" t="n"/>
      <c r="K368" s="1620" t="n"/>
    </row>
    <row r="369" ht="39.75" customFormat="1" customHeight="1" s="1591">
      <c r="A369" s="1610" t="inlineStr">
        <is>
          <t>JT.#152</t>
        </is>
      </c>
      <c r="B369" s="1610" t="inlineStr">
        <is>
          <t>3-1/2" TUBING 9.2 LB/FT ALLOY 28 TSH BL</t>
        </is>
      </c>
      <c r="C369" s="1611" t="n">
        <v>31</v>
      </c>
      <c r="D369" s="1612">
        <f>C369-0.301</f>
        <v/>
      </c>
      <c r="E369" s="1613">
        <f>E368+D369</f>
        <v/>
      </c>
      <c r="F369" s="1613">
        <f>F368-D368</f>
        <v/>
      </c>
      <c r="G369" s="1614">
        <f>G368-D369</f>
        <v/>
      </c>
      <c r="K369" s="1620" t="n"/>
    </row>
    <row r="370" ht="39.75" customFormat="1" customHeight="1" s="1591">
      <c r="A370" s="1610" t="inlineStr">
        <is>
          <t>JT.#153</t>
        </is>
      </c>
      <c r="B370" s="1610" t="inlineStr">
        <is>
          <t>3-1/2" TUBING 9.2 LB/FT ALLOY 28 TSH BL</t>
        </is>
      </c>
      <c r="C370" s="1611" t="n">
        <v>31</v>
      </c>
      <c r="D370" s="1612">
        <f>C370-0.301</f>
        <v/>
      </c>
      <c r="E370" s="1613">
        <f>E369+D370</f>
        <v/>
      </c>
      <c r="F370" s="1613">
        <f>F369-D369</f>
        <v/>
      </c>
      <c r="G370" s="1614">
        <f>G369-D370</f>
        <v/>
      </c>
      <c r="H370" s="1681" t="n"/>
      <c r="K370" s="1620" t="n"/>
    </row>
    <row r="371" ht="39.75" customFormat="1" customHeight="1" s="1591">
      <c r="A371" s="1610" t="inlineStr">
        <is>
          <t>JT.#154</t>
        </is>
      </c>
      <c r="B371" s="1610" t="inlineStr">
        <is>
          <t>3-1/2" TUBING 9.2 LB/FT ALLOY 28 TSH BL</t>
        </is>
      </c>
      <c r="C371" s="1611" t="n">
        <v>31</v>
      </c>
      <c r="D371" s="1612">
        <f>C371-0.301</f>
        <v/>
      </c>
      <c r="E371" s="1613">
        <f>E370+D371</f>
        <v/>
      </c>
      <c r="F371" s="1613">
        <f>F370-D370</f>
        <v/>
      </c>
      <c r="G371" s="1614">
        <f>G370-D371</f>
        <v/>
      </c>
      <c r="H371" s="1681" t="n"/>
      <c r="K371" s="1620" t="n"/>
    </row>
    <row r="372" ht="39.75" customFormat="1" customHeight="1" s="1591">
      <c r="A372" s="1610" t="inlineStr">
        <is>
          <t>JT.#155</t>
        </is>
      </c>
      <c r="B372" s="1610" t="inlineStr">
        <is>
          <t>3-1/2" TUBING 9.2 LB/FT ALLOY 28 TSH BL</t>
        </is>
      </c>
      <c r="C372" s="1611" t="n">
        <v>31</v>
      </c>
      <c r="D372" s="1612">
        <f>C372-0.301</f>
        <v/>
      </c>
      <c r="E372" s="1613">
        <f>E371+D372</f>
        <v/>
      </c>
      <c r="F372" s="1613">
        <f>F371-D371</f>
        <v/>
      </c>
      <c r="G372" s="1614">
        <f>G371-D372</f>
        <v/>
      </c>
      <c r="H372" s="1681" t="n"/>
      <c r="K372" s="1620" t="n"/>
    </row>
    <row r="373" ht="39.75" customFormat="1" customHeight="1" s="1591">
      <c r="A373" s="1610" t="inlineStr">
        <is>
          <t>JT.#156</t>
        </is>
      </c>
      <c r="B373" s="1610" t="inlineStr">
        <is>
          <t>3-1/2" TUBING 9.2 LB/FT ALLOY 28 TSH BL</t>
        </is>
      </c>
      <c r="C373" s="1611" t="n">
        <v>31</v>
      </c>
      <c r="D373" s="1612">
        <f>C373-0.301</f>
        <v/>
      </c>
      <c r="E373" s="1613">
        <f>E372+D373</f>
        <v/>
      </c>
      <c r="F373" s="1613">
        <f>F372-D372</f>
        <v/>
      </c>
      <c r="G373" s="1614">
        <f>G372-D373</f>
        <v/>
      </c>
      <c r="H373" s="1681" t="n"/>
      <c r="K373" s="1620" t="n"/>
    </row>
    <row r="374" ht="39.75" customFormat="1" customHeight="1" s="1591">
      <c r="A374" s="1610" t="inlineStr">
        <is>
          <t>JT.#157</t>
        </is>
      </c>
      <c r="B374" s="1610" t="inlineStr">
        <is>
          <t>3-1/2" TUBING 9.2 LB/FT ALLOY 28 TSH BL</t>
        </is>
      </c>
      <c r="C374" s="1611" t="n">
        <v>31</v>
      </c>
      <c r="D374" s="1612">
        <f>C374-0.301</f>
        <v/>
      </c>
      <c r="E374" s="1613">
        <f>E373+D374</f>
        <v/>
      </c>
      <c r="F374" s="1613">
        <f>F373-D373</f>
        <v/>
      </c>
      <c r="G374" s="1614">
        <f>G373-D374</f>
        <v/>
      </c>
      <c r="H374" s="1681" t="n"/>
      <c r="K374" s="1620" t="n"/>
    </row>
    <row r="375" ht="39.75" customFormat="1" customHeight="1" s="1591">
      <c r="A375" s="1610" t="inlineStr">
        <is>
          <t>JT.#158</t>
        </is>
      </c>
      <c r="B375" s="1610" t="inlineStr">
        <is>
          <t>3-1/2" TUBING 9.2 LB/FT ALLOY 28 TSH BL</t>
        </is>
      </c>
      <c r="C375" s="1611" t="n">
        <v>31</v>
      </c>
      <c r="D375" s="1612">
        <f>C375-0.301</f>
        <v/>
      </c>
      <c r="E375" s="1613">
        <f>E374+D375</f>
        <v/>
      </c>
      <c r="F375" s="1613">
        <f>F374-D374</f>
        <v/>
      </c>
      <c r="G375" s="1614">
        <f>G374-D375</f>
        <v/>
      </c>
      <c r="H375" s="1681" t="n"/>
      <c r="K375" s="1620" t="n"/>
    </row>
    <row r="376" ht="39.75" customFormat="1" customHeight="1" s="1591">
      <c r="A376" s="1610" t="inlineStr">
        <is>
          <t>JT.#159</t>
        </is>
      </c>
      <c r="B376" s="1610" t="inlineStr">
        <is>
          <t>3-1/2" TUBING 9.2 LB/FT ALLOY 28 TSH BL</t>
        </is>
      </c>
      <c r="C376" s="1611" t="n">
        <v>31</v>
      </c>
      <c r="D376" s="1612">
        <f>C376-0.301</f>
        <v/>
      </c>
      <c r="E376" s="1613">
        <f>E375+D376</f>
        <v/>
      </c>
      <c r="F376" s="1613">
        <f>F375-D375</f>
        <v/>
      </c>
      <c r="G376" s="1614">
        <f>G375-D376</f>
        <v/>
      </c>
      <c r="H376" s="1635" t="inlineStr">
        <is>
          <t>.</t>
        </is>
      </c>
      <c r="K376" s="1620" t="n"/>
    </row>
    <row r="377" ht="39.75" customFormat="1" customHeight="1" s="1591">
      <c r="A377" s="1610" t="inlineStr">
        <is>
          <t>JT.#160</t>
        </is>
      </c>
      <c r="B377" s="1610" t="inlineStr">
        <is>
          <t>3-1/2" TUBING 9.2 LB/FT ALLOY 28 TSH BL</t>
        </is>
      </c>
      <c r="C377" s="1611" t="n">
        <v>31</v>
      </c>
      <c r="D377" s="1612">
        <f>C377-0.301</f>
        <v/>
      </c>
      <c r="E377" s="1613">
        <f>E376+D377</f>
        <v/>
      </c>
      <c r="F377" s="1613">
        <f>F376-D376</f>
        <v/>
      </c>
      <c r="G377" s="1614">
        <f>G376-D377</f>
        <v/>
      </c>
      <c r="H377" s="1636" t="inlineStr">
        <is>
          <t xml:space="preserve">FILL UP STRING </t>
        </is>
      </c>
      <c r="K377" s="1620" t="n"/>
    </row>
    <row r="378" ht="39.75" customFormat="1" customHeight="1" s="1591">
      <c r="A378" s="1610" t="inlineStr">
        <is>
          <t>JT.#161</t>
        </is>
      </c>
      <c r="B378" s="1610" t="inlineStr">
        <is>
          <t>3-1/2" TUBING 9.2 LB/FT ALLOY 28 TSH BL</t>
        </is>
      </c>
      <c r="C378" s="1611" t="n">
        <v>31</v>
      </c>
      <c r="D378" s="1612">
        <f>C378-0.301</f>
        <v/>
      </c>
      <c r="E378" s="1613">
        <f>E377+D378</f>
        <v/>
      </c>
      <c r="F378" s="1613">
        <f>F377-D377</f>
        <v/>
      </c>
      <c r="G378" s="1614">
        <f>G377-D378</f>
        <v/>
      </c>
      <c r="H378" s="1681" t="n"/>
      <c r="K378" s="1620" t="n"/>
    </row>
    <row r="379" ht="39.75" customFormat="1" customHeight="1" s="1591">
      <c r="A379" s="1610" t="inlineStr">
        <is>
          <t>JT.#162</t>
        </is>
      </c>
      <c r="B379" s="1610" t="inlineStr">
        <is>
          <t>3-1/2" TUBING 9.2 LB/FT ALLOY 28 TSH BL</t>
        </is>
      </c>
      <c r="C379" s="1611" t="n">
        <v>31</v>
      </c>
      <c r="D379" s="1612">
        <f>C379-0.301</f>
        <v/>
      </c>
      <c r="E379" s="1613">
        <f>E378+D379</f>
        <v/>
      </c>
      <c r="F379" s="1613">
        <f>F378-D378</f>
        <v/>
      </c>
      <c r="G379" s="1614">
        <f>G378-D379</f>
        <v/>
      </c>
      <c r="H379" s="1681" t="n"/>
      <c r="K379" s="1620" t="n"/>
    </row>
    <row r="380" ht="39.75" customFormat="1" customHeight="1" s="1591">
      <c r="A380" s="1610" t="inlineStr">
        <is>
          <t>JT.#163</t>
        </is>
      </c>
      <c r="B380" s="1610" t="inlineStr">
        <is>
          <t>3-1/2" TUBING 9.2 LB/FT ALLOY 28 TSH BL</t>
        </is>
      </c>
      <c r="C380" s="1611" t="n">
        <v>31</v>
      </c>
      <c r="D380" s="1612">
        <f>C380-0.301</f>
        <v/>
      </c>
      <c r="E380" s="1613">
        <f>E379+D380</f>
        <v/>
      </c>
      <c r="F380" s="1613">
        <f>F379-D379</f>
        <v/>
      </c>
      <c r="G380" s="1614">
        <f>G379-D380</f>
        <v/>
      </c>
      <c r="H380" s="1681" t="n"/>
      <c r="K380" s="1620" t="n"/>
    </row>
    <row r="381" ht="39.75" customFormat="1" customHeight="1" s="1591">
      <c r="A381" s="1610" t="inlineStr">
        <is>
          <t>JT.#164</t>
        </is>
      </c>
      <c r="B381" s="1610" t="inlineStr">
        <is>
          <t>3-1/2" TUBING 9.2 LB/FT ALLOY 28 TSH BL</t>
        </is>
      </c>
      <c r="C381" s="1611" t="n">
        <v>31</v>
      </c>
      <c r="D381" s="1612">
        <f>C381-0.301</f>
        <v/>
      </c>
      <c r="E381" s="1613">
        <f>E380+D381</f>
        <v/>
      </c>
      <c r="F381" s="1613">
        <f>F380-D380</f>
        <v/>
      </c>
      <c r="G381" s="1614">
        <f>G380-D381</f>
        <v/>
      </c>
      <c r="H381" s="1681" t="n"/>
      <c r="K381" s="1620" t="n"/>
    </row>
    <row r="382" ht="39.75" customFormat="1" customHeight="1" s="1591">
      <c r="A382" s="1610" t="inlineStr">
        <is>
          <t>JT.#165</t>
        </is>
      </c>
      <c r="B382" s="1610" t="inlineStr">
        <is>
          <t>3-1/2" TUBING 9.2 LB/FT ALLOY 28 TSH BL</t>
        </is>
      </c>
      <c r="C382" s="1611" t="n">
        <v>31</v>
      </c>
      <c r="D382" s="1612">
        <f>C382-0.301</f>
        <v/>
      </c>
      <c r="E382" s="1613">
        <f>E381+D382</f>
        <v/>
      </c>
      <c r="F382" s="1613">
        <f>F381-D381</f>
        <v/>
      </c>
      <c r="G382" s="1614">
        <f>G381-D382</f>
        <v/>
      </c>
      <c r="H382" s="1681" t="n"/>
      <c r="K382" s="1620" t="n"/>
    </row>
    <row r="383" ht="39.75" customFormat="1" customHeight="1" s="1591">
      <c r="A383" s="1610" t="inlineStr">
        <is>
          <t>JT.#166</t>
        </is>
      </c>
      <c r="B383" s="1610" t="inlineStr">
        <is>
          <t>3-1/2" TUBING 9.2 LB/FT ALLOY 28 TSH BL</t>
        </is>
      </c>
      <c r="C383" s="1611" t="n">
        <v>31</v>
      </c>
      <c r="D383" s="1612">
        <f>C383-0.301</f>
        <v/>
      </c>
      <c r="E383" s="1613">
        <f>E382+D383</f>
        <v/>
      </c>
      <c r="F383" s="1613">
        <f>F382-D382</f>
        <v/>
      </c>
      <c r="G383" s="1614">
        <f>G382-D383</f>
        <v/>
      </c>
      <c r="H383" s="1681" t="n"/>
      <c r="K383" s="1620" t="n"/>
    </row>
    <row r="384" ht="39.75" customFormat="1" customHeight="1" s="1591">
      <c r="A384" s="1610" t="inlineStr">
        <is>
          <t>JT.#167</t>
        </is>
      </c>
      <c r="B384" s="1610" t="inlineStr">
        <is>
          <t>3-1/2" TUBING 9.2 LB/FT ALLOY 28 TSH BL</t>
        </is>
      </c>
      <c r="C384" s="1611" t="n">
        <v>31</v>
      </c>
      <c r="D384" s="1612">
        <f>C384-0.301</f>
        <v/>
      </c>
      <c r="E384" s="1613">
        <f>E383+D384</f>
        <v/>
      </c>
      <c r="F384" s="1613">
        <f>F383-D383</f>
        <v/>
      </c>
      <c r="G384" s="1614">
        <f>G383-D384</f>
        <v/>
      </c>
      <c r="H384" s="1681" t="n"/>
      <c r="K384" s="1620" t="n"/>
    </row>
    <row r="385" ht="39.75" customFormat="1" customHeight="1" s="1591">
      <c r="A385" s="1610" t="inlineStr">
        <is>
          <t>JT.#168</t>
        </is>
      </c>
      <c r="B385" s="1610" t="inlineStr">
        <is>
          <t>3-1/2" TUBING 9.2 LB/FT ALLOY 28 TSH BL</t>
        </is>
      </c>
      <c r="C385" s="1611" t="n">
        <v>31</v>
      </c>
      <c r="D385" s="1612">
        <f>C385-0.301</f>
        <v/>
      </c>
      <c r="E385" s="1613">
        <f>E384+D385</f>
        <v/>
      </c>
      <c r="F385" s="1613">
        <f>F384-D384</f>
        <v/>
      </c>
      <c r="G385" s="1614">
        <f>G384-D385</f>
        <v/>
      </c>
      <c r="H385" s="1681" t="n"/>
      <c r="K385" s="1620" t="n"/>
    </row>
    <row r="386" ht="39.75" customFormat="1" customHeight="1" s="1591">
      <c r="A386" s="1610" t="inlineStr">
        <is>
          <t>JT.#169</t>
        </is>
      </c>
      <c r="B386" s="1610" t="inlineStr">
        <is>
          <t>3-1/2" TUBING 9.2 LB/FT ALLOY 28 TSH BL</t>
        </is>
      </c>
      <c r="C386" s="1611" t="n">
        <v>31</v>
      </c>
      <c r="D386" s="1649">
        <f>C386-0.301</f>
        <v/>
      </c>
      <c r="E386" s="1613">
        <f>E385+D386</f>
        <v/>
      </c>
      <c r="F386" s="1613">
        <f>F385-D385</f>
        <v/>
      </c>
      <c r="G386" s="1614">
        <f>G385-D386</f>
        <v/>
      </c>
      <c r="H386" s="1636" t="inlineStr">
        <is>
          <t xml:space="preserve">FILL UP STRING </t>
        </is>
      </c>
      <c r="K386" s="1620" t="n"/>
    </row>
    <row r="387" ht="39.75" customFormat="1" customHeight="1" s="1591">
      <c r="A387" s="1610" t="inlineStr">
        <is>
          <t>JT.#170</t>
        </is>
      </c>
      <c r="B387" s="1610" t="inlineStr">
        <is>
          <t>3-1/2" TUBING 9.2 LB/FT ALLOY 28 TSH BL</t>
        </is>
      </c>
      <c r="C387" s="1611" t="n">
        <v>31</v>
      </c>
      <c r="D387" s="1612">
        <f>C387-0.301</f>
        <v/>
      </c>
      <c r="E387" s="1613">
        <f>E386+D387</f>
        <v/>
      </c>
      <c r="F387" s="1613">
        <f>F386-D386</f>
        <v/>
      </c>
      <c r="G387" s="1614">
        <f>G386-D387</f>
        <v/>
      </c>
      <c r="H387" s="1635" t="n"/>
      <c r="K387" s="1620" t="n"/>
    </row>
    <row r="388" ht="39.75" customFormat="1" customHeight="1" s="1591">
      <c r="A388" s="1610" t="inlineStr">
        <is>
          <t>JT.#171</t>
        </is>
      </c>
      <c r="B388" s="1610" t="inlineStr">
        <is>
          <t>3-1/2" TUBING 9.2 LB/FT ALLOY 28 TSH BL</t>
        </is>
      </c>
      <c r="C388" s="1611" t="n">
        <v>31</v>
      </c>
      <c r="D388" s="1612">
        <f>C388-0.301</f>
        <v/>
      </c>
      <c r="E388" s="1613">
        <f>E387+D388</f>
        <v/>
      </c>
      <c r="F388" s="1613">
        <f>F387-D387</f>
        <v/>
      </c>
      <c r="G388" s="1614">
        <f>G387-D388</f>
        <v/>
      </c>
      <c r="K388" s="1620" t="n"/>
    </row>
    <row r="389" ht="39.75" customFormat="1" customHeight="1" s="1591">
      <c r="A389" s="1610" t="inlineStr">
        <is>
          <t>JT.#172</t>
        </is>
      </c>
      <c r="B389" s="1610" t="inlineStr">
        <is>
          <t>3-1/2" TUBING 9.2 LB/FT ALLOY 28 TSH BL</t>
        </is>
      </c>
      <c r="C389" s="1611" t="n">
        <v>31</v>
      </c>
      <c r="D389" s="1612">
        <f>C389-0.301</f>
        <v/>
      </c>
      <c r="E389" s="1613">
        <f>E388+D389</f>
        <v/>
      </c>
      <c r="F389" s="1613">
        <f>F388-D388</f>
        <v/>
      </c>
      <c r="G389" s="1614">
        <f>G388-D389</f>
        <v/>
      </c>
      <c r="H389" s="1681" t="n"/>
      <c r="K389" s="1620" t="n"/>
    </row>
    <row r="390" ht="39.75" customFormat="1" customHeight="1" s="1591">
      <c r="A390" s="1610" t="inlineStr">
        <is>
          <t>JT.#173</t>
        </is>
      </c>
      <c r="B390" s="1610" t="inlineStr">
        <is>
          <t>3-1/2" TUBING 9.2 LB/FT ALLOY 28 TSH BL</t>
        </is>
      </c>
      <c r="C390" s="1611" t="n">
        <v>31</v>
      </c>
      <c r="D390" s="1612">
        <f>C390-0.301</f>
        <v/>
      </c>
      <c r="E390" s="1613">
        <f>E389+D390</f>
        <v/>
      </c>
      <c r="F390" s="1613">
        <f>F389-D389</f>
        <v/>
      </c>
      <c r="G390" s="1614">
        <f>G389-D390</f>
        <v/>
      </c>
      <c r="K390" s="1620" t="n"/>
    </row>
    <row r="391" ht="39.75" customFormat="1" customHeight="1" s="1591">
      <c r="A391" s="1610" t="inlineStr">
        <is>
          <t>JT.#174</t>
        </is>
      </c>
      <c r="B391" s="1610" t="inlineStr">
        <is>
          <t>3-1/2" TUBING 9.2 LB/FT ALLOY 28 TSH BL</t>
        </is>
      </c>
      <c r="C391" s="1611" t="n">
        <v>31</v>
      </c>
      <c r="D391" s="1612">
        <f>C391-0.301</f>
        <v/>
      </c>
      <c r="E391" s="1613">
        <f>E390+D391</f>
        <v/>
      </c>
      <c r="F391" s="1613">
        <f>F390-D390</f>
        <v/>
      </c>
      <c r="G391" s="1614">
        <f>G390-D391</f>
        <v/>
      </c>
      <c r="H391" s="1681" t="n"/>
      <c r="K391" s="1620" t="n"/>
    </row>
    <row r="392" ht="39.75" customFormat="1" customHeight="1" s="1591">
      <c r="A392" s="1610" t="inlineStr">
        <is>
          <t>JT.#175</t>
        </is>
      </c>
      <c r="B392" s="1610" t="inlineStr">
        <is>
          <t>3-1/2" TUBING 9.2 LB/FT ALLOY 28 TSH BL</t>
        </is>
      </c>
      <c r="C392" s="1611" t="n">
        <v>31</v>
      </c>
      <c r="D392" s="1612">
        <f>C392-0.301</f>
        <v/>
      </c>
      <c r="E392" s="1613">
        <f>E391+D392</f>
        <v/>
      </c>
      <c r="F392" s="1613">
        <f>F391-D391</f>
        <v/>
      </c>
      <c r="G392" s="1614">
        <f>G391-D392</f>
        <v/>
      </c>
      <c r="H392" s="1681" t="n"/>
      <c r="K392" s="1620" t="n"/>
    </row>
    <row r="393" ht="39.75" customFormat="1" customHeight="1" s="1591">
      <c r="A393" s="1610" t="inlineStr">
        <is>
          <t>JT.#176</t>
        </is>
      </c>
      <c r="B393" s="1610" t="inlineStr">
        <is>
          <t>3-1/2" TUBING 9.2 LB/FT ALLOY 28 TSH BL</t>
        </is>
      </c>
      <c r="C393" s="1611" t="n">
        <v>31</v>
      </c>
      <c r="D393" s="1612">
        <f>C393-0.301</f>
        <v/>
      </c>
      <c r="E393" s="1613">
        <f>E392+D393</f>
        <v/>
      </c>
      <c r="F393" s="1613">
        <f>F392-D392</f>
        <v/>
      </c>
      <c r="G393" s="1614">
        <f>G392-D393</f>
        <v/>
      </c>
      <c r="H393" s="1681" t="n"/>
      <c r="K393" s="1620" t="n"/>
    </row>
    <row r="394" ht="39.75" customFormat="1" customHeight="1" s="1591">
      <c r="A394" s="1610" t="inlineStr">
        <is>
          <t>JT.#177</t>
        </is>
      </c>
      <c r="B394" s="1610" t="inlineStr">
        <is>
          <t>3-1/2" TUBING 9.2 LB/FT ALLOY 28 TSH BL</t>
        </is>
      </c>
      <c r="C394" s="1611" t="n">
        <v>31</v>
      </c>
      <c r="D394" s="1612">
        <f>C394-0.301</f>
        <v/>
      </c>
      <c r="E394" s="1613">
        <f>E393+D394</f>
        <v/>
      </c>
      <c r="F394" s="1613">
        <f>F393-D393</f>
        <v/>
      </c>
      <c r="G394" s="1614">
        <f>G393-D394</f>
        <v/>
      </c>
      <c r="H394" s="1681" t="n"/>
      <c r="K394" s="1620" t="n"/>
    </row>
    <row r="395" ht="39.75" customFormat="1" customHeight="1" s="1591">
      <c r="A395" s="1610" t="inlineStr">
        <is>
          <t>JT.#178</t>
        </is>
      </c>
      <c r="B395" s="1610" t="inlineStr">
        <is>
          <t>3-1/2" TUBING 9.2 LB/FT ALLOY 28 TSH BL</t>
        </is>
      </c>
      <c r="C395" s="1611" t="n">
        <v>31</v>
      </c>
      <c r="D395" s="1612">
        <f>C395-0.301</f>
        <v/>
      </c>
      <c r="E395" s="1613">
        <f>E394+D395</f>
        <v/>
      </c>
      <c r="F395" s="1613">
        <f>F394-D394</f>
        <v/>
      </c>
      <c r="G395" s="1614">
        <f>G394-D395</f>
        <v/>
      </c>
      <c r="H395" s="1681" t="n"/>
      <c r="K395" s="1620" t="n"/>
    </row>
    <row r="396" ht="39.75" customFormat="1" customHeight="1" s="1591">
      <c r="A396" s="1610" t="inlineStr">
        <is>
          <t>JT.#179</t>
        </is>
      </c>
      <c r="B396" s="1610" t="inlineStr">
        <is>
          <t>3-1/2" TUBING 9.2 LB/FT ALLOY 28 TSH BL</t>
        </is>
      </c>
      <c r="C396" s="1611" t="n">
        <v>31</v>
      </c>
      <c r="D396" s="1612">
        <f>C396-0.301</f>
        <v/>
      </c>
      <c r="E396" s="1613">
        <f>E395+D396</f>
        <v/>
      </c>
      <c r="F396" s="1613">
        <f>F395-D395</f>
        <v/>
      </c>
      <c r="G396" s="1614">
        <f>G395-D396</f>
        <v/>
      </c>
      <c r="H396" s="1681" t="n"/>
      <c r="K396" s="1620" t="n"/>
    </row>
    <row r="397" ht="39.75" customFormat="1" customHeight="1" s="1591">
      <c r="A397" s="1610" t="inlineStr">
        <is>
          <t>JT.#180</t>
        </is>
      </c>
      <c r="B397" s="1610" t="inlineStr">
        <is>
          <t>3-1/2" TUBING 9.2 LB/FT ALLOY 28 TSH BL</t>
        </is>
      </c>
      <c r="C397" s="1611" t="n">
        <v>31</v>
      </c>
      <c r="D397" s="1612">
        <f>C397-0.301</f>
        <v/>
      </c>
      <c r="E397" s="1613">
        <f>E396+D397</f>
        <v/>
      </c>
      <c r="F397" s="1613">
        <f>F396-D396</f>
        <v/>
      </c>
      <c r="G397" s="1614">
        <f>G396-D397</f>
        <v/>
      </c>
      <c r="H397" s="1636" t="inlineStr">
        <is>
          <t xml:space="preserve">FILL UP STRING </t>
        </is>
      </c>
      <c r="K397" s="1620" t="n"/>
    </row>
    <row r="398" ht="39.75" customFormat="1" customHeight="1" s="1591">
      <c r="A398" s="1610" t="inlineStr">
        <is>
          <t>JT.#181</t>
        </is>
      </c>
      <c r="B398" s="1610" t="inlineStr">
        <is>
          <t>3-1/2" TUBING 9.2 LB/FT ALLOY 28 TSH BL</t>
        </is>
      </c>
      <c r="C398" s="1611" t="n">
        <v>31</v>
      </c>
      <c r="D398" s="1612">
        <f>C398-0.301</f>
        <v/>
      </c>
      <c r="E398" s="1613">
        <f>E397+D398</f>
        <v/>
      </c>
      <c r="F398" s="1613">
        <f>F397-D397</f>
        <v/>
      </c>
      <c r="G398" s="1614">
        <f>G397-D398</f>
        <v/>
      </c>
      <c r="K398" s="1620" t="n"/>
    </row>
    <row r="399" ht="39.75" customFormat="1" customHeight="1" s="1591">
      <c r="A399" s="1610" t="inlineStr">
        <is>
          <t>JT.#182</t>
        </is>
      </c>
      <c r="B399" s="1610" t="inlineStr">
        <is>
          <t>3-1/2" TUBING 9.2 LB/FT ALLOY 28 TSH BL</t>
        </is>
      </c>
      <c r="C399" s="1611" t="n">
        <v>31</v>
      </c>
      <c r="D399" s="1612">
        <f>C399-0.301</f>
        <v/>
      </c>
      <c r="E399" s="1613">
        <f>E398+D399</f>
        <v/>
      </c>
      <c r="F399" s="1613">
        <f>F398-D398</f>
        <v/>
      </c>
      <c r="G399" s="1614">
        <f>G398-D399</f>
        <v/>
      </c>
      <c r="H399" s="1681" t="n"/>
      <c r="K399" s="1620" t="n"/>
    </row>
    <row r="400" ht="39.75" customFormat="1" customHeight="1" s="1591">
      <c r="A400" s="1610" t="inlineStr">
        <is>
          <t>JT.#183</t>
        </is>
      </c>
      <c r="B400" s="1610" t="inlineStr">
        <is>
          <t>3-1/2" TUBING 9.2 LB/FT ALLOY 28 TSH BL</t>
        </is>
      </c>
      <c r="C400" s="1611" t="n">
        <v>31</v>
      </c>
      <c r="D400" s="1612">
        <f>C400-0.301</f>
        <v/>
      </c>
      <c r="E400" s="1613">
        <f>E399+D400</f>
        <v/>
      </c>
      <c r="F400" s="1613">
        <f>F399-D399</f>
        <v/>
      </c>
      <c r="G400" s="1614">
        <f>G399-D400</f>
        <v/>
      </c>
      <c r="K400" s="1620" t="n"/>
    </row>
    <row r="401" ht="39.75" customFormat="1" customHeight="1" s="1591">
      <c r="A401" s="1610" t="inlineStr">
        <is>
          <t>JT.#184</t>
        </is>
      </c>
      <c r="B401" s="1610" t="inlineStr">
        <is>
          <t>3-1/2" TUBING 9.2 LB/FT ALLOY 28 TSH BL</t>
        </is>
      </c>
      <c r="C401" s="1611" t="n">
        <v>31</v>
      </c>
      <c r="D401" s="1612">
        <f>C401-0.301</f>
        <v/>
      </c>
      <c r="E401" s="1613">
        <f>E400+D401</f>
        <v/>
      </c>
      <c r="F401" s="1613">
        <f>F400-D400</f>
        <v/>
      </c>
      <c r="G401" s="1614">
        <f>G400-D401</f>
        <v/>
      </c>
      <c r="H401" s="1681" t="n"/>
      <c r="K401" s="1620" t="n"/>
    </row>
    <row r="402" ht="39.75" customFormat="1" customHeight="1" s="1591">
      <c r="A402" s="1610" t="inlineStr">
        <is>
          <t>JT.#185</t>
        </is>
      </c>
      <c r="B402" s="1610" t="inlineStr">
        <is>
          <t>3-1/2" TUBING 9.2 LB/FT ALLOY 28 TSH BL</t>
        </is>
      </c>
      <c r="C402" s="1611" t="n">
        <v>31</v>
      </c>
      <c r="D402" s="1612">
        <f>C402-0.301</f>
        <v/>
      </c>
      <c r="E402" s="1613">
        <f>E401+D402</f>
        <v/>
      </c>
      <c r="F402" s="1613">
        <f>F401-D401</f>
        <v/>
      </c>
      <c r="G402" s="1614">
        <f>G401-D402</f>
        <v/>
      </c>
      <c r="H402" s="1681" t="n"/>
      <c r="K402" s="1620" t="n"/>
    </row>
    <row r="403" ht="39.75" customFormat="1" customHeight="1" s="1591">
      <c r="A403" s="1610" t="inlineStr">
        <is>
          <t>JT.#186</t>
        </is>
      </c>
      <c r="B403" s="1610" t="inlineStr">
        <is>
          <t>3-1/2" TUBING 9.2 LB/FT ALLOY 28 TSH BL</t>
        </is>
      </c>
      <c r="C403" s="1611" t="n">
        <v>31</v>
      </c>
      <c r="D403" s="1612">
        <f>C403-0.301</f>
        <v/>
      </c>
      <c r="E403" s="1613">
        <f>E402+D403</f>
        <v/>
      </c>
      <c r="F403" s="1613">
        <f>F402-D402</f>
        <v/>
      </c>
      <c r="G403" s="1614">
        <f>G402-D403</f>
        <v/>
      </c>
      <c r="H403" s="1681" t="n"/>
      <c r="K403" s="1620" t="n"/>
    </row>
    <row r="404" ht="39.75" customFormat="1" customHeight="1" s="1591">
      <c r="A404" s="1610" t="inlineStr">
        <is>
          <t>JT.#187</t>
        </is>
      </c>
      <c r="B404" s="1610" t="inlineStr">
        <is>
          <t>3-1/2" TUBING 9.2 LB/FT ALLOY 28 TSH BL</t>
        </is>
      </c>
      <c r="C404" s="1611" t="n">
        <v>31</v>
      </c>
      <c r="D404" s="1612">
        <f>C404-0.301</f>
        <v/>
      </c>
      <c r="E404" s="1613">
        <f>E403+D404</f>
        <v/>
      </c>
      <c r="F404" s="1613">
        <f>F403-D403</f>
        <v/>
      </c>
      <c r="G404" s="1614">
        <f>G403-D404</f>
        <v/>
      </c>
      <c r="H404" s="1681" t="n"/>
      <c r="K404" s="1620" t="n"/>
    </row>
    <row r="405" ht="39.75" customFormat="1" customHeight="1" s="1591">
      <c r="A405" s="1610" t="inlineStr">
        <is>
          <t>JT.#188</t>
        </is>
      </c>
      <c r="B405" s="1610" t="inlineStr">
        <is>
          <t>3-1/2" TUBING 9.2 LB/FT ALLOY 28 TSH BL</t>
        </is>
      </c>
      <c r="C405" s="1611" t="n">
        <v>31</v>
      </c>
      <c r="D405" s="1612">
        <f>C405-0.301</f>
        <v/>
      </c>
      <c r="E405" s="1613">
        <f>E404+D405</f>
        <v/>
      </c>
      <c r="F405" s="1613">
        <f>F404-D404</f>
        <v/>
      </c>
      <c r="G405" s="1614">
        <f>G404-D405</f>
        <v/>
      </c>
      <c r="H405" s="1681" t="n"/>
      <c r="K405" s="1620" t="n"/>
    </row>
    <row r="406" ht="39.75" customFormat="1" customHeight="1" s="1591">
      <c r="A406" s="1610" t="inlineStr">
        <is>
          <t>JT.#189</t>
        </is>
      </c>
      <c r="B406" s="1610" t="inlineStr">
        <is>
          <t>3-1/2" TUBING 9.2 LB/FT ALLOY 28 TSH BL</t>
        </is>
      </c>
      <c r="C406" s="1611" t="n">
        <v>31</v>
      </c>
      <c r="D406" s="1612">
        <f>C406-0.301</f>
        <v/>
      </c>
      <c r="E406" s="1613">
        <f>E405+D406</f>
        <v/>
      </c>
      <c r="F406" s="1613">
        <f>F405-D405</f>
        <v/>
      </c>
      <c r="G406" s="1614">
        <f>G405-D406</f>
        <v/>
      </c>
      <c r="H406" s="1636" t="inlineStr">
        <is>
          <t xml:space="preserve">FILL UP STRING </t>
        </is>
      </c>
      <c r="K406" s="1620" t="n"/>
    </row>
    <row r="407" ht="39.75" customFormat="1" customHeight="1" s="1591">
      <c r="A407" s="1610" t="inlineStr">
        <is>
          <t>JT.#190</t>
        </is>
      </c>
      <c r="B407" s="1610" t="inlineStr">
        <is>
          <t>3-1/2" TUBING 9.2 LB/FT ALLOY 28 TSH BL</t>
        </is>
      </c>
      <c r="C407" s="1611" t="n">
        <v>31</v>
      </c>
      <c r="D407" s="1612">
        <f>C407-0.301</f>
        <v/>
      </c>
      <c r="E407" s="1613">
        <f>E406+D407</f>
        <v/>
      </c>
      <c r="F407" s="1613">
        <f>F406-D406</f>
        <v/>
      </c>
      <c r="G407" s="1614">
        <f>G406-D407</f>
        <v/>
      </c>
      <c r="H407" s="1635" t="inlineStr">
        <is>
          <t>.</t>
        </is>
      </c>
      <c r="K407" s="1620" t="n"/>
    </row>
    <row r="408" ht="39.75" customFormat="1" customHeight="1" s="1591">
      <c r="A408" s="1610" t="inlineStr">
        <is>
          <t>JT.#191</t>
        </is>
      </c>
      <c r="B408" s="1610" t="inlineStr">
        <is>
          <t>3-1/2" TUBING 9.2 LB/FT ALLOY 28 TSH BL</t>
        </is>
      </c>
      <c r="C408" s="1611" t="n">
        <v>31</v>
      </c>
      <c r="D408" s="1612">
        <f>C408-0.301</f>
        <v/>
      </c>
      <c r="E408" s="1613">
        <f>E407+D408</f>
        <v/>
      </c>
      <c r="F408" s="1613">
        <f>F407-D407</f>
        <v/>
      </c>
      <c r="G408" s="1614">
        <f>G407-D408</f>
        <v/>
      </c>
      <c r="K408" s="1620" t="n"/>
    </row>
    <row r="409" ht="129" customFormat="1" customHeight="1" s="1591">
      <c r="A409" s="1610" t="inlineStr">
        <is>
          <t>JT.#192</t>
        </is>
      </c>
      <c r="B409" s="1610" t="inlineStr">
        <is>
          <t>3-1/2" TUBING 9.2 LB/FT ALLOY 28 TSH BL</t>
        </is>
      </c>
      <c r="C409" s="1611" t="n">
        <v>31</v>
      </c>
      <c r="D409" s="1698">
        <f>C409-0.301</f>
        <v/>
      </c>
      <c r="E409" s="1613">
        <f>E408+D409</f>
        <v/>
      </c>
      <c r="F409" s="1613">
        <f>F408-D408</f>
        <v/>
      </c>
      <c r="G409" s="1614">
        <f>G408-D409</f>
        <v/>
      </c>
      <c r="H409" s="1686" t="n"/>
    </row>
    <row r="410" ht="199.5" customFormat="1" customHeight="1" s="1591">
      <c r="A410" s="1699" t="inlineStr">
        <is>
          <t>D1</t>
        </is>
      </c>
      <c r="B410" s="1700" t="inlineStr">
        <is>
          <t>UPPER CONN. 3-1/2" VAM TOP BOX 9.2 PPF SN 28 110 KSI
DESCRIPTION: 5 FEET XOVER
SAP: 130005011340
SUPPLIER: TENARIS
LOWER CONN. 3-1/2" TSH BLUE PIN 9.2 PPF SN 28 110 KSI</t>
        </is>
      </c>
      <c r="C410" s="1701" t="n">
        <v>5.2</v>
      </c>
      <c r="D410" s="1659">
        <f>C410</f>
        <v/>
      </c>
      <c r="E410" s="1613">
        <f>E409+D410</f>
        <v/>
      </c>
      <c r="F410" s="1613">
        <f>F409-D409</f>
        <v/>
      </c>
      <c r="G410" s="1614">
        <f>G409-D410</f>
        <v/>
      </c>
      <c r="H410" s="1702" t="n"/>
    </row>
    <row r="411" ht="222" customFormat="1" customHeight="1" s="1591">
      <c r="A411" s="1624" t="n"/>
      <c r="B411" s="1700" t="inlineStr">
        <is>
          <t>UPPER CONN. 3-1/2" SENTINEL PRIME BOX 9.2 PPF TX28-110 KSI
DESCRIPTION: 5 FEET XOVER
SAP: 130013006385
SUPPLIER: TBX
LOWER CONN. 3-1/2" VAM TOP PIN 9.2 PPF TX28-110 KSI</t>
        </is>
      </c>
      <c r="C411" s="1701" t="n">
        <v>4.96</v>
      </c>
      <c r="D411" s="1659">
        <f>C411</f>
        <v/>
      </c>
      <c r="E411" s="1613">
        <f>E410+D411</f>
        <v/>
      </c>
      <c r="F411" s="1613">
        <f>F410-D410</f>
        <v/>
      </c>
      <c r="G411" s="1614">
        <f>G410-D411</f>
        <v/>
      </c>
      <c r="H411" s="1702" t="n"/>
    </row>
    <row r="412" ht="194.25" customFormat="1" customHeight="1" s="1591">
      <c r="A412" s="1624" t="n"/>
      <c r="B412" s="1700"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12" s="1701" t="n">
        <v>8.69</v>
      </c>
      <c r="D412" s="1659">
        <f>C412</f>
        <v/>
      </c>
      <c r="E412" s="1613">
        <f>E411+D412</f>
        <v/>
      </c>
      <c r="F412" s="1613">
        <f>F411-D411</f>
        <v/>
      </c>
      <c r="G412" s="1614">
        <f>G411-D412</f>
        <v/>
      </c>
      <c r="H412" s="1660" t="n"/>
    </row>
    <row r="413" ht="163.5" customFormat="1" customHeight="1" s="1591">
      <c r="A413" s="1624" t="n"/>
      <c r="B413" s="1700" t="inlineStr">
        <is>
          <t>UPPER CONN. 3-1/2" VAM TOP BOX 9.2 PPF TX28- 110 KSI
DESCRIPTION: 5 FEET XOVER
SAP: 130013006383
SUPPLIER: TBX
LOWER CONN -3-1/2" SENTINEL PRIME PIN 9.2 PPF TX28-110 KSI</t>
        </is>
      </c>
      <c r="C413" s="1701" t="n">
        <v>4.85</v>
      </c>
      <c r="D413" s="1659">
        <f>C413</f>
        <v/>
      </c>
      <c r="E413" s="1613">
        <f>E412+D413</f>
        <v/>
      </c>
      <c r="F413" s="1613">
        <f>F412-D412</f>
        <v/>
      </c>
      <c r="G413" s="1614">
        <f>G412-D413</f>
        <v/>
      </c>
      <c r="H413" s="1702" t="n"/>
    </row>
    <row r="414" ht="39.75" customFormat="1" customHeight="1" s="1591">
      <c r="A414" s="1172" t="n"/>
      <c r="B414" s="1700" t="inlineStr">
        <is>
          <t>UPPER CONN. 3-1/2" TSH BLUE BOX 9.2 PPF SN 28 110 KSI
DESCRIPTION: 10 FEET XOVER
SAP: 130005012487
SUPPLIER: TENARIS
LOWER CONN. 3-1/2" VAM TOP PIN 9.2 PPF SN 28 110 KSI</t>
        </is>
      </c>
      <c r="C414" s="1701" t="n">
        <v>9.949999999999999</v>
      </c>
      <c r="D414" s="1612">
        <f>C414-0.301</f>
        <v/>
      </c>
      <c r="E414" s="1613">
        <f>E413+D414</f>
        <v/>
      </c>
      <c r="F414" s="1613">
        <f>F413-D413</f>
        <v/>
      </c>
      <c r="G414" s="1614">
        <f>G413-D414</f>
        <v/>
      </c>
      <c r="H414" s="1703" t="n"/>
    </row>
    <row r="415" ht="39.75" customFormat="1" customHeight="1" s="1591">
      <c r="A415" s="1610" t="inlineStr">
        <is>
          <t>JT.#193</t>
        </is>
      </c>
      <c r="B415" s="1610" t="inlineStr">
        <is>
          <t>3-1/2" TUBING 9.2 LB/FT ALLOY 28 TSH BL</t>
        </is>
      </c>
      <c r="C415" s="1611" t="n">
        <v>31</v>
      </c>
      <c r="D415" s="1612">
        <f>C415-0.301</f>
        <v/>
      </c>
      <c r="E415" s="1613">
        <f>E414+D415</f>
        <v/>
      </c>
      <c r="F415" s="1613">
        <f>F414-D414</f>
        <v/>
      </c>
      <c r="G415" s="1614">
        <f>G414-D415</f>
        <v/>
      </c>
      <c r="H415" s="1703" t="n"/>
    </row>
    <row r="416" ht="39.75" customFormat="1" customHeight="1" s="1591">
      <c r="A416" s="1610" t="inlineStr">
        <is>
          <t>JT.#194</t>
        </is>
      </c>
      <c r="B416" s="1610" t="inlineStr">
        <is>
          <t>3-1/2" TUBING 9.2 LB/FT ALLOY 28 TSH BL</t>
        </is>
      </c>
      <c r="C416" s="1611" t="n">
        <v>31</v>
      </c>
      <c r="D416" s="1612">
        <f>C416-0.301</f>
        <v/>
      </c>
      <c r="E416" s="1613">
        <f>E415+D416</f>
        <v/>
      </c>
      <c r="F416" s="1613">
        <f>F415-D415</f>
        <v/>
      </c>
      <c r="G416" s="1614">
        <f>G415-D416</f>
        <v/>
      </c>
      <c r="H416" s="1703" t="n"/>
    </row>
    <row r="417" ht="39.75" customFormat="1" customHeight="1" s="1591">
      <c r="A417" s="1610" t="inlineStr">
        <is>
          <t>JT.#195</t>
        </is>
      </c>
      <c r="B417" s="1610" t="inlineStr">
        <is>
          <t>3-1/2" TUBING 9.2 LB/FT ALLOY 28 TSH BL</t>
        </is>
      </c>
      <c r="C417" s="1611" t="n">
        <v>31</v>
      </c>
      <c r="D417" s="1612">
        <f>C417-0.301</f>
        <v/>
      </c>
      <c r="E417" s="1613">
        <f>E416+D417</f>
        <v/>
      </c>
      <c r="F417" s="1613">
        <f>F416-D416</f>
        <v/>
      </c>
      <c r="G417" s="1614">
        <f>G416-D417</f>
        <v/>
      </c>
      <c r="H417" s="1703" t="n"/>
    </row>
    <row r="418" ht="39" customFormat="1" customHeight="1" s="1704">
      <c r="A418" s="1610" t="inlineStr">
        <is>
          <t>JT.#196</t>
        </is>
      </c>
      <c r="B418" s="1610" t="inlineStr">
        <is>
          <t>3-1/2" TUBING 9.2 LB/FT ALLOY 28 TSH BL</t>
        </is>
      </c>
      <c r="C418" s="1611" t="n">
        <v>31</v>
      </c>
      <c r="D418" s="1705">
        <f>C418-0.301</f>
        <v/>
      </c>
      <c r="E418" s="1613">
        <f>E417+D418</f>
        <v/>
      </c>
      <c r="F418" s="1613">
        <f>F417-D417</f>
        <v/>
      </c>
      <c r="G418" s="1614">
        <f>G417-D418</f>
        <v/>
      </c>
      <c r="H418" s="1636" t="inlineStr">
        <is>
          <t xml:space="preserve">FILL UP STRING </t>
        </is>
      </c>
    </row>
    <row r="419" ht="59.25" customFormat="1" customHeight="1" s="1591">
      <c r="A419" s="1610" t="inlineStr">
        <is>
          <t>JT.#197</t>
        </is>
      </c>
      <c r="B419" s="1610" t="inlineStr">
        <is>
          <t>3-1/2" TUBING 9.2 LB/FT ALLOY 28 TSH BL</t>
        </is>
      </c>
      <c r="C419" s="1611" t="n">
        <v>31</v>
      </c>
      <c r="D419" s="1657">
        <f>C419-0.301</f>
        <v/>
      </c>
      <c r="E419" s="1613">
        <f>E418+D419</f>
        <v/>
      </c>
      <c r="F419" s="1613">
        <f>F418-D418</f>
        <v/>
      </c>
      <c r="G419" s="1614">
        <f>G418-D419</f>
        <v/>
      </c>
      <c r="H419" s="1706" t="n"/>
    </row>
    <row r="420" ht="60.75" customFormat="1" customHeight="1" s="1591">
      <c r="A420" s="1610" t="inlineStr">
        <is>
          <t>JT.#198</t>
        </is>
      </c>
      <c r="B420" s="1610" t="inlineStr">
        <is>
          <t>3-1/2" TUBING 9.2 LB/FT ALLOY 28 TSH BL</t>
        </is>
      </c>
      <c r="C420" s="1611" t="n">
        <v>31</v>
      </c>
      <c r="D420" s="1707">
        <f>C420</f>
        <v/>
      </c>
      <c r="E420" s="1613">
        <f>E419+D420</f>
        <v/>
      </c>
      <c r="F420" s="1613">
        <f>F419-D419</f>
        <v/>
      </c>
      <c r="G420" s="1614">
        <f>G419-D420</f>
        <v/>
      </c>
      <c r="H420" s="1708" t="n"/>
    </row>
    <row r="421" ht="125.25" customFormat="1" customHeight="1" s="1591">
      <c r="A421" s="1610" t="inlineStr">
        <is>
          <t>JT.#199</t>
        </is>
      </c>
      <c r="B421" s="1610" t="inlineStr">
        <is>
          <t>3-1/2" TUBING 9.2 LB/FT ALLOY 28 TSH BL</t>
        </is>
      </c>
      <c r="C421" s="1611" t="n">
        <v>31</v>
      </c>
      <c r="D421" s="1709">
        <f>C421</f>
        <v/>
      </c>
      <c r="E421" s="1613">
        <f>E420+D421</f>
        <v/>
      </c>
      <c r="F421" s="1613">
        <f>F420-D420</f>
        <v/>
      </c>
      <c r="G421" s="1614">
        <f>G420-D421</f>
        <v/>
      </c>
      <c r="H421" s="1710" t="n"/>
    </row>
    <row r="422" ht="39.75" customFormat="1" customHeight="1" s="1591">
      <c r="A422" s="1610" t="inlineStr">
        <is>
          <t>JT.#200</t>
        </is>
      </c>
      <c r="B422" s="1610" t="inlineStr">
        <is>
          <t>3-1/2" TUBING 9.2 LB/FT ALLOY 28 TSH BL</t>
        </is>
      </c>
      <c r="C422" s="1611" t="n">
        <v>31</v>
      </c>
      <c r="D422" s="1711">
        <f>C422</f>
        <v/>
      </c>
      <c r="E422" s="1613">
        <f>E421+D422</f>
        <v/>
      </c>
      <c r="F422" s="1613">
        <f>F421-D421</f>
        <v/>
      </c>
      <c r="G422" s="1614">
        <f>G421-D422</f>
        <v/>
      </c>
      <c r="H422" s="1712" t="n"/>
    </row>
    <row r="423" ht="39.75" customFormat="1" customHeight="1" s="1704">
      <c r="A423" s="1610" t="inlineStr">
        <is>
          <t>JT.#201</t>
        </is>
      </c>
      <c r="B423" s="1610" t="inlineStr">
        <is>
          <t>3-1/2" TUBING 9.2 LB/FT ALLOY 28 TSH BL</t>
        </is>
      </c>
      <c r="C423" s="1611" t="n">
        <v>31</v>
      </c>
      <c r="D423" s="1711">
        <f>C423</f>
        <v/>
      </c>
      <c r="E423" s="1613">
        <f>E422+D423</f>
        <v/>
      </c>
      <c r="F423" s="1613">
        <f>F422-D422</f>
        <v/>
      </c>
      <c r="G423" s="1614">
        <f>G422-D423</f>
        <v/>
      </c>
      <c r="H423" s="1712" t="n"/>
    </row>
    <row r="424" ht="26.8" customFormat="1" customHeight="1" s="1591">
      <c r="A424" s="1610" t="inlineStr">
        <is>
          <t>JT.#202</t>
        </is>
      </c>
      <c r="B424" s="1610" t="inlineStr">
        <is>
          <t>3-1/2" TUBING 9.2 LB/FT ALLOY 28 TSH BL</t>
        </is>
      </c>
      <c r="C424" s="1611" t="n">
        <v>31</v>
      </c>
      <c r="D424" s="1711">
        <f>C424</f>
        <v/>
      </c>
      <c r="E424" s="1613">
        <f>E423+D424</f>
        <v/>
      </c>
      <c r="F424" s="1613">
        <f>F423-D423</f>
        <v/>
      </c>
      <c r="G424" s="1614">
        <f>G423-D424</f>
        <v/>
      </c>
      <c r="H424" s="1712" t="n"/>
    </row>
    <row r="425" ht="26.8" customFormat="1" customHeight="1" s="1591">
      <c r="A425" s="1610" t="inlineStr">
        <is>
          <t>JT.#203</t>
        </is>
      </c>
      <c r="B425" s="1610" t="inlineStr">
        <is>
          <t>3-1/2" TUBING 9.2 LB/FT ALLOY 28 TSH BL</t>
        </is>
      </c>
      <c r="C425" s="1611" t="n">
        <v>31</v>
      </c>
      <c r="D425" s="1711">
        <f>C425</f>
        <v/>
      </c>
      <c r="E425" s="1613">
        <f>E424+D425</f>
        <v/>
      </c>
      <c r="F425" s="1613">
        <f>F424-D424</f>
        <v/>
      </c>
      <c r="G425" s="1614">
        <f>G424-D425</f>
        <v/>
      </c>
      <c r="H425" s="1712" t="n"/>
    </row>
    <row r="426" ht="26.8" customFormat="1" customHeight="1" s="1591">
      <c r="A426" s="1610" t="inlineStr">
        <is>
          <t>JT.#204</t>
        </is>
      </c>
      <c r="B426" s="1610" t="inlineStr">
        <is>
          <t>3-1/2" TUBING 9.2 LB/FT ALLOY 28 TSH BL</t>
        </is>
      </c>
      <c r="C426" s="1611" t="n">
        <v>31</v>
      </c>
      <c r="D426" s="1711">
        <f>C426</f>
        <v/>
      </c>
      <c r="E426" s="1613">
        <f>E425+D426</f>
        <v/>
      </c>
      <c r="F426" s="1613">
        <f>F425-D425</f>
        <v/>
      </c>
      <c r="G426" s="1614">
        <f>G425-D426</f>
        <v/>
      </c>
      <c r="H426" s="1712" t="n"/>
    </row>
    <row r="427" ht="26.8" customFormat="1" customHeight="1" s="1591">
      <c r="A427" s="1610" t="inlineStr">
        <is>
          <t>JT.#205</t>
        </is>
      </c>
      <c r="B427" s="1610" t="inlineStr">
        <is>
          <t>3-1/2" TUBING 9.2 LB/FT ALLOY 28 TSH BL</t>
        </is>
      </c>
      <c r="C427" s="1611" t="n">
        <v>31</v>
      </c>
      <c r="D427" s="1711">
        <f>C427</f>
        <v/>
      </c>
      <c r="E427" s="1613">
        <f>E426+D427</f>
        <v/>
      </c>
      <c r="F427" s="1613">
        <f>F426-D426</f>
        <v/>
      </c>
      <c r="G427" s="1614">
        <f>G426-D427</f>
        <v/>
      </c>
      <c r="H427" s="1712" t="n"/>
    </row>
    <row r="428" ht="77.25" customHeight="1" s="882">
      <c r="A428" s="1610" t="inlineStr">
        <is>
          <t>JT.#206</t>
        </is>
      </c>
      <c r="B428" s="1610" t="inlineStr">
        <is>
          <t>3-1/2" TUBING 9.2 LB/FT ALLOY 28 TSH BL</t>
        </is>
      </c>
      <c r="C428" s="1611" t="n">
        <v>31</v>
      </c>
      <c r="D428" s="1711">
        <f>C428</f>
        <v/>
      </c>
      <c r="E428" s="1613">
        <f>E427+D428</f>
        <v/>
      </c>
      <c r="F428" s="1613">
        <f>F427-D427</f>
        <v/>
      </c>
      <c r="G428" s="1614">
        <f>G427-D428</f>
        <v/>
      </c>
      <c r="H428" s="1712" t="n"/>
    </row>
    <row r="429" ht="26.8" customHeight="1" s="882">
      <c r="A429" s="1610" t="inlineStr">
        <is>
          <t>JT.#207</t>
        </is>
      </c>
      <c r="B429" s="1610" t="inlineStr">
        <is>
          <t>3-1/2" TUBING 9.2 LB/FT ALLOY 28 TSH BL</t>
        </is>
      </c>
      <c r="C429" s="1611" t="n">
        <v>31</v>
      </c>
      <c r="D429" s="1711">
        <f>C429</f>
        <v/>
      </c>
      <c r="E429" s="1613">
        <f>E428+D429</f>
        <v/>
      </c>
      <c r="F429" s="1613">
        <f>F428-D428</f>
        <v/>
      </c>
      <c r="G429" s="1614">
        <f>G428-D429</f>
        <v/>
      </c>
      <c r="H429" s="1712" t="n"/>
    </row>
    <row r="430" ht="76.09999999999999" customHeight="1" s="882">
      <c r="A430" s="1713" t="inlineStr">
        <is>
          <t>D2</t>
        </is>
      </c>
      <c r="B430" s="1714" t="inlineStr">
        <is>
          <t>UPPER CONN. 3-1/2" VAM TOP BOX 9.2 PPF SN 28 110 KSI
DESCRIPTION: 5 FEET XOVER
SAP: 130005011340
SUPPLIER: TENARIS
LOWER CONN. 3-1/2" TSH BLUE PIN 9.2 PPF SN 28 110 KSI</t>
        </is>
      </c>
      <c r="C430" s="1715" t="n">
        <v>5.18</v>
      </c>
      <c r="D430" s="1711">
        <f>C430</f>
        <v/>
      </c>
      <c r="E430" s="1613">
        <f>E429+D430</f>
        <v/>
      </c>
      <c r="F430" s="1613">
        <f>F429-D429</f>
        <v/>
      </c>
      <c r="G430" s="1614">
        <f>G429-D430</f>
        <v/>
      </c>
      <c r="H430" s="1712" t="n"/>
    </row>
    <row r="431" ht="76.09999999999999" customHeight="1" s="882">
      <c r="A431" s="1624" t="n"/>
      <c r="B431" s="1714" t="inlineStr">
        <is>
          <t>UPPER CONN. 3-1/2" SENTINEL PRIME BOX 9.2 PPF TX28- 110 KSI
DESCRIPTION: 5 FEET XOVER
SAP: 130013006385
SUPPLIER: TBX
LOWER CONN. 3-1/2" VAM TOP PIN 9.2 PPF TX28-110 KSI</t>
        </is>
      </c>
      <c r="C431" s="1715" t="n">
        <v>4.97</v>
      </c>
      <c r="D431" s="1711">
        <f>C431</f>
        <v/>
      </c>
      <c r="E431" s="1613">
        <f>E430+D431</f>
        <v/>
      </c>
      <c r="F431" s="1613">
        <f>F430-D430</f>
        <v/>
      </c>
      <c r="G431" s="1614">
        <f>G430-D431</f>
        <v/>
      </c>
      <c r="H431" s="1712" t="n"/>
    </row>
    <row r="432" ht="135.8" customHeight="1" s="882">
      <c r="A432" s="1624" t="n"/>
      <c r="B432" s="1714"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32" s="1715" t="n">
        <v>8.69</v>
      </c>
      <c r="D432" s="1711">
        <f>C432</f>
        <v/>
      </c>
      <c r="E432" s="1613">
        <f>E431+D432</f>
        <v/>
      </c>
      <c r="F432" s="1613">
        <f>F431-D431</f>
        <v/>
      </c>
      <c r="G432" s="1614">
        <f>G431-D432</f>
        <v/>
      </c>
      <c r="H432" s="1712" t="n"/>
    </row>
    <row r="433" ht="76.09999999999999" customHeight="1" s="882">
      <c r="A433" s="1624" t="n"/>
      <c r="B433" s="1714" t="inlineStr">
        <is>
          <t>UPPER CONN. 3-1/2" VAM TOP BOX 9.2 PPF TX28- 110 KSI
DESCRIPTION: 5 FEET XOVER
SAP: 130013006383
SUPPLIER: TBX
LOWER CONN -3-1/2" SENTINEL PRIME PIN 9.2 PPF TX28-110 KSI</t>
        </is>
      </c>
      <c r="C433" s="1715" t="n">
        <v>4.8</v>
      </c>
      <c r="D433" s="1711">
        <f>C433</f>
        <v/>
      </c>
      <c r="E433" s="1613">
        <f>E432+D433</f>
        <v/>
      </c>
      <c r="F433" s="1613">
        <f>F432-D432</f>
        <v/>
      </c>
      <c r="G433" s="1614">
        <f>G432-D433</f>
        <v/>
      </c>
      <c r="H433" s="1712" t="n"/>
    </row>
    <row r="434" ht="76.09999999999999" customHeight="1" s="882">
      <c r="A434" s="1172" t="n"/>
      <c r="B434" s="1714" t="inlineStr">
        <is>
          <t>UPPER CONN. 3-1/2" TSH BLUE BOX 9.2 PPF SN 28 110 KSI
DESCRIPTION: 10 FEET XOVER
SAP: 130005012487
SUPPLIER: TENARIS
LOWER CONN. 3-1/2" VAM TOP PIN 9.2 PPF SN 28 110 KSI</t>
        </is>
      </c>
      <c r="C434" s="1715" t="n">
        <v>9.949999999999999</v>
      </c>
      <c r="D434" s="1711">
        <f>C434</f>
        <v/>
      </c>
      <c r="E434" s="1613">
        <f>E433+D434</f>
        <v/>
      </c>
      <c r="F434" s="1613">
        <f>F433-D433</f>
        <v/>
      </c>
      <c r="G434" s="1614">
        <f>G433-D434</f>
        <v/>
      </c>
      <c r="H434" s="1712" t="n"/>
    </row>
    <row r="435" ht="26.8" customHeight="1" s="882">
      <c r="A435" s="1610" t="inlineStr">
        <is>
          <t>JT.#208</t>
        </is>
      </c>
      <c r="B435" s="1610" t="inlineStr">
        <is>
          <t>3-1/2" TUBING 9.2 LB/FT ALLOY 28 TSH BL</t>
        </is>
      </c>
      <c r="C435" s="1611" t="n">
        <v>31</v>
      </c>
      <c r="D435" s="1711">
        <f>C435</f>
        <v/>
      </c>
      <c r="E435" s="1613">
        <f>E434+D435</f>
        <v/>
      </c>
      <c r="F435" s="1613">
        <f>F434-D434</f>
        <v/>
      </c>
      <c r="G435" s="1614">
        <f>G434-D435</f>
        <v/>
      </c>
      <c r="H435" s="1712" t="n"/>
    </row>
    <row r="436" ht="26.8" customHeight="1" s="882">
      <c r="A436" s="1610" t="inlineStr">
        <is>
          <t>JT.#209</t>
        </is>
      </c>
      <c r="B436" s="1610" t="inlineStr">
        <is>
          <t>3-1/2" TUBING 9.2 LB/FT ALLOY 28 TSH BL</t>
        </is>
      </c>
      <c r="C436" s="1611" t="n">
        <v>31</v>
      </c>
      <c r="D436" s="1711">
        <f>C436</f>
        <v/>
      </c>
      <c r="E436" s="1613">
        <f>E435+D436</f>
        <v/>
      </c>
      <c r="F436" s="1613">
        <f>F435-D435</f>
        <v/>
      </c>
      <c r="G436" s="1614">
        <f>G435-D436</f>
        <v/>
      </c>
      <c r="H436" s="1712" t="n"/>
    </row>
    <row r="437" ht="26.8" customHeight="1" s="882">
      <c r="A437" s="1610" t="inlineStr">
        <is>
          <t>JT.#210</t>
        </is>
      </c>
      <c r="B437" s="1610" t="inlineStr">
        <is>
          <t>3-1/2" TUBING 9.2 LB/FT ALLOY 28 TSH BL</t>
        </is>
      </c>
      <c r="C437" s="1611" t="n">
        <v>31</v>
      </c>
      <c r="D437" s="1711">
        <f>C437</f>
        <v/>
      </c>
      <c r="E437" s="1613">
        <f>E436+D437</f>
        <v/>
      </c>
      <c r="F437" s="1613">
        <f>F436-D436</f>
        <v/>
      </c>
      <c r="G437" s="1614">
        <f>G436-D437</f>
        <v/>
      </c>
      <c r="H437" s="1712" t="n"/>
    </row>
    <row r="438" ht="26.8" customHeight="1" s="882">
      <c r="A438" s="1610" t="inlineStr">
        <is>
          <t>JT.#211</t>
        </is>
      </c>
      <c r="B438" s="1610" t="inlineStr">
        <is>
          <t>3-1/2" TUBING 9.2 LB/FT ALLOY 28 TSH BL</t>
        </is>
      </c>
      <c r="C438" s="1611" t="n">
        <v>31</v>
      </c>
      <c r="D438" s="1711">
        <f>C438</f>
        <v/>
      </c>
      <c r="E438" s="1613">
        <f>E437+D438</f>
        <v/>
      </c>
      <c r="F438" s="1613">
        <f>F437-D437</f>
        <v/>
      </c>
      <c r="G438" s="1614">
        <f>G437-D438</f>
        <v/>
      </c>
      <c r="H438" s="1712" t="n"/>
    </row>
    <row r="439" ht="26.8" customHeight="1" s="882">
      <c r="A439" s="1610" t="inlineStr">
        <is>
          <t>JT.#212</t>
        </is>
      </c>
      <c r="B439" s="1610" t="inlineStr">
        <is>
          <t>3-1/2" TUBING 9.2 LB/FT ALLOY 28 TSH BL</t>
        </is>
      </c>
      <c r="C439" s="1611" t="n">
        <v>31</v>
      </c>
      <c r="D439" s="1711">
        <f>C439</f>
        <v/>
      </c>
      <c r="E439" s="1613">
        <f>E438+D439</f>
        <v/>
      </c>
      <c r="F439" s="1613">
        <f>F438-D438</f>
        <v/>
      </c>
      <c r="G439" s="1614">
        <f>G438-D439</f>
        <v/>
      </c>
      <c r="H439" s="1712" t="n"/>
    </row>
    <row r="440" ht="26.8" customHeight="1" s="882">
      <c r="A440" s="1610" t="inlineStr">
        <is>
          <t>JT.#213</t>
        </is>
      </c>
      <c r="B440" s="1610" t="inlineStr">
        <is>
          <t>3-1/2" TUBING 9.2 LB/FT ALLOY 28 TSH BL</t>
        </is>
      </c>
      <c r="C440" s="1611" t="n">
        <v>31</v>
      </c>
      <c r="D440" s="1711">
        <f>C440</f>
        <v/>
      </c>
      <c r="E440" s="1613">
        <f>E439+D440</f>
        <v/>
      </c>
      <c r="F440" s="1613">
        <f>F439-D439</f>
        <v/>
      </c>
      <c r="G440" s="1614">
        <f>G439-D440</f>
        <v/>
      </c>
      <c r="H440" s="1712" t="n"/>
    </row>
    <row r="441" ht="26.8" customHeight="1" s="882">
      <c r="A441" s="1610" t="inlineStr">
        <is>
          <t>JT.#214</t>
        </is>
      </c>
      <c r="B441" s="1610" t="inlineStr">
        <is>
          <t>3-1/2" TUBING 9.2 LB/FT ALLOY 28 TSH BL</t>
        </is>
      </c>
      <c r="C441" s="1611" t="n">
        <v>31</v>
      </c>
      <c r="D441" s="1711">
        <f>C441</f>
        <v/>
      </c>
      <c r="E441" s="1613">
        <f>E440+D441</f>
        <v/>
      </c>
      <c r="F441" s="1613">
        <f>F440-D440</f>
        <v/>
      </c>
      <c r="G441" s="1614">
        <f>G440-D441</f>
        <v/>
      </c>
      <c r="H441" s="1712" t="n"/>
    </row>
    <row r="442" ht="26.8" customHeight="1" s="882">
      <c r="A442" s="1610" t="inlineStr">
        <is>
          <t>JT.#215</t>
        </is>
      </c>
      <c r="B442" s="1610" t="inlineStr">
        <is>
          <t>3-1/2" TUBING 9.2 LB/FT ALLOY 28 TSH BL</t>
        </is>
      </c>
      <c r="C442" s="1611" t="n">
        <v>31</v>
      </c>
      <c r="D442" s="1711">
        <f>C442</f>
        <v/>
      </c>
      <c r="E442" s="1613">
        <f>E441+D442</f>
        <v/>
      </c>
      <c r="F442" s="1613">
        <f>F441-D441</f>
        <v/>
      </c>
      <c r="G442" s="1614">
        <f>G441-D442</f>
        <v/>
      </c>
      <c r="H442" s="1712" t="n"/>
    </row>
    <row r="443" ht="26.8" customHeight="1" s="882">
      <c r="A443" s="1610" t="inlineStr">
        <is>
          <t>JT.#216</t>
        </is>
      </c>
      <c r="B443" s="1610" t="inlineStr">
        <is>
          <t>3-1/2" TUBING 9.2 LB/FT ALLOY 28 TSH BL</t>
        </is>
      </c>
      <c r="C443" s="1611" t="n">
        <v>31</v>
      </c>
      <c r="D443" s="1711">
        <f>C443</f>
        <v/>
      </c>
      <c r="E443" s="1613">
        <f>E442+D443</f>
        <v/>
      </c>
      <c r="F443" s="1613">
        <f>F442-D442</f>
        <v/>
      </c>
      <c r="G443" s="1614">
        <f>G442-D443</f>
        <v/>
      </c>
      <c r="H443" s="1712" t="n"/>
    </row>
    <row r="444" ht="26.8" customHeight="1" s="882">
      <c r="A444" s="1610" t="inlineStr">
        <is>
          <t>JT.#217</t>
        </is>
      </c>
      <c r="B444" s="1610" t="inlineStr">
        <is>
          <t>3-1/2" TUBING 9.2 LB/FT ALLOY 28 TSH BL</t>
        </is>
      </c>
      <c r="C444" s="1611" t="n">
        <v>31</v>
      </c>
      <c r="D444" s="1711">
        <f>C444</f>
        <v/>
      </c>
      <c r="E444" s="1613">
        <f>E443+D444</f>
        <v/>
      </c>
      <c r="F444" s="1613">
        <f>F443-D443</f>
        <v/>
      </c>
      <c r="G444" s="1614">
        <f>G443-D444</f>
        <v/>
      </c>
      <c r="H444" s="1712" t="n"/>
    </row>
    <row r="445" ht="26.8" customHeight="1" s="882">
      <c r="A445" s="1610" t="inlineStr">
        <is>
          <t>JT.#218</t>
        </is>
      </c>
      <c r="B445" s="1610" t="inlineStr">
        <is>
          <t>3-1/2" TUBING 9.2 LB/FT ALLOY 28 TSH BL</t>
        </is>
      </c>
      <c r="C445" s="1611" t="n">
        <v>31</v>
      </c>
      <c r="D445" s="1711">
        <f>C445</f>
        <v/>
      </c>
      <c r="E445" s="1613">
        <f>E444+D445</f>
        <v/>
      </c>
      <c r="F445" s="1613">
        <f>F444-D444</f>
        <v/>
      </c>
      <c r="G445" s="1614">
        <f>G444-D445</f>
        <v/>
      </c>
      <c r="H445" s="1712" t="n"/>
    </row>
    <row r="446" ht="26.8" customHeight="1" s="882">
      <c r="A446" s="1610" t="inlineStr">
        <is>
          <t>JT.#219</t>
        </is>
      </c>
      <c r="B446" s="1610" t="inlineStr">
        <is>
          <t>3-1/2" TUBING 9.2 LB/FT ALLOY 28 TSH BL</t>
        </is>
      </c>
      <c r="C446" s="1611" t="n">
        <v>31</v>
      </c>
      <c r="D446" s="1711">
        <f>C446</f>
        <v/>
      </c>
      <c r="E446" s="1613">
        <f>E445+D446</f>
        <v/>
      </c>
      <c r="F446" s="1613">
        <f>F445-D445</f>
        <v/>
      </c>
      <c r="G446" s="1614">
        <f>G445-D446</f>
        <v/>
      </c>
      <c r="H446" s="1712" t="n"/>
    </row>
    <row r="447" ht="26.8" customHeight="1" s="882">
      <c r="A447" s="1610" t="inlineStr">
        <is>
          <t>JT.#220</t>
        </is>
      </c>
      <c r="B447" s="1610" t="inlineStr">
        <is>
          <t>3-1/2" TUBING 9.2 LB/FT ALLOY 28 TSH BL</t>
        </is>
      </c>
      <c r="C447" s="1611" t="n">
        <v>31</v>
      </c>
      <c r="D447" s="1711">
        <f>C447</f>
        <v/>
      </c>
      <c r="E447" s="1613">
        <f>E446+D447</f>
        <v/>
      </c>
      <c r="F447" s="1613">
        <f>F446-D446</f>
        <v/>
      </c>
      <c r="G447" s="1614">
        <f>G446-D447</f>
        <v/>
      </c>
      <c r="H447" s="1712" t="n"/>
    </row>
    <row r="448" ht="26.8" customHeight="1" s="882">
      <c r="A448" s="1610" t="inlineStr">
        <is>
          <t>JT.#221</t>
        </is>
      </c>
      <c r="B448" s="1610" t="inlineStr">
        <is>
          <t>3-1/2" TUBING 9.2 LB/FT ALLOY 28 TSH BL</t>
        </is>
      </c>
      <c r="C448" s="1611" t="n">
        <v>31</v>
      </c>
      <c r="D448" s="1711">
        <f>C448</f>
        <v/>
      </c>
      <c r="E448" s="1613">
        <f>E447+D448</f>
        <v/>
      </c>
      <c r="F448" s="1613">
        <f>F447-D447</f>
        <v/>
      </c>
      <c r="G448" s="1614">
        <f>G447-D448</f>
        <v/>
      </c>
      <c r="H448" s="1712" t="n"/>
    </row>
    <row r="449" ht="26.8" customHeight="1" s="882">
      <c r="A449" s="1610" t="inlineStr">
        <is>
          <t>JT.#222</t>
        </is>
      </c>
      <c r="B449" s="1610" t="inlineStr">
        <is>
          <t>3-1/2" TUBING 9.2 LB/FT ALLOY 28 TSH BL</t>
        </is>
      </c>
      <c r="C449" s="1611" t="n">
        <v>31</v>
      </c>
      <c r="D449" s="1711">
        <f>C449</f>
        <v/>
      </c>
      <c r="E449" s="1613">
        <f>E448+D449</f>
        <v/>
      </c>
      <c r="F449" s="1613">
        <f>F448-D448</f>
        <v/>
      </c>
      <c r="G449" s="1614">
        <f>G448-D449</f>
        <v/>
      </c>
      <c r="H449" s="1712" t="n"/>
    </row>
    <row r="450" ht="26.8" customHeight="1" s="882">
      <c r="A450" s="1610" t="inlineStr">
        <is>
          <t>JT.#223</t>
        </is>
      </c>
      <c r="B450" s="1610" t="inlineStr">
        <is>
          <t>3-1/2" TUBING 9.2 LB/FT ALLOY 28 TSH BL</t>
        </is>
      </c>
      <c r="C450" s="1611" t="n">
        <v>31</v>
      </c>
      <c r="D450" s="1711">
        <f>C450</f>
        <v/>
      </c>
      <c r="E450" s="1613">
        <f>E449+D450</f>
        <v/>
      </c>
      <c r="F450" s="1613">
        <f>F449-D449</f>
        <v/>
      </c>
      <c r="G450" s="1614">
        <f>G449-D450</f>
        <v/>
      </c>
      <c r="H450" s="1712" t="n"/>
    </row>
    <row r="451" ht="26.8" customHeight="1" s="882">
      <c r="A451" s="1610" t="inlineStr">
        <is>
          <t>JT.#224</t>
        </is>
      </c>
      <c r="B451" s="1610" t="inlineStr">
        <is>
          <t>3-1/2" TUBING 9.2 LB/FT ALLOY 28 TSH BL</t>
        </is>
      </c>
      <c r="C451" s="1611" t="n">
        <v>31</v>
      </c>
      <c r="D451" s="1711">
        <f>C451</f>
        <v/>
      </c>
      <c r="E451" s="1613">
        <f>E450+D451</f>
        <v/>
      </c>
      <c r="F451" s="1613">
        <f>F450-D450</f>
        <v/>
      </c>
      <c r="G451" s="1614">
        <f>G450-D451</f>
        <v/>
      </c>
      <c r="H451" s="1712" t="n"/>
    </row>
    <row r="452" ht="26.8" customHeight="1" s="882">
      <c r="A452" s="1610" t="inlineStr">
        <is>
          <t>JT.#225</t>
        </is>
      </c>
      <c r="B452" s="1610" t="inlineStr">
        <is>
          <t>3-1/2" TUBING 9.2 LB/FT ALLOY 28 TSH BL</t>
        </is>
      </c>
      <c r="C452" s="1611" t="n">
        <v>31</v>
      </c>
      <c r="D452" s="1711">
        <f>C452</f>
        <v/>
      </c>
      <c r="E452" s="1613">
        <f>E451+D452</f>
        <v/>
      </c>
      <c r="F452" s="1613">
        <f>F451-D451</f>
        <v/>
      </c>
      <c r="G452" s="1614">
        <f>G451-D452</f>
        <v/>
      </c>
      <c r="H452" s="1712" t="n"/>
    </row>
    <row r="453" ht="26.8" customHeight="1" s="882">
      <c r="A453" s="1610" t="inlineStr">
        <is>
          <t>JT.#226</t>
        </is>
      </c>
      <c r="B453" s="1610" t="inlineStr">
        <is>
          <t>3-1/2" TUBING 9.2 LB/FT ALLOY 28 TSH BL</t>
        </is>
      </c>
      <c r="C453" s="1611" t="n">
        <v>31</v>
      </c>
      <c r="D453" s="1711">
        <f>C453</f>
        <v/>
      </c>
      <c r="E453" s="1613">
        <f>E452+D453</f>
        <v/>
      </c>
      <c r="F453" s="1613">
        <f>F452-D452</f>
        <v/>
      </c>
      <c r="G453" s="1614">
        <f>G452-D453</f>
        <v/>
      </c>
      <c r="H453" s="1712" t="n"/>
    </row>
    <row r="454" ht="26.8" customHeight="1" s="882">
      <c r="A454" s="1610" t="inlineStr">
        <is>
          <t>JT.#227</t>
        </is>
      </c>
      <c r="B454" s="1610" t="inlineStr">
        <is>
          <t>3-1/2" TUBING 9.2 LB/FT ALLOY 28 TSH BL</t>
        </is>
      </c>
      <c r="C454" s="1611" t="n">
        <v>31</v>
      </c>
      <c r="D454" s="1711">
        <f>C454</f>
        <v/>
      </c>
      <c r="E454" s="1613">
        <f>E453+D454</f>
        <v/>
      </c>
      <c r="F454" s="1613">
        <f>F453-D453</f>
        <v/>
      </c>
      <c r="G454" s="1614">
        <f>G453-D454</f>
        <v/>
      </c>
      <c r="H454" s="1712" t="n"/>
    </row>
    <row r="455" ht="26.8" customHeight="1" s="882">
      <c r="A455" s="1610" t="inlineStr">
        <is>
          <t>JT.#228</t>
        </is>
      </c>
      <c r="B455" s="1610" t="inlineStr">
        <is>
          <t>3-1/2" TUBING 9.2 LB/FT ALLOY 28 TSH BL</t>
        </is>
      </c>
      <c r="C455" s="1611" t="n">
        <v>31</v>
      </c>
      <c r="D455" s="1711">
        <f>C455</f>
        <v/>
      </c>
      <c r="E455" s="1613">
        <f>E454+D455</f>
        <v/>
      </c>
      <c r="F455" s="1613">
        <f>F454-D454</f>
        <v/>
      </c>
      <c r="G455" s="1614">
        <f>G454-D455</f>
        <v/>
      </c>
      <c r="H455" s="1712" t="n"/>
    </row>
    <row r="456" ht="26.8" customHeight="1" s="882">
      <c r="A456" s="1610" t="inlineStr">
        <is>
          <t>JT.#229</t>
        </is>
      </c>
      <c r="B456" s="1610" t="inlineStr">
        <is>
          <t>3-1/2" TUBING 9.2 LB/FT ALLOY 28 TSH BL</t>
        </is>
      </c>
      <c r="C456" s="1611" t="n">
        <v>31</v>
      </c>
      <c r="D456" s="1711">
        <f>C456</f>
        <v/>
      </c>
      <c r="E456" s="1613">
        <f>E455+D456</f>
        <v/>
      </c>
      <c r="F456" s="1613">
        <f>F455-D455</f>
        <v/>
      </c>
      <c r="G456" s="1614">
        <f>G455-D456</f>
        <v/>
      </c>
      <c r="H456" s="1712" t="n"/>
    </row>
    <row r="457" ht="26.8" customHeight="1" s="882">
      <c r="A457" s="1610" t="inlineStr">
        <is>
          <t>JT.#230</t>
        </is>
      </c>
      <c r="B457" s="1610" t="inlineStr">
        <is>
          <t>3-1/2" TUBING 9.2 LB/FT ALLOY 28 TSH BL</t>
        </is>
      </c>
      <c r="C457" s="1611" t="n">
        <v>31</v>
      </c>
      <c r="D457" s="1711">
        <f>C457</f>
        <v/>
      </c>
      <c r="E457" s="1613">
        <f>E456+D457</f>
        <v/>
      </c>
      <c r="F457" s="1613">
        <f>F456-D456</f>
        <v/>
      </c>
      <c r="G457" s="1614">
        <f>G456-D457</f>
        <v/>
      </c>
      <c r="H457" s="1712" t="n"/>
    </row>
    <row r="458" ht="26.8" customHeight="1" s="882">
      <c r="A458" s="1610" t="inlineStr">
        <is>
          <t>JT.#231</t>
        </is>
      </c>
      <c r="B458" s="1610" t="inlineStr">
        <is>
          <t>3-1/2" TUBING 9.2 LB/FT ALLOY 28 TSH BL</t>
        </is>
      </c>
      <c r="C458" s="1611" t="n">
        <v>31</v>
      </c>
      <c r="D458" s="1711">
        <f>C458</f>
        <v/>
      </c>
      <c r="E458" s="1613">
        <f>E457+D458</f>
        <v/>
      </c>
      <c r="F458" s="1613">
        <f>F457-D457</f>
        <v/>
      </c>
      <c r="G458" s="1614">
        <f>G457-D458</f>
        <v/>
      </c>
      <c r="H458" s="1712" t="n"/>
    </row>
    <row r="459" ht="26.8" customHeight="1" s="882">
      <c r="A459" s="1610" t="inlineStr">
        <is>
          <t>JT.#232</t>
        </is>
      </c>
      <c r="B459" s="1610" t="inlineStr">
        <is>
          <t>3-1/2" TUBING 9.2 LB/FT ALLOY 28 TSH BL</t>
        </is>
      </c>
      <c r="C459" s="1611" t="n">
        <v>31</v>
      </c>
      <c r="D459" s="1711">
        <f>C459</f>
        <v/>
      </c>
      <c r="E459" s="1613">
        <f>E458+D459</f>
        <v/>
      </c>
      <c r="F459" s="1613">
        <f>F458-D458</f>
        <v/>
      </c>
      <c r="G459" s="1614">
        <f>G458-D459</f>
        <v/>
      </c>
      <c r="H459" s="1712" t="n"/>
    </row>
    <row r="460" ht="26.8" customHeight="1" s="882">
      <c r="A460" s="1610" t="inlineStr">
        <is>
          <t>JT.#233</t>
        </is>
      </c>
      <c r="B460" s="1610" t="inlineStr">
        <is>
          <t>3-1/2" TUBING 9.2 LB/FT ALLOY 28 TSH BL</t>
        </is>
      </c>
      <c r="C460" s="1611" t="n">
        <v>31</v>
      </c>
      <c r="D460" s="1711">
        <f>C460</f>
        <v/>
      </c>
      <c r="E460" s="1613">
        <f>E459+D460</f>
        <v/>
      </c>
      <c r="F460" s="1613">
        <f>F459-D459</f>
        <v/>
      </c>
      <c r="G460" s="1614">
        <f>G459-D460</f>
        <v/>
      </c>
      <c r="H460" s="1712" t="n"/>
    </row>
    <row r="461" ht="26.8" customHeight="1" s="882">
      <c r="A461" s="1610" t="inlineStr">
        <is>
          <t>JT.#234</t>
        </is>
      </c>
      <c r="B461" s="1610" t="inlineStr">
        <is>
          <t>3-1/2" TUBING 9.2 LB/FT ALLOY 28 TSH BL</t>
        </is>
      </c>
      <c r="C461" s="1611" t="n">
        <v>31</v>
      </c>
      <c r="D461" s="1711">
        <f>C461</f>
        <v/>
      </c>
      <c r="E461" s="1613">
        <f>E460+D461</f>
        <v/>
      </c>
      <c r="F461" s="1613">
        <f>F460-D460</f>
        <v/>
      </c>
      <c r="G461" s="1614">
        <f>G460-D461</f>
        <v/>
      </c>
      <c r="H461" s="1712" t="n"/>
    </row>
    <row r="462" ht="26.8" customHeight="1" s="882">
      <c r="A462" s="1610" t="inlineStr">
        <is>
          <t>JT.#235</t>
        </is>
      </c>
      <c r="B462" s="1610" t="inlineStr">
        <is>
          <t>3-1/2" TUBING 9.2 LB/FT ALLOY 28 TSH BL</t>
        </is>
      </c>
      <c r="C462" s="1611" t="n">
        <v>31</v>
      </c>
      <c r="D462" s="1711">
        <f>C462</f>
        <v/>
      </c>
      <c r="E462" s="1613">
        <f>E461+D462</f>
        <v/>
      </c>
      <c r="F462" s="1613">
        <f>F461-D461</f>
        <v/>
      </c>
      <c r="G462" s="1614">
        <f>G461-D462</f>
        <v/>
      </c>
      <c r="H462" s="1712" t="n"/>
    </row>
    <row r="463" ht="76.09999999999999" customHeight="1" s="882">
      <c r="A463" s="1716" t="inlineStr">
        <is>
          <t>D3</t>
        </is>
      </c>
      <c r="B463" s="1717" t="inlineStr">
        <is>
          <t>UPPER CONN. 3-1/2" VAM TOP BOX 9.2 PPF SN 28 110 KSI
DESCRIPTION: 5 FEET XOVER
SAP: 130005011340
SUPPLIER: TENARIS
LOWER CONN. 3-1/2" TSH BLUE PIN 9.2 PPF SN 28 110 KSI</t>
        </is>
      </c>
      <c r="C463" s="1718" t="n">
        <v>5.19</v>
      </c>
      <c r="D463" s="1711">
        <f>C463</f>
        <v/>
      </c>
      <c r="E463" s="1613">
        <f>E462+D463</f>
        <v/>
      </c>
      <c r="F463" s="1613">
        <f>F462-D462</f>
        <v/>
      </c>
      <c r="G463" s="1614">
        <f>G462-D463</f>
        <v/>
      </c>
      <c r="H463" s="1712" t="n"/>
    </row>
    <row r="464" ht="76.09999999999999" customHeight="1" s="882">
      <c r="A464" s="1624" t="n"/>
      <c r="B464" s="1717" t="inlineStr">
        <is>
          <t>UPPER CONN. 3-1/2" SENTINEL PRIME BOX 9.2 PPF TX28-110 KSI
DESCRIPTION: 5 FEET XOVER
SAP: 130013006385
SUPPLIER: TBX
LOWER CONN. 3-1/2" VAM TOP PIN 9.2 PPF TX28-110 KSI</t>
        </is>
      </c>
      <c r="C464" s="1718" t="n">
        <v>4.96</v>
      </c>
      <c r="D464" s="1711">
        <f>C464</f>
        <v/>
      </c>
      <c r="E464" s="1613">
        <f>E463+D464</f>
        <v/>
      </c>
      <c r="F464" s="1613">
        <f>F463-D463</f>
        <v/>
      </c>
      <c r="G464" s="1614">
        <f>G463-D464</f>
        <v/>
      </c>
      <c r="H464" s="1712" t="n"/>
    </row>
    <row r="465" ht="135.8" customHeight="1" s="882">
      <c r="A465" s="1624" t="n"/>
      <c r="B465" s="1717"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65" s="1718" t="n">
        <v>8.69</v>
      </c>
      <c r="D465" s="1711">
        <f>C465</f>
        <v/>
      </c>
      <c r="E465" s="1613">
        <f>E464+D465</f>
        <v/>
      </c>
      <c r="F465" s="1613">
        <f>F464-D464</f>
        <v/>
      </c>
      <c r="G465" s="1614">
        <f>G464-D465</f>
        <v/>
      </c>
      <c r="H465" s="1712" t="n"/>
    </row>
    <row r="466" ht="76.09999999999999" customHeight="1" s="882">
      <c r="A466" s="1624" t="n"/>
      <c r="B466" s="1717" t="inlineStr">
        <is>
          <t>UPPER CONN. 3-1/2" VAM TOP BOX 9.2 PPF TX28- 110 KSI
DESCRIPTION: 5 FEET XOVER
SAP: 130013006383
SUPPLIER: TBX
LOWER CONN -3-1/2" SENTINEL PRIME PIN 9.2 PPF TX28-110 KSI</t>
        </is>
      </c>
      <c r="C466" s="1718" t="n">
        <v>4.88</v>
      </c>
      <c r="D466" s="1711">
        <f>C466</f>
        <v/>
      </c>
      <c r="E466" s="1613">
        <f>E465+D466</f>
        <v/>
      </c>
      <c r="F466" s="1613">
        <f>F465-D465</f>
        <v/>
      </c>
      <c r="G466" s="1614">
        <f>G465-D466</f>
        <v/>
      </c>
      <c r="H466" s="1712" t="n"/>
    </row>
    <row r="467" ht="76.09999999999999" customHeight="1" s="882">
      <c r="A467" s="1172" t="n"/>
      <c r="B467" s="1717" t="inlineStr">
        <is>
          <t>UPPER CONN. 3-1/2" TSH BLUE BOX 9.2 PPF SN 28 110 KSI
DESCRIPTION: 10 FEET XOVER
SAP: 130005012487
SUPPLIER: TENARIS
LOWER CONN. 3-1/2" VAM TOP PIN 9.2 PPF SN 28 110 KSI</t>
        </is>
      </c>
      <c r="C467" s="1718" t="n">
        <v>9.93</v>
      </c>
      <c r="D467" s="1711">
        <f>C467</f>
        <v/>
      </c>
      <c r="E467" s="1613">
        <f>E466+D467</f>
        <v/>
      </c>
      <c r="F467" s="1613">
        <f>F466-D466</f>
        <v/>
      </c>
      <c r="G467" s="1614">
        <f>G466-D467</f>
        <v/>
      </c>
      <c r="H467" s="1712" t="n"/>
    </row>
    <row r="468" ht="26.8" customHeight="1" s="882">
      <c r="A468" s="1610" t="inlineStr">
        <is>
          <t>JT.#236</t>
        </is>
      </c>
      <c r="B468" s="1610" t="inlineStr">
        <is>
          <t>3-1/2" TUBING 9.2 LB/FT ALLOY 28 TSH BL</t>
        </is>
      </c>
      <c r="C468" s="1611" t="n">
        <v>31</v>
      </c>
      <c r="D468" s="1711">
        <f>C468</f>
        <v/>
      </c>
      <c r="E468" s="1613">
        <f>E467+D468</f>
        <v/>
      </c>
      <c r="F468" s="1613">
        <f>F467-D467</f>
        <v/>
      </c>
      <c r="G468" s="1614">
        <f>G467-D468</f>
        <v/>
      </c>
      <c r="H468" s="1712" t="n"/>
    </row>
    <row r="469" ht="26.8" customHeight="1" s="882">
      <c r="A469" s="1610" t="inlineStr">
        <is>
          <t>JT.#237</t>
        </is>
      </c>
      <c r="B469" s="1610" t="inlineStr">
        <is>
          <t>3-1/2" TUBING 9.2 LB/FT ALLOY 28 TSH BL</t>
        </is>
      </c>
      <c r="C469" s="1611" t="n">
        <v>31</v>
      </c>
      <c r="D469" s="1711">
        <f>C469</f>
        <v/>
      </c>
      <c r="E469" s="1613">
        <f>E468+D469</f>
        <v/>
      </c>
      <c r="F469" s="1613">
        <f>F468-D468</f>
        <v/>
      </c>
      <c r="G469" s="1614">
        <f>G468-D469</f>
        <v/>
      </c>
      <c r="H469" s="1712" t="n"/>
    </row>
    <row r="470" ht="26.8" customHeight="1" s="882">
      <c r="A470" s="1610" t="inlineStr">
        <is>
          <t>JT.#238</t>
        </is>
      </c>
      <c r="B470" s="1610" t="inlineStr">
        <is>
          <t>3-1/2" TUBING 9.2 LB/FT ALLOY 28 TSH BL</t>
        </is>
      </c>
      <c r="C470" s="1611" t="n">
        <v>31</v>
      </c>
      <c r="D470" s="1711">
        <f>C470</f>
        <v/>
      </c>
      <c r="E470" s="1613">
        <f>E469+D470</f>
        <v/>
      </c>
      <c r="F470" s="1613">
        <f>F469-D469</f>
        <v/>
      </c>
      <c r="G470" s="1614">
        <f>G469-D470</f>
        <v/>
      </c>
      <c r="H470" s="1712" t="n"/>
    </row>
    <row r="471" ht="26.8" customHeight="1" s="882">
      <c r="A471" s="1610" t="inlineStr">
        <is>
          <t>JT.#239</t>
        </is>
      </c>
      <c r="B471" s="1610" t="inlineStr">
        <is>
          <t>3-1/2" TUBING 9.2 LB/FT ALLOY 28 TSH BL</t>
        </is>
      </c>
      <c r="C471" s="1611" t="n">
        <v>31</v>
      </c>
      <c r="D471" s="1711">
        <f>C471</f>
        <v/>
      </c>
      <c r="E471" s="1613">
        <f>E470+D471</f>
        <v/>
      </c>
      <c r="F471" s="1613">
        <f>F470-D470</f>
        <v/>
      </c>
      <c r="G471" s="1614">
        <f>G470-D471</f>
        <v/>
      </c>
      <c r="H471" s="1712" t="n"/>
    </row>
    <row r="472" ht="26.8" customHeight="1" s="882">
      <c r="A472" s="1610" t="inlineStr">
        <is>
          <t>JT.#240</t>
        </is>
      </c>
      <c r="B472" s="1610" t="inlineStr">
        <is>
          <t>3-1/2" TUBING 9.2 LB/FT ALLOY 28 TSH BL</t>
        </is>
      </c>
      <c r="C472" s="1611" t="n">
        <v>31</v>
      </c>
      <c r="D472" s="1711">
        <f>C472</f>
        <v/>
      </c>
      <c r="E472" s="1613">
        <f>E471+D472</f>
        <v/>
      </c>
      <c r="F472" s="1613">
        <f>F471-D471</f>
        <v/>
      </c>
      <c r="G472" s="1614">
        <f>G471-D472</f>
        <v/>
      </c>
      <c r="H472" s="1712" t="n"/>
    </row>
    <row r="473" ht="26.8" customHeight="1" s="882">
      <c r="A473" s="1610" t="inlineStr">
        <is>
          <t>JT.#241</t>
        </is>
      </c>
      <c r="B473" s="1610" t="inlineStr">
        <is>
          <t>3-1/2" TUBING 9.2 LB/FT ALLOY 28 TSH BL</t>
        </is>
      </c>
      <c r="C473" s="1611" t="n">
        <v>31</v>
      </c>
      <c r="D473" s="1711">
        <f>C473</f>
        <v/>
      </c>
      <c r="E473" s="1613">
        <f>E472+D473</f>
        <v/>
      </c>
      <c r="F473" s="1613">
        <f>F472-D472</f>
        <v/>
      </c>
      <c r="G473" s="1614">
        <f>G472-D473</f>
        <v/>
      </c>
      <c r="H473" s="1712" t="n"/>
    </row>
    <row r="474" ht="26.8" customHeight="1" s="882">
      <c r="A474" s="1610" t="inlineStr">
        <is>
          <t>JT.#242</t>
        </is>
      </c>
      <c r="B474" s="1610" t="inlineStr">
        <is>
          <t>3-1/2" TUBING 9.2 LB/FT ALLOY 28 TSH BL</t>
        </is>
      </c>
      <c r="C474" s="1611" t="n">
        <v>31</v>
      </c>
      <c r="D474" s="1711">
        <f>C474</f>
        <v/>
      </c>
      <c r="E474" s="1613">
        <f>E473+D474</f>
        <v/>
      </c>
      <c r="F474" s="1613">
        <f>F473-D473</f>
        <v/>
      </c>
      <c r="G474" s="1614">
        <f>G473-D474</f>
        <v/>
      </c>
      <c r="H474" s="1712" t="n"/>
    </row>
    <row r="475" ht="26.8" customHeight="1" s="882">
      <c r="A475" s="1610" t="inlineStr">
        <is>
          <t>JT.#243</t>
        </is>
      </c>
      <c r="B475" s="1610" t="inlineStr">
        <is>
          <t>3-1/2" TUBING 9.2 LB/FT ALLOY 28 TSH BL</t>
        </is>
      </c>
      <c r="C475" s="1611" t="n">
        <v>31</v>
      </c>
      <c r="D475" s="1711">
        <f>C475</f>
        <v/>
      </c>
      <c r="E475" s="1613">
        <f>E474+D475</f>
        <v/>
      </c>
      <c r="F475" s="1613">
        <f>F474-D474</f>
        <v/>
      </c>
      <c r="G475" s="1614">
        <f>G474-D475</f>
        <v/>
      </c>
      <c r="H475" s="1712" t="n"/>
    </row>
    <row r="476" ht="26.8" customHeight="1" s="882">
      <c r="A476" s="1610" t="inlineStr">
        <is>
          <t>JT.#244</t>
        </is>
      </c>
      <c r="B476" s="1610" t="inlineStr">
        <is>
          <t>3-1/2" TUBING 9.2 LB/FT ALLOY 28 TSH BL</t>
        </is>
      </c>
      <c r="C476" s="1611" t="n">
        <v>31</v>
      </c>
      <c r="D476" s="1711">
        <f>C476</f>
        <v/>
      </c>
      <c r="E476" s="1613">
        <f>E475+D476</f>
        <v/>
      </c>
      <c r="F476" s="1613">
        <f>F475-D475</f>
        <v/>
      </c>
      <c r="G476" s="1614">
        <f>G475-D476</f>
        <v/>
      </c>
      <c r="H476" s="1712" t="n"/>
    </row>
    <row r="477" ht="26.8" customHeight="1" s="882">
      <c r="A477" s="1610" t="inlineStr">
        <is>
          <t>JT.#245</t>
        </is>
      </c>
      <c r="B477" s="1610" t="inlineStr">
        <is>
          <t>3-1/2" TUBING 9.2 LB/FT ALLOY 28 TSH BL</t>
        </is>
      </c>
      <c r="C477" s="1611" t="n">
        <v>31</v>
      </c>
      <c r="D477" s="1711">
        <f>C477</f>
        <v/>
      </c>
      <c r="E477" s="1613">
        <f>E476+D477</f>
        <v/>
      </c>
      <c r="F477" s="1613">
        <f>F476-D476</f>
        <v/>
      </c>
      <c r="G477" s="1614">
        <f>G476-D477</f>
        <v/>
      </c>
      <c r="H477" s="1712" t="n"/>
    </row>
    <row r="478" ht="26.8" customHeight="1" s="882">
      <c r="A478" s="1610" t="inlineStr">
        <is>
          <t>JT.#246</t>
        </is>
      </c>
      <c r="B478" s="1610" t="inlineStr">
        <is>
          <t>3-1/2" TUBING 9.2 LB/FT ALLOY 28 TSH BL</t>
        </is>
      </c>
      <c r="C478" s="1611" t="n">
        <v>31</v>
      </c>
      <c r="D478" s="1711">
        <f>C478</f>
        <v/>
      </c>
      <c r="E478" s="1613">
        <f>E477+D478</f>
        <v/>
      </c>
      <c r="F478" s="1613">
        <f>F477-D477</f>
        <v/>
      </c>
      <c r="G478" s="1614">
        <f>G477-D478</f>
        <v/>
      </c>
      <c r="H478" s="1712" t="n"/>
    </row>
    <row r="479" ht="26.8" customHeight="1" s="882">
      <c r="A479" s="1610" t="inlineStr">
        <is>
          <t>JT.#247</t>
        </is>
      </c>
      <c r="B479" s="1610" t="inlineStr">
        <is>
          <t>3-1/2" TUBING 9.2 LB/FT ALLOY 28 TSH BL</t>
        </is>
      </c>
      <c r="C479" s="1611" t="n">
        <v>31</v>
      </c>
      <c r="D479" s="1711">
        <f>C479</f>
        <v/>
      </c>
      <c r="E479" s="1613">
        <f>E478+D479</f>
        <v/>
      </c>
      <c r="F479" s="1613">
        <f>F478-D478</f>
        <v/>
      </c>
      <c r="G479" s="1614">
        <f>G478-D479</f>
        <v/>
      </c>
      <c r="H479" s="1712" t="n"/>
    </row>
    <row r="480" ht="26.8" customHeight="1" s="882">
      <c r="A480" s="1610" t="inlineStr">
        <is>
          <t>JT.#248</t>
        </is>
      </c>
      <c r="B480" s="1610" t="inlineStr">
        <is>
          <t>3-1/2" TUBING 9.2 LB/FT ALLOY 28 TSH BL</t>
        </is>
      </c>
      <c r="C480" s="1611" t="n">
        <v>31</v>
      </c>
      <c r="D480" s="1711">
        <f>C480</f>
        <v/>
      </c>
      <c r="E480" s="1613">
        <f>E479+D480</f>
        <v/>
      </c>
      <c r="F480" s="1613">
        <f>F479-D479</f>
        <v/>
      </c>
      <c r="G480" s="1614">
        <f>G479-D480</f>
        <v/>
      </c>
      <c r="H480" s="1712" t="n"/>
    </row>
    <row r="481" ht="26.8" customHeight="1" s="882">
      <c r="A481" s="1610" t="inlineStr">
        <is>
          <t>JT.#249</t>
        </is>
      </c>
      <c r="B481" s="1610" t="inlineStr">
        <is>
          <t>3-1/2" TUBING 9.2 LB/FT ALLOY 28 TSH BL</t>
        </is>
      </c>
      <c r="C481" s="1611" t="n">
        <v>31</v>
      </c>
      <c r="D481" s="1711">
        <f>C481</f>
        <v/>
      </c>
      <c r="E481" s="1613">
        <f>E480+D481</f>
        <v/>
      </c>
      <c r="F481" s="1613">
        <f>F480-D480</f>
        <v/>
      </c>
      <c r="G481" s="1614">
        <f>G480-D481</f>
        <v/>
      </c>
      <c r="H481" s="1712" t="n"/>
    </row>
    <row r="482" ht="26.8" customHeight="1" s="882">
      <c r="A482" s="1610" t="inlineStr">
        <is>
          <t>JT.#250</t>
        </is>
      </c>
      <c r="B482" s="1610" t="inlineStr">
        <is>
          <t>3-1/2" TUBING 9.2 LB/FT ALLOY 28 TSH BL</t>
        </is>
      </c>
      <c r="C482" s="1611" t="n">
        <v>31</v>
      </c>
      <c r="D482" s="1711">
        <f>C482</f>
        <v/>
      </c>
      <c r="E482" s="1613">
        <f>E481+D482</f>
        <v/>
      </c>
      <c r="F482" s="1613">
        <f>F481-D481</f>
        <v/>
      </c>
      <c r="G482" s="1614">
        <f>G481-D482</f>
        <v/>
      </c>
      <c r="H482" s="1712" t="n"/>
    </row>
    <row r="483" ht="26.8" customHeight="1" s="882">
      <c r="A483" s="1610" t="inlineStr">
        <is>
          <t>JT.#251</t>
        </is>
      </c>
      <c r="B483" s="1610" t="inlineStr">
        <is>
          <t>3-1/2" TUBING 9.2 LB/FT ALLOY 28 TSH BL</t>
        </is>
      </c>
      <c r="C483" s="1611" t="n">
        <v>31</v>
      </c>
      <c r="D483" s="1711">
        <f>C483</f>
        <v/>
      </c>
      <c r="E483" s="1613">
        <f>E482+D483</f>
        <v/>
      </c>
      <c r="F483" s="1613">
        <f>F482-D482</f>
        <v/>
      </c>
      <c r="G483" s="1614">
        <f>G482-D483</f>
        <v/>
      </c>
      <c r="H483" s="1712" t="n"/>
    </row>
    <row r="484" ht="26.8" customHeight="1" s="882">
      <c r="A484" s="1610" t="inlineStr">
        <is>
          <t>JT.#252</t>
        </is>
      </c>
      <c r="B484" s="1610" t="inlineStr">
        <is>
          <t>3-1/2" TUBING 9.2 LB/FT ALLOY 28 TSH BL</t>
        </is>
      </c>
      <c r="C484" s="1611" t="n">
        <v>31</v>
      </c>
      <c r="D484" s="1711">
        <f>C484</f>
        <v/>
      </c>
      <c r="E484" s="1613">
        <f>E483+D484</f>
        <v/>
      </c>
      <c r="F484" s="1613">
        <f>F483-D483</f>
        <v/>
      </c>
      <c r="G484" s="1614">
        <f>G483-D484</f>
        <v/>
      </c>
      <c r="H484" s="1712" t="n"/>
    </row>
    <row r="485" ht="26.8" customHeight="1" s="882">
      <c r="A485" s="1610" t="inlineStr">
        <is>
          <t>JT.#253</t>
        </is>
      </c>
      <c r="B485" s="1610" t="inlineStr">
        <is>
          <t>3-1/2" TUBING 9.2 LB/FT ALLOY 28 TSH BL</t>
        </is>
      </c>
      <c r="C485" s="1611" t="n">
        <v>31</v>
      </c>
      <c r="D485" s="1711">
        <f>C485</f>
        <v/>
      </c>
      <c r="E485" s="1613">
        <f>E484+D485</f>
        <v/>
      </c>
      <c r="F485" s="1613">
        <f>F484-D484</f>
        <v/>
      </c>
      <c r="G485" s="1614">
        <f>G484-D485</f>
        <v/>
      </c>
      <c r="H485" s="1712" t="n"/>
    </row>
    <row r="486" ht="26.8" customHeight="1" s="882">
      <c r="A486" s="1610" t="inlineStr">
        <is>
          <t>JT.#254</t>
        </is>
      </c>
      <c r="B486" s="1610" t="inlineStr">
        <is>
          <t>3-1/2" TUBING 9.2 LB/FT ALLOY 28 TSH BL</t>
        </is>
      </c>
      <c r="C486" s="1611" t="n">
        <v>31</v>
      </c>
      <c r="D486" s="1711">
        <f>C486</f>
        <v/>
      </c>
      <c r="E486" s="1613">
        <f>E485+D486</f>
        <v/>
      </c>
      <c r="F486" s="1613">
        <f>F485-D485</f>
        <v/>
      </c>
      <c r="G486" s="1614">
        <f>G485-D486</f>
        <v/>
      </c>
      <c r="H486" s="1712" t="n"/>
    </row>
    <row r="487" ht="26.8" customHeight="1" s="882">
      <c r="A487" s="1610" t="inlineStr">
        <is>
          <t>JT.#255</t>
        </is>
      </c>
      <c r="B487" s="1610" t="inlineStr">
        <is>
          <t>3-1/2" TUBING 9.2 LB/FT ALLOY 28 TSH BL</t>
        </is>
      </c>
      <c r="C487" s="1611" t="n">
        <v>31</v>
      </c>
      <c r="D487" s="1711">
        <f>C487</f>
        <v/>
      </c>
      <c r="E487" s="1613">
        <f>E486+D487</f>
        <v/>
      </c>
      <c r="F487" s="1613">
        <f>F486-D486</f>
        <v/>
      </c>
      <c r="G487" s="1614">
        <f>G486-D487</f>
        <v/>
      </c>
      <c r="H487" s="1712" t="n"/>
    </row>
    <row r="488" ht="26.8" customHeight="1" s="882">
      <c r="A488" s="1610" t="inlineStr">
        <is>
          <t>JT.#256</t>
        </is>
      </c>
      <c r="B488" s="1610" t="inlineStr">
        <is>
          <t>3-1/2" TUBING 9.2 LB/FT ALLOY 28 TSH BL</t>
        </is>
      </c>
      <c r="C488" s="1611" t="n">
        <v>31</v>
      </c>
      <c r="D488" s="1711">
        <f>C488</f>
        <v/>
      </c>
      <c r="E488" s="1613">
        <f>E487+D488</f>
        <v/>
      </c>
      <c r="F488" s="1613">
        <f>F487-D487</f>
        <v/>
      </c>
      <c r="G488" s="1614">
        <f>G487-D488</f>
        <v/>
      </c>
      <c r="H488" s="1712" t="n"/>
    </row>
    <row r="489" ht="26.8" customHeight="1" s="882">
      <c r="A489" s="1610" t="inlineStr">
        <is>
          <t>JT.#257</t>
        </is>
      </c>
      <c r="B489" s="1610" t="inlineStr">
        <is>
          <t>3-1/2" TUBING 9.2 LB/FT ALLOY 28 TSH BL</t>
        </is>
      </c>
      <c r="C489" s="1611" t="n">
        <v>31</v>
      </c>
      <c r="D489" s="1711">
        <f>C489</f>
        <v/>
      </c>
      <c r="E489" s="1613">
        <f>E488+D489</f>
        <v/>
      </c>
      <c r="F489" s="1613">
        <f>F488-D488</f>
        <v/>
      </c>
      <c r="G489" s="1614">
        <f>G488-D489</f>
        <v/>
      </c>
      <c r="H489" s="1712" t="n"/>
    </row>
    <row r="490" ht="26.8" customHeight="1" s="882">
      <c r="A490" s="1610" t="inlineStr">
        <is>
          <t>JT.#258</t>
        </is>
      </c>
      <c r="B490" s="1610" t="inlineStr">
        <is>
          <t>3-1/2" TUBING 9.2 LB/FT ALLOY 28 TSH BL</t>
        </is>
      </c>
      <c r="C490" s="1611" t="n">
        <v>31</v>
      </c>
      <c r="D490" s="1711">
        <f>C490</f>
        <v/>
      </c>
      <c r="E490" s="1613">
        <f>E489+D490</f>
        <v/>
      </c>
      <c r="F490" s="1613">
        <f>F489-D489</f>
        <v/>
      </c>
      <c r="G490" s="1614">
        <f>G489-D490</f>
        <v/>
      </c>
      <c r="H490" s="1712" t="n"/>
    </row>
    <row r="491" ht="26.8" customHeight="1" s="882">
      <c r="A491" s="1610" t="inlineStr">
        <is>
          <t>JT.#259</t>
        </is>
      </c>
      <c r="B491" s="1610" t="inlineStr">
        <is>
          <t>3-1/2" TUBING 9.2 LB/FT ALLOY 28 TSH BL</t>
        </is>
      </c>
      <c r="C491" s="1611" t="n">
        <v>31</v>
      </c>
      <c r="D491" s="1711">
        <f>C491</f>
        <v/>
      </c>
      <c r="E491" s="1613">
        <f>E490+D491</f>
        <v/>
      </c>
      <c r="F491" s="1613">
        <f>F490-D490</f>
        <v/>
      </c>
      <c r="G491" s="1614">
        <f>G490-D491</f>
        <v/>
      </c>
      <c r="H491" s="1712" t="n"/>
    </row>
    <row r="492" ht="26.8" customHeight="1" s="882">
      <c r="A492" s="1610" t="inlineStr">
        <is>
          <t>JT.#260</t>
        </is>
      </c>
      <c r="B492" s="1610" t="inlineStr">
        <is>
          <t>3-1/2" TUBING 9.2 LB/FT ALLOY 28 TSH BL</t>
        </is>
      </c>
      <c r="C492" s="1611" t="n">
        <v>31</v>
      </c>
      <c r="D492" s="1711">
        <f>C492</f>
        <v/>
      </c>
      <c r="E492" s="1613">
        <f>E491+D492</f>
        <v/>
      </c>
      <c r="F492" s="1613">
        <f>F491-D491</f>
        <v/>
      </c>
      <c r="G492" s="1614">
        <f>G491-D492</f>
        <v/>
      </c>
      <c r="H492" s="1712" t="n"/>
    </row>
    <row r="493" ht="26.8" customHeight="1" s="882">
      <c r="A493" s="1610" t="inlineStr">
        <is>
          <t>JT.#261</t>
        </is>
      </c>
      <c r="B493" s="1610" t="inlineStr">
        <is>
          <t>3-1/2" TUBING 9.2 LB/FT ALLOY 28 TSH BL</t>
        </is>
      </c>
      <c r="C493" s="1611" t="n">
        <v>31</v>
      </c>
      <c r="D493" s="1711">
        <f>C493</f>
        <v/>
      </c>
      <c r="E493" s="1613">
        <f>E492+D493</f>
        <v/>
      </c>
      <c r="F493" s="1613">
        <f>F492-D492</f>
        <v/>
      </c>
      <c r="G493" s="1614">
        <f>G492-D493</f>
        <v/>
      </c>
      <c r="H493" s="1712" t="n"/>
    </row>
    <row r="494" ht="26.8" customHeight="1" s="882">
      <c r="A494" s="1610" t="inlineStr">
        <is>
          <t>JT.#262</t>
        </is>
      </c>
      <c r="B494" s="1610" t="inlineStr">
        <is>
          <t>3-1/2" TUBING 9.2 LB/FT ALLOY 28 TSH BL</t>
        </is>
      </c>
      <c r="C494" s="1611" t="n">
        <v>31</v>
      </c>
      <c r="D494" s="1711">
        <f>C494</f>
        <v/>
      </c>
      <c r="E494" s="1613">
        <f>E493+D494</f>
        <v/>
      </c>
      <c r="F494" s="1613">
        <f>F493-D493</f>
        <v/>
      </c>
      <c r="G494" s="1614">
        <f>G493-D494</f>
        <v/>
      </c>
      <c r="H494" s="1712" t="n"/>
    </row>
    <row r="495" ht="26.8" customHeight="1" s="882">
      <c r="A495" s="1610" t="inlineStr">
        <is>
          <t>JT.#263</t>
        </is>
      </c>
      <c r="B495" s="1610" t="inlineStr">
        <is>
          <t>3-1/2" TUBING 9.2 LB/FT ALLOY 28 TSH BL</t>
        </is>
      </c>
      <c r="C495" s="1611" t="n">
        <v>31</v>
      </c>
      <c r="D495" s="1711">
        <f>C495</f>
        <v/>
      </c>
      <c r="E495" s="1613">
        <f>E494+D495</f>
        <v/>
      </c>
      <c r="F495" s="1613">
        <f>F494-D494</f>
        <v/>
      </c>
      <c r="G495" s="1614">
        <f>G494-D495</f>
        <v/>
      </c>
      <c r="H495" s="1712" t="n"/>
    </row>
    <row r="496" ht="26.8" customHeight="1" s="882">
      <c r="A496" s="1610" t="inlineStr">
        <is>
          <t>JT.#264</t>
        </is>
      </c>
      <c r="B496" s="1610" t="inlineStr">
        <is>
          <t>3-1/2" TUBING 9.2 LB/FT ALLOY 28 TSH BL</t>
        </is>
      </c>
      <c r="C496" s="1611" t="n">
        <v>31</v>
      </c>
      <c r="D496" s="1711">
        <f>C496</f>
        <v/>
      </c>
      <c r="E496" s="1613">
        <f>E495+D496</f>
        <v/>
      </c>
      <c r="F496" s="1613">
        <f>F495-D495</f>
        <v/>
      </c>
      <c r="G496" s="1614">
        <f>G495-D496</f>
        <v/>
      </c>
      <c r="H496" s="1712" t="n"/>
    </row>
    <row r="497" ht="26.8" customHeight="1" s="882">
      <c r="A497" s="1610" t="inlineStr">
        <is>
          <t>JT.#265</t>
        </is>
      </c>
      <c r="B497" s="1610" t="inlineStr">
        <is>
          <t>3-1/2" TUBING 9.2 LB/FT ALLOY 28 TSH BL</t>
        </is>
      </c>
      <c r="C497" s="1611" t="n">
        <v>31</v>
      </c>
      <c r="D497" s="1711">
        <f>C497</f>
        <v/>
      </c>
      <c r="E497" s="1613">
        <f>E496+D497</f>
        <v/>
      </c>
      <c r="F497" s="1613">
        <f>F496-D496</f>
        <v/>
      </c>
      <c r="G497" s="1614">
        <f>G496-D497</f>
        <v/>
      </c>
      <c r="H497" s="1712" t="n"/>
    </row>
    <row r="498" ht="26.8" customHeight="1" s="882">
      <c r="A498" s="1610" t="inlineStr">
        <is>
          <t>JT.#266</t>
        </is>
      </c>
      <c r="B498" s="1610" t="inlineStr">
        <is>
          <t>3-1/2" TUBING 9.2 LB/FT ALLOY 28 TSH BL</t>
        </is>
      </c>
      <c r="C498" s="1611" t="n">
        <v>31</v>
      </c>
      <c r="D498" s="1711">
        <f>C498</f>
        <v/>
      </c>
      <c r="E498" s="1613">
        <f>E497+D498</f>
        <v/>
      </c>
      <c r="F498" s="1613">
        <f>F497-D497</f>
        <v/>
      </c>
      <c r="G498" s="1614">
        <f>G497-D498</f>
        <v/>
      </c>
      <c r="H498" s="1712" t="n"/>
    </row>
    <row r="499" ht="26.8" customHeight="1" s="882">
      <c r="A499" s="1610" t="inlineStr">
        <is>
          <t>JT.#267</t>
        </is>
      </c>
      <c r="B499" s="1610" t="inlineStr">
        <is>
          <t>3-1/2" TUBING 9.2 LB/FT ALLOY 28 TSH BL</t>
        </is>
      </c>
      <c r="C499" s="1611" t="n">
        <v>31</v>
      </c>
      <c r="D499" s="1711">
        <f>C499</f>
        <v/>
      </c>
      <c r="E499" s="1613">
        <f>E498+D499</f>
        <v/>
      </c>
      <c r="F499" s="1613">
        <f>F498-D498</f>
        <v/>
      </c>
      <c r="G499" s="1614">
        <f>G498-D499</f>
        <v/>
      </c>
      <c r="H499" s="1712" t="n"/>
    </row>
    <row r="500" ht="26.8" customHeight="1" s="882">
      <c r="A500" s="1610" t="inlineStr">
        <is>
          <t>JT.#268</t>
        </is>
      </c>
      <c r="B500" s="1610" t="inlineStr">
        <is>
          <t>3-1/2" TUBING 9.2 LB/FT ALLOY 28 TSH BL</t>
        </is>
      </c>
      <c r="C500" s="1611" t="n">
        <v>31</v>
      </c>
      <c r="D500" s="1711">
        <f>C500</f>
        <v/>
      </c>
      <c r="E500" s="1613">
        <f>E499+D500</f>
        <v/>
      </c>
      <c r="F500" s="1613">
        <f>F499-D499</f>
        <v/>
      </c>
      <c r="G500" s="1614">
        <f>G499-D500</f>
        <v/>
      </c>
      <c r="H500" s="1712" t="n"/>
    </row>
    <row r="501" ht="26.8" customHeight="1" s="882">
      <c r="A501" s="1610" t="inlineStr">
        <is>
          <t>JT.#269</t>
        </is>
      </c>
      <c r="B501" s="1610" t="inlineStr">
        <is>
          <t>3-1/2" TUBING 9.2 LB/FT ALLOY 28 TSH BL</t>
        </is>
      </c>
      <c r="C501" s="1611" t="n">
        <v>31</v>
      </c>
      <c r="D501" s="1711">
        <f>C501</f>
        <v/>
      </c>
      <c r="E501" s="1613">
        <f>E500+D501</f>
        <v/>
      </c>
      <c r="F501" s="1613">
        <f>F500-D500</f>
        <v/>
      </c>
      <c r="G501" s="1614">
        <f>G500-D501</f>
        <v/>
      </c>
      <c r="H501" s="1712" t="n"/>
    </row>
    <row r="502" ht="26.8" customHeight="1" s="882">
      <c r="A502" s="1610" t="inlineStr">
        <is>
          <t>JT.#270</t>
        </is>
      </c>
      <c r="B502" s="1610" t="inlineStr">
        <is>
          <t>3-1/2" TUBING 9.2 LB/FT ALLOY 28 TSH BL</t>
        </is>
      </c>
      <c r="C502" s="1611" t="n">
        <v>31</v>
      </c>
      <c r="D502" s="1711">
        <f>C502</f>
        <v/>
      </c>
      <c r="E502" s="1613">
        <f>E501+D502</f>
        <v/>
      </c>
      <c r="F502" s="1613">
        <f>F501-D501</f>
        <v/>
      </c>
      <c r="G502" s="1614">
        <f>G501-D502</f>
        <v/>
      </c>
      <c r="H502" s="1712" t="n"/>
    </row>
    <row r="503" ht="26.8" customHeight="1" s="882">
      <c r="A503" s="1610" t="inlineStr">
        <is>
          <t>JT.#271</t>
        </is>
      </c>
      <c r="B503" s="1610" t="inlineStr">
        <is>
          <t>3-1/2" TUBING 9.2 LB/FT ALLOY 28 TSH BL</t>
        </is>
      </c>
      <c r="C503" s="1611" t="n">
        <v>31</v>
      </c>
      <c r="D503" s="1711">
        <f>C503</f>
        <v/>
      </c>
      <c r="E503" s="1613">
        <f>E502+D503</f>
        <v/>
      </c>
      <c r="F503" s="1613">
        <f>F502-D502</f>
        <v/>
      </c>
      <c r="G503" s="1614">
        <f>G502-D503</f>
        <v/>
      </c>
      <c r="H503" s="1712" t="n"/>
    </row>
    <row r="504" ht="26.8" customHeight="1" s="882">
      <c r="A504" s="1610" t="inlineStr">
        <is>
          <t>JT.#272</t>
        </is>
      </c>
      <c r="B504" s="1610" t="inlineStr">
        <is>
          <t>3-1/2" TUBING 9.2 LB/FT ALLOY 28 TSH BL</t>
        </is>
      </c>
      <c r="C504" s="1611" t="n">
        <v>31</v>
      </c>
      <c r="D504" s="1711">
        <f>C504</f>
        <v/>
      </c>
      <c r="E504" s="1613">
        <f>E503+D504</f>
        <v/>
      </c>
      <c r="F504" s="1613">
        <f>F503-D503</f>
        <v/>
      </c>
      <c r="G504" s="1614">
        <f>G503-D504</f>
        <v/>
      </c>
      <c r="H504" s="1712" t="n"/>
    </row>
    <row r="505" ht="26.8" customHeight="1" s="882">
      <c r="A505" s="1610" t="inlineStr">
        <is>
          <t>JT.#273</t>
        </is>
      </c>
      <c r="B505" s="1610" t="inlineStr">
        <is>
          <t>3-1/2" TUBING 9.2 LB/FT ALLOY 28 TSH BL</t>
        </is>
      </c>
      <c r="C505" s="1611" t="n">
        <v>31</v>
      </c>
      <c r="D505" s="1711">
        <f>C505</f>
        <v/>
      </c>
      <c r="E505" s="1613">
        <f>E504+D505</f>
        <v/>
      </c>
      <c r="F505" s="1613">
        <f>F504-D504</f>
        <v/>
      </c>
      <c r="G505" s="1614">
        <f>G504-D505</f>
        <v/>
      </c>
      <c r="H505" s="1712" t="n"/>
    </row>
    <row r="506" ht="26.8" customHeight="1" s="882">
      <c r="A506" s="1610" t="inlineStr">
        <is>
          <t>JT.#274</t>
        </is>
      </c>
      <c r="B506" s="1610" t="inlineStr">
        <is>
          <t>3-1/2" TUBING 9.2 LB/FT ALLOY 28 TSH BL</t>
        </is>
      </c>
      <c r="C506" s="1611" t="n">
        <v>31</v>
      </c>
      <c r="D506" s="1711">
        <f>C506</f>
        <v/>
      </c>
      <c r="E506" s="1613">
        <f>E505+D506</f>
        <v/>
      </c>
      <c r="F506" s="1613">
        <f>F505-D505</f>
        <v/>
      </c>
      <c r="G506" s="1614">
        <f>G505-D506</f>
        <v/>
      </c>
      <c r="H506" s="1712" t="n"/>
    </row>
    <row r="507" ht="26.8" customHeight="1" s="882">
      <c r="A507" s="1610" t="inlineStr">
        <is>
          <t>JT.#275</t>
        </is>
      </c>
      <c r="B507" s="1610" t="inlineStr">
        <is>
          <t>3-1/2" TUBING 9.2 LB/FT ALLOY 28 TSH BL</t>
        </is>
      </c>
      <c r="C507" s="1611" t="n">
        <v>31</v>
      </c>
      <c r="D507" s="1711">
        <f>C507</f>
        <v/>
      </c>
      <c r="E507" s="1613">
        <f>E506+D507</f>
        <v/>
      </c>
      <c r="F507" s="1613">
        <f>F506-D506</f>
        <v/>
      </c>
      <c r="G507" s="1614">
        <f>G506-D507</f>
        <v/>
      </c>
      <c r="H507" s="1712" t="n"/>
    </row>
    <row r="508" ht="26.8" customHeight="1" s="882">
      <c r="A508" s="1610" t="inlineStr">
        <is>
          <t>JT.#276</t>
        </is>
      </c>
      <c r="B508" s="1610" t="inlineStr">
        <is>
          <t>3-1/2" TUBING 9.2 LB/FT ALLOY 28 TSH BL</t>
        </is>
      </c>
      <c r="C508" s="1611" t="n">
        <v>31</v>
      </c>
      <c r="D508" s="1711">
        <f>C508</f>
        <v/>
      </c>
      <c r="E508" s="1613">
        <f>E507+D508</f>
        <v/>
      </c>
      <c r="F508" s="1613">
        <f>F507-D507</f>
        <v/>
      </c>
      <c r="G508" s="1614">
        <f>G507-D508</f>
        <v/>
      </c>
      <c r="H508" s="1712" t="n"/>
    </row>
    <row r="509" ht="26.8" customHeight="1" s="882">
      <c r="A509" s="1610" t="inlineStr">
        <is>
          <t>JT.#277</t>
        </is>
      </c>
      <c r="B509" s="1610" t="inlineStr">
        <is>
          <t>3-1/2" TUBING 9.2 LB/FT ALLOY 28 TSH BL</t>
        </is>
      </c>
      <c r="C509" s="1611" t="n">
        <v>31</v>
      </c>
      <c r="D509" s="1711">
        <f>C509</f>
        <v/>
      </c>
      <c r="E509" s="1613">
        <f>E508+D509</f>
        <v/>
      </c>
      <c r="F509" s="1613">
        <f>F508-D508</f>
        <v/>
      </c>
      <c r="G509" s="1614">
        <f>G508-D509</f>
        <v/>
      </c>
      <c r="H509" s="1712" t="n"/>
    </row>
    <row r="510" ht="26.8" customHeight="1" s="882">
      <c r="A510" s="1610" t="inlineStr">
        <is>
          <t>JT.#278</t>
        </is>
      </c>
      <c r="B510" s="1610" t="inlineStr">
        <is>
          <t>3-1/2" TUBING 9.2 LB/FT ALLOY 28 TSH BL</t>
        </is>
      </c>
      <c r="C510" s="1611" t="n">
        <v>31</v>
      </c>
      <c r="D510" s="1711">
        <f>C510</f>
        <v/>
      </c>
      <c r="E510" s="1613">
        <f>E509+D510</f>
        <v/>
      </c>
      <c r="F510" s="1613">
        <f>F509-D509</f>
        <v/>
      </c>
      <c r="G510" s="1614">
        <f>G509-D510</f>
        <v/>
      </c>
      <c r="H510" s="1712" t="n"/>
    </row>
    <row r="511" ht="26.8" customHeight="1" s="882">
      <c r="A511" s="1610" t="inlineStr">
        <is>
          <t>JT.#279</t>
        </is>
      </c>
      <c r="B511" s="1610" t="inlineStr">
        <is>
          <t>3-1/2" TUBING 9.2 LB/FT ALLOY 28 TSH BL</t>
        </is>
      </c>
      <c r="C511" s="1611" t="n">
        <v>31</v>
      </c>
      <c r="D511" s="1711">
        <f>C511</f>
        <v/>
      </c>
      <c r="E511" s="1613">
        <f>E510+D511</f>
        <v/>
      </c>
      <c r="F511" s="1613">
        <f>F510-D510</f>
        <v/>
      </c>
      <c r="G511" s="1614">
        <f>G510-D511</f>
        <v/>
      </c>
      <c r="H511" s="1712" t="n"/>
    </row>
    <row r="512" ht="26.8" customHeight="1" s="882">
      <c r="A512" s="1610" t="inlineStr">
        <is>
          <t>JT.#280</t>
        </is>
      </c>
      <c r="B512" s="1610" t="inlineStr">
        <is>
          <t>3-1/2" TUBING 9.2 LB/FT ALLOY 28 TSH BL</t>
        </is>
      </c>
      <c r="C512" s="1611" t="n">
        <v>31</v>
      </c>
      <c r="D512" s="1711">
        <f>C512</f>
        <v/>
      </c>
      <c r="E512" s="1613">
        <f>E511+D512</f>
        <v/>
      </c>
      <c r="F512" s="1613">
        <f>F511-D511</f>
        <v/>
      </c>
      <c r="G512" s="1614">
        <f>G511-D512</f>
        <v/>
      </c>
      <c r="H512" s="1712" t="n"/>
    </row>
    <row r="513" ht="26.8" customHeight="1" s="882">
      <c r="A513" s="1610" t="inlineStr">
        <is>
          <t>JT.#281</t>
        </is>
      </c>
      <c r="B513" s="1610" t="inlineStr">
        <is>
          <t>3-1/2" TUBING 9.2 LB/FT ALLOY 28 TSH BL</t>
        </is>
      </c>
      <c r="C513" s="1611" t="n">
        <v>31</v>
      </c>
      <c r="D513" s="1711">
        <f>C513</f>
        <v/>
      </c>
      <c r="E513" s="1613">
        <f>E512+D513</f>
        <v/>
      </c>
      <c r="F513" s="1613">
        <f>F512-D512</f>
        <v/>
      </c>
      <c r="G513" s="1614">
        <f>G512-D513</f>
        <v/>
      </c>
      <c r="H513" s="1712" t="n"/>
    </row>
    <row r="514" ht="26.8" customHeight="1" s="882">
      <c r="A514" s="1610" t="inlineStr">
        <is>
          <t>JT.#282</t>
        </is>
      </c>
      <c r="B514" s="1610" t="inlineStr">
        <is>
          <t>3-1/2" TUBING 9.2 LB/FT ALLOY 28 TSH BL</t>
        </is>
      </c>
      <c r="C514" s="1611" t="n">
        <v>31</v>
      </c>
      <c r="D514" s="1711">
        <f>C514</f>
        <v/>
      </c>
      <c r="E514" s="1613">
        <f>E513+D514</f>
        <v/>
      </c>
      <c r="F514" s="1613">
        <f>F513-D513</f>
        <v/>
      </c>
      <c r="G514" s="1614">
        <f>G513-D514</f>
        <v/>
      </c>
      <c r="H514" s="1712" t="n"/>
    </row>
    <row r="515" ht="26.8" customHeight="1" s="882">
      <c r="A515" s="1610" t="inlineStr">
        <is>
          <t>JT.#283</t>
        </is>
      </c>
      <c r="B515" s="1610" t="inlineStr">
        <is>
          <t>3-1/2" TUBING 9.2 LB/FT ALLOY 28 TSH BL</t>
        </is>
      </c>
      <c r="C515" s="1611" t="n">
        <v>31</v>
      </c>
      <c r="D515" s="1711">
        <f>C515</f>
        <v/>
      </c>
      <c r="E515" s="1613">
        <f>E514+D515</f>
        <v/>
      </c>
      <c r="F515" s="1613">
        <f>F514-D514</f>
        <v/>
      </c>
      <c r="G515" s="1614">
        <f>G514-D515</f>
        <v/>
      </c>
      <c r="H515" s="1712" t="n"/>
    </row>
    <row r="516" ht="26.8" customHeight="1" s="882">
      <c r="A516" s="1610" t="inlineStr">
        <is>
          <t>JT.#284</t>
        </is>
      </c>
      <c r="B516" s="1610" t="inlineStr">
        <is>
          <t>3-1/2" TUBING 9.2 LB/FT ALLOY 28 TSH BL</t>
        </is>
      </c>
      <c r="C516" s="1611" t="n">
        <v>31</v>
      </c>
      <c r="D516" s="1711">
        <f>C516</f>
        <v/>
      </c>
      <c r="E516" s="1613">
        <f>E515+D516</f>
        <v/>
      </c>
      <c r="F516" s="1613">
        <f>F515-D515</f>
        <v/>
      </c>
      <c r="G516" s="1614">
        <f>G515-D516</f>
        <v/>
      </c>
      <c r="H516" s="1712" t="n"/>
    </row>
    <row r="517" ht="76.09999999999999" customHeight="1" s="882">
      <c r="A517" s="1719" t="inlineStr">
        <is>
          <t>D4</t>
        </is>
      </c>
      <c r="B517" s="1720" t="inlineStr">
        <is>
          <t>UPPER CONN. 3-1/2" VAM TOP BOX 9.2 PPF SN 28 110 KSI
DESCRIPTION: 5 FEET XOVER
SAP: 130005011340
SUPPLIER: TENARIS
LOWER CONN. 3-1/2" TSH BLUE PIN 9.2 PPF SN 28 110 KSI</t>
        </is>
      </c>
      <c r="C517" s="1721" t="n">
        <v>5.18</v>
      </c>
      <c r="D517" s="1711">
        <f>C517</f>
        <v/>
      </c>
      <c r="E517" s="1613">
        <f>E516+D517</f>
        <v/>
      </c>
      <c r="F517" s="1613">
        <f>F516-D516</f>
        <v/>
      </c>
      <c r="G517" s="1614">
        <f>G516-D517</f>
        <v/>
      </c>
      <c r="H517" s="1712" t="n"/>
    </row>
    <row r="518" ht="76.09999999999999" customHeight="1" s="882">
      <c r="A518" s="1624" t="n"/>
      <c r="B518" s="1720" t="inlineStr">
        <is>
          <t>UPPER CONN. 3-1/2" SENTINEL PRIME BOX 9.2 PPF TX28-110 KSI
DESCRIPTION: 5 FEET XOVER
SAP: 130013006385
SUPPLIER: TBX
LOWER CONN. 3-1/2" VAM TOP PIN 9.2 PPF TX28-110 KSI</t>
        </is>
      </c>
      <c r="C518" s="1721" t="n">
        <v>4.96</v>
      </c>
      <c r="D518" s="1711">
        <f>C518</f>
        <v/>
      </c>
      <c r="E518" s="1613">
        <f>E517+D518</f>
        <v/>
      </c>
      <c r="F518" s="1613">
        <f>F517-D517</f>
        <v/>
      </c>
      <c r="G518" s="1614">
        <f>G517-D518</f>
        <v/>
      </c>
      <c r="H518" s="1712" t="n"/>
    </row>
    <row r="519" ht="135.8" customHeight="1" s="882">
      <c r="A519" s="1624" t="n"/>
      <c r="B519" s="1720"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19" s="1721" t="n">
        <v>8.69</v>
      </c>
      <c r="D519" s="1711">
        <f>C519</f>
        <v/>
      </c>
      <c r="E519" s="1613">
        <f>E518+D519</f>
        <v/>
      </c>
      <c r="F519" s="1613">
        <f>F518-D518</f>
        <v/>
      </c>
      <c r="G519" s="1614">
        <f>G518-D519</f>
        <v/>
      </c>
      <c r="H519" s="1712" t="n"/>
    </row>
    <row r="520" ht="76.09999999999999" customHeight="1" s="882">
      <c r="A520" s="1624" t="n"/>
      <c r="B520" s="1720" t="inlineStr">
        <is>
          <t>UPPER CONN. 3-1/2" VAM TOP BOX 9.2 PPF TX28- 110 KSI
DESCRIPTION: 10 FEET XOVER
SAP: 1130013006387
SUPPLIER: TBX
LOWER CONN-3-1/2" SENTINELPRIME PIN 9.2 PPF TX28110 KSI</t>
        </is>
      </c>
      <c r="C520" s="1721" t="n">
        <v>9.779999999999999</v>
      </c>
      <c r="D520" s="1711">
        <f>C520</f>
        <v/>
      </c>
      <c r="E520" s="1613">
        <f>E519+D520</f>
        <v/>
      </c>
      <c r="F520" s="1613">
        <f>F519-D519</f>
        <v/>
      </c>
      <c r="G520" s="1614">
        <f>G519-D520</f>
        <v/>
      </c>
      <c r="H520" s="1712" t="n"/>
    </row>
    <row r="521" ht="76.09999999999999" customHeight="1" s="882">
      <c r="A521" s="1172" t="n"/>
      <c r="B521" s="1720" t="inlineStr">
        <is>
          <t>UPPER CONN. 3-1/2" TSH BLUE BOX 9.2 PPF SN 28 110 KSI
DESCRIPTION: 5 FEET XOVER
SAP: 130005011340
SUPPLIER: TENARIS
LOWER CONN. 3-1/2" VAM TOP PIN 9.2 PPF SN 28 110 KSI</t>
        </is>
      </c>
      <c r="C521" s="1721" t="n">
        <v>4.96</v>
      </c>
      <c r="D521" s="1711">
        <f>C521</f>
        <v/>
      </c>
      <c r="E521" s="1613">
        <f>E520+D521</f>
        <v/>
      </c>
      <c r="F521" s="1613">
        <f>F520-D520</f>
        <v/>
      </c>
      <c r="G521" s="1614">
        <f>G520-D521</f>
        <v/>
      </c>
      <c r="H521" s="1712" t="n"/>
    </row>
    <row r="522" ht="26.8" customHeight="1" s="882">
      <c r="A522" s="1610" t="inlineStr">
        <is>
          <t>JT.#285</t>
        </is>
      </c>
      <c r="B522" s="1610" t="inlineStr">
        <is>
          <t>3-1/2" TUBING 9.2 LB/FT ALLOY 28 TSH BL</t>
        </is>
      </c>
      <c r="C522" s="1611" t="n">
        <v>31</v>
      </c>
      <c r="D522" s="1711">
        <f>C522</f>
        <v/>
      </c>
      <c r="E522" s="1613">
        <f>E521+D522</f>
        <v/>
      </c>
      <c r="F522" s="1613">
        <f>F521-D521</f>
        <v/>
      </c>
      <c r="G522" s="1614">
        <f>G521-D522</f>
        <v/>
      </c>
      <c r="H522" s="1712" t="n"/>
    </row>
    <row r="523" ht="26.8" customHeight="1" s="882">
      <c r="A523" s="1610" t="inlineStr">
        <is>
          <t>JT.#286</t>
        </is>
      </c>
      <c r="B523" s="1610" t="inlineStr">
        <is>
          <t>3-1/2" TUBING 9.2 LB/FT ALLOY 28 TSH BL</t>
        </is>
      </c>
      <c r="C523" s="1611" t="n">
        <v>31</v>
      </c>
      <c r="D523" s="1711">
        <f>C523</f>
        <v/>
      </c>
      <c r="E523" s="1613">
        <f>E522+D523</f>
        <v/>
      </c>
      <c r="F523" s="1613">
        <f>F522-D522</f>
        <v/>
      </c>
      <c r="G523" s="1614">
        <f>G522-D523</f>
        <v/>
      </c>
      <c r="H523" s="1712" t="n"/>
    </row>
    <row r="524" ht="26.8" customHeight="1" s="882">
      <c r="A524" s="1610" t="inlineStr">
        <is>
          <t>JT.#287</t>
        </is>
      </c>
      <c r="B524" s="1610" t="inlineStr">
        <is>
          <t>3-1/2" TUBING 9.2 LB/FT ALLOY 28 TSH BL</t>
        </is>
      </c>
      <c r="C524" s="1611" t="n">
        <v>31</v>
      </c>
      <c r="D524" s="1711">
        <f>C524</f>
        <v/>
      </c>
      <c r="E524" s="1613">
        <f>E523+D524</f>
        <v/>
      </c>
      <c r="F524" s="1613">
        <f>F523-D523</f>
        <v/>
      </c>
      <c r="G524" s="1614">
        <f>G523-D524</f>
        <v/>
      </c>
      <c r="H524" s="1712" t="n"/>
    </row>
    <row r="525" ht="26.8" customHeight="1" s="882">
      <c r="A525" s="1610" t="inlineStr">
        <is>
          <t>JT.#288</t>
        </is>
      </c>
      <c r="B525" s="1610" t="inlineStr">
        <is>
          <t>3-1/2" TUBING 9.2 LB/FT ALLOY 28 TSH BL</t>
        </is>
      </c>
      <c r="C525" s="1611" t="n">
        <v>31</v>
      </c>
      <c r="D525" s="1711">
        <f>C525</f>
        <v/>
      </c>
      <c r="E525" s="1613">
        <f>E524+D525</f>
        <v/>
      </c>
      <c r="F525" s="1613">
        <f>F524-D524</f>
        <v/>
      </c>
      <c r="G525" s="1614">
        <f>G524-D525</f>
        <v/>
      </c>
      <c r="H525" s="1712" t="n"/>
    </row>
    <row r="526" ht="26.8" customHeight="1" s="882">
      <c r="A526" s="1610" t="inlineStr">
        <is>
          <t>JT.#289</t>
        </is>
      </c>
      <c r="B526" s="1610" t="inlineStr">
        <is>
          <t>3-1/2" TUBING 9.2 LB/FT ALLOY 28 TSH BL</t>
        </is>
      </c>
      <c r="C526" s="1611" t="n">
        <v>31</v>
      </c>
      <c r="D526" s="1711">
        <f>C526</f>
        <v/>
      </c>
      <c r="E526" s="1613">
        <f>E525+D526</f>
        <v/>
      </c>
      <c r="F526" s="1613">
        <f>F525-D525</f>
        <v/>
      </c>
      <c r="G526" s="1614">
        <f>G525-D526</f>
        <v/>
      </c>
      <c r="H526" s="1712" t="n"/>
    </row>
    <row r="527" ht="26.8" customHeight="1" s="882">
      <c r="A527" s="1610" t="inlineStr">
        <is>
          <t>JT.#290</t>
        </is>
      </c>
      <c r="B527" s="1610" t="inlineStr">
        <is>
          <t>3-1/2" TUBING 9.2 LB/FT ALLOY 28 TSH BL</t>
        </is>
      </c>
      <c r="C527" s="1611" t="n">
        <v>31</v>
      </c>
      <c r="D527" s="1711">
        <f>C527</f>
        <v/>
      </c>
      <c r="E527" s="1613">
        <f>E526+D527</f>
        <v/>
      </c>
      <c r="F527" s="1613">
        <f>F526-D526</f>
        <v/>
      </c>
      <c r="G527" s="1614">
        <f>G526-D527</f>
        <v/>
      </c>
      <c r="H527" s="1712" t="n"/>
    </row>
    <row r="528" ht="26.8" customHeight="1" s="882">
      <c r="A528" s="1610" t="inlineStr">
        <is>
          <t>JT.#291</t>
        </is>
      </c>
      <c r="B528" s="1610" t="inlineStr">
        <is>
          <t>3-1/2" TUBING 9.2 LB/FT ALLOY 28 TSH BL</t>
        </is>
      </c>
      <c r="C528" s="1611" t="n">
        <v>31</v>
      </c>
      <c r="D528" s="1711">
        <f>C528</f>
        <v/>
      </c>
      <c r="E528" s="1613">
        <f>E527+D528</f>
        <v/>
      </c>
      <c r="F528" s="1613">
        <f>F527-D527</f>
        <v/>
      </c>
      <c r="G528" s="1614">
        <f>G527-D528</f>
        <v/>
      </c>
      <c r="H528" s="1712" t="n"/>
    </row>
    <row r="529" ht="26.8" customHeight="1" s="882">
      <c r="A529" s="1610" t="inlineStr">
        <is>
          <t>JT.#292</t>
        </is>
      </c>
      <c r="B529" s="1610" t="inlineStr">
        <is>
          <t>3-1/2" TUBING 9.2 LB/FT ALLOY 28 TSH BL</t>
        </is>
      </c>
      <c r="C529" s="1611" t="n">
        <v>31</v>
      </c>
      <c r="D529" s="1711">
        <f>C529</f>
        <v/>
      </c>
      <c r="E529" s="1613">
        <f>E528+D529</f>
        <v/>
      </c>
      <c r="F529" s="1613">
        <f>F528-D528</f>
        <v/>
      </c>
      <c r="G529" s="1614">
        <f>G528-D529</f>
        <v/>
      </c>
      <c r="H529" s="1712" t="n"/>
    </row>
    <row r="530" ht="26.8" customHeight="1" s="882">
      <c r="A530" s="1610" t="inlineStr">
        <is>
          <t>JT.#293</t>
        </is>
      </c>
      <c r="B530" s="1610" t="inlineStr">
        <is>
          <t>3-1/2" TUBING 9.2 LB/FT ALLOY 28 TSH BL</t>
        </is>
      </c>
      <c r="C530" s="1611" t="n">
        <v>31</v>
      </c>
      <c r="D530" s="1711">
        <f>C530</f>
        <v/>
      </c>
      <c r="E530" s="1613">
        <f>E529+D530</f>
        <v/>
      </c>
      <c r="F530" s="1613">
        <f>F529-D529</f>
        <v/>
      </c>
      <c r="G530" s="1614">
        <f>G529-D530</f>
        <v/>
      </c>
      <c r="H530" s="1712" t="n"/>
    </row>
    <row r="531" ht="26.8" customHeight="1" s="882">
      <c r="A531" s="1610" t="inlineStr">
        <is>
          <t>JT.#294</t>
        </is>
      </c>
      <c r="B531" s="1610" t="inlineStr">
        <is>
          <t>3-1/2" TUBING 9.2 LB/FT ALLOY 28 TSH BL</t>
        </is>
      </c>
      <c r="C531" s="1611" t="n">
        <v>31</v>
      </c>
      <c r="D531" s="1711">
        <f>C531</f>
        <v/>
      </c>
      <c r="E531" s="1613">
        <f>E530+D531</f>
        <v/>
      </c>
      <c r="F531" s="1613">
        <f>F530-D530</f>
        <v/>
      </c>
      <c r="G531" s="1614">
        <f>G530-D531</f>
        <v/>
      </c>
      <c r="H531" s="1712" t="n"/>
    </row>
    <row r="532" ht="26.8" customHeight="1" s="882">
      <c r="A532" s="1610" t="inlineStr">
        <is>
          <t>JT.#295</t>
        </is>
      </c>
      <c r="B532" s="1610" t="inlineStr">
        <is>
          <t>3-1/2" TUBING 9.2 LB/FT ALLOY 28 TSH BL</t>
        </is>
      </c>
      <c r="C532" s="1611" t="n">
        <v>31</v>
      </c>
      <c r="D532" s="1711">
        <f>C532</f>
        <v/>
      </c>
      <c r="E532" s="1613">
        <f>E531+D532</f>
        <v/>
      </c>
      <c r="F532" s="1613">
        <f>F531-D531</f>
        <v/>
      </c>
      <c r="G532" s="1614">
        <f>G531-D532</f>
        <v/>
      </c>
      <c r="H532" s="1712" t="n"/>
    </row>
    <row r="533" ht="26.8" customHeight="1" s="882">
      <c r="A533" s="1610" t="inlineStr">
        <is>
          <t>JT.#296</t>
        </is>
      </c>
      <c r="B533" s="1610" t="inlineStr">
        <is>
          <t>3-1/2" TUBING 9.2 LB/FT ALLOY 28 TSH BL</t>
        </is>
      </c>
      <c r="C533" s="1611" t="n">
        <v>31</v>
      </c>
      <c r="D533" s="1711">
        <f>C533</f>
        <v/>
      </c>
      <c r="E533" s="1613">
        <f>E532+D533</f>
        <v/>
      </c>
      <c r="F533" s="1613">
        <f>F532-D532</f>
        <v/>
      </c>
      <c r="G533" s="1614">
        <f>G532-D533</f>
        <v/>
      </c>
      <c r="H533" s="1712" t="n"/>
    </row>
    <row r="534" ht="26.8" customHeight="1" s="882">
      <c r="A534" s="1610" t="inlineStr">
        <is>
          <t>JT.#297</t>
        </is>
      </c>
      <c r="B534" s="1610" t="inlineStr">
        <is>
          <t>3-1/2" TUBING 9.2 LB/FT ALLOY 28 TSH BL</t>
        </is>
      </c>
      <c r="C534" s="1611" t="n">
        <v>31</v>
      </c>
      <c r="D534" s="1711">
        <f>C534</f>
        <v/>
      </c>
      <c r="E534" s="1613">
        <f>E533+D534</f>
        <v/>
      </c>
      <c r="F534" s="1613">
        <f>F533-D533</f>
        <v/>
      </c>
      <c r="G534" s="1614">
        <f>G533-D534</f>
        <v/>
      </c>
      <c r="H534" s="1712" t="n"/>
    </row>
    <row r="535" ht="26.8" customHeight="1" s="882">
      <c r="A535" s="1610" t="inlineStr">
        <is>
          <t>JT.#298</t>
        </is>
      </c>
      <c r="B535" s="1610" t="inlineStr">
        <is>
          <t>3-1/2" TUBING 9.2 LB/FT ALLOY 28 TSH BL</t>
        </is>
      </c>
      <c r="C535" s="1611" t="n">
        <v>31</v>
      </c>
      <c r="D535" s="1711">
        <f>C535</f>
        <v/>
      </c>
      <c r="E535" s="1613">
        <f>E534+D535</f>
        <v/>
      </c>
      <c r="F535" s="1613">
        <f>F534-D534</f>
        <v/>
      </c>
      <c r="G535" s="1614">
        <f>G534-D535</f>
        <v/>
      </c>
      <c r="H535" s="1712" t="n"/>
    </row>
    <row r="536" ht="26.8" customHeight="1" s="882">
      <c r="A536" s="1610" t="inlineStr">
        <is>
          <t>JT.#299</t>
        </is>
      </c>
      <c r="B536" s="1610" t="inlineStr">
        <is>
          <t>3-1/2" TUBING 9.2 LB/FT ALLOY 28 TSH BL</t>
        </is>
      </c>
      <c r="C536" s="1611" t="n">
        <v>31</v>
      </c>
      <c r="D536" s="1711">
        <f>C536</f>
        <v/>
      </c>
      <c r="E536" s="1613">
        <f>E535+D536</f>
        <v/>
      </c>
      <c r="F536" s="1613">
        <f>F535-D535</f>
        <v/>
      </c>
      <c r="G536" s="1614">
        <f>G535-D536</f>
        <v/>
      </c>
      <c r="H536" s="1712" t="n"/>
    </row>
    <row r="537" ht="26.8" customHeight="1" s="882">
      <c r="A537" s="1610" t="inlineStr">
        <is>
          <t>JT.#300</t>
        </is>
      </c>
      <c r="B537" s="1610" t="inlineStr">
        <is>
          <t>3-1/2" TUBING 9.2 LB/FT ALLOY 28 TSH BL</t>
        </is>
      </c>
      <c r="C537" s="1611" t="n">
        <v>31</v>
      </c>
      <c r="D537" s="1711">
        <f>C537</f>
        <v/>
      </c>
      <c r="E537" s="1613">
        <f>E536+D537</f>
        <v/>
      </c>
      <c r="F537" s="1613">
        <f>F536-D536</f>
        <v/>
      </c>
      <c r="G537" s="1614">
        <f>G536-D537</f>
        <v/>
      </c>
      <c r="H537" s="1712" t="n"/>
    </row>
    <row r="538" ht="26.8" customHeight="1" s="882">
      <c r="A538" s="1610" t="inlineStr">
        <is>
          <t>JT.#301</t>
        </is>
      </c>
      <c r="B538" s="1610" t="inlineStr">
        <is>
          <t>3-1/2" TUBING 9.2 LB/FT ALLOY 28 TSH BL</t>
        </is>
      </c>
      <c r="C538" s="1611" t="n">
        <v>31</v>
      </c>
      <c r="D538" s="1711">
        <f>C538</f>
        <v/>
      </c>
      <c r="E538" s="1613">
        <f>E537+D538</f>
        <v/>
      </c>
      <c r="F538" s="1613">
        <f>F537-D537</f>
        <v/>
      </c>
      <c r="G538" s="1614">
        <f>G537-D538</f>
        <v/>
      </c>
      <c r="H538" s="1712" t="n"/>
    </row>
    <row r="539" ht="26.8" customHeight="1" s="882">
      <c r="A539" s="1610" t="inlineStr">
        <is>
          <t>JT.#302</t>
        </is>
      </c>
      <c r="B539" s="1610" t="inlineStr">
        <is>
          <t>3-1/2" TUBING 9.2 LB/FT ALLOY 28 TSH BL</t>
        </is>
      </c>
      <c r="C539" s="1611" t="n">
        <v>31</v>
      </c>
      <c r="D539" s="1711">
        <f>C539</f>
        <v/>
      </c>
      <c r="E539" s="1613">
        <f>E538+D539</f>
        <v/>
      </c>
      <c r="F539" s="1613">
        <f>F538-D538</f>
        <v/>
      </c>
      <c r="G539" s="1614">
        <f>G538-D539</f>
        <v/>
      </c>
      <c r="H539" s="1712" t="n"/>
    </row>
    <row r="540" ht="26.8" customHeight="1" s="882">
      <c r="A540" s="1610" t="inlineStr">
        <is>
          <t>JT.#303</t>
        </is>
      </c>
      <c r="B540" s="1610" t="inlineStr">
        <is>
          <t>3-1/2" TUBING 9.2 LB/FT ALLOY 28 TSH BL</t>
        </is>
      </c>
      <c r="C540" s="1611" t="n">
        <v>31</v>
      </c>
      <c r="D540" s="1711">
        <f>C540</f>
        <v/>
      </c>
      <c r="E540" s="1613">
        <f>E539+D540</f>
        <v/>
      </c>
      <c r="F540" s="1613">
        <f>F539-D539</f>
        <v/>
      </c>
      <c r="G540" s="1614">
        <f>G539-D540</f>
        <v/>
      </c>
      <c r="H540" s="1712" t="n"/>
    </row>
    <row r="541" ht="26.8" customHeight="1" s="882">
      <c r="A541" s="1610" t="inlineStr">
        <is>
          <t>JT.#304</t>
        </is>
      </c>
      <c r="B541" s="1610" t="inlineStr">
        <is>
          <t>3-1/2" TUBING 9.2 LB/FT ALLOY 28 TSH BL</t>
        </is>
      </c>
      <c r="C541" s="1611" t="n">
        <v>31</v>
      </c>
      <c r="D541" s="1711">
        <f>C541</f>
        <v/>
      </c>
      <c r="E541" s="1613">
        <f>E540+D541</f>
        <v/>
      </c>
      <c r="F541" s="1613">
        <f>F540-D540</f>
        <v/>
      </c>
      <c r="G541" s="1614">
        <f>G540-D541</f>
        <v/>
      </c>
      <c r="H541" s="1712" t="n"/>
    </row>
    <row r="542" ht="26.8" customHeight="1" s="882">
      <c r="A542" s="1610" t="inlineStr">
        <is>
          <t>JT.#305</t>
        </is>
      </c>
      <c r="B542" s="1610" t="inlineStr">
        <is>
          <t>3-1/2" TUBING 9.2 LB/FT ALLOY 28 TSH BL</t>
        </is>
      </c>
      <c r="C542" s="1611" t="n">
        <v>31</v>
      </c>
      <c r="D542" s="1711">
        <f>C542</f>
        <v/>
      </c>
      <c r="E542" s="1613">
        <f>E541+D542</f>
        <v/>
      </c>
      <c r="F542" s="1613">
        <f>F541-D541</f>
        <v/>
      </c>
      <c r="G542" s="1614">
        <f>G541-D542</f>
        <v/>
      </c>
      <c r="H542" s="1712" t="n"/>
    </row>
    <row r="543" ht="26.8" customHeight="1" s="882">
      <c r="A543" s="1610" t="inlineStr">
        <is>
          <t>JT.#306</t>
        </is>
      </c>
      <c r="B543" s="1610" t="inlineStr">
        <is>
          <t>3-1/2" TUBING 9.2 LB/FT ALLOY 28 TSH BL</t>
        </is>
      </c>
      <c r="C543" s="1611" t="n">
        <v>31</v>
      </c>
      <c r="D543" s="1711">
        <f>C543</f>
        <v/>
      </c>
      <c r="E543" s="1613">
        <f>E542+D543</f>
        <v/>
      </c>
      <c r="F543" s="1613">
        <f>F542-D542</f>
        <v/>
      </c>
      <c r="G543" s="1614">
        <f>G542-D543</f>
        <v/>
      </c>
      <c r="H543" s="1712" t="n"/>
    </row>
    <row r="544" ht="26.8" customHeight="1" s="882">
      <c r="A544" s="1610" t="inlineStr">
        <is>
          <t>JT.#307</t>
        </is>
      </c>
      <c r="B544" s="1610" t="inlineStr">
        <is>
          <t>3-1/2" TUBING 9.2 LB/FT ALLOY 28 TSH BL</t>
        </is>
      </c>
      <c r="C544" s="1611" t="n">
        <v>31</v>
      </c>
      <c r="D544" s="1711">
        <f>C544</f>
        <v/>
      </c>
      <c r="E544" s="1613">
        <f>E543+D544</f>
        <v/>
      </c>
      <c r="F544" s="1613">
        <f>F543-D543</f>
        <v/>
      </c>
      <c r="G544" s="1614">
        <f>G543-D544</f>
        <v/>
      </c>
      <c r="H544" s="1712" t="n"/>
    </row>
    <row r="545" ht="26.8" customHeight="1" s="882">
      <c r="A545" s="1610" t="inlineStr">
        <is>
          <t>JT.#308</t>
        </is>
      </c>
      <c r="B545" s="1610" t="inlineStr">
        <is>
          <t>3-1/2" TUBING 9.2 LB/FT ALLOY 28 TSH BL</t>
        </is>
      </c>
      <c r="C545" s="1611" t="n">
        <v>31</v>
      </c>
      <c r="D545" s="1711">
        <f>C545</f>
        <v/>
      </c>
      <c r="E545" s="1613">
        <f>E544+D545</f>
        <v/>
      </c>
      <c r="F545" s="1613">
        <f>F544-D544</f>
        <v/>
      </c>
      <c r="G545" s="1614">
        <f>G544-D545</f>
        <v/>
      </c>
      <c r="H545" s="1712" t="n"/>
    </row>
    <row r="546" ht="26.8" customHeight="1" s="882">
      <c r="A546" s="1610" t="inlineStr">
        <is>
          <t>JT.#309</t>
        </is>
      </c>
      <c r="B546" s="1610" t="inlineStr">
        <is>
          <t>3-1/2" TUBING 9.2 LB/FT ALLOY 28 TSH BL</t>
        </is>
      </c>
      <c r="C546" s="1611" t="n">
        <v>31</v>
      </c>
      <c r="D546" s="1711">
        <f>C546</f>
        <v/>
      </c>
      <c r="E546" s="1613">
        <f>E545+D546</f>
        <v/>
      </c>
      <c r="F546" s="1613">
        <f>F545-D545</f>
        <v/>
      </c>
      <c r="G546" s="1614">
        <f>G545-D546</f>
        <v/>
      </c>
      <c r="H546" s="1712" t="n"/>
    </row>
    <row r="547" ht="26.8" customHeight="1" s="882">
      <c r="A547" s="1610" t="inlineStr">
        <is>
          <t>JT.#310</t>
        </is>
      </c>
      <c r="B547" s="1610" t="inlineStr">
        <is>
          <t>3-1/2" TUBING 9.2 LB/FT ALLOY 28 TSH BL</t>
        </is>
      </c>
      <c r="C547" s="1611" t="n">
        <v>31</v>
      </c>
      <c r="D547" s="1711">
        <f>C547</f>
        <v/>
      </c>
      <c r="E547" s="1613">
        <f>E546+D547</f>
        <v/>
      </c>
      <c r="F547" s="1613">
        <f>F546-D546</f>
        <v/>
      </c>
      <c r="G547" s="1614">
        <f>G546-D547</f>
        <v/>
      </c>
      <c r="H547" s="1712" t="n"/>
    </row>
    <row r="548" ht="26.8" customHeight="1" s="882">
      <c r="A548" s="1610" t="inlineStr">
        <is>
          <t>JT.#311</t>
        </is>
      </c>
      <c r="B548" s="1610" t="inlineStr">
        <is>
          <t>3-1/2" TUBING 9.2 LB/FT ALLOY 28 TSH BL</t>
        </is>
      </c>
      <c r="C548" s="1611" t="n">
        <v>31</v>
      </c>
      <c r="D548" s="1711">
        <f>C548</f>
        <v/>
      </c>
      <c r="E548" s="1613">
        <f>E547+D548</f>
        <v/>
      </c>
      <c r="F548" s="1613">
        <f>F547-D547</f>
        <v/>
      </c>
      <c r="G548" s="1614">
        <f>G547-D548</f>
        <v/>
      </c>
      <c r="H548" s="1712" t="n"/>
    </row>
    <row r="549" ht="26.8" customHeight="1" s="882">
      <c r="A549" s="1610" t="inlineStr">
        <is>
          <t>JT.#312</t>
        </is>
      </c>
      <c r="B549" s="1610" t="inlineStr">
        <is>
          <t>3-1/2" TUBING 9.2 LB/FT ALLOY 28 TSH BL</t>
        </is>
      </c>
      <c r="C549" s="1611" t="n">
        <v>31</v>
      </c>
      <c r="D549" s="1711">
        <f>C549</f>
        <v/>
      </c>
      <c r="E549" s="1613">
        <f>E548+D549</f>
        <v/>
      </c>
      <c r="F549" s="1613">
        <f>F548-D548</f>
        <v/>
      </c>
      <c r="G549" s="1614">
        <f>G548-D549</f>
        <v/>
      </c>
      <c r="H549" s="1712" t="n"/>
    </row>
    <row r="550" ht="26.8" customHeight="1" s="882">
      <c r="A550" s="1610" t="inlineStr">
        <is>
          <t>JT.#313</t>
        </is>
      </c>
      <c r="B550" s="1610" t="inlineStr">
        <is>
          <t>3-1/2" TUBING 9.2 LB/FT ALLOY 28 TSH BL</t>
        </is>
      </c>
      <c r="C550" s="1611" t="n">
        <v>31</v>
      </c>
      <c r="D550" s="1711">
        <f>C550</f>
        <v/>
      </c>
      <c r="E550" s="1613">
        <f>E549+D550</f>
        <v/>
      </c>
      <c r="F550" s="1613">
        <f>F549-D549</f>
        <v/>
      </c>
      <c r="G550" s="1614">
        <f>G549-D550</f>
        <v/>
      </c>
      <c r="H550" s="1712" t="n"/>
    </row>
    <row r="551" ht="26.8" customHeight="1" s="882">
      <c r="A551" s="1610" t="inlineStr">
        <is>
          <t>JT.#314</t>
        </is>
      </c>
      <c r="B551" s="1610" t="inlineStr">
        <is>
          <t>3-1/2" TUBING 9.2 LB/FT ALLOY 28 TSH BL</t>
        </is>
      </c>
      <c r="C551" s="1611" t="n">
        <v>31</v>
      </c>
      <c r="D551" s="1711">
        <f>C551</f>
        <v/>
      </c>
      <c r="E551" s="1613">
        <f>E550+D551</f>
        <v/>
      </c>
      <c r="F551" s="1613">
        <f>F550-D550</f>
        <v/>
      </c>
      <c r="G551" s="1614">
        <f>G550-D551</f>
        <v/>
      </c>
      <c r="H551" s="1712" t="n"/>
    </row>
    <row r="552" ht="26.8" customHeight="1" s="882">
      <c r="A552" s="1610" t="inlineStr">
        <is>
          <t>JT.#315</t>
        </is>
      </c>
      <c r="B552" s="1610" t="inlineStr">
        <is>
          <t>3-1/2" TUBING 9.2 LB/FT ALLOY 28 TSH BL</t>
        </is>
      </c>
      <c r="C552" s="1611" t="n">
        <v>31</v>
      </c>
      <c r="D552" s="1711">
        <f>C552</f>
        <v/>
      </c>
      <c r="E552" s="1613">
        <f>E551+D552</f>
        <v/>
      </c>
      <c r="F552" s="1613">
        <f>F551-D551</f>
        <v/>
      </c>
      <c r="G552" s="1614">
        <f>G551-D552</f>
        <v/>
      </c>
      <c r="H552" s="1712" t="n"/>
    </row>
    <row r="553" ht="26.8" customHeight="1" s="882">
      <c r="A553" s="1610" t="inlineStr">
        <is>
          <t>JT.#316</t>
        </is>
      </c>
      <c r="B553" s="1610" t="inlineStr">
        <is>
          <t>3-1/2" TUBING 9.2 LB/FT ALLOY 28 TSH BL</t>
        </is>
      </c>
      <c r="C553" s="1611" t="n">
        <v>31</v>
      </c>
      <c r="D553" s="1711">
        <f>C553</f>
        <v/>
      </c>
      <c r="E553" s="1613">
        <f>E552+D553</f>
        <v/>
      </c>
      <c r="F553" s="1613">
        <f>F552-D552</f>
        <v/>
      </c>
      <c r="G553" s="1614">
        <f>G552-D553</f>
        <v/>
      </c>
      <c r="H553" s="1712" t="n"/>
    </row>
    <row r="554" ht="26.8" customHeight="1" s="882">
      <c r="A554" s="1610" t="inlineStr">
        <is>
          <t>JT.#317</t>
        </is>
      </c>
      <c r="B554" s="1610" t="inlineStr">
        <is>
          <t>3-1/2" TUBING 9.2 LB/FT ALLOY 28 TSH BL</t>
        </is>
      </c>
      <c r="C554" s="1611" t="n">
        <v>31</v>
      </c>
      <c r="D554" s="1711">
        <f>C554</f>
        <v/>
      </c>
      <c r="E554" s="1613">
        <f>E553+D554</f>
        <v/>
      </c>
      <c r="F554" s="1613">
        <f>F553-D553</f>
        <v/>
      </c>
      <c r="G554" s="1614">
        <f>G553-D554</f>
        <v/>
      </c>
      <c r="H554" s="1712" t="n"/>
    </row>
    <row r="555" ht="26.8" customHeight="1" s="882">
      <c r="A555" s="1610" t="inlineStr">
        <is>
          <t>JT.#318</t>
        </is>
      </c>
      <c r="B555" s="1610" t="inlineStr">
        <is>
          <t>3-1/2" TUBING 9.2 LB/FT ALLOY 28 TSH BL</t>
        </is>
      </c>
      <c r="C555" s="1611" t="n">
        <v>31</v>
      </c>
      <c r="D555" s="1711">
        <f>C555</f>
        <v/>
      </c>
      <c r="E555" s="1613">
        <f>E554+D555</f>
        <v/>
      </c>
      <c r="F555" s="1613">
        <f>F554-D554</f>
        <v/>
      </c>
      <c r="G555" s="1614">
        <f>G554-D555</f>
        <v/>
      </c>
      <c r="H555" s="1712" t="n"/>
    </row>
    <row r="556" ht="26.8" customHeight="1" s="882">
      <c r="A556" s="1610" t="inlineStr">
        <is>
          <t>JT.#319</t>
        </is>
      </c>
      <c r="B556" s="1610" t="inlineStr">
        <is>
          <t>3-1/2" TUBING 9.2 LB/FT ALLOY 28 TSH BL</t>
        </is>
      </c>
      <c r="C556" s="1611" t="n">
        <v>31</v>
      </c>
      <c r="D556" s="1711">
        <f>C556</f>
        <v/>
      </c>
      <c r="E556" s="1613">
        <f>E555+D556</f>
        <v/>
      </c>
      <c r="F556" s="1613">
        <f>F555-D555</f>
        <v/>
      </c>
      <c r="G556" s="1614">
        <f>G555-D556</f>
        <v/>
      </c>
      <c r="H556" s="1712" t="n"/>
    </row>
    <row r="557" ht="26.8" customHeight="1" s="882">
      <c r="A557" s="1610" t="inlineStr">
        <is>
          <t>JT.#320</t>
        </is>
      </c>
      <c r="B557" s="1610" t="inlineStr">
        <is>
          <t>3-1/2" TUBING 9.2 LB/FT ALLOY 28 TSH BL</t>
        </is>
      </c>
      <c r="C557" s="1611" t="n">
        <v>31</v>
      </c>
      <c r="D557" s="1711">
        <f>C557</f>
        <v/>
      </c>
      <c r="E557" s="1613">
        <f>E556+D557</f>
        <v/>
      </c>
      <c r="F557" s="1613">
        <f>F556-D556</f>
        <v/>
      </c>
      <c r="G557" s="1614">
        <f>G556-D557</f>
        <v/>
      </c>
      <c r="H557" s="1712" t="n"/>
    </row>
    <row r="558" ht="26.8" customHeight="1" s="882">
      <c r="A558" s="1610" t="inlineStr">
        <is>
          <t>JT.#321</t>
        </is>
      </c>
      <c r="B558" s="1610" t="inlineStr">
        <is>
          <t>3-1/2" TUBING 9.2 LB/FT ALLOY 28 TSH BL</t>
        </is>
      </c>
      <c r="C558" s="1611" t="n">
        <v>31</v>
      </c>
      <c r="D558" s="1711">
        <f>C558</f>
        <v/>
      </c>
      <c r="E558" s="1613">
        <f>E557+D558</f>
        <v/>
      </c>
      <c r="F558" s="1613">
        <f>F557-D557</f>
        <v/>
      </c>
      <c r="G558" s="1614">
        <f>G557-D558</f>
        <v/>
      </c>
      <c r="H558" s="1712" t="n"/>
    </row>
    <row r="559" ht="26.8" customHeight="1" s="882">
      <c r="A559" s="1610" t="inlineStr">
        <is>
          <t>JT.#322</t>
        </is>
      </c>
      <c r="B559" s="1610" t="inlineStr">
        <is>
          <t>3-1/2" TUBING 9.2 LB/FT ALLOY 28 TSH BL</t>
        </is>
      </c>
      <c r="C559" s="1611" t="n">
        <v>31</v>
      </c>
      <c r="D559" s="1711">
        <f>C559</f>
        <v/>
      </c>
      <c r="E559" s="1613">
        <f>E558+D559</f>
        <v/>
      </c>
      <c r="F559" s="1613">
        <f>F558-D558</f>
        <v/>
      </c>
      <c r="G559" s="1614">
        <f>G558-D559</f>
        <v/>
      </c>
      <c r="H559" s="1712" t="n"/>
    </row>
    <row r="560" ht="26.8" customHeight="1" s="882">
      <c r="A560" s="1610" t="inlineStr">
        <is>
          <t>JT.#323</t>
        </is>
      </c>
      <c r="B560" s="1610" t="inlineStr">
        <is>
          <t>3-1/2" TUBING 9.2 LB/FT ALLOY 28 TSH BL</t>
        </is>
      </c>
      <c r="C560" s="1611" t="n">
        <v>31</v>
      </c>
      <c r="D560" s="1711">
        <f>C560</f>
        <v/>
      </c>
      <c r="E560" s="1613">
        <f>E559+D560</f>
        <v/>
      </c>
      <c r="F560" s="1613">
        <f>F559-D559</f>
        <v/>
      </c>
      <c r="G560" s="1614">
        <f>G559-D560</f>
        <v/>
      </c>
      <c r="H560" s="1712" t="n"/>
    </row>
    <row r="561" ht="26.8" customHeight="1" s="882">
      <c r="A561" s="1610" t="inlineStr">
        <is>
          <t>JT.#324</t>
        </is>
      </c>
      <c r="B561" s="1610" t="inlineStr">
        <is>
          <t>3-1/2" TUBING 9.2 LB/FT ALLOY 28 TSH BL</t>
        </is>
      </c>
      <c r="C561" s="1611" t="n">
        <v>31</v>
      </c>
      <c r="D561" s="1711">
        <f>C561</f>
        <v/>
      </c>
      <c r="E561" s="1613">
        <f>E560+D561</f>
        <v/>
      </c>
      <c r="F561" s="1613">
        <f>F560-D560</f>
        <v/>
      </c>
      <c r="G561" s="1614">
        <f>G560-D561</f>
        <v/>
      </c>
      <c r="H561" s="1712" t="n"/>
    </row>
    <row r="562" ht="26.8" customHeight="1" s="882">
      <c r="A562" s="1610" t="inlineStr">
        <is>
          <t>JT.#325</t>
        </is>
      </c>
      <c r="B562" s="1610" t="inlineStr">
        <is>
          <t>3-1/2" TUBING 9.2 LB/FT ALLOY 28 TSH BL</t>
        </is>
      </c>
      <c r="C562" s="1611" t="n">
        <v>31</v>
      </c>
      <c r="D562" s="1711">
        <f>C562</f>
        <v/>
      </c>
      <c r="E562" s="1613">
        <f>E561+D562</f>
        <v/>
      </c>
      <c r="F562" s="1613">
        <f>F561-D561</f>
        <v/>
      </c>
      <c r="G562" s="1614">
        <f>G561-D562</f>
        <v/>
      </c>
      <c r="H562" s="1712" t="n"/>
    </row>
    <row r="563" ht="26.8" customHeight="1" s="882">
      <c r="A563" s="1610" t="inlineStr">
        <is>
          <t>JT.#326</t>
        </is>
      </c>
      <c r="B563" s="1610" t="inlineStr">
        <is>
          <t>3-1/2" TUBING 9.2 LB/FT ALLOY 28 TSH BL</t>
        </is>
      </c>
      <c r="C563" s="1611" t="n">
        <v>31</v>
      </c>
      <c r="D563" s="1711">
        <f>C563</f>
        <v/>
      </c>
      <c r="E563" s="1613">
        <f>E562+D563</f>
        <v/>
      </c>
      <c r="F563" s="1613">
        <f>F562-D562</f>
        <v/>
      </c>
      <c r="G563" s="1614">
        <f>G562-D563</f>
        <v/>
      </c>
      <c r="H563" s="1712" t="n"/>
    </row>
    <row r="564" ht="26.8" customHeight="1" s="882">
      <c r="A564" s="1610" t="inlineStr">
        <is>
          <t>JT.#327</t>
        </is>
      </c>
      <c r="B564" s="1610" t="inlineStr">
        <is>
          <t>3-1/2" TUBING 9.2 LB/FT ALLOY 28 TSH BL</t>
        </is>
      </c>
      <c r="C564" s="1611" t="n">
        <v>31</v>
      </c>
      <c r="D564" s="1711">
        <f>C564</f>
        <v/>
      </c>
      <c r="E564" s="1613">
        <f>E563+D564</f>
        <v/>
      </c>
      <c r="F564" s="1613">
        <f>F563-D563</f>
        <v/>
      </c>
      <c r="G564" s="1614">
        <f>G563-D564</f>
        <v/>
      </c>
      <c r="H564" s="1712" t="n"/>
    </row>
    <row r="565" ht="26.8" customHeight="1" s="882">
      <c r="A565" s="1610" t="inlineStr">
        <is>
          <t>JT.#328</t>
        </is>
      </c>
      <c r="B565" s="1610" t="inlineStr">
        <is>
          <t>3-1/2" TUBING 9.2 LB/FT ALLOY 28 TSH BL</t>
        </is>
      </c>
      <c r="C565" s="1611" t="n">
        <v>31</v>
      </c>
      <c r="D565" s="1711">
        <f>C565</f>
        <v/>
      </c>
      <c r="E565" s="1613">
        <f>E564+D565</f>
        <v/>
      </c>
      <c r="F565" s="1613">
        <f>F564-D564</f>
        <v/>
      </c>
      <c r="G565" s="1614">
        <f>G564-D565</f>
        <v/>
      </c>
      <c r="H565" s="1712" t="n"/>
    </row>
    <row r="566" ht="26.8" customHeight="1" s="882">
      <c r="A566" s="1610" t="inlineStr">
        <is>
          <t>JT.#329</t>
        </is>
      </c>
      <c r="B566" s="1610" t="inlineStr">
        <is>
          <t>3-1/2" TUBING 9.2 LB/FT ALLOY 28 TSH BL</t>
        </is>
      </c>
      <c r="C566" s="1611" t="n">
        <v>31</v>
      </c>
      <c r="D566" s="1711">
        <f>C566</f>
        <v/>
      </c>
      <c r="E566" s="1613">
        <f>E565+D566</f>
        <v/>
      </c>
      <c r="F566" s="1613">
        <f>F565-D565</f>
        <v/>
      </c>
      <c r="G566" s="1614">
        <f>G565-D566</f>
        <v/>
      </c>
      <c r="H566" s="1712" t="n"/>
    </row>
    <row r="567" ht="26.8" customHeight="1" s="882">
      <c r="A567" s="1610" t="inlineStr">
        <is>
          <t>JT.#330</t>
        </is>
      </c>
      <c r="B567" s="1610" t="inlineStr">
        <is>
          <t>3-1/2" TUBING 9.2 LB/FT ALLOY 28 TSH BL</t>
        </is>
      </c>
      <c r="C567" s="1611" t="n">
        <v>31</v>
      </c>
      <c r="D567" s="1711">
        <f>C567</f>
        <v/>
      </c>
      <c r="E567" s="1613">
        <f>E566+D567</f>
        <v/>
      </c>
      <c r="F567" s="1613">
        <f>F566-D566</f>
        <v/>
      </c>
      <c r="G567" s="1614">
        <f>G566-D567</f>
        <v/>
      </c>
      <c r="H567" s="1712" t="n"/>
    </row>
    <row r="568" ht="26.8" customHeight="1" s="882">
      <c r="A568" s="1610" t="inlineStr">
        <is>
          <t>JT.#331</t>
        </is>
      </c>
      <c r="B568" s="1610" t="inlineStr">
        <is>
          <t>3-1/2" TUBING 9.2 LB/FT ALLOY 28 TSH BL</t>
        </is>
      </c>
      <c r="C568" s="1611" t="n">
        <v>31</v>
      </c>
      <c r="D568" s="1711">
        <f>C568</f>
        <v/>
      </c>
      <c r="E568" s="1613">
        <f>E567+D568</f>
        <v/>
      </c>
      <c r="F568" s="1613">
        <f>F567-D567</f>
        <v/>
      </c>
      <c r="G568" s="1614">
        <f>G567-D568</f>
        <v/>
      </c>
      <c r="H568" s="1712" t="n"/>
    </row>
    <row r="569" ht="26.8" customHeight="1" s="882">
      <c r="A569" s="1610" t="inlineStr">
        <is>
          <t>JT.#332</t>
        </is>
      </c>
      <c r="B569" s="1610" t="inlineStr">
        <is>
          <t>3-1/2" TUBING 9.2 LB/FT ALLOY 28 TSH BL</t>
        </is>
      </c>
      <c r="C569" s="1611" t="n">
        <v>31</v>
      </c>
      <c r="D569" s="1711">
        <f>C569</f>
        <v/>
      </c>
      <c r="E569" s="1613">
        <f>E568+D569</f>
        <v/>
      </c>
      <c r="F569" s="1613">
        <f>F568-D568</f>
        <v/>
      </c>
      <c r="G569" s="1614">
        <f>G568-D569</f>
        <v/>
      </c>
      <c r="H569" s="1712" t="n"/>
    </row>
    <row r="570" ht="26.8" customHeight="1" s="882">
      <c r="A570" s="1610" t="inlineStr">
        <is>
          <t>JT.#333</t>
        </is>
      </c>
      <c r="B570" s="1610" t="inlineStr">
        <is>
          <t>3-1/2" TUBING 9.2 LB/FT ALLOY 28 TSH BL</t>
        </is>
      </c>
      <c r="C570" s="1611" t="n">
        <v>31</v>
      </c>
      <c r="D570" s="1711">
        <f>C570</f>
        <v/>
      </c>
      <c r="E570" s="1613">
        <f>E569+D570</f>
        <v/>
      </c>
      <c r="F570" s="1613">
        <f>F569-D569</f>
        <v/>
      </c>
      <c r="G570" s="1614">
        <f>G569-D570</f>
        <v/>
      </c>
      <c r="H570" s="1712" t="n"/>
    </row>
    <row r="571" ht="26.8" customHeight="1" s="882">
      <c r="A571" s="1610" t="inlineStr">
        <is>
          <t>JT.#334</t>
        </is>
      </c>
      <c r="B571" s="1610" t="inlineStr">
        <is>
          <t>3-1/2" TUBING 9.2 LB/FT ALLOY 28 TSH BL</t>
        </is>
      </c>
      <c r="C571" s="1611" t="n">
        <v>31</v>
      </c>
      <c r="D571" s="1711">
        <f>C571</f>
        <v/>
      </c>
      <c r="E571" s="1613">
        <f>E570+D571</f>
        <v/>
      </c>
      <c r="F571" s="1613">
        <f>F570-D570</f>
        <v/>
      </c>
      <c r="G571" s="1614">
        <f>G570-D571</f>
        <v/>
      </c>
      <c r="H571" s="1712" t="n"/>
    </row>
    <row r="572" ht="26.8" customHeight="1" s="882">
      <c r="A572" s="1610" t="inlineStr">
        <is>
          <t>JT.#335</t>
        </is>
      </c>
      <c r="B572" s="1610" t="inlineStr">
        <is>
          <t>3-1/2" TUBING 9.2 LB/FT ALLOY 28 TSH BL</t>
        </is>
      </c>
      <c r="C572" s="1611" t="n">
        <v>31</v>
      </c>
      <c r="D572" s="1711">
        <f>C572</f>
        <v/>
      </c>
      <c r="E572" s="1613">
        <f>E571+D572</f>
        <v/>
      </c>
      <c r="F572" s="1613">
        <f>F571-D571</f>
        <v/>
      </c>
      <c r="G572" s="1614">
        <f>G571-D572</f>
        <v/>
      </c>
      <c r="H572" s="1712" t="n"/>
    </row>
    <row r="573" ht="26.8" customHeight="1" s="882">
      <c r="A573" s="1610" t="inlineStr">
        <is>
          <t>JT.#336</t>
        </is>
      </c>
      <c r="B573" s="1610" t="inlineStr">
        <is>
          <t>3-1/2" TUBING 9.2 LB/FT ALLOY 28 TSH BL</t>
        </is>
      </c>
      <c r="C573" s="1611" t="n">
        <v>31</v>
      </c>
      <c r="D573" s="1711">
        <f>C573</f>
        <v/>
      </c>
      <c r="E573" s="1613">
        <f>E572+D573</f>
        <v/>
      </c>
      <c r="F573" s="1613">
        <f>F572-D572</f>
        <v/>
      </c>
      <c r="G573" s="1614">
        <f>G572-D573</f>
        <v/>
      </c>
      <c r="H573" s="1712" t="n"/>
    </row>
    <row r="574" ht="26.8" customHeight="1" s="882">
      <c r="A574" s="1610" t="inlineStr">
        <is>
          <t>JT.#337</t>
        </is>
      </c>
      <c r="B574" s="1610" t="inlineStr">
        <is>
          <t>3-1/2" TUBING 9.2 LB/FT ALLOY 28 TSH BL</t>
        </is>
      </c>
      <c r="C574" s="1611" t="n">
        <v>31</v>
      </c>
      <c r="D574" s="1711">
        <f>C574</f>
        <v/>
      </c>
      <c r="E574" s="1613">
        <f>E573+D574</f>
        <v/>
      </c>
      <c r="F574" s="1613">
        <f>F573-D573</f>
        <v/>
      </c>
      <c r="G574" s="1614">
        <f>G573-D574</f>
        <v/>
      </c>
      <c r="H574" s="1712" t="n"/>
    </row>
    <row r="575" ht="26.8" customHeight="1" s="882">
      <c r="A575" s="1610" t="inlineStr">
        <is>
          <t>JT.#338</t>
        </is>
      </c>
      <c r="B575" s="1610" t="inlineStr">
        <is>
          <t>3-1/2" TUBING 9.2 LB/FT ALLOY 28 TSH BL</t>
        </is>
      </c>
      <c r="C575" s="1611" t="n">
        <v>31</v>
      </c>
      <c r="D575" s="1711">
        <f>C575</f>
        <v/>
      </c>
      <c r="E575" s="1613">
        <f>E574+D575</f>
        <v/>
      </c>
      <c r="F575" s="1613">
        <f>F574-D574</f>
        <v/>
      </c>
      <c r="G575" s="1614">
        <f>G574-D575</f>
        <v/>
      </c>
      <c r="H575" s="1712" t="n"/>
    </row>
    <row r="576" ht="26.8" customHeight="1" s="882">
      <c r="A576" s="1610" t="inlineStr">
        <is>
          <t>JT.#339</t>
        </is>
      </c>
      <c r="B576" s="1610" t="inlineStr">
        <is>
          <t>3-1/2" TUBING 9.2 LB/FT ALLOY 28 TSH BL</t>
        </is>
      </c>
      <c r="C576" s="1611" t="n">
        <v>31</v>
      </c>
      <c r="D576" s="1711">
        <f>C576</f>
        <v/>
      </c>
      <c r="E576" s="1613">
        <f>E575+D576</f>
        <v/>
      </c>
      <c r="F576" s="1613">
        <f>F575-D575</f>
        <v/>
      </c>
      <c r="G576" s="1614">
        <f>G575-D576</f>
        <v/>
      </c>
      <c r="H576" s="1712" t="n"/>
    </row>
    <row r="577" ht="26.8" customHeight="1" s="882">
      <c r="A577" s="1610" t="inlineStr">
        <is>
          <t>JT.#340</t>
        </is>
      </c>
      <c r="B577" s="1610" t="inlineStr">
        <is>
          <t>3-1/2" TUBING 9.2 LB/FT ALLOY 28 TSH BL</t>
        </is>
      </c>
      <c r="C577" s="1611" t="n">
        <v>31</v>
      </c>
      <c r="D577" s="1711">
        <f>C577</f>
        <v/>
      </c>
      <c r="E577" s="1613">
        <f>E576+D577</f>
        <v/>
      </c>
      <c r="F577" s="1613">
        <f>F576-D576</f>
        <v/>
      </c>
      <c r="G577" s="1614">
        <f>G576-D577</f>
        <v/>
      </c>
      <c r="H577" s="1712" t="n"/>
    </row>
    <row r="578" ht="26.8" customHeight="1" s="882">
      <c r="A578" s="1610" t="inlineStr">
        <is>
          <t>JT.#341</t>
        </is>
      </c>
      <c r="B578" s="1610" t="inlineStr">
        <is>
          <t>3-1/2" TUBING 9.2 LB/FT ALLOY 28 TSH BL</t>
        </is>
      </c>
      <c r="C578" s="1611" t="n">
        <v>31</v>
      </c>
      <c r="D578" s="1711">
        <f>C578</f>
        <v/>
      </c>
      <c r="E578" s="1613">
        <f>E577+D578</f>
        <v/>
      </c>
      <c r="F578" s="1613">
        <f>F577-D577</f>
        <v/>
      </c>
      <c r="G578" s="1614">
        <f>G577-D578</f>
        <v/>
      </c>
      <c r="H578" s="1712" t="n"/>
    </row>
    <row r="579" ht="26.8" customHeight="1" s="882">
      <c r="A579" s="1610" t="inlineStr">
        <is>
          <t>JT.#342</t>
        </is>
      </c>
      <c r="B579" s="1610" t="inlineStr">
        <is>
          <t>3-1/2" TUBING 9.2 LB/FT ALLOY 28 TSH BL</t>
        </is>
      </c>
      <c r="C579" s="1611" t="n">
        <v>31</v>
      </c>
      <c r="D579" s="1711">
        <f>C579</f>
        <v/>
      </c>
      <c r="E579" s="1613">
        <f>E578+D579</f>
        <v/>
      </c>
      <c r="F579" s="1613">
        <f>F578-D578</f>
        <v/>
      </c>
      <c r="G579" s="1614">
        <f>G578-D579</f>
        <v/>
      </c>
      <c r="H579" s="1712" t="n"/>
    </row>
    <row r="580" ht="26.8" customHeight="1" s="882">
      <c r="A580" s="1610" t="inlineStr">
        <is>
          <t>JT.#343</t>
        </is>
      </c>
      <c r="B580" s="1610" t="inlineStr">
        <is>
          <t>3-1/2" TUBING 9.2 LB/FT ALLOY 28 TSH BL</t>
        </is>
      </c>
      <c r="C580" s="1611" t="n">
        <v>31</v>
      </c>
      <c r="D580" s="1711">
        <f>C580</f>
        <v/>
      </c>
      <c r="E580" s="1613">
        <f>E579+D580</f>
        <v/>
      </c>
      <c r="F580" s="1613">
        <f>F579-D579</f>
        <v/>
      </c>
      <c r="G580" s="1614">
        <f>G579-D580</f>
        <v/>
      </c>
      <c r="H580" s="1712" t="n"/>
    </row>
    <row r="581" ht="26.8" customHeight="1" s="882">
      <c r="A581" s="1610" t="inlineStr">
        <is>
          <t>JT.#344</t>
        </is>
      </c>
      <c r="B581" s="1610" t="inlineStr">
        <is>
          <t>3-1/2" TUBING 9.2 LB/FT ALLOY 28 TSH BL</t>
        </is>
      </c>
      <c r="C581" s="1611" t="n">
        <v>31</v>
      </c>
      <c r="D581" s="1711">
        <f>C581</f>
        <v/>
      </c>
      <c r="E581" s="1613">
        <f>E580+D581</f>
        <v/>
      </c>
      <c r="F581" s="1613">
        <f>F580-D580</f>
        <v/>
      </c>
      <c r="G581" s="1614">
        <f>G580-D581</f>
        <v/>
      </c>
      <c r="H581" s="1712" t="n"/>
    </row>
    <row r="582" ht="26.8" customHeight="1" s="882">
      <c r="A582" s="1610" t="inlineStr">
        <is>
          <t>JT.#345</t>
        </is>
      </c>
      <c r="B582" s="1610" t="inlineStr">
        <is>
          <t>3-1/2" TUBING 9.2 LB/FT ALLOY 28 TSH BL</t>
        </is>
      </c>
      <c r="C582" s="1611" t="n">
        <v>31</v>
      </c>
      <c r="D582" s="1711">
        <f>C582</f>
        <v/>
      </c>
      <c r="E582" s="1613">
        <f>E581+D582</f>
        <v/>
      </c>
      <c r="F582" s="1613">
        <f>F581-D581</f>
        <v/>
      </c>
      <c r="G582" s="1614">
        <f>G581-D582</f>
        <v/>
      </c>
      <c r="H582" s="1712" t="n"/>
    </row>
    <row r="583" ht="26.8" customHeight="1" s="882">
      <c r="A583" s="1610" t="inlineStr">
        <is>
          <t>JT.#346</t>
        </is>
      </c>
      <c r="B583" s="1610" t="inlineStr">
        <is>
          <t>3-1/2" TUBING 9.2 LB/FT ALLOY 28 TSH BL</t>
        </is>
      </c>
      <c r="C583" s="1611" t="n">
        <v>31</v>
      </c>
      <c r="D583" s="1711">
        <f>C583</f>
        <v/>
      </c>
      <c r="E583" s="1613">
        <f>E582+D583</f>
        <v/>
      </c>
      <c r="F583" s="1613">
        <f>F582-D582</f>
        <v/>
      </c>
      <c r="G583" s="1614">
        <f>G582-D583</f>
        <v/>
      </c>
      <c r="H583" s="1712" t="n"/>
    </row>
    <row r="584" ht="26.8" customHeight="1" s="882">
      <c r="A584" s="1610" t="inlineStr">
        <is>
          <t>JT.#347</t>
        </is>
      </c>
      <c r="B584" s="1610" t="inlineStr">
        <is>
          <t>3-1/2" TUBING 9.2 LB/FT ALLOY 28 TSH BL</t>
        </is>
      </c>
      <c r="C584" s="1611" t="n">
        <v>31</v>
      </c>
      <c r="D584" s="1711">
        <f>C584</f>
        <v/>
      </c>
      <c r="E584" s="1613">
        <f>E583+D584</f>
        <v/>
      </c>
      <c r="F584" s="1613">
        <f>F583-D583</f>
        <v/>
      </c>
      <c r="G584" s="1614">
        <f>G583-D584</f>
        <v/>
      </c>
      <c r="H584" s="1712" t="n"/>
    </row>
    <row r="585" ht="26.8" customHeight="1" s="882">
      <c r="A585" s="1610" t="inlineStr">
        <is>
          <t>JT.#348</t>
        </is>
      </c>
      <c r="B585" s="1610" t="inlineStr">
        <is>
          <t>3-1/2" TUBING 9.2 LB/FT ALLOY 28 TSH BL</t>
        </is>
      </c>
      <c r="C585" s="1611" t="n">
        <v>31</v>
      </c>
      <c r="D585" s="1711">
        <f>C585</f>
        <v/>
      </c>
      <c r="E585" s="1613">
        <f>E584+D585</f>
        <v/>
      </c>
      <c r="F585" s="1613">
        <f>F584-D584</f>
        <v/>
      </c>
      <c r="G585" s="1614">
        <f>G584-D585</f>
        <v/>
      </c>
      <c r="H585" s="1712" t="n"/>
    </row>
    <row r="586" ht="26.8" customHeight="1" s="882">
      <c r="A586" s="1610" t="inlineStr">
        <is>
          <t>JT.#349</t>
        </is>
      </c>
      <c r="B586" s="1610" t="inlineStr">
        <is>
          <t>3-1/2" TUBING 9.2 LB/FT ALLOY 28 TSH BL</t>
        </is>
      </c>
      <c r="C586" s="1611" t="n">
        <v>31</v>
      </c>
      <c r="D586" s="1711">
        <f>C586</f>
        <v/>
      </c>
      <c r="E586" s="1613">
        <f>E585+D586</f>
        <v/>
      </c>
      <c r="F586" s="1613">
        <f>F585-D585</f>
        <v/>
      </c>
      <c r="G586" s="1614">
        <f>G585-D586</f>
        <v/>
      </c>
      <c r="H586" s="1712" t="n"/>
    </row>
    <row r="587" ht="26.8" customHeight="1" s="882">
      <c r="A587" s="1610" t="inlineStr">
        <is>
          <t>JT.#350</t>
        </is>
      </c>
      <c r="B587" s="1610" t="inlineStr">
        <is>
          <t>3-1/2" TUBING 9.2 LB/FT ALLOY 28 TSH BL</t>
        </is>
      </c>
      <c r="C587" s="1611" t="n">
        <v>31</v>
      </c>
      <c r="D587" s="1711">
        <f>C587</f>
        <v/>
      </c>
      <c r="E587" s="1613">
        <f>E586+D587</f>
        <v/>
      </c>
      <c r="F587" s="1613">
        <f>F586-D586</f>
        <v/>
      </c>
      <c r="G587" s="1614">
        <f>G586-D587</f>
        <v/>
      </c>
      <c r="H587" s="1712" t="n"/>
    </row>
    <row r="588" ht="26.8" customHeight="1" s="882">
      <c r="A588" s="1610" t="inlineStr">
        <is>
          <t>JT.#351</t>
        </is>
      </c>
      <c r="B588" s="1610" t="inlineStr">
        <is>
          <t>3-1/2" TUBING 9.2 LB/FT ALLOY 28 TSH BL</t>
        </is>
      </c>
      <c r="C588" s="1611" t="n">
        <v>31</v>
      </c>
      <c r="D588" s="1711">
        <f>C588</f>
        <v/>
      </c>
      <c r="E588" s="1613">
        <f>E587+D588</f>
        <v/>
      </c>
      <c r="F588" s="1613">
        <f>F587-D587</f>
        <v/>
      </c>
      <c r="G588" s="1614">
        <f>G587-D588</f>
        <v/>
      </c>
      <c r="H588" s="1712" t="n"/>
    </row>
    <row r="589" ht="26.8" customHeight="1" s="882">
      <c r="A589" s="1610" t="inlineStr">
        <is>
          <t>JT.#352</t>
        </is>
      </c>
      <c r="B589" s="1610" t="inlineStr">
        <is>
          <t>3-1/2" TUBING 9.2 LB/FT ALLOY 28 TSH BL</t>
        </is>
      </c>
      <c r="C589" s="1611" t="n">
        <v>31</v>
      </c>
      <c r="D589" s="1711">
        <f>C589</f>
        <v/>
      </c>
      <c r="E589" s="1613">
        <f>E588+D589</f>
        <v/>
      </c>
      <c r="F589" s="1613">
        <f>F588-D588</f>
        <v/>
      </c>
      <c r="G589" s="1614">
        <f>G588-D589</f>
        <v/>
      </c>
      <c r="H589" s="1712" t="n"/>
    </row>
    <row r="590" ht="26.8" customHeight="1" s="882">
      <c r="A590" s="1610" t="inlineStr">
        <is>
          <t>JT.#353</t>
        </is>
      </c>
      <c r="B590" s="1610" t="inlineStr">
        <is>
          <t>3-1/2" TUBING 9.2 LB/FT ALLOY 28 TSH BL</t>
        </is>
      </c>
      <c r="C590" s="1611" t="n">
        <v>31</v>
      </c>
      <c r="D590" s="1711">
        <f>C590</f>
        <v/>
      </c>
      <c r="E590" s="1613">
        <f>E589+D590</f>
        <v/>
      </c>
      <c r="F590" s="1613">
        <f>F589-D589</f>
        <v/>
      </c>
      <c r="G590" s="1614">
        <f>G589-D590</f>
        <v/>
      </c>
      <c r="H590" s="1712" t="n"/>
    </row>
    <row r="591" ht="26.8" customHeight="1" s="882">
      <c r="A591" s="1610" t="inlineStr">
        <is>
          <t>JT.#354</t>
        </is>
      </c>
      <c r="B591" s="1610" t="inlineStr">
        <is>
          <t>3-1/2" TUBING 9.2 LB/FT ALLOY 28 TSH BL</t>
        </is>
      </c>
      <c r="C591" s="1611" t="n">
        <v>31</v>
      </c>
      <c r="D591" s="1711">
        <f>C591</f>
        <v/>
      </c>
      <c r="E591" s="1613">
        <f>E590+D591</f>
        <v/>
      </c>
      <c r="F591" s="1613">
        <f>F590-D590</f>
        <v/>
      </c>
      <c r="G591" s="1614">
        <f>G590-D591</f>
        <v/>
      </c>
      <c r="H591" s="1712" t="n"/>
    </row>
    <row r="592" ht="26.8" customHeight="1" s="882">
      <c r="A592" s="1610" t="inlineStr">
        <is>
          <t>JT.#355</t>
        </is>
      </c>
      <c r="B592" s="1610" t="inlineStr">
        <is>
          <t>3-1/2" TUBING 9.2 LB/FT ALLOY 28 TSH BL</t>
        </is>
      </c>
      <c r="C592" s="1611" t="n">
        <v>31</v>
      </c>
      <c r="D592" s="1711">
        <f>C592</f>
        <v/>
      </c>
      <c r="E592" s="1613">
        <f>E591+D592</f>
        <v/>
      </c>
      <c r="F592" s="1613">
        <f>F591-D591</f>
        <v/>
      </c>
      <c r="G592" s="1614">
        <f>G591-D592</f>
        <v/>
      </c>
      <c r="H592" s="1712" t="n"/>
    </row>
    <row r="593" ht="26.8" customHeight="1" s="882">
      <c r="A593" s="1610" t="inlineStr">
        <is>
          <t>JT.#356</t>
        </is>
      </c>
      <c r="B593" s="1610" t="inlineStr">
        <is>
          <t>3-1/2" TUBING 9.2 LB/FT ALLOY 28 TSH BL</t>
        </is>
      </c>
      <c r="C593" s="1611" t="n">
        <v>31</v>
      </c>
      <c r="D593" s="1711">
        <f>C593</f>
        <v/>
      </c>
      <c r="E593" s="1613">
        <f>E592+D593</f>
        <v/>
      </c>
      <c r="F593" s="1613">
        <f>F592-D592</f>
        <v/>
      </c>
      <c r="G593" s="1614">
        <f>G592-D593</f>
        <v/>
      </c>
      <c r="H593" s="1712" t="n"/>
    </row>
    <row r="594" ht="26.8" customHeight="1" s="882">
      <c r="A594" s="1610" t="inlineStr">
        <is>
          <t>JT.#357</t>
        </is>
      </c>
      <c r="B594" s="1610" t="inlineStr">
        <is>
          <t>3-1/2" TUBING 9.2 LB/FT ALLOY 28 TSH BL</t>
        </is>
      </c>
      <c r="C594" s="1611" t="n">
        <v>31</v>
      </c>
      <c r="D594" s="1711">
        <f>C594</f>
        <v/>
      </c>
      <c r="E594" s="1613">
        <f>E593+D594</f>
        <v/>
      </c>
      <c r="F594" s="1613">
        <f>F593-D593</f>
        <v/>
      </c>
      <c r="G594" s="1614">
        <f>G593-D594</f>
        <v/>
      </c>
      <c r="H594" s="1712" t="n"/>
    </row>
    <row r="595" ht="26.8" customHeight="1" s="882">
      <c r="A595" s="1610" t="inlineStr">
        <is>
          <t>JT.#358</t>
        </is>
      </c>
      <c r="B595" s="1610" t="inlineStr">
        <is>
          <t>3-1/2" TUBING 9.2 LB/FT ALLOY 28 TSH BL</t>
        </is>
      </c>
      <c r="C595" s="1611" t="n">
        <v>31</v>
      </c>
      <c r="D595" s="1711">
        <f>C595</f>
        <v/>
      </c>
      <c r="E595" s="1613">
        <f>E594+D595</f>
        <v/>
      </c>
      <c r="F595" s="1613">
        <f>F594-D594</f>
        <v/>
      </c>
      <c r="G595" s="1614">
        <f>G594-D595</f>
        <v/>
      </c>
      <c r="H595" s="1712" t="n"/>
    </row>
    <row r="596" ht="26.8" customHeight="1" s="882">
      <c r="A596" s="1610" t="inlineStr">
        <is>
          <t>JT.#359</t>
        </is>
      </c>
      <c r="B596" s="1610" t="inlineStr">
        <is>
          <t>3-1/2" TUBING 9.2 LB/FT ALLOY 28 TSH BL</t>
        </is>
      </c>
      <c r="C596" s="1611" t="n">
        <v>31</v>
      </c>
      <c r="D596" s="1711">
        <f>C596</f>
        <v/>
      </c>
      <c r="E596" s="1613">
        <f>E595+D596</f>
        <v/>
      </c>
      <c r="F596" s="1613">
        <f>F595-D595</f>
        <v/>
      </c>
      <c r="G596" s="1614">
        <f>G595-D596</f>
        <v/>
      </c>
      <c r="H596" s="1712" t="n"/>
    </row>
    <row r="597" ht="76.09999999999999" customHeight="1" s="882">
      <c r="A597" s="1722" t="inlineStr">
        <is>
          <t>F</t>
        </is>
      </c>
      <c r="B597" s="1723" t="inlineStr">
        <is>
          <t>UPPER CONN. 3-1/2" VAM TOP BOX 9.2 PPF SN 28 110 KSI
DESCRIPTION: 5 FEET XOVER
SAP: 130005011340
SUPPLIER: TENARIS
UPPER CONN. 3-1/2" TSH BLUE PIN 9.2 PPF SN 28 110 KSI</t>
        </is>
      </c>
      <c r="C597" s="1724" t="n">
        <v>5.02</v>
      </c>
      <c r="D597" s="1711">
        <f>C597</f>
        <v/>
      </c>
      <c r="E597" s="1613">
        <f>E596+D597</f>
        <v/>
      </c>
      <c r="F597" s="1613">
        <f>F596-D596</f>
        <v/>
      </c>
      <c r="G597" s="1614">
        <f>G596-D597</f>
        <v/>
      </c>
      <c r="H597" s="1712" t="n"/>
    </row>
    <row r="598" ht="105.95" customHeight="1" s="882">
      <c r="A598" s="1624" t="n"/>
      <c r="B598" s="1723" t="inlineStr">
        <is>
          <t>UPPER CONN. 3-1/2" VAM TOP 9.2#PPF INCOLOY 925 BOX
DESCRIPTION: FLOW COUPLING
PN: 2996124
S/N: 130777-04-001
SAP: 130010035671
S UPPLIER: WEATHERFORD
LOWER CONN. 3-1/2" VAM TOP 9.2#PPF</t>
        </is>
      </c>
      <c r="C598" s="1724" t="n">
        <v>5.75</v>
      </c>
      <c r="D598" s="1711">
        <f>C598</f>
        <v/>
      </c>
      <c r="E598" s="1613">
        <f>E597+D598</f>
        <v/>
      </c>
      <c r="F598" s="1613">
        <f>F597-D597</f>
        <v/>
      </c>
      <c r="G598" s="1614">
        <f>G597-D598</f>
        <v/>
      </c>
      <c r="H598" s="1712" t="n"/>
    </row>
    <row r="599" ht="150.7" customHeight="1" s="882">
      <c r="A599" s="1624" t="n"/>
      <c r="B599" s="1723" t="inlineStr">
        <is>
          <t>UPPER CONN. 3-1/2" VAM TOP 9.2#PPF
INCOLOY 925
BOX
DESCRIPTION: WEATHERFORD ASSY, TRSV,3.5WZPE-10
2.813WOR,2kSD,9.2# VAM TOP, WN302
PN: 2980845
S/N: 12777594-01
SAP: 130010038007
SUPPLIER: WEATHERFORD
LOWER CONN. 3-1/2" VAM TOP 9.2#PPF</t>
        </is>
      </c>
      <c r="C599" s="1724" t="n">
        <v>4.44</v>
      </c>
      <c r="D599" s="1711">
        <f>C599</f>
        <v/>
      </c>
      <c r="E599" s="1613">
        <f>E598+D599</f>
        <v/>
      </c>
      <c r="F599" s="1613">
        <f>F598-D598</f>
        <v/>
      </c>
      <c r="G599" s="1614">
        <f>G598-D599</f>
        <v/>
      </c>
      <c r="H599" s="1712" t="n"/>
    </row>
    <row r="600" ht="135.8" customHeight="1" s="882">
      <c r="A600" s="1624" t="n"/>
      <c r="B600" s="1723" t="inlineStr">
        <is>
          <t>UPPER CONN. 3-1/2" VAM TOP 9.2#PPF
INCOLOY 925
BOX
DESCRIPTION: FLOW COUPLING
P/N: 2996124
S/N: 130777-02-002
SAP: 130010035671
SUPPLIER: WEATHERFORD
LOWER CONN. 3-1/2" VAM TOP 9.2#PPF</t>
        </is>
      </c>
      <c r="C600" s="1724" t="n">
        <v>5.75</v>
      </c>
      <c r="D600" s="1711">
        <f>C600</f>
        <v/>
      </c>
      <c r="E600" s="1613">
        <f>E599+D600</f>
        <v/>
      </c>
      <c r="F600" s="1613">
        <f>F599-D599</f>
        <v/>
      </c>
      <c r="G600" s="1614">
        <f>G599-D600</f>
        <v/>
      </c>
      <c r="H600" s="1712" t="n"/>
    </row>
    <row r="601" ht="76.09999999999999" customHeight="1" s="882">
      <c r="A601" s="1172" t="n"/>
      <c r="B601" s="1723" t="inlineStr">
        <is>
          <t>UPPER CONN. 3-1/2" TSH BLUE BOX 9.2 PPF SN 28 110 KSI
DESCRIPTION: 10 FEET XOVER
SAP: 130005012487
SUPPLIER: TENARIS
LOWER CONN. 3-1/2" VAM TOP PIN 9.2 PPF SN 28 110 KSI</t>
        </is>
      </c>
      <c r="C601" s="1724" t="n">
        <v>9.93</v>
      </c>
      <c r="D601" s="1711">
        <f>C601</f>
        <v/>
      </c>
      <c r="E601" s="1613">
        <f>E600+D601</f>
        <v/>
      </c>
      <c r="F601" s="1613">
        <f>F600-D600</f>
        <v/>
      </c>
      <c r="G601" s="1614">
        <f>G600-D601</f>
        <v/>
      </c>
      <c r="H601" s="1712" t="n"/>
    </row>
    <row r="602" ht="26.8" customHeight="1" s="882">
      <c r="A602" s="1610" t="inlineStr">
        <is>
          <t>JT.#360</t>
        </is>
      </c>
      <c r="B602" s="1610" t="inlineStr">
        <is>
          <t>3-1/2" TUBING 9.2 LB/FT ALLOY 28 TSH BL</t>
        </is>
      </c>
      <c r="C602" s="1611" t="n">
        <v>31</v>
      </c>
      <c r="D602" s="1711">
        <f>C602</f>
        <v/>
      </c>
      <c r="E602" s="1613">
        <f>E601+D602</f>
        <v/>
      </c>
      <c r="F602" s="1613">
        <f>F601-D601</f>
        <v/>
      </c>
      <c r="G602" s="1614">
        <f>G601-D602</f>
        <v/>
      </c>
      <c r="H602" s="1712" t="n"/>
    </row>
    <row r="603" ht="26.8" customHeight="1" s="882">
      <c r="A603" s="1610" t="inlineStr">
        <is>
          <t>JT.#361</t>
        </is>
      </c>
      <c r="B603" s="1610" t="inlineStr">
        <is>
          <t>3-1/2" TUBING 9.2 LB/FT ALLOY 28 TSH BL</t>
        </is>
      </c>
      <c r="C603" s="1611" t="n">
        <v>31</v>
      </c>
      <c r="D603" s="1711">
        <f>C603</f>
        <v/>
      </c>
      <c r="E603" s="1613">
        <f>E602+D603</f>
        <v/>
      </c>
      <c r="F603" s="1613">
        <f>F602-D602</f>
        <v/>
      </c>
      <c r="G603" s="1614">
        <f>G602-D603</f>
        <v/>
      </c>
      <c r="H603" s="1712" t="n"/>
    </row>
    <row r="604" ht="26.8" customHeight="1" s="882">
      <c r="A604" s="1610" t="inlineStr">
        <is>
          <t>JT.#362</t>
        </is>
      </c>
      <c r="B604" s="1610" t="inlineStr">
        <is>
          <t>3-1/2" TUBING 9.2 LB/FT ALLOY 28 TSH BL</t>
        </is>
      </c>
      <c r="C604" s="1611" t="n">
        <v>31</v>
      </c>
      <c r="D604" s="1711">
        <f>C604</f>
        <v/>
      </c>
      <c r="E604" s="1613">
        <f>E603+D604</f>
        <v/>
      </c>
      <c r="F604" s="1613">
        <f>F603-D603</f>
        <v/>
      </c>
      <c r="G604" s="1614">
        <f>G603-D604</f>
        <v/>
      </c>
      <c r="H604" s="1712" t="n"/>
    </row>
    <row r="605" ht="26.8" customHeight="1" s="882">
      <c r="A605" s="1610" t="inlineStr">
        <is>
          <t>JT.#363</t>
        </is>
      </c>
      <c r="B605" s="1610" t="inlineStr">
        <is>
          <t>3-1/2" TUBING 9.2 LB/FT ALLOY 28 TSH BL</t>
        </is>
      </c>
      <c r="C605" s="1611" t="n">
        <v>31</v>
      </c>
      <c r="D605" s="1711">
        <f>C605</f>
        <v/>
      </c>
      <c r="E605" s="1613">
        <f>E604+D605</f>
        <v/>
      </c>
      <c r="F605" s="1613">
        <f>F604-D604</f>
        <v/>
      </c>
      <c r="G605" s="1614">
        <f>G604-D605</f>
        <v/>
      </c>
      <c r="H605" s="1712" t="n"/>
    </row>
    <row r="606" ht="26.8" customHeight="1" s="882">
      <c r="A606" s="1610" t="inlineStr">
        <is>
          <t>JT.#364</t>
        </is>
      </c>
      <c r="B606" s="1610" t="inlineStr">
        <is>
          <t>3-1/2" TUBING 9.2 LB/FT ALLOY 28 TSH BL</t>
        </is>
      </c>
      <c r="C606" s="1611" t="n">
        <v>31</v>
      </c>
      <c r="D606" s="1711">
        <f>C606</f>
        <v/>
      </c>
      <c r="E606" s="1613">
        <f>E605+D606</f>
        <v/>
      </c>
      <c r="F606" s="1613">
        <f>F605-D605</f>
        <v/>
      </c>
      <c r="G606" s="1614">
        <f>G605-D606</f>
        <v/>
      </c>
      <c r="H606" s="1712" t="n"/>
    </row>
    <row r="607" ht="76.09999999999999" customHeight="1" s="882">
      <c r="A607" s="1725" t="inlineStr">
        <is>
          <t>F - 1</t>
        </is>
      </c>
      <c r="B607" s="1726" t="inlineStr">
        <is>
          <t>UPPER CONN. 3-1/2" TENARIS BLUE 9.2#PPF SN 28 110 KSI
DESCRIPTION: 5 FEET PUP JOINT
SAP: 130005011338
SUPPLIER:TENARIS
LOWER CONN. 3-1/2" TENARIS BLUE 9.2#PPF SN 28 110 KSI</t>
        </is>
      </c>
      <c r="C607" s="1727" t="n">
        <v>5.08</v>
      </c>
      <c r="D607" s="1711">
        <f>C607</f>
        <v/>
      </c>
      <c r="E607" s="1613">
        <f>E606+D607</f>
        <v/>
      </c>
      <c r="F607" s="1613">
        <f>F606-D606</f>
        <v/>
      </c>
      <c r="G607" s="1614">
        <f>G606-D607</f>
        <v/>
      </c>
      <c r="H607" s="1712" t="n"/>
    </row>
    <row r="608" ht="76.09999999999999" customHeight="1" s="882">
      <c r="A608" s="1624" t="n"/>
      <c r="B608" s="1726" t="inlineStr">
        <is>
          <t>UPPER CONN. 4-1/2" VAM TOP 12.6 #PPF SN 28 120 KSI BOX
DESCRIPTION : X OVER
4 1/2 PIN TOP X 3 1/2 PIN BTM
SAP: 130005012767 SUPPLIER: TENARIS
LOWER CONN. 3-1/2" TENARIS BLUE 9.2#PPF SN 28 120 KSI PIN</t>
        </is>
      </c>
      <c r="C608" s="1727" t="n">
        <v>2.48</v>
      </c>
      <c r="D608" s="1711">
        <f>C608</f>
        <v/>
      </c>
      <c r="E608" s="1613">
        <f>E607+D608</f>
        <v/>
      </c>
      <c r="F608" s="1613">
        <f>F607-D607</f>
        <v/>
      </c>
      <c r="G608" s="1614">
        <f>G607-D608</f>
        <v/>
      </c>
      <c r="H608" s="1712" t="n"/>
    </row>
    <row r="609" ht="120.85" customHeight="1" s="882">
      <c r="A609" s="1172" t="n"/>
      <c r="B609" s="1726" t="inlineStr">
        <is>
          <t>UPPER CONN. 4-1/2" VAM TOP 12.6 #PPF INC 718 120 KSI BOX
DESCRIPTION: GE TBGHGR; CWCT-ED-CLL; 11 X 4-1/2; 4-1/2 12.6 PPF
VAM TOP BOX BTM; 4-1/2 VAM
P/N: R893330-1ADC11 REV D
S/N - ADWHT80698-05
SAP: 130010044633
SUPPLIER: GE
LOWER CONN. 4-1/2" VAM TOP 12.6 #PPF INC 718 120 KSI BOX</t>
        </is>
      </c>
      <c r="C609" s="1727" t="n">
        <v>1.9</v>
      </c>
      <c r="D609" s="1711">
        <f>C609</f>
        <v/>
      </c>
      <c r="E609" s="1613">
        <f>E608+D609</f>
        <v/>
      </c>
      <c r="F609" s="1613">
        <f>F608-D608</f>
        <v/>
      </c>
      <c r="G609" s="1614">
        <f>G608-D609</f>
        <v/>
      </c>
      <c r="H609" s="1712" t="n"/>
    </row>
    <row r="610" ht="23.25" customHeight="1" s="882">
      <c r="A610" s="1728" t="n"/>
      <c r="B610" s="1729" t="n"/>
      <c r="C610" s="1730" t="n"/>
      <c r="D610" s="1731" t="n"/>
      <c r="E610" s="1613">
        <f>E609+D610</f>
        <v/>
      </c>
      <c r="F610" s="1613">
        <f>F609-D609</f>
        <v/>
      </c>
      <c r="G610" s="1614">
        <f>G609-D610</f>
        <v/>
      </c>
      <c r="H610" s="1712" t="n"/>
    </row>
    <row r="611" ht="12.75" customHeight="1" s="882">
      <c r="A611" s="1728" t="n"/>
      <c r="B611" s="1729" t="n"/>
      <c r="C611" s="1730" t="n"/>
      <c r="D611" s="1731" t="n"/>
      <c r="E611" s="1731" t="n"/>
      <c r="F611" s="1731" t="n"/>
      <c r="G611" s="1731" t="n"/>
      <c r="H611" s="1731" t="n"/>
    </row>
    <row r="612" ht="12.75" customHeight="1" s="882">
      <c r="A612" s="1728" t="n"/>
      <c r="B612" s="1729" t="n"/>
      <c r="C612" s="1730" t="n"/>
      <c r="D612" s="1731" t="n"/>
      <c r="E612" s="1731" t="n"/>
      <c r="F612" s="1731" t="n"/>
      <c r="G612" s="1731" t="n"/>
      <c r="H612" s="1731" t="n"/>
    </row>
    <row r="613" ht="12.75" customHeight="1" s="882">
      <c r="A613" s="1728" t="n"/>
      <c r="B613" s="1729" t="n"/>
      <c r="C613" s="1730" t="n"/>
      <c r="D613" s="1731" t="n"/>
      <c r="E613" s="1731" t="n"/>
      <c r="F613" s="1731" t="n"/>
      <c r="G613" s="1731" t="n"/>
      <c r="H613" s="1731" t="n"/>
    </row>
    <row r="614" ht="12.75" customHeight="1" s="882">
      <c r="A614" s="1728" t="n"/>
      <c r="B614" s="1729" t="n"/>
      <c r="C614" s="1730" t="n"/>
      <c r="D614" s="1731" t="n"/>
      <c r="E614" s="1731" t="n"/>
      <c r="F614" s="1731" t="n"/>
      <c r="G614" s="1731" t="n"/>
      <c r="H614" s="1731" t="n"/>
    </row>
    <row r="615" ht="12.75" customHeight="1" s="882">
      <c r="A615" s="1728" t="n"/>
      <c r="B615" s="1729" t="n"/>
      <c r="C615" s="1730" t="n"/>
      <c r="D615" s="1731" t="n"/>
      <c r="E615" s="1731" t="n"/>
      <c r="F615" s="1731" t="n"/>
      <c r="G615" s="1731" t="n"/>
      <c r="H615" s="1731" t="n"/>
    </row>
    <row r="616" ht="12.75" customHeight="1" s="882">
      <c r="A616" s="1728" t="n"/>
      <c r="B616" s="1729" t="n"/>
      <c r="C616" s="1730" t="n"/>
      <c r="D616" s="1731" t="n"/>
      <c r="E616" s="1731" t="n"/>
      <c r="F616" s="1731" t="n"/>
      <c r="G616" s="1731" t="n"/>
      <c r="H616" s="1731" t="n"/>
    </row>
    <row r="617" ht="12.75" customHeight="1" s="882">
      <c r="A617" s="1728" t="n"/>
      <c r="B617" s="1729" t="n"/>
      <c r="C617" s="1730" t="n"/>
      <c r="D617" s="1731" t="n"/>
      <c r="E617" s="1731" t="n"/>
      <c r="F617" s="1731" t="n"/>
      <c r="G617" s="1731" t="n"/>
      <c r="H617" s="1731" t="n"/>
    </row>
    <row r="618" ht="12.75" customHeight="1" s="882">
      <c r="A618" s="1728" t="n"/>
      <c r="B618" s="1729" t="n"/>
      <c r="C618" s="1730" t="n"/>
      <c r="D618" s="1731" t="n"/>
      <c r="E618" s="1731" t="n"/>
      <c r="F618" s="1731" t="n"/>
      <c r="G618" s="1731" t="n"/>
      <c r="H618" s="1731" t="n"/>
    </row>
    <row r="619" ht="12.75" customHeight="1" s="882">
      <c r="A619" s="1728" t="n"/>
      <c r="B619" s="1729" t="n"/>
      <c r="C619" s="1730" t="n"/>
      <c r="D619" s="1731" t="n"/>
      <c r="E619" s="1731" t="n"/>
      <c r="F619" s="1731" t="n"/>
      <c r="G619" s="1731" t="n"/>
      <c r="H619" s="1731" t="n"/>
    </row>
    <row r="620" ht="12.75" customHeight="1" s="882">
      <c r="A620" s="1728" t="n"/>
      <c r="B620" s="1729" t="n"/>
      <c r="C620" s="1730" t="n"/>
      <c r="D620" s="1731" t="n"/>
      <c r="E620" s="1731" t="n"/>
      <c r="F620" s="1731" t="n"/>
      <c r="G620" s="1731" t="n"/>
      <c r="H620" s="1731" t="n"/>
    </row>
    <row r="621" ht="12.75" customHeight="1" s="882">
      <c r="A621" s="1728" t="n"/>
      <c r="B621" s="1729" t="n"/>
      <c r="C621" s="1730" t="n"/>
      <c r="D621" s="1731" t="n"/>
      <c r="E621" s="1731" t="n"/>
      <c r="F621" s="1731" t="n"/>
      <c r="G621" s="1731" t="n"/>
      <c r="H621" s="1731" t="n"/>
    </row>
    <row r="622" ht="12.75" customHeight="1" s="882">
      <c r="A622" s="1728" t="n"/>
      <c r="B622" s="1729" t="n"/>
      <c r="C622" s="1730" t="n"/>
      <c r="D622" s="1731" t="n"/>
      <c r="E622" s="1731" t="n"/>
      <c r="F622" s="1731" t="n"/>
      <c r="G622" s="1731" t="n"/>
      <c r="H622" s="1731" t="n"/>
    </row>
    <row r="623" ht="12.75" customHeight="1" s="882">
      <c r="A623" s="1728" t="n"/>
      <c r="B623" s="1729" t="n"/>
      <c r="C623" s="1730" t="n"/>
      <c r="D623" s="1731" t="n"/>
      <c r="E623" s="1731" t="n"/>
      <c r="F623" s="1731" t="n"/>
      <c r="G623" s="1731" t="n"/>
      <c r="H623" s="1731" t="n"/>
    </row>
    <row r="624" ht="12.75" customHeight="1" s="882">
      <c r="A624" s="1728" t="n"/>
      <c r="B624" s="1729" t="n"/>
      <c r="C624" s="1730" t="n"/>
      <c r="D624" s="1731" t="n"/>
      <c r="E624" s="1731" t="n"/>
      <c r="F624" s="1731" t="n"/>
      <c r="G624" s="1731" t="n"/>
      <c r="H624" s="1731" t="n"/>
    </row>
    <row r="625" ht="12.75" customHeight="1" s="882">
      <c r="A625" s="1728" t="n"/>
      <c r="B625" s="1729" t="n"/>
      <c r="C625" s="1730" t="n"/>
      <c r="D625" s="1731" t="n"/>
      <c r="E625" s="1731" t="n"/>
      <c r="F625" s="1731" t="n"/>
      <c r="G625" s="1731" t="n"/>
      <c r="H625" s="1731" t="n"/>
    </row>
    <row r="626" ht="12.75" customHeight="1" s="882">
      <c r="A626" s="1728" t="n"/>
      <c r="B626" s="1729" t="n"/>
      <c r="C626" s="1730" t="n"/>
      <c r="D626" s="1731" t="n"/>
      <c r="E626" s="1731" t="n"/>
      <c r="F626" s="1731" t="n"/>
      <c r="G626" s="1731" t="n"/>
      <c r="H626" s="1731" t="n"/>
    </row>
    <row r="627" ht="12.75" customHeight="1" s="882">
      <c r="A627" s="1728" t="n"/>
      <c r="B627" s="1729" t="n"/>
      <c r="C627" s="1730" t="n"/>
      <c r="D627" s="1731" t="n"/>
      <c r="E627" s="1731" t="n"/>
      <c r="F627" s="1731" t="n"/>
      <c r="G627" s="1731" t="n"/>
      <c r="H627" s="1731" t="n"/>
    </row>
    <row r="628" ht="12.75" customHeight="1" s="882">
      <c r="A628" s="1728" t="n"/>
      <c r="B628" s="1729" t="n"/>
      <c r="C628" s="1730" t="n"/>
      <c r="D628" s="1731" t="n"/>
      <c r="E628" s="1731" t="n"/>
      <c r="F628" s="1731" t="n"/>
      <c r="G628" s="1731" t="n"/>
      <c r="H628" s="1731" t="n"/>
    </row>
    <row r="629" ht="12.75" customHeight="1" s="882">
      <c r="A629" s="1728" t="n"/>
      <c r="B629" s="1729" t="n"/>
      <c r="C629" s="1730" t="n"/>
      <c r="D629" s="1731" t="n"/>
      <c r="E629" s="1731" t="n"/>
      <c r="F629" s="1731" t="n"/>
      <c r="G629" s="1731" t="n"/>
      <c r="H629" s="1731" t="n"/>
    </row>
    <row r="630" ht="12.75" customHeight="1" s="882">
      <c r="A630" s="1728" t="n"/>
      <c r="B630" s="1729" t="n"/>
      <c r="C630" s="1730" t="n"/>
      <c r="D630" s="1731" t="n"/>
      <c r="E630" s="1731" t="n"/>
      <c r="F630" s="1731" t="n"/>
      <c r="G630" s="1731" t="n"/>
      <c r="H630" s="1731" t="n"/>
    </row>
    <row r="631" ht="12.75" customHeight="1" s="882">
      <c r="A631" s="1728" t="n"/>
      <c r="B631" s="1729" t="n"/>
      <c r="C631" s="1730" t="n"/>
      <c r="D631" s="1731" t="n"/>
      <c r="E631" s="1731" t="n"/>
      <c r="F631" s="1731" t="n"/>
      <c r="G631" s="1731" t="n"/>
      <c r="H631" s="1731" t="n"/>
    </row>
    <row r="632" ht="12.75" customHeight="1" s="882">
      <c r="A632" s="1728" t="n"/>
      <c r="B632" s="1729" t="n"/>
      <c r="C632" s="1730" t="n"/>
      <c r="D632" s="1731" t="n"/>
      <c r="E632" s="1731" t="n"/>
      <c r="F632" s="1731" t="n"/>
      <c r="G632" s="1731" t="n"/>
      <c r="H632" s="1731" t="n"/>
    </row>
    <row r="633" ht="12.75" customHeight="1" s="882">
      <c r="A633" s="1728" t="n"/>
      <c r="B633" s="1729" t="n"/>
      <c r="C633" s="1730" t="n"/>
      <c r="D633" s="1731" t="n"/>
      <c r="E633" s="1731" t="n"/>
      <c r="F633" s="1731" t="n"/>
      <c r="G633" s="1731" t="n"/>
      <c r="H633" s="1731" t="n"/>
    </row>
    <row r="634" ht="12.75" customHeight="1" s="882">
      <c r="A634" s="1728" t="n"/>
      <c r="B634" s="1729" t="n"/>
      <c r="C634" s="1730" t="n"/>
      <c r="D634" s="1731" t="n"/>
      <c r="E634" s="1731" t="n"/>
      <c r="F634" s="1731" t="n"/>
      <c r="G634" s="1731" t="n"/>
      <c r="H634" s="1731" t="n"/>
    </row>
    <row r="635" ht="12.75" customHeight="1" s="882">
      <c r="A635" s="1728" t="n"/>
      <c r="B635" s="1729" t="n"/>
      <c r="C635" s="1730" t="n"/>
      <c r="D635" s="1731" t="n"/>
      <c r="E635" s="1731" t="n"/>
      <c r="F635" s="1731" t="n"/>
      <c r="G635" s="1731" t="n"/>
      <c r="H635" s="1731" t="n"/>
    </row>
    <row r="636" ht="12.75" customHeight="1" s="882">
      <c r="A636" s="1728" t="n"/>
      <c r="B636" s="1729" t="n"/>
      <c r="C636" s="1730" t="n"/>
      <c r="D636" s="1731" t="n"/>
      <c r="E636" s="1731" t="n"/>
      <c r="F636" s="1731" t="n"/>
      <c r="G636" s="1731" t="n"/>
      <c r="H636" s="1731" t="n"/>
    </row>
    <row r="637" ht="12.75" customHeight="1" s="882">
      <c r="A637" s="1728" t="n"/>
      <c r="B637" s="1729" t="n"/>
      <c r="C637" s="1730" t="n"/>
      <c r="D637" s="1731" t="n"/>
      <c r="E637" s="1731" t="n"/>
      <c r="F637" s="1731" t="n"/>
      <c r="G637" s="1731" t="n"/>
      <c r="H637" s="1731" t="n"/>
    </row>
    <row r="638" ht="12.75" customHeight="1" s="882">
      <c r="A638" s="1728" t="n"/>
      <c r="B638" s="1729" t="n"/>
      <c r="C638" s="1730" t="n"/>
      <c r="D638" s="1731" t="n"/>
      <c r="E638" s="1731" t="n"/>
      <c r="F638" s="1731" t="n"/>
      <c r="G638" s="1731" t="n"/>
      <c r="H638" s="1731" t="n"/>
    </row>
    <row r="639" ht="12.75" customHeight="1" s="882">
      <c r="A639" s="1728" t="n"/>
      <c r="B639" s="1729" t="n"/>
      <c r="C639" s="1730" t="n"/>
      <c r="D639" s="1731" t="n"/>
      <c r="E639" s="1731" t="n"/>
      <c r="F639" s="1731" t="n"/>
      <c r="G639" s="1731" t="n"/>
      <c r="H639" s="1731" t="n"/>
    </row>
    <row r="640" ht="12.75" customHeight="1" s="882">
      <c r="A640" s="1728" t="n"/>
      <c r="B640" s="1729" t="n"/>
      <c r="C640" s="1730" t="n"/>
      <c r="D640" s="1731" t="n"/>
      <c r="E640" s="1731" t="n"/>
      <c r="F640" s="1731" t="n"/>
      <c r="G640" s="1731" t="n"/>
      <c r="H640" s="1731" t="n"/>
    </row>
    <row r="641" ht="12.75" customHeight="1" s="882">
      <c r="A641" s="1728" t="n"/>
      <c r="B641" s="1729" t="n"/>
      <c r="C641" s="1730" t="n"/>
      <c r="D641" s="1731" t="n"/>
      <c r="E641" s="1731" t="n"/>
      <c r="F641" s="1731" t="n"/>
      <c r="G641" s="1731" t="n"/>
      <c r="H641" s="1731" t="n"/>
    </row>
    <row r="642" ht="12.75" customHeight="1" s="882">
      <c r="A642" s="1728" t="n"/>
      <c r="B642" s="1729" t="n"/>
      <c r="C642" s="1730" t="n"/>
      <c r="D642" s="1731" t="n"/>
      <c r="E642" s="1731" t="n"/>
      <c r="F642" s="1731" t="n"/>
      <c r="G642" s="1731" t="n"/>
      <c r="H642" s="1731" t="n"/>
    </row>
    <row r="643" ht="12.75" customHeight="1" s="882">
      <c r="A643" s="1728" t="n"/>
      <c r="B643" s="1729" t="n"/>
      <c r="C643" s="1730" t="n"/>
      <c r="D643" s="1731" t="n"/>
      <c r="E643" s="1731" t="n"/>
      <c r="F643" s="1731" t="n"/>
      <c r="G643" s="1731" t="n"/>
      <c r="H643" s="1731" t="n"/>
    </row>
    <row r="644" ht="12.75" customHeight="1" s="882">
      <c r="A644" s="1728" t="n"/>
      <c r="B644" s="1729" t="n"/>
      <c r="C644" s="1730" t="n"/>
      <c r="D644" s="1731" t="n"/>
      <c r="E644" s="1731" t="n"/>
      <c r="F644" s="1731" t="n"/>
      <c r="G644" s="1731" t="n"/>
      <c r="H644" s="1731" t="n"/>
    </row>
    <row r="645" ht="12.75" customHeight="1" s="882">
      <c r="A645" s="1728" t="n"/>
      <c r="B645" s="1729" t="n"/>
      <c r="C645" s="1730" t="n"/>
      <c r="D645" s="1731" t="n"/>
      <c r="E645" s="1731" t="n"/>
      <c r="F645" s="1731" t="n"/>
      <c r="G645" s="1731" t="n"/>
      <c r="H645" s="1731" t="n"/>
    </row>
    <row r="646" ht="12.75" customHeight="1" s="882">
      <c r="A646" s="1728" t="n"/>
      <c r="B646" s="1729" t="n"/>
      <c r="C646" s="1730" t="n"/>
      <c r="D646" s="1731" t="n"/>
      <c r="E646" s="1731" t="n"/>
      <c r="F646" s="1731" t="n"/>
      <c r="G646" s="1731" t="n"/>
      <c r="H646" s="1731" t="n"/>
    </row>
    <row r="647" ht="12.75" customHeight="1" s="882">
      <c r="A647" s="1728" t="n"/>
      <c r="B647" s="1729" t="n"/>
      <c r="C647" s="1730" t="n"/>
      <c r="D647" s="1731" t="n"/>
      <c r="E647" s="1731" t="n"/>
      <c r="F647" s="1731" t="n"/>
      <c r="G647" s="1731" t="n"/>
      <c r="H647" s="1731" t="n"/>
    </row>
    <row r="648" ht="12.75" customHeight="1" s="882">
      <c r="A648" s="1728" t="n"/>
      <c r="B648" s="1729" t="n"/>
      <c r="C648" s="1730" t="n"/>
      <c r="D648" s="1731" t="n"/>
      <c r="E648" s="1731" t="n"/>
      <c r="F648" s="1731" t="n"/>
      <c r="G648" s="1731" t="n"/>
      <c r="H648" s="1731" t="n"/>
    </row>
    <row r="649" ht="12.75" customHeight="1" s="882">
      <c r="A649" s="1728" t="n"/>
      <c r="B649" s="1729" t="n"/>
      <c r="C649" s="1730" t="n"/>
      <c r="D649" s="1731" t="n"/>
      <c r="E649" s="1731" t="n"/>
      <c r="F649" s="1731" t="n"/>
      <c r="G649" s="1731" t="n"/>
      <c r="H649" s="1731" t="n"/>
    </row>
    <row r="650" ht="12.75" customHeight="1" s="882">
      <c r="A650" s="1728" t="n"/>
      <c r="B650" s="1729" t="n"/>
      <c r="C650" s="1730" t="n"/>
      <c r="D650" s="1731" t="n"/>
      <c r="E650" s="1731" t="n"/>
      <c r="F650" s="1731" t="n"/>
      <c r="G650" s="1731" t="n"/>
      <c r="H650" s="1731" t="n"/>
    </row>
    <row r="651" ht="12.75" customHeight="1" s="882">
      <c r="A651" s="1728" t="n"/>
      <c r="B651" s="1729" t="n"/>
      <c r="C651" s="1730" t="n"/>
      <c r="D651" s="1731" t="n"/>
      <c r="E651" s="1731" t="n"/>
      <c r="F651" s="1731" t="n"/>
      <c r="G651" s="1731" t="n"/>
      <c r="H651" s="1731" t="n"/>
    </row>
    <row r="652" ht="12.75" customHeight="1" s="882">
      <c r="A652" s="1728" t="n"/>
      <c r="B652" s="1729" t="n"/>
      <c r="C652" s="1730" t="n"/>
      <c r="D652" s="1731" t="n"/>
      <c r="E652" s="1731" t="n"/>
      <c r="F652" s="1731" t="n"/>
      <c r="G652" s="1731" t="n"/>
      <c r="H652" s="1731" t="n"/>
    </row>
    <row r="653" ht="12.75" customHeight="1" s="882">
      <c r="A653" s="1728" t="n"/>
      <c r="B653" s="1729" t="n"/>
      <c r="C653" s="1730" t="n"/>
      <c r="D653" s="1731" t="n"/>
      <c r="E653" s="1731" t="n"/>
      <c r="F653" s="1731" t="n"/>
      <c r="G653" s="1731" t="n"/>
      <c r="H653" s="1731" t="n"/>
    </row>
    <row r="654" ht="12.75" customHeight="1" s="882">
      <c r="A654" s="1728" t="n"/>
      <c r="B654" s="1729" t="n"/>
      <c r="C654" s="1730" t="n"/>
      <c r="D654" s="1731" t="n"/>
      <c r="E654" s="1731" t="n"/>
      <c r="F654" s="1731" t="n"/>
      <c r="G654" s="1731" t="n"/>
      <c r="H654" s="1731" t="n"/>
    </row>
    <row r="655" ht="12.75" customHeight="1" s="882">
      <c r="A655" s="1728" t="n"/>
      <c r="B655" s="1729" t="n"/>
      <c r="C655" s="1730" t="n"/>
      <c r="D655" s="1731" t="n"/>
      <c r="E655" s="1731" t="n"/>
      <c r="F655" s="1731" t="n"/>
      <c r="G655" s="1731" t="n"/>
      <c r="H655" s="1731" t="n"/>
    </row>
    <row r="656" ht="12.75" customHeight="1" s="882">
      <c r="A656" s="1728" t="n"/>
      <c r="B656" s="1729" t="n"/>
      <c r="C656" s="1730" t="n"/>
      <c r="D656" s="1731" t="n"/>
      <c r="E656" s="1731" t="n"/>
      <c r="F656" s="1731" t="n"/>
      <c r="G656" s="1731" t="n"/>
      <c r="H656" s="1731" t="n"/>
    </row>
    <row r="657" ht="12.75" customHeight="1" s="882">
      <c r="A657" s="1728" t="n"/>
      <c r="B657" s="1729" t="n"/>
      <c r="C657" s="1730" t="n"/>
      <c r="D657" s="1731" t="n"/>
      <c r="E657" s="1731" t="n"/>
      <c r="F657" s="1731" t="n"/>
      <c r="G657" s="1731" t="n"/>
      <c r="H657" s="1731" t="n"/>
    </row>
    <row r="658" ht="12.75" customHeight="1" s="882">
      <c r="A658" s="1728" t="n"/>
      <c r="B658" s="1729" t="n"/>
      <c r="C658" s="1730" t="n"/>
      <c r="D658" s="1731" t="n"/>
      <c r="E658" s="1731" t="n"/>
      <c r="F658" s="1731" t="n"/>
      <c r="G658" s="1731" t="n"/>
      <c r="H658" s="1731" t="n"/>
    </row>
    <row r="659" ht="12.75" customHeight="1" s="882">
      <c r="A659" s="1728" t="n"/>
      <c r="B659" s="1729" t="n"/>
      <c r="C659" s="1730" t="n"/>
      <c r="D659" s="1731" t="n"/>
      <c r="E659" s="1731" t="n"/>
      <c r="F659" s="1731" t="n"/>
      <c r="G659" s="1731" t="n"/>
      <c r="H659" s="1731" t="n"/>
    </row>
    <row r="660" ht="12.75" customHeight="1" s="882">
      <c r="A660" s="1728" t="n"/>
      <c r="B660" s="1729" t="n"/>
      <c r="C660" s="1730" t="n"/>
      <c r="D660" s="1731" t="n"/>
      <c r="E660" s="1731" t="n"/>
      <c r="F660" s="1731" t="n"/>
      <c r="G660" s="1731" t="n"/>
      <c r="H660" s="1731" t="n"/>
    </row>
    <row r="661" ht="12.75" customHeight="1" s="882">
      <c r="A661" s="1728" t="n"/>
      <c r="B661" s="1729" t="n"/>
      <c r="C661" s="1730" t="n"/>
      <c r="D661" s="1731" t="n"/>
      <c r="E661" s="1731" t="n"/>
      <c r="F661" s="1731" t="n"/>
      <c r="G661" s="1731" t="n"/>
      <c r="H661" s="1731" t="n"/>
    </row>
    <row r="662" ht="12.75" customHeight="1" s="882">
      <c r="A662" s="1728" t="n"/>
      <c r="B662" s="1729" t="n"/>
      <c r="C662" s="1730" t="n"/>
      <c r="D662" s="1731" t="n"/>
      <c r="E662" s="1731" t="n"/>
      <c r="F662" s="1731" t="n"/>
      <c r="G662" s="1731" t="n"/>
      <c r="H662" s="1731" t="n"/>
    </row>
    <row r="663" ht="12.75" customHeight="1" s="882">
      <c r="A663" s="1728" t="n"/>
      <c r="B663" s="1729" t="n"/>
      <c r="C663" s="1730" t="n"/>
      <c r="D663" s="1731" t="n"/>
      <c r="E663" s="1731" t="n"/>
      <c r="F663" s="1731" t="n"/>
      <c r="G663" s="1731" t="n"/>
      <c r="H663" s="1731" t="n"/>
    </row>
    <row r="664" ht="12.75" customHeight="1" s="882">
      <c r="A664" s="1728" t="n"/>
      <c r="B664" s="1729" t="n"/>
      <c r="C664" s="1730" t="n"/>
      <c r="D664" s="1731" t="n"/>
      <c r="E664" s="1731" t="n"/>
      <c r="F664" s="1731" t="n"/>
      <c r="G664" s="1731" t="n"/>
      <c r="H664" s="1731" t="n"/>
    </row>
    <row r="665" ht="12.75" customHeight="1" s="882">
      <c r="A665" s="1728" t="n"/>
      <c r="B665" s="1729" t="n"/>
      <c r="C665" s="1730" t="n"/>
      <c r="D665" s="1731" t="n"/>
      <c r="E665" s="1731" t="n"/>
      <c r="F665" s="1731" t="n"/>
      <c r="G665" s="1731" t="n"/>
      <c r="H665" s="1731" t="n"/>
    </row>
    <row r="666" ht="12.75" customHeight="1" s="882">
      <c r="A666" s="1728" t="n"/>
      <c r="B666" s="1729" t="n"/>
      <c r="C666" s="1730" t="n"/>
      <c r="D666" s="1731" t="n"/>
      <c r="E666" s="1731" t="n"/>
      <c r="F666" s="1731" t="n"/>
      <c r="G666" s="1731" t="n"/>
      <c r="H666" s="1731" t="n"/>
    </row>
    <row r="667" ht="12.75" customHeight="1" s="882">
      <c r="A667" s="1728" t="n"/>
      <c r="B667" s="1729" t="n"/>
      <c r="C667" s="1730" t="n"/>
      <c r="D667" s="1731" t="n"/>
      <c r="E667" s="1731" t="n"/>
      <c r="F667" s="1731" t="n"/>
      <c r="G667" s="1731" t="n"/>
      <c r="H667" s="1731" t="n"/>
    </row>
    <row r="668" ht="12.75" customHeight="1" s="882">
      <c r="A668" s="1728" t="n"/>
      <c r="B668" s="1729" t="n"/>
      <c r="C668" s="1730" t="n"/>
      <c r="D668" s="1731" t="n"/>
      <c r="E668" s="1731" t="n"/>
      <c r="F668" s="1731" t="n"/>
      <c r="G668" s="1731" t="n"/>
      <c r="H668" s="1731" t="n"/>
    </row>
    <row r="669" ht="12.75" customHeight="1" s="882">
      <c r="A669" s="1728" t="n"/>
      <c r="B669" s="1729" t="n"/>
      <c r="C669" s="1730" t="n"/>
      <c r="D669" s="1731" t="n"/>
      <c r="E669" s="1731" t="n"/>
      <c r="F669" s="1731" t="n"/>
      <c r="G669" s="1731" t="n"/>
      <c r="H669" s="1731" t="n"/>
    </row>
    <row r="670" ht="12.75" customHeight="1" s="882">
      <c r="A670" s="1728" t="n"/>
      <c r="B670" s="1729" t="n"/>
      <c r="C670" s="1730" t="n"/>
      <c r="D670" s="1731" t="n"/>
      <c r="E670" s="1731" t="n"/>
      <c r="F670" s="1731" t="n"/>
      <c r="G670" s="1731" t="n"/>
      <c r="H670" s="1731" t="n"/>
    </row>
    <row r="671" ht="12.75" customHeight="1" s="882">
      <c r="A671" s="1728" t="n"/>
      <c r="B671" s="1729" t="n"/>
      <c r="C671" s="1730" t="n"/>
      <c r="D671" s="1731" t="n"/>
      <c r="E671" s="1731" t="n"/>
      <c r="F671" s="1731" t="n"/>
      <c r="G671" s="1731" t="n"/>
      <c r="H671" s="1731" t="n"/>
    </row>
    <row r="672" ht="12.75" customHeight="1" s="882">
      <c r="A672" s="1728" t="n"/>
      <c r="B672" s="1729" t="n"/>
      <c r="C672" s="1730" t="n"/>
      <c r="D672" s="1731" t="n"/>
      <c r="E672" s="1731" t="n"/>
      <c r="F672" s="1731" t="n"/>
      <c r="G672" s="1731" t="n"/>
      <c r="H672" s="1731" t="n"/>
    </row>
    <row r="673" ht="12.75" customHeight="1" s="882">
      <c r="A673" s="1728" t="n"/>
      <c r="B673" s="1729" t="n"/>
      <c r="C673" s="1730" t="n"/>
      <c r="D673" s="1731" t="n"/>
      <c r="E673" s="1731" t="n"/>
      <c r="F673" s="1731" t="n"/>
      <c r="G673" s="1731" t="n"/>
      <c r="H673" s="1731" t="n"/>
    </row>
    <row r="674" ht="12.75" customHeight="1" s="882">
      <c r="A674" s="1728" t="n"/>
      <c r="B674" s="1729" t="n"/>
      <c r="C674" s="1730" t="n"/>
      <c r="D674" s="1731" t="n"/>
      <c r="E674" s="1731" t="n"/>
      <c r="F674" s="1731" t="n"/>
      <c r="G674" s="1731" t="n"/>
      <c r="H674" s="1731" t="n"/>
    </row>
    <row r="675" ht="12.75" customHeight="1" s="882">
      <c r="A675" s="1728" t="n"/>
      <c r="B675" s="1729" t="n"/>
      <c r="C675" s="1730" t="n"/>
      <c r="D675" s="1731" t="n"/>
      <c r="E675" s="1731" t="n"/>
      <c r="F675" s="1731" t="n"/>
      <c r="G675" s="1731" t="n"/>
      <c r="H675" s="1731" t="n"/>
    </row>
    <row r="676" ht="12.75" customHeight="1" s="882">
      <c r="A676" s="1728" t="n"/>
      <c r="B676" s="1729" t="n"/>
      <c r="C676" s="1730" t="n"/>
      <c r="D676" s="1731" t="n"/>
      <c r="E676" s="1731" t="n"/>
      <c r="F676" s="1731" t="n"/>
      <c r="G676" s="1731" t="n"/>
      <c r="H676" s="1731" t="n"/>
    </row>
    <row r="677" ht="12.75" customHeight="1" s="882">
      <c r="A677" s="1728" t="n"/>
      <c r="B677" s="1729" t="n"/>
      <c r="C677" s="1730" t="n"/>
      <c r="D677" s="1731" t="n"/>
      <c r="E677" s="1731" t="n"/>
      <c r="F677" s="1731" t="n"/>
      <c r="G677" s="1731" t="n"/>
      <c r="H677" s="1731" t="n"/>
    </row>
    <row r="678" ht="12.75" customHeight="1" s="882">
      <c r="A678" s="1728" t="n"/>
      <c r="B678" s="1729" t="n"/>
      <c r="C678" s="1730" t="n"/>
      <c r="D678" s="1731" t="n"/>
      <c r="E678" s="1731" t="n"/>
      <c r="F678" s="1731" t="n"/>
      <c r="G678" s="1731" t="n"/>
      <c r="H678" s="1731" t="n"/>
    </row>
    <row r="679" ht="12.75" customHeight="1" s="882">
      <c r="A679" s="1728" t="n"/>
      <c r="B679" s="1729" t="n"/>
      <c r="C679" s="1730" t="n"/>
      <c r="D679" s="1731" t="n"/>
      <c r="E679" s="1731" t="n"/>
      <c r="F679" s="1731" t="n"/>
      <c r="G679" s="1731" t="n"/>
      <c r="H679" s="1731" t="n"/>
    </row>
    <row r="680" ht="12.75" customHeight="1" s="882">
      <c r="A680" s="1728" t="n"/>
      <c r="B680" s="1729" t="n"/>
      <c r="C680" s="1730" t="n"/>
      <c r="D680" s="1731" t="n"/>
      <c r="E680" s="1731" t="n"/>
      <c r="F680" s="1731" t="n"/>
      <c r="G680" s="1731" t="n"/>
      <c r="H680" s="1731" t="n"/>
    </row>
    <row r="681" ht="12.75" customHeight="1" s="882">
      <c r="A681" s="1728" t="n"/>
      <c r="B681" s="1729" t="n"/>
      <c r="C681" s="1730" t="n"/>
      <c r="D681" s="1731" t="n"/>
      <c r="E681" s="1731" t="n"/>
      <c r="F681" s="1731" t="n"/>
      <c r="G681" s="1731" t="n"/>
      <c r="H681" s="1731" t="n"/>
    </row>
    <row r="682" ht="12.75" customHeight="1" s="882">
      <c r="A682" s="1728" t="n"/>
      <c r="B682" s="1729" t="n"/>
      <c r="C682" s="1730" t="n"/>
      <c r="D682" s="1731" t="n"/>
      <c r="E682" s="1731" t="n"/>
      <c r="F682" s="1731" t="n"/>
      <c r="G682" s="1731" t="n"/>
      <c r="H682" s="1731" t="n"/>
    </row>
    <row r="683" ht="12.75" customHeight="1" s="882">
      <c r="A683" s="1728" t="n"/>
      <c r="B683" s="1729" t="n"/>
      <c r="C683" s="1730" t="n"/>
      <c r="D683" s="1731" t="n"/>
      <c r="E683" s="1731" t="n"/>
      <c r="F683" s="1731" t="n"/>
      <c r="G683" s="1731" t="n"/>
      <c r="H683" s="1731" t="n"/>
    </row>
    <row r="684" ht="12.75" customHeight="1" s="882">
      <c r="A684" s="1728" t="n"/>
      <c r="B684" s="1729" t="n"/>
      <c r="C684" s="1730" t="n"/>
      <c r="D684" s="1731" t="n"/>
      <c r="E684" s="1731" t="n"/>
      <c r="F684" s="1731" t="n"/>
      <c r="G684" s="1731" t="n"/>
      <c r="H684" s="1731" t="n"/>
    </row>
    <row r="685" ht="12.75" customHeight="1" s="882">
      <c r="A685" s="1728" t="n"/>
      <c r="B685" s="1729" t="n"/>
      <c r="C685" s="1730" t="n"/>
      <c r="D685" s="1731" t="n"/>
      <c r="E685" s="1731" t="n"/>
      <c r="F685" s="1731" t="n"/>
      <c r="G685" s="1731" t="n"/>
      <c r="H685" s="1731" t="n"/>
    </row>
    <row r="686" ht="12.75" customHeight="1" s="882">
      <c r="A686" s="1728" t="n"/>
      <c r="B686" s="1729" t="n"/>
      <c r="C686" s="1730" t="n"/>
      <c r="D686" s="1731" t="n"/>
      <c r="E686" s="1731" t="n"/>
      <c r="F686" s="1731" t="n"/>
      <c r="G686" s="1731" t="n"/>
      <c r="H686" s="1731" t="n"/>
    </row>
    <row r="687" ht="12.75" customHeight="1" s="882">
      <c r="A687" s="1728" t="n"/>
      <c r="B687" s="1729" t="n"/>
      <c r="C687" s="1730" t="n"/>
      <c r="D687" s="1731" t="n"/>
      <c r="E687" s="1731" t="n"/>
      <c r="F687" s="1731" t="n"/>
      <c r="G687" s="1731" t="n"/>
      <c r="H687" s="1731" t="n"/>
    </row>
    <row r="688" ht="12.75" customHeight="1" s="882">
      <c r="A688" s="1728" t="n"/>
      <c r="B688" s="1729" t="n"/>
      <c r="C688" s="1730" t="n"/>
      <c r="D688" s="1731" t="n"/>
      <c r="E688" s="1731" t="n"/>
      <c r="F688" s="1731" t="n"/>
      <c r="G688" s="1731" t="n"/>
      <c r="H688" s="1731" t="n"/>
    </row>
    <row r="689" ht="12.75" customHeight="1" s="882">
      <c r="A689" s="1728" t="n"/>
      <c r="B689" s="1729" t="n"/>
      <c r="C689" s="1730" t="n"/>
      <c r="D689" s="1731" t="n"/>
      <c r="E689" s="1731" t="n"/>
      <c r="F689" s="1731" t="n"/>
      <c r="G689" s="1731" t="n"/>
      <c r="H689" s="1731" t="n"/>
    </row>
    <row r="690" ht="12.75" customHeight="1" s="882">
      <c r="A690" s="1728" t="n"/>
      <c r="B690" s="1729" t="n"/>
      <c r="C690" s="1730" t="n"/>
      <c r="D690" s="1731" t="n"/>
      <c r="E690" s="1731" t="n"/>
      <c r="F690" s="1731" t="n"/>
      <c r="G690" s="1731" t="n"/>
      <c r="H690" s="1731" t="n"/>
    </row>
    <row r="691" ht="12.75" customHeight="1" s="882">
      <c r="A691" s="1728" t="n"/>
      <c r="B691" s="1729" t="n"/>
      <c r="C691" s="1730" t="n"/>
      <c r="D691" s="1731" t="n"/>
      <c r="E691" s="1731" t="n"/>
      <c r="F691" s="1731" t="n"/>
      <c r="G691" s="1731" t="n"/>
      <c r="H691" s="1731" t="n"/>
    </row>
    <row r="692" ht="12.75" customHeight="1" s="882">
      <c r="A692" s="1728" t="n"/>
      <c r="B692" s="1729" t="n"/>
      <c r="C692" s="1730" t="n"/>
      <c r="D692" s="1731" t="n"/>
      <c r="E692" s="1731" t="n"/>
      <c r="F692" s="1731" t="n"/>
      <c r="G692" s="1731" t="n"/>
      <c r="H692" s="1731" t="n"/>
    </row>
    <row r="693" ht="12.75" customHeight="1" s="882">
      <c r="A693" s="1728" t="n"/>
      <c r="B693" s="1729" t="n"/>
      <c r="C693" s="1730" t="n"/>
      <c r="D693" s="1731" t="n"/>
      <c r="E693" s="1731" t="n"/>
      <c r="F693" s="1731" t="n"/>
      <c r="G693" s="1731" t="n"/>
      <c r="H693" s="1731" t="n"/>
    </row>
    <row r="694" ht="12.75" customHeight="1" s="882">
      <c r="A694" s="1728" t="n"/>
      <c r="B694" s="1729" t="n"/>
      <c r="C694" s="1730" t="n"/>
      <c r="D694" s="1731" t="n"/>
      <c r="E694" s="1731" t="n"/>
      <c r="F694" s="1731" t="n"/>
      <c r="G694" s="1731" t="n"/>
      <c r="H694" s="1731" t="n"/>
    </row>
    <row r="695" ht="12.75" customHeight="1" s="882">
      <c r="A695" s="1728" t="n"/>
      <c r="B695" s="1729" t="n"/>
      <c r="C695" s="1730" t="n"/>
      <c r="D695" s="1731" t="n"/>
      <c r="E695" s="1731" t="n"/>
      <c r="F695" s="1731" t="n"/>
      <c r="G695" s="1731" t="n"/>
      <c r="H695" s="1731" t="n"/>
    </row>
    <row r="696" ht="12.75" customHeight="1" s="882">
      <c r="A696" s="1728" t="n"/>
      <c r="B696" s="1729" t="n"/>
      <c r="C696" s="1730" t="n"/>
      <c r="D696" s="1731" t="n"/>
      <c r="E696" s="1731" t="n"/>
      <c r="F696" s="1731" t="n"/>
      <c r="G696" s="1731" t="n"/>
      <c r="H696" s="1731" t="n"/>
    </row>
    <row r="697" ht="12.75" customHeight="1" s="882">
      <c r="A697" s="1728" t="n"/>
      <c r="B697" s="1729" t="n"/>
      <c r="C697" s="1730" t="n"/>
      <c r="D697" s="1731" t="n"/>
      <c r="E697" s="1731" t="n"/>
      <c r="F697" s="1731" t="n"/>
      <c r="G697" s="1731" t="n"/>
      <c r="H697" s="1731" t="n"/>
    </row>
    <row r="698" ht="12.75" customHeight="1" s="882">
      <c r="A698" s="1728" t="n"/>
      <c r="B698" s="1729" t="n"/>
      <c r="C698" s="1730" t="n"/>
      <c r="D698" s="1731" t="n"/>
      <c r="E698" s="1731" t="n"/>
      <c r="F698" s="1731" t="n"/>
      <c r="G698" s="1731" t="n"/>
      <c r="H698" s="1731" t="n"/>
    </row>
    <row r="699" ht="12.75" customHeight="1" s="882">
      <c r="A699" s="1728" t="n"/>
      <c r="B699" s="1729" t="n"/>
      <c r="C699" s="1730" t="n"/>
      <c r="D699" s="1731" t="n"/>
      <c r="E699" s="1731" t="n"/>
      <c r="F699" s="1731" t="n"/>
      <c r="G699" s="1731" t="n"/>
      <c r="H699" s="1731" t="n"/>
    </row>
    <row r="700" ht="12.75" customHeight="1" s="882">
      <c r="A700" s="1728" t="n"/>
      <c r="B700" s="1729" t="n"/>
      <c r="C700" s="1730" t="n"/>
      <c r="D700" s="1731" t="n"/>
      <c r="E700" s="1731" t="n"/>
      <c r="F700" s="1731" t="n"/>
      <c r="G700" s="1731" t="n"/>
      <c r="H700" s="1731" t="n"/>
    </row>
    <row r="701" ht="12.75" customHeight="1" s="882">
      <c r="A701" s="1728" t="n"/>
      <c r="B701" s="1729" t="n"/>
      <c r="C701" s="1730" t="n"/>
      <c r="D701" s="1731" t="n"/>
      <c r="E701" s="1731" t="n"/>
      <c r="F701" s="1731" t="n"/>
      <c r="G701" s="1731" t="n"/>
      <c r="H701" s="1731" t="n"/>
    </row>
    <row r="702" ht="12.75" customHeight="1" s="882">
      <c r="A702" s="1728" t="n"/>
      <c r="B702" s="1729" t="n"/>
      <c r="C702" s="1730" t="n"/>
      <c r="D702" s="1731" t="n"/>
      <c r="E702" s="1731" t="n"/>
      <c r="F702" s="1731" t="n"/>
      <c r="G702" s="1731" t="n"/>
      <c r="H702" s="1731" t="n"/>
    </row>
    <row r="703" ht="12.75" customHeight="1" s="882">
      <c r="A703" s="1728" t="n"/>
      <c r="B703" s="1729" t="n"/>
      <c r="C703" s="1730" t="n"/>
      <c r="D703" s="1731" t="n"/>
      <c r="E703" s="1731" t="n"/>
      <c r="F703" s="1731" t="n"/>
      <c r="G703" s="1731" t="n"/>
      <c r="H703" s="1731" t="n"/>
    </row>
    <row r="704" ht="12.75" customHeight="1" s="882">
      <c r="A704" s="1728" t="n"/>
      <c r="B704" s="1729" t="n"/>
      <c r="C704" s="1730" t="n"/>
      <c r="D704" s="1731" t="n"/>
      <c r="E704" s="1731" t="n"/>
      <c r="F704" s="1731" t="n"/>
      <c r="G704" s="1731" t="n"/>
      <c r="H704" s="1731" t="n"/>
    </row>
    <row r="705" ht="12.75" customHeight="1" s="882">
      <c r="A705" s="1728" t="n"/>
      <c r="B705" s="1729" t="n"/>
      <c r="C705" s="1730" t="n"/>
      <c r="D705" s="1731" t="n"/>
      <c r="E705" s="1731" t="n"/>
      <c r="F705" s="1731" t="n"/>
      <c r="G705" s="1731" t="n"/>
      <c r="H705" s="1731" t="n"/>
    </row>
    <row r="706" ht="12.75" customHeight="1" s="882">
      <c r="A706" s="1728" t="n"/>
      <c r="B706" s="1729" t="n"/>
      <c r="C706" s="1730" t="n"/>
      <c r="D706" s="1731" t="n"/>
      <c r="E706" s="1731" t="n"/>
      <c r="F706" s="1731" t="n"/>
      <c r="G706" s="1731" t="n"/>
      <c r="H706" s="1731" t="n"/>
    </row>
    <row r="707" ht="12.75" customHeight="1" s="882">
      <c r="A707" s="1728" t="n"/>
      <c r="B707" s="1729" t="n"/>
      <c r="C707" s="1730" t="n"/>
      <c r="D707" s="1731" t="n"/>
      <c r="E707" s="1731" t="n"/>
      <c r="F707" s="1731" t="n"/>
      <c r="G707" s="1731" t="n"/>
      <c r="H707" s="1731" t="n"/>
    </row>
    <row r="708" ht="12.75" customHeight="1" s="882">
      <c r="A708" s="1728" t="n"/>
      <c r="B708" s="1729" t="n"/>
      <c r="C708" s="1730" t="n"/>
      <c r="D708" s="1731" t="n"/>
      <c r="E708" s="1731" t="n"/>
      <c r="F708" s="1731" t="n"/>
      <c r="G708" s="1731" t="n"/>
      <c r="H708" s="1731" t="n"/>
    </row>
    <row r="709" ht="12.75" customHeight="1" s="882">
      <c r="A709" s="1728" t="n"/>
      <c r="B709" s="1729" t="n"/>
      <c r="C709" s="1730" t="n"/>
      <c r="D709" s="1731" t="n"/>
      <c r="E709" s="1731" t="n"/>
      <c r="F709" s="1731" t="n"/>
      <c r="G709" s="1731" t="n"/>
      <c r="H709" s="1731" t="n"/>
    </row>
    <row r="710" ht="12.75" customHeight="1" s="882">
      <c r="A710" s="1728" t="n"/>
      <c r="B710" s="1729" t="n"/>
      <c r="C710" s="1730" t="n"/>
      <c r="D710" s="1731" t="n"/>
      <c r="E710" s="1731" t="n"/>
      <c r="F710" s="1731" t="n"/>
      <c r="G710" s="1731" t="n"/>
      <c r="H710" s="1731" t="n"/>
    </row>
    <row r="711" ht="12.75" customHeight="1" s="882">
      <c r="A711" s="1728" t="n"/>
      <c r="B711" s="1729" t="n"/>
      <c r="C711" s="1730" t="n"/>
      <c r="D711" s="1731" t="n"/>
      <c r="E711" s="1731" t="n"/>
      <c r="F711" s="1731" t="n"/>
      <c r="G711" s="1731" t="n"/>
      <c r="H711" s="1731" t="n"/>
    </row>
    <row r="712" ht="12.75" customHeight="1" s="882">
      <c r="A712" s="1728" t="n"/>
      <c r="B712" s="1729" t="n"/>
      <c r="C712" s="1730" t="n"/>
      <c r="D712" s="1731" t="n"/>
      <c r="E712" s="1731" t="n"/>
      <c r="F712" s="1731" t="n"/>
      <c r="G712" s="1731" t="n"/>
      <c r="H712" s="1731" t="n"/>
    </row>
    <row r="713" ht="12.75" customHeight="1" s="882">
      <c r="A713" s="1728" t="n"/>
      <c r="B713" s="1729" t="n"/>
      <c r="C713" s="1730" t="n"/>
      <c r="D713" s="1731" t="n"/>
      <c r="E713" s="1731" t="n"/>
      <c r="F713" s="1731" t="n"/>
      <c r="G713" s="1731" t="n"/>
      <c r="H713" s="1731" t="n"/>
    </row>
    <row r="714" ht="12.75" customHeight="1" s="882">
      <c r="A714" s="1728" t="n"/>
      <c r="B714" s="1729" t="n"/>
      <c r="C714" s="1730" t="n"/>
      <c r="D714" s="1731" t="n"/>
      <c r="E714" s="1731" t="n"/>
      <c r="F714" s="1731" t="n"/>
      <c r="G714" s="1731" t="n"/>
      <c r="H714" s="1731" t="n"/>
    </row>
    <row r="715" ht="12.75" customHeight="1" s="882">
      <c r="A715" s="1728" t="n"/>
      <c r="B715" s="1729" t="n"/>
      <c r="C715" s="1730" t="n"/>
      <c r="D715" s="1731" t="n"/>
      <c r="E715" s="1731" t="n"/>
      <c r="F715" s="1731" t="n"/>
      <c r="G715" s="1731" t="n"/>
      <c r="H715" s="1731" t="n"/>
    </row>
    <row r="716" ht="12.75" customHeight="1" s="882">
      <c r="A716" s="1728" t="n"/>
      <c r="B716" s="1729" t="n"/>
      <c r="C716" s="1730" t="n"/>
      <c r="D716" s="1731" t="n"/>
      <c r="E716" s="1731" t="n"/>
      <c r="F716" s="1731" t="n"/>
      <c r="G716" s="1731" t="n"/>
      <c r="H716" s="1731" t="n"/>
    </row>
    <row r="717" ht="12.75" customHeight="1" s="882">
      <c r="A717" s="1728" t="n"/>
      <c r="B717" s="1729" t="n"/>
      <c r="C717" s="1730" t="n"/>
      <c r="D717" s="1731" t="n"/>
      <c r="E717" s="1731" t="n"/>
      <c r="F717" s="1731" t="n"/>
      <c r="G717" s="1731" t="n"/>
      <c r="H717" s="1731" t="n"/>
    </row>
    <row r="718" ht="12.75" customHeight="1" s="882">
      <c r="A718" s="1728" t="n"/>
      <c r="B718" s="1729" t="n"/>
      <c r="C718" s="1730" t="n"/>
      <c r="D718" s="1731" t="n"/>
      <c r="E718" s="1731" t="n"/>
      <c r="F718" s="1731" t="n"/>
      <c r="G718" s="1731" t="n"/>
      <c r="H718" s="1731" t="n"/>
    </row>
    <row r="719" ht="12.75" customHeight="1" s="882">
      <c r="A719" s="1728" t="n"/>
      <c r="B719" s="1729" t="n"/>
      <c r="C719" s="1730" t="n"/>
      <c r="D719" s="1731" t="n"/>
      <c r="E719" s="1731" t="n"/>
      <c r="F719" s="1731" t="n"/>
      <c r="G719" s="1731" t="n"/>
      <c r="H719" s="1731" t="n"/>
    </row>
    <row r="720" ht="12.75" customHeight="1" s="882">
      <c r="A720" s="1732" t="n"/>
      <c r="B720" s="1729" t="n"/>
      <c r="C720" s="1730" t="n"/>
      <c r="D720" s="1731" t="n"/>
      <c r="E720" s="1731" t="n"/>
      <c r="F720" s="1731" t="n"/>
      <c r="G720" s="1731" t="n"/>
      <c r="H720" s="1731" t="n"/>
    </row>
    <row r="721" ht="12.75" customHeight="1" s="882">
      <c r="A721" s="1732" t="n"/>
      <c r="B721" s="1729" t="n"/>
      <c r="C721" s="1730" t="n"/>
      <c r="D721" s="1731" t="n"/>
      <c r="E721" s="1731" t="n"/>
      <c r="F721" s="1731" t="n"/>
      <c r="G721" s="1731" t="n"/>
      <c r="H721" s="1731" t="n"/>
    </row>
    <row r="722" ht="12.75" customHeight="1" s="882">
      <c r="A722" s="1732" t="n"/>
      <c r="B722" s="1729" t="n"/>
      <c r="C722" s="1730" t="n"/>
      <c r="D722" s="1731" t="n"/>
      <c r="E722" s="1731" t="n"/>
      <c r="F722" s="1731" t="n"/>
      <c r="G722" s="1731" t="n"/>
      <c r="H722" s="1731" t="n"/>
    </row>
    <row r="723" ht="12.75" customHeight="1" s="882">
      <c r="A723" s="1732" t="n"/>
      <c r="B723" s="1729" t="n"/>
      <c r="C723" s="1730" t="n"/>
      <c r="D723" s="1731" t="n"/>
      <c r="E723" s="1731" t="n"/>
      <c r="F723" s="1731" t="n"/>
      <c r="G723" s="1731" t="n"/>
      <c r="H723" s="1731" t="n"/>
    </row>
    <row r="724" ht="12.75" customHeight="1" s="882">
      <c r="A724" s="1732" t="n"/>
      <c r="B724" s="1729" t="n"/>
      <c r="C724" s="1730" t="n"/>
      <c r="D724" s="1731" t="n"/>
      <c r="E724" s="1731" t="n"/>
      <c r="F724" s="1731" t="n"/>
      <c r="G724" s="1731" t="n"/>
      <c r="H724" s="1731" t="n"/>
    </row>
    <row r="725" ht="12.75" customHeight="1" s="882">
      <c r="A725" s="1732" t="n"/>
      <c r="B725" s="1729" t="n"/>
      <c r="C725" s="1730" t="n"/>
      <c r="D725" s="1731" t="n"/>
      <c r="E725" s="1731" t="n"/>
      <c r="F725" s="1731" t="n"/>
      <c r="G725" s="1731" t="n"/>
      <c r="H725" s="1731" t="n"/>
    </row>
    <row r="726" ht="12.75" customHeight="1" s="882">
      <c r="A726" s="1732" t="n"/>
      <c r="B726" s="1729" t="n"/>
      <c r="C726" s="1730" t="n"/>
      <c r="D726" s="1731" t="n"/>
      <c r="E726" s="1731" t="n"/>
      <c r="F726" s="1731" t="n"/>
      <c r="G726" s="1731" t="n"/>
      <c r="H726" s="1731" t="n"/>
    </row>
    <row r="727" ht="12.75" customHeight="1" s="882">
      <c r="A727" s="1732" t="n"/>
      <c r="B727" s="1729" t="n"/>
      <c r="C727" s="1730" t="n"/>
      <c r="D727" s="1731" t="n"/>
      <c r="E727" s="1731" t="n"/>
      <c r="F727" s="1731" t="n"/>
      <c r="G727" s="1731" t="n"/>
      <c r="H727" s="1731" t="n"/>
    </row>
    <row r="728" ht="12.75" customHeight="1" s="882">
      <c r="A728" s="1732" t="n"/>
      <c r="B728" s="1729" t="n"/>
      <c r="C728" s="1730" t="n"/>
      <c r="D728" s="1731" t="n"/>
      <c r="E728" s="1731" t="n"/>
      <c r="F728" s="1731" t="n"/>
      <c r="G728" s="1731" t="n"/>
      <c r="H728" s="1731" t="n"/>
    </row>
    <row r="729" ht="12.75" customHeight="1" s="882">
      <c r="A729" s="1732" t="n"/>
      <c r="B729" s="1729" t="n"/>
      <c r="C729" s="1730" t="n"/>
      <c r="D729" s="1731" t="n"/>
      <c r="E729" s="1731" t="n"/>
      <c r="F729" s="1731" t="n"/>
      <c r="G729" s="1731" t="n"/>
      <c r="H729" s="1731" t="n"/>
    </row>
    <row r="730" ht="12.75" customHeight="1" s="882">
      <c r="A730" s="1732" t="n"/>
      <c r="B730" s="1729" t="n"/>
      <c r="C730" s="1730" t="n"/>
      <c r="D730" s="1731" t="n"/>
      <c r="E730" s="1731" t="n"/>
      <c r="F730" s="1731" t="n"/>
      <c r="G730" s="1731" t="n"/>
      <c r="H730" s="1731" t="n"/>
    </row>
    <row r="731" ht="12.75" customHeight="1" s="882">
      <c r="A731" s="1732" t="n"/>
      <c r="B731" s="1729" t="n"/>
      <c r="C731" s="1730" t="n"/>
      <c r="D731" s="1731" t="n"/>
      <c r="E731" s="1731" t="n"/>
      <c r="F731" s="1731" t="n"/>
      <c r="G731" s="1731" t="n"/>
      <c r="H731" s="1731" t="n"/>
    </row>
    <row r="732" ht="12.75" customHeight="1" s="882">
      <c r="A732" s="1732" t="n"/>
      <c r="B732" s="1729" t="n"/>
      <c r="C732" s="1730" t="n"/>
      <c r="D732" s="1731" t="n"/>
      <c r="E732" s="1731" t="n"/>
      <c r="F732" s="1731" t="n"/>
      <c r="G732" s="1731" t="n"/>
      <c r="H732" s="1731" t="n"/>
    </row>
    <row r="733" ht="12.75" customHeight="1" s="882">
      <c r="A733" s="1732" t="n"/>
      <c r="B733" s="1729" t="n"/>
      <c r="C733" s="1730" t="n"/>
      <c r="D733" s="1731" t="n"/>
      <c r="E733" s="1731" t="n"/>
      <c r="F733" s="1731" t="n"/>
      <c r="G733" s="1731" t="n"/>
      <c r="H733" s="1731" t="n"/>
    </row>
    <row r="734" ht="12.75" customHeight="1" s="882">
      <c r="A734" s="1732" t="n"/>
      <c r="B734" s="1729" t="n"/>
      <c r="C734" s="1730" t="n"/>
      <c r="D734" s="1731" t="n"/>
      <c r="E734" s="1731" t="n"/>
      <c r="F734" s="1731" t="n"/>
      <c r="G734" s="1731" t="n"/>
      <c r="H734" s="1731" t="n"/>
    </row>
    <row r="735" ht="12.75" customHeight="1" s="882">
      <c r="A735" s="1732" t="n"/>
      <c r="B735" s="1729" t="n"/>
      <c r="C735" s="1730" t="n"/>
      <c r="D735" s="1731" t="n"/>
      <c r="E735" s="1731" t="n"/>
      <c r="F735" s="1731" t="n"/>
      <c r="G735" s="1731" t="n"/>
      <c r="H735" s="1731" t="n"/>
    </row>
    <row r="736" ht="12.75" customHeight="1" s="882">
      <c r="A736" s="1732" t="n"/>
      <c r="B736" s="1729" t="n"/>
      <c r="C736" s="1730" t="n"/>
      <c r="D736" s="1731" t="n"/>
      <c r="E736" s="1731" t="n"/>
      <c r="F736" s="1731" t="n"/>
      <c r="G736" s="1731" t="n"/>
      <c r="H736" s="1731" t="n"/>
    </row>
    <row r="737" ht="12.75" customHeight="1" s="882">
      <c r="A737" s="1732" t="n"/>
      <c r="B737" s="1729" t="n"/>
      <c r="C737" s="1730" t="n"/>
      <c r="D737" s="1731" t="n"/>
      <c r="E737" s="1731" t="n"/>
      <c r="F737" s="1731" t="n"/>
      <c r="G737" s="1731" t="n"/>
      <c r="H737" s="1731" t="n"/>
    </row>
    <row r="738" ht="12.75" customHeight="1" s="882">
      <c r="A738" s="1732" t="n"/>
      <c r="B738" s="1729" t="n"/>
      <c r="C738" s="1730" t="n"/>
      <c r="D738" s="1731" t="n"/>
      <c r="E738" s="1731" t="n"/>
      <c r="F738" s="1731" t="n"/>
      <c r="G738" s="1731" t="n"/>
      <c r="H738" s="1731" t="n"/>
    </row>
    <row r="739" ht="12.75" customHeight="1" s="882">
      <c r="A739" s="1732" t="n"/>
      <c r="B739" s="1729" t="n"/>
      <c r="C739" s="1730" t="n"/>
      <c r="D739" s="1731" t="n"/>
      <c r="E739" s="1731" t="n"/>
      <c r="F739" s="1731" t="n"/>
      <c r="G739" s="1731" t="n"/>
      <c r="H739" s="1731" t="n"/>
    </row>
    <row r="740" ht="12.75" customHeight="1" s="882">
      <c r="A740" s="1732" t="n"/>
      <c r="B740" s="1729" t="n"/>
      <c r="C740" s="1730" t="n"/>
      <c r="D740" s="1731" t="n"/>
      <c r="E740" s="1731" t="n"/>
      <c r="F740" s="1731" t="n"/>
      <c r="G740" s="1731" t="n"/>
      <c r="H740" s="1731" t="n"/>
    </row>
    <row r="741" ht="12.75" customHeight="1" s="882">
      <c r="A741" s="1732" t="n"/>
      <c r="B741" s="1729" t="n"/>
      <c r="C741" s="1730" t="n"/>
      <c r="D741" s="1731" t="n"/>
      <c r="E741" s="1731" t="n"/>
      <c r="F741" s="1731" t="n"/>
      <c r="G741" s="1731" t="n"/>
      <c r="H741" s="1731" t="n"/>
    </row>
    <row r="742" ht="12.75" customHeight="1" s="882">
      <c r="A742" s="1732" t="n"/>
      <c r="B742" s="1729" t="n"/>
      <c r="C742" s="1730" t="n"/>
      <c r="D742" s="1731" t="n"/>
      <c r="E742" s="1731" t="n"/>
      <c r="F742" s="1731" t="n"/>
      <c r="G742" s="1731" t="n"/>
      <c r="H742" s="1731" t="n"/>
    </row>
    <row r="743" ht="12.75" customHeight="1" s="882">
      <c r="A743" s="1732" t="n"/>
      <c r="B743" s="1729" t="n"/>
      <c r="C743" s="1730" t="n"/>
      <c r="D743" s="1731" t="n"/>
      <c r="E743" s="1731" t="n"/>
      <c r="F743" s="1731" t="n"/>
      <c r="G743" s="1731" t="n"/>
      <c r="H743" s="1731" t="n"/>
    </row>
    <row r="744" ht="12.75" customHeight="1" s="882">
      <c r="A744" s="1732" t="n"/>
      <c r="B744" s="1729" t="n"/>
      <c r="C744" s="1730" t="n"/>
      <c r="D744" s="1731" t="n"/>
      <c r="E744" s="1731" t="n"/>
      <c r="F744" s="1731" t="n"/>
      <c r="G744" s="1731" t="n"/>
      <c r="H744" s="1731" t="n"/>
    </row>
    <row r="745" ht="12.75" customHeight="1" s="882">
      <c r="A745" s="1732" t="n"/>
      <c r="B745" s="1729" t="n"/>
      <c r="C745" s="1730" t="n"/>
      <c r="D745" s="1731" t="n"/>
      <c r="E745" s="1731" t="n"/>
      <c r="F745" s="1731" t="n"/>
      <c r="G745" s="1731" t="n"/>
      <c r="H745" s="1731" t="n"/>
    </row>
    <row r="746" ht="12.75" customHeight="1" s="882">
      <c r="A746" s="1732" t="n"/>
      <c r="B746" s="1729" t="n"/>
      <c r="C746" s="1730" t="n"/>
      <c r="D746" s="1731" t="n"/>
      <c r="E746" s="1731" t="n"/>
      <c r="F746" s="1731" t="n"/>
      <c r="G746" s="1731" t="n"/>
      <c r="H746" s="1731" t="n"/>
    </row>
    <row r="747" ht="12.75" customHeight="1" s="882">
      <c r="A747" s="1732" t="n"/>
      <c r="B747" s="1729" t="n"/>
      <c r="C747" s="1730" t="n"/>
      <c r="D747" s="1731" t="n"/>
      <c r="E747" s="1731" t="n"/>
      <c r="F747" s="1731" t="n"/>
      <c r="G747" s="1731" t="n"/>
      <c r="H747" s="1731" t="n"/>
    </row>
    <row r="748" ht="12.75" customHeight="1" s="882">
      <c r="A748" s="1732" t="n"/>
      <c r="B748" s="1729" t="n"/>
      <c r="C748" s="1730" t="n"/>
      <c r="D748" s="1731" t="n"/>
      <c r="E748" s="1731" t="n"/>
      <c r="F748" s="1731" t="n"/>
      <c r="G748" s="1731" t="n"/>
      <c r="H748" s="1731" t="n"/>
    </row>
    <row r="749" ht="12.75" customHeight="1" s="882">
      <c r="A749" s="1732" t="n"/>
      <c r="B749" s="1729" t="n"/>
      <c r="C749" s="1730" t="n"/>
      <c r="D749" s="1731" t="n"/>
      <c r="E749" s="1731" t="n"/>
      <c r="F749" s="1731" t="n"/>
      <c r="G749" s="1731" t="n"/>
      <c r="H749" s="1731" t="n"/>
    </row>
    <row r="750" ht="12.75" customHeight="1" s="882">
      <c r="A750" s="1732" t="n"/>
      <c r="B750" s="1729" t="n"/>
      <c r="C750" s="1730" t="n"/>
      <c r="D750" s="1731" t="n"/>
      <c r="E750" s="1731" t="n"/>
      <c r="F750" s="1731" t="n"/>
      <c r="G750" s="1731" t="n"/>
      <c r="H750" s="1731" t="n"/>
    </row>
    <row r="751" ht="12.75" customHeight="1" s="882">
      <c r="A751" s="1732" t="n"/>
      <c r="B751" s="1729" t="n"/>
      <c r="C751" s="1730" t="n"/>
      <c r="D751" s="1731" t="n"/>
      <c r="E751" s="1731" t="n"/>
      <c r="F751" s="1731" t="n"/>
      <c r="G751" s="1731" t="n"/>
      <c r="H751" s="1731" t="n"/>
    </row>
    <row r="752" ht="12.75" customHeight="1" s="882">
      <c r="A752" s="1732" t="n"/>
      <c r="B752" s="1729" t="n"/>
      <c r="C752" s="1730" t="n"/>
      <c r="D752" s="1731" t="n"/>
      <c r="E752" s="1731" t="n"/>
      <c r="F752" s="1731" t="n"/>
      <c r="G752" s="1731" t="n"/>
      <c r="H752" s="1731" t="n"/>
    </row>
    <row r="753" ht="12.75" customHeight="1" s="882">
      <c r="A753" s="1732" t="n"/>
      <c r="B753" s="1729" t="n"/>
      <c r="C753" s="1730" t="n"/>
      <c r="D753" s="1731" t="n"/>
      <c r="E753" s="1731" t="n"/>
      <c r="F753" s="1731" t="n"/>
      <c r="G753" s="1731" t="n"/>
      <c r="H753" s="1731" t="n"/>
    </row>
    <row r="754" ht="12.75" customHeight="1" s="882">
      <c r="A754" s="1732" t="n"/>
      <c r="B754" s="1729" t="n"/>
      <c r="C754" s="1730" t="n"/>
      <c r="D754" s="1731" t="n"/>
      <c r="E754" s="1731" t="n"/>
      <c r="F754" s="1731" t="n"/>
      <c r="G754" s="1731" t="n"/>
      <c r="H754" s="1731" t="n"/>
    </row>
    <row r="755" ht="12.75" customHeight="1" s="882">
      <c r="A755" s="1732" t="n"/>
      <c r="B755" s="1729" t="n"/>
      <c r="C755" s="1730" t="n"/>
      <c r="D755" s="1731" t="n"/>
      <c r="E755" s="1731" t="n"/>
      <c r="F755" s="1731" t="n"/>
      <c r="G755" s="1731" t="n"/>
      <c r="H755" s="1731" t="n"/>
    </row>
    <row r="756" ht="12.75" customHeight="1" s="882">
      <c r="A756" s="1732" t="n"/>
      <c r="B756" s="1729" t="n"/>
      <c r="C756" s="1730" t="n"/>
      <c r="D756" s="1731" t="n"/>
      <c r="E756" s="1731" t="n"/>
      <c r="F756" s="1731" t="n"/>
      <c r="G756" s="1731" t="n"/>
      <c r="H756" s="1731" t="n"/>
    </row>
    <row r="757" ht="12.75" customHeight="1" s="882">
      <c r="A757" s="1732" t="n"/>
      <c r="B757" s="1729" t="n"/>
      <c r="C757" s="1730" t="n"/>
      <c r="D757" s="1731" t="n"/>
      <c r="E757" s="1731" t="n"/>
      <c r="F757" s="1731" t="n"/>
      <c r="G757" s="1731" t="n"/>
      <c r="H757" s="1731" t="n"/>
    </row>
    <row r="758" ht="12.75" customHeight="1" s="882">
      <c r="A758" s="1732" t="n"/>
      <c r="B758" s="1729" t="n"/>
      <c r="C758" s="1730" t="n"/>
      <c r="D758" s="1731" t="n"/>
      <c r="E758" s="1731" t="n"/>
      <c r="F758" s="1731" t="n"/>
      <c r="G758" s="1731" t="n"/>
      <c r="H758" s="1731" t="n"/>
    </row>
    <row r="759" ht="12.75" customHeight="1" s="882">
      <c r="A759" s="1732" t="n"/>
      <c r="B759" s="1729" t="n"/>
      <c r="C759" s="1730" t="n"/>
      <c r="D759" s="1731" t="n"/>
      <c r="E759" s="1731" t="n"/>
      <c r="F759" s="1731" t="n"/>
      <c r="G759" s="1731" t="n"/>
      <c r="H759" s="1731" t="n"/>
    </row>
    <row r="760" ht="12.75" customHeight="1" s="882">
      <c r="A760" s="1732" t="n"/>
      <c r="B760" s="1729" t="n"/>
      <c r="C760" s="1730" t="n"/>
      <c r="D760" s="1731" t="n"/>
      <c r="E760" s="1731" t="n"/>
      <c r="F760" s="1731" t="n"/>
      <c r="G760" s="1731" t="n"/>
      <c r="H760" s="1731" t="n"/>
    </row>
    <row r="761" ht="12.75" customHeight="1" s="882">
      <c r="A761" s="1732" t="n"/>
      <c r="B761" s="1729" t="n"/>
      <c r="C761" s="1730" t="n"/>
      <c r="D761" s="1731" t="n"/>
      <c r="E761" s="1731" t="n"/>
      <c r="F761" s="1731" t="n"/>
      <c r="G761" s="1731" t="n"/>
      <c r="H761" s="1731" t="n"/>
    </row>
    <row r="762" ht="12.75" customHeight="1" s="882">
      <c r="A762" s="1732" t="n"/>
      <c r="B762" s="1729" t="n"/>
      <c r="C762" s="1730" t="n"/>
      <c r="D762" s="1731" t="n"/>
      <c r="E762" s="1731" t="n"/>
      <c r="F762" s="1731" t="n"/>
      <c r="G762" s="1731" t="n"/>
      <c r="H762" s="1731" t="n"/>
    </row>
    <row r="763" ht="12.75" customHeight="1" s="882">
      <c r="A763" s="1732" t="n"/>
      <c r="B763" s="1729" t="n"/>
      <c r="C763" s="1730" t="n"/>
      <c r="D763" s="1731" t="n"/>
      <c r="E763" s="1731" t="n"/>
      <c r="F763" s="1731" t="n"/>
      <c r="G763" s="1731" t="n"/>
      <c r="H763" s="1731" t="n"/>
    </row>
    <row r="764" ht="12.75" customHeight="1" s="882">
      <c r="A764" s="1732" t="n"/>
      <c r="B764" s="1729" t="n"/>
      <c r="C764" s="1730" t="n"/>
      <c r="D764" s="1731" t="n"/>
      <c r="E764" s="1731" t="n"/>
      <c r="F764" s="1731" t="n"/>
      <c r="G764" s="1731" t="n"/>
      <c r="H764" s="1731" t="n"/>
    </row>
    <row r="765" ht="12.75" customHeight="1" s="882">
      <c r="A765" s="1732" t="n"/>
      <c r="B765" s="1729" t="n"/>
      <c r="C765" s="1730" t="n"/>
      <c r="D765" s="1731" t="n"/>
      <c r="E765" s="1731" t="n"/>
      <c r="F765" s="1731" t="n"/>
      <c r="G765" s="1731" t="n"/>
      <c r="H765" s="1731" t="n"/>
    </row>
    <row r="766" ht="12.75" customHeight="1" s="882">
      <c r="A766" s="1732" t="n"/>
      <c r="B766" s="1729" t="n"/>
      <c r="C766" s="1730" t="n"/>
      <c r="D766" s="1731" t="n"/>
      <c r="E766" s="1731" t="n"/>
      <c r="F766" s="1731" t="n"/>
      <c r="G766" s="1731" t="n"/>
      <c r="H766" s="1731" t="n"/>
    </row>
    <row r="767" ht="12.75" customHeight="1" s="882">
      <c r="A767" s="1732" t="n"/>
      <c r="B767" s="1729" t="n"/>
      <c r="C767" s="1730" t="n"/>
      <c r="D767" s="1731" t="n"/>
      <c r="E767" s="1731" t="n"/>
      <c r="F767" s="1731" t="n"/>
      <c r="G767" s="1731" t="n"/>
      <c r="H767" s="1731" t="n"/>
    </row>
    <row r="768" ht="12.75" customHeight="1" s="882">
      <c r="A768" s="1732" t="n"/>
      <c r="B768" s="1729" t="n"/>
      <c r="C768" s="1730" t="n"/>
      <c r="D768" s="1731" t="n"/>
      <c r="E768" s="1731" t="n"/>
      <c r="F768" s="1731" t="n"/>
      <c r="G768" s="1731" t="n"/>
      <c r="H768" s="1731" t="n"/>
    </row>
    <row r="769" ht="12.75" customHeight="1" s="882">
      <c r="A769" s="1732" t="n"/>
      <c r="B769" s="1729" t="n"/>
      <c r="C769" s="1730" t="n"/>
      <c r="D769" s="1731" t="n"/>
      <c r="E769" s="1731" t="n"/>
      <c r="F769" s="1731" t="n"/>
      <c r="G769" s="1731" t="n"/>
      <c r="H769" s="1731" t="n"/>
    </row>
    <row r="770" ht="12.75" customHeight="1" s="882">
      <c r="A770" s="1732" t="n"/>
      <c r="B770" s="1729" t="n"/>
      <c r="C770" s="1730" t="n"/>
      <c r="D770" s="1731" t="n"/>
      <c r="E770" s="1731" t="n"/>
      <c r="F770" s="1731" t="n"/>
      <c r="G770" s="1731" t="n"/>
      <c r="H770" s="1731" t="n"/>
    </row>
    <row r="771" ht="12.75" customHeight="1" s="882">
      <c r="A771" s="1732" t="n"/>
      <c r="B771" s="1729" t="n"/>
      <c r="C771" s="1730" t="n"/>
      <c r="D771" s="1731" t="n"/>
      <c r="E771" s="1731" t="n"/>
      <c r="F771" s="1731" t="n"/>
      <c r="G771" s="1731" t="n"/>
      <c r="H771" s="1731" t="n"/>
    </row>
    <row r="772" ht="12.75" customHeight="1" s="882">
      <c r="A772" s="1732" t="n"/>
      <c r="B772" s="1729" t="n"/>
      <c r="C772" s="1730" t="n"/>
      <c r="D772" s="1731" t="n"/>
      <c r="E772" s="1731" t="n"/>
      <c r="F772" s="1731" t="n"/>
      <c r="G772" s="1731" t="n"/>
      <c r="H772" s="1731" t="n"/>
    </row>
    <row r="773" ht="12.75" customHeight="1" s="882">
      <c r="A773" s="1732" t="n"/>
      <c r="B773" s="1729" t="n"/>
      <c r="C773" s="1730" t="n"/>
      <c r="D773" s="1731" t="n"/>
      <c r="E773" s="1731" t="n"/>
      <c r="F773" s="1731" t="n"/>
      <c r="G773" s="1731" t="n"/>
      <c r="H773" s="1731" t="n"/>
    </row>
    <row r="774" ht="12.75" customHeight="1" s="882">
      <c r="A774" s="1732" t="n"/>
      <c r="B774" s="1729" t="n"/>
      <c r="C774" s="1730" t="n"/>
      <c r="D774" s="1731" t="n"/>
      <c r="E774" s="1731" t="n"/>
      <c r="F774" s="1731" t="n"/>
      <c r="G774" s="1731" t="n"/>
      <c r="H774" s="1731" t="n"/>
    </row>
    <row r="775" ht="12.75" customHeight="1" s="882">
      <c r="A775" s="1732" t="n"/>
      <c r="B775" s="1729" t="n"/>
      <c r="C775" s="1730" t="n"/>
      <c r="D775" s="1731" t="n"/>
      <c r="E775" s="1731" t="n"/>
      <c r="F775" s="1731" t="n"/>
      <c r="G775" s="1731" t="n"/>
      <c r="H775" s="1731" t="n"/>
    </row>
    <row r="776" ht="12.75" customHeight="1" s="882">
      <c r="A776" s="1732" t="n"/>
      <c r="B776" s="1729" t="n"/>
      <c r="C776" s="1730" t="n"/>
      <c r="D776" s="1731" t="n"/>
      <c r="E776" s="1731" t="n"/>
      <c r="F776" s="1731" t="n"/>
      <c r="G776" s="1731" t="n"/>
      <c r="H776" s="1731" t="n"/>
    </row>
    <row r="777" ht="12.75" customHeight="1" s="882">
      <c r="A777" s="1732" t="n"/>
      <c r="B777" s="1729" t="n"/>
      <c r="C777" s="1730" t="n"/>
      <c r="D777" s="1731" t="n"/>
      <c r="E777" s="1731" t="n"/>
      <c r="F777" s="1731" t="n"/>
      <c r="G777" s="1731" t="n"/>
      <c r="H777" s="1731" t="n"/>
    </row>
    <row r="778" ht="12.75" customHeight="1" s="882">
      <c r="A778" s="1732" t="n"/>
      <c r="B778" s="1729" t="n"/>
      <c r="C778" s="1730" t="n"/>
      <c r="D778" s="1731" t="n"/>
      <c r="E778" s="1731" t="n"/>
      <c r="F778" s="1731" t="n"/>
      <c r="G778" s="1731" t="n"/>
      <c r="H778" s="1731" t="n"/>
    </row>
    <row r="779" ht="12.75" customHeight="1" s="882">
      <c r="A779" s="1733" t="n"/>
      <c r="B779" s="1734" t="n"/>
      <c r="C779" s="1735" t="n"/>
      <c r="D779" s="1591" t="n"/>
      <c r="E779" s="1591" t="n"/>
      <c r="F779" s="1591" t="n"/>
      <c r="G779" s="1591" t="n"/>
      <c r="H779" s="1591" t="n"/>
    </row>
    <row r="780" ht="12.75" customHeight="1" s="882">
      <c r="A780" s="1733" t="n"/>
      <c r="B780" s="1734" t="n"/>
      <c r="C780" s="1735" t="n"/>
      <c r="D780" s="1591" t="n"/>
      <c r="E780" s="1591" t="n"/>
      <c r="F780" s="1591" t="n"/>
      <c r="G780" s="1591" t="n"/>
      <c r="H780" s="1591" t="n"/>
    </row>
    <row r="781" ht="12.75" customHeight="1" s="882">
      <c r="A781" s="1733" t="n"/>
      <c r="B781" s="1734" t="n"/>
      <c r="C781" s="1735" t="n"/>
      <c r="D781" s="1591" t="n"/>
      <c r="E781" s="1591" t="n"/>
      <c r="F781" s="1591" t="n"/>
      <c r="G781" s="1591" t="n"/>
      <c r="H781" s="1591" t="n"/>
    </row>
    <row r="782" ht="12.75" customHeight="1" s="882">
      <c r="A782" s="1733" t="n"/>
      <c r="B782" s="1734" t="n"/>
      <c r="C782" s="1735" t="n"/>
      <c r="D782" s="1591" t="n"/>
      <c r="E782" s="1591" t="n"/>
      <c r="F782" s="1591" t="n"/>
      <c r="G782" s="1591" t="n"/>
      <c r="H782" s="1591" t="n"/>
    </row>
    <row r="783" ht="12.75" customHeight="1" s="882">
      <c r="A783" s="1733" t="n"/>
      <c r="B783" s="1734" t="n"/>
      <c r="C783" s="1735" t="n"/>
      <c r="D783" s="1591" t="n"/>
      <c r="E783" s="1591" t="n"/>
      <c r="F783" s="1591" t="n"/>
      <c r="G783" s="1591" t="n"/>
      <c r="H783" s="1591" t="n"/>
    </row>
    <row r="784" ht="12.75" customHeight="1" s="882">
      <c r="A784" s="1733" t="n"/>
      <c r="B784" s="1734" t="n"/>
      <c r="C784" s="1735" t="n"/>
      <c r="D784" s="1591" t="n"/>
      <c r="E784" s="1591" t="n"/>
      <c r="F784" s="1591" t="n"/>
      <c r="G784" s="1591" t="n"/>
      <c r="H784" s="1591" t="n"/>
    </row>
    <row r="785" ht="12.75" customHeight="1" s="882">
      <c r="A785" s="1733" t="n"/>
      <c r="B785" s="1734" t="n"/>
      <c r="C785" s="1735" t="n"/>
      <c r="D785" s="1591" t="n"/>
      <c r="E785" s="1591" t="n"/>
      <c r="F785" s="1591" t="n"/>
      <c r="G785" s="1591" t="n"/>
      <c r="H785" s="1591" t="n"/>
    </row>
    <row r="786" ht="12.75" customHeight="1" s="882">
      <c r="A786" s="1733" t="n"/>
      <c r="B786" s="1734" t="n"/>
      <c r="C786" s="1735" t="n"/>
      <c r="D786" s="1591" t="n"/>
      <c r="E786" s="1591" t="n"/>
      <c r="F786" s="1591" t="n"/>
      <c r="G786" s="1591" t="n"/>
      <c r="H786" s="1591" t="n"/>
    </row>
    <row r="787" ht="12.75" customHeight="1" s="882">
      <c r="A787" s="1733" t="n"/>
      <c r="B787" s="1734" t="n"/>
      <c r="C787" s="1735" t="n"/>
      <c r="D787" s="1591" t="n"/>
      <c r="E787" s="1591" t="n"/>
      <c r="F787" s="1591" t="n"/>
      <c r="G787" s="1591" t="n"/>
      <c r="H787" s="1591" t="n"/>
    </row>
    <row r="788" ht="12.75" customHeight="1" s="882">
      <c r="A788" s="1733" t="n"/>
      <c r="B788" s="1734" t="n"/>
      <c r="C788" s="1735" t="n"/>
      <c r="D788" s="1591" t="n"/>
      <c r="E788" s="1591" t="n"/>
      <c r="F788" s="1591" t="n"/>
      <c r="G788" s="1591" t="n"/>
      <c r="H788" s="1591" t="n"/>
    </row>
    <row r="789" ht="12.75" customHeight="1" s="882">
      <c r="A789" s="1733" t="n"/>
      <c r="B789" s="1734" t="n"/>
      <c r="C789" s="1735" t="n"/>
      <c r="D789" s="1591" t="n"/>
      <c r="E789" s="1591" t="n"/>
      <c r="F789" s="1591" t="n"/>
      <c r="G789" s="1591" t="n"/>
      <c r="H789" s="1591" t="n"/>
    </row>
    <row r="790" ht="12.75" customHeight="1" s="882">
      <c r="A790" s="1733" t="n"/>
      <c r="B790" s="1734" t="n"/>
      <c r="C790" s="1735" t="n"/>
      <c r="D790" s="1591" t="n"/>
      <c r="E790" s="1591" t="n"/>
      <c r="F790" s="1591" t="n"/>
      <c r="G790" s="1591" t="n"/>
      <c r="H790" s="1591" t="n"/>
    </row>
    <row r="791" ht="12.75" customHeight="1" s="882">
      <c r="A791" s="1733" t="n"/>
      <c r="B791" s="1734" t="n"/>
      <c r="C791" s="1735" t="n"/>
      <c r="D791" s="1591" t="n"/>
      <c r="E791" s="1591" t="n"/>
      <c r="F791" s="1591" t="n"/>
      <c r="G791" s="1591" t="n"/>
      <c r="H791" s="1591" t="n"/>
    </row>
    <row r="792" ht="12.75" customHeight="1" s="882">
      <c r="A792" s="1733" t="n"/>
      <c r="B792" s="1734" t="n"/>
      <c r="C792" s="1735" t="n"/>
      <c r="D792" s="1591" t="n"/>
      <c r="E792" s="1591" t="n"/>
      <c r="F792" s="1591" t="n"/>
      <c r="G792" s="1591" t="n"/>
      <c r="H792" s="1591" t="n"/>
    </row>
    <row r="793" ht="12.75" customHeight="1" s="882">
      <c r="A793" s="1733" t="n"/>
      <c r="B793" s="1734" t="n"/>
      <c r="C793" s="1735" t="n"/>
      <c r="D793" s="1591" t="n"/>
      <c r="E793" s="1591" t="n"/>
      <c r="F793" s="1591" t="n"/>
      <c r="G793" s="1591" t="n"/>
      <c r="H793" s="1591" t="n"/>
    </row>
    <row r="794" ht="12.75" customHeight="1" s="882">
      <c r="A794" s="1733" t="n"/>
      <c r="B794" s="1734" t="n"/>
      <c r="C794" s="1735" t="n"/>
      <c r="D794" s="1591" t="n"/>
      <c r="E794" s="1591" t="n"/>
      <c r="F794" s="1591" t="n"/>
      <c r="G794" s="1591" t="n"/>
      <c r="H794" s="1591" t="n"/>
    </row>
    <row r="795" ht="12.75" customHeight="1" s="882">
      <c r="A795" s="1733" t="n"/>
      <c r="B795" s="1734" t="n"/>
      <c r="C795" s="1735" t="n"/>
      <c r="D795" s="1591" t="n"/>
      <c r="E795" s="1591" t="n"/>
      <c r="F795" s="1591" t="n"/>
      <c r="G795" s="1591" t="n"/>
      <c r="H795" s="1591" t="n"/>
    </row>
    <row r="796" ht="12.75" customHeight="1" s="882">
      <c r="A796" s="1733" t="n"/>
      <c r="B796" s="1734" t="n"/>
      <c r="C796" s="1735" t="n"/>
      <c r="D796" s="1591" t="n"/>
      <c r="E796" s="1591" t="n"/>
      <c r="F796" s="1591" t="n"/>
      <c r="G796" s="1591" t="n"/>
      <c r="H796" s="1591" t="n"/>
    </row>
    <row r="797" ht="12.75" customHeight="1" s="882">
      <c r="A797" s="1733" t="n"/>
      <c r="B797" s="1734" t="n"/>
      <c r="C797" s="1735" t="n"/>
      <c r="D797" s="1591" t="n"/>
      <c r="E797" s="1591" t="n"/>
      <c r="F797" s="1591" t="n"/>
      <c r="G797" s="1591" t="n"/>
      <c r="H797" s="1591" t="n"/>
    </row>
    <row r="798" ht="12.75" customHeight="1" s="882">
      <c r="A798" s="1733" t="n"/>
      <c r="B798" s="1734" t="n"/>
      <c r="C798" s="1735" t="n"/>
      <c r="D798" s="1591" t="n"/>
      <c r="E798" s="1591" t="n"/>
      <c r="F798" s="1591" t="n"/>
      <c r="G798" s="1591" t="n"/>
      <c r="H798" s="1591" t="n"/>
    </row>
    <row r="799" ht="12.75" customHeight="1" s="882">
      <c r="A799" s="1733" t="n"/>
      <c r="B799" s="1734" t="n"/>
      <c r="C799" s="1735" t="n"/>
      <c r="D799" s="1591" t="n"/>
      <c r="E799" s="1591" t="n"/>
      <c r="F799" s="1591" t="n"/>
      <c r="G799" s="1591" t="n"/>
      <c r="H799" s="1591" t="n"/>
    </row>
    <row r="800" ht="12.75" customHeight="1" s="882">
      <c r="A800" s="1733" t="n"/>
      <c r="B800" s="1734" t="n"/>
      <c r="C800" s="1735" t="n"/>
      <c r="D800" s="1591" t="n"/>
      <c r="E800" s="1591" t="n"/>
      <c r="F800" s="1591" t="n"/>
      <c r="G800" s="1591" t="n"/>
      <c r="H800" s="1591" t="n"/>
    </row>
    <row r="801" ht="12.75" customHeight="1" s="882">
      <c r="A801" s="1733" t="n"/>
      <c r="B801" s="1734" t="n"/>
      <c r="C801" s="1735" t="n"/>
      <c r="D801" s="1591" t="n"/>
      <c r="E801" s="1591" t="n"/>
      <c r="F801" s="1591" t="n"/>
      <c r="G801" s="1591" t="n"/>
      <c r="H801" s="1591" t="n"/>
    </row>
    <row r="802" ht="12.75" customHeight="1" s="882">
      <c r="A802" s="1733" t="n"/>
      <c r="B802" s="1734" t="n"/>
      <c r="C802" s="1735" t="n"/>
      <c r="D802" s="1591" t="n"/>
      <c r="E802" s="1591" t="n"/>
      <c r="F802" s="1591" t="n"/>
      <c r="G802" s="1591" t="n"/>
      <c r="H802" s="1591" t="n"/>
    </row>
    <row r="803" ht="12.75" customHeight="1" s="882">
      <c r="A803" s="1733" t="n"/>
      <c r="B803" s="1734" t="n"/>
      <c r="C803" s="1735" t="n"/>
      <c r="D803" s="1591" t="n"/>
      <c r="E803" s="1591" t="n"/>
      <c r="F803" s="1591" t="n"/>
      <c r="G803" s="1591" t="n"/>
      <c r="H803" s="1591" t="n"/>
    </row>
    <row r="804" ht="12.75" customHeight="1" s="882">
      <c r="A804" s="1733" t="n"/>
      <c r="B804" s="1734" t="n"/>
      <c r="C804" s="1735" t="n"/>
      <c r="D804" s="1591" t="n"/>
      <c r="E804" s="1591" t="n"/>
      <c r="F804" s="1591" t="n"/>
      <c r="G804" s="1591" t="n"/>
      <c r="H804" s="1591" t="n"/>
    </row>
    <row r="805" ht="12.75" customHeight="1" s="882">
      <c r="A805" s="1733" t="n"/>
      <c r="B805" s="1734" t="n"/>
      <c r="C805" s="1735" t="n"/>
      <c r="D805" s="1591" t="n"/>
      <c r="E805" s="1591" t="n"/>
      <c r="F805" s="1591" t="n"/>
      <c r="G805" s="1591" t="n"/>
      <c r="H805" s="1591" t="n"/>
    </row>
    <row r="806" ht="12.75" customHeight="1" s="882">
      <c r="A806" s="1733" t="n"/>
      <c r="B806" s="1734" t="n"/>
      <c r="C806" s="1735" t="n"/>
      <c r="D806" s="1591" t="n"/>
      <c r="E806" s="1591" t="n"/>
      <c r="F806" s="1591" t="n"/>
      <c r="G806" s="1591" t="n"/>
      <c r="H806" s="1591" t="n"/>
    </row>
    <row r="807" ht="12.75" customHeight="1" s="882">
      <c r="A807" s="1733" t="n"/>
      <c r="B807" s="1734" t="n"/>
      <c r="C807" s="1735" t="n"/>
      <c r="D807" s="1591" t="n"/>
      <c r="E807" s="1591" t="n"/>
      <c r="F807" s="1591" t="n"/>
      <c r="G807" s="1591" t="n"/>
      <c r="H807" s="1591" t="n"/>
    </row>
    <row r="808" ht="12.75" customHeight="1" s="882">
      <c r="A808" s="1733" t="n"/>
      <c r="B808" s="1734" t="n"/>
      <c r="C808" s="1735" t="n"/>
      <c r="D808" s="1591" t="n"/>
      <c r="E808" s="1591" t="n"/>
      <c r="F808" s="1591" t="n"/>
      <c r="G808" s="1591" t="n"/>
      <c r="H808" s="1591" t="n"/>
    </row>
    <row r="809" ht="12.75" customHeight="1" s="882">
      <c r="A809" s="1733" t="n"/>
      <c r="B809" s="1734" t="n"/>
      <c r="C809" s="1735" t="n"/>
      <c r="D809" s="1591" t="n"/>
      <c r="E809" s="1591" t="n"/>
      <c r="F809" s="1591" t="n"/>
      <c r="G809" s="1591" t="n"/>
      <c r="H809" s="1591" t="n"/>
    </row>
    <row r="810" ht="12.75" customHeight="1" s="882">
      <c r="A810" s="1733" t="n"/>
      <c r="B810" s="1734" t="n"/>
      <c r="C810" s="1735" t="n"/>
      <c r="D810" s="1591" t="n"/>
      <c r="E810" s="1591" t="n"/>
      <c r="F810" s="1591" t="n"/>
      <c r="G810" s="1591" t="n"/>
      <c r="H810" s="1591" t="n"/>
    </row>
    <row r="811" ht="12.75" customHeight="1" s="882">
      <c r="A811" s="1733" t="n"/>
      <c r="B811" s="1734" t="n"/>
      <c r="C811" s="1735" t="n"/>
      <c r="D811" s="1591" t="n"/>
      <c r="E811" s="1591" t="n"/>
      <c r="F811" s="1591" t="n"/>
      <c r="G811" s="1591" t="n"/>
      <c r="H811" s="1591" t="n"/>
    </row>
    <row r="812" ht="12.75" customHeight="1" s="882">
      <c r="A812" s="1733" t="n"/>
      <c r="B812" s="1734" t="n"/>
      <c r="C812" s="1735" t="n"/>
      <c r="D812" s="1591" t="n"/>
      <c r="E812" s="1591" t="n"/>
      <c r="F812" s="1591" t="n"/>
      <c r="G812" s="1591" t="n"/>
      <c r="H812" s="1591" t="n"/>
    </row>
    <row r="813" ht="12.75" customHeight="1" s="882">
      <c r="A813" s="1733" t="n"/>
      <c r="B813" s="1734" t="n"/>
      <c r="C813" s="1735" t="n"/>
      <c r="D813" s="1591" t="n"/>
      <c r="E813" s="1591" t="n"/>
      <c r="F813" s="1591" t="n"/>
      <c r="G813" s="1591" t="n"/>
      <c r="H813" s="1591" t="n"/>
    </row>
    <row r="814" ht="12.75" customHeight="1" s="882">
      <c r="A814" s="1733" t="n"/>
      <c r="B814" s="1734" t="n"/>
      <c r="C814" s="1735" t="n"/>
      <c r="D814" s="1591" t="n"/>
      <c r="E814" s="1591" t="n"/>
      <c r="F814" s="1591" t="n"/>
      <c r="G814" s="1591" t="n"/>
      <c r="H814" s="1591" t="n"/>
    </row>
    <row r="815" ht="12.75" customHeight="1" s="882">
      <c r="A815" s="1733" t="n"/>
      <c r="B815" s="1734" t="n"/>
      <c r="C815" s="1735" t="n"/>
      <c r="D815" s="1591" t="n"/>
      <c r="E815" s="1591" t="n"/>
      <c r="F815" s="1591" t="n"/>
      <c r="G815" s="1591" t="n"/>
      <c r="H815" s="1591" t="n"/>
    </row>
    <row r="816" ht="12.75" customHeight="1" s="882">
      <c r="A816" s="1733" t="n"/>
      <c r="B816" s="1734" t="n"/>
      <c r="C816" s="1735" t="n"/>
      <c r="D816" s="1591" t="n"/>
      <c r="E816" s="1591" t="n"/>
      <c r="F816" s="1591" t="n"/>
      <c r="G816" s="1591" t="n"/>
      <c r="H816" s="1591" t="n"/>
    </row>
    <row r="817" ht="12.75" customHeight="1" s="882">
      <c r="A817" s="1733" t="n"/>
      <c r="B817" s="1734" t="n"/>
      <c r="C817" s="1735" t="n"/>
      <c r="D817" s="1591" t="n"/>
      <c r="E817" s="1591" t="n"/>
      <c r="F817" s="1591" t="n"/>
      <c r="G817" s="1591" t="n"/>
      <c r="H817" s="1591" t="n"/>
    </row>
    <row r="818" ht="12.75" customHeight="1" s="882">
      <c r="A818" s="1733" t="n"/>
      <c r="B818" s="1734" t="n"/>
      <c r="C818" s="1735" t="n"/>
      <c r="D818" s="1591" t="n"/>
      <c r="E818" s="1591" t="n"/>
      <c r="F818" s="1591" t="n"/>
      <c r="G818" s="1591" t="n"/>
      <c r="H818" s="1591" t="n"/>
    </row>
    <row r="819" ht="12.75" customHeight="1" s="882">
      <c r="A819" s="1733" t="n"/>
      <c r="B819" s="1734" t="n"/>
      <c r="C819" s="1735" t="n"/>
      <c r="D819" s="1591" t="n"/>
      <c r="E819" s="1591" t="n"/>
      <c r="F819" s="1591" t="n"/>
      <c r="G819" s="1591" t="n"/>
      <c r="H819" s="1591" t="n"/>
    </row>
    <row r="820" ht="12.75" customHeight="1" s="882">
      <c r="A820" s="1733" t="n"/>
      <c r="B820" s="1734" t="n"/>
      <c r="C820" s="1735" t="n"/>
      <c r="D820" s="1591" t="n"/>
      <c r="E820" s="1591" t="n"/>
      <c r="F820" s="1591" t="n"/>
      <c r="G820" s="1591" t="n"/>
      <c r="H820" s="1591" t="n"/>
    </row>
    <row r="821" ht="12.75" customHeight="1" s="882">
      <c r="A821" s="1733" t="n"/>
      <c r="B821" s="1734" t="n"/>
      <c r="C821" s="1735" t="n"/>
      <c r="D821" s="1591" t="n"/>
      <c r="E821" s="1591" t="n"/>
      <c r="F821" s="1591" t="n"/>
      <c r="G821" s="1591" t="n"/>
      <c r="H821" s="1591" t="n"/>
    </row>
    <row r="822" ht="12.75" customHeight="1" s="882">
      <c r="A822" s="1733" t="n"/>
      <c r="B822" s="1734" t="n"/>
      <c r="C822" s="1735" t="n"/>
      <c r="D822" s="1591" t="n"/>
      <c r="E822" s="1591" t="n"/>
      <c r="F822" s="1591" t="n"/>
      <c r="G822" s="1591" t="n"/>
      <c r="H822" s="1591" t="n"/>
    </row>
    <row r="823" ht="12.75" customHeight="1" s="882">
      <c r="A823" s="1736" t="n"/>
    </row>
    <row r="824" ht="12.75" customHeight="1" s="882">
      <c r="A824" s="1736" t="n"/>
    </row>
    <row r="825" ht="12.75" customHeight="1" s="882">
      <c r="A825" s="1736" t="n"/>
    </row>
    <row r="826" ht="12.75" customHeight="1" s="882">
      <c r="A826" s="1736" t="n"/>
    </row>
    <row r="827" ht="12.75" customHeight="1" s="882">
      <c r="A827" s="1736" t="n"/>
    </row>
    <row r="828" ht="12.75" customHeight="1" s="882">
      <c r="A828" s="1736" t="n"/>
    </row>
    <row r="829" ht="12.75" customHeight="1" s="882">
      <c r="A829" s="1736" t="n"/>
    </row>
    <row r="830" ht="12.75" customHeight="1" s="882">
      <c r="A830" s="1736" t="n"/>
    </row>
    <row r="831" ht="12.75" customHeight="1" s="882">
      <c r="A831" s="1736" t="n"/>
    </row>
    <row r="832" ht="12.75" customHeight="1" s="882">
      <c r="A832" s="1736" t="n"/>
    </row>
    <row r="833" ht="12.75" customFormat="1" customHeight="1" s="1737">
      <c r="A833" s="1736" t="n"/>
      <c r="B833" s="1516" t="n"/>
      <c r="C833" s="1516" t="n"/>
    </row>
    <row r="834" ht="12.75" customFormat="1" customHeight="1" s="1737">
      <c r="A834" s="1736" t="n"/>
      <c r="B834" s="1516" t="n"/>
      <c r="C834" s="1516" t="n"/>
    </row>
    <row r="835" ht="12.75" customFormat="1" customHeight="1" s="1737">
      <c r="A835" s="1736" t="n"/>
      <c r="B835" s="1516" t="n"/>
      <c r="C835" s="1516" t="n"/>
    </row>
    <row r="836" ht="12.75" customFormat="1" customHeight="1" s="1737">
      <c r="A836" s="1736" t="n"/>
      <c r="B836" s="1516" t="n"/>
      <c r="C836" s="1516" t="n"/>
    </row>
    <row r="837" ht="12.75" customFormat="1" customHeight="1" s="1737">
      <c r="A837" s="1736" t="n"/>
      <c r="B837" s="1516" t="n"/>
      <c r="C837" s="1516" t="n"/>
    </row>
    <row r="838" ht="12.75" customFormat="1" customHeight="1" s="1737">
      <c r="A838" s="1736" t="n"/>
      <c r="B838" s="1516" t="n"/>
      <c r="C838" s="1516" t="n"/>
    </row>
    <row r="839" ht="12.75" customFormat="1" customHeight="1" s="1737">
      <c r="A839" s="1736" t="n"/>
      <c r="B839" s="1516" t="n"/>
      <c r="C839" s="1516" t="n"/>
    </row>
    <row r="840" ht="12.75" customFormat="1" customHeight="1" s="1737">
      <c r="A840" s="1736" t="n"/>
      <c r="B840" s="1516" t="n"/>
      <c r="C840" s="1516" t="n"/>
    </row>
    <row r="841" ht="12.75" customFormat="1" customHeight="1" s="1737">
      <c r="A841" s="1736" t="n"/>
      <c r="B841" s="1516" t="n"/>
      <c r="C841" s="1516" t="n"/>
    </row>
    <row r="842" ht="12.75" customFormat="1" customHeight="1" s="1737">
      <c r="A842" s="1736" t="n"/>
      <c r="B842" s="1516" t="n"/>
      <c r="C842" s="1516" t="n"/>
    </row>
    <row r="843" ht="12.75" customFormat="1" customHeight="1" s="1737">
      <c r="A843" s="1736" t="n"/>
      <c r="B843" s="1516" t="n"/>
      <c r="C843" s="1516" t="n"/>
    </row>
    <row r="844" ht="12.75" customFormat="1" customHeight="1" s="1737">
      <c r="A844" s="1736" t="n"/>
      <c r="B844" s="1516" t="n"/>
      <c r="C844" s="1516" t="n"/>
    </row>
    <row r="845" ht="12.75" customFormat="1" customHeight="1" s="1737">
      <c r="A845" s="1736" t="n"/>
      <c r="B845" s="1516" t="n"/>
      <c r="C845" s="1516" t="n"/>
    </row>
    <row r="846" ht="12.75" customFormat="1" customHeight="1" s="1737">
      <c r="A846" s="1736" t="n"/>
      <c r="B846" s="1516" t="n"/>
      <c r="C846" s="1516" t="n"/>
    </row>
    <row r="847" ht="12.75" customFormat="1" customHeight="1" s="1737">
      <c r="A847" s="1736" t="n"/>
      <c r="B847" s="1516" t="n"/>
      <c r="C847" s="1516" t="n"/>
    </row>
    <row r="848" ht="12.75" customFormat="1" customHeight="1" s="1737">
      <c r="A848" s="1736" t="n"/>
      <c r="B848" s="1516" t="n"/>
      <c r="C848" s="1516" t="n"/>
    </row>
    <row r="849" ht="12.75" customFormat="1" customHeight="1" s="1737">
      <c r="A849" s="1736" t="n"/>
      <c r="B849" s="1516" t="n"/>
      <c r="C849" s="1516" t="n"/>
    </row>
    <row r="850" ht="12.75" customFormat="1" customHeight="1" s="1737">
      <c r="A850" s="1736" t="n"/>
      <c r="B850" s="1516" t="n"/>
      <c r="C850" s="1516" t="n"/>
    </row>
    <row r="851" ht="12.75" customFormat="1" customHeight="1" s="1737">
      <c r="A851" s="1736" t="n"/>
      <c r="B851" s="1516" t="n"/>
      <c r="C851" s="1516" t="n"/>
    </row>
    <row r="852" ht="12.75" customFormat="1" customHeight="1" s="1737">
      <c r="A852" s="1736" t="n"/>
      <c r="B852" s="1516" t="n"/>
      <c r="C852" s="1516" t="n"/>
    </row>
    <row r="853" ht="12.75" customFormat="1" customHeight="1" s="1737">
      <c r="A853" s="1736" t="n"/>
      <c r="B853" s="1516" t="n"/>
      <c r="C853" s="1516" t="n"/>
    </row>
    <row r="854" ht="12.75" customFormat="1" customHeight="1" s="1737">
      <c r="A854" s="1736" t="n"/>
      <c r="B854" s="1516" t="n"/>
      <c r="C854" s="1516" t="n"/>
    </row>
    <row r="855" ht="12.75" customFormat="1" customHeight="1" s="1737">
      <c r="A855" s="1736" t="n"/>
      <c r="B855" s="1516" t="n"/>
      <c r="C855" s="1516" t="n"/>
    </row>
    <row r="856" ht="12.75" customFormat="1" customHeight="1" s="1737">
      <c r="A856" s="1736" t="n"/>
      <c r="B856" s="1516" t="n"/>
      <c r="C856" s="1516" t="n"/>
    </row>
    <row r="857" ht="12.75" customFormat="1" customHeight="1" s="1737">
      <c r="A857" s="1736" t="n"/>
      <c r="B857" s="1516" t="n"/>
      <c r="C857" s="1516" t="n"/>
    </row>
    <row r="858" ht="12.75" customFormat="1" customHeight="1" s="1737">
      <c r="A858" s="1736" t="n"/>
      <c r="B858" s="1516" t="n"/>
      <c r="C858" s="1516" t="n"/>
    </row>
    <row r="859" ht="12.75" customFormat="1" customHeight="1" s="1737">
      <c r="A859" s="1736" t="n"/>
      <c r="B859" s="1516" t="n"/>
      <c r="C859" s="1516" t="n"/>
    </row>
    <row r="860" ht="12.75" customFormat="1" customHeight="1" s="1737">
      <c r="A860" s="1736" t="n"/>
      <c r="B860" s="1516" t="n"/>
      <c r="C860" s="1516" t="n"/>
    </row>
    <row r="861" ht="12.75" customFormat="1" customHeight="1" s="1737">
      <c r="A861" s="1736" t="n"/>
      <c r="B861" s="1516" t="n"/>
      <c r="C861" s="1516" t="n"/>
    </row>
    <row r="862" ht="12.75" customFormat="1" customHeight="1" s="1737">
      <c r="A862" s="1736" t="n"/>
      <c r="B862" s="1516" t="n"/>
      <c r="C862" s="1516" t="n"/>
    </row>
    <row r="863" ht="12.75" customFormat="1" customHeight="1" s="1737">
      <c r="A863" s="1736" t="n"/>
      <c r="B863" s="1516" t="n"/>
      <c r="C863" s="1516" t="n"/>
    </row>
    <row r="864" ht="12.75" customFormat="1" customHeight="1" s="1737">
      <c r="A864" s="1736" t="n"/>
      <c r="B864" s="1516" t="n"/>
      <c r="C864" s="1516" t="n"/>
    </row>
    <row r="865" ht="12.75" customFormat="1" customHeight="1" s="1737">
      <c r="A865" s="1736" t="n"/>
      <c r="B865" s="1516" t="n"/>
      <c r="C865" s="1516" t="n"/>
    </row>
    <row r="866" ht="12.75" customFormat="1" customHeight="1" s="1737">
      <c r="A866" s="1736" t="n"/>
      <c r="B866" s="1516" t="n"/>
      <c r="C866" s="1516" t="n"/>
    </row>
    <row r="867" ht="12.75" customFormat="1" customHeight="1" s="1737">
      <c r="A867" s="1736" t="n"/>
      <c r="B867" s="1516" t="n"/>
      <c r="C867" s="1516" t="n"/>
    </row>
    <row r="868" ht="12.75" customFormat="1" customHeight="1" s="1737">
      <c r="A868" s="1736" t="n"/>
      <c r="B868" s="1516" t="n"/>
      <c r="C868" s="1516" t="n"/>
    </row>
    <row r="869" ht="12.75" customFormat="1" customHeight="1" s="1737">
      <c r="A869" s="1736" t="n"/>
      <c r="B869" s="1516" t="n"/>
      <c r="C869" s="1516" t="n"/>
    </row>
    <row r="870" ht="12.75" customFormat="1" customHeight="1" s="1737">
      <c r="A870" s="1736" t="n"/>
      <c r="B870" s="1516" t="n"/>
      <c r="C870" s="1516" t="n"/>
    </row>
    <row r="871" ht="12.75" customFormat="1" customHeight="1" s="1737">
      <c r="A871" s="1736" t="n"/>
      <c r="B871" s="1516" t="n"/>
      <c r="C871" s="1516" t="n"/>
    </row>
    <row r="872" ht="12.75" customFormat="1" customHeight="1" s="1737">
      <c r="A872" s="1736" t="n"/>
      <c r="B872" s="1516" t="n"/>
      <c r="C872" s="1516" t="n"/>
    </row>
    <row r="873" ht="12.75" customFormat="1" customHeight="1" s="1737">
      <c r="A873" s="1736" t="n"/>
      <c r="B873" s="1516" t="n"/>
      <c r="C873" s="1516" t="n"/>
    </row>
    <row r="874" ht="12.75" customFormat="1" customHeight="1" s="1737">
      <c r="A874" s="1736" t="n"/>
      <c r="B874" s="1516" t="n"/>
      <c r="C874" s="1516" t="n"/>
    </row>
    <row r="875" ht="12.75" customFormat="1" customHeight="1" s="1737">
      <c r="A875" s="1736" t="n"/>
      <c r="B875" s="1516" t="n"/>
      <c r="C875" s="1516" t="n"/>
    </row>
    <row r="876" ht="12.75" customFormat="1" customHeight="1" s="1737">
      <c r="A876" s="1736" t="n"/>
      <c r="B876" s="1516" t="n"/>
      <c r="C876" s="1516" t="n"/>
    </row>
    <row r="877" ht="12.75" customFormat="1" customHeight="1" s="1737">
      <c r="A877" s="1736" t="n"/>
      <c r="B877" s="1516" t="n"/>
      <c r="C877" s="1516" t="n"/>
    </row>
    <row r="878" ht="12.75" customFormat="1" customHeight="1" s="1737">
      <c r="A878" s="1736" t="n"/>
      <c r="B878" s="1516" t="n"/>
      <c r="C878" s="1516" t="n"/>
    </row>
    <row r="879" ht="12.75" customFormat="1" customHeight="1" s="1737">
      <c r="A879" s="1736" t="n"/>
      <c r="B879" s="1516" t="n"/>
      <c r="C879" s="1516" t="n"/>
    </row>
    <row r="880" ht="12.75" customFormat="1" customHeight="1" s="1737">
      <c r="A880" s="1736" t="n"/>
      <c r="B880" s="1516" t="n"/>
      <c r="C880" s="1516" t="n"/>
    </row>
    <row r="881" ht="12.75" customFormat="1" customHeight="1" s="1737">
      <c r="A881" s="1736" t="n"/>
      <c r="B881" s="1516" t="n"/>
      <c r="C881" s="1516" t="n"/>
    </row>
    <row r="882" ht="12.75" customFormat="1" customHeight="1" s="1737">
      <c r="A882" s="1736" t="n"/>
      <c r="B882" s="1516" t="n"/>
      <c r="C882" s="1516" t="n"/>
    </row>
    <row r="883" ht="12.75" customFormat="1" customHeight="1" s="1737">
      <c r="A883" s="1736" t="n"/>
      <c r="B883" s="1516" t="n"/>
      <c r="C883" s="1516" t="n"/>
    </row>
    <row r="884" ht="12.75" customFormat="1" customHeight="1" s="1737">
      <c r="A884" s="1736" t="n"/>
      <c r="B884" s="1516" t="n"/>
      <c r="C884" s="1516" t="n"/>
    </row>
    <row r="885" ht="12.75" customFormat="1" customHeight="1" s="1737">
      <c r="A885" s="1736" t="n"/>
      <c r="B885" s="1516" t="n"/>
      <c r="C885" s="1516" t="n"/>
    </row>
    <row r="886" ht="12.75" customFormat="1" customHeight="1" s="1737">
      <c r="A886" s="1736" t="n"/>
      <c r="B886" s="1516" t="n"/>
      <c r="C886" s="1516" t="n"/>
    </row>
    <row r="887" ht="12.75" customFormat="1" customHeight="1" s="1737">
      <c r="A887" s="1736" t="n"/>
      <c r="B887" s="1516" t="n"/>
      <c r="C887" s="1516" t="n"/>
    </row>
    <row r="888" ht="12.75" customFormat="1" customHeight="1" s="1737">
      <c r="A888" s="1736" t="n"/>
      <c r="B888" s="1516" t="n"/>
      <c r="C888" s="1516" t="n"/>
    </row>
    <row r="889" ht="12.75" customFormat="1" customHeight="1" s="1737">
      <c r="A889" s="1736" t="n"/>
      <c r="B889" s="1516" t="n"/>
      <c r="C889" s="1516" t="n"/>
    </row>
    <row r="890" ht="12.75" customFormat="1" customHeight="1" s="1737">
      <c r="A890" s="1736" t="n"/>
      <c r="B890" s="1516" t="n"/>
      <c r="C890" s="1516" t="n"/>
    </row>
    <row r="891" ht="12.75" customFormat="1" customHeight="1" s="1737">
      <c r="A891" s="1736" t="n"/>
      <c r="B891" s="1516" t="n"/>
      <c r="C891" s="1516" t="n"/>
    </row>
    <row r="892" ht="12.75" customFormat="1" customHeight="1" s="1737">
      <c r="A892" s="1736" t="n"/>
      <c r="B892" s="1516" t="n"/>
      <c r="C892" s="1516" t="n"/>
    </row>
    <row r="893" ht="12.75" customFormat="1" customHeight="1" s="1737">
      <c r="A893" s="1736" t="n"/>
      <c r="B893" s="1516" t="n"/>
      <c r="C893" s="1516" t="n"/>
    </row>
    <row r="894" ht="12.75" customFormat="1" customHeight="1" s="1737">
      <c r="A894" s="1736" t="n"/>
      <c r="B894" s="1516" t="n"/>
      <c r="C894" s="1516" t="n"/>
    </row>
    <row r="895" ht="12.75" customFormat="1" customHeight="1" s="1737">
      <c r="A895" s="1736" t="n"/>
      <c r="B895" s="1516" t="n"/>
      <c r="C895" s="1516" t="n"/>
    </row>
    <row r="896" ht="12.75" customFormat="1" customHeight="1" s="1737">
      <c r="A896" s="1736" t="n"/>
      <c r="B896" s="1516" t="n"/>
      <c r="C896" s="1516" t="n"/>
    </row>
    <row r="897" ht="12.75" customFormat="1" customHeight="1" s="1737">
      <c r="A897" s="1736" t="n"/>
      <c r="B897" s="1516" t="n"/>
      <c r="C897" s="1516" t="n"/>
    </row>
    <row r="898" ht="12.75" customFormat="1" customHeight="1" s="1737">
      <c r="A898" s="1736" t="n"/>
      <c r="B898" s="1516" t="n"/>
      <c r="C898" s="1516" t="n"/>
    </row>
    <row r="899" ht="12.75" customFormat="1" customHeight="1" s="1737">
      <c r="A899" s="1736" t="n"/>
      <c r="B899" s="1516" t="n"/>
      <c r="C899" s="1516" t="n"/>
    </row>
    <row r="900" ht="12.75" customFormat="1" customHeight="1" s="1737">
      <c r="A900" s="1736" t="n"/>
      <c r="B900" s="1516" t="n"/>
      <c r="C900" s="1516" t="n"/>
    </row>
    <row r="901" ht="12.75" customFormat="1" customHeight="1" s="1737">
      <c r="A901" s="1736" t="n"/>
      <c r="B901" s="1516" t="n"/>
      <c r="C901" s="1516" t="n"/>
    </row>
    <row r="902" ht="12.75" customFormat="1" customHeight="1" s="1737">
      <c r="A902" s="1736" t="n"/>
      <c r="B902" s="1516" t="n"/>
      <c r="C902" s="1516" t="n"/>
    </row>
    <row r="903" ht="12.75" customFormat="1" customHeight="1" s="1737">
      <c r="A903" s="1736" t="n"/>
      <c r="B903" s="1516" t="n"/>
      <c r="C903" s="1516" t="n"/>
    </row>
    <row r="904" ht="12.75" customFormat="1" customHeight="1" s="1737">
      <c r="A904" s="1736" t="n"/>
      <c r="B904" s="1516" t="n"/>
      <c r="C904" s="1516" t="n"/>
    </row>
    <row r="905" ht="12.75" customFormat="1" customHeight="1" s="1737">
      <c r="A905" s="1736" t="n"/>
      <c r="B905" s="1516" t="n"/>
      <c r="C905" s="1516" t="n"/>
    </row>
    <row r="906" ht="12.75" customFormat="1" customHeight="1" s="1737">
      <c r="A906" s="1736" t="n"/>
      <c r="B906" s="1516" t="n"/>
      <c r="C906" s="1516" t="n"/>
    </row>
    <row r="907" ht="12.75" customFormat="1" customHeight="1" s="1737">
      <c r="A907" s="1736" t="n"/>
      <c r="B907" s="1516" t="n"/>
      <c r="C907" s="1516" t="n"/>
    </row>
    <row r="908" ht="12.75" customFormat="1" customHeight="1" s="1737">
      <c r="A908" s="1736" t="n"/>
      <c r="B908" s="1516" t="n"/>
      <c r="C908" s="1516" t="n"/>
    </row>
    <row r="909" ht="12.75" customFormat="1" customHeight="1" s="1737">
      <c r="A909" s="1736" t="n"/>
      <c r="B909" s="1516" t="n"/>
      <c r="C909" s="1516" t="n"/>
    </row>
    <row r="910" ht="12.75" customFormat="1" customHeight="1" s="1737">
      <c r="A910" s="1736" t="n"/>
      <c r="B910" s="1516" t="n"/>
      <c r="C910" s="1516" t="n"/>
    </row>
    <row r="911" ht="12.75" customFormat="1" customHeight="1" s="1737">
      <c r="A911" s="1736" t="n"/>
      <c r="B911" s="1516" t="n"/>
      <c r="C911" s="1516" t="n"/>
    </row>
    <row r="912" ht="12.75" customFormat="1" customHeight="1" s="1737">
      <c r="A912" s="1736" t="n"/>
      <c r="B912" s="1516" t="n"/>
      <c r="C912" s="1516" t="n"/>
    </row>
    <row r="913" ht="12.75" customFormat="1" customHeight="1" s="1737">
      <c r="A913" s="1736" t="n"/>
      <c r="B913" s="1516" t="n"/>
      <c r="C913" s="1516" t="n"/>
    </row>
    <row r="914" ht="12.75" customFormat="1" customHeight="1" s="1737">
      <c r="A914" s="1736" t="n"/>
      <c r="B914" s="1516" t="n"/>
      <c r="C914" s="1516" t="n"/>
    </row>
    <row r="915" ht="12.75" customFormat="1" customHeight="1" s="1737">
      <c r="A915" s="1736" t="n"/>
      <c r="B915" s="1516" t="n"/>
      <c r="C915" s="1516" t="n"/>
    </row>
    <row r="916" ht="12.75" customFormat="1" customHeight="1" s="1737">
      <c r="A916" s="1736" t="n"/>
      <c r="B916" s="1516" t="n"/>
      <c r="C916" s="1516" t="n"/>
    </row>
    <row r="917" ht="12.75" customFormat="1" customHeight="1" s="1737">
      <c r="A917" s="1736" t="n"/>
      <c r="B917" s="1516" t="n"/>
      <c r="C917" s="1516" t="n"/>
    </row>
    <row r="918" ht="12.75" customFormat="1" customHeight="1" s="1737">
      <c r="A918" s="1736" t="n"/>
      <c r="B918" s="1516" t="n"/>
      <c r="C918" s="1516" t="n"/>
    </row>
    <row r="919" ht="12.75" customFormat="1" customHeight="1" s="1737">
      <c r="A919" s="1736" t="n"/>
      <c r="B919" s="1516" t="n"/>
      <c r="C919" s="1516" t="n"/>
    </row>
    <row r="920" ht="12.75" customFormat="1" customHeight="1" s="1737">
      <c r="A920" s="1736" t="n"/>
      <c r="B920" s="1516" t="n"/>
      <c r="C920" s="1516" t="n"/>
    </row>
    <row r="921" ht="12.75" customFormat="1" customHeight="1" s="1737">
      <c r="A921" s="1736" t="n"/>
      <c r="B921" s="1516" t="n"/>
      <c r="C921" s="1516" t="n"/>
    </row>
    <row r="922" ht="12.75" customFormat="1" customHeight="1" s="1737">
      <c r="A922" s="1736" t="n"/>
      <c r="B922" s="1516" t="n"/>
      <c r="C922" s="1516" t="n"/>
    </row>
    <row r="923" ht="12.75" customFormat="1" customHeight="1" s="1737">
      <c r="A923" s="1736" t="n"/>
      <c r="B923" s="1516" t="n"/>
      <c r="C923" s="1516" t="n"/>
    </row>
    <row r="924" ht="12.75" customFormat="1" customHeight="1" s="1737">
      <c r="A924" s="1736" t="n"/>
      <c r="B924" s="1516" t="n"/>
      <c r="C924" s="1516" t="n"/>
    </row>
    <row r="925" ht="12.75" customFormat="1" customHeight="1" s="1737">
      <c r="A925" s="1736" t="n"/>
      <c r="B925" s="1516" t="n"/>
      <c r="C925" s="1516" t="n"/>
    </row>
    <row r="926" ht="12.75" customFormat="1" customHeight="1" s="1737">
      <c r="A926" s="1736" t="n"/>
      <c r="B926" s="1516" t="n"/>
      <c r="C926" s="1516" t="n"/>
    </row>
    <row r="927" ht="12.75" customFormat="1" customHeight="1" s="1737">
      <c r="A927" s="1736" t="n"/>
      <c r="B927" s="1516" t="n"/>
      <c r="C927" s="1516" t="n"/>
    </row>
    <row r="928" ht="12.75" customFormat="1" customHeight="1" s="1737">
      <c r="A928" s="1736" t="n"/>
      <c r="B928" s="1516" t="n"/>
      <c r="C928" s="1516" t="n"/>
    </row>
    <row r="929" ht="12.75" customFormat="1" customHeight="1" s="1737">
      <c r="A929" s="1736" t="n"/>
      <c r="B929" s="1516" t="n"/>
      <c r="C929" s="1516" t="n"/>
    </row>
    <row r="930" ht="12.75" customFormat="1" customHeight="1" s="1737">
      <c r="A930" s="1736" t="n"/>
      <c r="B930" s="1516" t="n"/>
      <c r="C930" s="1516" t="n"/>
    </row>
    <row r="931" ht="12.75" customFormat="1" customHeight="1" s="1737">
      <c r="A931" s="1736" t="n"/>
      <c r="B931" s="1516" t="n"/>
      <c r="C931" s="1516" t="n"/>
    </row>
    <row r="932" ht="12.75" customFormat="1" customHeight="1" s="1737">
      <c r="A932" s="1736" t="n"/>
      <c r="B932" s="1516" t="n"/>
      <c r="C932" s="1516" t="n"/>
    </row>
    <row r="933" ht="12.75" customFormat="1" customHeight="1" s="1737">
      <c r="A933" s="1736" t="n"/>
      <c r="B933" s="1516" t="n"/>
      <c r="C933" s="1516" t="n"/>
    </row>
    <row r="934" ht="12.75" customFormat="1" customHeight="1" s="1737">
      <c r="A934" s="1736" t="n"/>
      <c r="B934" s="1516" t="n"/>
      <c r="C934" s="1516" t="n"/>
    </row>
    <row r="935" ht="12.75" customFormat="1" customHeight="1" s="1737">
      <c r="A935" s="1736" t="n"/>
      <c r="B935" s="1516" t="n"/>
      <c r="C935" s="1516" t="n"/>
    </row>
    <row r="936" ht="12.75" customFormat="1" customHeight="1" s="1737">
      <c r="A936" s="1736" t="n"/>
      <c r="B936" s="1516" t="n"/>
      <c r="C936" s="1516" t="n"/>
    </row>
    <row r="937" ht="12.75" customFormat="1" customHeight="1" s="1737">
      <c r="A937" s="1736" t="n"/>
      <c r="B937" s="1516" t="n"/>
      <c r="C937" s="1516" t="n"/>
    </row>
    <row r="938" ht="12.75" customFormat="1" customHeight="1" s="1737">
      <c r="A938" s="1736" t="n"/>
      <c r="B938" s="1516" t="n"/>
      <c r="C938" s="1516" t="n"/>
    </row>
    <row r="939" ht="12.75" customFormat="1" customHeight="1" s="1737">
      <c r="A939" s="1736" t="n"/>
      <c r="B939" s="1516" t="n"/>
      <c r="C939" s="1516" t="n"/>
    </row>
    <row r="940" ht="12.75" customFormat="1" customHeight="1" s="1737">
      <c r="A940" s="1736" t="n"/>
      <c r="B940" s="1516" t="n"/>
      <c r="C940" s="1516" t="n"/>
    </row>
    <row r="941" ht="12.75" customFormat="1" customHeight="1" s="1737">
      <c r="A941" s="1736" t="n"/>
      <c r="B941" s="1516" t="n"/>
      <c r="C941" s="1516" t="n"/>
    </row>
    <row r="942" ht="12.75" customFormat="1" customHeight="1" s="1737">
      <c r="A942" s="1736" t="n"/>
      <c r="B942" s="1516" t="n"/>
      <c r="C942" s="1516" t="n"/>
    </row>
    <row r="943" ht="12.75" customFormat="1" customHeight="1" s="1737">
      <c r="A943" s="1736" t="n"/>
      <c r="B943" s="1516" t="n"/>
      <c r="C943" s="1516" t="n"/>
    </row>
    <row r="944" ht="12.75" customFormat="1" customHeight="1" s="1737">
      <c r="A944" s="1736" t="n"/>
      <c r="B944" s="1516" t="n"/>
      <c r="C944" s="1516" t="n"/>
    </row>
    <row r="945" ht="12.75" customFormat="1" customHeight="1" s="1737">
      <c r="A945" s="1736" t="n"/>
      <c r="B945" s="1516" t="n"/>
      <c r="C945" s="1516" t="n"/>
    </row>
    <row r="946" ht="12.75" customFormat="1" customHeight="1" s="1737">
      <c r="A946" s="1736" t="n"/>
      <c r="B946" s="1516" t="n"/>
      <c r="C946" s="1516" t="n"/>
    </row>
    <row r="947" ht="12.75" customFormat="1" customHeight="1" s="1737">
      <c r="A947" s="1736" t="n"/>
      <c r="B947" s="1516" t="n"/>
      <c r="C947" s="1516" t="n"/>
    </row>
    <row r="948" ht="12.75" customFormat="1" customHeight="1" s="1737">
      <c r="A948" s="1736" t="n"/>
      <c r="B948" s="1516" t="n"/>
      <c r="C948" s="1516" t="n"/>
    </row>
    <row r="949" ht="12.75" customFormat="1" customHeight="1" s="1737">
      <c r="A949" s="1736" t="n"/>
      <c r="B949" s="1516" t="n"/>
      <c r="C949" s="1516" t="n"/>
    </row>
    <row r="950" ht="12.75" customFormat="1" customHeight="1" s="1737">
      <c r="A950" s="1736" t="n"/>
      <c r="B950" s="1516" t="n"/>
      <c r="C950" s="1516" t="n"/>
    </row>
    <row r="951" ht="12.75" customFormat="1" customHeight="1" s="1737">
      <c r="A951" s="1736" t="n"/>
      <c r="B951" s="1516" t="n"/>
      <c r="C951" s="1516" t="n"/>
    </row>
    <row r="952" ht="12.75" customFormat="1" customHeight="1" s="1737">
      <c r="A952" s="1736" t="n"/>
      <c r="B952" s="1516" t="n"/>
      <c r="C952" s="1516" t="n"/>
    </row>
    <row r="953" ht="12.75" customFormat="1" customHeight="1" s="1737">
      <c r="A953" s="1736" t="n"/>
      <c r="B953" s="1516" t="n"/>
      <c r="C953" s="1516" t="n"/>
    </row>
    <row r="954" ht="12.75" customFormat="1" customHeight="1" s="1737">
      <c r="A954" s="1736" t="n"/>
      <c r="B954" s="1516" t="n"/>
      <c r="C954" s="1516" t="n"/>
    </row>
  </sheetData>
  <mergeCells count="25">
    <mergeCell ref="A21:A23"/>
    <mergeCell ref="A197:A200"/>
    <mergeCell ref="A61:A66"/>
    <mergeCell ref="A597:A601"/>
    <mergeCell ref="A359:A364"/>
    <mergeCell ref="C1:G1"/>
    <mergeCell ref="A270:A272"/>
    <mergeCell ref="A112:A116"/>
    <mergeCell ref="A14:A15"/>
    <mergeCell ref="A34:A38"/>
    <mergeCell ref="C11:D11"/>
    <mergeCell ref="A430:A434"/>
    <mergeCell ref="A187:A191"/>
    <mergeCell ref="A352:A356"/>
    <mergeCell ref="J82:L82"/>
    <mergeCell ref="A4:H4"/>
    <mergeCell ref="A202:A203"/>
    <mergeCell ref="J14:L14"/>
    <mergeCell ref="A162:A166"/>
    <mergeCell ref="A517:A521"/>
    <mergeCell ref="A87:A91"/>
    <mergeCell ref="A137:A141"/>
    <mergeCell ref="A410:A414"/>
    <mergeCell ref="A463:A467"/>
    <mergeCell ref="A607:A609"/>
  </mergeCells>
  <printOptions horizontalCentered="1" verticalCentered="0" headings="0" gridLines="0" gridLinesSet="1"/>
  <pageMargins left="0.25" right="0.25" top="0.75" bottom="0.75" header="0.3" footer="0.3"/>
  <pageSetup orientation="portrait" paperSize="9" scale="100" fitToHeight="0" fitToWidth="1" pageOrder="downThenOver" blackAndWhite="0" draft="0" horizontalDpi="300" verticalDpi="300" copies="1"/>
  <headerFooter differentOddEven="0" differentFirst="0">
    <oddHeader>&amp;L&amp;"arial,Regular"&amp;1 &amp;K737373ADNOC Classification: Internal#</oddHeader>
    <oddFooter>&amp;C&amp;26 Page &amp;P of &amp;N</oddFooter>
    <evenHeader/>
    <evenFooter/>
    <firstHeader/>
    <firstFooter/>
  </headerFooter>
  <rowBreaks count="2" manualBreakCount="2">
    <brk id="210" min="0" max="16383" man="1"/>
    <brk id="240" min="0" max="16383" man="1"/>
  </rowBreaks>
  <drawing xmlns:r="http://schemas.openxmlformats.org/officeDocument/2006/relationships" r:id="rId1"/>
</worksheet>
</file>

<file path=xl/worksheets/sheet12.xml><?xml version="1.0" encoding="utf-8"?>
<worksheet xmlns="http://schemas.openxmlformats.org/spreadsheetml/2006/main">
  <sheetPr filterMode="0">
    <outlinePr summaryBelow="1" summaryRight="1"/>
    <pageSetUpPr fitToPage="0"/>
  </sheetPr>
  <dimension ref="A1:I597"/>
  <sheetViews>
    <sheetView showFormulas="0" showGridLines="1" showRowColHeaders="1" showZeros="1" rightToLeft="0" tabSelected="0" showOutlineSymbols="1" defaultGridColor="1" view="pageBreakPreview" topLeftCell="A596" colorId="64" zoomScale="140" zoomScaleNormal="100" zoomScalePageLayoutView="140" workbookViewId="0">
      <selection pane="topLeft" activeCell="A2" activeCellId="1" sqref="A11:S58 A2"/>
    </sheetView>
  </sheetViews>
  <sheetFormatPr baseColWidth="8" defaultColWidth="8.59765625" defaultRowHeight="14.25" customHeight="0" zeroHeight="0" outlineLevelRow="0"/>
  <cols>
    <col width="20" customWidth="1" style="930" min="1" max="1"/>
    <col width="75" customWidth="1" style="930" min="2" max="2"/>
    <col width="15" customWidth="1" style="930" min="3" max="5"/>
    <col width="18" customWidth="1" style="930" min="6" max="8"/>
    <col width="14" customWidth="1" style="930" min="9" max="9"/>
  </cols>
  <sheetData>
    <row r="1" ht="14.25" customHeight="1" s="882">
      <c r="A1" s="1738" t="inlineStr">
        <is>
          <t>Image Name</t>
        </is>
      </c>
      <c r="B1" s="1738" t="inlineStr">
        <is>
          <t>Description</t>
        </is>
      </c>
      <c r="C1" s="1738" t="inlineStr">
        <is>
          <t>Length</t>
        </is>
      </c>
      <c r="D1" s="1738" t="inlineStr">
        <is>
          <t>OD</t>
        </is>
      </c>
      <c r="E1" s="1738" t="inlineStr">
        <is>
          <t>ID</t>
        </is>
      </c>
      <c r="F1" s="1738" t="inlineStr">
        <is>
          <t>PN</t>
        </is>
      </c>
      <c r="G1" s="1738" t="inlineStr">
        <is>
          <t>SN</t>
        </is>
      </c>
      <c r="H1" s="1738" t="inlineStr">
        <is>
          <t>SAP</t>
        </is>
      </c>
      <c r="I1" s="1738" t="inlineStr">
        <is>
          <t>CAT ID</t>
        </is>
      </c>
    </row>
    <row r="2" ht="86.25" customHeight="1" s="882">
      <c r="A2" s="1739" t="inlineStr">
        <is>
          <t>A</t>
        </is>
      </c>
      <c r="B2" s="1740" t="inlineStr">
        <is>
          <t>UPPER CONN. 3-1/2" VAM TOP 9.2#PPF BOX VM 28 110 KSI
DESCRIPTION: WIRELINE ENTRY GUIDE
SN: 16339547-10-008
PN 2996481
SAP: 130010036277
SUPPLIER: WEATHERFORD</t>
        </is>
      </c>
      <c r="C2" s="1741" t="n">
        <v>0.6</v>
      </c>
      <c r="D2" s="1742" t="n">
        <v>3.937</v>
      </c>
      <c r="E2" s="1742" t="n">
        <v>2.949</v>
      </c>
      <c r="F2" s="1743" t="inlineStr">
        <is>
          <t>2996481</t>
        </is>
      </c>
      <c r="G2" s="1743" t="inlineStr">
        <is>
          <t>16339547-10-008</t>
        </is>
      </c>
      <c r="H2" s="1743" t="inlineStr">
        <is>
          <t>130010036277</t>
        </is>
      </c>
      <c r="I2" s="1743" t="inlineStr">
        <is>
          <t>N/A</t>
        </is>
      </c>
    </row>
    <row r="3" ht="72" customHeight="1" s="882">
      <c r="B3" s="1740" t="inlineStr">
        <is>
          <t>UPPER CONN. 3-1/2" TSH BLUE BOX 9.2 PPF SN 28 110 KSI
DESCRIPTION: 5 FEET XOVER
SAP: 130005011340
SUPPLIER: TENARIS
LOWER CONN. 3-1/2" VAM TOP PIN 9.2 PPF SN 28 110 KSI</t>
        </is>
      </c>
      <c r="C3" s="1741" t="n">
        <v>4.96</v>
      </c>
      <c r="D3" s="1742" t="n">
        <v>3.937</v>
      </c>
      <c r="E3" s="1742" t="n">
        <v>2.969</v>
      </c>
      <c r="F3" s="1743" t="inlineStr">
        <is>
          <t>N/A</t>
        </is>
      </c>
      <c r="G3" s="1743" t="inlineStr">
        <is>
          <t>N/A</t>
        </is>
      </c>
      <c r="H3" s="1743" t="inlineStr">
        <is>
          <t>130005011340</t>
        </is>
      </c>
      <c r="I3" s="1743" t="inlineStr">
        <is>
          <t>N/A</t>
        </is>
      </c>
    </row>
    <row r="4" ht="14.25" customHeight="1" s="882">
      <c r="A4" s="930" t="inlineStr">
        <is>
          <t>JT.#1</t>
        </is>
      </c>
      <c r="B4" s="930" t="inlineStr">
        <is>
          <t>3 1/2" TSH</t>
        </is>
      </c>
      <c r="C4" s="1153" t="n">
        <v>31</v>
      </c>
    </row>
    <row r="5" ht="14.25" customHeight="1" s="882">
      <c r="A5" s="930" t="inlineStr">
        <is>
          <t>JT.#2</t>
        </is>
      </c>
      <c r="B5" s="930" t="inlineStr">
        <is>
          <t>3 1/2" TSH</t>
        </is>
      </c>
      <c r="C5" s="1153" t="n">
        <v>31</v>
      </c>
    </row>
    <row r="6" ht="14.25" customHeight="1" s="882">
      <c r="A6" s="930" t="inlineStr">
        <is>
          <t>JT.#3</t>
        </is>
      </c>
      <c r="B6" s="930" t="inlineStr">
        <is>
          <t>3 1/2" TSH</t>
        </is>
      </c>
      <c r="C6" s="1153" t="n">
        <v>31</v>
      </c>
    </row>
    <row r="7" ht="14.25" customHeight="1" s="882">
      <c r="A7" s="930" t="inlineStr">
        <is>
          <t>JT.#4</t>
        </is>
      </c>
      <c r="B7" s="930" t="inlineStr">
        <is>
          <t>3 1/2" TSH</t>
        </is>
      </c>
      <c r="C7" s="1153" t="n">
        <v>31</v>
      </c>
    </row>
    <row r="8" ht="14.25" customHeight="1" s="882">
      <c r="A8" s="930" t="inlineStr">
        <is>
          <t>JT.#5</t>
        </is>
      </c>
      <c r="B8" s="930" t="inlineStr">
        <is>
          <t>3 1/2" TSH</t>
        </is>
      </c>
      <c r="C8" s="1153" t="n">
        <v>31</v>
      </c>
    </row>
    <row r="9" ht="72" customHeight="1" s="882">
      <c r="A9" s="1744" t="inlineStr">
        <is>
          <t>SP-01</t>
        </is>
      </c>
      <c r="B9" s="1745" t="inlineStr">
        <is>
          <t>UPPER CONN. 3-1/2" VAM TOP BOX 9.2 PPF SN 28 110 KSI
DESCRIPTION: 5 FEET XOVER
SAP: 130005011340
SUPPLIER: TENARIS
UPPER CONN. 3-1/2" TSH BLUE PIN 9.2 PPF SN 28 110 KSI</t>
        </is>
      </c>
      <c r="C9" s="1746" t="n">
        <v>5.18</v>
      </c>
      <c r="D9" s="1747" t="n">
        <v>3.908</v>
      </c>
      <c r="E9" s="1747" t="n">
        <v>2.959</v>
      </c>
      <c r="F9" s="1748" t="inlineStr">
        <is>
          <t>N/A</t>
        </is>
      </c>
      <c r="G9" s="1748" t="inlineStr">
        <is>
          <t>N/A</t>
        </is>
      </c>
      <c r="H9" s="1748" t="inlineStr">
        <is>
          <t>130005011340</t>
        </is>
      </c>
      <c r="I9" s="1748" t="inlineStr">
        <is>
          <t>N/A</t>
        </is>
      </c>
    </row>
    <row r="10" ht="129" customHeight="1" s="882">
      <c r="B10" s="1745" t="inlineStr">
        <is>
          <t>UPPER CONN.
3-1/2 9.2 PPF, 110KSI VAM TOP BOX
DESCRIPTION:
PCKR, SWEL,6,3-1/2,A925, OIL
P/N: 2991712
S/N: RDT-UAE-1003629
SAP: 130010039426
SUPPLIER: WFD-REACTIVE
LOWER CONN.</t>
        </is>
      </c>
      <c r="C10" s="1746" t="n">
        <v>30.88</v>
      </c>
      <c r="D10" s="1747" t="n">
        <v>5.7</v>
      </c>
      <c r="E10" s="1747" t="n">
        <v>2.953</v>
      </c>
      <c r="F10" s="1748" t="inlineStr">
        <is>
          <t>2991712</t>
        </is>
      </c>
      <c r="G10" s="1748" t="inlineStr">
        <is>
          <t>RDT-UAE-1003629</t>
        </is>
      </c>
      <c r="H10" s="1748" t="inlineStr">
        <is>
          <t>130010039426</t>
        </is>
      </c>
      <c r="I10" s="1748" t="inlineStr">
        <is>
          <t>N/A</t>
        </is>
      </c>
    </row>
    <row r="11" ht="72" customHeight="1" s="882">
      <c r="B11" s="1745" t="inlineStr">
        <is>
          <t>UPPER CONN . 3-1/2" TSH BLUE BOX 9.2 PPF SN 28 110 KSI
DESCRIPTION: 3 FEET XOVER
SAP: 130005011337
SUPPLIER: TENARIS
LOWER CONN. 3-1/2" VAM TOP PIN 9.2 PPF SN 28 110 KSI</t>
        </is>
      </c>
      <c r="C11" s="1746" t="n">
        <v>2.78</v>
      </c>
      <c r="D11" s="1747" t="n">
        <v>3.937</v>
      </c>
      <c r="E11" s="1747" t="n">
        <v>2.969</v>
      </c>
      <c r="F11" s="1748" t="inlineStr">
        <is>
          <t>N/A</t>
        </is>
      </c>
      <c r="G11" s="1748" t="inlineStr">
        <is>
          <t>N/A</t>
        </is>
      </c>
      <c r="H11" s="1748" t="inlineStr">
        <is>
          <t>130005011337</t>
        </is>
      </c>
      <c r="I11" s="1748" t="inlineStr">
        <is>
          <t>N/A</t>
        </is>
      </c>
    </row>
    <row r="12" ht="14.25" customHeight="1" s="882">
      <c r="A12" s="930" t="inlineStr">
        <is>
          <t>JT.#6</t>
        </is>
      </c>
      <c r="B12" s="930" t="inlineStr">
        <is>
          <t>3 1/2" TSH</t>
        </is>
      </c>
      <c r="C12" s="1153" t="n">
        <v>31</v>
      </c>
    </row>
    <row r="13" ht="14.25" customHeight="1" s="882">
      <c r="A13" s="930" t="inlineStr">
        <is>
          <t>JT.#7</t>
        </is>
      </c>
      <c r="B13" s="930" t="inlineStr">
        <is>
          <t>3 1/2" TSH</t>
        </is>
      </c>
      <c r="C13" s="1153" t="n">
        <v>31</v>
      </c>
    </row>
    <row r="14" ht="14.25" customHeight="1" s="882">
      <c r="A14" s="930" t="inlineStr">
        <is>
          <t>JT.#8</t>
        </is>
      </c>
      <c r="B14" s="930" t="inlineStr">
        <is>
          <t>3 1/2" TSH</t>
        </is>
      </c>
      <c r="C14" s="1153" t="n">
        <v>31</v>
      </c>
    </row>
    <row r="15" ht="14.25" customHeight="1" s="882">
      <c r="A15" s="930" t="inlineStr">
        <is>
          <t>JT.#9</t>
        </is>
      </c>
      <c r="B15" s="930" t="inlineStr">
        <is>
          <t>3 1/2" TSH</t>
        </is>
      </c>
      <c r="C15" s="1153" t="n">
        <v>31</v>
      </c>
    </row>
    <row r="16" ht="14.25" customHeight="1" s="882">
      <c r="A16" s="930" t="inlineStr">
        <is>
          <t>JT.#10</t>
        </is>
      </c>
      <c r="B16" s="930" t="inlineStr">
        <is>
          <t>3 1/2" TSH</t>
        </is>
      </c>
      <c r="C16" s="1153" t="n">
        <v>31</v>
      </c>
    </row>
    <row r="17" ht="14.25" customHeight="1" s="882">
      <c r="A17" s="930" t="inlineStr">
        <is>
          <t>JT.#11</t>
        </is>
      </c>
      <c r="B17" s="930" t="inlineStr">
        <is>
          <t>3 1/2" TSH</t>
        </is>
      </c>
      <c r="C17" s="1153" t="n">
        <v>31</v>
      </c>
    </row>
    <row r="18" ht="14.25" customHeight="1" s="882">
      <c r="A18" s="930" t="inlineStr">
        <is>
          <t>JT.#12</t>
        </is>
      </c>
      <c r="B18" s="930" t="inlineStr">
        <is>
          <t>3 1/2" TSH</t>
        </is>
      </c>
      <c r="C18" s="1153" t="n">
        <v>31</v>
      </c>
    </row>
    <row r="19" ht="14.25" customHeight="1" s="882">
      <c r="A19" s="930" t="inlineStr">
        <is>
          <t>JT.#13</t>
        </is>
      </c>
      <c r="B19" s="930" t="inlineStr">
        <is>
          <t>3 1/2" TSH</t>
        </is>
      </c>
      <c r="C19" s="1153" t="n">
        <v>31</v>
      </c>
    </row>
    <row r="20" ht="14.25" customHeight="1" s="882">
      <c r="A20" s="930" t="inlineStr">
        <is>
          <t>JT.#14</t>
        </is>
      </c>
      <c r="B20" s="930" t="inlineStr">
        <is>
          <t>3 1/2" TSH</t>
        </is>
      </c>
      <c r="C20" s="1153" t="n">
        <v>31</v>
      </c>
    </row>
    <row r="21" ht="14.25" customHeight="1" s="882">
      <c r="A21" s="930" t="inlineStr">
        <is>
          <t>JT.#15</t>
        </is>
      </c>
      <c r="B21" s="930" t="inlineStr">
        <is>
          <t>3 1/2" TSH</t>
        </is>
      </c>
      <c r="C21" s="1153" t="n">
        <v>31</v>
      </c>
    </row>
    <row r="22" ht="72" customHeight="1" s="882">
      <c r="A22" s="1749" t="inlineStr">
        <is>
          <t>B</t>
        </is>
      </c>
      <c r="B22" s="1750" t="inlineStr">
        <is>
          <t>UPPER CONN. 3-1/2" VAM TOP BOX 9.2 PPF SN 28 110 KSI
DESCRIPTION: 5 FEET XOVER
SAP: 130005011340
SUPPLIER: TENARIS
LOWER CONN. 3-1/2" TSH BLUE PIN 9.2 PPF SN 28 110 KSI</t>
        </is>
      </c>
      <c r="C22" s="1751" t="n">
        <v>5.18</v>
      </c>
      <c r="D22" s="1752" t="n">
        <v>3.908</v>
      </c>
      <c r="E22" s="1752" t="n">
        <v>2.959</v>
      </c>
      <c r="F22" s="1753" t="inlineStr">
        <is>
          <t>N/A</t>
        </is>
      </c>
      <c r="G22" s="1753" t="inlineStr">
        <is>
          <t>N/A</t>
        </is>
      </c>
      <c r="H22" s="1753" t="inlineStr">
        <is>
          <t>130005011340</t>
        </is>
      </c>
      <c r="I22" s="1753" t="inlineStr">
        <is>
          <t>N/A</t>
        </is>
      </c>
    </row>
    <row r="23" ht="72" customHeight="1" s="882">
      <c r="B23" s="1750" t="inlineStr">
        <is>
          <t>UPPER CONN. 3-1/2" SENTINEL PRIME BOX 9.2 PPF TX28-110 KSI
DESCRIPTION: 5 FEET XOVER
SAP: 130013006385
SUPPLIER: TBX
LOWER CONN. 3-1/2" VAM TOP PIN 9.2 PPF TX28- 110 KSI</t>
        </is>
      </c>
      <c r="C23" s="1751" t="n">
        <v>4.91</v>
      </c>
      <c r="D23" s="1752" t="n">
        <v>3.929</v>
      </c>
      <c r="E23" s="1752" t="n">
        <v>2.921</v>
      </c>
      <c r="F23" s="1753" t="inlineStr">
        <is>
          <t>N/A</t>
        </is>
      </c>
      <c r="G23" s="1753" t="inlineStr">
        <is>
          <t>N/A</t>
        </is>
      </c>
      <c r="H23" s="1753" t="inlineStr">
        <is>
          <t>130013006385</t>
        </is>
      </c>
      <c r="I23" s="1753" t="inlineStr">
        <is>
          <t>N/A</t>
        </is>
      </c>
    </row>
    <row r="24" ht="100.5" customHeight="1" s="882">
      <c r="B24" s="1750" t="inlineStr">
        <is>
          <t>UPPER CONN. 3-1/2" SENTINEL PRIME 9.2#PPF INC 925 BOX
DESCRIPTION: NINE ENERGY MULTICYCLE BARRIER DEVICE
7 CYCLES REMAINING
P/N: 3207251
S/N: 100 086 877
SAP: 130010036003 SUPPLIER: NINE ENERGY
LOWER CONN- 3 1/2 9.2 SENTINEL PRIME 9.2 PPF INC 925 PIN</t>
        </is>
      </c>
      <c r="C24" s="1751" t="n">
        <v>5.22</v>
      </c>
      <c r="D24" s="1752" t="n">
        <v>4.8</v>
      </c>
      <c r="E24" s="1752" t="n">
        <v>2.91</v>
      </c>
      <c r="F24" s="1753" t="inlineStr">
        <is>
          <t>3207251</t>
        </is>
      </c>
      <c r="G24" s="1753" t="inlineStr">
        <is>
          <t>100 086 877</t>
        </is>
      </c>
      <c r="H24" s="1753" t="inlineStr">
        <is>
          <t>130010036003</t>
        </is>
      </c>
      <c r="I24" s="1753" t="inlineStr">
        <is>
          <t>N/A</t>
        </is>
      </c>
    </row>
    <row r="25" ht="72" customHeight="1" s="882">
      <c r="B25" s="1750" t="inlineStr">
        <is>
          <t>UPPER CONN. 3-1/2" VAM TOP BOX 9.2 PPF TX28- 110 KSI
DESCRIPTION: 5 FEET XOVER
SAP: 130013006383
SUPPLIER: TBX
LOWER CONN -3-1/2" SENTINEL PRIME PIN 9.2 PPF TX28-110 KSI</t>
        </is>
      </c>
      <c r="C25" s="1751" t="n">
        <v>4.8</v>
      </c>
      <c r="D25" s="1752" t="n">
        <v>3.908</v>
      </c>
      <c r="E25" s="1752" t="n">
        <v>2.959</v>
      </c>
      <c r="F25" s="1753" t="inlineStr">
        <is>
          <t>N/A</t>
        </is>
      </c>
      <c r="G25" s="1753" t="inlineStr">
        <is>
          <t>N/A</t>
        </is>
      </c>
      <c r="H25" s="1753" t="inlineStr">
        <is>
          <t>130013006383</t>
        </is>
      </c>
      <c r="I25" s="1753" t="inlineStr">
        <is>
          <t>N/A</t>
        </is>
      </c>
    </row>
    <row r="26" ht="72" customHeight="1" s="882">
      <c r="B26" s="1750" t="inlineStr">
        <is>
          <t>UPPER CONN. 3-1/2" TSH BLUE BOX 9.2 PPF SN 28 110 KSI
DESCRIPTION: 10 FEET XOVER
SAP: 130005011444
SUPPLIER: TENARIS
LOWER CONN. 3-1/2" VAM TOP PIN 9.2 PPF SN 28 110 KSI</t>
        </is>
      </c>
      <c r="C26" s="1751" t="n">
        <v>9.83</v>
      </c>
      <c r="D26" s="1752" t="n">
        <v>3.937</v>
      </c>
      <c r="E26" s="1752" t="n">
        <v>2.969</v>
      </c>
      <c r="F26" s="1753" t="inlineStr">
        <is>
          <t>N/A</t>
        </is>
      </c>
      <c r="G26" s="1753" t="inlineStr">
        <is>
          <t>N/A</t>
        </is>
      </c>
      <c r="H26" s="1753" t="inlineStr">
        <is>
          <t>130005011444</t>
        </is>
      </c>
      <c r="I26" s="1753" t="inlineStr">
        <is>
          <t>N/A</t>
        </is>
      </c>
    </row>
    <row r="27" ht="14.25" customHeight="1" s="882">
      <c r="A27" s="930" t="inlineStr">
        <is>
          <t>JT.#16</t>
        </is>
      </c>
      <c r="B27" s="930" t="inlineStr">
        <is>
          <t>3 1/2" TSH</t>
        </is>
      </c>
      <c r="C27" s="1153" t="n">
        <v>31</v>
      </c>
    </row>
    <row r="28" ht="14.25" customHeight="1" s="882">
      <c r="A28" s="930" t="inlineStr">
        <is>
          <t>JT.#17</t>
        </is>
      </c>
      <c r="B28" s="930" t="inlineStr">
        <is>
          <t>3 1/2" TSH</t>
        </is>
      </c>
      <c r="C28" s="1153" t="n">
        <v>31</v>
      </c>
    </row>
    <row r="29" ht="14.25" customHeight="1" s="882">
      <c r="A29" s="930" t="inlineStr">
        <is>
          <t>JT.#18</t>
        </is>
      </c>
      <c r="B29" s="930" t="inlineStr">
        <is>
          <t>3 1/2" TSH</t>
        </is>
      </c>
      <c r="C29" s="1153" t="n">
        <v>31</v>
      </c>
    </row>
    <row r="30" ht="14.25" customHeight="1" s="882">
      <c r="A30" s="930" t="inlineStr">
        <is>
          <t>JT.#19</t>
        </is>
      </c>
      <c r="B30" s="930" t="inlineStr">
        <is>
          <t>3 1/2" TSH</t>
        </is>
      </c>
      <c r="C30" s="1153" t="n">
        <v>31</v>
      </c>
    </row>
    <row r="31" ht="14.25" customHeight="1" s="882">
      <c r="A31" s="930" t="inlineStr">
        <is>
          <t>JT.#20</t>
        </is>
      </c>
      <c r="B31" s="930" t="inlineStr">
        <is>
          <t>3 1/2" TSH</t>
        </is>
      </c>
      <c r="C31" s="1153" t="n">
        <v>31</v>
      </c>
    </row>
    <row r="32" ht="14.25" customHeight="1" s="882">
      <c r="A32" s="930" t="inlineStr">
        <is>
          <t>JT.#21</t>
        </is>
      </c>
      <c r="B32" s="930" t="inlineStr">
        <is>
          <t>3 1/2" TSH</t>
        </is>
      </c>
      <c r="C32" s="1153" t="n">
        <v>31</v>
      </c>
    </row>
    <row r="33" ht="14.25" customHeight="1" s="882">
      <c r="A33" s="930" t="inlineStr">
        <is>
          <t>JT.#22</t>
        </is>
      </c>
      <c r="B33" s="930" t="inlineStr">
        <is>
          <t>3 1/2" TSH</t>
        </is>
      </c>
      <c r="C33" s="1153" t="n">
        <v>31</v>
      </c>
    </row>
    <row r="34" ht="14.25" customHeight="1" s="882">
      <c r="A34" s="930" t="inlineStr">
        <is>
          <t>JT.#23</t>
        </is>
      </c>
      <c r="B34" s="930" t="inlineStr">
        <is>
          <t>3 1/2" TSH</t>
        </is>
      </c>
      <c r="C34" s="1153" t="n">
        <v>31</v>
      </c>
    </row>
    <row r="35" ht="14.25" customHeight="1" s="882">
      <c r="A35" s="930" t="inlineStr">
        <is>
          <t>JT.#24</t>
        </is>
      </c>
      <c r="B35" s="930" t="inlineStr">
        <is>
          <t>3 1/2" TSH</t>
        </is>
      </c>
      <c r="C35" s="1153" t="n">
        <v>31</v>
      </c>
    </row>
    <row r="36" ht="14.25" customHeight="1" s="882">
      <c r="A36" s="930" t="inlineStr">
        <is>
          <t>JT.#25</t>
        </is>
      </c>
      <c r="B36" s="930" t="inlineStr">
        <is>
          <t>3 1/2" TSH</t>
        </is>
      </c>
      <c r="C36" s="1153" t="n">
        <v>31</v>
      </c>
    </row>
    <row r="37" ht="14.25" customHeight="1" s="882">
      <c r="A37" s="930" t="inlineStr">
        <is>
          <t>JT.#26</t>
        </is>
      </c>
      <c r="B37" s="930" t="inlineStr">
        <is>
          <t>3 1/2" TSH</t>
        </is>
      </c>
      <c r="C37" s="1153" t="n">
        <v>31</v>
      </c>
    </row>
    <row r="38" ht="14.25" customHeight="1" s="882">
      <c r="A38" s="930" t="inlineStr">
        <is>
          <t>JT.#27</t>
        </is>
      </c>
      <c r="B38" s="930" t="inlineStr">
        <is>
          <t>3 1/2" TSH</t>
        </is>
      </c>
      <c r="C38" s="1153" t="n">
        <v>31</v>
      </c>
    </row>
    <row r="39" ht="14.25" customHeight="1" s="882">
      <c r="A39" s="930" t="inlineStr">
        <is>
          <t>JT.#28</t>
        </is>
      </c>
      <c r="B39" s="930" t="inlineStr">
        <is>
          <t>3 1/2" TSH</t>
        </is>
      </c>
      <c r="C39" s="1153" t="n">
        <v>31</v>
      </c>
    </row>
    <row r="40" ht="14.25" customHeight="1" s="882">
      <c r="A40" s="930" t="inlineStr">
        <is>
          <t>JT.#29</t>
        </is>
      </c>
      <c r="B40" s="930" t="inlineStr">
        <is>
          <t>3 1/2" TSH</t>
        </is>
      </c>
      <c r="C40" s="1153" t="n">
        <v>31</v>
      </c>
    </row>
    <row r="41" ht="14.25" customHeight="1" s="882">
      <c r="A41" s="930" t="inlineStr">
        <is>
          <t>JT.#30</t>
        </is>
      </c>
      <c r="B41" s="930" t="inlineStr">
        <is>
          <t>3 1/2" TSH</t>
        </is>
      </c>
      <c r="C41" s="1153" t="n">
        <v>31</v>
      </c>
    </row>
    <row r="42" ht="14.25" customHeight="1" s="882">
      <c r="A42" s="930" t="inlineStr">
        <is>
          <t>JT.#31</t>
        </is>
      </c>
      <c r="B42" s="930" t="inlineStr">
        <is>
          <t>3 1/2" TSH</t>
        </is>
      </c>
      <c r="C42" s="1153" t="n">
        <v>31</v>
      </c>
    </row>
    <row r="43" ht="14.25" customHeight="1" s="882">
      <c r="A43" s="930" t="inlineStr">
        <is>
          <t>JT.#32</t>
        </is>
      </c>
      <c r="B43" s="930" t="inlineStr">
        <is>
          <t>3 1/2" TSH</t>
        </is>
      </c>
      <c r="C43" s="1153" t="n">
        <v>31</v>
      </c>
    </row>
    <row r="44" ht="14.25" customHeight="1" s="882">
      <c r="A44" s="930" t="inlineStr">
        <is>
          <t>JT.#33</t>
        </is>
      </c>
      <c r="B44" s="930" t="inlineStr">
        <is>
          <t>3 1/2" TSH</t>
        </is>
      </c>
      <c r="C44" s="1153" t="n">
        <v>31</v>
      </c>
    </row>
    <row r="45" ht="14.25" customHeight="1" s="882">
      <c r="A45" s="930" t="inlineStr">
        <is>
          <t>JT.#34</t>
        </is>
      </c>
      <c r="B45" s="930" t="inlineStr">
        <is>
          <t>3 1/2" TSH</t>
        </is>
      </c>
      <c r="C45" s="1153" t="n">
        <v>31</v>
      </c>
    </row>
    <row r="46" ht="14.25" customHeight="1" s="882">
      <c r="A46" s="930" t="inlineStr">
        <is>
          <t>JT.#35</t>
        </is>
      </c>
      <c r="B46" s="930" t="inlineStr">
        <is>
          <t>3 1/2" TSH</t>
        </is>
      </c>
      <c r="C46" s="1153" t="n">
        <v>31</v>
      </c>
    </row>
    <row r="47" ht="14.25" customHeight="1" s="882">
      <c r="A47" s="930" t="inlineStr">
        <is>
          <t>JT.#36</t>
        </is>
      </c>
      <c r="B47" s="930" t="inlineStr">
        <is>
          <t>3 1/2" TSH</t>
        </is>
      </c>
      <c r="C47" s="1153" t="n">
        <v>31</v>
      </c>
    </row>
    <row r="48" ht="14.25" customHeight="1" s="882">
      <c r="A48" s="930" t="inlineStr">
        <is>
          <t>JT.#37</t>
        </is>
      </c>
      <c r="B48" s="930" t="inlineStr">
        <is>
          <t>3 1/2" TSH</t>
        </is>
      </c>
      <c r="C48" s="1153" t="n">
        <v>31</v>
      </c>
    </row>
    <row r="49" ht="72" customHeight="1" s="882">
      <c r="A49" s="1754" t="inlineStr">
        <is>
          <t>C</t>
        </is>
      </c>
      <c r="B49" s="1755" t="inlineStr">
        <is>
          <t>UPPER CONN. 3-1/2" VAM TOP BOX 9.2 PPF SN 28 110 KSI
DESCRIPTION: 5 FEET XOVER
SAP: 130005011340
SUPPLIER: TENARIS
LOWER CONN. 3-1/2" TSH BLUE PIN 9.2 PPF SN 28 110 KSI</t>
        </is>
      </c>
      <c r="C49" s="1756" t="n">
        <v>5.16</v>
      </c>
      <c r="D49" s="1757" t="n">
        <v>3.908</v>
      </c>
      <c r="E49" s="1757" t="n">
        <v>2.959</v>
      </c>
      <c r="F49" s="1758" t="inlineStr">
        <is>
          <t>N/A</t>
        </is>
      </c>
      <c r="G49" s="1758" t="inlineStr">
        <is>
          <t>N/A</t>
        </is>
      </c>
      <c r="H49" s="1758" t="inlineStr">
        <is>
          <t>130005011340</t>
        </is>
      </c>
      <c r="I49" s="1758" t="inlineStr">
        <is>
          <t>N/A</t>
        </is>
      </c>
    </row>
    <row r="50" ht="100.5" customHeight="1" s="882">
      <c r="B50" s="1755" t="inlineStr">
        <is>
          <t>UPPER CONN. 3-1/2" VAM TOP 9.2#PPF INC 925 KSI BOX
DESCRIPTION: 2.750 WXN Nipple
PN: 2963809
S/N :12527047-08
SAP: 130010036868
SUPPLIER: WEATHERFORD
LOWER CONN.3-1/2" VAM TOP 9.2#PPF INC 925KSI PIN</t>
        </is>
      </c>
      <c r="C50" s="1756" t="n">
        <v>1.15</v>
      </c>
      <c r="D50" s="1757" t="n">
        <v>3.885</v>
      </c>
      <c r="E50" s="1757" t="n">
        <v>2.637</v>
      </c>
      <c r="F50" s="1758" t="inlineStr">
        <is>
          <t>2963809</t>
        </is>
      </c>
      <c r="G50" s="1758" t="inlineStr">
        <is>
          <t>12527047-08</t>
        </is>
      </c>
      <c r="H50" s="1758" t="inlineStr">
        <is>
          <t>130010036868</t>
        </is>
      </c>
      <c r="I50" s="1758" t="inlineStr">
        <is>
          <t>N/A</t>
        </is>
      </c>
    </row>
    <row r="51" ht="72" customHeight="1" s="882">
      <c r="B51" s="1755" t="inlineStr">
        <is>
          <t>UPPER CONN. 3-1/2" VAM TOP 9.2#PPF SM 2535 BOX
DESCRIPTION: 5 FEET PUP JOINT
SAP: 130005002758
SUPPLIER: VAM
LOWER CONN. 3-1/2" VAM TOP 9.2#PPF SM 2535 PIN</t>
        </is>
      </c>
      <c r="C51" s="1756" t="n">
        <v>4.92</v>
      </c>
      <c r="D51" s="1757" t="n">
        <v>3.908</v>
      </c>
      <c r="E51" s="1757" t="n">
        <v>2.959</v>
      </c>
      <c r="F51" s="1758" t="inlineStr">
        <is>
          <t>N/A</t>
        </is>
      </c>
      <c r="G51" s="1758" t="inlineStr">
        <is>
          <t>N/A</t>
        </is>
      </c>
      <c r="H51" s="1758" t="inlineStr">
        <is>
          <t>130005002758</t>
        </is>
      </c>
      <c r="I51" s="1758" t="inlineStr">
        <is>
          <t>N/A</t>
        </is>
      </c>
    </row>
    <row r="52" ht="72" customHeight="1" s="882">
      <c r="B52" s="1755" t="inlineStr">
        <is>
          <t>UPPER CONN. 3-1/2" VAM TOP 9.2#PPF SM2535 BOX
DESCRIPTION: 10 FEET PUP JOINT
SAP: 130013000213
SUPPLIER: VAM
LOWER CONN. 3-1/2" VAM TOP 9.2#PPF SM2535 PIN</t>
        </is>
      </c>
      <c r="C52" s="1756" t="n">
        <v>9.92</v>
      </c>
      <c r="D52" s="1757" t="n">
        <v>3.908</v>
      </c>
      <c r="E52" s="1757" t="n">
        <v>2.959</v>
      </c>
      <c r="F52" s="1758" t="inlineStr">
        <is>
          <t>N/A</t>
        </is>
      </c>
      <c r="G52" s="1758" t="inlineStr">
        <is>
          <t>N/A</t>
        </is>
      </c>
      <c r="H52" s="1758" t="inlineStr">
        <is>
          <t>130013000213</t>
        </is>
      </c>
      <c r="I52" s="1758" t="inlineStr">
        <is>
          <t>N/A</t>
        </is>
      </c>
    </row>
    <row r="53" ht="144" customHeight="1" s="882">
      <c r="B53" s="1755"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53" s="1756" t="n">
        <v>9.710000000000001</v>
      </c>
      <c r="D53" s="1757" t="n">
        <v>5.91</v>
      </c>
      <c r="E53" s="1757" t="n">
        <v>2.919</v>
      </c>
      <c r="F53" s="1758" t="inlineStr">
        <is>
          <t>2960170</t>
        </is>
      </c>
      <c r="G53" s="1758" t="inlineStr">
        <is>
          <t>12857761-01</t>
        </is>
      </c>
      <c r="H53" s="1758" t="inlineStr">
        <is>
          <t>130010037571</t>
        </is>
      </c>
      <c r="I53" s="1758" t="inlineStr">
        <is>
          <t>N/A</t>
        </is>
      </c>
    </row>
    <row r="54" ht="72" customHeight="1" s="882">
      <c r="B54" s="1755" t="inlineStr">
        <is>
          <t>UPPER CONN. 3-1/2" TSH BLUE BOX 9.2 PPF SN 28 110 KSI
DESCRIPTION: 5 FEET XOVER
SAP: 130005011444
SUPPLIER: TENARIS
LOWER CONN. 3-1/2" VAM TOP PIN 9.2 PPF SN 28 110 KSI</t>
        </is>
      </c>
      <c r="C54" s="1756" t="n">
        <v>4.99</v>
      </c>
      <c r="D54" s="1757" t="n">
        <v>3.937</v>
      </c>
      <c r="E54" s="1757" t="n">
        <v>2.969</v>
      </c>
      <c r="F54" s="1758" t="inlineStr">
        <is>
          <t>N/A</t>
        </is>
      </c>
      <c r="G54" s="1758" t="inlineStr">
        <is>
          <t>N/A</t>
        </is>
      </c>
      <c r="H54" s="1758" t="inlineStr">
        <is>
          <t>130005011444</t>
        </is>
      </c>
      <c r="I54" s="1758" t="inlineStr">
        <is>
          <t>N/A</t>
        </is>
      </c>
    </row>
    <row r="55" ht="14.25" customHeight="1" s="882">
      <c r="A55" s="930" t="inlineStr">
        <is>
          <t>JT.#38</t>
        </is>
      </c>
      <c r="B55" s="930" t="inlineStr">
        <is>
          <t>3 1/2" TSH</t>
        </is>
      </c>
      <c r="C55" s="1153" t="n">
        <v>31</v>
      </c>
    </row>
    <row r="56" ht="14.25" customHeight="1" s="882">
      <c r="A56" s="930" t="inlineStr">
        <is>
          <t>JT.#39</t>
        </is>
      </c>
      <c r="B56" s="930" t="inlineStr">
        <is>
          <t>3 1/2" TSH</t>
        </is>
      </c>
      <c r="C56" s="1153" t="n">
        <v>31</v>
      </c>
    </row>
    <row r="57" ht="14.25" customHeight="1" s="882">
      <c r="A57" s="930" t="inlineStr">
        <is>
          <t>JT.#40</t>
        </is>
      </c>
      <c r="B57" s="930" t="inlineStr">
        <is>
          <t>3 1/2" TSH</t>
        </is>
      </c>
      <c r="C57" s="1153" t="n">
        <v>31</v>
      </c>
    </row>
    <row r="58" ht="14.25" customHeight="1" s="882">
      <c r="A58" s="930" t="inlineStr">
        <is>
          <t>JT.#41</t>
        </is>
      </c>
      <c r="B58" s="930" t="inlineStr">
        <is>
          <t>3 1/2" TSH</t>
        </is>
      </c>
      <c r="C58" s="1153" t="n">
        <v>31</v>
      </c>
    </row>
    <row r="59" ht="14.25" customHeight="1" s="882">
      <c r="A59" s="930" t="inlineStr">
        <is>
          <t>JT.#42</t>
        </is>
      </c>
      <c r="B59" s="930" t="inlineStr">
        <is>
          <t>3 1/2" TSH</t>
        </is>
      </c>
      <c r="C59" s="1153" t="n">
        <v>31</v>
      </c>
    </row>
    <row r="60" ht="14.25" customHeight="1" s="882">
      <c r="A60" s="930" t="inlineStr">
        <is>
          <t>JT.#43</t>
        </is>
      </c>
      <c r="B60" s="930" t="inlineStr">
        <is>
          <t>3 1/2" TSH</t>
        </is>
      </c>
      <c r="C60" s="1153" t="n">
        <v>31</v>
      </c>
    </row>
    <row r="61" ht="14.25" customHeight="1" s="882">
      <c r="A61" s="930" t="inlineStr">
        <is>
          <t>JT.#44</t>
        </is>
      </c>
      <c r="B61" s="930" t="inlineStr">
        <is>
          <t>3 1/2" TSH</t>
        </is>
      </c>
      <c r="C61" s="1153" t="n">
        <v>31</v>
      </c>
    </row>
    <row r="62" ht="14.25" customHeight="1" s="882">
      <c r="A62" s="930" t="inlineStr">
        <is>
          <t>JT.#45</t>
        </is>
      </c>
      <c r="B62" s="930" t="inlineStr">
        <is>
          <t>3 1/2" TSH</t>
        </is>
      </c>
      <c r="C62" s="1153" t="n">
        <v>31</v>
      </c>
    </row>
    <row r="63" ht="14.25" customHeight="1" s="882">
      <c r="A63" s="930" t="inlineStr">
        <is>
          <t>JT.#46</t>
        </is>
      </c>
      <c r="B63" s="930" t="inlineStr">
        <is>
          <t>3 1/2" TSH</t>
        </is>
      </c>
      <c r="C63" s="1153" t="n">
        <v>31</v>
      </c>
    </row>
    <row r="64" ht="14.25" customHeight="1" s="882">
      <c r="A64" s="930" t="inlineStr">
        <is>
          <t>JT.#47</t>
        </is>
      </c>
      <c r="B64" s="930" t="inlineStr">
        <is>
          <t>3 1/2" TSH</t>
        </is>
      </c>
      <c r="C64" s="1153" t="n">
        <v>31</v>
      </c>
    </row>
    <row r="65" ht="14.25" customHeight="1" s="882">
      <c r="A65" s="930" t="inlineStr">
        <is>
          <t>JT.#48</t>
        </is>
      </c>
      <c r="B65" s="930" t="inlineStr">
        <is>
          <t>3 1/2" TSH</t>
        </is>
      </c>
      <c r="C65" s="1153" t="n">
        <v>31</v>
      </c>
    </row>
    <row r="66" ht="14.25" customHeight="1" s="882">
      <c r="A66" s="930" t="inlineStr">
        <is>
          <t>JT.#49</t>
        </is>
      </c>
      <c r="B66" s="930" t="inlineStr">
        <is>
          <t>3 1/2" TSH</t>
        </is>
      </c>
      <c r="C66" s="1153" t="n">
        <v>31</v>
      </c>
    </row>
    <row r="67" ht="14.25" customHeight="1" s="882">
      <c r="A67" s="930" t="inlineStr">
        <is>
          <t>JT.#50</t>
        </is>
      </c>
      <c r="B67" s="930" t="inlineStr">
        <is>
          <t>3 1/2" TSH</t>
        </is>
      </c>
      <c r="C67" s="1153" t="n">
        <v>31</v>
      </c>
    </row>
    <row r="68" ht="14.25" customHeight="1" s="882">
      <c r="A68" s="930" t="inlineStr">
        <is>
          <t>JT.#51</t>
        </is>
      </c>
      <c r="B68" s="930" t="inlineStr">
        <is>
          <t>3 1/2" TSH</t>
        </is>
      </c>
      <c r="C68" s="1153" t="n">
        <v>31</v>
      </c>
    </row>
    <row r="69" ht="14.25" customHeight="1" s="882">
      <c r="A69" s="930" t="inlineStr">
        <is>
          <t>JT.#52</t>
        </is>
      </c>
      <c r="B69" s="930" t="inlineStr">
        <is>
          <t>3 1/2" TSH</t>
        </is>
      </c>
      <c r="C69" s="1153" t="n">
        <v>31</v>
      </c>
    </row>
    <row r="70" ht="14.25" customHeight="1" s="882">
      <c r="A70" s="930" t="inlineStr">
        <is>
          <t>JT.#53</t>
        </is>
      </c>
      <c r="B70" s="930" t="inlineStr">
        <is>
          <t>3 1/2" TSH</t>
        </is>
      </c>
      <c r="C70" s="1153" t="n">
        <v>31</v>
      </c>
    </row>
    <row r="71" ht="14.25" customHeight="1" s="882">
      <c r="A71" s="930" t="inlineStr">
        <is>
          <t>JT.#54</t>
        </is>
      </c>
      <c r="B71" s="930" t="inlineStr">
        <is>
          <t>3 1/2" TSH</t>
        </is>
      </c>
      <c r="C71" s="1153" t="n">
        <v>31</v>
      </c>
    </row>
    <row r="72" ht="14.25" customHeight="1" s="882">
      <c r="A72" s="930" t="inlineStr">
        <is>
          <t>JT.#55</t>
        </is>
      </c>
      <c r="B72" s="930" t="inlineStr">
        <is>
          <t>3 1/2" TSH</t>
        </is>
      </c>
      <c r="C72" s="1153" t="n">
        <v>31</v>
      </c>
    </row>
    <row r="73" ht="14.25" customHeight="1" s="882">
      <c r="A73" s="930" t="inlineStr">
        <is>
          <t>JT.#56</t>
        </is>
      </c>
      <c r="B73" s="930" t="inlineStr">
        <is>
          <t>3 1/2" TSH</t>
        </is>
      </c>
      <c r="C73" s="1153" t="n">
        <v>31</v>
      </c>
    </row>
    <row r="74" ht="14.25" customHeight="1" s="882">
      <c r="A74" s="930" t="inlineStr">
        <is>
          <t>JT.#57</t>
        </is>
      </c>
      <c r="B74" s="930" t="inlineStr">
        <is>
          <t>3 1/2" TSH</t>
        </is>
      </c>
      <c r="C74" s="1153" t="n">
        <v>31</v>
      </c>
    </row>
    <row r="75" ht="72" customHeight="1" s="882">
      <c r="A75" s="1759" t="inlineStr">
        <is>
          <t>D1</t>
        </is>
      </c>
      <c r="B75" s="1760" t="inlineStr">
        <is>
          <t>UPPER CONN. 3-1/2" VAM TOP BOX 9.2 PPF SN 28 110 KSI
DESCRIPTION: 5 FEET XOVER
SAP: 130005011340
SUPPLIER: TENARIS
LOWER CONN. 3-1/2" TSH BLUE PIN 9.2 PPF SN 28 110 KSI</t>
        </is>
      </c>
      <c r="C75" s="1761" t="n">
        <v>5.2</v>
      </c>
      <c r="D75" s="1762" t="n">
        <v>3.908</v>
      </c>
      <c r="E75" s="1762" t="n">
        <v>2.959</v>
      </c>
      <c r="F75" s="1763" t="inlineStr">
        <is>
          <t>N/A</t>
        </is>
      </c>
      <c r="G75" s="1763" t="inlineStr">
        <is>
          <t>N/A</t>
        </is>
      </c>
      <c r="H75" s="1763" t="inlineStr">
        <is>
          <t>130005011340</t>
        </is>
      </c>
      <c r="I75" s="1763" t="inlineStr">
        <is>
          <t>N/A</t>
        </is>
      </c>
    </row>
    <row r="76" ht="72" customHeight="1" s="882">
      <c r="B76" s="1760" t="inlineStr">
        <is>
          <t>UPPER CONN. 3-1/2" SENTINEL PRIME BOX 9.2 PPF TX28-110 KSI
DESCRIPTION: 5 FEET XOVER
SAP: 130013006385
SUPPLIER: TBX
LOWER CONN. 3-1/2" VAM TOP PIN 9.2 PPF TX28-110 KSI</t>
        </is>
      </c>
      <c r="C76" s="1761" t="n">
        <v>4.96</v>
      </c>
      <c r="D76" s="1762" t="n">
        <v>3.929</v>
      </c>
      <c r="E76" s="1762" t="n">
        <v>2.921</v>
      </c>
      <c r="F76" s="1763" t="inlineStr">
        <is>
          <t>N/A</t>
        </is>
      </c>
      <c r="G76" s="1763" t="inlineStr">
        <is>
          <t>N/A</t>
        </is>
      </c>
      <c r="H76" s="1763" t="inlineStr">
        <is>
          <t>130013006385</t>
        </is>
      </c>
      <c r="I76" s="1763" t="inlineStr">
        <is>
          <t>N/A</t>
        </is>
      </c>
    </row>
    <row r="77" ht="129" customHeight="1" s="882">
      <c r="B77" s="1760"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77" s="1761" t="n">
        <v>8.69</v>
      </c>
      <c r="D77" s="1762" t="n">
        <v>5.82</v>
      </c>
      <c r="E77" s="1762" t="n">
        <v>2.9</v>
      </c>
      <c r="F77" s="1763" t="inlineStr">
        <is>
          <t>3205577</t>
        </is>
      </c>
      <c r="G77" s="1763" t="inlineStr">
        <is>
          <t>12636080-03</t>
        </is>
      </c>
      <c r="H77" s="1763" t="inlineStr">
        <is>
          <t>130010036652</t>
        </is>
      </c>
      <c r="I77" s="1763" t="inlineStr">
        <is>
          <t>N/A</t>
        </is>
      </c>
    </row>
    <row r="78" ht="72" customHeight="1" s="882">
      <c r="B78" s="1760" t="inlineStr">
        <is>
          <t>UPPER CONN. 3-1/2" VAM TOP BOX 9.2 PPF TX28- 110 KSI
DESCRIPTION: 5 FEET XOVER
SAP: 130013006383
SUPPLIER: TBX
LOWER CONN -3-1/2" SENTINEL PRIME PIN 9.2 PPF TX28-110 KSI</t>
        </is>
      </c>
      <c r="C78" s="1761" t="n">
        <v>4.85</v>
      </c>
      <c r="D78" s="1762" t="n">
        <v>3.908</v>
      </c>
      <c r="E78" s="1762" t="n">
        <v>2.959</v>
      </c>
      <c r="F78" s="1763" t="inlineStr">
        <is>
          <t>N/A</t>
        </is>
      </c>
      <c r="G78" s="1763" t="inlineStr">
        <is>
          <t>N/A</t>
        </is>
      </c>
      <c r="H78" s="1763" t="inlineStr">
        <is>
          <t>130013006383</t>
        </is>
      </c>
      <c r="I78" s="1763" t="inlineStr">
        <is>
          <t>N/A</t>
        </is>
      </c>
    </row>
    <row r="79" ht="72" customHeight="1" s="882">
      <c r="B79" s="1760" t="inlineStr">
        <is>
          <t>UPPER CONN. 3-1/2" TSH BLUE BOX 9.2 PPF SN 28 110 KSI
DESCRIPTION: 10 FEET XOVER
SAP: 130005012487
SUPPLIER: TENARIS
LOWER CONN. 3-1/2" VAM TOP PIN 9.2 PPF SN 28 110 KSI</t>
        </is>
      </c>
      <c r="C79" s="1761" t="n">
        <v>9.949999999999999</v>
      </c>
      <c r="D79" s="1762" t="n">
        <v>3.937</v>
      </c>
      <c r="E79" s="1762" t="n">
        <v>2.969</v>
      </c>
      <c r="F79" s="1763" t="inlineStr">
        <is>
          <t>N/A</t>
        </is>
      </c>
      <c r="G79" s="1763" t="inlineStr">
        <is>
          <t>N/A</t>
        </is>
      </c>
      <c r="H79" s="1763" t="inlineStr">
        <is>
          <t>130005012487</t>
        </is>
      </c>
      <c r="I79" s="1763" t="inlineStr">
        <is>
          <t>N/A</t>
        </is>
      </c>
    </row>
    <row r="80" ht="14.25" customHeight="1" s="882">
      <c r="A80" s="930" t="inlineStr">
        <is>
          <t>JT.#58</t>
        </is>
      </c>
      <c r="B80" s="930" t="inlineStr">
        <is>
          <t>3 1/2" TSH</t>
        </is>
      </c>
      <c r="C80" s="1153" t="n">
        <v>31</v>
      </c>
    </row>
    <row r="81" ht="14.25" customHeight="1" s="882">
      <c r="A81" s="930" t="inlineStr">
        <is>
          <t>JT.#59</t>
        </is>
      </c>
      <c r="B81" s="930" t="inlineStr">
        <is>
          <t>3 1/2" TSH</t>
        </is>
      </c>
      <c r="C81" s="1153" t="n">
        <v>31</v>
      </c>
    </row>
    <row r="82" ht="14.25" customHeight="1" s="882">
      <c r="A82" s="930" t="inlineStr">
        <is>
          <t>JT.#60</t>
        </is>
      </c>
      <c r="B82" s="930" t="inlineStr">
        <is>
          <t>3 1/2" TSH</t>
        </is>
      </c>
      <c r="C82" s="1153" t="n">
        <v>31</v>
      </c>
    </row>
    <row r="83" ht="14.25" customHeight="1" s="882">
      <c r="A83" s="930" t="inlineStr">
        <is>
          <t>JT.#61</t>
        </is>
      </c>
      <c r="B83" s="930" t="inlineStr">
        <is>
          <t>3 1/2" TSH</t>
        </is>
      </c>
      <c r="C83" s="1153" t="n">
        <v>31</v>
      </c>
    </row>
    <row r="84" ht="14.25" customHeight="1" s="882">
      <c r="A84" s="930" t="inlineStr">
        <is>
          <t>JT.#62</t>
        </is>
      </c>
      <c r="B84" s="930" t="inlineStr">
        <is>
          <t>3 1/2" TSH</t>
        </is>
      </c>
      <c r="C84" s="1153" t="n">
        <v>31</v>
      </c>
    </row>
    <row r="85" ht="14.25" customHeight="1" s="882">
      <c r="A85" s="930" t="inlineStr">
        <is>
          <t>JT.#63</t>
        </is>
      </c>
      <c r="B85" s="930" t="inlineStr">
        <is>
          <t>3 1/2" TSH</t>
        </is>
      </c>
      <c r="C85" s="1153" t="n">
        <v>31</v>
      </c>
    </row>
    <row r="86" ht="14.25" customHeight="1" s="882">
      <c r="A86" s="930" t="inlineStr">
        <is>
          <t>JT.#64</t>
        </is>
      </c>
      <c r="B86" s="930" t="inlineStr">
        <is>
          <t>3 1/2" TSH</t>
        </is>
      </c>
      <c r="C86" s="1153" t="n">
        <v>31</v>
      </c>
    </row>
    <row r="87" ht="14.25" customHeight="1" s="882">
      <c r="A87" s="930" t="inlineStr">
        <is>
          <t>JT.#65</t>
        </is>
      </c>
      <c r="B87" s="930" t="inlineStr">
        <is>
          <t>3 1/2" TSH</t>
        </is>
      </c>
      <c r="C87" s="1153" t="n">
        <v>31</v>
      </c>
    </row>
    <row r="88" ht="14.25" customHeight="1" s="882">
      <c r="A88" s="930" t="inlineStr">
        <is>
          <t>JT.#66</t>
        </is>
      </c>
      <c r="B88" s="930" t="inlineStr">
        <is>
          <t>3 1/2" TSH</t>
        </is>
      </c>
      <c r="C88" s="1153" t="n">
        <v>31</v>
      </c>
    </row>
    <row r="89" ht="14.25" customHeight="1" s="882">
      <c r="A89" s="930" t="inlineStr">
        <is>
          <t>JT.#67</t>
        </is>
      </c>
      <c r="B89" s="930" t="inlineStr">
        <is>
          <t>3 1/2" TSH</t>
        </is>
      </c>
      <c r="C89" s="1153" t="n">
        <v>31</v>
      </c>
    </row>
    <row r="90" ht="14.25" customHeight="1" s="882">
      <c r="A90" s="930" t="inlineStr">
        <is>
          <t>JT.#68</t>
        </is>
      </c>
      <c r="B90" s="930" t="inlineStr">
        <is>
          <t>3 1/2" TSH</t>
        </is>
      </c>
      <c r="C90" s="1153" t="n">
        <v>31</v>
      </c>
    </row>
    <row r="91" ht="14.25" customHeight="1" s="882">
      <c r="A91" s="930" t="inlineStr">
        <is>
          <t>JT.#69</t>
        </is>
      </c>
      <c r="B91" s="930" t="inlineStr">
        <is>
          <t>3 1/2" TSH</t>
        </is>
      </c>
      <c r="C91" s="1153" t="n">
        <v>31</v>
      </c>
    </row>
    <row r="92" ht="14.25" customHeight="1" s="882">
      <c r="A92" s="930" t="inlineStr">
        <is>
          <t>JT.#70</t>
        </is>
      </c>
      <c r="B92" s="930" t="inlineStr">
        <is>
          <t>3 1/2" TSH</t>
        </is>
      </c>
      <c r="C92" s="1153" t="n">
        <v>31</v>
      </c>
    </row>
    <row r="93" ht="14.25" customHeight="1" s="882">
      <c r="A93" s="930" t="inlineStr">
        <is>
          <t>JT.#71</t>
        </is>
      </c>
      <c r="B93" s="930" t="inlineStr">
        <is>
          <t>3 1/2" TSH</t>
        </is>
      </c>
      <c r="C93" s="1153" t="n">
        <v>31</v>
      </c>
    </row>
    <row r="94" ht="14.25" customHeight="1" s="882">
      <c r="A94" s="930" t="inlineStr">
        <is>
          <t>JT.#72</t>
        </is>
      </c>
      <c r="B94" s="930" t="inlineStr">
        <is>
          <t>3 1/2" TSH</t>
        </is>
      </c>
      <c r="C94" s="1153" t="n">
        <v>31</v>
      </c>
    </row>
    <row r="95" ht="14.25" customHeight="1" s="882">
      <c r="A95" s="930" t="inlineStr">
        <is>
          <t>JT.#73</t>
        </is>
      </c>
      <c r="B95" s="930" t="inlineStr">
        <is>
          <t>3 1/2" TSH</t>
        </is>
      </c>
      <c r="C95" s="1153" t="n">
        <v>31</v>
      </c>
    </row>
    <row r="96" ht="14.25" customHeight="1" s="882">
      <c r="A96" s="930" t="inlineStr">
        <is>
          <t>JT.#74</t>
        </is>
      </c>
      <c r="B96" s="930" t="inlineStr">
        <is>
          <t>3 1/2" TSH</t>
        </is>
      </c>
      <c r="C96" s="1153" t="n">
        <v>31</v>
      </c>
    </row>
    <row r="97" ht="14.25" customHeight="1" s="882">
      <c r="A97" s="930" t="inlineStr">
        <is>
          <t>JT.#75</t>
        </is>
      </c>
      <c r="B97" s="930" t="inlineStr">
        <is>
          <t>3 1/2" TSH</t>
        </is>
      </c>
      <c r="C97" s="1153" t="n">
        <v>31</v>
      </c>
    </row>
    <row r="98" ht="14.25" customHeight="1" s="882">
      <c r="A98" s="930" t="inlineStr">
        <is>
          <t>JT.#76</t>
        </is>
      </c>
      <c r="B98" s="930" t="inlineStr">
        <is>
          <t>3 1/2" TSH</t>
        </is>
      </c>
      <c r="C98" s="1153" t="n">
        <v>31</v>
      </c>
    </row>
    <row r="99" ht="14.25" customHeight="1" s="882">
      <c r="A99" s="930" t="inlineStr">
        <is>
          <t>JT.#77</t>
        </is>
      </c>
      <c r="B99" s="930" t="inlineStr">
        <is>
          <t>3 1/2" TSH</t>
        </is>
      </c>
      <c r="C99" s="1153" t="n">
        <v>31</v>
      </c>
    </row>
    <row r="100" ht="72" customHeight="1" s="882">
      <c r="A100" s="1764" t="inlineStr">
        <is>
          <t>D2</t>
        </is>
      </c>
      <c r="B100" s="1765" t="inlineStr">
        <is>
          <t>UPPER CONN. 3-1/2" VAM TOP BOX 9.2 PPF SN 28 110 KSI
DESCRIPTION: 5 FEET XOVER
SAP: 130005011340
SUPPLIER: TENARIS
LOWER CONN. 3-1/2" TSH BLUE PIN 9.2 PPF SN 28 110 KSI</t>
        </is>
      </c>
      <c r="C100" s="1766" t="n">
        <v>5.18</v>
      </c>
      <c r="D100" s="1767" t="n">
        <v>3.908</v>
      </c>
      <c r="E100" s="1767" t="n">
        <v>2.959</v>
      </c>
      <c r="F100" s="1768" t="inlineStr">
        <is>
          <t>N/A</t>
        </is>
      </c>
      <c r="G100" s="1768" t="inlineStr">
        <is>
          <t>N/A</t>
        </is>
      </c>
      <c r="H100" s="1768" t="inlineStr">
        <is>
          <t>130005011340</t>
        </is>
      </c>
      <c r="I100" s="1768" t="inlineStr">
        <is>
          <t>N/A</t>
        </is>
      </c>
    </row>
    <row r="101" ht="72" customHeight="1" s="882">
      <c r="B101" s="1765" t="inlineStr">
        <is>
          <t>UPPER CONN. 3-1/2" SENTINEL PRIME BOX 9.2 PPF TX28- 110 KSI
DESCRIPTION: 5 FEET XOVER
SAP: 130013006385
SUPPLIER: TBX
LOWER CONN. 3-1/2" VAM TOP PIN 9.2 PPF TX28-110 KSI</t>
        </is>
      </c>
      <c r="C101" s="1766" t="n">
        <v>4.97</v>
      </c>
      <c r="D101" s="1767" t="n">
        <v>3.929</v>
      </c>
      <c r="E101" s="1767" t="n">
        <v>2.921</v>
      </c>
      <c r="F101" s="1768" t="inlineStr">
        <is>
          <t>N/A</t>
        </is>
      </c>
      <c r="G101" s="1768" t="inlineStr">
        <is>
          <t>N/A</t>
        </is>
      </c>
      <c r="H101" s="1768" t="inlineStr">
        <is>
          <t>130013006385</t>
        </is>
      </c>
      <c r="I101" s="1768" t="inlineStr">
        <is>
          <t>N/A</t>
        </is>
      </c>
    </row>
    <row r="102" ht="129" customHeight="1" s="882">
      <c r="B102" s="1765"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02" s="1766" t="n">
        <v>8.69</v>
      </c>
      <c r="D102" s="1767" t="n">
        <v>5.82</v>
      </c>
      <c r="E102" s="1767" t="n">
        <v>2.9</v>
      </c>
      <c r="F102" s="1768" t="inlineStr">
        <is>
          <t>3205577</t>
        </is>
      </c>
      <c r="G102" s="1768" t="inlineStr">
        <is>
          <t>12636080-05</t>
        </is>
      </c>
      <c r="H102" s="1768" t="inlineStr">
        <is>
          <t>130010036652</t>
        </is>
      </c>
      <c r="I102" s="1768" t="inlineStr">
        <is>
          <t>N/A</t>
        </is>
      </c>
    </row>
    <row r="103" ht="72" customHeight="1" s="882">
      <c r="B103" s="1765" t="inlineStr">
        <is>
          <t>UPPER CONN. 3-1/2" VAM TOP BOX 9.2 PPF TX28- 110 KSI
DESCRIPTION: 5 FEET XOVER
SAP: 130013006383
SUPPLIER: TBX
LOWER CONN -3-1/2" SENTINEL PRIME PIN 9.2 PPF TX28-110 KSI</t>
        </is>
      </c>
      <c r="C103" s="1766" t="n">
        <v>4.8</v>
      </c>
      <c r="D103" s="1767" t="n">
        <v>3.908</v>
      </c>
      <c r="E103" s="1767" t="n">
        <v>2.959</v>
      </c>
      <c r="F103" s="1768" t="inlineStr">
        <is>
          <t>N/A</t>
        </is>
      </c>
      <c r="G103" s="1768" t="inlineStr">
        <is>
          <t>N/A</t>
        </is>
      </c>
      <c r="H103" s="1768" t="inlineStr">
        <is>
          <t>130013006383</t>
        </is>
      </c>
      <c r="I103" s="1768" t="inlineStr">
        <is>
          <t>N/A</t>
        </is>
      </c>
    </row>
    <row r="104" ht="72" customHeight="1" s="882">
      <c r="B104" s="1765" t="inlineStr">
        <is>
          <t>UPPER CONN. 3-1/2" TSH BLUE BOX 9.2 PPF SN 28 110 KSI
DESCRIPTION: 10 FEET XOVER
SAP: 130005012487
SUPPLIER: TENARIS
LOWER CONN. 3-1/2" VAM TOP PIN 9.2 PPF SN 28 110 KSI</t>
        </is>
      </c>
      <c r="C104" s="1766" t="n">
        <v>9.949999999999999</v>
      </c>
      <c r="D104" s="1767" t="n">
        <v>3.937</v>
      </c>
      <c r="E104" s="1767" t="n">
        <v>2.969</v>
      </c>
      <c r="F104" s="1768" t="inlineStr">
        <is>
          <t>N/A</t>
        </is>
      </c>
      <c r="G104" s="1768" t="inlineStr">
        <is>
          <t>N/A</t>
        </is>
      </c>
      <c r="H104" s="1768" t="inlineStr">
        <is>
          <t>130005012487</t>
        </is>
      </c>
      <c r="I104" s="1768" t="inlineStr">
        <is>
          <t>N/A</t>
        </is>
      </c>
    </row>
    <row r="105" ht="14.25" customHeight="1" s="882">
      <c r="A105" s="930" t="inlineStr">
        <is>
          <t>JT.#78</t>
        </is>
      </c>
      <c r="B105" s="930" t="inlineStr">
        <is>
          <t>3 1/2" TSH</t>
        </is>
      </c>
      <c r="C105" s="1153" t="n">
        <v>31</v>
      </c>
    </row>
    <row r="106" ht="14.25" customHeight="1" s="882">
      <c r="A106" s="930" t="inlineStr">
        <is>
          <t>JT.#79</t>
        </is>
      </c>
      <c r="B106" s="930" t="inlineStr">
        <is>
          <t>3 1/2" TSH</t>
        </is>
      </c>
      <c r="C106" s="1153" t="n">
        <v>31</v>
      </c>
    </row>
    <row r="107" ht="14.25" customHeight="1" s="882">
      <c r="A107" s="930" t="inlineStr">
        <is>
          <t>JT.#80</t>
        </is>
      </c>
      <c r="B107" s="930" t="inlineStr">
        <is>
          <t>3 1/2" TSH</t>
        </is>
      </c>
      <c r="C107" s="1153" t="n">
        <v>31</v>
      </c>
    </row>
    <row r="108" ht="14.25" customHeight="1" s="882">
      <c r="A108" s="930" t="inlineStr">
        <is>
          <t>JT.#81</t>
        </is>
      </c>
      <c r="B108" s="930" t="inlineStr">
        <is>
          <t>3 1/2" TSH</t>
        </is>
      </c>
      <c r="C108" s="1153" t="n">
        <v>31</v>
      </c>
    </row>
    <row r="109" ht="14.25" customHeight="1" s="882">
      <c r="A109" s="930" t="inlineStr">
        <is>
          <t>JT.#82</t>
        </is>
      </c>
      <c r="B109" s="930" t="inlineStr">
        <is>
          <t>3 1/2" TSH</t>
        </is>
      </c>
      <c r="C109" s="1153" t="n">
        <v>31</v>
      </c>
    </row>
    <row r="110" ht="14.25" customHeight="1" s="882">
      <c r="A110" s="930" t="inlineStr">
        <is>
          <t>JT.#83</t>
        </is>
      </c>
      <c r="B110" s="930" t="inlineStr">
        <is>
          <t>3 1/2" TSH</t>
        </is>
      </c>
      <c r="C110" s="1153" t="n">
        <v>31</v>
      </c>
    </row>
    <row r="111" ht="14.25" customHeight="1" s="882">
      <c r="A111" s="930" t="inlineStr">
        <is>
          <t>JT.#84</t>
        </is>
      </c>
      <c r="B111" s="930" t="inlineStr">
        <is>
          <t>3 1/2" TSH</t>
        </is>
      </c>
      <c r="C111" s="1153" t="n">
        <v>31</v>
      </c>
    </row>
    <row r="112" ht="14.25" customHeight="1" s="882">
      <c r="A112" s="930" t="inlineStr">
        <is>
          <t>JT.#85</t>
        </is>
      </c>
      <c r="B112" s="930" t="inlineStr">
        <is>
          <t>3 1/2" TSH</t>
        </is>
      </c>
      <c r="C112" s="1153" t="n">
        <v>31</v>
      </c>
    </row>
    <row r="113" ht="14.25" customHeight="1" s="882">
      <c r="A113" s="930" t="inlineStr">
        <is>
          <t>JT.#86</t>
        </is>
      </c>
      <c r="B113" s="930" t="inlineStr">
        <is>
          <t>3 1/2" TSH</t>
        </is>
      </c>
      <c r="C113" s="1153" t="n">
        <v>31</v>
      </c>
    </row>
    <row r="114" ht="14.25" customHeight="1" s="882">
      <c r="A114" s="930" t="inlineStr">
        <is>
          <t>JT.#87</t>
        </is>
      </c>
      <c r="B114" s="930" t="inlineStr">
        <is>
          <t>3 1/2" TSH</t>
        </is>
      </c>
      <c r="C114" s="1153" t="n">
        <v>31</v>
      </c>
    </row>
    <row r="115" ht="14.25" customHeight="1" s="882">
      <c r="A115" s="930" t="inlineStr">
        <is>
          <t>JT.#88</t>
        </is>
      </c>
      <c r="B115" s="930" t="inlineStr">
        <is>
          <t>3 1/2" TSH</t>
        </is>
      </c>
      <c r="C115" s="1153" t="n">
        <v>31</v>
      </c>
    </row>
    <row r="116" ht="14.25" customHeight="1" s="882">
      <c r="A116" s="930" t="inlineStr">
        <is>
          <t>JT.#89</t>
        </is>
      </c>
      <c r="B116" s="930" t="inlineStr">
        <is>
          <t>3 1/2" TSH</t>
        </is>
      </c>
      <c r="C116" s="1153" t="n">
        <v>31</v>
      </c>
    </row>
    <row r="117" ht="14.25" customHeight="1" s="882">
      <c r="A117" s="930" t="inlineStr">
        <is>
          <t>JT.#90</t>
        </is>
      </c>
      <c r="B117" s="930" t="inlineStr">
        <is>
          <t>3 1/2" TSH</t>
        </is>
      </c>
      <c r="C117" s="1153" t="n">
        <v>31</v>
      </c>
    </row>
    <row r="118" ht="14.25" customHeight="1" s="882">
      <c r="A118" s="930" t="inlineStr">
        <is>
          <t>JT.#91</t>
        </is>
      </c>
      <c r="B118" s="930" t="inlineStr">
        <is>
          <t>3 1/2" TSH</t>
        </is>
      </c>
      <c r="C118" s="1153" t="n">
        <v>31</v>
      </c>
    </row>
    <row r="119" ht="14.25" customHeight="1" s="882">
      <c r="A119" s="930" t="inlineStr">
        <is>
          <t>JT.#92</t>
        </is>
      </c>
      <c r="B119" s="930" t="inlineStr">
        <is>
          <t>3 1/2" TSH</t>
        </is>
      </c>
      <c r="C119" s="1153" t="n">
        <v>31</v>
      </c>
    </row>
    <row r="120" ht="14.25" customHeight="1" s="882">
      <c r="A120" s="930" t="inlineStr">
        <is>
          <t>JT.#93</t>
        </is>
      </c>
      <c r="B120" s="930" t="inlineStr">
        <is>
          <t>3 1/2" TSH</t>
        </is>
      </c>
      <c r="C120" s="1153" t="n">
        <v>31</v>
      </c>
    </row>
    <row r="121" ht="14.25" customHeight="1" s="882">
      <c r="A121" s="930" t="inlineStr">
        <is>
          <t>JT.#94</t>
        </is>
      </c>
      <c r="B121" s="930" t="inlineStr">
        <is>
          <t>3 1/2" TSH</t>
        </is>
      </c>
      <c r="C121" s="1153" t="n">
        <v>31</v>
      </c>
    </row>
    <row r="122" ht="14.25" customHeight="1" s="882">
      <c r="A122" s="930" t="inlineStr">
        <is>
          <t>JT.#95</t>
        </is>
      </c>
      <c r="B122" s="930" t="inlineStr">
        <is>
          <t>3 1/2" TSH</t>
        </is>
      </c>
      <c r="C122" s="1153" t="n">
        <v>31</v>
      </c>
    </row>
    <row r="123" ht="14.25" customHeight="1" s="882">
      <c r="A123" s="930" t="inlineStr">
        <is>
          <t>JT.#96</t>
        </is>
      </c>
      <c r="B123" s="930" t="inlineStr">
        <is>
          <t>3 1/2" TSH</t>
        </is>
      </c>
      <c r="C123" s="1153" t="n">
        <v>31</v>
      </c>
    </row>
    <row r="124" ht="14.25" customHeight="1" s="882">
      <c r="A124" s="930" t="inlineStr">
        <is>
          <t>JT.#97</t>
        </is>
      </c>
      <c r="B124" s="930" t="inlineStr">
        <is>
          <t>3 1/2" TSH</t>
        </is>
      </c>
      <c r="C124" s="1153" t="n">
        <v>31</v>
      </c>
    </row>
    <row r="125" ht="72" customHeight="1" s="882">
      <c r="A125" s="1769" t="inlineStr">
        <is>
          <t>D3</t>
        </is>
      </c>
      <c r="B125" s="1770" t="inlineStr">
        <is>
          <t>UPPER CONN. 3-1/2" VAM TOP BOX 9.2 PPF SN 28 110 KSI
DESCRIPTION: 5 FEET XOVER
SAP: 130005011340
SUPPLIER: TENARIS
LOWER CONN. 3-1/2" TSH BLUE PIN 9.2 PPF SN 28 110 KSI</t>
        </is>
      </c>
      <c r="C125" s="1771" t="n">
        <v>5.19</v>
      </c>
      <c r="D125" s="1772" t="n">
        <v>3.908</v>
      </c>
      <c r="E125" s="1772" t="n">
        <v>2.959</v>
      </c>
      <c r="F125" s="1773" t="inlineStr">
        <is>
          <t>N/A</t>
        </is>
      </c>
      <c r="G125" s="1773" t="inlineStr">
        <is>
          <t>N/A</t>
        </is>
      </c>
      <c r="H125" s="1773" t="inlineStr">
        <is>
          <t>130005011340</t>
        </is>
      </c>
      <c r="I125" s="1773" t="inlineStr">
        <is>
          <t>N/A</t>
        </is>
      </c>
    </row>
    <row r="126" ht="72" customHeight="1" s="882">
      <c r="B126" s="1770" t="inlineStr">
        <is>
          <t>UPPER CONN. 3-1/2" SENTINEL PRIME BOX 9.2 PPF TX28-110 KSI
DESCRIPTION: 5 FEET XOVER
SAP: 130013006385
SUPPLIER: TBX
LOWER CONN. 3-1/2" VAM TOP PIN 9.2 PPF TX28-110 KSI</t>
        </is>
      </c>
      <c r="C126" s="1771" t="n">
        <v>4.96</v>
      </c>
      <c r="D126" s="1772" t="n">
        <v>3.929</v>
      </c>
      <c r="E126" s="1772" t="n">
        <v>2.921</v>
      </c>
      <c r="F126" s="1773" t="inlineStr">
        <is>
          <t>N/A</t>
        </is>
      </c>
      <c r="G126" s="1773" t="inlineStr">
        <is>
          <t>N/A</t>
        </is>
      </c>
      <c r="H126" s="1773" t="inlineStr">
        <is>
          <t>130013006385</t>
        </is>
      </c>
      <c r="I126" s="1773" t="inlineStr">
        <is>
          <t>N/A</t>
        </is>
      </c>
    </row>
    <row r="127" ht="129" customHeight="1" s="882">
      <c r="B127" s="1770"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27" s="1771" t="n">
        <v>8.69</v>
      </c>
      <c r="D127" s="1772" t="n">
        <v>5.82</v>
      </c>
      <c r="E127" s="1772" t="n">
        <v>2.9</v>
      </c>
      <c r="F127" s="1773" t="inlineStr">
        <is>
          <t>3205577</t>
        </is>
      </c>
      <c r="G127" s="1773" t="inlineStr">
        <is>
          <t>12600735-08</t>
        </is>
      </c>
      <c r="H127" s="1773" t="inlineStr">
        <is>
          <t>130010036652</t>
        </is>
      </c>
      <c r="I127" s="1773" t="inlineStr">
        <is>
          <t>N/A</t>
        </is>
      </c>
    </row>
    <row r="128" ht="72" customHeight="1" s="882">
      <c r="B128" s="1770" t="inlineStr">
        <is>
          <t>UPPER CONN. 3-1/2" VAM TOP BOX 9.2 PPF TX28- 110 KSI
DESCRIPTION: 5 FEET XOVER
SAP: 130013006383
SUPPLIER: TBX
LOWER CONN -3-1/2" SENTINEL PRIME PIN 9.2 PPF TX28-110 KSI</t>
        </is>
      </c>
      <c r="C128" s="1771" t="n">
        <v>4.88</v>
      </c>
      <c r="D128" s="1772" t="n">
        <v>3.908</v>
      </c>
      <c r="E128" s="1772" t="n">
        <v>2.959</v>
      </c>
      <c r="F128" s="1773" t="inlineStr">
        <is>
          <t>N/A</t>
        </is>
      </c>
      <c r="G128" s="1773" t="inlineStr">
        <is>
          <t>N/A</t>
        </is>
      </c>
      <c r="H128" s="1773" t="inlineStr">
        <is>
          <t>130013006383</t>
        </is>
      </c>
      <c r="I128" s="1773" t="inlineStr">
        <is>
          <t>N/A</t>
        </is>
      </c>
    </row>
    <row r="129" ht="72" customHeight="1" s="882">
      <c r="B129" s="1770" t="inlineStr">
        <is>
          <t>UPPER CONN. 3-1/2" TSH BLUE BOX 9.2 PPF SN 28 110 KSI
DESCRIPTION: 10 FEET XOVER
SAP: 130005012487
SUPPLIER: TENARIS
LOWER CONN. 3-1/2" VAM TOP PIN 9.2 PPF SN 28 110 KSI</t>
        </is>
      </c>
      <c r="C129" s="1771" t="n">
        <v>9.93</v>
      </c>
      <c r="D129" s="1772" t="n">
        <v>3.937</v>
      </c>
      <c r="E129" s="1772" t="n">
        <v>2.969</v>
      </c>
      <c r="F129" s="1773" t="inlineStr">
        <is>
          <t>N/A</t>
        </is>
      </c>
      <c r="G129" s="1773" t="inlineStr">
        <is>
          <t>N/A</t>
        </is>
      </c>
      <c r="H129" s="1773" t="inlineStr">
        <is>
          <t>130005012487</t>
        </is>
      </c>
      <c r="I129" s="1773" t="inlineStr">
        <is>
          <t>N/A</t>
        </is>
      </c>
    </row>
    <row r="130" ht="14.25" customHeight="1" s="882">
      <c r="A130" s="930" t="inlineStr">
        <is>
          <t>JT.#98</t>
        </is>
      </c>
      <c r="B130" s="930" t="inlineStr">
        <is>
          <t>3 1/2" TSH</t>
        </is>
      </c>
      <c r="C130" s="1153" t="n">
        <v>31</v>
      </c>
    </row>
    <row r="131" ht="14.25" customHeight="1" s="882">
      <c r="A131" s="930" t="inlineStr">
        <is>
          <t>JT.#99</t>
        </is>
      </c>
      <c r="B131" s="930" t="inlineStr">
        <is>
          <t>3 1/2" TSH</t>
        </is>
      </c>
      <c r="C131" s="1153" t="n">
        <v>31</v>
      </c>
    </row>
    <row r="132" ht="14.25" customHeight="1" s="882">
      <c r="A132" s="930" t="inlineStr">
        <is>
          <t>JT.#100</t>
        </is>
      </c>
      <c r="B132" s="930" t="inlineStr">
        <is>
          <t>3 1/2" TSH</t>
        </is>
      </c>
      <c r="C132" s="1153" t="n">
        <v>31</v>
      </c>
    </row>
    <row r="133" ht="14.25" customHeight="1" s="882">
      <c r="A133" s="930" t="inlineStr">
        <is>
          <t>JT.#101</t>
        </is>
      </c>
      <c r="B133" s="930" t="inlineStr">
        <is>
          <t>3 1/2" TSH</t>
        </is>
      </c>
      <c r="C133" s="1153" t="n">
        <v>31</v>
      </c>
    </row>
    <row r="134" ht="14.25" customHeight="1" s="882">
      <c r="A134" s="930" t="inlineStr">
        <is>
          <t>JT.#102</t>
        </is>
      </c>
      <c r="B134" s="930" t="inlineStr">
        <is>
          <t>3 1/2" TSH</t>
        </is>
      </c>
      <c r="C134" s="1153" t="n">
        <v>31</v>
      </c>
    </row>
    <row r="135" ht="14.25" customHeight="1" s="882">
      <c r="A135" s="930" t="inlineStr">
        <is>
          <t>JT.#103</t>
        </is>
      </c>
      <c r="B135" s="930" t="inlineStr">
        <is>
          <t>3 1/2" TSH</t>
        </is>
      </c>
      <c r="C135" s="1153" t="n">
        <v>31</v>
      </c>
    </row>
    <row r="136" ht="14.25" customHeight="1" s="882">
      <c r="A136" s="930" t="inlineStr">
        <is>
          <t>JT.#104</t>
        </is>
      </c>
      <c r="B136" s="930" t="inlineStr">
        <is>
          <t>3 1/2" TSH</t>
        </is>
      </c>
      <c r="C136" s="1153" t="n">
        <v>31</v>
      </c>
    </row>
    <row r="137" ht="14.25" customHeight="1" s="882">
      <c r="A137" s="930" t="inlineStr">
        <is>
          <t>JT.#105</t>
        </is>
      </c>
      <c r="B137" s="930" t="inlineStr">
        <is>
          <t>3 1/2" TSH</t>
        </is>
      </c>
      <c r="C137" s="1153" t="n">
        <v>31</v>
      </c>
    </row>
    <row r="138" ht="14.25" customHeight="1" s="882">
      <c r="A138" s="930" t="inlineStr">
        <is>
          <t>JT.#106</t>
        </is>
      </c>
      <c r="B138" s="930" t="inlineStr">
        <is>
          <t>3 1/2" TSH</t>
        </is>
      </c>
      <c r="C138" s="1153" t="n">
        <v>31</v>
      </c>
    </row>
    <row r="139" ht="14.25" customHeight="1" s="882">
      <c r="A139" s="930" t="inlineStr">
        <is>
          <t>JT.#107</t>
        </is>
      </c>
      <c r="B139" s="930" t="inlineStr">
        <is>
          <t>3 1/2" TSH</t>
        </is>
      </c>
      <c r="C139" s="1153" t="n">
        <v>31</v>
      </c>
    </row>
    <row r="140" ht="14.25" customHeight="1" s="882">
      <c r="A140" s="930" t="inlineStr">
        <is>
          <t>JT.#108</t>
        </is>
      </c>
      <c r="B140" s="930" t="inlineStr">
        <is>
          <t>3 1/2" TSH</t>
        </is>
      </c>
      <c r="C140" s="1153" t="n">
        <v>31</v>
      </c>
    </row>
    <row r="141" ht="14.25" customHeight="1" s="882">
      <c r="A141" s="930" t="inlineStr">
        <is>
          <t>JT.#109</t>
        </is>
      </c>
      <c r="B141" s="930" t="inlineStr">
        <is>
          <t>3 1/2" TSH</t>
        </is>
      </c>
      <c r="C141" s="1153" t="n">
        <v>31</v>
      </c>
    </row>
    <row r="142" ht="14.25" customHeight="1" s="882">
      <c r="A142" s="930" t="inlineStr">
        <is>
          <t>JT.#110</t>
        </is>
      </c>
      <c r="B142" s="930" t="inlineStr">
        <is>
          <t>3 1/2" TSH</t>
        </is>
      </c>
      <c r="C142" s="1153" t="n">
        <v>31</v>
      </c>
    </row>
    <row r="143" ht="14.25" customHeight="1" s="882">
      <c r="A143" s="930" t="inlineStr">
        <is>
          <t>JT.#111</t>
        </is>
      </c>
      <c r="B143" s="930" t="inlineStr">
        <is>
          <t>3 1/2" TSH</t>
        </is>
      </c>
      <c r="C143" s="1153" t="n">
        <v>31</v>
      </c>
    </row>
    <row r="144" ht="14.25" customHeight="1" s="882">
      <c r="A144" s="930" t="inlineStr">
        <is>
          <t>JT.#112</t>
        </is>
      </c>
      <c r="B144" s="930" t="inlineStr">
        <is>
          <t>3 1/2" TSH</t>
        </is>
      </c>
      <c r="C144" s="1153" t="n">
        <v>31</v>
      </c>
    </row>
    <row r="145" ht="14.25" customHeight="1" s="882">
      <c r="A145" s="930" t="inlineStr">
        <is>
          <t>JT.#113</t>
        </is>
      </c>
      <c r="B145" s="930" t="inlineStr">
        <is>
          <t>3 1/2" TSH</t>
        </is>
      </c>
      <c r="C145" s="1153" t="n">
        <v>31</v>
      </c>
    </row>
    <row r="146" ht="14.25" customHeight="1" s="882">
      <c r="A146" s="930" t="inlineStr">
        <is>
          <t>JT.#114</t>
        </is>
      </c>
      <c r="B146" s="930" t="inlineStr">
        <is>
          <t>3 1/2" TSH</t>
        </is>
      </c>
      <c r="C146" s="1153" t="n">
        <v>31</v>
      </c>
    </row>
    <row r="147" ht="14.25" customHeight="1" s="882">
      <c r="A147" s="930" t="inlineStr">
        <is>
          <t>JT.#115</t>
        </is>
      </c>
      <c r="B147" s="930" t="inlineStr">
        <is>
          <t>3 1/2" TSH</t>
        </is>
      </c>
      <c r="C147" s="1153" t="n">
        <v>31</v>
      </c>
    </row>
    <row r="148" ht="14.25" customHeight="1" s="882">
      <c r="A148" s="930" t="inlineStr">
        <is>
          <t>JT.#116</t>
        </is>
      </c>
      <c r="B148" s="930" t="inlineStr">
        <is>
          <t>3 1/2" TSH</t>
        </is>
      </c>
      <c r="C148" s="1153" t="n">
        <v>31</v>
      </c>
    </row>
    <row r="149" ht="14.25" customHeight="1" s="882">
      <c r="A149" s="930" t="inlineStr">
        <is>
          <t>JT.#117</t>
        </is>
      </c>
      <c r="B149" s="930" t="inlineStr">
        <is>
          <t>3 1/2" TSH</t>
        </is>
      </c>
      <c r="C149" s="1153" t="n">
        <v>31</v>
      </c>
    </row>
    <row r="150" ht="72" customHeight="1" s="882">
      <c r="A150" s="1774" t="inlineStr">
        <is>
          <t>D4</t>
        </is>
      </c>
      <c r="B150" s="1775" t="inlineStr">
        <is>
          <t>UPPER CONN. 3-1/2" VAM TOP BOX 9.2 PPF SN 28 110 KSI
DESCRIPTION: 5 FEET XOVER
SAP: 130005011340
SUPPLIER: TENARIS
LOWER CONN. 3-1/2" TSH BLUE PIN 9.2 PPF SN 28 110 KSI</t>
        </is>
      </c>
      <c r="C150" s="1776" t="n">
        <v>5.18</v>
      </c>
      <c r="D150" s="1777" t="n">
        <v>3.908</v>
      </c>
      <c r="E150" s="1777" t="n">
        <v>2.959</v>
      </c>
      <c r="F150" s="1778" t="inlineStr">
        <is>
          <t>N/A</t>
        </is>
      </c>
      <c r="G150" s="1778" t="inlineStr">
        <is>
          <t>N/A</t>
        </is>
      </c>
      <c r="H150" s="1778" t="inlineStr">
        <is>
          <t>130005011340</t>
        </is>
      </c>
      <c r="I150" s="1778" t="inlineStr">
        <is>
          <t>N/A</t>
        </is>
      </c>
    </row>
    <row r="151" ht="72" customHeight="1" s="882">
      <c r="B151" s="1775" t="inlineStr">
        <is>
          <t>UPPER CONN. 3-1/2" SENTINEL PRIME BOX 9.2 PPF TX28-110 KSI
DESCRIPTION: 5 FEET XOVER
SAP: 130013006385
SUPPLIER: TBX
LOWER CONN. 3-1/2" VAM TOP PIN 9.2 PPF TX28-110 KSI</t>
        </is>
      </c>
      <c r="C151" s="1776" t="n">
        <v>4.96</v>
      </c>
      <c r="D151" s="1777" t="n">
        <v>3.929</v>
      </c>
      <c r="E151" s="1777" t="n">
        <v>2.921</v>
      </c>
      <c r="F151" s="1778" t="inlineStr">
        <is>
          <t>N/A</t>
        </is>
      </c>
      <c r="G151" s="1778" t="inlineStr">
        <is>
          <t>N/A</t>
        </is>
      </c>
      <c r="H151" s="1778" t="inlineStr">
        <is>
          <t>130013006385</t>
        </is>
      </c>
      <c r="I151" s="1778" t="inlineStr">
        <is>
          <t>N/A</t>
        </is>
      </c>
    </row>
    <row r="152" ht="129" customHeight="1" s="882">
      <c r="B152" s="1775"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2" s="1776" t="n">
        <v>8.69</v>
      </c>
      <c r="D152" s="1777" t="n">
        <v>5.82</v>
      </c>
      <c r="E152" s="1777" t="n">
        <v>2.9</v>
      </c>
      <c r="F152" s="1778" t="inlineStr">
        <is>
          <t>3205577</t>
        </is>
      </c>
      <c r="G152" s="1778" t="inlineStr">
        <is>
          <t>12696654-13</t>
        </is>
      </c>
      <c r="H152" s="1778" t="inlineStr">
        <is>
          <t>130010036652</t>
        </is>
      </c>
      <c r="I152" s="1778" t="inlineStr">
        <is>
          <t>N/A</t>
        </is>
      </c>
    </row>
    <row r="153" ht="72" customHeight="1" s="882">
      <c r="B153" s="1775" t="inlineStr">
        <is>
          <t>UPPER CONN. 3-1/2" VAM TOP BOX 9.2 PPF TX28- 110 KSI
DESCRIPTION: 10 FEET XOVER
SAP: 1130013006387
SUPPLIER: TBX
LOWER CONN-3-1/2" SENTINELPRIME PIN 9.2 PPF TX28110 KSI</t>
        </is>
      </c>
      <c r="C153" s="1776" t="n">
        <v>9.779999999999999</v>
      </c>
      <c r="D153" s="1777" t="n">
        <v>3.908</v>
      </c>
      <c r="E153" s="1777" t="n">
        <v>2.959</v>
      </c>
      <c r="F153" s="1778" t="inlineStr">
        <is>
          <t>N/A</t>
        </is>
      </c>
      <c r="G153" s="1778" t="inlineStr">
        <is>
          <t>N/A</t>
        </is>
      </c>
      <c r="H153" s="1778" t="inlineStr">
        <is>
          <t>1130013006387</t>
        </is>
      </c>
      <c r="I153" s="1778" t="inlineStr">
        <is>
          <t>N/A</t>
        </is>
      </c>
    </row>
    <row r="154" ht="72" customHeight="1" s="882">
      <c r="B154" s="1775" t="inlineStr">
        <is>
          <t>UPPER CONN. 3-1/2" TSH BLUE BOX 9.2 PPF SN 28 110 KSI
DESCRIPTION: 5 FEET XOVER
SAP: 130005011340
SUPPLIER: TENARIS
LOWER CONN. 3-1/2" VAM TOP PIN 9.2 PPF SN 28 110 KSI</t>
        </is>
      </c>
      <c r="C154" s="1776" t="n">
        <v>4.96</v>
      </c>
      <c r="D154" s="1777" t="n">
        <v>3.937</v>
      </c>
      <c r="E154" s="1777" t="n">
        <v>2.969</v>
      </c>
      <c r="F154" s="1778" t="inlineStr">
        <is>
          <t>N/A</t>
        </is>
      </c>
      <c r="G154" s="1778" t="inlineStr">
        <is>
          <t>N/A</t>
        </is>
      </c>
      <c r="H154" s="1778" t="inlineStr">
        <is>
          <t>130005011340</t>
        </is>
      </c>
      <c r="I154" s="1778" t="inlineStr">
        <is>
          <t>N/A</t>
        </is>
      </c>
    </row>
    <row r="155" ht="14.25" customHeight="1" s="882">
      <c r="A155" s="930" t="inlineStr">
        <is>
          <t>JT.#118</t>
        </is>
      </c>
      <c r="B155" s="930" t="inlineStr">
        <is>
          <t>3 1/2" TSH</t>
        </is>
      </c>
      <c r="C155" s="1153" t="n">
        <v>31</v>
      </c>
    </row>
    <row r="156" ht="14.25" customHeight="1" s="882">
      <c r="A156" s="930" t="inlineStr">
        <is>
          <t>JT.#119</t>
        </is>
      </c>
      <c r="B156" s="930" t="inlineStr">
        <is>
          <t>3 1/2" TSH</t>
        </is>
      </c>
      <c r="C156" s="1153" t="n">
        <v>31</v>
      </c>
    </row>
    <row r="157" ht="14.25" customHeight="1" s="882">
      <c r="A157" s="930" t="inlineStr">
        <is>
          <t>JT.#120</t>
        </is>
      </c>
      <c r="B157" s="930" t="inlineStr">
        <is>
          <t>3 1/2" TSH</t>
        </is>
      </c>
      <c r="C157" s="1153" t="n">
        <v>31</v>
      </c>
    </row>
    <row r="158" ht="14.25" customHeight="1" s="882">
      <c r="A158" s="930" t="inlineStr">
        <is>
          <t>JT.#121</t>
        </is>
      </c>
      <c r="B158" s="930" t="inlineStr">
        <is>
          <t>3 1/2" TSH</t>
        </is>
      </c>
      <c r="C158" s="1153" t="n">
        <v>31</v>
      </c>
    </row>
    <row r="159" ht="14.25" customHeight="1" s="882">
      <c r="A159" s="930" t="inlineStr">
        <is>
          <t>JT.#122</t>
        </is>
      </c>
      <c r="B159" s="930" t="inlineStr">
        <is>
          <t>3 1/2" TSH</t>
        </is>
      </c>
      <c r="C159" s="1153" t="n">
        <v>31</v>
      </c>
    </row>
    <row r="160" ht="14.25" customHeight="1" s="882">
      <c r="A160" s="930" t="inlineStr">
        <is>
          <t>JT.#123</t>
        </is>
      </c>
      <c r="B160" s="930" t="inlineStr">
        <is>
          <t>3 1/2" TSH</t>
        </is>
      </c>
      <c r="C160" s="1153" t="n">
        <v>31</v>
      </c>
    </row>
    <row r="161" ht="14.25" customHeight="1" s="882">
      <c r="A161" s="930" t="inlineStr">
        <is>
          <t>JT.#124</t>
        </is>
      </c>
      <c r="B161" s="930" t="inlineStr">
        <is>
          <t>3 1/2" TSH</t>
        </is>
      </c>
      <c r="C161" s="1153" t="n">
        <v>31</v>
      </c>
    </row>
    <row r="162" ht="14.25" customHeight="1" s="882">
      <c r="A162" s="930" t="inlineStr">
        <is>
          <t>JT.#125</t>
        </is>
      </c>
      <c r="B162" s="930" t="inlineStr">
        <is>
          <t>3 1/2" TSH</t>
        </is>
      </c>
      <c r="C162" s="1153" t="n">
        <v>31</v>
      </c>
    </row>
    <row r="163" ht="14.25" customHeight="1" s="882">
      <c r="A163" s="930" t="inlineStr">
        <is>
          <t>JT.#126</t>
        </is>
      </c>
      <c r="B163" s="930" t="inlineStr">
        <is>
          <t>3 1/2" TSH</t>
        </is>
      </c>
      <c r="C163" s="1153" t="n">
        <v>31</v>
      </c>
    </row>
    <row r="164" ht="14.25" customHeight="1" s="882">
      <c r="A164" s="930" t="inlineStr">
        <is>
          <t>JT.#127</t>
        </is>
      </c>
      <c r="B164" s="930" t="inlineStr">
        <is>
          <t>3 1/2" TSH</t>
        </is>
      </c>
      <c r="C164" s="1153" t="n">
        <v>31</v>
      </c>
    </row>
    <row r="165" ht="14.25" customHeight="1" s="882">
      <c r="A165" s="930" t="inlineStr">
        <is>
          <t>JT.#128</t>
        </is>
      </c>
      <c r="B165" s="930" t="inlineStr">
        <is>
          <t>3 1/2" TSH</t>
        </is>
      </c>
      <c r="C165" s="1153" t="n">
        <v>31</v>
      </c>
    </row>
    <row r="166" ht="14.25" customHeight="1" s="882">
      <c r="A166" s="930" t="inlineStr">
        <is>
          <t>JT.#129</t>
        </is>
      </c>
      <c r="B166" s="930" t="inlineStr">
        <is>
          <t>3 1/2" TSH</t>
        </is>
      </c>
      <c r="C166" s="1153" t="n">
        <v>31</v>
      </c>
    </row>
    <row r="167" ht="14.25" customHeight="1" s="882">
      <c r="A167" s="930" t="inlineStr">
        <is>
          <t>JT.#130</t>
        </is>
      </c>
      <c r="B167" s="930" t="inlineStr">
        <is>
          <t>3 1/2" TSH</t>
        </is>
      </c>
      <c r="C167" s="1153" t="n">
        <v>31</v>
      </c>
    </row>
    <row r="168" ht="14.25" customHeight="1" s="882">
      <c r="A168" s="930" t="inlineStr">
        <is>
          <t>JT.#131</t>
        </is>
      </c>
      <c r="B168" s="930" t="inlineStr">
        <is>
          <t>3 1/2" TSH</t>
        </is>
      </c>
      <c r="C168" s="1153" t="n">
        <v>31</v>
      </c>
    </row>
    <row r="169" ht="14.25" customHeight="1" s="882">
      <c r="A169" s="930" t="inlineStr">
        <is>
          <t>JT.#132</t>
        </is>
      </c>
      <c r="B169" s="930" t="inlineStr">
        <is>
          <t>3 1/2" TSH</t>
        </is>
      </c>
      <c r="C169" s="1153" t="n">
        <v>31</v>
      </c>
    </row>
    <row r="170" ht="14.25" customHeight="1" s="882">
      <c r="A170" s="930" t="inlineStr">
        <is>
          <t>JT.#133</t>
        </is>
      </c>
      <c r="B170" s="930" t="inlineStr">
        <is>
          <t>3 1/2" TSH</t>
        </is>
      </c>
      <c r="C170" s="1153" t="n">
        <v>31</v>
      </c>
    </row>
    <row r="171" ht="14.25" customHeight="1" s="882">
      <c r="A171" s="930" t="inlineStr">
        <is>
          <t>JT.#134</t>
        </is>
      </c>
      <c r="B171" s="930" t="inlineStr">
        <is>
          <t>3 1/2" TSH</t>
        </is>
      </c>
      <c r="C171" s="1153" t="n">
        <v>31</v>
      </c>
    </row>
    <row r="172" ht="14.25" customHeight="1" s="882">
      <c r="A172" s="930" t="inlineStr">
        <is>
          <t>JT.#135</t>
        </is>
      </c>
      <c r="B172" s="930" t="inlineStr">
        <is>
          <t>3 1/2" TSH</t>
        </is>
      </c>
      <c r="C172" s="1153" t="n">
        <v>31</v>
      </c>
    </row>
    <row r="173" ht="14.25" customHeight="1" s="882">
      <c r="A173" s="930" t="inlineStr">
        <is>
          <t>JT.#136</t>
        </is>
      </c>
      <c r="B173" s="930" t="inlineStr">
        <is>
          <t>3 1/2" TSH</t>
        </is>
      </c>
      <c r="C173" s="1153" t="n">
        <v>31</v>
      </c>
    </row>
    <row r="174" ht="14.25" customHeight="1" s="882">
      <c r="A174" s="930" t="inlineStr">
        <is>
          <t>JT.#137</t>
        </is>
      </c>
      <c r="B174" s="930" t="inlineStr">
        <is>
          <t>3 1/2" TSH</t>
        </is>
      </c>
      <c r="C174" s="1153" t="n">
        <v>31</v>
      </c>
    </row>
    <row r="175" ht="72" customHeight="1" s="882">
      <c r="A175" s="1779" t="inlineStr">
        <is>
          <t>F</t>
        </is>
      </c>
      <c r="B175" s="1780" t="inlineStr">
        <is>
          <t>UPPER CONN. 3-1/2" VAM TOP BOX 9.2 PPF SN 28 110 KSI
DESCRIPTION: 5 FEET XOVER
SAP: 130005011340
SUPPLIER: TENARIS
UPPER CONN. 3-1/2" TSH BLUE PIN 9.2 PPF SN 28 110 KSI</t>
        </is>
      </c>
      <c r="C175" s="1781" t="n">
        <v>5.02</v>
      </c>
      <c r="D175" s="1782" t="n">
        <v>3.908</v>
      </c>
      <c r="E175" s="1782" t="n">
        <v>2.959</v>
      </c>
      <c r="F175" s="1783" t="inlineStr">
        <is>
          <t>N/A</t>
        </is>
      </c>
      <c r="G175" s="1783" t="inlineStr">
        <is>
          <t>N/A</t>
        </is>
      </c>
      <c r="H175" s="1783" t="inlineStr">
        <is>
          <t>130005011340</t>
        </is>
      </c>
      <c r="I175" s="1783" t="inlineStr">
        <is>
          <t>N/A</t>
        </is>
      </c>
    </row>
    <row r="176" ht="100.5" customHeight="1" s="882">
      <c r="B176" s="1780" t="inlineStr">
        <is>
          <t>UPPER CONN. 3-1/2" VAM TOP 9.2#PPF INCOLOY 925 BOX
DESCRIPTION: FLOW COUPLING
PN: 2996124
S/N: 130777-04-001
SAP: 130010035671
S UPPLIER: WEATHERFORD
LOWER CONN. 3-1/2" VAM TOP 9.2#PPF</t>
        </is>
      </c>
      <c r="C176" s="1781" t="n">
        <v>5.75</v>
      </c>
      <c r="D176" s="1782" t="n">
        <v>3.937</v>
      </c>
      <c r="E176" s="1782" t="n">
        <v>2.949</v>
      </c>
      <c r="F176" s="1783" t="inlineStr">
        <is>
          <t>2996124</t>
        </is>
      </c>
      <c r="G176" s="1783" t="inlineStr">
        <is>
          <t>130777-04-001</t>
        </is>
      </c>
      <c r="H176" s="1783" t="inlineStr">
        <is>
          <t>130010035671</t>
        </is>
      </c>
      <c r="I176" s="1783" t="inlineStr">
        <is>
          <t>N/A</t>
        </is>
      </c>
    </row>
    <row r="177" ht="144" customHeight="1" s="882">
      <c r="B177" s="1780" t="inlineStr">
        <is>
          <t>UPPER CONN. 3-1/2" VAM TOP 9.2#PPF
INCOLOY 925
BOX
DESCRIPTION: WEATHERFORD ASSY, TRSV,3.5WZPE-10
2.813WOR,2kSD,9.2# VAM TOP, WN302
PN: 2980845
S/N: 12777594-01
SAP: 130010038007
SUPPLIER: WEATHERFORD
LOWER CONN. 3-1/2" VAM TOP 9.2#PPF</t>
        </is>
      </c>
      <c r="C177" s="1781" t="n">
        <v>4.44</v>
      </c>
      <c r="D177" s="1782" t="n">
        <v>5.46</v>
      </c>
      <c r="E177" s="1782" t="n">
        <v>2.813</v>
      </c>
      <c r="F177" s="1783" t="inlineStr">
        <is>
          <t>2980845</t>
        </is>
      </c>
      <c r="G177" s="1783" t="inlineStr">
        <is>
          <t>12777594-01</t>
        </is>
      </c>
      <c r="H177" s="1783" t="inlineStr">
        <is>
          <t>130010038007</t>
        </is>
      </c>
      <c r="I177" s="1783" t="inlineStr">
        <is>
          <t>N/A</t>
        </is>
      </c>
    </row>
    <row r="178" ht="129" customHeight="1" s="882">
      <c r="B178" s="1780" t="inlineStr">
        <is>
          <t>UPPER CONN. 3-1/2" VAM TOP 9.2#PPF
INCOLOY 925
BOX
DESCRIPTION: FLOW COUPLING
P/N: 2996124
S/N: 130777-02-002
SAP: 130010035671
SUPPLIER: WEATHERFORD
LOWER CONN. 3-1/2" VAM TOP 9.2#PPF</t>
        </is>
      </c>
      <c r="C178" s="1781" t="n">
        <v>5.75</v>
      </c>
      <c r="D178" s="1782" t="n">
        <v>3.937</v>
      </c>
      <c r="E178" s="1782" t="n">
        <v>2.949</v>
      </c>
      <c r="F178" s="1783" t="inlineStr">
        <is>
          <t>2996124</t>
        </is>
      </c>
      <c r="G178" s="1783" t="inlineStr">
        <is>
          <t>130777-02-002</t>
        </is>
      </c>
      <c r="H178" s="1783" t="inlineStr">
        <is>
          <t>130010035671</t>
        </is>
      </c>
      <c r="I178" s="1783" t="inlineStr">
        <is>
          <t>N/A</t>
        </is>
      </c>
    </row>
    <row r="179" ht="72" customHeight="1" s="882">
      <c r="B179" s="1780" t="inlineStr">
        <is>
          <t>UPPER CONN. 3-1/2" TSH BLUE BOX 9.2 PPF SN 28 110 KSI
DESCRIPTION: 10 FEET XOVER
SAP: 130005012487
SUPPLIER: TENARIS
LOWER CONN. 3-1/2" VAM TOP PIN 9.2 PPF SN 28 110 KSI</t>
        </is>
      </c>
      <c r="C179" s="1781" t="n">
        <v>9.93</v>
      </c>
      <c r="D179" s="1782" t="n">
        <v>3.937</v>
      </c>
      <c r="E179" s="1782" t="n">
        <v>2.969</v>
      </c>
      <c r="F179" s="1783" t="inlineStr">
        <is>
          <t>N/A</t>
        </is>
      </c>
      <c r="G179" s="1783" t="inlineStr">
        <is>
          <t>N/A</t>
        </is>
      </c>
      <c r="H179" s="1783" t="inlineStr">
        <is>
          <t>130005012487</t>
        </is>
      </c>
      <c r="I179" s="1783" t="inlineStr">
        <is>
          <t>N/A</t>
        </is>
      </c>
    </row>
    <row r="180" ht="14.25" customHeight="1" s="882">
      <c r="A180" s="930" t="inlineStr">
        <is>
          <t>JT.#138</t>
        </is>
      </c>
      <c r="B180" s="930" t="inlineStr">
        <is>
          <t>3 1/2" TSH</t>
        </is>
      </c>
      <c r="C180" s="1153" t="n">
        <v>31</v>
      </c>
    </row>
    <row r="181" ht="14.25" customHeight="1" s="882">
      <c r="A181" s="930" t="inlineStr">
        <is>
          <t>JT.#139</t>
        </is>
      </c>
      <c r="B181" s="930" t="inlineStr">
        <is>
          <t>3 1/2" TSH</t>
        </is>
      </c>
      <c r="C181" s="1153" t="n">
        <v>31</v>
      </c>
    </row>
    <row r="182" ht="14.25" customHeight="1" s="882">
      <c r="A182" s="930" t="inlineStr">
        <is>
          <t>JT.#140</t>
        </is>
      </c>
      <c r="B182" s="930" t="inlineStr">
        <is>
          <t>3 1/2" TSH</t>
        </is>
      </c>
      <c r="C182" s="1153" t="n">
        <v>31</v>
      </c>
    </row>
    <row r="183" ht="14.25" customHeight="1" s="882">
      <c r="A183" s="930" t="inlineStr">
        <is>
          <t>JT.#141</t>
        </is>
      </c>
      <c r="B183" s="930" t="inlineStr">
        <is>
          <t>3 1/2" TSH</t>
        </is>
      </c>
      <c r="C183" s="1153" t="n">
        <v>31</v>
      </c>
    </row>
    <row r="184" ht="14.25" customHeight="1" s="882">
      <c r="A184" s="930" t="inlineStr">
        <is>
          <t>JT.#142</t>
        </is>
      </c>
      <c r="B184" s="930" t="inlineStr">
        <is>
          <t>3 1/2" TSH</t>
        </is>
      </c>
      <c r="C184" s="1153" t="n">
        <v>31</v>
      </c>
    </row>
    <row r="185" ht="72" customHeight="1" s="882">
      <c r="A185" s="1784" t="inlineStr">
        <is>
          <t>F - 1</t>
        </is>
      </c>
      <c r="B185" s="1785" t="inlineStr">
        <is>
          <t>UPPER CONN. 3-1/2" TENARIS BLUE 9.2#PPF SN 28 110 KSI
DESCRIPTION: 5 FEET PUP JOINT
SAP: 130005011338
SUPPLIER:TENARIS
LOWER CONN. 3-1/2" TENARIS BLUE 9.2#PPF SN 28 110 KSI</t>
        </is>
      </c>
      <c r="C185" s="1786" t="n">
        <v>5.08</v>
      </c>
      <c r="D185" s="1787" t="n">
        <v>3.937</v>
      </c>
      <c r="E185" s="1787" t="n">
        <v>2.969</v>
      </c>
      <c r="F185" s="1788" t="inlineStr">
        <is>
          <t>N/A</t>
        </is>
      </c>
      <c r="G185" s="1788" t="inlineStr">
        <is>
          <t>N/A</t>
        </is>
      </c>
      <c r="H185" s="1788" t="inlineStr">
        <is>
          <t>130005011338</t>
        </is>
      </c>
      <c r="I185" s="1788" t="inlineStr">
        <is>
          <t>N/A</t>
        </is>
      </c>
    </row>
    <row r="186" ht="72" customHeight="1" s="882">
      <c r="B186" s="1785" t="inlineStr">
        <is>
          <t>UPPER CONN. 4-1/2" VAM TOP 12.6 #PPF SN 28 120 KSI BOX
DESCRIPTION : X OVER
4 1/2 PIN TOP X 3 1/2 PIN BTM
SAP: 130005012767 SUPPLIER: TENARIS
LOWER CONN. 3-1/2" TENARIS BLUE 9.2#PPF SN 28 120 KSI PIN</t>
        </is>
      </c>
      <c r="C186" s="1786" t="n">
        <v>2.48</v>
      </c>
      <c r="D186" s="1787" t="n">
        <v>4.5</v>
      </c>
      <c r="E186" s="1787" t="n">
        <v>2.969</v>
      </c>
      <c r="F186" s="1788" t="inlineStr">
        <is>
          <t>N/A</t>
        </is>
      </c>
      <c r="G186" s="1788" t="inlineStr">
        <is>
          <t>N/A</t>
        </is>
      </c>
      <c r="H186" s="1788" t="inlineStr">
        <is>
          <t>130005012767</t>
        </is>
      </c>
      <c r="I186" s="1788" t="inlineStr">
        <is>
          <t>N/A</t>
        </is>
      </c>
    </row>
    <row r="187" ht="114.75" customHeight="1" s="882">
      <c r="B187" s="1785" t="inlineStr">
        <is>
          <t>UPPER CONN. 4-1/2" VAM TOP 12.6 #PPF INC 718 120 KSI BOX
DESCRIPTION: GE TBGHGR; CWCT-ED-CLL; 11 X 4-1/2; 4-1/2 12.6 PPF
VAM TOP BOX BTM; 4-1/2 VAM
P/N: R893330-1ADC11 REV D
S/N - ADWHT80698-05
SAP: 130010044633
SUPPLIER: GE
LOWER CONN. 4-1/2" VAM TOP 12.6 #PPF INC 718 120 KSI BOX</t>
        </is>
      </c>
      <c r="C187" s="1786" t="n">
        <v>1.9</v>
      </c>
      <c r="D187" s="1787" t="n">
        <v>11</v>
      </c>
      <c r="E187" s="1787" t="n">
        <v>3.9</v>
      </c>
      <c r="F187" s="1788" t="inlineStr">
        <is>
          <t>R893330-1ADC11 REV D</t>
        </is>
      </c>
      <c r="G187" s="1788" t="inlineStr">
        <is>
          <t>ADWHT80698-05</t>
        </is>
      </c>
      <c r="H187" s="1788" t="inlineStr">
        <is>
          <t>130010044633</t>
        </is>
      </c>
      <c r="I187" s="1788" t="inlineStr">
        <is>
          <t>N/A</t>
        </is>
      </c>
    </row>
    <row r="188" ht="86.25" customHeight="1" s="882">
      <c r="B188" s="1785" t="inlineStr">
        <is>
          <t>UPPER CONN. 4-1/2" VAMTOP 12.6# L80
Box
DESCRIPTION: 30' LANDING JOINT
SAP: 130005009160
SUPPLIER:VAM
LOWER CONN. 4-1/2" VAMTOP 12.6# L80 PIN</t>
        </is>
      </c>
      <c r="C188" s="1786" t="n">
        <v>24.82</v>
      </c>
      <c r="D188" s="1787" t="n">
        <v>4.937</v>
      </c>
      <c r="E188" s="1787" t="n">
        <v>3.913</v>
      </c>
      <c r="F188" s="1788" t="inlineStr">
        <is>
          <t>N/A</t>
        </is>
      </c>
      <c r="G188" s="1788" t="inlineStr">
        <is>
          <t>N/A</t>
        </is>
      </c>
      <c r="H188" s="1788" t="inlineStr">
        <is>
          <t>130005009160</t>
        </is>
      </c>
      <c r="I188" s="1788" t="inlineStr">
        <is>
          <t>N/A</t>
        </is>
      </c>
    </row>
    <row r="190" ht="91" customHeight="1" s="882">
      <c r="A190" s="1789" t="inlineStr">
        <is>
          <t>A</t>
        </is>
      </c>
      <c r="B190" s="1790" t="inlineStr">
        <is>
          <t>UPPER CONN. 3-1/2" VAM TOP 9.2#PPF BOX VM 28 110 KSI
DESCRIPTION: WIRELINE ENTRY GUIDE
SN: 16339547-10-008
PN 2996481
SAP: 130010036277
SUPPLIER: WEATHERFORD</t>
        </is>
      </c>
      <c r="C190" s="1791" t="n">
        <v>0.6</v>
      </c>
      <c r="D190" s="1792" t="n">
        <v>3.937</v>
      </c>
      <c r="E190" s="1792" t="n">
        <v>2.949</v>
      </c>
      <c r="F190" s="1793" t="inlineStr">
        <is>
          <t>2996481</t>
        </is>
      </c>
      <c r="G190" s="1793" t="inlineStr">
        <is>
          <t>16339547-10-008</t>
        </is>
      </c>
      <c r="H190" s="1793" t="inlineStr">
        <is>
          <t>130010036277</t>
        </is>
      </c>
      <c r="I190" s="1793" t="inlineStr">
        <is>
          <t>N/A</t>
        </is>
      </c>
    </row>
    <row r="191" ht="76.09999999999999" customHeight="1" s="882">
      <c r="B191" s="1790" t="inlineStr">
        <is>
          <t>UPPER CONN. 3-1/2" TSH BLUE BOX 9.2 PPF SN 28 110 KSI
DESCRIPTION: 5 FEET XOVER
SAP: 130005011340
SUPPLIER: TENARIS
LOWER CONN. 3-1/2" VAM TOP PIN 9.2 PPF SN 28 110 KSI</t>
        </is>
      </c>
      <c r="C191" s="1791" t="n">
        <v>4.96</v>
      </c>
      <c r="D191" s="1792" t="n">
        <v>3.937</v>
      </c>
      <c r="E191" s="1792" t="n">
        <v>2.969</v>
      </c>
      <c r="F191" s="1793" t="inlineStr">
        <is>
          <t>N/A</t>
        </is>
      </c>
      <c r="G191" s="1793" t="inlineStr">
        <is>
          <t>N/A</t>
        </is>
      </c>
      <c r="H191" s="1793" t="inlineStr">
        <is>
          <t>130005011340</t>
        </is>
      </c>
      <c r="I191" s="1793" t="inlineStr">
        <is>
          <t>N/A</t>
        </is>
      </c>
    </row>
    <row r="192" ht="14.25" customHeight="1" s="882">
      <c r="A192" s="930" t="inlineStr">
        <is>
          <t>JT.#1</t>
        </is>
      </c>
      <c r="B192" s="930" t="inlineStr">
        <is>
          <t>3-1/2" TUBING 9.2 LB/FT ALLOY 28 TSH BL</t>
        </is>
      </c>
      <c r="C192" s="1153" t="n">
        <v>31</v>
      </c>
    </row>
    <row r="193" ht="14.25" customHeight="1" s="882">
      <c r="A193" s="930" t="inlineStr">
        <is>
          <t>JT.#2</t>
        </is>
      </c>
      <c r="B193" s="930" t="inlineStr">
        <is>
          <t>3-1/2" TUBING 9.2 LB/FT ALLOY 28 TSH BL</t>
        </is>
      </c>
      <c r="C193" s="1153" t="n">
        <v>31</v>
      </c>
    </row>
    <row r="194" ht="14.25" customHeight="1" s="882">
      <c r="A194" s="930" t="inlineStr">
        <is>
          <t>JT.#3</t>
        </is>
      </c>
      <c r="B194" s="930" t="inlineStr">
        <is>
          <t>3-1/2" TUBING 9.2 LB/FT ALLOY 28 TSH BL</t>
        </is>
      </c>
      <c r="C194" s="1153" t="n">
        <v>31</v>
      </c>
    </row>
    <row r="195" ht="14.25" customHeight="1" s="882">
      <c r="A195" s="930" t="inlineStr">
        <is>
          <t>JT.#4</t>
        </is>
      </c>
      <c r="B195" s="930" t="inlineStr">
        <is>
          <t>3-1/2" TUBING 9.2 LB/FT ALLOY 28 TSH BL</t>
        </is>
      </c>
      <c r="C195" s="1153" t="n">
        <v>31</v>
      </c>
    </row>
    <row r="196" ht="14.25" customHeight="1" s="882">
      <c r="A196" s="930" t="inlineStr">
        <is>
          <t>JT.#5</t>
        </is>
      </c>
      <c r="B196" s="930" t="inlineStr">
        <is>
          <t>3-1/2" TUBING 9.2 LB/FT ALLOY 28 TSH BL</t>
        </is>
      </c>
      <c r="C196" s="1153" t="n">
        <v>31</v>
      </c>
    </row>
    <row r="197" ht="14.25" customHeight="1" s="882">
      <c r="A197" s="930" t="inlineStr">
        <is>
          <t>JT.#6</t>
        </is>
      </c>
      <c r="B197" s="930" t="inlineStr">
        <is>
          <t>3-1/2" TUBING 9.2 LB/FT ALLOY 28 TSH BL</t>
        </is>
      </c>
      <c r="C197" s="1153" t="n">
        <v>31</v>
      </c>
    </row>
    <row r="198" ht="14.25" customHeight="1" s="882">
      <c r="A198" s="930" t="inlineStr">
        <is>
          <t>JT.#7</t>
        </is>
      </c>
      <c r="B198" s="930" t="inlineStr">
        <is>
          <t>3-1/2" TUBING 9.2 LB/FT ALLOY 28 TSH BL</t>
        </is>
      </c>
      <c r="C198" s="1153" t="n">
        <v>31</v>
      </c>
    </row>
    <row r="199" ht="14.25" customHeight="1" s="882">
      <c r="A199" s="930" t="inlineStr">
        <is>
          <t>JT.#8</t>
        </is>
      </c>
      <c r="B199" s="930" t="inlineStr">
        <is>
          <t>3-1/2" TUBING 9.2 LB/FT ALLOY 28 TSH BL</t>
        </is>
      </c>
      <c r="C199" s="1153" t="n">
        <v>31</v>
      </c>
    </row>
    <row r="200" ht="14.25" customHeight="1" s="882">
      <c r="A200" s="930" t="inlineStr">
        <is>
          <t>JT.#9</t>
        </is>
      </c>
      <c r="B200" s="930" t="inlineStr">
        <is>
          <t>3-1/2" TUBING 9.2 LB/FT ALLOY 28 TSH BL</t>
        </is>
      </c>
      <c r="C200" s="1153" t="n">
        <v>31</v>
      </c>
    </row>
    <row r="201" ht="14.25" customHeight="1" s="882">
      <c r="A201" s="930" t="inlineStr">
        <is>
          <t>JT.#10</t>
        </is>
      </c>
      <c r="B201" s="930" t="inlineStr">
        <is>
          <t>3-1/2" TUBING 9.2 LB/FT ALLOY 28 TSH BL</t>
        </is>
      </c>
      <c r="C201" s="1153" t="n">
        <v>31</v>
      </c>
    </row>
    <row r="202" ht="14.25" customHeight="1" s="882">
      <c r="A202" s="930" t="inlineStr">
        <is>
          <t>JT.#11</t>
        </is>
      </c>
      <c r="B202" s="930" t="inlineStr">
        <is>
          <t>3-1/2" TUBING 9.2 LB/FT ALLOY 28 TSH BL</t>
        </is>
      </c>
      <c r="C202" s="1153" t="n">
        <v>31</v>
      </c>
    </row>
    <row r="203" ht="14.25" customHeight="1" s="882">
      <c r="A203" s="930" t="inlineStr">
        <is>
          <t>JT.#12</t>
        </is>
      </c>
      <c r="B203" s="930" t="inlineStr">
        <is>
          <t>3-1/2" TUBING 9.2 LB/FT ALLOY 28 TSH BL</t>
        </is>
      </c>
      <c r="C203" s="1153" t="n">
        <v>31</v>
      </c>
    </row>
    <row r="204" ht="14.25" customHeight="1" s="882">
      <c r="A204" s="930" t="inlineStr">
        <is>
          <t>JT.#13</t>
        </is>
      </c>
      <c r="B204" s="930" t="inlineStr">
        <is>
          <t>3-1/2" TUBING 9.2 LB/FT ALLOY 28 TSH BL</t>
        </is>
      </c>
      <c r="C204" s="1153" t="n">
        <v>31</v>
      </c>
    </row>
    <row r="205" ht="14.25" customHeight="1" s="882">
      <c r="A205" s="930" t="inlineStr">
        <is>
          <t>JT.#14</t>
        </is>
      </c>
      <c r="B205" s="930" t="inlineStr">
        <is>
          <t>3-1/2" TUBING 9.2 LB/FT ALLOY 28 TSH BL</t>
        </is>
      </c>
      <c r="C205" s="1153" t="n">
        <v>31</v>
      </c>
    </row>
    <row r="206" ht="14.25" customHeight="1" s="882">
      <c r="A206" s="930" t="inlineStr">
        <is>
          <t>JT.#15</t>
        </is>
      </c>
      <c r="B206" s="930" t="inlineStr">
        <is>
          <t>3-1/2" TUBING 9.2 LB/FT ALLOY 28 TSH BL</t>
        </is>
      </c>
      <c r="C206" s="1153" t="n">
        <v>31</v>
      </c>
    </row>
    <row r="207" ht="14.25" customHeight="1" s="882">
      <c r="A207" s="930" t="inlineStr">
        <is>
          <t>JT.#16</t>
        </is>
      </c>
      <c r="B207" s="930" t="inlineStr">
        <is>
          <t>3-1/2" TUBING 9.2 LB/FT ALLOY 28 TSH BL</t>
        </is>
      </c>
      <c r="C207" s="1153" t="n">
        <v>31</v>
      </c>
    </row>
    <row r="208" ht="14.25" customHeight="1" s="882">
      <c r="A208" s="930" t="inlineStr">
        <is>
          <t>JT.#17</t>
        </is>
      </c>
      <c r="B208" s="930" t="inlineStr">
        <is>
          <t>3-1/2" TUBING 9.2 LB/FT ALLOY 28 TSH BL</t>
        </is>
      </c>
      <c r="C208" s="1153" t="n">
        <v>31</v>
      </c>
    </row>
    <row r="209" ht="14.25" customHeight="1" s="882">
      <c r="A209" s="930" t="inlineStr">
        <is>
          <t>JT.#18</t>
        </is>
      </c>
      <c r="B209" s="930" t="inlineStr">
        <is>
          <t>3-1/2" TUBING 9.2 LB/FT ALLOY 28 TSH BL</t>
        </is>
      </c>
      <c r="C209" s="1153" t="n">
        <v>31</v>
      </c>
    </row>
    <row r="210" ht="14.25" customHeight="1" s="882">
      <c r="A210" s="930" t="inlineStr">
        <is>
          <t>JT.#19</t>
        </is>
      </c>
      <c r="B210" s="930" t="inlineStr">
        <is>
          <t>3-1/2" TUBING 9.2 LB/FT ALLOY 28 TSH BL</t>
        </is>
      </c>
      <c r="C210" s="1153" t="n">
        <v>31</v>
      </c>
    </row>
    <row r="211" ht="14.25" customHeight="1" s="882">
      <c r="A211" s="930" t="inlineStr">
        <is>
          <t>JT.#20</t>
        </is>
      </c>
      <c r="B211" s="930" t="inlineStr">
        <is>
          <t>3-1/2" TUBING 9.2 LB/FT ALLOY 28 TSH BL</t>
        </is>
      </c>
      <c r="C211" s="1153" t="n">
        <v>31</v>
      </c>
    </row>
    <row r="212" ht="14.25" customHeight="1" s="882">
      <c r="A212" s="930" t="inlineStr">
        <is>
          <t>JT.#21</t>
        </is>
      </c>
      <c r="B212" s="930" t="inlineStr">
        <is>
          <t>3-1/2" TUBING 9.2 LB/FT ALLOY 28 TSH BL</t>
        </is>
      </c>
      <c r="C212" s="1153" t="n">
        <v>31</v>
      </c>
    </row>
    <row r="213" ht="14.25" customHeight="1" s="882">
      <c r="A213" s="930" t="inlineStr">
        <is>
          <t>JT.#22</t>
        </is>
      </c>
      <c r="B213" s="930" t="inlineStr">
        <is>
          <t>3-1/2" TUBING 9.2 LB/FT ALLOY 28 TSH BL</t>
        </is>
      </c>
      <c r="C213" s="1153" t="n">
        <v>31</v>
      </c>
    </row>
    <row r="214" ht="14.25" customHeight="1" s="882">
      <c r="A214" s="930" t="inlineStr">
        <is>
          <t>JT.#23</t>
        </is>
      </c>
      <c r="B214" s="930" t="inlineStr">
        <is>
          <t>3-1/2" TUBING 9.2 LB/FT ALLOY 28 TSH BL</t>
        </is>
      </c>
      <c r="C214" s="1153" t="n">
        <v>31</v>
      </c>
    </row>
    <row r="215" ht="14.25" customHeight="1" s="882">
      <c r="A215" s="930" t="inlineStr">
        <is>
          <t>JT.#24</t>
        </is>
      </c>
      <c r="B215" s="930" t="inlineStr">
        <is>
          <t>3-1/2" TUBING 9.2 LB/FT ALLOY 28 TSH BL</t>
        </is>
      </c>
      <c r="C215" s="1153" t="n">
        <v>31</v>
      </c>
    </row>
    <row r="216" ht="14.25" customHeight="1" s="882">
      <c r="A216" s="930" t="inlineStr">
        <is>
          <t>JT.#25</t>
        </is>
      </c>
      <c r="B216" s="930" t="inlineStr">
        <is>
          <t>3-1/2" TUBING 9.2 LB/FT ALLOY 28 TSH BL</t>
        </is>
      </c>
      <c r="C216" s="1153" t="n">
        <v>31</v>
      </c>
    </row>
    <row r="217" ht="14.25" customHeight="1" s="882">
      <c r="A217" s="930" t="inlineStr">
        <is>
          <t>JT.#26</t>
        </is>
      </c>
      <c r="B217" s="930" t="inlineStr">
        <is>
          <t>3-1/2" TUBING 9.2 LB/FT ALLOY 28 TSH BL</t>
        </is>
      </c>
      <c r="C217" s="1153" t="n">
        <v>31</v>
      </c>
    </row>
    <row r="218" ht="14.25" customHeight="1" s="882">
      <c r="A218" s="930" t="inlineStr">
        <is>
          <t>JT.#27</t>
        </is>
      </c>
      <c r="B218" s="930" t="inlineStr">
        <is>
          <t>3-1/2" TUBING 9.2 LB/FT ALLOY 28 TSH BL</t>
        </is>
      </c>
      <c r="C218" s="1153" t="n">
        <v>31</v>
      </c>
    </row>
    <row r="219" ht="14.25" customHeight="1" s="882">
      <c r="A219" s="930" t="inlineStr">
        <is>
          <t>JT.#28</t>
        </is>
      </c>
      <c r="B219" s="930" t="inlineStr">
        <is>
          <t>3-1/2" TUBING 9.2 LB/FT ALLOY 28 TSH BL</t>
        </is>
      </c>
      <c r="C219" s="1153" t="n">
        <v>31</v>
      </c>
    </row>
    <row r="220" ht="14.25" customHeight="1" s="882">
      <c r="A220" s="930" t="inlineStr">
        <is>
          <t>JT.#29</t>
        </is>
      </c>
      <c r="B220" s="930" t="inlineStr">
        <is>
          <t>3-1/2" TUBING 9.2 LB/FT ALLOY 28 TSH BL</t>
        </is>
      </c>
      <c r="C220" s="1153" t="n">
        <v>31</v>
      </c>
    </row>
    <row r="221" ht="14.25" customHeight="1" s="882">
      <c r="A221" s="930" t="inlineStr">
        <is>
          <t>JT.#30</t>
        </is>
      </c>
      <c r="B221" s="930" t="inlineStr">
        <is>
          <t>3-1/2" TUBING 9.2 LB/FT ALLOY 28 TSH BL</t>
        </is>
      </c>
      <c r="C221" s="1153" t="n">
        <v>31</v>
      </c>
    </row>
    <row r="222" ht="14.25" customHeight="1" s="882">
      <c r="A222" s="930" t="inlineStr">
        <is>
          <t>JT.#31</t>
        </is>
      </c>
      <c r="B222" s="930" t="inlineStr">
        <is>
          <t>3-1/2" TUBING 9.2 LB/FT ALLOY 28 TSH BL</t>
        </is>
      </c>
      <c r="C222" s="1153" t="n">
        <v>31</v>
      </c>
    </row>
    <row r="223" ht="14.25" customHeight="1" s="882">
      <c r="A223" s="930" t="inlineStr">
        <is>
          <t>JT.#32</t>
        </is>
      </c>
      <c r="B223" s="930" t="inlineStr">
        <is>
          <t>3-1/2" TUBING 9.2 LB/FT ALLOY 28 TSH BL</t>
        </is>
      </c>
      <c r="C223" s="1153" t="n">
        <v>31</v>
      </c>
    </row>
    <row r="224" ht="14.25" customHeight="1" s="882">
      <c r="A224" s="930" t="inlineStr">
        <is>
          <t>JT.#33</t>
        </is>
      </c>
      <c r="B224" s="930" t="inlineStr">
        <is>
          <t>3-1/2" TUBING 9.2 LB/FT ALLOY 28 TSH BL</t>
        </is>
      </c>
      <c r="C224" s="1153" t="n">
        <v>31</v>
      </c>
    </row>
    <row r="225" ht="14.25" customHeight="1" s="882">
      <c r="A225" s="930" t="inlineStr">
        <is>
          <t>JT.#34</t>
        </is>
      </c>
      <c r="B225" s="930" t="inlineStr">
        <is>
          <t>3-1/2" TUBING 9.2 LB/FT ALLOY 28 TSH BL</t>
        </is>
      </c>
      <c r="C225" s="1153" t="n">
        <v>31</v>
      </c>
    </row>
    <row r="226" ht="14.25" customHeight="1" s="882">
      <c r="A226" s="930" t="inlineStr">
        <is>
          <t>JT.#35</t>
        </is>
      </c>
      <c r="B226" s="930" t="inlineStr">
        <is>
          <t>3-1/2" TUBING 9.2 LB/FT ALLOY 28 TSH BL</t>
        </is>
      </c>
      <c r="C226" s="1153" t="n">
        <v>31</v>
      </c>
    </row>
    <row r="227" ht="14.25" customHeight="1" s="882">
      <c r="A227" s="930" t="inlineStr">
        <is>
          <t>JT.#36</t>
        </is>
      </c>
      <c r="B227" s="930" t="inlineStr">
        <is>
          <t>3-1/2" TUBING 9.2 LB/FT ALLOY 28 TSH BL</t>
        </is>
      </c>
      <c r="C227" s="1153" t="n">
        <v>31</v>
      </c>
    </row>
    <row r="228" ht="14.25" customHeight="1" s="882">
      <c r="A228" s="930" t="inlineStr">
        <is>
          <t>JT.#37</t>
        </is>
      </c>
      <c r="B228" s="930" t="inlineStr">
        <is>
          <t>3-1/2" TUBING 9.2 LB/FT ALLOY 28 TSH BL</t>
        </is>
      </c>
      <c r="C228" s="1153" t="n">
        <v>31</v>
      </c>
    </row>
    <row r="229" ht="14.25" customHeight="1" s="882">
      <c r="A229" s="930" t="inlineStr">
        <is>
          <t>JT.#38</t>
        </is>
      </c>
      <c r="B229" s="930" t="inlineStr">
        <is>
          <t>3-1/2" TUBING 9.2 LB/FT ALLOY 28 TSH BL</t>
        </is>
      </c>
      <c r="C229" s="1153" t="n">
        <v>31</v>
      </c>
    </row>
    <row r="230" ht="14.25" customHeight="1" s="882">
      <c r="A230" s="930" t="inlineStr">
        <is>
          <t>JT.#39</t>
        </is>
      </c>
      <c r="B230" s="930" t="inlineStr">
        <is>
          <t>3-1/2" TUBING 9.2 LB/FT ALLOY 28 TSH BL</t>
        </is>
      </c>
      <c r="C230" s="1153" t="n">
        <v>31</v>
      </c>
    </row>
    <row r="231" ht="14.25" customHeight="1" s="882">
      <c r="A231" s="930" t="inlineStr">
        <is>
          <t>JT.#40</t>
        </is>
      </c>
      <c r="B231" s="930" t="inlineStr">
        <is>
          <t>3-1/2" TUBING 9.2 LB/FT ALLOY 28 TSH BL</t>
        </is>
      </c>
      <c r="C231" s="1153" t="n">
        <v>31</v>
      </c>
    </row>
    <row r="232" ht="14.25" customHeight="1" s="882">
      <c r="A232" s="930" t="inlineStr">
        <is>
          <t>JT.#41</t>
        </is>
      </c>
      <c r="B232" s="930" t="inlineStr">
        <is>
          <t>3-1/2" TUBING 9.2 LB/FT ALLOY 28 TSH BL</t>
        </is>
      </c>
      <c r="C232" s="1153" t="n">
        <v>31</v>
      </c>
    </row>
    <row r="233" ht="14.25" customHeight="1" s="882">
      <c r="A233" s="930" t="inlineStr">
        <is>
          <t>JT.#42</t>
        </is>
      </c>
      <c r="B233" s="930" t="inlineStr">
        <is>
          <t>3-1/2" TUBING 9.2 LB/FT ALLOY 28 TSH BL</t>
        </is>
      </c>
      <c r="C233" s="1153" t="n">
        <v>31</v>
      </c>
    </row>
    <row r="234" ht="14.25" customHeight="1" s="882">
      <c r="A234" s="930" t="inlineStr">
        <is>
          <t>JT.#43</t>
        </is>
      </c>
      <c r="B234" s="930" t="inlineStr">
        <is>
          <t>3-1/2" TUBING 9.2 LB/FT ALLOY 28 TSH BL</t>
        </is>
      </c>
      <c r="C234" s="1153" t="n">
        <v>31</v>
      </c>
    </row>
    <row r="235" ht="14.25" customHeight="1" s="882">
      <c r="A235" s="930" t="inlineStr">
        <is>
          <t>JT.#44</t>
        </is>
      </c>
      <c r="B235" s="930" t="inlineStr">
        <is>
          <t>3-1/2" TUBING 9.2 LB/FT ALLOY 28 TSH BL</t>
        </is>
      </c>
      <c r="C235" s="1153" t="n">
        <v>31</v>
      </c>
    </row>
    <row r="236" ht="14.25" customHeight="1" s="882">
      <c r="A236" s="930" t="inlineStr">
        <is>
          <t>JT.#45</t>
        </is>
      </c>
      <c r="B236" s="930" t="inlineStr">
        <is>
          <t>3-1/2" TUBING 9.2 LB/FT ALLOY 28 TSH BL</t>
        </is>
      </c>
      <c r="C236" s="1153" t="n">
        <v>31</v>
      </c>
    </row>
    <row r="237" ht="14.25" customHeight="1" s="882">
      <c r="A237" s="930" t="inlineStr">
        <is>
          <t>JT.#46</t>
        </is>
      </c>
      <c r="B237" s="930" t="inlineStr">
        <is>
          <t>3-1/2" TUBING 9.2 LB/FT ALLOY 28 TSH BL</t>
        </is>
      </c>
      <c r="C237" s="1153" t="n">
        <v>31</v>
      </c>
    </row>
    <row r="238" ht="14.25" customHeight="1" s="882">
      <c r="A238" s="930" t="inlineStr">
        <is>
          <t>JT.#47</t>
        </is>
      </c>
      <c r="B238" s="930" t="inlineStr">
        <is>
          <t>3-1/2" TUBING 9.2 LB/FT ALLOY 28 TSH BL</t>
        </is>
      </c>
      <c r="C238" s="1153" t="n">
        <v>31</v>
      </c>
    </row>
    <row r="239" ht="14.25" customHeight="1" s="882">
      <c r="A239" s="930" t="inlineStr">
        <is>
          <t>JT.#48</t>
        </is>
      </c>
      <c r="B239" s="930" t="inlineStr">
        <is>
          <t>3-1/2" TUBING 9.2 LB/FT ALLOY 28 TSH BL</t>
        </is>
      </c>
      <c r="C239" s="1153" t="n">
        <v>31</v>
      </c>
    </row>
    <row r="240" ht="14.25" customHeight="1" s="882">
      <c r="A240" s="930" t="inlineStr">
        <is>
          <t>JT.#49</t>
        </is>
      </c>
      <c r="B240" s="930" t="inlineStr">
        <is>
          <t>3-1/2" TUBING 9.2 LB/FT ALLOY 28 TSH BL</t>
        </is>
      </c>
      <c r="C240" s="1153" t="n">
        <v>31</v>
      </c>
    </row>
    <row r="241" ht="14.25" customHeight="1" s="882">
      <c r="A241" s="930" t="inlineStr">
        <is>
          <t>JT.#50</t>
        </is>
      </c>
      <c r="B241" s="930" t="inlineStr">
        <is>
          <t>3-1/2" TUBING 9.2 LB/FT ALLOY 28 TSH BL</t>
        </is>
      </c>
      <c r="C241" s="1153" t="n">
        <v>31</v>
      </c>
    </row>
    <row r="242" ht="14.25" customHeight="1" s="882">
      <c r="A242" s="930" t="inlineStr">
        <is>
          <t>JT.#51</t>
        </is>
      </c>
      <c r="B242" s="930" t="inlineStr">
        <is>
          <t>3-1/2" TUBING 9.2 LB/FT ALLOY 28 TSH BL</t>
        </is>
      </c>
      <c r="C242" s="1153" t="n">
        <v>31</v>
      </c>
    </row>
    <row r="243" ht="14.25" customHeight="1" s="882">
      <c r="A243" s="930" t="inlineStr">
        <is>
          <t>JT.#52</t>
        </is>
      </c>
      <c r="B243" s="930" t="inlineStr">
        <is>
          <t>3-1/2" TUBING 9.2 LB/FT ALLOY 28 TSH BL</t>
        </is>
      </c>
      <c r="C243" s="1153" t="n">
        <v>31</v>
      </c>
    </row>
    <row r="244" ht="14.25" customHeight="1" s="882">
      <c r="A244" s="930" t="inlineStr">
        <is>
          <t>JT.#53</t>
        </is>
      </c>
      <c r="B244" s="930" t="inlineStr">
        <is>
          <t>3-1/2" TUBING 9.2 LB/FT ALLOY 28 TSH BL</t>
        </is>
      </c>
      <c r="C244" s="1153" t="n">
        <v>31</v>
      </c>
    </row>
    <row r="245" ht="14.25" customHeight="1" s="882">
      <c r="A245" s="930" t="inlineStr">
        <is>
          <t>JT.#54</t>
        </is>
      </c>
      <c r="B245" s="930" t="inlineStr">
        <is>
          <t>3-1/2" TUBING 9.2 LB/FT ALLOY 28 TSH BL</t>
        </is>
      </c>
      <c r="C245" s="1153" t="n">
        <v>31</v>
      </c>
    </row>
    <row r="246" ht="14.25" customHeight="1" s="882">
      <c r="A246" s="930" t="inlineStr">
        <is>
          <t>JT.#55</t>
        </is>
      </c>
      <c r="B246" s="930" t="inlineStr">
        <is>
          <t>3-1/2" TUBING 9.2 LB/FT ALLOY 28 TSH BL</t>
        </is>
      </c>
      <c r="C246" s="1153" t="n">
        <v>31</v>
      </c>
    </row>
    <row r="247" ht="14.25" customHeight="1" s="882">
      <c r="A247" s="930" t="inlineStr">
        <is>
          <t>JT.#56</t>
        </is>
      </c>
      <c r="B247" s="930" t="inlineStr">
        <is>
          <t>3-1/2" TUBING 9.2 LB/FT ALLOY 28 TSH BL</t>
        </is>
      </c>
      <c r="C247" s="1153" t="n">
        <v>31</v>
      </c>
    </row>
    <row r="248" ht="14.25" customHeight="1" s="882">
      <c r="A248" s="930" t="inlineStr">
        <is>
          <t>JT.#57</t>
        </is>
      </c>
      <c r="B248" s="930" t="inlineStr">
        <is>
          <t>3-1/2" TUBING 9.2 LB/FT ALLOY 28 TSH BL</t>
        </is>
      </c>
      <c r="C248" s="1153" t="n">
        <v>31</v>
      </c>
    </row>
    <row r="249" ht="14.25" customHeight="1" s="882">
      <c r="A249" s="930" t="inlineStr">
        <is>
          <t>JT.#58</t>
        </is>
      </c>
      <c r="B249" s="930" t="inlineStr">
        <is>
          <t>3-1/2" TUBING 9.2 LB/FT ALLOY 28 TSH BL</t>
        </is>
      </c>
      <c r="C249" s="1153" t="n">
        <v>31</v>
      </c>
    </row>
    <row r="250" ht="14.25" customHeight="1" s="882">
      <c r="A250" s="930" t="inlineStr">
        <is>
          <t>JT.#59</t>
        </is>
      </c>
      <c r="B250" s="930" t="inlineStr">
        <is>
          <t>3-1/2" TUBING 9.2 LB/FT ALLOY 28 TSH BL</t>
        </is>
      </c>
      <c r="C250" s="1153" t="n">
        <v>31</v>
      </c>
    </row>
    <row r="251" ht="14.25" customHeight="1" s="882">
      <c r="A251" s="930" t="inlineStr">
        <is>
          <t>JT.#60</t>
        </is>
      </c>
      <c r="B251" s="930" t="inlineStr">
        <is>
          <t>3-1/2" TUBING 9.2 LB/FT ALLOY 28 TSH BL</t>
        </is>
      </c>
      <c r="C251" s="1153" t="n">
        <v>31</v>
      </c>
    </row>
    <row r="252" ht="14.25" customHeight="1" s="882">
      <c r="A252" s="930" t="inlineStr">
        <is>
          <t>JT.#61</t>
        </is>
      </c>
      <c r="B252" s="930" t="inlineStr">
        <is>
          <t>3-1/2" TUBING 9.2 LB/FT ALLOY 28 TSH BL</t>
        </is>
      </c>
      <c r="C252" s="1153" t="n">
        <v>31</v>
      </c>
    </row>
    <row r="253" ht="14.25" customHeight="1" s="882">
      <c r="A253" s="930" t="inlineStr">
        <is>
          <t>JT.#62</t>
        </is>
      </c>
      <c r="B253" s="930" t="inlineStr">
        <is>
          <t>3-1/2" TUBING 9.2 LB/FT ALLOY 28 TSH BL</t>
        </is>
      </c>
      <c r="C253" s="1153" t="n">
        <v>31</v>
      </c>
    </row>
    <row r="254" ht="14.25" customHeight="1" s="882">
      <c r="A254" s="930" t="inlineStr">
        <is>
          <t>JT.#63</t>
        </is>
      </c>
      <c r="B254" s="930" t="inlineStr">
        <is>
          <t>3-1/2" TUBING 9.2 LB/FT ALLOY 28 TSH BL</t>
        </is>
      </c>
      <c r="C254" s="1153" t="n">
        <v>31</v>
      </c>
    </row>
    <row r="255" ht="14.25" customHeight="1" s="882">
      <c r="A255" s="930" t="inlineStr">
        <is>
          <t>JT.#64</t>
        </is>
      </c>
      <c r="B255" s="930" t="inlineStr">
        <is>
          <t>3-1/2" TUBING 9.2 LB/FT ALLOY 28 TSH BL</t>
        </is>
      </c>
      <c r="C255" s="1153" t="n">
        <v>31</v>
      </c>
    </row>
    <row r="256" ht="14.25" customHeight="1" s="882">
      <c r="A256" s="930" t="inlineStr">
        <is>
          <t>JT.#65</t>
        </is>
      </c>
      <c r="B256" s="930" t="inlineStr">
        <is>
          <t>3-1/2" TUBING 9.2 LB/FT ALLOY 28 TSH BL</t>
        </is>
      </c>
      <c r="C256" s="1153" t="n">
        <v>31</v>
      </c>
    </row>
    <row r="257" ht="14.25" customHeight="1" s="882">
      <c r="A257" s="930" t="inlineStr">
        <is>
          <t>JT.#66</t>
        </is>
      </c>
      <c r="B257" s="930" t="inlineStr">
        <is>
          <t>3-1/2" TUBING 9.2 LB/FT ALLOY 28 TSH BL</t>
        </is>
      </c>
      <c r="C257" s="1153" t="n">
        <v>31</v>
      </c>
    </row>
    <row r="258" ht="76.09999999999999" customHeight="1" s="882">
      <c r="A258" s="1794" t="inlineStr">
        <is>
          <t>SP-01</t>
        </is>
      </c>
      <c r="B258" s="1795" t="inlineStr">
        <is>
          <t>UPPER CONN. 3-1/2" VAM TOP BOX 9.2 PPF SN 28 110 KSI
DESCRIPTION: 5 FEET XOVER
SAP: 130005011340
SUPPLIER: TENARIS
UPPER CONN. 3-1/2" TSH BLUE PIN 9.2 PPF SN 28 110 KSI</t>
        </is>
      </c>
      <c r="C258" s="1796" t="n">
        <v>5.18</v>
      </c>
      <c r="D258" s="1797" t="n">
        <v>3.908</v>
      </c>
      <c r="E258" s="1797" t="n">
        <v>2.959</v>
      </c>
      <c r="F258" s="1798" t="inlineStr">
        <is>
          <t>N/A</t>
        </is>
      </c>
      <c r="G258" s="1798" t="inlineStr">
        <is>
          <t>N/A</t>
        </is>
      </c>
      <c r="H258" s="1798" t="inlineStr">
        <is>
          <t>130005011340</t>
        </is>
      </c>
      <c r="I258" s="1798" t="inlineStr">
        <is>
          <t>N/A</t>
        </is>
      </c>
    </row>
    <row r="259" ht="135.8" customHeight="1" s="882">
      <c r="B259" s="1795" t="inlineStr">
        <is>
          <t>UPPER CONN.
3-1/2 9.2 PPF, 110KSI VAM TOP BOX
DESCRIPTION:
PCKR, SWEL,6,3-1/2,A925, OIL
P/N: 2991712
S/N: RDT-UAE-1003629
SAP: 130010039426
SUPPLIER: WFD-REACTIVE
LOWER CONN.</t>
        </is>
      </c>
      <c r="C259" s="1796" t="n">
        <v>30.88</v>
      </c>
      <c r="D259" s="1797" t="n">
        <v>5.7</v>
      </c>
      <c r="E259" s="1797" t="n">
        <v>2.953</v>
      </c>
      <c r="F259" s="1798" t="inlineStr">
        <is>
          <t>2991712</t>
        </is>
      </c>
      <c r="G259" s="1798" t="inlineStr">
        <is>
          <t>RDT-UAE-1003629</t>
        </is>
      </c>
      <c r="H259" s="1798" t="inlineStr">
        <is>
          <t>130010039426</t>
        </is>
      </c>
      <c r="I259" s="1798" t="inlineStr">
        <is>
          <t>N/A</t>
        </is>
      </c>
    </row>
    <row r="260" ht="76.09999999999999" customHeight="1" s="882">
      <c r="B260" s="1795" t="inlineStr">
        <is>
          <t>UPPER CONN . 3-1/2" TSH BLUE BOX 9.2 PPF SN 28 110 KSI
DESCRIPTION: 3 FEET XOVER
SAP: 130005011337
SUPPLIER: TENARIS
LOWER CONN. 3-1/2" VAM TOP PIN 9.2 PPF SN 28 110 KSI</t>
        </is>
      </c>
      <c r="C260" s="1796" t="n">
        <v>2.78</v>
      </c>
      <c r="D260" s="1797" t="n">
        <v>3.937</v>
      </c>
      <c r="E260" s="1797" t="n">
        <v>2.969</v>
      </c>
      <c r="F260" s="1798" t="inlineStr">
        <is>
          <t>N/A</t>
        </is>
      </c>
      <c r="G260" s="1798" t="inlineStr">
        <is>
          <t>N/A</t>
        </is>
      </c>
      <c r="H260" s="1798" t="inlineStr">
        <is>
          <t>130005011337</t>
        </is>
      </c>
      <c r="I260" s="1798" t="inlineStr">
        <is>
          <t>N/A</t>
        </is>
      </c>
    </row>
    <row r="261" ht="14.25" customHeight="1" s="882">
      <c r="A261" s="930" t="inlineStr">
        <is>
          <t>JT.#67</t>
        </is>
      </c>
      <c r="B261" s="930" t="inlineStr">
        <is>
          <t>3-1/2" TUBING 9.2 LB/FT ALLOY 28 TSH BL</t>
        </is>
      </c>
      <c r="C261" s="1153" t="n">
        <v>31</v>
      </c>
    </row>
    <row r="262" ht="14.25" customHeight="1" s="882">
      <c r="A262" s="930" t="inlineStr">
        <is>
          <t>JT.#68</t>
        </is>
      </c>
      <c r="B262" s="930" t="inlineStr">
        <is>
          <t>3-1/2" TUBING 9.2 LB/FT ALLOY 28 TSH BL</t>
        </is>
      </c>
      <c r="C262" s="1153" t="n">
        <v>31</v>
      </c>
    </row>
    <row r="263" ht="14.25" customHeight="1" s="882">
      <c r="A263" s="930" t="inlineStr">
        <is>
          <t>JT.#69</t>
        </is>
      </c>
      <c r="B263" s="930" t="inlineStr">
        <is>
          <t>3-1/2" TUBING 9.2 LB/FT ALLOY 28 TSH BL</t>
        </is>
      </c>
      <c r="C263" s="1153" t="n">
        <v>31</v>
      </c>
    </row>
    <row r="264" ht="14.25" customHeight="1" s="882">
      <c r="A264" s="930" t="inlineStr">
        <is>
          <t>JT.#70</t>
        </is>
      </c>
      <c r="B264" s="930" t="inlineStr">
        <is>
          <t>3-1/2" TUBING 9.2 LB/FT ALLOY 28 TSH BL</t>
        </is>
      </c>
      <c r="C264" s="1153" t="n">
        <v>31</v>
      </c>
    </row>
    <row r="265" ht="14.25" customHeight="1" s="882">
      <c r="A265" s="930" t="inlineStr">
        <is>
          <t>JT.#71</t>
        </is>
      </c>
      <c r="B265" s="930" t="inlineStr">
        <is>
          <t>3-1/2" TUBING 9.2 LB/FT ALLOY 28 TSH BL</t>
        </is>
      </c>
      <c r="C265" s="1153" t="n">
        <v>31</v>
      </c>
    </row>
    <row r="266" ht="14.25" customHeight="1" s="882">
      <c r="A266" s="930" t="inlineStr">
        <is>
          <t>JT.#72</t>
        </is>
      </c>
      <c r="B266" s="930" t="inlineStr">
        <is>
          <t>3-1/2" TUBING 9.2 LB/FT ALLOY 28 TSH BL</t>
        </is>
      </c>
      <c r="C266" s="1153" t="n">
        <v>31</v>
      </c>
    </row>
    <row r="267" ht="14.25" customHeight="1" s="882">
      <c r="A267" s="930" t="inlineStr">
        <is>
          <t>JT.#73</t>
        </is>
      </c>
      <c r="B267" s="930" t="inlineStr">
        <is>
          <t>3-1/2" TUBING 9.2 LB/FT ALLOY 28 TSH BL</t>
        </is>
      </c>
      <c r="C267" s="1153" t="n">
        <v>31</v>
      </c>
    </row>
    <row r="268" ht="14.25" customHeight="1" s="882">
      <c r="A268" s="930" t="inlineStr">
        <is>
          <t>JT.#74</t>
        </is>
      </c>
      <c r="B268" s="930" t="inlineStr">
        <is>
          <t>3-1/2" TUBING 9.2 LB/FT ALLOY 28 TSH BL</t>
        </is>
      </c>
      <c r="C268" s="1153" t="n">
        <v>31</v>
      </c>
    </row>
    <row r="269" ht="14.25" customHeight="1" s="882">
      <c r="A269" s="930" t="inlineStr">
        <is>
          <t>JT.#75</t>
        </is>
      </c>
      <c r="B269" s="930" t="inlineStr">
        <is>
          <t>3-1/2" TUBING 9.2 LB/FT ALLOY 28 TSH BL</t>
        </is>
      </c>
      <c r="C269" s="1153" t="n">
        <v>31</v>
      </c>
    </row>
    <row r="270" ht="14.25" customHeight="1" s="882">
      <c r="A270" s="930" t="inlineStr">
        <is>
          <t>JT.#76</t>
        </is>
      </c>
      <c r="B270" s="930" t="inlineStr">
        <is>
          <t>3-1/2" TUBING 9.2 LB/FT ALLOY 28 TSH BL</t>
        </is>
      </c>
      <c r="C270" s="1153" t="n">
        <v>31</v>
      </c>
    </row>
    <row r="271" ht="14.25" customHeight="1" s="882">
      <c r="A271" s="930" t="inlineStr">
        <is>
          <t>JT.#77</t>
        </is>
      </c>
      <c r="B271" s="930" t="inlineStr">
        <is>
          <t>3-1/2" TUBING 9.2 LB/FT ALLOY 28 TSH BL</t>
        </is>
      </c>
      <c r="C271" s="1153" t="n">
        <v>31</v>
      </c>
    </row>
    <row r="272" ht="14.25" customHeight="1" s="882">
      <c r="A272" s="930" t="inlineStr">
        <is>
          <t>JT.#78</t>
        </is>
      </c>
      <c r="B272" s="930" t="inlineStr">
        <is>
          <t>3-1/2" TUBING 9.2 LB/FT ALLOY 28 TSH BL</t>
        </is>
      </c>
      <c r="C272" s="1153" t="n">
        <v>31</v>
      </c>
    </row>
    <row r="273" ht="14.25" customHeight="1" s="882">
      <c r="A273" s="930" t="inlineStr">
        <is>
          <t>JT.#79</t>
        </is>
      </c>
      <c r="B273" s="930" t="inlineStr">
        <is>
          <t>3-1/2" TUBING 9.2 LB/FT ALLOY 28 TSH BL</t>
        </is>
      </c>
      <c r="C273" s="1153" t="n">
        <v>31</v>
      </c>
    </row>
    <row r="274" ht="14.25" customHeight="1" s="882">
      <c r="A274" s="930" t="inlineStr">
        <is>
          <t>JT.#80</t>
        </is>
      </c>
      <c r="B274" s="930" t="inlineStr">
        <is>
          <t>3-1/2" TUBING 9.2 LB/FT ALLOY 28 TSH BL</t>
        </is>
      </c>
      <c r="C274" s="1153" t="n">
        <v>31</v>
      </c>
    </row>
    <row r="275" ht="14.25" customHeight="1" s="882">
      <c r="A275" s="930" t="inlineStr">
        <is>
          <t>JT.#81</t>
        </is>
      </c>
      <c r="B275" s="930" t="inlineStr">
        <is>
          <t>3-1/2" TUBING 9.2 LB/FT ALLOY 28 TSH BL</t>
        </is>
      </c>
      <c r="C275" s="1153" t="n">
        <v>31</v>
      </c>
    </row>
    <row r="276" ht="14.25" customHeight="1" s="882">
      <c r="A276" s="930" t="inlineStr">
        <is>
          <t>JT.#82</t>
        </is>
      </c>
      <c r="B276" s="930" t="inlineStr">
        <is>
          <t>3-1/2" TUBING 9.2 LB/FT ALLOY 28 TSH BL</t>
        </is>
      </c>
      <c r="C276" s="1153" t="n">
        <v>31</v>
      </c>
    </row>
    <row r="277" ht="14.25" customHeight="1" s="882">
      <c r="A277" s="930" t="inlineStr">
        <is>
          <t>JT.#83</t>
        </is>
      </c>
      <c r="B277" s="930" t="inlineStr">
        <is>
          <t>3-1/2" TUBING 9.2 LB/FT ALLOY 28 TSH BL</t>
        </is>
      </c>
      <c r="C277" s="1153" t="n">
        <v>31</v>
      </c>
    </row>
    <row r="278" ht="14.25" customHeight="1" s="882">
      <c r="A278" s="930" t="inlineStr">
        <is>
          <t>JT.#84</t>
        </is>
      </c>
      <c r="B278" s="930" t="inlineStr">
        <is>
          <t>3-1/2" TUBING 9.2 LB/FT ALLOY 28 TSH BL</t>
        </is>
      </c>
      <c r="C278" s="1153" t="n">
        <v>31</v>
      </c>
    </row>
    <row r="279" ht="14.25" customHeight="1" s="882">
      <c r="A279" s="930" t="inlineStr">
        <is>
          <t>JT.#85</t>
        </is>
      </c>
      <c r="B279" s="930" t="inlineStr">
        <is>
          <t>3-1/2" TUBING 9.2 LB/FT ALLOY 28 TSH BL</t>
        </is>
      </c>
      <c r="C279" s="1153" t="n">
        <v>31</v>
      </c>
    </row>
    <row r="280" ht="14.25" customHeight="1" s="882">
      <c r="A280" s="930" t="inlineStr">
        <is>
          <t>JT.#86</t>
        </is>
      </c>
      <c r="B280" s="930" t="inlineStr">
        <is>
          <t>3-1/2" TUBING 9.2 LB/FT ALLOY 28 TSH BL</t>
        </is>
      </c>
      <c r="C280" s="1153" t="n">
        <v>31</v>
      </c>
    </row>
    <row r="281" ht="14.25" customHeight="1" s="882">
      <c r="A281" s="930" t="inlineStr">
        <is>
          <t>JT.#87</t>
        </is>
      </c>
      <c r="B281" s="930" t="inlineStr">
        <is>
          <t>3-1/2" TUBING 9.2 LB/FT ALLOY 28 TSH BL</t>
        </is>
      </c>
      <c r="C281" s="1153" t="n">
        <v>31</v>
      </c>
    </row>
    <row r="282" ht="14.25" customHeight="1" s="882">
      <c r="A282" s="930" t="inlineStr">
        <is>
          <t>JT.#88</t>
        </is>
      </c>
      <c r="B282" s="930" t="inlineStr">
        <is>
          <t>3-1/2" TUBING 9.2 LB/FT ALLOY 28 TSH BL</t>
        </is>
      </c>
      <c r="C282" s="1153" t="n">
        <v>31</v>
      </c>
    </row>
    <row r="283" ht="14.25" customHeight="1" s="882">
      <c r="A283" s="930" t="inlineStr">
        <is>
          <t>JT.#89</t>
        </is>
      </c>
      <c r="B283" s="930" t="inlineStr">
        <is>
          <t>3-1/2" TUBING 9.2 LB/FT ALLOY 28 TSH BL</t>
        </is>
      </c>
      <c r="C283" s="1153" t="n">
        <v>31</v>
      </c>
    </row>
    <row r="284" ht="14.25" customHeight="1" s="882">
      <c r="A284" s="930" t="inlineStr">
        <is>
          <t>JT.#90</t>
        </is>
      </c>
      <c r="B284" s="930" t="inlineStr">
        <is>
          <t>3-1/2" TUBING 9.2 LB/FT ALLOY 28 TSH BL</t>
        </is>
      </c>
      <c r="C284" s="1153" t="n">
        <v>31</v>
      </c>
    </row>
    <row r="285" ht="14.25" customHeight="1" s="882">
      <c r="A285" s="930" t="inlineStr">
        <is>
          <t>JT.#91</t>
        </is>
      </c>
      <c r="B285" s="930" t="inlineStr">
        <is>
          <t>3-1/2" TUBING 9.2 LB/FT ALLOY 28 TSH BL</t>
        </is>
      </c>
      <c r="C285" s="1153" t="n">
        <v>31</v>
      </c>
    </row>
    <row r="286" ht="14.25" customHeight="1" s="882">
      <c r="A286" s="930" t="inlineStr">
        <is>
          <t>JT.#92</t>
        </is>
      </c>
      <c r="B286" s="930" t="inlineStr">
        <is>
          <t>3-1/2" TUBING 9.2 LB/FT ALLOY 28 TSH BL</t>
        </is>
      </c>
      <c r="C286" s="1153" t="n">
        <v>31</v>
      </c>
    </row>
    <row r="287" ht="14.25" customHeight="1" s="882">
      <c r="A287" s="930" t="inlineStr">
        <is>
          <t>JT.#93</t>
        </is>
      </c>
      <c r="B287" s="930" t="inlineStr">
        <is>
          <t>3-1/2" TUBING 9.2 LB/FT ALLOY 28 TSH BL</t>
        </is>
      </c>
      <c r="C287" s="1153" t="n">
        <v>31</v>
      </c>
    </row>
    <row r="288" ht="14.25" customHeight="1" s="882">
      <c r="A288" s="930" t="inlineStr">
        <is>
          <t>JT.#94</t>
        </is>
      </c>
      <c r="B288" s="930" t="inlineStr">
        <is>
          <t>3-1/2" TUBING 9.2 LB/FT ALLOY 28 TSH BL</t>
        </is>
      </c>
      <c r="C288" s="1153" t="n">
        <v>31</v>
      </c>
    </row>
    <row r="289" ht="14.25" customHeight="1" s="882">
      <c r="A289" s="930" t="inlineStr">
        <is>
          <t>JT.#95</t>
        </is>
      </c>
      <c r="B289" s="930" t="inlineStr">
        <is>
          <t>3-1/2" TUBING 9.2 LB/FT ALLOY 28 TSH BL</t>
        </is>
      </c>
      <c r="C289" s="1153" t="n">
        <v>31</v>
      </c>
    </row>
    <row r="290" ht="14.25" customHeight="1" s="882">
      <c r="A290" s="930" t="inlineStr">
        <is>
          <t>JT.#96</t>
        </is>
      </c>
      <c r="B290" s="930" t="inlineStr">
        <is>
          <t>3-1/2" TUBING 9.2 LB/FT ALLOY 28 TSH BL</t>
        </is>
      </c>
      <c r="C290" s="1153" t="n">
        <v>31</v>
      </c>
    </row>
    <row r="291" ht="14.25" customHeight="1" s="882">
      <c r="A291" s="930" t="inlineStr">
        <is>
          <t>JT.#97</t>
        </is>
      </c>
      <c r="B291" s="930" t="inlineStr">
        <is>
          <t>3-1/2" TUBING 9.2 LB/FT ALLOY 28 TSH BL</t>
        </is>
      </c>
      <c r="C291" s="1153" t="n">
        <v>31</v>
      </c>
    </row>
    <row r="292" ht="14.25" customHeight="1" s="882">
      <c r="A292" s="930" t="inlineStr">
        <is>
          <t>JT.#98</t>
        </is>
      </c>
      <c r="B292" s="930" t="inlineStr">
        <is>
          <t>3-1/2" TUBING 9.2 LB/FT ALLOY 28 TSH BL</t>
        </is>
      </c>
      <c r="C292" s="1153" t="n">
        <v>31</v>
      </c>
    </row>
    <row r="293" ht="14.25" customHeight="1" s="882">
      <c r="A293" s="930" t="inlineStr">
        <is>
          <t>JT.#99</t>
        </is>
      </c>
      <c r="B293" s="930" t="inlineStr">
        <is>
          <t>3-1/2" TUBING 9.2 LB/FT ALLOY 28 TSH BL</t>
        </is>
      </c>
      <c r="C293" s="1153" t="n">
        <v>31</v>
      </c>
    </row>
    <row r="294" ht="14.25" customHeight="1" s="882">
      <c r="A294" s="930" t="inlineStr">
        <is>
          <t>JT.#100</t>
        </is>
      </c>
      <c r="B294" s="930" t="inlineStr">
        <is>
          <t>3-1/2" TUBING 9.2 LB/FT ALLOY 28 TSH BL</t>
        </is>
      </c>
      <c r="C294" s="1153" t="n">
        <v>31</v>
      </c>
    </row>
    <row r="295" ht="14.25" customHeight="1" s="882">
      <c r="A295" s="930" t="inlineStr">
        <is>
          <t>JT.#101</t>
        </is>
      </c>
      <c r="B295" s="930" t="inlineStr">
        <is>
          <t>3-1/2" TUBING 9.2 LB/FT ALLOY 28 TSH BL</t>
        </is>
      </c>
      <c r="C295" s="1153" t="n">
        <v>31</v>
      </c>
    </row>
    <row r="296" ht="14.25" customHeight="1" s="882">
      <c r="A296" s="930" t="inlineStr">
        <is>
          <t>JT.#102</t>
        </is>
      </c>
      <c r="B296" s="930" t="inlineStr">
        <is>
          <t>3-1/2" TUBING 9.2 LB/FT ALLOY 28 TSH BL</t>
        </is>
      </c>
      <c r="C296" s="1153" t="n">
        <v>31</v>
      </c>
    </row>
    <row r="297" ht="14.25" customHeight="1" s="882">
      <c r="A297" s="930" t="inlineStr">
        <is>
          <t>JT.#103</t>
        </is>
      </c>
      <c r="B297" s="930" t="inlineStr">
        <is>
          <t>3-1/2" TUBING 9.2 LB/FT ALLOY 28 TSH BL</t>
        </is>
      </c>
      <c r="C297" s="1153" t="n">
        <v>31</v>
      </c>
    </row>
    <row r="298" ht="14.25" customHeight="1" s="882">
      <c r="A298" s="930" t="inlineStr">
        <is>
          <t>JT.#104</t>
        </is>
      </c>
      <c r="B298" s="930" t="inlineStr">
        <is>
          <t>3-1/2" TUBING 9.2 LB/FT ALLOY 28 TSH BL</t>
        </is>
      </c>
      <c r="C298" s="1153" t="n">
        <v>31</v>
      </c>
    </row>
    <row r="299" ht="14.25" customHeight="1" s="882">
      <c r="A299" s="930" t="inlineStr">
        <is>
          <t>JT.#105</t>
        </is>
      </c>
      <c r="B299" s="930" t="inlineStr">
        <is>
          <t>3-1/2" TUBING 9.2 LB/FT ALLOY 28 TSH BL</t>
        </is>
      </c>
      <c r="C299" s="1153" t="n">
        <v>31</v>
      </c>
    </row>
    <row r="300" ht="14.25" customHeight="1" s="882">
      <c r="A300" s="930" t="inlineStr">
        <is>
          <t>JT.#106</t>
        </is>
      </c>
      <c r="B300" s="930" t="inlineStr">
        <is>
          <t>3-1/2" TUBING 9.2 LB/FT ALLOY 28 TSH BL</t>
        </is>
      </c>
      <c r="C300" s="1153" t="n">
        <v>31</v>
      </c>
    </row>
    <row r="301" ht="14.25" customHeight="1" s="882">
      <c r="A301" s="930" t="inlineStr">
        <is>
          <t>JT.#107</t>
        </is>
      </c>
      <c r="B301" s="930" t="inlineStr">
        <is>
          <t>3-1/2" TUBING 9.2 LB/FT ALLOY 28 TSH BL</t>
        </is>
      </c>
      <c r="C301" s="1153" t="n">
        <v>31</v>
      </c>
    </row>
    <row r="302" ht="14.25" customHeight="1" s="882">
      <c r="A302" s="930" t="inlineStr">
        <is>
          <t>JT.#108</t>
        </is>
      </c>
      <c r="B302" s="930" t="inlineStr">
        <is>
          <t>3-1/2" TUBING 9.2 LB/FT ALLOY 28 TSH BL</t>
        </is>
      </c>
      <c r="C302" s="1153" t="n">
        <v>31</v>
      </c>
    </row>
    <row r="303" ht="14.25" customHeight="1" s="882">
      <c r="A303" s="930" t="inlineStr">
        <is>
          <t>JT.#109</t>
        </is>
      </c>
      <c r="B303" s="930" t="inlineStr">
        <is>
          <t>3-1/2" TUBING 9.2 LB/FT ALLOY 28 TSH BL</t>
        </is>
      </c>
      <c r="C303" s="1153" t="n">
        <v>31</v>
      </c>
    </row>
    <row r="304" ht="14.25" customHeight="1" s="882">
      <c r="A304" s="930" t="inlineStr">
        <is>
          <t>JT.#110</t>
        </is>
      </c>
      <c r="B304" s="930" t="inlineStr">
        <is>
          <t>3-1/2" TUBING 9.2 LB/FT ALLOY 28 TSH BL</t>
        </is>
      </c>
      <c r="C304" s="1153" t="n">
        <v>31</v>
      </c>
    </row>
    <row r="305" ht="14.25" customHeight="1" s="882">
      <c r="A305" s="930" t="inlineStr">
        <is>
          <t>JT.#111</t>
        </is>
      </c>
      <c r="B305" s="930" t="inlineStr">
        <is>
          <t>3-1/2" TUBING 9.2 LB/FT ALLOY 28 TSH BL</t>
        </is>
      </c>
      <c r="C305" s="1153" t="n">
        <v>31</v>
      </c>
    </row>
    <row r="306" ht="14.25" customHeight="1" s="882">
      <c r="A306" s="930" t="inlineStr">
        <is>
          <t>JT.#112</t>
        </is>
      </c>
      <c r="B306" s="930" t="inlineStr">
        <is>
          <t>3-1/2" TUBING 9.2 LB/FT ALLOY 28 TSH BL</t>
        </is>
      </c>
      <c r="C306" s="1153" t="n">
        <v>31</v>
      </c>
    </row>
    <row r="307" ht="14.25" customHeight="1" s="882">
      <c r="A307" s="930" t="inlineStr">
        <is>
          <t>JT.#113</t>
        </is>
      </c>
      <c r="B307" s="930" t="inlineStr">
        <is>
          <t>3-1/2" TUBING 9.2 LB/FT ALLOY 28 TSH BL</t>
        </is>
      </c>
      <c r="C307" s="1153" t="n">
        <v>31</v>
      </c>
    </row>
    <row r="308" ht="14.25" customHeight="1" s="882">
      <c r="A308" s="930" t="inlineStr">
        <is>
          <t>JT.#114</t>
        </is>
      </c>
      <c r="B308" s="930" t="inlineStr">
        <is>
          <t>3-1/2" TUBING 9.2 LB/FT ALLOY 28 TSH BL</t>
        </is>
      </c>
      <c r="C308" s="1153" t="n">
        <v>31</v>
      </c>
    </row>
    <row r="309" ht="14.25" customHeight="1" s="882">
      <c r="A309" s="930" t="inlineStr">
        <is>
          <t>JT.#115</t>
        </is>
      </c>
      <c r="B309" s="930" t="inlineStr">
        <is>
          <t>3-1/2" TUBING 9.2 LB/FT ALLOY 28 TSH BL</t>
        </is>
      </c>
      <c r="C309" s="1153" t="n">
        <v>31</v>
      </c>
    </row>
    <row r="310" ht="14.25" customHeight="1" s="882">
      <c r="A310" s="930" t="inlineStr">
        <is>
          <t>JT.#116</t>
        </is>
      </c>
      <c r="B310" s="930" t="inlineStr">
        <is>
          <t>3-1/2" TUBING 9.2 LB/FT ALLOY 28 TSH BL</t>
        </is>
      </c>
      <c r="C310" s="1153" t="n">
        <v>31</v>
      </c>
    </row>
    <row r="311" ht="14.25" customHeight="1" s="882">
      <c r="A311" s="930" t="inlineStr">
        <is>
          <t>JT.#117</t>
        </is>
      </c>
      <c r="B311" s="930" t="inlineStr">
        <is>
          <t>3-1/2" TUBING 9.2 LB/FT ALLOY 28 TSH BL</t>
        </is>
      </c>
      <c r="C311" s="1153" t="n">
        <v>31</v>
      </c>
    </row>
    <row r="312" ht="14.25" customHeight="1" s="882">
      <c r="A312" s="930" t="inlineStr">
        <is>
          <t>JT.#118</t>
        </is>
      </c>
      <c r="B312" s="930" t="inlineStr">
        <is>
          <t>3-1/2" TUBING 9.2 LB/FT ALLOY 28 TSH BL</t>
        </is>
      </c>
      <c r="C312" s="1153" t="n">
        <v>31</v>
      </c>
    </row>
    <row r="313" ht="14.25" customHeight="1" s="882">
      <c r="A313" s="930" t="inlineStr">
        <is>
          <t>JT.#119</t>
        </is>
      </c>
      <c r="B313" s="930" t="inlineStr">
        <is>
          <t>3-1/2" TUBING 9.2 LB/FT ALLOY 28 TSH BL</t>
        </is>
      </c>
      <c r="C313" s="1153" t="n">
        <v>31</v>
      </c>
    </row>
    <row r="314" ht="14.25" customHeight="1" s="882">
      <c r="A314" s="930" t="inlineStr">
        <is>
          <t>JT.#120</t>
        </is>
      </c>
      <c r="B314" s="930" t="inlineStr">
        <is>
          <t>3-1/2" TUBING 9.2 LB/FT ALLOY 28 TSH BL</t>
        </is>
      </c>
      <c r="C314" s="1153" t="n">
        <v>31</v>
      </c>
    </row>
    <row r="315" ht="14.25" customHeight="1" s="882">
      <c r="A315" s="930" t="inlineStr">
        <is>
          <t>JT.#121</t>
        </is>
      </c>
      <c r="B315" s="930" t="inlineStr">
        <is>
          <t>3-1/2" TUBING 9.2 LB/FT ALLOY 28 TSH BL</t>
        </is>
      </c>
      <c r="C315" s="1153" t="n">
        <v>31</v>
      </c>
    </row>
    <row r="316" ht="14.25" customHeight="1" s="882">
      <c r="A316" s="930" t="inlineStr">
        <is>
          <t>JT.#122</t>
        </is>
      </c>
      <c r="B316" s="930" t="inlineStr">
        <is>
          <t>3-1/2" TUBING 9.2 LB/FT ALLOY 28 TSH BL</t>
        </is>
      </c>
      <c r="C316" s="1153" t="n">
        <v>31</v>
      </c>
    </row>
    <row r="317" ht="14.25" customHeight="1" s="882">
      <c r="A317" s="930" t="inlineStr">
        <is>
          <t>JT.#123</t>
        </is>
      </c>
      <c r="B317" s="930" t="inlineStr">
        <is>
          <t>3-1/2" TUBING 9.2 LB/FT ALLOY 28 TSH BL</t>
        </is>
      </c>
      <c r="C317" s="1153" t="n">
        <v>31</v>
      </c>
    </row>
    <row r="318" ht="14.25" customHeight="1" s="882">
      <c r="A318" s="930" t="inlineStr">
        <is>
          <t>JT.#124</t>
        </is>
      </c>
      <c r="B318" s="930" t="inlineStr">
        <is>
          <t>3-1/2" TUBING 9.2 LB/FT ALLOY 28 TSH BL</t>
        </is>
      </c>
      <c r="C318" s="1153" t="n">
        <v>31</v>
      </c>
    </row>
    <row r="319" ht="14.25" customHeight="1" s="882">
      <c r="A319" s="930" t="inlineStr">
        <is>
          <t>JT.#125</t>
        </is>
      </c>
      <c r="B319" s="930" t="inlineStr">
        <is>
          <t>3-1/2" TUBING 9.2 LB/FT ALLOY 28 TSH BL</t>
        </is>
      </c>
      <c r="C319" s="1153" t="n">
        <v>31</v>
      </c>
    </row>
    <row r="320" ht="14.25" customHeight="1" s="882">
      <c r="A320" s="930" t="inlineStr">
        <is>
          <t>JT.#126</t>
        </is>
      </c>
      <c r="B320" s="930" t="inlineStr">
        <is>
          <t>3-1/2" TUBING 9.2 LB/FT ALLOY 28 TSH BL</t>
        </is>
      </c>
      <c r="C320" s="1153" t="n">
        <v>31</v>
      </c>
    </row>
    <row r="321" ht="14.25" customHeight="1" s="882">
      <c r="A321" s="930" t="inlineStr">
        <is>
          <t>JT.#127</t>
        </is>
      </c>
      <c r="B321" s="930" t="inlineStr">
        <is>
          <t>3-1/2" TUBING 9.2 LB/FT ALLOY 28 TSH BL</t>
        </is>
      </c>
      <c r="C321" s="1153" t="n">
        <v>31</v>
      </c>
    </row>
    <row r="322" ht="14.25" customHeight="1" s="882">
      <c r="A322" s="930" t="inlineStr">
        <is>
          <t>JT.#128</t>
        </is>
      </c>
      <c r="B322" s="930" t="inlineStr">
        <is>
          <t>3-1/2" TUBING 9.2 LB/FT ALLOY 28 TSH BL</t>
        </is>
      </c>
      <c r="C322" s="1153" t="n">
        <v>31</v>
      </c>
    </row>
    <row r="323" ht="14.25" customHeight="1" s="882">
      <c r="A323" s="930" t="inlineStr">
        <is>
          <t>JT.#129</t>
        </is>
      </c>
      <c r="B323" s="930" t="inlineStr">
        <is>
          <t>3-1/2" TUBING 9.2 LB/FT ALLOY 28 TSH BL</t>
        </is>
      </c>
      <c r="C323" s="1153" t="n">
        <v>31</v>
      </c>
    </row>
    <row r="324" ht="14.25" customHeight="1" s="882">
      <c r="A324" s="930" t="inlineStr">
        <is>
          <t>JT.#130</t>
        </is>
      </c>
      <c r="B324" s="930" t="inlineStr">
        <is>
          <t>3-1/2" TUBING 9.2 LB/FT ALLOY 28 TSH BL</t>
        </is>
      </c>
      <c r="C324" s="1153" t="n">
        <v>31</v>
      </c>
    </row>
    <row r="325" ht="14.25" customHeight="1" s="882">
      <c r="A325" s="930" t="inlineStr">
        <is>
          <t>JT.#131</t>
        </is>
      </c>
      <c r="B325" s="930" t="inlineStr">
        <is>
          <t>3-1/2" TUBING 9.2 LB/FT ALLOY 28 TSH BL</t>
        </is>
      </c>
      <c r="C325" s="1153" t="n">
        <v>31</v>
      </c>
    </row>
    <row r="326" ht="14.25" customHeight="1" s="882">
      <c r="A326" s="930" t="inlineStr">
        <is>
          <t>JT.#132</t>
        </is>
      </c>
      <c r="B326" s="930" t="inlineStr">
        <is>
          <t>3-1/2" TUBING 9.2 LB/FT ALLOY 28 TSH BL</t>
        </is>
      </c>
      <c r="C326" s="1153" t="n">
        <v>31</v>
      </c>
    </row>
    <row r="327" ht="14.25" customHeight="1" s="882">
      <c r="A327" s="930" t="inlineStr">
        <is>
          <t>JT.#133</t>
        </is>
      </c>
      <c r="B327" s="930" t="inlineStr">
        <is>
          <t>3-1/2" TUBING 9.2 LB/FT ALLOY 28 TSH BL</t>
        </is>
      </c>
      <c r="C327" s="1153" t="n">
        <v>31</v>
      </c>
    </row>
    <row r="328" ht="14.25" customHeight="1" s="882">
      <c r="A328" s="930" t="inlineStr">
        <is>
          <t>JT.#134</t>
        </is>
      </c>
      <c r="B328" s="930" t="inlineStr">
        <is>
          <t>3-1/2" TUBING 9.2 LB/FT ALLOY 28 TSH BL</t>
        </is>
      </c>
      <c r="C328" s="1153" t="n">
        <v>31</v>
      </c>
    </row>
    <row r="329" ht="14.25" customHeight="1" s="882">
      <c r="A329" s="930" t="inlineStr">
        <is>
          <t>JT.#135</t>
        </is>
      </c>
      <c r="B329" s="930" t="inlineStr">
        <is>
          <t>3-1/2" TUBING 9.2 LB/FT ALLOY 28 TSH BL</t>
        </is>
      </c>
      <c r="C329" s="1153" t="n">
        <v>31</v>
      </c>
    </row>
    <row r="330" ht="14.25" customHeight="1" s="882">
      <c r="A330" s="930" t="inlineStr">
        <is>
          <t>JT.#136</t>
        </is>
      </c>
      <c r="B330" s="930" t="inlineStr">
        <is>
          <t>3-1/2" TUBING 9.2 LB/FT ALLOY 28 TSH BL</t>
        </is>
      </c>
      <c r="C330" s="1153" t="n">
        <v>31</v>
      </c>
    </row>
    <row r="331" ht="14.25" customHeight="1" s="882">
      <c r="A331" s="930" t="inlineStr">
        <is>
          <t>JT.#137</t>
        </is>
      </c>
      <c r="B331" s="930" t="inlineStr">
        <is>
          <t>3-1/2" TUBING 9.2 LB/FT ALLOY 28 TSH BL</t>
        </is>
      </c>
      <c r="C331" s="1153" t="n">
        <v>31</v>
      </c>
    </row>
    <row r="332" ht="14.25" customHeight="1" s="882">
      <c r="A332" s="930" t="inlineStr">
        <is>
          <t>JT.#138</t>
        </is>
      </c>
      <c r="B332" s="930" t="inlineStr">
        <is>
          <t>3-1/2" TUBING 9.2 LB/FT ALLOY 28 TSH BL</t>
        </is>
      </c>
      <c r="C332" s="1153" t="n">
        <v>31</v>
      </c>
    </row>
    <row r="333" ht="14.25" customHeight="1" s="882">
      <c r="A333" s="930" t="inlineStr">
        <is>
          <t>JT.#139</t>
        </is>
      </c>
      <c r="B333" s="930" t="inlineStr">
        <is>
          <t>3-1/2" TUBING 9.2 LB/FT ALLOY 28 TSH BL</t>
        </is>
      </c>
      <c r="C333" s="1153" t="n">
        <v>31</v>
      </c>
    </row>
    <row r="334" ht="14.25" customHeight="1" s="882">
      <c r="A334" s="930" t="inlineStr">
        <is>
          <t>JT.#140</t>
        </is>
      </c>
      <c r="B334" s="930" t="inlineStr">
        <is>
          <t>3-1/2" TUBING 9.2 LB/FT ALLOY 28 TSH BL</t>
        </is>
      </c>
      <c r="C334" s="1153" t="n">
        <v>31</v>
      </c>
    </row>
    <row r="335" ht="14.25" customHeight="1" s="882">
      <c r="A335" s="930" t="inlineStr">
        <is>
          <t>JT.#141</t>
        </is>
      </c>
      <c r="B335" s="930" t="inlineStr">
        <is>
          <t>3-1/2" TUBING 9.2 LB/FT ALLOY 28 TSH BL</t>
        </is>
      </c>
      <c r="C335" s="1153" t="n">
        <v>31</v>
      </c>
    </row>
    <row r="336" ht="14.25" customHeight="1" s="882">
      <c r="A336" s="930" t="inlineStr">
        <is>
          <t>JT.#142</t>
        </is>
      </c>
      <c r="B336" s="930" t="inlineStr">
        <is>
          <t>3-1/2" TUBING 9.2 LB/FT ALLOY 28 TSH BL</t>
        </is>
      </c>
      <c r="C336" s="1153" t="n">
        <v>31</v>
      </c>
    </row>
    <row r="337" ht="14.25" customHeight="1" s="882">
      <c r="A337" s="930" t="inlineStr">
        <is>
          <t>JT.#143</t>
        </is>
      </c>
      <c r="B337" s="930" t="inlineStr">
        <is>
          <t>3-1/2" TUBING 9.2 LB/FT ALLOY 28 TSH BL</t>
        </is>
      </c>
      <c r="C337" s="1153" t="n">
        <v>31</v>
      </c>
    </row>
    <row r="338" ht="14.25" customHeight="1" s="882">
      <c r="A338" s="930" t="inlineStr">
        <is>
          <t>JT.#144</t>
        </is>
      </c>
      <c r="B338" s="930" t="inlineStr">
        <is>
          <t>3-1/2" TUBING 9.2 LB/FT ALLOY 28 TSH BL</t>
        </is>
      </c>
      <c r="C338" s="1153" t="n">
        <v>31</v>
      </c>
    </row>
    <row r="339" ht="14.25" customHeight="1" s="882">
      <c r="A339" s="930" t="inlineStr">
        <is>
          <t>JT.#145</t>
        </is>
      </c>
      <c r="B339" s="930" t="inlineStr">
        <is>
          <t>3-1/2" TUBING 9.2 LB/FT ALLOY 28 TSH BL</t>
        </is>
      </c>
      <c r="C339" s="1153" t="n">
        <v>31</v>
      </c>
    </row>
    <row r="340" ht="76.09999999999999" customHeight="1" s="882">
      <c r="A340" s="1799" t="inlineStr">
        <is>
          <t>B</t>
        </is>
      </c>
      <c r="B340" s="1800" t="inlineStr">
        <is>
          <t>UPPER CONN. 3-1/2" VAM TOP BOX 9.2 PPF SN 28 110 KSI
DESCRIPTION: 5 FEET XOVER
SAP: 130005011340
SUPPLIER: TENARIS
LOWER CONN. 3-1/2" TSH BLUE PIN 9.2 PPF SN 28 110 KSI</t>
        </is>
      </c>
      <c r="C340" s="1801" t="n">
        <v>5.18</v>
      </c>
      <c r="D340" s="1802" t="n">
        <v>3.908</v>
      </c>
      <c r="E340" s="1802" t="n">
        <v>2.959</v>
      </c>
      <c r="F340" s="1803" t="inlineStr">
        <is>
          <t>N/A</t>
        </is>
      </c>
      <c r="G340" s="1803" t="inlineStr">
        <is>
          <t>N/A</t>
        </is>
      </c>
      <c r="H340" s="1803" t="inlineStr">
        <is>
          <t>130005011340</t>
        </is>
      </c>
      <c r="I340" s="1803" t="inlineStr">
        <is>
          <t>N/A</t>
        </is>
      </c>
    </row>
    <row r="341" ht="76.09999999999999" customHeight="1" s="882">
      <c r="B341" s="1800" t="inlineStr">
        <is>
          <t>UPPER CONN. 3-1/2" SENTINEL PRIME BOX 9.2 PPF TX28-110 KSI
DESCRIPTION: 5 FEET XOVER
SAP: 130013006385
SUPPLIER: TBX
LOWER CONN. 3-1/2" VAM TOP PIN 9.2 PPF TX28- 110 KSI</t>
        </is>
      </c>
      <c r="C341" s="1801" t="n">
        <v>4.91</v>
      </c>
      <c r="D341" s="1802" t="n">
        <v>3.929</v>
      </c>
      <c r="E341" s="1802" t="n">
        <v>2.921</v>
      </c>
      <c r="F341" s="1803" t="inlineStr">
        <is>
          <t>N/A</t>
        </is>
      </c>
      <c r="G341" s="1803" t="inlineStr">
        <is>
          <t>N/A</t>
        </is>
      </c>
      <c r="H341" s="1803" t="inlineStr">
        <is>
          <t>130013006385</t>
        </is>
      </c>
      <c r="I341" s="1803" t="inlineStr">
        <is>
          <t>N/A</t>
        </is>
      </c>
    </row>
    <row r="342" ht="105.95" customHeight="1" s="882">
      <c r="B342" s="1800" t="inlineStr">
        <is>
          <t>UPPER CONN. 3-1/2" SENTINEL PRIME 9.2#PPF INC 925 BOX
DESCRIPTION: NINE ENERGY MULTICYCLE BARRIER DEVICE
7 CYCLES REMAINING
P/N: 3207251
S/N: 100 086 877
SAP: 130010036003 SUPPLIER: NINE ENERGY
LOWER CONN- 3 1/2 9.2 SENTINEL PRIME 9.2 PPF INC 925 PIN</t>
        </is>
      </c>
      <c r="C342" s="1801" t="n">
        <v>5.22</v>
      </c>
      <c r="D342" s="1802" t="n">
        <v>4.8</v>
      </c>
      <c r="E342" s="1802" t="n">
        <v>2.91</v>
      </c>
      <c r="F342" s="1803" t="inlineStr">
        <is>
          <t>3207251</t>
        </is>
      </c>
      <c r="G342" s="1803" t="inlineStr">
        <is>
          <t>100 086 877</t>
        </is>
      </c>
      <c r="H342" s="1803" t="inlineStr">
        <is>
          <t>130010036003</t>
        </is>
      </c>
      <c r="I342" s="1803" t="inlineStr">
        <is>
          <t>N/A</t>
        </is>
      </c>
    </row>
    <row r="343" ht="76.09999999999999" customHeight="1" s="882">
      <c r="B343" s="1800" t="inlineStr">
        <is>
          <t>UPPER CONN. 3-1/2" VAM TOP BOX 9.2 PPF TX28- 110 KSI
DESCRIPTION: 5 FEET XOVER
SAP: 130013006383
SUPPLIER: TBX
LOWER CONN -3-1/2" SENTINEL PRIME PIN 9.2 PPF TX28-110 KSI</t>
        </is>
      </c>
      <c r="C343" s="1801" t="n">
        <v>4.8</v>
      </c>
      <c r="D343" s="1802" t="n">
        <v>3.908</v>
      </c>
      <c r="E343" s="1802" t="n">
        <v>2.959</v>
      </c>
      <c r="F343" s="1803" t="inlineStr">
        <is>
          <t>N/A</t>
        </is>
      </c>
      <c r="G343" s="1803" t="inlineStr">
        <is>
          <t>N/A</t>
        </is>
      </c>
      <c r="H343" s="1803" t="inlineStr">
        <is>
          <t>130013006383</t>
        </is>
      </c>
      <c r="I343" s="1803" t="inlineStr">
        <is>
          <t>N/A</t>
        </is>
      </c>
    </row>
    <row r="344" ht="76.09999999999999" customHeight="1" s="882">
      <c r="B344" s="1800" t="inlineStr">
        <is>
          <t>UPPER CONN. 3-1/2" TSH BLUE BOX 9.2 PPF SN 28 110 KSI
DESCRIPTION: 10 FEET XOVER
SAP: 130005011444
SUPPLIER: TENARIS
LOWER CONN. 3-1/2" VAM TOP PIN 9.2 PPF SN 28 110 KSI</t>
        </is>
      </c>
      <c r="C344" s="1801" t="n">
        <v>9.83</v>
      </c>
      <c r="D344" s="1802" t="n">
        <v>3.937</v>
      </c>
      <c r="E344" s="1802" t="n">
        <v>2.969</v>
      </c>
      <c r="F344" s="1803" t="inlineStr">
        <is>
          <t>N/A</t>
        </is>
      </c>
      <c r="G344" s="1803" t="inlineStr">
        <is>
          <t>N/A</t>
        </is>
      </c>
      <c r="H344" s="1803" t="inlineStr">
        <is>
          <t>130005011444</t>
        </is>
      </c>
      <c r="I344" s="1803" t="inlineStr">
        <is>
          <t>N/A</t>
        </is>
      </c>
    </row>
    <row r="345" ht="14.25" customHeight="1" s="882">
      <c r="A345" s="930" t="inlineStr">
        <is>
          <t>JT.#146</t>
        </is>
      </c>
      <c r="B345" s="930" t="inlineStr">
        <is>
          <t>3-1/2" TUBING 9.2 LB/FT ALLOY 28 TSH BL</t>
        </is>
      </c>
      <c r="C345" s="1153" t="n">
        <v>31</v>
      </c>
    </row>
    <row r="346" ht="14.25" customHeight="1" s="882">
      <c r="A346" s="930" t="inlineStr">
        <is>
          <t>JT.#147</t>
        </is>
      </c>
      <c r="B346" s="930" t="inlineStr">
        <is>
          <t>3-1/2" TUBING 9.2 LB/FT ALLOY 28 TSH BL</t>
        </is>
      </c>
      <c r="C346" s="1153" t="n">
        <v>31</v>
      </c>
    </row>
    <row r="347" ht="76.09999999999999" customHeight="1" s="882">
      <c r="A347" s="1804" t="inlineStr">
        <is>
          <t>C</t>
        </is>
      </c>
      <c r="B347" s="1805" t="inlineStr">
        <is>
          <t>UPPER CONN. 3-1/2" VAM TOP BOX 9.2 PPF SN 28 110 KSI
DESCRIPTION: 5 FEET XOVER
SAP: 130005011340
SUPPLIER: TENARIS
LOWER CONN. 3-1/2" TSH BLUE PIN 9.2 PPF SN 28 110 KSI</t>
        </is>
      </c>
      <c r="C347" s="1806" t="n">
        <v>5.16</v>
      </c>
      <c r="D347" s="1807" t="n">
        <v>3.908</v>
      </c>
      <c r="E347" s="1807" t="n">
        <v>2.959</v>
      </c>
      <c r="F347" s="1808" t="inlineStr">
        <is>
          <t>N/A</t>
        </is>
      </c>
      <c r="G347" s="1808" t="inlineStr">
        <is>
          <t>N/A</t>
        </is>
      </c>
      <c r="H347" s="1808" t="inlineStr">
        <is>
          <t>130005011340</t>
        </is>
      </c>
      <c r="I347" s="1808" t="inlineStr">
        <is>
          <t>N/A</t>
        </is>
      </c>
    </row>
    <row r="348" ht="105.95" customHeight="1" s="882">
      <c r="B348" s="1805" t="inlineStr">
        <is>
          <t>UPPER CONN. 3-1/2" VAM TOP 9.2#PPF INC 925 KSI BOX
DESCRIPTION: 2.750 WXN Nipple
PN: 2963809
S/N :12527047-08
SAP: 130010036868
SUPPLIER: WEATHERFORD
LOWER CONN.3-1/2" VAM TOP 9.2#PPF INC 925KSI PIN</t>
        </is>
      </c>
      <c r="C348" s="1806" t="n">
        <v>1.15</v>
      </c>
      <c r="D348" s="1807" t="n">
        <v>3.885</v>
      </c>
      <c r="E348" s="1807" t="n">
        <v>2.637</v>
      </c>
      <c r="F348" s="1808" t="inlineStr">
        <is>
          <t>2963809</t>
        </is>
      </c>
      <c r="G348" s="1808" t="inlineStr">
        <is>
          <t>12527047-08</t>
        </is>
      </c>
      <c r="H348" s="1808" t="inlineStr">
        <is>
          <t>130010036868</t>
        </is>
      </c>
      <c r="I348" s="1808" t="inlineStr">
        <is>
          <t>N/A</t>
        </is>
      </c>
    </row>
    <row r="349" ht="76.09999999999999" customHeight="1" s="882">
      <c r="B349" s="1805" t="inlineStr">
        <is>
          <t>UPPER CONN. 3-1/2" VAM TOP 9.2#PPF SM 2535 BOX
DESCRIPTION: 5 FEET PUP JOINT
SAP: 130005002758
SUPPLIER: VAM
LOWER CONN. 3-1/2" VAM TOP 9.2#PPF SM 2535 PIN</t>
        </is>
      </c>
      <c r="C349" s="1806" t="n">
        <v>4.92</v>
      </c>
      <c r="D349" s="1807" t="n">
        <v>3.908</v>
      </c>
      <c r="E349" s="1807" t="n">
        <v>2.959</v>
      </c>
      <c r="F349" s="1808" t="inlineStr">
        <is>
          <t>N/A</t>
        </is>
      </c>
      <c r="G349" s="1808" t="inlineStr">
        <is>
          <t>N/A</t>
        </is>
      </c>
      <c r="H349" s="1808" t="inlineStr">
        <is>
          <t>130005002758</t>
        </is>
      </c>
      <c r="I349" s="1808" t="inlineStr">
        <is>
          <t>N/A</t>
        </is>
      </c>
    </row>
    <row r="350" ht="76.09999999999999" customHeight="1" s="882">
      <c r="B350" s="1805" t="inlineStr">
        <is>
          <t>UPPER CONN. 3-1/2" VAM TOP 9.2#PPF SM2535 BOX
DESCRIPTION: 10 FEET PUP JOINT
SAP: 130013000213
SUPPLIER: VAM
LOWER CONN. 3-1/2" VAM TOP 9.2#PPF SM2535 PIN</t>
        </is>
      </c>
      <c r="C350" s="1806" t="n">
        <v>9.92</v>
      </c>
      <c r="D350" s="1807" t="n">
        <v>3.908</v>
      </c>
      <c r="E350" s="1807" t="n">
        <v>2.959</v>
      </c>
      <c r="F350" s="1808" t="inlineStr">
        <is>
          <t>N/A</t>
        </is>
      </c>
      <c r="G350" s="1808" t="inlineStr">
        <is>
          <t>N/A</t>
        </is>
      </c>
      <c r="H350" s="1808" t="inlineStr">
        <is>
          <t>130013000213</t>
        </is>
      </c>
      <c r="I350" s="1808" t="inlineStr">
        <is>
          <t>N/A</t>
        </is>
      </c>
    </row>
    <row r="351" ht="150.7" customHeight="1" s="882">
      <c r="B351" s="1805"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51" s="1806" t="n">
        <v>9.710000000000001</v>
      </c>
      <c r="D351" s="1807" t="n">
        <v>5.91</v>
      </c>
      <c r="E351" s="1807" t="n">
        <v>2.919</v>
      </c>
      <c r="F351" s="1808" t="inlineStr">
        <is>
          <t>2960170</t>
        </is>
      </c>
      <c r="G351" s="1808" t="inlineStr">
        <is>
          <t>12857761-01</t>
        </is>
      </c>
      <c r="H351" s="1808" t="inlineStr">
        <is>
          <t>130010037571</t>
        </is>
      </c>
      <c r="I351" s="1808" t="inlineStr">
        <is>
          <t>N/A</t>
        </is>
      </c>
    </row>
    <row r="352" ht="76.09999999999999" customHeight="1" s="882">
      <c r="B352" s="1805" t="inlineStr">
        <is>
          <t>UPPER CONN. 3-1/2" TSH BLUE BOX 9.2 PPF SN 28 110 KSI
DESCRIPTION: 5 FEET XOVER
SAP: 130005011444
SUPPLIER: TENARIS
LOWER CONN. 3-1/2" VAM TOP PIN 9.2 PPF SN 28 110 KSI</t>
        </is>
      </c>
      <c r="C352" s="1806" t="n">
        <v>4.99</v>
      </c>
      <c r="D352" s="1807" t="n">
        <v>3.937</v>
      </c>
      <c r="E352" s="1807" t="n">
        <v>2.969</v>
      </c>
      <c r="F352" s="1808" t="inlineStr">
        <is>
          <t>N/A</t>
        </is>
      </c>
      <c r="G352" s="1808" t="inlineStr">
        <is>
          <t>N/A</t>
        </is>
      </c>
      <c r="H352" s="1808" t="inlineStr">
        <is>
          <t>130005011444</t>
        </is>
      </c>
      <c r="I352" s="1808" t="inlineStr">
        <is>
          <t>N/A</t>
        </is>
      </c>
    </row>
    <row r="353" ht="14.25" customHeight="1" s="882">
      <c r="A353" s="930" t="inlineStr">
        <is>
          <t>JT.#148</t>
        </is>
      </c>
      <c r="B353" s="930" t="inlineStr">
        <is>
          <t>3-1/2" TUBING 9.2 LB/FT ALLOY 28 TSH BL</t>
        </is>
      </c>
      <c r="C353" s="1153" t="n">
        <v>31</v>
      </c>
    </row>
    <row r="354" ht="14.25" customHeight="1" s="882">
      <c r="A354" s="930" t="inlineStr">
        <is>
          <t>JT.#149</t>
        </is>
      </c>
      <c r="B354" s="930" t="inlineStr">
        <is>
          <t>3-1/2" TUBING 9.2 LB/FT ALLOY 28 TSH BL</t>
        </is>
      </c>
      <c r="C354" s="1153" t="n">
        <v>31</v>
      </c>
    </row>
    <row r="355" ht="14.25" customHeight="1" s="882">
      <c r="A355" s="930" t="inlineStr">
        <is>
          <t>JT.#150</t>
        </is>
      </c>
      <c r="B355" s="930" t="inlineStr">
        <is>
          <t>3-1/2" TUBING 9.2 LB/FT ALLOY 28 TSH BL</t>
        </is>
      </c>
      <c r="C355" s="1153" t="n">
        <v>31</v>
      </c>
    </row>
    <row r="356" ht="14.25" customHeight="1" s="882">
      <c r="A356" s="930" t="inlineStr">
        <is>
          <t>JT.#151</t>
        </is>
      </c>
      <c r="B356" s="930" t="inlineStr">
        <is>
          <t>3-1/2" TUBING 9.2 LB/FT ALLOY 28 TSH BL</t>
        </is>
      </c>
      <c r="C356" s="1153" t="n">
        <v>31</v>
      </c>
    </row>
    <row r="357" ht="14.25" customHeight="1" s="882">
      <c r="A357" s="930" t="inlineStr">
        <is>
          <t>JT.#152</t>
        </is>
      </c>
      <c r="B357" s="930" t="inlineStr">
        <is>
          <t>3-1/2" TUBING 9.2 LB/FT ALLOY 28 TSH BL</t>
        </is>
      </c>
      <c r="C357" s="1153" t="n">
        <v>31</v>
      </c>
    </row>
    <row r="358" ht="14.25" customHeight="1" s="882">
      <c r="A358" s="930" t="inlineStr">
        <is>
          <t>JT.#153</t>
        </is>
      </c>
      <c r="B358" s="930" t="inlineStr">
        <is>
          <t>3-1/2" TUBING 9.2 LB/FT ALLOY 28 TSH BL</t>
        </is>
      </c>
      <c r="C358" s="1153" t="n">
        <v>31</v>
      </c>
    </row>
    <row r="359" ht="14.25" customHeight="1" s="882">
      <c r="A359" s="930" t="inlineStr">
        <is>
          <t>JT.#154</t>
        </is>
      </c>
      <c r="B359" s="930" t="inlineStr">
        <is>
          <t>3-1/2" TUBING 9.2 LB/FT ALLOY 28 TSH BL</t>
        </is>
      </c>
      <c r="C359" s="1153" t="n">
        <v>31</v>
      </c>
    </row>
    <row r="360" ht="14.25" customHeight="1" s="882">
      <c r="A360" s="930" t="inlineStr">
        <is>
          <t>JT.#155</t>
        </is>
      </c>
      <c r="B360" s="930" t="inlineStr">
        <is>
          <t>3-1/2" TUBING 9.2 LB/FT ALLOY 28 TSH BL</t>
        </is>
      </c>
      <c r="C360" s="1153" t="n">
        <v>31</v>
      </c>
    </row>
    <row r="361" ht="14.25" customHeight="1" s="882">
      <c r="A361" s="930" t="inlineStr">
        <is>
          <t>JT.#156</t>
        </is>
      </c>
      <c r="B361" s="930" t="inlineStr">
        <is>
          <t>3-1/2" TUBING 9.2 LB/FT ALLOY 28 TSH BL</t>
        </is>
      </c>
      <c r="C361" s="1153" t="n">
        <v>31</v>
      </c>
    </row>
    <row r="362" ht="14.25" customHeight="1" s="882">
      <c r="A362" s="930" t="inlineStr">
        <is>
          <t>JT.#157</t>
        </is>
      </c>
      <c r="B362" s="930" t="inlineStr">
        <is>
          <t>3-1/2" TUBING 9.2 LB/FT ALLOY 28 TSH BL</t>
        </is>
      </c>
      <c r="C362" s="1153" t="n">
        <v>31</v>
      </c>
    </row>
    <row r="363" ht="14.25" customHeight="1" s="882">
      <c r="A363" s="930" t="inlineStr">
        <is>
          <t>JT.#158</t>
        </is>
      </c>
      <c r="B363" s="930" t="inlineStr">
        <is>
          <t>3-1/2" TUBING 9.2 LB/FT ALLOY 28 TSH BL</t>
        </is>
      </c>
      <c r="C363" s="1153" t="n">
        <v>31</v>
      </c>
    </row>
    <row r="364" ht="14.25" customHeight="1" s="882">
      <c r="A364" s="930" t="inlineStr">
        <is>
          <t>JT.#159</t>
        </is>
      </c>
      <c r="B364" s="930" t="inlineStr">
        <is>
          <t>3-1/2" TUBING 9.2 LB/FT ALLOY 28 TSH BL</t>
        </is>
      </c>
      <c r="C364" s="1153" t="n">
        <v>31</v>
      </c>
    </row>
    <row r="365" ht="14.25" customHeight="1" s="882">
      <c r="A365" s="930" t="inlineStr">
        <is>
          <t>JT.#160</t>
        </is>
      </c>
      <c r="B365" s="930" t="inlineStr">
        <is>
          <t>3-1/2" TUBING 9.2 LB/FT ALLOY 28 TSH BL</t>
        </is>
      </c>
      <c r="C365" s="1153" t="n">
        <v>31</v>
      </c>
    </row>
    <row r="366" ht="14.25" customHeight="1" s="882">
      <c r="A366" s="930" t="inlineStr">
        <is>
          <t>JT.#161</t>
        </is>
      </c>
      <c r="B366" s="930" t="inlineStr">
        <is>
          <t>3-1/2" TUBING 9.2 LB/FT ALLOY 28 TSH BL</t>
        </is>
      </c>
      <c r="C366" s="1153" t="n">
        <v>31</v>
      </c>
    </row>
    <row r="367" ht="14.25" customHeight="1" s="882">
      <c r="A367" s="930" t="inlineStr">
        <is>
          <t>JT.#162</t>
        </is>
      </c>
      <c r="B367" s="930" t="inlineStr">
        <is>
          <t>3-1/2" TUBING 9.2 LB/FT ALLOY 28 TSH BL</t>
        </is>
      </c>
      <c r="C367" s="1153" t="n">
        <v>31</v>
      </c>
    </row>
    <row r="368" ht="14.25" customHeight="1" s="882">
      <c r="A368" s="930" t="inlineStr">
        <is>
          <t>JT.#163</t>
        </is>
      </c>
      <c r="B368" s="930" t="inlineStr">
        <is>
          <t>3-1/2" TUBING 9.2 LB/FT ALLOY 28 TSH BL</t>
        </is>
      </c>
      <c r="C368" s="1153" t="n">
        <v>31</v>
      </c>
    </row>
    <row r="369" ht="14.25" customHeight="1" s="882">
      <c r="A369" s="930" t="inlineStr">
        <is>
          <t>JT.#164</t>
        </is>
      </c>
      <c r="B369" s="930" t="inlineStr">
        <is>
          <t>3-1/2" TUBING 9.2 LB/FT ALLOY 28 TSH BL</t>
        </is>
      </c>
      <c r="C369" s="1153" t="n">
        <v>31</v>
      </c>
    </row>
    <row r="370" ht="14.25" customHeight="1" s="882">
      <c r="A370" s="930" t="inlineStr">
        <is>
          <t>JT.#165</t>
        </is>
      </c>
      <c r="B370" s="930" t="inlineStr">
        <is>
          <t>3-1/2" TUBING 9.2 LB/FT ALLOY 28 TSH BL</t>
        </is>
      </c>
      <c r="C370" s="1153" t="n">
        <v>31</v>
      </c>
    </row>
    <row r="371" ht="14.25" customHeight="1" s="882">
      <c r="A371" s="930" t="inlineStr">
        <is>
          <t>JT.#166</t>
        </is>
      </c>
      <c r="B371" s="930" t="inlineStr">
        <is>
          <t>3-1/2" TUBING 9.2 LB/FT ALLOY 28 TSH BL</t>
        </is>
      </c>
      <c r="C371" s="1153" t="n">
        <v>31</v>
      </c>
    </row>
    <row r="372" ht="14.25" customHeight="1" s="882">
      <c r="A372" s="930" t="inlineStr">
        <is>
          <t>JT.#167</t>
        </is>
      </c>
      <c r="B372" s="930" t="inlineStr">
        <is>
          <t>3-1/2" TUBING 9.2 LB/FT ALLOY 28 TSH BL</t>
        </is>
      </c>
      <c r="C372" s="1153" t="n">
        <v>31</v>
      </c>
    </row>
    <row r="373" ht="14.25" customHeight="1" s="882">
      <c r="A373" s="930" t="inlineStr">
        <is>
          <t>JT.#168</t>
        </is>
      </c>
      <c r="B373" s="930" t="inlineStr">
        <is>
          <t>3-1/2" TUBING 9.2 LB/FT ALLOY 28 TSH BL</t>
        </is>
      </c>
      <c r="C373" s="1153" t="n">
        <v>31</v>
      </c>
    </row>
    <row r="374" ht="14.25" customHeight="1" s="882">
      <c r="A374" s="930" t="inlineStr">
        <is>
          <t>JT.#169</t>
        </is>
      </c>
      <c r="B374" s="930" t="inlineStr">
        <is>
          <t>3-1/2" TUBING 9.2 LB/FT ALLOY 28 TSH BL</t>
        </is>
      </c>
      <c r="C374" s="1153" t="n">
        <v>31</v>
      </c>
    </row>
    <row r="375" ht="14.25" customHeight="1" s="882">
      <c r="A375" s="930" t="inlineStr">
        <is>
          <t>JT.#170</t>
        </is>
      </c>
      <c r="B375" s="930" t="inlineStr">
        <is>
          <t>3-1/2" TUBING 9.2 LB/FT ALLOY 28 TSH BL</t>
        </is>
      </c>
      <c r="C375" s="1153" t="n">
        <v>31</v>
      </c>
    </row>
    <row r="376" ht="14.25" customHeight="1" s="882">
      <c r="A376" s="930" t="inlineStr">
        <is>
          <t>JT.#171</t>
        </is>
      </c>
      <c r="B376" s="930" t="inlineStr">
        <is>
          <t>3-1/2" TUBING 9.2 LB/FT ALLOY 28 TSH BL</t>
        </is>
      </c>
      <c r="C376" s="1153" t="n">
        <v>31</v>
      </c>
    </row>
    <row r="377" ht="14.25" customHeight="1" s="882">
      <c r="A377" s="930" t="inlineStr">
        <is>
          <t>JT.#172</t>
        </is>
      </c>
      <c r="B377" s="930" t="inlineStr">
        <is>
          <t>3-1/2" TUBING 9.2 LB/FT ALLOY 28 TSH BL</t>
        </is>
      </c>
      <c r="C377" s="1153" t="n">
        <v>31</v>
      </c>
    </row>
    <row r="378" ht="14.25" customHeight="1" s="882">
      <c r="A378" s="930" t="inlineStr">
        <is>
          <t>JT.#173</t>
        </is>
      </c>
      <c r="B378" s="930" t="inlineStr">
        <is>
          <t>3-1/2" TUBING 9.2 LB/FT ALLOY 28 TSH BL</t>
        </is>
      </c>
      <c r="C378" s="1153" t="n">
        <v>31</v>
      </c>
    </row>
    <row r="379" ht="14.25" customHeight="1" s="882">
      <c r="A379" s="930" t="inlineStr">
        <is>
          <t>JT.#174</t>
        </is>
      </c>
      <c r="B379" s="930" t="inlineStr">
        <is>
          <t>3-1/2" TUBING 9.2 LB/FT ALLOY 28 TSH BL</t>
        </is>
      </c>
      <c r="C379" s="1153" t="n">
        <v>31</v>
      </c>
    </row>
    <row r="380" ht="14.25" customHeight="1" s="882">
      <c r="A380" s="930" t="inlineStr">
        <is>
          <t>JT.#175</t>
        </is>
      </c>
      <c r="B380" s="930" t="inlineStr">
        <is>
          <t>3-1/2" TUBING 9.2 LB/FT ALLOY 28 TSH BL</t>
        </is>
      </c>
      <c r="C380" s="1153" t="n">
        <v>31</v>
      </c>
    </row>
    <row r="381" ht="14.25" customHeight="1" s="882">
      <c r="A381" s="930" t="inlineStr">
        <is>
          <t>JT.#176</t>
        </is>
      </c>
      <c r="B381" s="930" t="inlineStr">
        <is>
          <t>3-1/2" TUBING 9.2 LB/FT ALLOY 28 TSH BL</t>
        </is>
      </c>
      <c r="C381" s="1153" t="n">
        <v>31</v>
      </c>
    </row>
    <row r="382" ht="14.25" customHeight="1" s="882">
      <c r="A382" s="930" t="inlineStr">
        <is>
          <t>JT.#177</t>
        </is>
      </c>
      <c r="B382" s="930" t="inlineStr">
        <is>
          <t>3-1/2" TUBING 9.2 LB/FT ALLOY 28 TSH BL</t>
        </is>
      </c>
      <c r="C382" s="1153" t="n">
        <v>31</v>
      </c>
    </row>
    <row r="383" ht="14.25" customHeight="1" s="882">
      <c r="A383" s="930" t="inlineStr">
        <is>
          <t>JT.#178</t>
        </is>
      </c>
      <c r="B383" s="930" t="inlineStr">
        <is>
          <t>3-1/2" TUBING 9.2 LB/FT ALLOY 28 TSH BL</t>
        </is>
      </c>
      <c r="C383" s="1153" t="n">
        <v>31</v>
      </c>
    </row>
    <row r="384" ht="14.25" customHeight="1" s="882">
      <c r="A384" s="930" t="inlineStr">
        <is>
          <t>JT.#179</t>
        </is>
      </c>
      <c r="B384" s="930" t="inlineStr">
        <is>
          <t>3-1/2" TUBING 9.2 LB/FT ALLOY 28 TSH BL</t>
        </is>
      </c>
      <c r="C384" s="1153" t="n">
        <v>31</v>
      </c>
    </row>
    <row r="385" ht="14.25" customHeight="1" s="882">
      <c r="A385" s="930" t="inlineStr">
        <is>
          <t>JT.#180</t>
        </is>
      </c>
      <c r="B385" s="930" t="inlineStr">
        <is>
          <t>3-1/2" TUBING 9.2 LB/FT ALLOY 28 TSH BL</t>
        </is>
      </c>
      <c r="C385" s="1153" t="n">
        <v>31</v>
      </c>
    </row>
    <row r="386" ht="14.25" customHeight="1" s="882">
      <c r="A386" s="930" t="inlineStr">
        <is>
          <t>JT.#181</t>
        </is>
      </c>
      <c r="B386" s="930" t="inlineStr">
        <is>
          <t>3-1/2" TUBING 9.2 LB/FT ALLOY 28 TSH BL</t>
        </is>
      </c>
      <c r="C386" s="1153" t="n">
        <v>31</v>
      </c>
    </row>
    <row r="387" ht="14.25" customHeight="1" s="882">
      <c r="A387" s="930" t="inlineStr">
        <is>
          <t>JT.#182</t>
        </is>
      </c>
      <c r="B387" s="930" t="inlineStr">
        <is>
          <t>3-1/2" TUBING 9.2 LB/FT ALLOY 28 TSH BL</t>
        </is>
      </c>
      <c r="C387" s="1153" t="n">
        <v>31</v>
      </c>
    </row>
    <row r="388" ht="14.25" customHeight="1" s="882">
      <c r="A388" s="930" t="inlineStr">
        <is>
          <t>JT.#183</t>
        </is>
      </c>
      <c r="B388" s="930" t="inlineStr">
        <is>
          <t>3-1/2" TUBING 9.2 LB/FT ALLOY 28 TSH BL</t>
        </is>
      </c>
      <c r="C388" s="1153" t="n">
        <v>31</v>
      </c>
    </row>
    <row r="389" ht="14.25" customHeight="1" s="882">
      <c r="A389" s="930" t="inlineStr">
        <is>
          <t>JT.#184</t>
        </is>
      </c>
      <c r="B389" s="930" t="inlineStr">
        <is>
          <t>3-1/2" TUBING 9.2 LB/FT ALLOY 28 TSH BL</t>
        </is>
      </c>
      <c r="C389" s="1153" t="n">
        <v>31</v>
      </c>
    </row>
    <row r="390" ht="14.25" customHeight="1" s="882">
      <c r="A390" s="930" t="inlineStr">
        <is>
          <t>JT.#185</t>
        </is>
      </c>
      <c r="B390" s="930" t="inlineStr">
        <is>
          <t>3-1/2" TUBING 9.2 LB/FT ALLOY 28 TSH BL</t>
        </is>
      </c>
      <c r="C390" s="1153" t="n">
        <v>31</v>
      </c>
    </row>
    <row r="391" ht="14.25" customHeight="1" s="882">
      <c r="A391" s="930" t="inlineStr">
        <is>
          <t>JT.#186</t>
        </is>
      </c>
      <c r="B391" s="930" t="inlineStr">
        <is>
          <t>3-1/2" TUBING 9.2 LB/FT ALLOY 28 TSH BL</t>
        </is>
      </c>
      <c r="C391" s="1153" t="n">
        <v>31</v>
      </c>
    </row>
    <row r="392" ht="14.25" customHeight="1" s="882">
      <c r="A392" s="930" t="inlineStr">
        <is>
          <t>JT.#187</t>
        </is>
      </c>
      <c r="B392" s="930" t="inlineStr">
        <is>
          <t>3-1/2" TUBING 9.2 LB/FT ALLOY 28 TSH BL</t>
        </is>
      </c>
      <c r="C392" s="1153" t="n">
        <v>31</v>
      </c>
    </row>
    <row r="393" ht="14.25" customHeight="1" s="882">
      <c r="A393" s="930" t="inlineStr">
        <is>
          <t>JT.#188</t>
        </is>
      </c>
      <c r="B393" s="930" t="inlineStr">
        <is>
          <t>3-1/2" TUBING 9.2 LB/FT ALLOY 28 TSH BL</t>
        </is>
      </c>
      <c r="C393" s="1153" t="n">
        <v>31</v>
      </c>
    </row>
    <row r="394" ht="14.25" customHeight="1" s="882">
      <c r="A394" s="930" t="inlineStr">
        <is>
          <t>JT.#189</t>
        </is>
      </c>
      <c r="B394" s="930" t="inlineStr">
        <is>
          <t>3-1/2" TUBING 9.2 LB/FT ALLOY 28 TSH BL</t>
        </is>
      </c>
      <c r="C394" s="1153" t="n">
        <v>31</v>
      </c>
    </row>
    <row r="395" ht="14.25" customHeight="1" s="882">
      <c r="A395" s="930" t="inlineStr">
        <is>
          <t>JT.#190</t>
        </is>
      </c>
      <c r="B395" s="930" t="inlineStr">
        <is>
          <t>3-1/2" TUBING 9.2 LB/FT ALLOY 28 TSH BL</t>
        </is>
      </c>
      <c r="C395" s="1153" t="n">
        <v>31</v>
      </c>
    </row>
    <row r="396" ht="14.25" customHeight="1" s="882">
      <c r="A396" s="930" t="inlineStr">
        <is>
          <t>JT.#191</t>
        </is>
      </c>
      <c r="B396" s="930" t="inlineStr">
        <is>
          <t>3-1/2" TUBING 9.2 LB/FT ALLOY 28 TSH BL</t>
        </is>
      </c>
      <c r="C396" s="1153" t="n">
        <v>31</v>
      </c>
    </row>
    <row r="397" ht="14.25" customHeight="1" s="882">
      <c r="A397" s="930" t="inlineStr">
        <is>
          <t>JT.#192</t>
        </is>
      </c>
      <c r="B397" s="930" t="inlineStr">
        <is>
          <t>3-1/2" TUBING 9.2 LB/FT ALLOY 28 TSH BL</t>
        </is>
      </c>
      <c r="C397" s="1153" t="n">
        <v>31</v>
      </c>
    </row>
    <row r="398" ht="76.09999999999999" customHeight="1" s="882">
      <c r="A398" s="1809" t="inlineStr">
        <is>
          <t>D1</t>
        </is>
      </c>
      <c r="B398" s="1810" t="inlineStr">
        <is>
          <t>UPPER CONN. 3-1/2" VAM TOP BOX 9.2 PPF SN 28 110 KSI
DESCRIPTION: 5 FEET XOVER
SAP: 130005011340
SUPPLIER: TENARIS
LOWER CONN. 3-1/2" TSH BLUE PIN 9.2 PPF SN 28 110 KSI</t>
        </is>
      </c>
      <c r="C398" s="1811" t="n">
        <v>5.2</v>
      </c>
      <c r="D398" s="1812" t="n">
        <v>3.908</v>
      </c>
      <c r="E398" s="1812" t="n">
        <v>2.959</v>
      </c>
      <c r="F398" s="1813" t="inlineStr">
        <is>
          <t>N/A</t>
        </is>
      </c>
      <c r="G398" s="1813" t="inlineStr">
        <is>
          <t>N/A</t>
        </is>
      </c>
      <c r="H398" s="1813" t="inlineStr">
        <is>
          <t>130005011340</t>
        </is>
      </c>
      <c r="I398" s="1813" t="inlineStr">
        <is>
          <t>N/A</t>
        </is>
      </c>
    </row>
    <row r="399" ht="76.09999999999999" customHeight="1" s="882">
      <c r="B399" s="1810" t="inlineStr">
        <is>
          <t>UPPER CONN. 3-1/2" SENTINEL PRIME BOX 9.2 PPF TX28-110 KSI
DESCRIPTION: 5 FEET XOVER
SAP: 130013006385
SUPPLIER: TBX
LOWER CONN. 3-1/2" VAM TOP PIN 9.2 PPF TX28-110 KSI</t>
        </is>
      </c>
      <c r="C399" s="1811" t="n">
        <v>4.96</v>
      </c>
      <c r="D399" s="1812" t="n">
        <v>3.929</v>
      </c>
      <c r="E399" s="1812" t="n">
        <v>2.921</v>
      </c>
      <c r="F399" s="1813" t="inlineStr">
        <is>
          <t>N/A</t>
        </is>
      </c>
      <c r="G399" s="1813" t="inlineStr">
        <is>
          <t>N/A</t>
        </is>
      </c>
      <c r="H399" s="1813" t="inlineStr">
        <is>
          <t>130013006385</t>
        </is>
      </c>
      <c r="I399" s="1813" t="inlineStr">
        <is>
          <t>N/A</t>
        </is>
      </c>
    </row>
    <row r="400" ht="135.8" customHeight="1" s="882">
      <c r="B400" s="1810"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00" s="1811" t="n">
        <v>8.69</v>
      </c>
      <c r="D400" s="1812" t="n">
        <v>5.82</v>
      </c>
      <c r="E400" s="1812" t="n">
        <v>2.9</v>
      </c>
      <c r="F400" s="1813" t="inlineStr">
        <is>
          <t>3205577</t>
        </is>
      </c>
      <c r="G400" s="1813" t="inlineStr">
        <is>
          <t>12636080-03</t>
        </is>
      </c>
      <c r="H400" s="1813" t="inlineStr">
        <is>
          <t>130010036652</t>
        </is>
      </c>
      <c r="I400" s="1813" t="inlineStr">
        <is>
          <t>N/A</t>
        </is>
      </c>
    </row>
    <row r="401" ht="76.09999999999999" customHeight="1" s="882">
      <c r="B401" s="1810" t="inlineStr">
        <is>
          <t>UPPER CONN. 3-1/2" VAM TOP BOX 9.2 PPF TX28- 110 KSI
DESCRIPTION: 5 FEET XOVER
SAP: 130013006383
SUPPLIER: TBX
LOWER CONN -3-1/2" SENTINEL PRIME PIN 9.2 PPF TX28-110 KSI</t>
        </is>
      </c>
      <c r="C401" s="1811" t="n">
        <v>4.85</v>
      </c>
      <c r="D401" s="1812" t="n">
        <v>3.908</v>
      </c>
      <c r="E401" s="1812" t="n">
        <v>2.959</v>
      </c>
      <c r="F401" s="1813" t="inlineStr">
        <is>
          <t>N/A</t>
        </is>
      </c>
      <c r="G401" s="1813" t="inlineStr">
        <is>
          <t>N/A</t>
        </is>
      </c>
      <c r="H401" s="1813" t="inlineStr">
        <is>
          <t>130013006383</t>
        </is>
      </c>
      <c r="I401" s="1813" t="inlineStr">
        <is>
          <t>N/A</t>
        </is>
      </c>
    </row>
    <row r="402" ht="76.09999999999999" customHeight="1" s="882">
      <c r="B402" s="1810" t="inlineStr">
        <is>
          <t>UPPER CONN. 3-1/2" TSH BLUE BOX 9.2 PPF SN 28 110 KSI
DESCRIPTION: 10 FEET XOVER
SAP: 130005012487
SUPPLIER: TENARIS
LOWER CONN. 3-1/2" VAM TOP PIN 9.2 PPF SN 28 110 KSI</t>
        </is>
      </c>
      <c r="C402" s="1811" t="n">
        <v>9.949999999999999</v>
      </c>
      <c r="D402" s="1812" t="n">
        <v>3.937</v>
      </c>
      <c r="E402" s="1812" t="n">
        <v>2.969</v>
      </c>
      <c r="F402" s="1813" t="inlineStr">
        <is>
          <t>N/A</t>
        </is>
      </c>
      <c r="G402" s="1813" t="inlineStr">
        <is>
          <t>N/A</t>
        </is>
      </c>
      <c r="H402" s="1813" t="inlineStr">
        <is>
          <t>130005012487</t>
        </is>
      </c>
      <c r="I402" s="1813" t="inlineStr">
        <is>
          <t>N/A</t>
        </is>
      </c>
    </row>
    <row r="403" ht="14.25" customHeight="1" s="882">
      <c r="A403" s="930" t="inlineStr">
        <is>
          <t>JT.#193</t>
        </is>
      </c>
      <c r="B403" s="930" t="inlineStr">
        <is>
          <t>3-1/2" TUBING 9.2 LB/FT ALLOY 28 TSH BL</t>
        </is>
      </c>
      <c r="C403" s="1153" t="n">
        <v>31</v>
      </c>
    </row>
    <row r="404" ht="14.25" customHeight="1" s="882">
      <c r="A404" s="930" t="inlineStr">
        <is>
          <t>JT.#194</t>
        </is>
      </c>
      <c r="B404" s="930" t="inlineStr">
        <is>
          <t>3-1/2" TUBING 9.2 LB/FT ALLOY 28 TSH BL</t>
        </is>
      </c>
      <c r="C404" s="1153" t="n">
        <v>31</v>
      </c>
    </row>
    <row r="405" ht="14.25" customHeight="1" s="882">
      <c r="A405" s="930" t="inlineStr">
        <is>
          <t>JT.#195</t>
        </is>
      </c>
      <c r="B405" s="930" t="inlineStr">
        <is>
          <t>3-1/2" TUBING 9.2 LB/FT ALLOY 28 TSH BL</t>
        </is>
      </c>
      <c r="C405" s="1153" t="n">
        <v>31</v>
      </c>
    </row>
    <row r="406" ht="14.25" customHeight="1" s="882">
      <c r="A406" s="930" t="inlineStr">
        <is>
          <t>JT.#196</t>
        </is>
      </c>
      <c r="B406" s="930" t="inlineStr">
        <is>
          <t>3-1/2" TUBING 9.2 LB/FT ALLOY 28 TSH BL</t>
        </is>
      </c>
      <c r="C406" s="1153" t="n">
        <v>31</v>
      </c>
    </row>
    <row r="407" ht="14.25" customHeight="1" s="882">
      <c r="A407" s="930" t="inlineStr">
        <is>
          <t>JT.#197</t>
        </is>
      </c>
      <c r="B407" s="930" t="inlineStr">
        <is>
          <t>3-1/2" TUBING 9.2 LB/FT ALLOY 28 TSH BL</t>
        </is>
      </c>
      <c r="C407" s="1153" t="n">
        <v>31</v>
      </c>
    </row>
    <row r="408" ht="14.25" customHeight="1" s="882">
      <c r="A408" s="930" t="inlineStr">
        <is>
          <t>JT.#198</t>
        </is>
      </c>
      <c r="B408" s="930" t="inlineStr">
        <is>
          <t>3-1/2" TUBING 9.2 LB/FT ALLOY 28 TSH BL</t>
        </is>
      </c>
      <c r="C408" s="1153" t="n">
        <v>31</v>
      </c>
    </row>
    <row r="409" ht="14.25" customHeight="1" s="882">
      <c r="A409" s="930" t="inlineStr">
        <is>
          <t>JT.#199</t>
        </is>
      </c>
      <c r="B409" s="930" t="inlineStr">
        <is>
          <t>3-1/2" TUBING 9.2 LB/FT ALLOY 28 TSH BL</t>
        </is>
      </c>
      <c r="C409" s="1153" t="n">
        <v>31</v>
      </c>
    </row>
    <row r="410" ht="14.25" customHeight="1" s="882">
      <c r="A410" s="930" t="inlineStr">
        <is>
          <t>JT.#200</t>
        </is>
      </c>
      <c r="B410" s="930" t="inlineStr">
        <is>
          <t>3-1/2" TUBING 9.2 LB/FT ALLOY 28 TSH BL</t>
        </is>
      </c>
      <c r="C410" s="1153" t="n">
        <v>31</v>
      </c>
    </row>
    <row r="411" ht="14.25" customHeight="1" s="882">
      <c r="A411" s="930" t="inlineStr">
        <is>
          <t>JT.#201</t>
        </is>
      </c>
      <c r="B411" s="930" t="inlineStr">
        <is>
          <t>3-1/2" TUBING 9.2 LB/FT ALLOY 28 TSH BL</t>
        </is>
      </c>
      <c r="C411" s="1153" t="n">
        <v>31</v>
      </c>
    </row>
    <row r="412" ht="14.25" customHeight="1" s="882">
      <c r="A412" s="930" t="inlineStr">
        <is>
          <t>JT.#202</t>
        </is>
      </c>
      <c r="B412" s="930" t="inlineStr">
        <is>
          <t>3-1/2" TUBING 9.2 LB/FT ALLOY 28 TSH BL</t>
        </is>
      </c>
      <c r="C412" s="1153" t="n">
        <v>31</v>
      </c>
    </row>
    <row r="413" ht="14.25" customHeight="1" s="882">
      <c r="A413" s="930" t="inlineStr">
        <is>
          <t>JT.#203</t>
        </is>
      </c>
      <c r="B413" s="930" t="inlineStr">
        <is>
          <t>3-1/2" TUBING 9.2 LB/FT ALLOY 28 TSH BL</t>
        </is>
      </c>
      <c r="C413" s="1153" t="n">
        <v>31</v>
      </c>
    </row>
    <row r="414" ht="14.25" customHeight="1" s="882">
      <c r="A414" s="930" t="inlineStr">
        <is>
          <t>JT.#204</t>
        </is>
      </c>
      <c r="B414" s="930" t="inlineStr">
        <is>
          <t>3-1/2" TUBING 9.2 LB/FT ALLOY 28 TSH BL</t>
        </is>
      </c>
      <c r="C414" s="1153" t="n">
        <v>31</v>
      </c>
    </row>
    <row r="415" ht="14.25" customHeight="1" s="882">
      <c r="A415" s="930" t="inlineStr">
        <is>
          <t>JT.#205</t>
        </is>
      </c>
      <c r="B415" s="930" t="inlineStr">
        <is>
          <t>3-1/2" TUBING 9.2 LB/FT ALLOY 28 TSH BL</t>
        </is>
      </c>
      <c r="C415" s="1153" t="n">
        <v>31</v>
      </c>
    </row>
    <row r="416" ht="14.25" customHeight="1" s="882">
      <c r="A416" s="930" t="inlineStr">
        <is>
          <t>JT.#206</t>
        </is>
      </c>
      <c r="B416" s="930" t="inlineStr">
        <is>
          <t>3-1/2" TUBING 9.2 LB/FT ALLOY 28 TSH BL</t>
        </is>
      </c>
      <c r="C416" s="1153" t="n">
        <v>31</v>
      </c>
    </row>
    <row r="417" ht="14.25" customHeight="1" s="882">
      <c r="A417" s="930" t="inlineStr">
        <is>
          <t>JT.#207</t>
        </is>
      </c>
      <c r="B417" s="930" t="inlineStr">
        <is>
          <t>3-1/2" TUBING 9.2 LB/FT ALLOY 28 TSH BL</t>
        </is>
      </c>
      <c r="C417" s="1153" t="n">
        <v>31</v>
      </c>
    </row>
    <row r="418" ht="76.09999999999999" customHeight="1" s="882">
      <c r="A418" s="1814" t="inlineStr">
        <is>
          <t>D2</t>
        </is>
      </c>
      <c r="B418" s="1815" t="inlineStr">
        <is>
          <t>UPPER CONN. 3-1/2" VAM TOP BOX 9.2 PPF SN 28 110 KSI
DESCRIPTION: 5 FEET XOVER
SAP: 130005011340
SUPPLIER: TENARIS
LOWER CONN. 3-1/2" TSH BLUE PIN 9.2 PPF SN 28 110 KSI</t>
        </is>
      </c>
      <c r="C418" s="1816" t="n">
        <v>5.18</v>
      </c>
      <c r="D418" s="1817" t="n">
        <v>3.908</v>
      </c>
      <c r="E418" s="1817" t="n">
        <v>2.959</v>
      </c>
      <c r="F418" s="1818" t="inlineStr">
        <is>
          <t>N/A</t>
        </is>
      </c>
      <c r="G418" s="1818" t="inlineStr">
        <is>
          <t>N/A</t>
        </is>
      </c>
      <c r="H418" s="1818" t="inlineStr">
        <is>
          <t>130005011340</t>
        </is>
      </c>
      <c r="I418" s="1818" t="inlineStr">
        <is>
          <t>N/A</t>
        </is>
      </c>
    </row>
    <row r="419" ht="76.09999999999999" customHeight="1" s="882">
      <c r="B419" s="1815" t="inlineStr">
        <is>
          <t>UPPER CONN. 3-1/2" SENTINEL PRIME BOX 9.2 PPF TX28- 110 KSI
DESCRIPTION: 5 FEET XOVER
SAP: 130013006385
SUPPLIER: TBX
LOWER CONN. 3-1/2" VAM TOP PIN 9.2 PPF TX28-110 KSI</t>
        </is>
      </c>
      <c r="C419" s="1816" t="n">
        <v>4.97</v>
      </c>
      <c r="D419" s="1817" t="n">
        <v>3.929</v>
      </c>
      <c r="E419" s="1817" t="n">
        <v>2.921</v>
      </c>
      <c r="F419" s="1818" t="inlineStr">
        <is>
          <t>N/A</t>
        </is>
      </c>
      <c r="G419" s="1818" t="inlineStr">
        <is>
          <t>N/A</t>
        </is>
      </c>
      <c r="H419" s="1818" t="inlineStr">
        <is>
          <t>130013006385</t>
        </is>
      </c>
      <c r="I419" s="1818" t="inlineStr">
        <is>
          <t>N/A</t>
        </is>
      </c>
    </row>
    <row r="420" ht="135.8" customHeight="1" s="882">
      <c r="B420" s="1815"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20" s="1816" t="n">
        <v>8.69</v>
      </c>
      <c r="D420" s="1817" t="n">
        <v>5.82</v>
      </c>
      <c r="E420" s="1817" t="n">
        <v>2.9</v>
      </c>
      <c r="F420" s="1818" t="inlineStr">
        <is>
          <t>3205577</t>
        </is>
      </c>
      <c r="G420" s="1818" t="inlineStr">
        <is>
          <t>12636080-05</t>
        </is>
      </c>
      <c r="H420" s="1818" t="inlineStr">
        <is>
          <t>130010036652</t>
        </is>
      </c>
      <c r="I420" s="1818" t="inlineStr">
        <is>
          <t>N/A</t>
        </is>
      </c>
    </row>
    <row r="421" ht="76.09999999999999" customHeight="1" s="882">
      <c r="B421" s="1815" t="inlineStr">
        <is>
          <t>UPPER CONN. 3-1/2" VAM TOP BOX 9.2 PPF TX28- 110 KSI
DESCRIPTION: 5 FEET XOVER
SAP: 130013006383
SUPPLIER: TBX
LOWER CONN -3-1/2" SENTINEL PRIME PIN 9.2 PPF TX28-110 KSI</t>
        </is>
      </c>
      <c r="C421" s="1816" t="n">
        <v>4.8</v>
      </c>
      <c r="D421" s="1817" t="n">
        <v>3.908</v>
      </c>
      <c r="E421" s="1817" t="n">
        <v>2.959</v>
      </c>
      <c r="F421" s="1818" t="inlineStr">
        <is>
          <t>N/A</t>
        </is>
      </c>
      <c r="G421" s="1818" t="inlineStr">
        <is>
          <t>N/A</t>
        </is>
      </c>
      <c r="H421" s="1818" t="inlineStr">
        <is>
          <t>130013006383</t>
        </is>
      </c>
      <c r="I421" s="1818" t="inlineStr">
        <is>
          <t>N/A</t>
        </is>
      </c>
    </row>
    <row r="422" ht="76.09999999999999" customHeight="1" s="882">
      <c r="B422" s="1815" t="inlineStr">
        <is>
          <t>UPPER CONN. 3-1/2" TSH BLUE BOX 9.2 PPF SN 28 110 KSI
DESCRIPTION: 10 FEET XOVER
SAP: 130005012487
SUPPLIER: TENARIS
LOWER CONN. 3-1/2" VAM TOP PIN 9.2 PPF SN 28 110 KSI</t>
        </is>
      </c>
      <c r="C422" s="1816" t="n">
        <v>9.949999999999999</v>
      </c>
      <c r="D422" s="1817" t="n">
        <v>3.937</v>
      </c>
      <c r="E422" s="1817" t="n">
        <v>2.969</v>
      </c>
      <c r="F422" s="1818" t="inlineStr">
        <is>
          <t>N/A</t>
        </is>
      </c>
      <c r="G422" s="1818" t="inlineStr">
        <is>
          <t>N/A</t>
        </is>
      </c>
      <c r="H422" s="1818" t="inlineStr">
        <is>
          <t>130005012487</t>
        </is>
      </c>
      <c r="I422" s="1818" t="inlineStr">
        <is>
          <t>N/A</t>
        </is>
      </c>
    </row>
    <row r="423" ht="14.25" customHeight="1" s="882">
      <c r="A423" s="930" t="inlineStr">
        <is>
          <t>JT.#208</t>
        </is>
      </c>
      <c r="B423" s="930" t="inlineStr">
        <is>
          <t>3-1/2" TUBING 9.2 LB/FT ALLOY 28 TSH BL</t>
        </is>
      </c>
      <c r="C423" s="1153" t="n">
        <v>31</v>
      </c>
    </row>
    <row r="424" ht="14.25" customHeight="1" s="882">
      <c r="A424" s="930" t="inlineStr">
        <is>
          <t>JT.#209</t>
        </is>
      </c>
      <c r="B424" s="930" t="inlineStr">
        <is>
          <t>3-1/2" TUBING 9.2 LB/FT ALLOY 28 TSH BL</t>
        </is>
      </c>
      <c r="C424" s="1153" t="n">
        <v>31</v>
      </c>
    </row>
    <row r="425" ht="14.25" customHeight="1" s="882">
      <c r="A425" s="930" t="inlineStr">
        <is>
          <t>JT.#210</t>
        </is>
      </c>
      <c r="B425" s="930" t="inlineStr">
        <is>
          <t>3-1/2" TUBING 9.2 LB/FT ALLOY 28 TSH BL</t>
        </is>
      </c>
      <c r="C425" s="1153" t="n">
        <v>31</v>
      </c>
    </row>
    <row r="426" ht="14.25" customHeight="1" s="882">
      <c r="A426" s="930" t="inlineStr">
        <is>
          <t>JT.#211</t>
        </is>
      </c>
      <c r="B426" s="930" t="inlineStr">
        <is>
          <t>3-1/2" TUBING 9.2 LB/FT ALLOY 28 TSH BL</t>
        </is>
      </c>
      <c r="C426" s="1153" t="n">
        <v>31</v>
      </c>
    </row>
    <row r="427" ht="14.25" customHeight="1" s="882">
      <c r="A427" s="930" t="inlineStr">
        <is>
          <t>JT.#212</t>
        </is>
      </c>
      <c r="B427" s="930" t="inlineStr">
        <is>
          <t>3-1/2" TUBING 9.2 LB/FT ALLOY 28 TSH BL</t>
        </is>
      </c>
      <c r="C427" s="1153" t="n">
        <v>31</v>
      </c>
    </row>
    <row r="428" ht="14.25" customHeight="1" s="882">
      <c r="A428" s="930" t="inlineStr">
        <is>
          <t>JT.#213</t>
        </is>
      </c>
      <c r="B428" s="930" t="inlineStr">
        <is>
          <t>3-1/2" TUBING 9.2 LB/FT ALLOY 28 TSH BL</t>
        </is>
      </c>
      <c r="C428" s="1153" t="n">
        <v>31</v>
      </c>
    </row>
    <row r="429" ht="14.25" customHeight="1" s="882">
      <c r="A429" s="930" t="inlineStr">
        <is>
          <t>JT.#214</t>
        </is>
      </c>
      <c r="B429" s="930" t="inlineStr">
        <is>
          <t>3-1/2" TUBING 9.2 LB/FT ALLOY 28 TSH BL</t>
        </is>
      </c>
      <c r="C429" s="1153" t="n">
        <v>31</v>
      </c>
    </row>
    <row r="430" ht="14.25" customHeight="1" s="882">
      <c r="A430" s="930" t="inlineStr">
        <is>
          <t>JT.#215</t>
        </is>
      </c>
      <c r="B430" s="930" t="inlineStr">
        <is>
          <t>3-1/2" TUBING 9.2 LB/FT ALLOY 28 TSH BL</t>
        </is>
      </c>
      <c r="C430" s="1153" t="n">
        <v>31</v>
      </c>
    </row>
    <row r="431" ht="14.25" customHeight="1" s="882">
      <c r="A431" s="930" t="inlineStr">
        <is>
          <t>JT.#216</t>
        </is>
      </c>
      <c r="B431" s="930" t="inlineStr">
        <is>
          <t>3-1/2" TUBING 9.2 LB/FT ALLOY 28 TSH BL</t>
        </is>
      </c>
      <c r="C431" s="1153" t="n">
        <v>31</v>
      </c>
    </row>
    <row r="432" ht="14.25" customHeight="1" s="882">
      <c r="A432" s="930" t="inlineStr">
        <is>
          <t>JT.#217</t>
        </is>
      </c>
      <c r="B432" s="930" t="inlineStr">
        <is>
          <t>3-1/2" TUBING 9.2 LB/FT ALLOY 28 TSH BL</t>
        </is>
      </c>
      <c r="C432" s="1153" t="n">
        <v>31</v>
      </c>
    </row>
    <row r="433" ht="14.25" customHeight="1" s="882">
      <c r="A433" s="930" t="inlineStr">
        <is>
          <t>JT.#218</t>
        </is>
      </c>
      <c r="B433" s="930" t="inlineStr">
        <is>
          <t>3-1/2" TUBING 9.2 LB/FT ALLOY 28 TSH BL</t>
        </is>
      </c>
      <c r="C433" s="1153" t="n">
        <v>31</v>
      </c>
    </row>
    <row r="434" ht="14.25" customHeight="1" s="882">
      <c r="A434" s="930" t="inlineStr">
        <is>
          <t>JT.#219</t>
        </is>
      </c>
      <c r="B434" s="930" t="inlineStr">
        <is>
          <t>3-1/2" TUBING 9.2 LB/FT ALLOY 28 TSH BL</t>
        </is>
      </c>
      <c r="C434" s="1153" t="n">
        <v>31</v>
      </c>
    </row>
    <row r="435" ht="14.25" customHeight="1" s="882">
      <c r="A435" s="930" t="inlineStr">
        <is>
          <t>JT.#220</t>
        </is>
      </c>
      <c r="B435" s="930" t="inlineStr">
        <is>
          <t>3-1/2" TUBING 9.2 LB/FT ALLOY 28 TSH BL</t>
        </is>
      </c>
      <c r="C435" s="1153" t="n">
        <v>31</v>
      </c>
    </row>
    <row r="436" ht="14.25" customHeight="1" s="882">
      <c r="A436" s="930" t="inlineStr">
        <is>
          <t>JT.#221</t>
        </is>
      </c>
      <c r="B436" s="930" t="inlineStr">
        <is>
          <t>3-1/2" TUBING 9.2 LB/FT ALLOY 28 TSH BL</t>
        </is>
      </c>
      <c r="C436" s="1153" t="n">
        <v>31</v>
      </c>
    </row>
    <row r="437" ht="14.25" customHeight="1" s="882">
      <c r="A437" s="930" t="inlineStr">
        <is>
          <t>JT.#222</t>
        </is>
      </c>
      <c r="B437" s="930" t="inlineStr">
        <is>
          <t>3-1/2" TUBING 9.2 LB/FT ALLOY 28 TSH BL</t>
        </is>
      </c>
      <c r="C437" s="1153" t="n">
        <v>31</v>
      </c>
    </row>
    <row r="438" ht="14.25" customHeight="1" s="882">
      <c r="A438" s="930" t="inlineStr">
        <is>
          <t>JT.#223</t>
        </is>
      </c>
      <c r="B438" s="930" t="inlineStr">
        <is>
          <t>3-1/2" TUBING 9.2 LB/FT ALLOY 28 TSH BL</t>
        </is>
      </c>
      <c r="C438" s="1153" t="n">
        <v>31</v>
      </c>
    </row>
    <row r="439" ht="14.25" customHeight="1" s="882">
      <c r="A439" s="930" t="inlineStr">
        <is>
          <t>JT.#224</t>
        </is>
      </c>
      <c r="B439" s="930" t="inlineStr">
        <is>
          <t>3-1/2" TUBING 9.2 LB/FT ALLOY 28 TSH BL</t>
        </is>
      </c>
      <c r="C439" s="1153" t="n">
        <v>31</v>
      </c>
    </row>
    <row r="440" ht="14.25" customHeight="1" s="882">
      <c r="A440" s="930" t="inlineStr">
        <is>
          <t>JT.#225</t>
        </is>
      </c>
      <c r="B440" s="930" t="inlineStr">
        <is>
          <t>3-1/2" TUBING 9.2 LB/FT ALLOY 28 TSH BL</t>
        </is>
      </c>
      <c r="C440" s="1153" t="n">
        <v>31</v>
      </c>
    </row>
    <row r="441" ht="14.25" customHeight="1" s="882">
      <c r="A441" s="930" t="inlineStr">
        <is>
          <t>JT.#226</t>
        </is>
      </c>
      <c r="B441" s="930" t="inlineStr">
        <is>
          <t>3-1/2" TUBING 9.2 LB/FT ALLOY 28 TSH BL</t>
        </is>
      </c>
      <c r="C441" s="1153" t="n">
        <v>31</v>
      </c>
    </row>
    <row r="442" ht="14.25" customHeight="1" s="882">
      <c r="A442" s="930" t="inlineStr">
        <is>
          <t>JT.#227</t>
        </is>
      </c>
      <c r="B442" s="930" t="inlineStr">
        <is>
          <t>3-1/2" TUBING 9.2 LB/FT ALLOY 28 TSH BL</t>
        </is>
      </c>
      <c r="C442" s="1153" t="n">
        <v>31</v>
      </c>
    </row>
    <row r="443" ht="14.25" customHeight="1" s="882">
      <c r="A443" s="930" t="inlineStr">
        <is>
          <t>JT.#228</t>
        </is>
      </c>
      <c r="B443" s="930" t="inlineStr">
        <is>
          <t>3-1/2" TUBING 9.2 LB/FT ALLOY 28 TSH BL</t>
        </is>
      </c>
      <c r="C443" s="1153" t="n">
        <v>31</v>
      </c>
    </row>
    <row r="444" ht="14.25" customHeight="1" s="882">
      <c r="A444" s="930" t="inlineStr">
        <is>
          <t>JT.#229</t>
        </is>
      </c>
      <c r="B444" s="930" t="inlineStr">
        <is>
          <t>3-1/2" TUBING 9.2 LB/FT ALLOY 28 TSH BL</t>
        </is>
      </c>
      <c r="C444" s="1153" t="n">
        <v>31</v>
      </c>
    </row>
    <row r="445" ht="14.25" customHeight="1" s="882">
      <c r="A445" s="930" t="inlineStr">
        <is>
          <t>JT.#230</t>
        </is>
      </c>
      <c r="B445" s="930" t="inlineStr">
        <is>
          <t>3-1/2" TUBING 9.2 LB/FT ALLOY 28 TSH BL</t>
        </is>
      </c>
      <c r="C445" s="1153" t="n">
        <v>31</v>
      </c>
    </row>
    <row r="446" ht="14.25" customHeight="1" s="882">
      <c r="A446" s="930" t="inlineStr">
        <is>
          <t>JT.#231</t>
        </is>
      </c>
      <c r="B446" s="930" t="inlineStr">
        <is>
          <t>3-1/2" TUBING 9.2 LB/FT ALLOY 28 TSH BL</t>
        </is>
      </c>
      <c r="C446" s="1153" t="n">
        <v>31</v>
      </c>
    </row>
    <row r="447" ht="14.25" customHeight="1" s="882">
      <c r="A447" s="930" t="inlineStr">
        <is>
          <t>JT.#232</t>
        </is>
      </c>
      <c r="B447" s="930" t="inlineStr">
        <is>
          <t>3-1/2" TUBING 9.2 LB/FT ALLOY 28 TSH BL</t>
        </is>
      </c>
      <c r="C447" s="1153" t="n">
        <v>31</v>
      </c>
    </row>
    <row r="448" ht="14.25" customHeight="1" s="882">
      <c r="A448" s="930" t="inlineStr">
        <is>
          <t>JT.#233</t>
        </is>
      </c>
      <c r="B448" s="930" t="inlineStr">
        <is>
          <t>3-1/2" TUBING 9.2 LB/FT ALLOY 28 TSH BL</t>
        </is>
      </c>
      <c r="C448" s="1153" t="n">
        <v>31</v>
      </c>
    </row>
    <row r="449" ht="14.25" customHeight="1" s="882">
      <c r="A449" s="930" t="inlineStr">
        <is>
          <t>JT.#234</t>
        </is>
      </c>
      <c r="B449" s="930" t="inlineStr">
        <is>
          <t>3-1/2" TUBING 9.2 LB/FT ALLOY 28 TSH BL</t>
        </is>
      </c>
      <c r="C449" s="1153" t="n">
        <v>31</v>
      </c>
    </row>
    <row r="450" ht="14.25" customHeight="1" s="882">
      <c r="A450" s="930" t="inlineStr">
        <is>
          <t>JT.#235</t>
        </is>
      </c>
      <c r="B450" s="930" t="inlineStr">
        <is>
          <t>3-1/2" TUBING 9.2 LB/FT ALLOY 28 TSH BL</t>
        </is>
      </c>
      <c r="C450" s="1153" t="n">
        <v>31</v>
      </c>
    </row>
    <row r="451" ht="76.09999999999999" customHeight="1" s="882">
      <c r="A451" s="1819" t="inlineStr">
        <is>
          <t>D3</t>
        </is>
      </c>
      <c r="B451" s="1820" t="inlineStr">
        <is>
          <t>UPPER CONN. 3-1/2" VAM TOP BOX 9.2 PPF SN 28 110 KSI
DESCRIPTION: 5 FEET XOVER
SAP: 130005011340
SUPPLIER: TENARIS
LOWER CONN. 3-1/2" TSH BLUE PIN 9.2 PPF SN 28 110 KSI</t>
        </is>
      </c>
      <c r="C451" s="1821" t="n">
        <v>5.19</v>
      </c>
      <c r="D451" s="1822" t="n">
        <v>3.908</v>
      </c>
      <c r="E451" s="1822" t="n">
        <v>2.959</v>
      </c>
      <c r="F451" s="1823" t="inlineStr">
        <is>
          <t>N/A</t>
        </is>
      </c>
      <c r="G451" s="1823" t="inlineStr">
        <is>
          <t>N/A</t>
        </is>
      </c>
      <c r="H451" s="1823" t="inlineStr">
        <is>
          <t>130005011340</t>
        </is>
      </c>
      <c r="I451" s="1823" t="inlineStr">
        <is>
          <t>N/A</t>
        </is>
      </c>
    </row>
    <row r="452" ht="76.09999999999999" customHeight="1" s="882">
      <c r="B452" s="1820" t="inlineStr">
        <is>
          <t>UPPER CONN. 3-1/2" SENTINEL PRIME BOX 9.2 PPF TX28-110 KSI
DESCRIPTION: 5 FEET XOVER
SAP: 130013006385
SUPPLIER: TBX
LOWER CONN. 3-1/2" VAM TOP PIN 9.2 PPF TX28-110 KSI</t>
        </is>
      </c>
      <c r="C452" s="1821" t="n">
        <v>4.96</v>
      </c>
      <c r="D452" s="1822" t="n">
        <v>3.929</v>
      </c>
      <c r="E452" s="1822" t="n">
        <v>2.921</v>
      </c>
      <c r="F452" s="1823" t="inlineStr">
        <is>
          <t>N/A</t>
        </is>
      </c>
      <c r="G452" s="1823" t="inlineStr">
        <is>
          <t>N/A</t>
        </is>
      </c>
      <c r="H452" s="1823" t="inlineStr">
        <is>
          <t>130013006385</t>
        </is>
      </c>
      <c r="I452" s="1823" t="inlineStr">
        <is>
          <t>N/A</t>
        </is>
      </c>
    </row>
    <row r="453" ht="135.8" customHeight="1" s="882">
      <c r="B453" s="1820"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53" s="1821" t="n">
        <v>8.69</v>
      </c>
      <c r="D453" s="1822" t="n">
        <v>5.82</v>
      </c>
      <c r="E453" s="1822" t="n">
        <v>2.9</v>
      </c>
      <c r="F453" s="1823" t="inlineStr">
        <is>
          <t>3205577</t>
        </is>
      </c>
      <c r="G453" s="1823" t="inlineStr">
        <is>
          <t>12600735-08</t>
        </is>
      </c>
      <c r="H453" s="1823" t="inlineStr">
        <is>
          <t>130010036652</t>
        </is>
      </c>
      <c r="I453" s="1823" t="inlineStr">
        <is>
          <t>N/A</t>
        </is>
      </c>
    </row>
    <row r="454" ht="76.09999999999999" customHeight="1" s="882">
      <c r="B454" s="1820" t="inlineStr">
        <is>
          <t>UPPER CONN. 3-1/2" VAM TOP BOX 9.2 PPF TX28- 110 KSI
DESCRIPTION: 5 FEET XOVER
SAP: 130013006383
SUPPLIER: TBX
LOWER CONN -3-1/2" SENTINEL PRIME PIN 9.2 PPF TX28-110 KSI</t>
        </is>
      </c>
      <c r="C454" s="1821" t="n">
        <v>4.88</v>
      </c>
      <c r="D454" s="1822" t="n">
        <v>3.908</v>
      </c>
      <c r="E454" s="1822" t="n">
        <v>2.959</v>
      </c>
      <c r="F454" s="1823" t="inlineStr">
        <is>
          <t>N/A</t>
        </is>
      </c>
      <c r="G454" s="1823" t="inlineStr">
        <is>
          <t>N/A</t>
        </is>
      </c>
      <c r="H454" s="1823" t="inlineStr">
        <is>
          <t>130013006383</t>
        </is>
      </c>
      <c r="I454" s="1823" t="inlineStr">
        <is>
          <t>N/A</t>
        </is>
      </c>
    </row>
    <row r="455" ht="76.09999999999999" customHeight="1" s="882">
      <c r="B455" s="1820" t="inlineStr">
        <is>
          <t>UPPER CONN. 3-1/2" TSH BLUE BOX 9.2 PPF SN 28 110 KSI
DESCRIPTION: 10 FEET XOVER
SAP: 130005012487
SUPPLIER: TENARIS
LOWER CONN. 3-1/2" VAM TOP PIN 9.2 PPF SN 28 110 KSI</t>
        </is>
      </c>
      <c r="C455" s="1821" t="n">
        <v>9.93</v>
      </c>
      <c r="D455" s="1822" t="n">
        <v>3.937</v>
      </c>
      <c r="E455" s="1822" t="n">
        <v>2.969</v>
      </c>
      <c r="F455" s="1823" t="inlineStr">
        <is>
          <t>N/A</t>
        </is>
      </c>
      <c r="G455" s="1823" t="inlineStr">
        <is>
          <t>N/A</t>
        </is>
      </c>
      <c r="H455" s="1823" t="inlineStr">
        <is>
          <t>130005012487</t>
        </is>
      </c>
      <c r="I455" s="1823" t="inlineStr">
        <is>
          <t>N/A</t>
        </is>
      </c>
    </row>
    <row r="456" ht="14.25" customHeight="1" s="882">
      <c r="A456" s="930" t="inlineStr">
        <is>
          <t>JT.#236</t>
        </is>
      </c>
      <c r="B456" s="930" t="inlineStr">
        <is>
          <t>3-1/2" TUBING 9.2 LB/FT ALLOY 28 TSH BL</t>
        </is>
      </c>
      <c r="C456" s="1153" t="n">
        <v>31</v>
      </c>
    </row>
    <row r="457" ht="14.25" customHeight="1" s="882">
      <c r="A457" s="930" t="inlineStr">
        <is>
          <t>JT.#237</t>
        </is>
      </c>
      <c r="B457" s="930" t="inlineStr">
        <is>
          <t>3-1/2" TUBING 9.2 LB/FT ALLOY 28 TSH BL</t>
        </is>
      </c>
      <c r="C457" s="1153" t="n">
        <v>31</v>
      </c>
    </row>
    <row r="458" ht="14.25" customHeight="1" s="882">
      <c r="A458" s="930" t="inlineStr">
        <is>
          <t>JT.#238</t>
        </is>
      </c>
      <c r="B458" s="930" t="inlineStr">
        <is>
          <t>3-1/2" TUBING 9.2 LB/FT ALLOY 28 TSH BL</t>
        </is>
      </c>
      <c r="C458" s="1153" t="n">
        <v>31</v>
      </c>
    </row>
    <row r="459" ht="14.25" customHeight="1" s="882">
      <c r="A459" s="930" t="inlineStr">
        <is>
          <t>JT.#239</t>
        </is>
      </c>
      <c r="B459" s="930" t="inlineStr">
        <is>
          <t>3-1/2" TUBING 9.2 LB/FT ALLOY 28 TSH BL</t>
        </is>
      </c>
      <c r="C459" s="1153" t="n">
        <v>31</v>
      </c>
    </row>
    <row r="460" ht="14.25" customHeight="1" s="882">
      <c r="A460" s="930" t="inlineStr">
        <is>
          <t>JT.#240</t>
        </is>
      </c>
      <c r="B460" s="930" t="inlineStr">
        <is>
          <t>3-1/2" TUBING 9.2 LB/FT ALLOY 28 TSH BL</t>
        </is>
      </c>
      <c r="C460" s="1153" t="n">
        <v>31</v>
      </c>
    </row>
    <row r="461" ht="14.25" customHeight="1" s="882">
      <c r="A461" s="930" t="inlineStr">
        <is>
          <t>JT.#241</t>
        </is>
      </c>
      <c r="B461" s="930" t="inlineStr">
        <is>
          <t>3-1/2" TUBING 9.2 LB/FT ALLOY 28 TSH BL</t>
        </is>
      </c>
      <c r="C461" s="1153" t="n">
        <v>31</v>
      </c>
    </row>
    <row r="462" ht="14.25" customHeight="1" s="882">
      <c r="A462" s="930" t="inlineStr">
        <is>
          <t>JT.#242</t>
        </is>
      </c>
      <c r="B462" s="930" t="inlineStr">
        <is>
          <t>3-1/2" TUBING 9.2 LB/FT ALLOY 28 TSH BL</t>
        </is>
      </c>
      <c r="C462" s="1153" t="n">
        <v>31</v>
      </c>
    </row>
    <row r="463" ht="14.25" customHeight="1" s="882">
      <c r="A463" s="930" t="inlineStr">
        <is>
          <t>JT.#243</t>
        </is>
      </c>
      <c r="B463" s="930" t="inlineStr">
        <is>
          <t>3-1/2" TUBING 9.2 LB/FT ALLOY 28 TSH BL</t>
        </is>
      </c>
      <c r="C463" s="1153" t="n">
        <v>31</v>
      </c>
    </row>
    <row r="464" ht="14.25" customHeight="1" s="882">
      <c r="A464" s="930" t="inlineStr">
        <is>
          <t>JT.#244</t>
        </is>
      </c>
      <c r="B464" s="930" t="inlineStr">
        <is>
          <t>3-1/2" TUBING 9.2 LB/FT ALLOY 28 TSH BL</t>
        </is>
      </c>
      <c r="C464" s="1153" t="n">
        <v>31</v>
      </c>
    </row>
    <row r="465" ht="14.25" customHeight="1" s="882">
      <c r="A465" s="930" t="inlineStr">
        <is>
          <t>JT.#245</t>
        </is>
      </c>
      <c r="B465" s="930" t="inlineStr">
        <is>
          <t>3-1/2" TUBING 9.2 LB/FT ALLOY 28 TSH BL</t>
        </is>
      </c>
      <c r="C465" s="1153" t="n">
        <v>31</v>
      </c>
    </row>
    <row r="466" ht="14.25" customHeight="1" s="882">
      <c r="A466" s="930" t="inlineStr">
        <is>
          <t>JT.#246</t>
        </is>
      </c>
      <c r="B466" s="930" t="inlineStr">
        <is>
          <t>3-1/2" TUBING 9.2 LB/FT ALLOY 28 TSH BL</t>
        </is>
      </c>
      <c r="C466" s="1153" t="n">
        <v>31</v>
      </c>
    </row>
    <row r="467" ht="14.25" customHeight="1" s="882">
      <c r="A467" s="930" t="inlineStr">
        <is>
          <t>JT.#247</t>
        </is>
      </c>
      <c r="B467" s="930" t="inlineStr">
        <is>
          <t>3-1/2" TUBING 9.2 LB/FT ALLOY 28 TSH BL</t>
        </is>
      </c>
      <c r="C467" s="1153" t="n">
        <v>31</v>
      </c>
    </row>
    <row r="468" ht="14.25" customHeight="1" s="882">
      <c r="A468" s="930" t="inlineStr">
        <is>
          <t>JT.#248</t>
        </is>
      </c>
      <c r="B468" s="930" t="inlineStr">
        <is>
          <t>3-1/2" TUBING 9.2 LB/FT ALLOY 28 TSH BL</t>
        </is>
      </c>
      <c r="C468" s="1153" t="n">
        <v>31</v>
      </c>
    </row>
    <row r="469" ht="14.25" customHeight="1" s="882">
      <c r="A469" s="930" t="inlineStr">
        <is>
          <t>JT.#249</t>
        </is>
      </c>
      <c r="B469" s="930" t="inlineStr">
        <is>
          <t>3-1/2" TUBING 9.2 LB/FT ALLOY 28 TSH BL</t>
        </is>
      </c>
      <c r="C469" s="1153" t="n">
        <v>31</v>
      </c>
    </row>
    <row r="470" ht="14.25" customHeight="1" s="882">
      <c r="A470" s="930" t="inlineStr">
        <is>
          <t>JT.#250</t>
        </is>
      </c>
      <c r="B470" s="930" t="inlineStr">
        <is>
          <t>3-1/2" TUBING 9.2 LB/FT ALLOY 28 TSH BL</t>
        </is>
      </c>
      <c r="C470" s="1153" t="n">
        <v>31</v>
      </c>
    </row>
    <row r="471" ht="14.25" customHeight="1" s="882">
      <c r="A471" s="930" t="inlineStr">
        <is>
          <t>JT.#251</t>
        </is>
      </c>
      <c r="B471" s="930" t="inlineStr">
        <is>
          <t>3-1/2" TUBING 9.2 LB/FT ALLOY 28 TSH BL</t>
        </is>
      </c>
      <c r="C471" s="1153" t="n">
        <v>31</v>
      </c>
    </row>
    <row r="472" ht="14.25" customHeight="1" s="882">
      <c r="A472" s="930" t="inlineStr">
        <is>
          <t>JT.#252</t>
        </is>
      </c>
      <c r="B472" s="930" t="inlineStr">
        <is>
          <t>3-1/2" TUBING 9.2 LB/FT ALLOY 28 TSH BL</t>
        </is>
      </c>
      <c r="C472" s="1153" t="n">
        <v>31</v>
      </c>
    </row>
    <row r="473" ht="14.25" customHeight="1" s="882">
      <c r="A473" s="930" t="inlineStr">
        <is>
          <t>JT.#253</t>
        </is>
      </c>
      <c r="B473" s="930" t="inlineStr">
        <is>
          <t>3-1/2" TUBING 9.2 LB/FT ALLOY 28 TSH BL</t>
        </is>
      </c>
      <c r="C473" s="1153" t="n">
        <v>31</v>
      </c>
    </row>
    <row r="474" ht="14.25" customHeight="1" s="882">
      <c r="A474" s="930" t="inlineStr">
        <is>
          <t>JT.#254</t>
        </is>
      </c>
      <c r="B474" s="930" t="inlineStr">
        <is>
          <t>3-1/2" TUBING 9.2 LB/FT ALLOY 28 TSH BL</t>
        </is>
      </c>
      <c r="C474" s="1153" t="n">
        <v>31</v>
      </c>
    </row>
    <row r="475" ht="14.25" customHeight="1" s="882">
      <c r="A475" s="930" t="inlineStr">
        <is>
          <t>JT.#255</t>
        </is>
      </c>
      <c r="B475" s="930" t="inlineStr">
        <is>
          <t>3-1/2" TUBING 9.2 LB/FT ALLOY 28 TSH BL</t>
        </is>
      </c>
      <c r="C475" s="1153" t="n">
        <v>31</v>
      </c>
    </row>
    <row r="476" ht="14.25" customHeight="1" s="882">
      <c r="A476" s="930" t="inlineStr">
        <is>
          <t>JT.#256</t>
        </is>
      </c>
      <c r="B476" s="930" t="inlineStr">
        <is>
          <t>3-1/2" TUBING 9.2 LB/FT ALLOY 28 TSH BL</t>
        </is>
      </c>
      <c r="C476" s="1153" t="n">
        <v>31</v>
      </c>
    </row>
    <row r="477" ht="14.25" customHeight="1" s="882">
      <c r="A477" s="930" t="inlineStr">
        <is>
          <t>JT.#257</t>
        </is>
      </c>
      <c r="B477" s="930" t="inlineStr">
        <is>
          <t>3-1/2" TUBING 9.2 LB/FT ALLOY 28 TSH BL</t>
        </is>
      </c>
      <c r="C477" s="1153" t="n">
        <v>31</v>
      </c>
    </row>
    <row r="478" ht="14.25" customHeight="1" s="882">
      <c r="A478" s="930" t="inlineStr">
        <is>
          <t>JT.#258</t>
        </is>
      </c>
      <c r="B478" s="930" t="inlineStr">
        <is>
          <t>3-1/2" TUBING 9.2 LB/FT ALLOY 28 TSH BL</t>
        </is>
      </c>
      <c r="C478" s="1153" t="n">
        <v>31</v>
      </c>
    </row>
    <row r="479" ht="14.25" customHeight="1" s="882">
      <c r="A479" s="930" t="inlineStr">
        <is>
          <t>JT.#259</t>
        </is>
      </c>
      <c r="B479" s="930" t="inlineStr">
        <is>
          <t>3-1/2" TUBING 9.2 LB/FT ALLOY 28 TSH BL</t>
        </is>
      </c>
      <c r="C479" s="1153" t="n">
        <v>31</v>
      </c>
    </row>
    <row r="480" ht="14.25" customHeight="1" s="882">
      <c r="A480" s="930" t="inlineStr">
        <is>
          <t>JT.#260</t>
        </is>
      </c>
      <c r="B480" s="930" t="inlineStr">
        <is>
          <t>3-1/2" TUBING 9.2 LB/FT ALLOY 28 TSH BL</t>
        </is>
      </c>
      <c r="C480" s="1153" t="n">
        <v>31</v>
      </c>
    </row>
    <row r="481" ht="14.25" customHeight="1" s="882">
      <c r="A481" s="930" t="inlineStr">
        <is>
          <t>JT.#261</t>
        </is>
      </c>
      <c r="B481" s="930" t="inlineStr">
        <is>
          <t>3-1/2" TUBING 9.2 LB/FT ALLOY 28 TSH BL</t>
        </is>
      </c>
      <c r="C481" s="1153" t="n">
        <v>31</v>
      </c>
    </row>
    <row r="482" ht="14.25" customHeight="1" s="882">
      <c r="A482" s="930" t="inlineStr">
        <is>
          <t>JT.#262</t>
        </is>
      </c>
      <c r="B482" s="930" t="inlineStr">
        <is>
          <t>3-1/2" TUBING 9.2 LB/FT ALLOY 28 TSH BL</t>
        </is>
      </c>
      <c r="C482" s="1153" t="n">
        <v>31</v>
      </c>
    </row>
    <row r="483" ht="14.25" customHeight="1" s="882">
      <c r="A483" s="930" t="inlineStr">
        <is>
          <t>JT.#263</t>
        </is>
      </c>
      <c r="B483" s="930" t="inlineStr">
        <is>
          <t>3-1/2" TUBING 9.2 LB/FT ALLOY 28 TSH BL</t>
        </is>
      </c>
      <c r="C483" s="1153" t="n">
        <v>31</v>
      </c>
    </row>
    <row r="484" ht="14.25" customHeight="1" s="882">
      <c r="A484" s="930" t="inlineStr">
        <is>
          <t>JT.#264</t>
        </is>
      </c>
      <c r="B484" s="930" t="inlineStr">
        <is>
          <t>3-1/2" TUBING 9.2 LB/FT ALLOY 28 TSH BL</t>
        </is>
      </c>
      <c r="C484" s="1153" t="n">
        <v>31</v>
      </c>
    </row>
    <row r="485" ht="14.25" customHeight="1" s="882">
      <c r="A485" s="930" t="inlineStr">
        <is>
          <t>JT.#265</t>
        </is>
      </c>
      <c r="B485" s="930" t="inlineStr">
        <is>
          <t>3-1/2" TUBING 9.2 LB/FT ALLOY 28 TSH BL</t>
        </is>
      </c>
      <c r="C485" s="1153" t="n">
        <v>31</v>
      </c>
    </row>
    <row r="486" ht="14.25" customHeight="1" s="882">
      <c r="A486" s="930" t="inlineStr">
        <is>
          <t>JT.#266</t>
        </is>
      </c>
      <c r="B486" s="930" t="inlineStr">
        <is>
          <t>3-1/2" TUBING 9.2 LB/FT ALLOY 28 TSH BL</t>
        </is>
      </c>
      <c r="C486" s="1153" t="n">
        <v>31</v>
      </c>
    </row>
    <row r="487" ht="14.25" customHeight="1" s="882">
      <c r="A487" s="930" t="inlineStr">
        <is>
          <t>JT.#267</t>
        </is>
      </c>
      <c r="B487" s="930" t="inlineStr">
        <is>
          <t>3-1/2" TUBING 9.2 LB/FT ALLOY 28 TSH BL</t>
        </is>
      </c>
      <c r="C487" s="1153" t="n">
        <v>31</v>
      </c>
    </row>
    <row r="488" ht="14.25" customHeight="1" s="882">
      <c r="A488" s="930" t="inlineStr">
        <is>
          <t>JT.#268</t>
        </is>
      </c>
      <c r="B488" s="930" t="inlineStr">
        <is>
          <t>3-1/2" TUBING 9.2 LB/FT ALLOY 28 TSH BL</t>
        </is>
      </c>
      <c r="C488" s="1153" t="n">
        <v>31</v>
      </c>
    </row>
    <row r="489" ht="14.25" customHeight="1" s="882">
      <c r="A489" s="930" t="inlineStr">
        <is>
          <t>JT.#269</t>
        </is>
      </c>
      <c r="B489" s="930" t="inlineStr">
        <is>
          <t>3-1/2" TUBING 9.2 LB/FT ALLOY 28 TSH BL</t>
        </is>
      </c>
      <c r="C489" s="1153" t="n">
        <v>31</v>
      </c>
    </row>
    <row r="490" ht="14.25" customHeight="1" s="882">
      <c r="A490" s="930" t="inlineStr">
        <is>
          <t>JT.#270</t>
        </is>
      </c>
      <c r="B490" s="930" t="inlineStr">
        <is>
          <t>3-1/2" TUBING 9.2 LB/FT ALLOY 28 TSH BL</t>
        </is>
      </c>
      <c r="C490" s="1153" t="n">
        <v>31</v>
      </c>
    </row>
    <row r="491" ht="14.25" customHeight="1" s="882">
      <c r="A491" s="930" t="inlineStr">
        <is>
          <t>JT.#271</t>
        </is>
      </c>
      <c r="B491" s="930" t="inlineStr">
        <is>
          <t>3-1/2" TUBING 9.2 LB/FT ALLOY 28 TSH BL</t>
        </is>
      </c>
      <c r="C491" s="1153" t="n">
        <v>31</v>
      </c>
    </row>
    <row r="492" ht="14.25" customHeight="1" s="882">
      <c r="A492" s="930" t="inlineStr">
        <is>
          <t>JT.#272</t>
        </is>
      </c>
      <c r="B492" s="930" t="inlineStr">
        <is>
          <t>3-1/2" TUBING 9.2 LB/FT ALLOY 28 TSH BL</t>
        </is>
      </c>
      <c r="C492" s="1153" t="n">
        <v>31</v>
      </c>
    </row>
    <row r="493" ht="14.25" customHeight="1" s="882">
      <c r="A493" s="930" t="inlineStr">
        <is>
          <t>JT.#273</t>
        </is>
      </c>
      <c r="B493" s="930" t="inlineStr">
        <is>
          <t>3-1/2" TUBING 9.2 LB/FT ALLOY 28 TSH BL</t>
        </is>
      </c>
      <c r="C493" s="1153" t="n">
        <v>31</v>
      </c>
    </row>
    <row r="494" ht="14.25" customHeight="1" s="882">
      <c r="A494" s="930" t="inlineStr">
        <is>
          <t>JT.#274</t>
        </is>
      </c>
      <c r="B494" s="930" t="inlineStr">
        <is>
          <t>3-1/2" TUBING 9.2 LB/FT ALLOY 28 TSH BL</t>
        </is>
      </c>
      <c r="C494" s="1153" t="n">
        <v>31</v>
      </c>
    </row>
    <row r="495" ht="14.25" customHeight="1" s="882">
      <c r="A495" s="930" t="inlineStr">
        <is>
          <t>JT.#275</t>
        </is>
      </c>
      <c r="B495" s="930" t="inlineStr">
        <is>
          <t>3-1/2" TUBING 9.2 LB/FT ALLOY 28 TSH BL</t>
        </is>
      </c>
      <c r="C495" s="1153" t="n">
        <v>31</v>
      </c>
    </row>
    <row r="496" ht="14.25" customHeight="1" s="882">
      <c r="A496" s="930" t="inlineStr">
        <is>
          <t>JT.#276</t>
        </is>
      </c>
      <c r="B496" s="930" t="inlineStr">
        <is>
          <t>3-1/2" TUBING 9.2 LB/FT ALLOY 28 TSH BL</t>
        </is>
      </c>
      <c r="C496" s="1153" t="n">
        <v>31</v>
      </c>
    </row>
    <row r="497" ht="14.25" customHeight="1" s="882">
      <c r="A497" s="930" t="inlineStr">
        <is>
          <t>JT.#277</t>
        </is>
      </c>
      <c r="B497" s="930" t="inlineStr">
        <is>
          <t>3-1/2" TUBING 9.2 LB/FT ALLOY 28 TSH BL</t>
        </is>
      </c>
      <c r="C497" s="1153" t="n">
        <v>31</v>
      </c>
    </row>
    <row r="498" ht="14.25" customHeight="1" s="882">
      <c r="A498" s="930" t="inlineStr">
        <is>
          <t>JT.#278</t>
        </is>
      </c>
      <c r="B498" s="930" t="inlineStr">
        <is>
          <t>3-1/2" TUBING 9.2 LB/FT ALLOY 28 TSH BL</t>
        </is>
      </c>
      <c r="C498" s="1153" t="n">
        <v>31</v>
      </c>
    </row>
    <row r="499" ht="14.25" customHeight="1" s="882">
      <c r="A499" s="930" t="inlineStr">
        <is>
          <t>JT.#279</t>
        </is>
      </c>
      <c r="B499" s="930" t="inlineStr">
        <is>
          <t>3-1/2" TUBING 9.2 LB/FT ALLOY 28 TSH BL</t>
        </is>
      </c>
      <c r="C499" s="1153" t="n">
        <v>31</v>
      </c>
    </row>
    <row r="500" ht="14.25" customHeight="1" s="882">
      <c r="A500" s="930" t="inlineStr">
        <is>
          <t>JT.#280</t>
        </is>
      </c>
      <c r="B500" s="930" t="inlineStr">
        <is>
          <t>3-1/2" TUBING 9.2 LB/FT ALLOY 28 TSH BL</t>
        </is>
      </c>
      <c r="C500" s="1153" t="n">
        <v>31</v>
      </c>
    </row>
    <row r="501" ht="14.25" customHeight="1" s="882">
      <c r="A501" s="930" t="inlineStr">
        <is>
          <t>JT.#281</t>
        </is>
      </c>
      <c r="B501" s="930" t="inlineStr">
        <is>
          <t>3-1/2" TUBING 9.2 LB/FT ALLOY 28 TSH BL</t>
        </is>
      </c>
      <c r="C501" s="1153" t="n">
        <v>31</v>
      </c>
    </row>
    <row r="502" ht="14.25" customHeight="1" s="882">
      <c r="A502" s="930" t="inlineStr">
        <is>
          <t>JT.#282</t>
        </is>
      </c>
      <c r="B502" s="930" t="inlineStr">
        <is>
          <t>3-1/2" TUBING 9.2 LB/FT ALLOY 28 TSH BL</t>
        </is>
      </c>
      <c r="C502" s="1153" t="n">
        <v>31</v>
      </c>
    </row>
    <row r="503" ht="14.25" customHeight="1" s="882">
      <c r="A503" s="930" t="inlineStr">
        <is>
          <t>JT.#283</t>
        </is>
      </c>
      <c r="B503" s="930" t="inlineStr">
        <is>
          <t>3-1/2" TUBING 9.2 LB/FT ALLOY 28 TSH BL</t>
        </is>
      </c>
      <c r="C503" s="1153" t="n">
        <v>31</v>
      </c>
    </row>
    <row r="504" ht="14.25" customHeight="1" s="882">
      <c r="A504" s="930" t="inlineStr">
        <is>
          <t>JT.#284</t>
        </is>
      </c>
      <c r="B504" s="930" t="inlineStr">
        <is>
          <t>3-1/2" TUBING 9.2 LB/FT ALLOY 28 TSH BL</t>
        </is>
      </c>
      <c r="C504" s="1153" t="n">
        <v>31</v>
      </c>
    </row>
    <row r="505" ht="76.09999999999999" customHeight="1" s="882">
      <c r="A505" s="1824" t="inlineStr">
        <is>
          <t>D4</t>
        </is>
      </c>
      <c r="B505" s="1825" t="inlineStr">
        <is>
          <t>UPPER CONN. 3-1/2" VAM TOP BOX 9.2 PPF SN 28 110 KSI
DESCRIPTION: 5 FEET XOVER
SAP: 130005011340
SUPPLIER: TENARIS
LOWER CONN. 3-1/2" TSH BLUE PIN 9.2 PPF SN 28 110 KSI</t>
        </is>
      </c>
      <c r="C505" s="1826" t="n">
        <v>5.18</v>
      </c>
      <c r="D505" s="1827" t="n">
        <v>3.908</v>
      </c>
      <c r="E505" s="1827" t="n">
        <v>2.959</v>
      </c>
      <c r="F505" s="1828" t="inlineStr">
        <is>
          <t>N/A</t>
        </is>
      </c>
      <c r="G505" s="1828" t="inlineStr">
        <is>
          <t>N/A</t>
        </is>
      </c>
      <c r="H505" s="1828" t="inlineStr">
        <is>
          <t>130005011340</t>
        </is>
      </c>
      <c r="I505" s="1828" t="inlineStr">
        <is>
          <t>N/A</t>
        </is>
      </c>
    </row>
    <row r="506" ht="76.09999999999999" customHeight="1" s="882">
      <c r="B506" s="1825" t="inlineStr">
        <is>
          <t>UPPER CONN. 3-1/2" SENTINEL PRIME BOX 9.2 PPF TX28-110 KSI
DESCRIPTION: 5 FEET XOVER
SAP: 130013006385
SUPPLIER: TBX
LOWER CONN. 3-1/2" VAM TOP PIN 9.2 PPF TX28-110 KSI</t>
        </is>
      </c>
      <c r="C506" s="1826" t="n">
        <v>4.96</v>
      </c>
      <c r="D506" s="1827" t="n">
        <v>3.929</v>
      </c>
      <c r="E506" s="1827" t="n">
        <v>2.921</v>
      </c>
      <c r="F506" s="1828" t="inlineStr">
        <is>
          <t>N/A</t>
        </is>
      </c>
      <c r="G506" s="1828" t="inlineStr">
        <is>
          <t>N/A</t>
        </is>
      </c>
      <c r="H506" s="1828" t="inlineStr">
        <is>
          <t>130013006385</t>
        </is>
      </c>
      <c r="I506" s="1828" t="inlineStr">
        <is>
          <t>N/A</t>
        </is>
      </c>
    </row>
    <row r="507" ht="135.8" customHeight="1" s="882">
      <c r="B507" s="1825"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07" s="1826" t="n">
        <v>8.69</v>
      </c>
      <c r="D507" s="1827" t="n">
        <v>5.82</v>
      </c>
      <c r="E507" s="1827" t="n">
        <v>2.9</v>
      </c>
      <c r="F507" s="1828" t="inlineStr">
        <is>
          <t>3205577</t>
        </is>
      </c>
      <c r="G507" s="1828" t="inlineStr">
        <is>
          <t>12696654-13</t>
        </is>
      </c>
      <c r="H507" s="1828" t="inlineStr">
        <is>
          <t>130010036652</t>
        </is>
      </c>
      <c r="I507" s="1828" t="inlineStr">
        <is>
          <t>N/A</t>
        </is>
      </c>
    </row>
    <row r="508" ht="76.09999999999999" customHeight="1" s="882">
      <c r="B508" s="1825" t="inlineStr">
        <is>
          <t>UPPER CONN. 3-1/2" VAM TOP BOX 9.2 PPF TX28- 110 KSI
DESCRIPTION: 10 FEET XOVER
SAP: 1130013006387
SUPPLIER: TBX
LOWER CONN-3-1/2" SENTINELPRIME PIN 9.2 PPF TX28110 KSI</t>
        </is>
      </c>
      <c r="C508" s="1826" t="n">
        <v>9.779999999999999</v>
      </c>
      <c r="D508" s="1827" t="n">
        <v>3.908</v>
      </c>
      <c r="E508" s="1827" t="n">
        <v>2.959</v>
      </c>
      <c r="F508" s="1828" t="inlineStr">
        <is>
          <t>N/A</t>
        </is>
      </c>
      <c r="G508" s="1828" t="inlineStr">
        <is>
          <t>N/A</t>
        </is>
      </c>
      <c r="H508" s="1828" t="inlineStr">
        <is>
          <t>1130013006387</t>
        </is>
      </c>
      <c r="I508" s="1828" t="inlineStr">
        <is>
          <t>N/A</t>
        </is>
      </c>
    </row>
    <row r="509" ht="76.09999999999999" customHeight="1" s="882">
      <c r="B509" s="1825" t="inlineStr">
        <is>
          <t>UPPER CONN. 3-1/2" TSH BLUE BOX 9.2 PPF SN 28 110 KSI
DESCRIPTION: 5 FEET XOVER
SAP: 130005011340
SUPPLIER: TENARIS
LOWER CONN. 3-1/2" VAM TOP PIN 9.2 PPF SN 28 110 KSI</t>
        </is>
      </c>
      <c r="C509" s="1826" t="n">
        <v>4.96</v>
      </c>
      <c r="D509" s="1827" t="n">
        <v>3.937</v>
      </c>
      <c r="E509" s="1827" t="n">
        <v>2.969</v>
      </c>
      <c r="F509" s="1828" t="inlineStr">
        <is>
          <t>N/A</t>
        </is>
      </c>
      <c r="G509" s="1828" t="inlineStr">
        <is>
          <t>N/A</t>
        </is>
      </c>
      <c r="H509" s="1828" t="inlineStr">
        <is>
          <t>130005011340</t>
        </is>
      </c>
      <c r="I509" s="1828" t="inlineStr">
        <is>
          <t>N/A</t>
        </is>
      </c>
    </row>
    <row r="510" ht="14.25" customHeight="1" s="882">
      <c r="A510" s="930" t="inlineStr">
        <is>
          <t>JT.#285</t>
        </is>
      </c>
      <c r="B510" s="930" t="inlineStr">
        <is>
          <t>3-1/2" TUBING 9.2 LB/FT ALLOY 28 TSH BL</t>
        </is>
      </c>
      <c r="C510" s="1153" t="n">
        <v>31</v>
      </c>
    </row>
    <row r="511" ht="14.25" customHeight="1" s="882">
      <c r="A511" s="930" t="inlineStr">
        <is>
          <t>JT.#286</t>
        </is>
      </c>
      <c r="B511" s="930" t="inlineStr">
        <is>
          <t>3-1/2" TUBING 9.2 LB/FT ALLOY 28 TSH BL</t>
        </is>
      </c>
      <c r="C511" s="1153" t="n">
        <v>31</v>
      </c>
    </row>
    <row r="512" ht="14.25" customHeight="1" s="882">
      <c r="A512" s="930" t="inlineStr">
        <is>
          <t>JT.#287</t>
        </is>
      </c>
      <c r="B512" s="930" t="inlineStr">
        <is>
          <t>3-1/2" TUBING 9.2 LB/FT ALLOY 28 TSH BL</t>
        </is>
      </c>
      <c r="C512" s="1153" t="n">
        <v>31</v>
      </c>
    </row>
    <row r="513" ht="14.25" customHeight="1" s="882">
      <c r="A513" s="930" t="inlineStr">
        <is>
          <t>JT.#288</t>
        </is>
      </c>
      <c r="B513" s="930" t="inlineStr">
        <is>
          <t>3-1/2" TUBING 9.2 LB/FT ALLOY 28 TSH BL</t>
        </is>
      </c>
      <c r="C513" s="1153" t="n">
        <v>31</v>
      </c>
    </row>
    <row r="514" ht="14.25" customHeight="1" s="882">
      <c r="A514" s="930" t="inlineStr">
        <is>
          <t>JT.#289</t>
        </is>
      </c>
      <c r="B514" s="930" t="inlineStr">
        <is>
          <t>3-1/2" TUBING 9.2 LB/FT ALLOY 28 TSH BL</t>
        </is>
      </c>
      <c r="C514" s="1153" t="n">
        <v>31</v>
      </c>
    </row>
    <row r="515" ht="14.25" customHeight="1" s="882">
      <c r="A515" s="930" t="inlineStr">
        <is>
          <t>JT.#290</t>
        </is>
      </c>
      <c r="B515" s="930" t="inlineStr">
        <is>
          <t>3-1/2" TUBING 9.2 LB/FT ALLOY 28 TSH BL</t>
        </is>
      </c>
      <c r="C515" s="1153" t="n">
        <v>31</v>
      </c>
    </row>
    <row r="516" ht="14.25" customHeight="1" s="882">
      <c r="A516" s="930" t="inlineStr">
        <is>
          <t>JT.#291</t>
        </is>
      </c>
      <c r="B516" s="930" t="inlineStr">
        <is>
          <t>3-1/2" TUBING 9.2 LB/FT ALLOY 28 TSH BL</t>
        </is>
      </c>
      <c r="C516" s="1153" t="n">
        <v>31</v>
      </c>
    </row>
    <row r="517" ht="14.25" customHeight="1" s="882">
      <c r="A517" s="930" t="inlineStr">
        <is>
          <t>JT.#292</t>
        </is>
      </c>
      <c r="B517" s="930" t="inlineStr">
        <is>
          <t>3-1/2" TUBING 9.2 LB/FT ALLOY 28 TSH BL</t>
        </is>
      </c>
      <c r="C517" s="1153" t="n">
        <v>31</v>
      </c>
    </row>
    <row r="518" ht="14.25" customHeight="1" s="882">
      <c r="A518" s="930" t="inlineStr">
        <is>
          <t>JT.#293</t>
        </is>
      </c>
      <c r="B518" s="930" t="inlineStr">
        <is>
          <t>3-1/2" TUBING 9.2 LB/FT ALLOY 28 TSH BL</t>
        </is>
      </c>
      <c r="C518" s="1153" t="n">
        <v>31</v>
      </c>
    </row>
    <row r="519" ht="14.25" customHeight="1" s="882">
      <c r="A519" s="930" t="inlineStr">
        <is>
          <t>JT.#294</t>
        </is>
      </c>
      <c r="B519" s="930" t="inlineStr">
        <is>
          <t>3-1/2" TUBING 9.2 LB/FT ALLOY 28 TSH BL</t>
        </is>
      </c>
      <c r="C519" s="1153" t="n">
        <v>31</v>
      </c>
    </row>
    <row r="520" ht="14.25" customHeight="1" s="882">
      <c r="A520" s="930" t="inlineStr">
        <is>
          <t>JT.#295</t>
        </is>
      </c>
      <c r="B520" s="930" t="inlineStr">
        <is>
          <t>3-1/2" TUBING 9.2 LB/FT ALLOY 28 TSH BL</t>
        </is>
      </c>
      <c r="C520" s="1153" t="n">
        <v>31</v>
      </c>
    </row>
    <row r="521" ht="14.25" customHeight="1" s="882">
      <c r="A521" s="930" t="inlineStr">
        <is>
          <t>JT.#296</t>
        </is>
      </c>
      <c r="B521" s="930" t="inlineStr">
        <is>
          <t>3-1/2" TUBING 9.2 LB/FT ALLOY 28 TSH BL</t>
        </is>
      </c>
      <c r="C521" s="1153" t="n">
        <v>31</v>
      </c>
    </row>
    <row r="522" ht="14.25" customHeight="1" s="882">
      <c r="A522" s="930" t="inlineStr">
        <is>
          <t>JT.#297</t>
        </is>
      </c>
      <c r="B522" s="930" t="inlineStr">
        <is>
          <t>3-1/2" TUBING 9.2 LB/FT ALLOY 28 TSH BL</t>
        </is>
      </c>
      <c r="C522" s="1153" t="n">
        <v>31</v>
      </c>
    </row>
    <row r="523" ht="14.25" customHeight="1" s="882">
      <c r="A523" s="930" t="inlineStr">
        <is>
          <t>JT.#298</t>
        </is>
      </c>
      <c r="B523" s="930" t="inlineStr">
        <is>
          <t>3-1/2" TUBING 9.2 LB/FT ALLOY 28 TSH BL</t>
        </is>
      </c>
      <c r="C523" s="1153" t="n">
        <v>31</v>
      </c>
    </row>
    <row r="524" ht="14.25" customHeight="1" s="882">
      <c r="A524" s="930" t="inlineStr">
        <is>
          <t>JT.#299</t>
        </is>
      </c>
      <c r="B524" s="930" t="inlineStr">
        <is>
          <t>3-1/2" TUBING 9.2 LB/FT ALLOY 28 TSH BL</t>
        </is>
      </c>
      <c r="C524" s="1153" t="n">
        <v>31</v>
      </c>
    </row>
    <row r="525" ht="14.25" customHeight="1" s="882">
      <c r="A525" s="930" t="inlineStr">
        <is>
          <t>JT.#300</t>
        </is>
      </c>
      <c r="B525" s="930" t="inlineStr">
        <is>
          <t>3-1/2" TUBING 9.2 LB/FT ALLOY 28 TSH BL</t>
        </is>
      </c>
      <c r="C525" s="1153" t="n">
        <v>31</v>
      </c>
    </row>
    <row r="526" ht="14.25" customHeight="1" s="882">
      <c r="A526" s="930" t="inlineStr">
        <is>
          <t>JT.#301</t>
        </is>
      </c>
      <c r="B526" s="930" t="inlineStr">
        <is>
          <t>3-1/2" TUBING 9.2 LB/FT ALLOY 28 TSH BL</t>
        </is>
      </c>
      <c r="C526" s="1153" t="n">
        <v>31</v>
      </c>
    </row>
    <row r="527" ht="14.25" customHeight="1" s="882">
      <c r="A527" s="930" t="inlineStr">
        <is>
          <t>JT.#302</t>
        </is>
      </c>
      <c r="B527" s="930" t="inlineStr">
        <is>
          <t>3-1/2" TUBING 9.2 LB/FT ALLOY 28 TSH BL</t>
        </is>
      </c>
      <c r="C527" s="1153" t="n">
        <v>31</v>
      </c>
    </row>
    <row r="528" ht="14.25" customHeight="1" s="882">
      <c r="A528" s="930" t="inlineStr">
        <is>
          <t>JT.#303</t>
        </is>
      </c>
      <c r="B528" s="930" t="inlineStr">
        <is>
          <t>3-1/2" TUBING 9.2 LB/FT ALLOY 28 TSH BL</t>
        </is>
      </c>
      <c r="C528" s="1153" t="n">
        <v>31</v>
      </c>
    </row>
    <row r="529" ht="14.25" customHeight="1" s="882">
      <c r="A529" s="930" t="inlineStr">
        <is>
          <t>JT.#304</t>
        </is>
      </c>
      <c r="B529" s="930" t="inlineStr">
        <is>
          <t>3-1/2" TUBING 9.2 LB/FT ALLOY 28 TSH BL</t>
        </is>
      </c>
      <c r="C529" s="1153" t="n">
        <v>31</v>
      </c>
    </row>
    <row r="530" ht="14.25" customHeight="1" s="882">
      <c r="A530" s="930" t="inlineStr">
        <is>
          <t>JT.#305</t>
        </is>
      </c>
      <c r="B530" s="930" t="inlineStr">
        <is>
          <t>3-1/2" TUBING 9.2 LB/FT ALLOY 28 TSH BL</t>
        </is>
      </c>
      <c r="C530" s="1153" t="n">
        <v>31</v>
      </c>
    </row>
    <row r="531" ht="14.25" customHeight="1" s="882">
      <c r="A531" s="930" t="inlineStr">
        <is>
          <t>JT.#306</t>
        </is>
      </c>
      <c r="B531" s="930" t="inlineStr">
        <is>
          <t>3-1/2" TUBING 9.2 LB/FT ALLOY 28 TSH BL</t>
        </is>
      </c>
      <c r="C531" s="1153" t="n">
        <v>31</v>
      </c>
    </row>
    <row r="532" ht="14.25" customHeight="1" s="882">
      <c r="A532" s="930" t="inlineStr">
        <is>
          <t>JT.#307</t>
        </is>
      </c>
      <c r="B532" s="930" t="inlineStr">
        <is>
          <t>3-1/2" TUBING 9.2 LB/FT ALLOY 28 TSH BL</t>
        </is>
      </c>
      <c r="C532" s="1153" t="n">
        <v>31</v>
      </c>
    </row>
    <row r="533" ht="14.25" customHeight="1" s="882">
      <c r="A533" s="930" t="inlineStr">
        <is>
          <t>JT.#308</t>
        </is>
      </c>
      <c r="B533" s="930" t="inlineStr">
        <is>
          <t>3-1/2" TUBING 9.2 LB/FT ALLOY 28 TSH BL</t>
        </is>
      </c>
      <c r="C533" s="1153" t="n">
        <v>31</v>
      </c>
    </row>
    <row r="534" ht="14.25" customHeight="1" s="882">
      <c r="A534" s="930" t="inlineStr">
        <is>
          <t>JT.#309</t>
        </is>
      </c>
      <c r="B534" s="930" t="inlineStr">
        <is>
          <t>3-1/2" TUBING 9.2 LB/FT ALLOY 28 TSH BL</t>
        </is>
      </c>
      <c r="C534" s="1153" t="n">
        <v>31</v>
      </c>
    </row>
    <row r="535" ht="14.25" customHeight="1" s="882">
      <c r="A535" s="930" t="inlineStr">
        <is>
          <t>JT.#310</t>
        </is>
      </c>
      <c r="B535" s="930" t="inlineStr">
        <is>
          <t>3-1/2" TUBING 9.2 LB/FT ALLOY 28 TSH BL</t>
        </is>
      </c>
      <c r="C535" s="1153" t="n">
        <v>31</v>
      </c>
    </row>
    <row r="536" ht="14.25" customHeight="1" s="882">
      <c r="A536" s="930" t="inlineStr">
        <is>
          <t>JT.#311</t>
        </is>
      </c>
      <c r="B536" s="930" t="inlineStr">
        <is>
          <t>3-1/2" TUBING 9.2 LB/FT ALLOY 28 TSH BL</t>
        </is>
      </c>
      <c r="C536" s="1153" t="n">
        <v>31</v>
      </c>
    </row>
    <row r="537" ht="14.25" customHeight="1" s="882">
      <c r="A537" s="930" t="inlineStr">
        <is>
          <t>JT.#312</t>
        </is>
      </c>
      <c r="B537" s="930" t="inlineStr">
        <is>
          <t>3-1/2" TUBING 9.2 LB/FT ALLOY 28 TSH BL</t>
        </is>
      </c>
      <c r="C537" s="1153" t="n">
        <v>31</v>
      </c>
    </row>
    <row r="538" ht="14.25" customHeight="1" s="882">
      <c r="A538" s="930" t="inlineStr">
        <is>
          <t>JT.#313</t>
        </is>
      </c>
      <c r="B538" s="930" t="inlineStr">
        <is>
          <t>3-1/2" TUBING 9.2 LB/FT ALLOY 28 TSH BL</t>
        </is>
      </c>
      <c r="C538" s="1153" t="n">
        <v>31</v>
      </c>
    </row>
    <row r="539" ht="14.25" customHeight="1" s="882">
      <c r="A539" s="930" t="inlineStr">
        <is>
          <t>JT.#314</t>
        </is>
      </c>
      <c r="B539" s="930" t="inlineStr">
        <is>
          <t>3-1/2" TUBING 9.2 LB/FT ALLOY 28 TSH BL</t>
        </is>
      </c>
      <c r="C539" s="1153" t="n">
        <v>31</v>
      </c>
    </row>
    <row r="540" ht="14.25" customHeight="1" s="882">
      <c r="A540" s="930" t="inlineStr">
        <is>
          <t>JT.#315</t>
        </is>
      </c>
      <c r="B540" s="930" t="inlineStr">
        <is>
          <t>3-1/2" TUBING 9.2 LB/FT ALLOY 28 TSH BL</t>
        </is>
      </c>
      <c r="C540" s="1153" t="n">
        <v>31</v>
      </c>
    </row>
    <row r="541" ht="14.25" customHeight="1" s="882">
      <c r="A541" s="930" t="inlineStr">
        <is>
          <t>JT.#316</t>
        </is>
      </c>
      <c r="B541" s="930" t="inlineStr">
        <is>
          <t>3-1/2" TUBING 9.2 LB/FT ALLOY 28 TSH BL</t>
        </is>
      </c>
      <c r="C541" s="1153" t="n">
        <v>31</v>
      </c>
    </row>
    <row r="542" ht="14.25" customHeight="1" s="882">
      <c r="A542" s="930" t="inlineStr">
        <is>
          <t>JT.#317</t>
        </is>
      </c>
      <c r="B542" s="930" t="inlineStr">
        <is>
          <t>3-1/2" TUBING 9.2 LB/FT ALLOY 28 TSH BL</t>
        </is>
      </c>
      <c r="C542" s="1153" t="n">
        <v>31</v>
      </c>
    </row>
    <row r="543" ht="14.25" customHeight="1" s="882">
      <c r="A543" s="930" t="inlineStr">
        <is>
          <t>JT.#318</t>
        </is>
      </c>
      <c r="B543" s="930" t="inlineStr">
        <is>
          <t>3-1/2" TUBING 9.2 LB/FT ALLOY 28 TSH BL</t>
        </is>
      </c>
      <c r="C543" s="1153" t="n">
        <v>31</v>
      </c>
    </row>
    <row r="544" ht="14.25" customHeight="1" s="882">
      <c r="A544" s="930" t="inlineStr">
        <is>
          <t>JT.#319</t>
        </is>
      </c>
      <c r="B544" s="930" t="inlineStr">
        <is>
          <t>3-1/2" TUBING 9.2 LB/FT ALLOY 28 TSH BL</t>
        </is>
      </c>
      <c r="C544" s="1153" t="n">
        <v>31</v>
      </c>
    </row>
    <row r="545" ht="14.25" customHeight="1" s="882">
      <c r="A545" s="930" t="inlineStr">
        <is>
          <t>JT.#320</t>
        </is>
      </c>
      <c r="B545" s="930" t="inlineStr">
        <is>
          <t>3-1/2" TUBING 9.2 LB/FT ALLOY 28 TSH BL</t>
        </is>
      </c>
      <c r="C545" s="1153" t="n">
        <v>31</v>
      </c>
    </row>
    <row r="546" ht="14.25" customHeight="1" s="882">
      <c r="A546" s="930" t="inlineStr">
        <is>
          <t>JT.#321</t>
        </is>
      </c>
      <c r="B546" s="930" t="inlineStr">
        <is>
          <t>3-1/2" TUBING 9.2 LB/FT ALLOY 28 TSH BL</t>
        </is>
      </c>
      <c r="C546" s="1153" t="n">
        <v>31</v>
      </c>
    </row>
    <row r="547" ht="14.25" customHeight="1" s="882">
      <c r="A547" s="930" t="inlineStr">
        <is>
          <t>JT.#322</t>
        </is>
      </c>
      <c r="B547" s="930" t="inlineStr">
        <is>
          <t>3-1/2" TUBING 9.2 LB/FT ALLOY 28 TSH BL</t>
        </is>
      </c>
      <c r="C547" s="1153" t="n">
        <v>31</v>
      </c>
    </row>
    <row r="548" ht="14.25" customHeight="1" s="882">
      <c r="A548" s="930" t="inlineStr">
        <is>
          <t>JT.#323</t>
        </is>
      </c>
      <c r="B548" s="930" t="inlineStr">
        <is>
          <t>3-1/2" TUBING 9.2 LB/FT ALLOY 28 TSH BL</t>
        </is>
      </c>
      <c r="C548" s="1153" t="n">
        <v>31</v>
      </c>
    </row>
    <row r="549" ht="14.25" customHeight="1" s="882">
      <c r="A549" s="930" t="inlineStr">
        <is>
          <t>JT.#324</t>
        </is>
      </c>
      <c r="B549" s="930" t="inlineStr">
        <is>
          <t>3-1/2" TUBING 9.2 LB/FT ALLOY 28 TSH BL</t>
        </is>
      </c>
      <c r="C549" s="1153" t="n">
        <v>31</v>
      </c>
    </row>
    <row r="550" ht="14.25" customHeight="1" s="882">
      <c r="A550" s="930" t="inlineStr">
        <is>
          <t>JT.#325</t>
        </is>
      </c>
      <c r="B550" s="930" t="inlineStr">
        <is>
          <t>3-1/2" TUBING 9.2 LB/FT ALLOY 28 TSH BL</t>
        </is>
      </c>
      <c r="C550" s="1153" t="n">
        <v>31</v>
      </c>
    </row>
    <row r="551" ht="14.25" customHeight="1" s="882">
      <c r="A551" s="930" t="inlineStr">
        <is>
          <t>JT.#326</t>
        </is>
      </c>
      <c r="B551" s="930" t="inlineStr">
        <is>
          <t>3-1/2" TUBING 9.2 LB/FT ALLOY 28 TSH BL</t>
        </is>
      </c>
      <c r="C551" s="1153" t="n">
        <v>31</v>
      </c>
    </row>
    <row r="552" ht="14.25" customHeight="1" s="882">
      <c r="A552" s="930" t="inlineStr">
        <is>
          <t>JT.#327</t>
        </is>
      </c>
      <c r="B552" s="930" t="inlineStr">
        <is>
          <t>3-1/2" TUBING 9.2 LB/FT ALLOY 28 TSH BL</t>
        </is>
      </c>
      <c r="C552" s="1153" t="n">
        <v>31</v>
      </c>
    </row>
    <row r="553" ht="14.25" customHeight="1" s="882">
      <c r="A553" s="930" t="inlineStr">
        <is>
          <t>JT.#328</t>
        </is>
      </c>
      <c r="B553" s="930" t="inlineStr">
        <is>
          <t>3-1/2" TUBING 9.2 LB/FT ALLOY 28 TSH BL</t>
        </is>
      </c>
      <c r="C553" s="1153" t="n">
        <v>31</v>
      </c>
    </row>
    <row r="554" ht="14.25" customHeight="1" s="882">
      <c r="A554" s="930" t="inlineStr">
        <is>
          <t>JT.#329</t>
        </is>
      </c>
      <c r="B554" s="930" t="inlineStr">
        <is>
          <t>3-1/2" TUBING 9.2 LB/FT ALLOY 28 TSH BL</t>
        </is>
      </c>
      <c r="C554" s="1153" t="n">
        <v>31</v>
      </c>
    </row>
    <row r="555" ht="14.25" customHeight="1" s="882">
      <c r="A555" s="930" t="inlineStr">
        <is>
          <t>JT.#330</t>
        </is>
      </c>
      <c r="B555" s="930" t="inlineStr">
        <is>
          <t>3-1/2" TUBING 9.2 LB/FT ALLOY 28 TSH BL</t>
        </is>
      </c>
      <c r="C555" s="1153" t="n">
        <v>31</v>
      </c>
    </row>
    <row r="556" ht="14.25" customHeight="1" s="882">
      <c r="A556" s="930" t="inlineStr">
        <is>
          <t>JT.#331</t>
        </is>
      </c>
      <c r="B556" s="930" t="inlineStr">
        <is>
          <t>3-1/2" TUBING 9.2 LB/FT ALLOY 28 TSH BL</t>
        </is>
      </c>
      <c r="C556" s="1153" t="n">
        <v>31</v>
      </c>
    </row>
    <row r="557" ht="14.25" customHeight="1" s="882">
      <c r="A557" s="930" t="inlineStr">
        <is>
          <t>JT.#332</t>
        </is>
      </c>
      <c r="B557" s="930" t="inlineStr">
        <is>
          <t>3-1/2" TUBING 9.2 LB/FT ALLOY 28 TSH BL</t>
        </is>
      </c>
      <c r="C557" s="1153" t="n">
        <v>31</v>
      </c>
    </row>
    <row r="558" ht="14.25" customHeight="1" s="882">
      <c r="A558" s="930" t="inlineStr">
        <is>
          <t>JT.#333</t>
        </is>
      </c>
      <c r="B558" s="930" t="inlineStr">
        <is>
          <t>3-1/2" TUBING 9.2 LB/FT ALLOY 28 TSH BL</t>
        </is>
      </c>
      <c r="C558" s="1153" t="n">
        <v>31</v>
      </c>
    </row>
    <row r="559" ht="14.25" customHeight="1" s="882">
      <c r="A559" s="930" t="inlineStr">
        <is>
          <t>JT.#334</t>
        </is>
      </c>
      <c r="B559" s="930" t="inlineStr">
        <is>
          <t>3-1/2" TUBING 9.2 LB/FT ALLOY 28 TSH BL</t>
        </is>
      </c>
      <c r="C559" s="1153" t="n">
        <v>31</v>
      </c>
    </row>
    <row r="560" ht="14.25" customHeight="1" s="882">
      <c r="A560" s="930" t="inlineStr">
        <is>
          <t>JT.#335</t>
        </is>
      </c>
      <c r="B560" s="930" t="inlineStr">
        <is>
          <t>3-1/2" TUBING 9.2 LB/FT ALLOY 28 TSH BL</t>
        </is>
      </c>
      <c r="C560" s="1153" t="n">
        <v>31</v>
      </c>
    </row>
    <row r="561" ht="14.25" customHeight="1" s="882">
      <c r="A561" s="930" t="inlineStr">
        <is>
          <t>JT.#336</t>
        </is>
      </c>
      <c r="B561" s="930" t="inlineStr">
        <is>
          <t>3-1/2" TUBING 9.2 LB/FT ALLOY 28 TSH BL</t>
        </is>
      </c>
      <c r="C561" s="1153" t="n">
        <v>31</v>
      </c>
    </row>
    <row r="562" ht="14.25" customHeight="1" s="882">
      <c r="A562" s="930" t="inlineStr">
        <is>
          <t>JT.#337</t>
        </is>
      </c>
      <c r="B562" s="930" t="inlineStr">
        <is>
          <t>3-1/2" TUBING 9.2 LB/FT ALLOY 28 TSH BL</t>
        </is>
      </c>
      <c r="C562" s="1153" t="n">
        <v>31</v>
      </c>
    </row>
    <row r="563" ht="14.25" customHeight="1" s="882">
      <c r="A563" s="930" t="inlineStr">
        <is>
          <t>JT.#338</t>
        </is>
      </c>
      <c r="B563" s="930" t="inlineStr">
        <is>
          <t>3-1/2" TUBING 9.2 LB/FT ALLOY 28 TSH BL</t>
        </is>
      </c>
      <c r="C563" s="1153" t="n">
        <v>31</v>
      </c>
    </row>
    <row r="564" ht="14.25" customHeight="1" s="882">
      <c r="A564" s="930" t="inlineStr">
        <is>
          <t>JT.#339</t>
        </is>
      </c>
      <c r="B564" s="930" t="inlineStr">
        <is>
          <t>3-1/2" TUBING 9.2 LB/FT ALLOY 28 TSH BL</t>
        </is>
      </c>
      <c r="C564" s="1153" t="n">
        <v>31</v>
      </c>
    </row>
    <row r="565" ht="14.25" customHeight="1" s="882">
      <c r="A565" s="930" t="inlineStr">
        <is>
          <t>JT.#340</t>
        </is>
      </c>
      <c r="B565" s="930" t="inlineStr">
        <is>
          <t>3-1/2" TUBING 9.2 LB/FT ALLOY 28 TSH BL</t>
        </is>
      </c>
      <c r="C565" s="1153" t="n">
        <v>31</v>
      </c>
    </row>
    <row r="566" ht="14.25" customHeight="1" s="882">
      <c r="A566" s="930" t="inlineStr">
        <is>
          <t>JT.#341</t>
        </is>
      </c>
      <c r="B566" s="930" t="inlineStr">
        <is>
          <t>3-1/2" TUBING 9.2 LB/FT ALLOY 28 TSH BL</t>
        </is>
      </c>
      <c r="C566" s="1153" t="n">
        <v>31</v>
      </c>
    </row>
    <row r="567" ht="14.25" customHeight="1" s="882">
      <c r="A567" s="930" t="inlineStr">
        <is>
          <t>JT.#342</t>
        </is>
      </c>
      <c r="B567" s="930" t="inlineStr">
        <is>
          <t>3-1/2" TUBING 9.2 LB/FT ALLOY 28 TSH BL</t>
        </is>
      </c>
      <c r="C567" s="1153" t="n">
        <v>31</v>
      </c>
    </row>
    <row r="568" ht="14.25" customHeight="1" s="882">
      <c r="A568" s="930" t="inlineStr">
        <is>
          <t>JT.#343</t>
        </is>
      </c>
      <c r="B568" s="930" t="inlineStr">
        <is>
          <t>3-1/2" TUBING 9.2 LB/FT ALLOY 28 TSH BL</t>
        </is>
      </c>
      <c r="C568" s="1153" t="n">
        <v>31</v>
      </c>
    </row>
    <row r="569" ht="14.25" customHeight="1" s="882">
      <c r="A569" s="930" t="inlineStr">
        <is>
          <t>JT.#344</t>
        </is>
      </c>
      <c r="B569" s="930" t="inlineStr">
        <is>
          <t>3-1/2" TUBING 9.2 LB/FT ALLOY 28 TSH BL</t>
        </is>
      </c>
      <c r="C569" s="1153" t="n">
        <v>31</v>
      </c>
    </row>
    <row r="570" ht="14.25" customHeight="1" s="882">
      <c r="A570" s="930" t="inlineStr">
        <is>
          <t>JT.#345</t>
        </is>
      </c>
      <c r="B570" s="930" t="inlineStr">
        <is>
          <t>3-1/2" TUBING 9.2 LB/FT ALLOY 28 TSH BL</t>
        </is>
      </c>
      <c r="C570" s="1153" t="n">
        <v>31</v>
      </c>
    </row>
    <row r="571" ht="14.25" customHeight="1" s="882">
      <c r="A571" s="930" t="inlineStr">
        <is>
          <t>JT.#346</t>
        </is>
      </c>
      <c r="B571" s="930" t="inlineStr">
        <is>
          <t>3-1/2" TUBING 9.2 LB/FT ALLOY 28 TSH BL</t>
        </is>
      </c>
      <c r="C571" s="1153" t="n">
        <v>31</v>
      </c>
    </row>
    <row r="572" ht="14.25" customHeight="1" s="882">
      <c r="A572" s="930" t="inlineStr">
        <is>
          <t>JT.#347</t>
        </is>
      </c>
      <c r="B572" s="930" t="inlineStr">
        <is>
          <t>3-1/2" TUBING 9.2 LB/FT ALLOY 28 TSH BL</t>
        </is>
      </c>
      <c r="C572" s="1153" t="n">
        <v>31</v>
      </c>
    </row>
    <row r="573" ht="14.25" customHeight="1" s="882">
      <c r="A573" s="930" t="inlineStr">
        <is>
          <t>JT.#348</t>
        </is>
      </c>
      <c r="B573" s="930" t="inlineStr">
        <is>
          <t>3-1/2" TUBING 9.2 LB/FT ALLOY 28 TSH BL</t>
        </is>
      </c>
      <c r="C573" s="1153" t="n">
        <v>31</v>
      </c>
    </row>
    <row r="574" ht="14.25" customHeight="1" s="882">
      <c r="A574" s="930" t="inlineStr">
        <is>
          <t>JT.#349</t>
        </is>
      </c>
      <c r="B574" s="930" t="inlineStr">
        <is>
          <t>3-1/2" TUBING 9.2 LB/FT ALLOY 28 TSH BL</t>
        </is>
      </c>
      <c r="C574" s="1153" t="n">
        <v>31</v>
      </c>
    </row>
    <row r="575" ht="14.25" customHeight="1" s="882">
      <c r="A575" s="930" t="inlineStr">
        <is>
          <t>JT.#350</t>
        </is>
      </c>
      <c r="B575" s="930" t="inlineStr">
        <is>
          <t>3-1/2" TUBING 9.2 LB/FT ALLOY 28 TSH BL</t>
        </is>
      </c>
      <c r="C575" s="1153" t="n">
        <v>31</v>
      </c>
    </row>
    <row r="576" ht="14.25" customHeight="1" s="882">
      <c r="A576" s="930" t="inlineStr">
        <is>
          <t>JT.#351</t>
        </is>
      </c>
      <c r="B576" s="930" t="inlineStr">
        <is>
          <t>3-1/2" TUBING 9.2 LB/FT ALLOY 28 TSH BL</t>
        </is>
      </c>
      <c r="C576" s="1153" t="n">
        <v>31</v>
      </c>
    </row>
    <row r="577" ht="14.25" customHeight="1" s="882">
      <c r="A577" s="930" t="inlineStr">
        <is>
          <t>JT.#352</t>
        </is>
      </c>
      <c r="B577" s="930" t="inlineStr">
        <is>
          <t>3-1/2" TUBING 9.2 LB/FT ALLOY 28 TSH BL</t>
        </is>
      </c>
      <c r="C577" s="1153" t="n">
        <v>31</v>
      </c>
    </row>
    <row r="578" ht="14.25" customHeight="1" s="882">
      <c r="A578" s="930" t="inlineStr">
        <is>
          <t>JT.#353</t>
        </is>
      </c>
      <c r="B578" s="930" t="inlineStr">
        <is>
          <t>3-1/2" TUBING 9.2 LB/FT ALLOY 28 TSH BL</t>
        </is>
      </c>
      <c r="C578" s="1153" t="n">
        <v>31</v>
      </c>
    </row>
    <row r="579" ht="14.25" customHeight="1" s="882">
      <c r="A579" s="930" t="inlineStr">
        <is>
          <t>JT.#354</t>
        </is>
      </c>
      <c r="B579" s="930" t="inlineStr">
        <is>
          <t>3-1/2" TUBING 9.2 LB/FT ALLOY 28 TSH BL</t>
        </is>
      </c>
      <c r="C579" s="1153" t="n">
        <v>31</v>
      </c>
    </row>
    <row r="580" ht="14.25" customHeight="1" s="882">
      <c r="A580" s="930" t="inlineStr">
        <is>
          <t>JT.#355</t>
        </is>
      </c>
      <c r="B580" s="930" t="inlineStr">
        <is>
          <t>3-1/2" TUBING 9.2 LB/FT ALLOY 28 TSH BL</t>
        </is>
      </c>
      <c r="C580" s="1153" t="n">
        <v>31</v>
      </c>
    </row>
    <row r="581" ht="14.25" customHeight="1" s="882">
      <c r="A581" s="930" t="inlineStr">
        <is>
          <t>JT.#356</t>
        </is>
      </c>
      <c r="B581" s="930" t="inlineStr">
        <is>
          <t>3-1/2" TUBING 9.2 LB/FT ALLOY 28 TSH BL</t>
        </is>
      </c>
      <c r="C581" s="1153" t="n">
        <v>31</v>
      </c>
    </row>
    <row r="582" ht="14.25" customHeight="1" s="882">
      <c r="A582" s="930" t="inlineStr">
        <is>
          <t>JT.#357</t>
        </is>
      </c>
      <c r="B582" s="930" t="inlineStr">
        <is>
          <t>3-1/2" TUBING 9.2 LB/FT ALLOY 28 TSH BL</t>
        </is>
      </c>
      <c r="C582" s="1153" t="n">
        <v>31</v>
      </c>
    </row>
    <row r="583" ht="14.25" customHeight="1" s="882">
      <c r="A583" s="930" t="inlineStr">
        <is>
          <t>JT.#358</t>
        </is>
      </c>
      <c r="B583" s="930" t="inlineStr">
        <is>
          <t>3-1/2" TUBING 9.2 LB/FT ALLOY 28 TSH BL</t>
        </is>
      </c>
      <c r="C583" s="1153" t="n">
        <v>31</v>
      </c>
    </row>
    <row r="584" ht="14.25" customHeight="1" s="882">
      <c r="A584" s="930" t="inlineStr">
        <is>
          <t>JT.#359</t>
        </is>
      </c>
      <c r="B584" s="930" t="inlineStr">
        <is>
          <t>3-1/2" TUBING 9.2 LB/FT ALLOY 28 TSH BL</t>
        </is>
      </c>
      <c r="C584" s="1153" t="n">
        <v>31</v>
      </c>
    </row>
    <row r="585" ht="76.09999999999999" customHeight="1" s="882">
      <c r="A585" s="1829" t="inlineStr">
        <is>
          <t>F</t>
        </is>
      </c>
      <c r="B585" s="1830" t="inlineStr">
        <is>
          <t>UPPER CONN. 3-1/2" VAM TOP BOX 9.2 PPF SN 28 110 KSI
DESCRIPTION: 5 FEET XOVER
SAP: 130005011340
SUPPLIER: TENARIS
UPPER CONN. 3-1/2" TSH BLUE PIN 9.2 PPF SN 28 110 KSI</t>
        </is>
      </c>
      <c r="C585" s="1831" t="n">
        <v>5.02</v>
      </c>
      <c r="D585" s="1832" t="n">
        <v>3.908</v>
      </c>
      <c r="E585" s="1832" t="n">
        <v>2.959</v>
      </c>
      <c r="F585" s="1833" t="inlineStr">
        <is>
          <t>N/A</t>
        </is>
      </c>
      <c r="G585" s="1833" t="inlineStr">
        <is>
          <t>N/A</t>
        </is>
      </c>
      <c r="H585" s="1833" t="inlineStr">
        <is>
          <t>130005011340</t>
        </is>
      </c>
      <c r="I585" s="1833" t="inlineStr">
        <is>
          <t>N/A</t>
        </is>
      </c>
    </row>
    <row r="586" ht="105.95" customHeight="1" s="882">
      <c r="B586" s="1830" t="inlineStr">
        <is>
          <t>UPPER CONN. 3-1/2" VAM TOP 9.2#PPF INCOLOY 925 BOX
DESCRIPTION: FLOW COUPLING
PN: 2996124
S/N: 130777-04-001
SAP: 130010035671
S UPPLIER: WEATHERFORD
LOWER CONN. 3-1/2" VAM TOP 9.2#PPF</t>
        </is>
      </c>
      <c r="C586" s="1831" t="n">
        <v>5.75</v>
      </c>
      <c r="D586" s="1832" t="n">
        <v>3.937</v>
      </c>
      <c r="E586" s="1832" t="n">
        <v>2.949</v>
      </c>
      <c r="F586" s="1833" t="inlineStr">
        <is>
          <t>2996124</t>
        </is>
      </c>
      <c r="G586" s="1833" t="inlineStr">
        <is>
          <t>130777-04-001</t>
        </is>
      </c>
      <c r="H586" s="1833" t="inlineStr">
        <is>
          <t>130010035671</t>
        </is>
      </c>
      <c r="I586" s="1833" t="inlineStr">
        <is>
          <t>N/A</t>
        </is>
      </c>
    </row>
    <row r="587" ht="150.7" customHeight="1" s="882">
      <c r="B587" s="1830" t="inlineStr">
        <is>
          <t>UPPER CONN. 3-1/2" VAM TOP 9.2#PPF
INCOLOY 925
BOX
DESCRIPTION: WEATHERFORD ASSY, TRSV,3.5WZPE-10
2.813WOR,2kSD,9.2# VAM TOP, WN302
PN: 2980845
S/N: 12777594-01
SAP: 130010038007
SUPPLIER: WEATHERFORD
LOWER CONN. 3-1/2" VAM TOP 9.2#PPF</t>
        </is>
      </c>
      <c r="C587" s="1831" t="n">
        <v>4.44</v>
      </c>
      <c r="D587" s="1832" t="n">
        <v>5.46</v>
      </c>
      <c r="E587" s="1832" t="n">
        <v>2.813</v>
      </c>
      <c r="F587" s="1833" t="inlineStr">
        <is>
          <t>2980845</t>
        </is>
      </c>
      <c r="G587" s="1833" t="inlineStr">
        <is>
          <t>12777594-01</t>
        </is>
      </c>
      <c r="H587" s="1833" t="inlineStr">
        <is>
          <t>130010038007</t>
        </is>
      </c>
      <c r="I587" s="1833" t="inlineStr">
        <is>
          <t>N/A</t>
        </is>
      </c>
    </row>
    <row r="588" ht="135.8" customHeight="1" s="882">
      <c r="B588" s="1830" t="inlineStr">
        <is>
          <t>UPPER CONN. 3-1/2" VAM TOP 9.2#PPF
INCOLOY 925
BOX
DESCRIPTION: FLOW COUPLING
P/N: 2996124
S/N: 130777-02-002
SAP: 130010035671
SUPPLIER: WEATHERFORD
LOWER CONN. 3-1/2" VAM TOP 9.2#PPF</t>
        </is>
      </c>
      <c r="C588" s="1831" t="n">
        <v>5.75</v>
      </c>
      <c r="D588" s="1832" t="n">
        <v>3.937</v>
      </c>
      <c r="E588" s="1832" t="n">
        <v>2.949</v>
      </c>
      <c r="F588" s="1833" t="inlineStr">
        <is>
          <t>2996124</t>
        </is>
      </c>
      <c r="G588" s="1833" t="inlineStr">
        <is>
          <t>130777-02-002</t>
        </is>
      </c>
      <c r="H588" s="1833" t="inlineStr">
        <is>
          <t>130010035671</t>
        </is>
      </c>
      <c r="I588" s="1833" t="inlineStr">
        <is>
          <t>N/A</t>
        </is>
      </c>
    </row>
    <row r="589" ht="76.09999999999999" customHeight="1" s="882">
      <c r="B589" s="1830" t="inlineStr">
        <is>
          <t>UPPER CONN. 3-1/2" TSH BLUE BOX 9.2 PPF SN 28 110 KSI
DESCRIPTION: 10 FEET XOVER
SAP: 130005012487
SUPPLIER: TENARIS
LOWER CONN. 3-1/2" VAM TOP PIN 9.2 PPF SN 28 110 KSI</t>
        </is>
      </c>
      <c r="C589" s="1831" t="n">
        <v>9.93</v>
      </c>
      <c r="D589" s="1832" t="n">
        <v>3.937</v>
      </c>
      <c r="E589" s="1832" t="n">
        <v>2.969</v>
      </c>
      <c r="F589" s="1833" t="inlineStr">
        <is>
          <t>N/A</t>
        </is>
      </c>
      <c r="G589" s="1833" t="inlineStr">
        <is>
          <t>N/A</t>
        </is>
      </c>
      <c r="H589" s="1833" t="inlineStr">
        <is>
          <t>130005012487</t>
        </is>
      </c>
      <c r="I589" s="1833" t="inlineStr">
        <is>
          <t>N/A</t>
        </is>
      </c>
    </row>
    <row r="590" ht="14.25" customHeight="1" s="882">
      <c r="A590" s="930" t="inlineStr">
        <is>
          <t>JT.#360</t>
        </is>
      </c>
      <c r="B590" s="930" t="inlineStr">
        <is>
          <t>3-1/2" TUBING 9.2 LB/FT ALLOY 28 TSH BL</t>
        </is>
      </c>
      <c r="C590" s="1153" t="n">
        <v>31</v>
      </c>
    </row>
    <row r="591" ht="14.25" customHeight="1" s="882">
      <c r="A591" s="930" t="inlineStr">
        <is>
          <t>JT.#361</t>
        </is>
      </c>
      <c r="B591" s="930" t="inlineStr">
        <is>
          <t>3-1/2" TUBING 9.2 LB/FT ALLOY 28 TSH BL</t>
        </is>
      </c>
      <c r="C591" s="1153" t="n">
        <v>31</v>
      </c>
    </row>
    <row r="592" ht="14.25" customHeight="1" s="882">
      <c r="A592" s="930" t="inlineStr">
        <is>
          <t>JT.#362</t>
        </is>
      </c>
      <c r="B592" s="930" t="inlineStr">
        <is>
          <t>3-1/2" TUBING 9.2 LB/FT ALLOY 28 TSH BL</t>
        </is>
      </c>
      <c r="C592" s="1153" t="n">
        <v>31</v>
      </c>
    </row>
    <row r="593" ht="14.25" customHeight="1" s="882">
      <c r="A593" s="930" t="inlineStr">
        <is>
          <t>JT.#363</t>
        </is>
      </c>
      <c r="B593" s="930" t="inlineStr">
        <is>
          <t>3-1/2" TUBING 9.2 LB/FT ALLOY 28 TSH BL</t>
        </is>
      </c>
      <c r="C593" s="1153" t="n">
        <v>31</v>
      </c>
    </row>
    <row r="594" ht="14.25" customHeight="1" s="882">
      <c r="A594" s="930" t="inlineStr">
        <is>
          <t>JT.#364</t>
        </is>
      </c>
      <c r="B594" s="930" t="inlineStr">
        <is>
          <t>3-1/2" TUBING 9.2 LB/FT ALLOY 28 TSH BL</t>
        </is>
      </c>
      <c r="C594" s="1153" t="n">
        <v>31</v>
      </c>
    </row>
    <row r="595" ht="76.09999999999999" customHeight="1" s="882">
      <c r="A595" s="1834" t="inlineStr">
        <is>
          <t>F - 1</t>
        </is>
      </c>
      <c r="B595" s="1835" t="inlineStr">
        <is>
          <t>UPPER CONN. 3-1/2" TENARIS BLUE 9.2#PPF SN 28 110 KSI
DESCRIPTION: 5 FEET PUP JOINT
SAP: 130005011338
SUPPLIER:TENARIS
LOWER CONN. 3-1/2" TENARIS BLUE 9.2#PPF SN 28 110 KSI</t>
        </is>
      </c>
      <c r="C595" s="1836" t="n">
        <v>5.08</v>
      </c>
      <c r="D595" s="1837" t="n">
        <v>3.937</v>
      </c>
      <c r="E595" s="1837" t="n">
        <v>2.969</v>
      </c>
      <c r="F595" s="1838" t="inlineStr">
        <is>
          <t>N/A</t>
        </is>
      </c>
      <c r="G595" s="1838" t="inlineStr">
        <is>
          <t>N/A</t>
        </is>
      </c>
      <c r="H595" s="1838" t="inlineStr">
        <is>
          <t>130005011338</t>
        </is>
      </c>
      <c r="I595" s="1838" t="inlineStr">
        <is>
          <t>N/A</t>
        </is>
      </c>
    </row>
    <row r="596" ht="76.09999999999999" customHeight="1" s="882">
      <c r="B596" s="1835" t="inlineStr">
        <is>
          <t>UPPER CONN. 4-1/2" VAM TOP 12.6 #PPF SN 28 120 KSI BOX
DESCRIPTION : X OVER
4 1/2 PIN TOP X 3 1/2 PIN BTM
SAP: 130005012767 SUPPLIER: TENARIS
LOWER CONN. 3-1/2" TENARIS BLUE 9.2#PPF SN 28 120 KSI PIN</t>
        </is>
      </c>
      <c r="C596" s="1836" t="n">
        <v>2.48</v>
      </c>
      <c r="D596" s="1837" t="n">
        <v>4.5</v>
      </c>
      <c r="E596" s="1837" t="n">
        <v>2.969</v>
      </c>
      <c r="F596" s="1838" t="inlineStr">
        <is>
          <t>N/A</t>
        </is>
      </c>
      <c r="G596" s="1838" t="inlineStr">
        <is>
          <t>N/A</t>
        </is>
      </c>
      <c r="H596" s="1838" t="inlineStr">
        <is>
          <t>130005012767</t>
        </is>
      </c>
      <c r="I596" s="1838" t="inlineStr">
        <is>
          <t>N/A</t>
        </is>
      </c>
    </row>
    <row r="597" ht="120.85" customHeight="1" s="882">
      <c r="B597" s="1835" t="inlineStr">
        <is>
          <t>UPPER CONN. 4-1/2" VAM TOP 12.6 #PPF INC 718 120 KSI BOX
DESCRIPTION: GE TBGHGR; CWCT-ED-CLL; 11 X 4-1/2; 4-1/2 12.6 PPF
VAM TOP BOX BTM; 4-1/2 VAM
P/N: R893330-1ADC11 REV D
S/N - ADWHT80698-05
SAP: 130010044633
SUPPLIER: GE
LOWER CONN. 4-1/2" VAM TOP 12.6 #PPF INC 718 120 KSI BOX</t>
        </is>
      </c>
      <c r="C597" s="1836" t="n">
        <v>1.9</v>
      </c>
      <c r="D597" s="1837" t="n">
        <v>11</v>
      </c>
      <c r="E597" s="1837" t="n">
        <v>3.9</v>
      </c>
      <c r="F597" s="1838" t="inlineStr">
        <is>
          <t>R893330-1ADC11 REV D</t>
        </is>
      </c>
      <c r="G597" s="1838" t="inlineStr">
        <is>
          <t>ADWHT80698-05</t>
        </is>
      </c>
      <c r="H597" s="1838" t="inlineStr">
        <is>
          <t>130010044633</t>
        </is>
      </c>
      <c r="I597" s="1838" t="inlineStr">
        <is>
          <t>N/A</t>
        </is>
      </c>
    </row>
  </sheetData>
  <mergeCells count="20">
    <mergeCell ref="A347:A352"/>
    <mergeCell ref="A418:A422"/>
    <mergeCell ref="A175:A179"/>
    <mergeCell ref="A451:A455"/>
    <mergeCell ref="A49:A54"/>
    <mergeCell ref="A150:A154"/>
    <mergeCell ref="A125:A129"/>
    <mergeCell ref="A22:A26"/>
    <mergeCell ref="A100:A104"/>
    <mergeCell ref="A258:A260"/>
    <mergeCell ref="A2:A3"/>
    <mergeCell ref="A9:A11"/>
    <mergeCell ref="A505:A509"/>
    <mergeCell ref="A595:A597"/>
    <mergeCell ref="A185:A188"/>
    <mergeCell ref="A190:A191"/>
    <mergeCell ref="A340:A344"/>
    <mergeCell ref="A585:A589"/>
    <mergeCell ref="A398:A402"/>
    <mergeCell ref="A75:A79"/>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13.xml><?xml version="1.0" encoding="utf-8"?>
<worksheet xmlns="http://schemas.openxmlformats.org/spreadsheetml/2006/main">
  <sheetPr filterMode="0">
    <outlinePr summaryBelow="1" summaryRight="1"/>
    <pageSetUpPr fitToPage="0"/>
  </sheetPr>
  <dimension ref="A1:L56"/>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A1" activeCellId="1" sqref="A11:S58 A1"/>
    </sheetView>
  </sheetViews>
  <sheetFormatPr baseColWidth="8" defaultColWidth="8.59765625" defaultRowHeight="14.25" customHeight="0" zeroHeight="0" outlineLevelRow="0"/>
  <cols>
    <col width="20" customWidth="1" style="930" min="1" max="1"/>
    <col width="55" customWidth="1" style="930" min="2" max="2"/>
    <col width="15" customWidth="1" style="930" min="3" max="8"/>
    <col width="18" customWidth="1" style="930" min="9" max="11"/>
    <col width="14" customWidth="1" style="930" min="12" max="12"/>
  </cols>
  <sheetData>
    <row r="1" ht="14.25" customHeight="1" s="882">
      <c r="A1" s="1738" t="inlineStr">
        <is>
          <t>Image Name</t>
        </is>
      </c>
      <c r="B1" s="1738" t="inlineStr">
        <is>
          <t>Description</t>
        </is>
      </c>
      <c r="C1" s="1738" t="inlineStr">
        <is>
          <t>ID</t>
        </is>
      </c>
      <c r="D1" s="892" t="n"/>
      <c r="E1" s="1738" t="inlineStr">
        <is>
          <t>OD</t>
        </is>
      </c>
      <c r="F1" s="892" t="n"/>
      <c r="G1" s="1738" t="inlineStr">
        <is>
          <t>Length</t>
        </is>
      </c>
      <c r="H1" s="892" t="n"/>
      <c r="I1" s="1738" t="inlineStr">
        <is>
          <t>PN</t>
        </is>
      </c>
      <c r="J1" s="1738" t="inlineStr">
        <is>
          <t>SN</t>
        </is>
      </c>
      <c r="K1" s="1738" t="inlineStr">
        <is>
          <t>SAP</t>
        </is>
      </c>
      <c r="L1" s="1738" t="inlineStr">
        <is>
          <t>CAT ID</t>
        </is>
      </c>
    </row>
    <row r="2" ht="91" customHeight="1" s="882">
      <c r="A2" s="1839" t="inlineStr">
        <is>
          <t>F - 1</t>
        </is>
      </c>
      <c r="B2" s="1840" t="inlineStr">
        <is>
          <t>UPPER CONN. 4-1/2" VAMTOP 12.6# L80
Box
DESCRIPTION: 30' LANDING JOINT
SAP: 130005009160
SUPPLIER:VAM
LOWER CONN. 4-1/2" VAMTOP 12.6# L80 PIN</t>
        </is>
      </c>
      <c r="C2" s="1841" t="n">
        <v>3.913</v>
      </c>
      <c r="D2" s="895" t="n"/>
      <c r="E2" s="1841" t="n">
        <v>4.937</v>
      </c>
      <c r="F2" s="895" t="n"/>
      <c r="G2" s="1842" t="n">
        <v>24.82</v>
      </c>
      <c r="H2" s="895" t="n"/>
      <c r="I2" s="1840" t="inlineStr">
        <is>
          <t>N/A</t>
        </is>
      </c>
      <c r="J2" s="1840" t="inlineStr">
        <is>
          <t>N/A</t>
        </is>
      </c>
      <c r="K2" s="1840" t="inlineStr">
        <is>
          <t>130005009160</t>
        </is>
      </c>
      <c r="L2" s="1840" t="inlineStr">
        <is>
          <t>N/A</t>
        </is>
      </c>
    </row>
    <row r="3" ht="16.4" customHeight="1" s="882">
      <c r="A3" s="1624" t="n"/>
      <c r="B3" s="1840" t="inlineStr">
        <is>
          <t>UPPER CONN. 4-1/2" VAM TOP 12.6 #PPF INC 718 120 KSI BOX
DESCRIPTION: GE TBGHGR; CWCT-ED-CLL; 11 X 4-1/2; 4-1/2 12.6 PPF
VAM TOP BOX BTM; 4-1/2 VAM
P/N: R893330-1ADC11 REV D
S/N - ADWHT80698-05
SAP: 130010044633
SUPPLIER: GE
LOWER CONN. 4-1/2" VAM TOP 12.6 #PPF INC 718 120 KSI BOX</t>
        </is>
      </c>
      <c r="C3" s="1841" t="n">
        <v>3.9</v>
      </c>
      <c r="D3" s="895" t="n"/>
      <c r="E3" s="1841" t="n">
        <v>11</v>
      </c>
      <c r="F3" s="895" t="n"/>
      <c r="G3" s="1842" t="n">
        <v>1.9</v>
      </c>
      <c r="H3" s="895" t="n"/>
      <c r="I3" s="1840" t="inlineStr">
        <is>
          <t>R893330-1ADC11 REV D</t>
        </is>
      </c>
      <c r="J3" s="1840" t="inlineStr">
        <is>
          <t>ADWHT80698-05</t>
        </is>
      </c>
      <c r="K3" s="1840" t="inlineStr">
        <is>
          <t>130010044633</t>
        </is>
      </c>
      <c r="L3" s="1840" t="inlineStr">
        <is>
          <t>N/A</t>
        </is>
      </c>
    </row>
    <row r="4" ht="76.09999999999999" customHeight="1" s="882">
      <c r="A4" s="1624" t="n"/>
      <c r="B4" s="1840" t="inlineStr">
        <is>
          <t>UPPER CONN. 4-1/2" VAM TOP 12.6 #PPF SN 28 120 KSI BOX
DESCRIPTION : X OVER
4 1/2 PIN TOP X 3 1/2 PIN BTM
SAP: 130005012767 SUPPLIER: TENARIS
LOWER CONN. 3-1/2" TENARIS BLUE 9.2#PPF SN 28 120 KSI PIN</t>
        </is>
      </c>
      <c r="C4" s="1841" t="n">
        <v>2.969</v>
      </c>
      <c r="D4" s="895" t="n"/>
      <c r="E4" s="1841" t="n">
        <v>4.5</v>
      </c>
      <c r="F4" s="895" t="n"/>
      <c r="G4" s="1842" t="n">
        <v>2.48</v>
      </c>
      <c r="H4" s="895" t="n"/>
      <c r="I4" s="1840" t="inlineStr">
        <is>
          <t>N/A</t>
        </is>
      </c>
      <c r="J4" s="1840" t="inlineStr">
        <is>
          <t>N/A</t>
        </is>
      </c>
      <c r="K4" s="1840" t="inlineStr">
        <is>
          <t>130005012767</t>
        </is>
      </c>
      <c r="L4" s="1840" t="inlineStr">
        <is>
          <t>N/A</t>
        </is>
      </c>
    </row>
    <row r="5" ht="76.09999999999999" customHeight="1" s="882">
      <c r="A5" s="1172" t="n"/>
      <c r="B5" s="1840" t="inlineStr">
        <is>
          <t>UPPER CONN. 3-1/2" TENARIS BLUE 9.2#PPF SN 28 110 KSI
DESCRIPTION: 5 FEET PUP JOINT
SAP: 130005011338
SUPPLIER:TENARIS
LOWER CONN. 3-1/2" TENARIS BLUE 9.2#PPF SN 28 110 KSI</t>
        </is>
      </c>
      <c r="C5" s="1841" t="n">
        <v>2.969</v>
      </c>
      <c r="D5" s="895" t="n"/>
      <c r="E5" s="1841" t="n">
        <v>3.937</v>
      </c>
      <c r="F5" s="895" t="n"/>
      <c r="G5" s="1842" t="n">
        <v>4.779</v>
      </c>
      <c r="H5" s="895" t="n"/>
      <c r="I5" s="1840" t="inlineStr">
        <is>
          <t>N/A</t>
        </is>
      </c>
      <c r="J5" s="1840" t="inlineStr">
        <is>
          <t>N/A</t>
        </is>
      </c>
      <c r="K5" s="1840" t="inlineStr">
        <is>
          <t>130005011338</t>
        </is>
      </c>
      <c r="L5" s="1840" t="inlineStr">
        <is>
          <t>N/A</t>
        </is>
      </c>
    </row>
    <row r="6" ht="14.25" customHeight="1" s="882">
      <c r="B6" s="1840" t="n"/>
      <c r="C6" s="1841" t="n">
        <v>2.969</v>
      </c>
      <c r="D6" s="895" t="n"/>
      <c r="E6" s="1841" t="n">
        <v>3.937</v>
      </c>
      <c r="F6" s="895" t="n"/>
      <c r="G6" s="1105" t="n"/>
      <c r="H6" s="895" t="n"/>
      <c r="I6" s="1840" t="n"/>
      <c r="J6" s="1840" t="n"/>
      <c r="K6" s="1840" t="n"/>
      <c r="L6" s="1840" t="n"/>
    </row>
    <row r="7" ht="16.4" customHeight="1" s="882">
      <c r="A7" s="1843" t="inlineStr">
        <is>
          <t>F</t>
        </is>
      </c>
      <c r="B7" s="1840" t="inlineStr">
        <is>
          <t>UPPER CONN. 3-1/2" TSH BLUE BOX 9.2 PPF SN 28 110 KSI
DESCRIPTION: 10 FEET XOVER
SAP: 130005012487
SUPPLIER: TENARIS
LOWER CONN. 3-1/2" VAM TOP PIN 9.2 PPF SN 28 110 KSI</t>
        </is>
      </c>
      <c r="C7" s="1841" t="n">
        <v>2.969</v>
      </c>
      <c r="D7" s="895" t="n"/>
      <c r="E7" s="1841" t="n">
        <v>3.937</v>
      </c>
      <c r="F7" s="895" t="n"/>
      <c r="G7" s="1844" t="n">
        <v>9.93</v>
      </c>
      <c r="H7" s="895" t="n"/>
      <c r="I7" s="1840" t="inlineStr">
        <is>
          <t>N/A</t>
        </is>
      </c>
      <c r="J7" s="1840" t="inlineStr">
        <is>
          <t>N/A</t>
        </is>
      </c>
      <c r="K7" s="1840" t="inlineStr">
        <is>
          <t>130005012487</t>
        </is>
      </c>
      <c r="L7" s="1840" t="inlineStr">
        <is>
          <t>N/A</t>
        </is>
      </c>
    </row>
    <row r="8" ht="16.4" customHeight="1" s="882">
      <c r="A8" s="1624" t="n"/>
      <c r="B8" s="1840" t="inlineStr">
        <is>
          <t>UPPER CONN. 3-1/2" VAM TOP 9.2#PPF
INCOLOY 925
BOX
DESCRIPTION: FLOW COUPLING
P/N: 2996124
S/N: 130777-02-002
SAP: 130010035671
SUPPLIER: WEATHERFORD
LOWER CONN. 3-1/2" VAM TOP 9.2#PPF</t>
        </is>
      </c>
      <c r="C8" s="1841" t="n">
        <v>2.949</v>
      </c>
      <c r="D8" s="895" t="n"/>
      <c r="E8" s="1841" t="n">
        <v>3.937</v>
      </c>
      <c r="F8" s="895" t="n"/>
      <c r="G8" s="1844" t="n">
        <v>5.75</v>
      </c>
      <c r="H8" s="895" t="n"/>
      <c r="I8" s="1840" t="inlineStr">
        <is>
          <t>2996124</t>
        </is>
      </c>
      <c r="J8" s="1840" t="inlineStr">
        <is>
          <t>130777-02-002</t>
        </is>
      </c>
      <c r="K8" s="1840" t="inlineStr">
        <is>
          <t>130010035671</t>
        </is>
      </c>
      <c r="L8" s="1840" t="inlineStr">
        <is>
          <t>N/A</t>
        </is>
      </c>
    </row>
    <row r="9" ht="150.7" customHeight="1" s="882">
      <c r="A9" s="1624" t="n"/>
      <c r="B9" s="1840" t="inlineStr">
        <is>
          <t>UPPER CONN. 3-1/2" VAM TOP 9.2#PPF
INCOLOY 925
BOX
DESCRIPTION: WEATHERFORD ASSY, TRSV,3.5WZPE-10
2.813WOR,2kSD,9.2# VAM TOP, WN302
PN: 2980845
S/N: 12777594-01
SAP: 130010038007
SUPPLIER: WEATHERFORD
LOWER CONN. 3-1/2" VAM TOP 9.2#PPF</t>
        </is>
      </c>
      <c r="C9" s="1841" t="n">
        <v>2.813</v>
      </c>
      <c r="D9" s="895" t="n"/>
      <c r="E9" s="1841" t="n">
        <v>5.46</v>
      </c>
      <c r="F9" s="895" t="n"/>
      <c r="G9" s="1844" t="n">
        <v>4.44</v>
      </c>
      <c r="H9" s="895" t="n"/>
      <c r="I9" s="1840" t="inlineStr">
        <is>
          <t>2980845</t>
        </is>
      </c>
      <c r="J9" s="1840" t="inlineStr">
        <is>
          <t>12777594-01</t>
        </is>
      </c>
      <c r="K9" s="1840" t="inlineStr">
        <is>
          <t>130010038007</t>
        </is>
      </c>
      <c r="L9" s="1840" t="inlineStr">
        <is>
          <t>N/A</t>
        </is>
      </c>
    </row>
    <row r="10" ht="105.95" customHeight="1" s="882">
      <c r="A10" s="1624" t="n"/>
      <c r="B10" s="1840" t="inlineStr">
        <is>
          <t>UPPER CONN. 3-1/2" VAM TOP 9.2#PPF INCOLOY 925 BOX
DESCRIPTION: FLOW COUPLING
PN: 2996124
S/N: 130777-04-001
SAP: 130010035671
S UPPLIER: WEATHERFORD
LOWER CONN. 3-1/2" VAM TOP 9.2#PPF</t>
        </is>
      </c>
      <c r="C10" s="1841" t="n">
        <v>2.949</v>
      </c>
      <c r="D10" s="895" t="n"/>
      <c r="E10" s="1841" t="n">
        <v>3.937</v>
      </c>
      <c r="F10" s="895" t="n"/>
      <c r="G10" s="1844" t="n">
        <v>5.75</v>
      </c>
      <c r="H10" s="895" t="n"/>
      <c r="I10" s="1840" t="inlineStr">
        <is>
          <t>2996124</t>
        </is>
      </c>
      <c r="J10" s="1840" t="inlineStr">
        <is>
          <t>130777-04-001</t>
        </is>
      </c>
      <c r="K10" s="1840" t="inlineStr">
        <is>
          <t>130010035671</t>
        </is>
      </c>
      <c r="L10" s="1840" t="inlineStr">
        <is>
          <t>N/A</t>
        </is>
      </c>
    </row>
    <row r="11" ht="16.4" customHeight="1" s="882">
      <c r="A11" s="1172" t="n"/>
      <c r="B11" s="1840" t="inlineStr">
        <is>
          <t>UPPER CONN. 3-1/2" VAM TOP BOX 9.2 PPF SN 28 110 KSI
DESCRIPTION: 5 FEET XOVER
SAP: 130005011340
SUPPLIER: TENARIS
UPPER CONN. 3-1/2" TSH BLUE PIN 9.2 PPF SN 28 110 KSI</t>
        </is>
      </c>
      <c r="C11" s="1841" t="n">
        <v>2.959</v>
      </c>
      <c r="D11" s="895" t="n"/>
      <c r="E11" s="1841" t="n">
        <v>3.908</v>
      </c>
      <c r="F11" s="895" t="n"/>
      <c r="G11" s="1844" t="n">
        <v>4.719</v>
      </c>
      <c r="H11" s="895" t="n"/>
      <c r="I11" s="1840" t="inlineStr">
        <is>
          <t>N/A</t>
        </is>
      </c>
      <c r="J11" s="1840" t="inlineStr">
        <is>
          <t>N/A</t>
        </is>
      </c>
      <c r="K11" s="1840" t="inlineStr">
        <is>
          <t>130005011340</t>
        </is>
      </c>
      <c r="L11" s="1840" t="inlineStr">
        <is>
          <t>N/A</t>
        </is>
      </c>
    </row>
    <row r="12" ht="14.25" customHeight="1" s="882">
      <c r="B12" s="1840" t="n"/>
      <c r="C12" s="1841" t="n">
        <v>2.959</v>
      </c>
      <c r="D12" s="895" t="n"/>
      <c r="E12" s="1841" t="n">
        <v>3.908</v>
      </c>
      <c r="F12" s="895" t="n"/>
      <c r="G12" s="1105" t="n"/>
      <c r="H12" s="895" t="n"/>
      <c r="I12" s="1840" t="n"/>
      <c r="J12" s="1840" t="n"/>
      <c r="K12" s="1840" t="n"/>
      <c r="L12" s="1840" t="n"/>
    </row>
    <row r="13" ht="76.09999999999999" customHeight="1" s="882">
      <c r="A13" s="1845" t="inlineStr">
        <is>
          <t>D4</t>
        </is>
      </c>
      <c r="B13" s="1840" t="inlineStr">
        <is>
          <t>UPPER CONN. 3-1/2" TSH BLUE BOX 9.2 PPF SN 28 110 KSI
DESCRIPTION: 5 FEET XOVER
SAP: 130005011340
SUPPLIER: TENARIS
LOWER CONN. 3-1/2" VAM TOP PIN 9.2 PPF SN 28 110 KSI</t>
        </is>
      </c>
      <c r="C13" s="1841" t="n">
        <v>2.969</v>
      </c>
      <c r="D13" s="895" t="n"/>
      <c r="E13" s="1841" t="n">
        <v>3.937</v>
      </c>
      <c r="F13" s="895" t="n"/>
      <c r="G13" s="1846" t="n">
        <v>4.96</v>
      </c>
      <c r="H13" s="895" t="n"/>
      <c r="I13" s="1840" t="inlineStr">
        <is>
          <t>N/A</t>
        </is>
      </c>
      <c r="J13" s="1840" t="inlineStr">
        <is>
          <t>N/A</t>
        </is>
      </c>
      <c r="K13" s="1840" t="inlineStr">
        <is>
          <t>130005011340</t>
        </is>
      </c>
      <c r="L13" s="1840" t="inlineStr">
        <is>
          <t>N/A</t>
        </is>
      </c>
    </row>
    <row r="14" ht="76.09999999999999" customHeight="1" s="882">
      <c r="A14" s="1624" t="n"/>
      <c r="B14" s="1840" t="inlineStr">
        <is>
          <t>UPPER CONN. 3-1/2" VAM TOP BOX 9.2 PPF TX28- 110 KSI
DESCRIPTION: 10 FEET XOVER
SAP: 1130013006387
SUPPLIER: TBX
LOWER CONN-3-1/2" SENTINELPRIME PIN 9.2 PPF TX28110 KSI</t>
        </is>
      </c>
      <c r="C14" s="1841" t="n">
        <v>2.959</v>
      </c>
      <c r="D14" s="895" t="n"/>
      <c r="E14" s="1841" t="n">
        <v>3.908</v>
      </c>
      <c r="F14" s="895" t="n"/>
      <c r="G14" s="1846" t="n">
        <v>9.779999999999999</v>
      </c>
      <c r="H14" s="895" t="n"/>
      <c r="I14" s="1840" t="inlineStr">
        <is>
          <t>N/A</t>
        </is>
      </c>
      <c r="J14" s="1840" t="inlineStr">
        <is>
          <t>N/A</t>
        </is>
      </c>
      <c r="K14" s="1840" t="inlineStr">
        <is>
          <t>1130013006387</t>
        </is>
      </c>
      <c r="L14" s="1840" t="inlineStr">
        <is>
          <t>N/A</t>
        </is>
      </c>
    </row>
    <row r="15" ht="135.8" customHeight="1" s="882">
      <c r="A15" s="1624" t="n"/>
      <c r="B15" s="1840"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 s="1841" t="n">
        <v>2.9</v>
      </c>
      <c r="D15" s="895" t="n"/>
      <c r="E15" s="1841" t="n">
        <v>5.82</v>
      </c>
      <c r="F15" s="895" t="n"/>
      <c r="G15" s="1846" t="n">
        <v>8.69</v>
      </c>
      <c r="H15" s="895" t="n"/>
      <c r="I15" s="1840" t="inlineStr">
        <is>
          <t>3205577</t>
        </is>
      </c>
      <c r="J15" s="1840" t="inlineStr">
        <is>
          <t>12696654-13</t>
        </is>
      </c>
      <c r="K15" s="1840" t="inlineStr">
        <is>
          <t>130010036652</t>
        </is>
      </c>
      <c r="L15" s="1840" t="inlineStr">
        <is>
          <t>N/A</t>
        </is>
      </c>
    </row>
    <row r="16" ht="76.09999999999999" customHeight="1" s="882">
      <c r="A16" s="1624" t="n"/>
      <c r="B16" s="1840" t="inlineStr">
        <is>
          <t>UPPER CONN. 3-1/2" SENTINEL PRIME BOX 9.2 PPF TX28-110 KSI
DESCRIPTION: 5 FEET XOVER
SAP: 130013006385
SUPPLIER: TBX
LOWER CONN. 3-1/2" VAM TOP PIN 9.2 PPF TX28-110 KSI</t>
        </is>
      </c>
      <c r="C16" s="1841" t="n">
        <v>2.921</v>
      </c>
      <c r="D16" s="895" t="n"/>
      <c r="E16" s="1841" t="n">
        <v>3.929</v>
      </c>
      <c r="F16" s="895" t="n"/>
      <c r="G16" s="1846" t="n">
        <v>4.96</v>
      </c>
      <c r="H16" s="895" t="n"/>
      <c r="I16" s="1840" t="inlineStr">
        <is>
          <t>N/A</t>
        </is>
      </c>
      <c r="J16" s="1840" t="inlineStr">
        <is>
          <t>N/A</t>
        </is>
      </c>
      <c r="K16" s="1840" t="inlineStr">
        <is>
          <t>130013006385</t>
        </is>
      </c>
      <c r="L16" s="1840" t="inlineStr">
        <is>
          <t>N/A</t>
        </is>
      </c>
    </row>
    <row r="17" ht="76.09999999999999" customHeight="1" s="882">
      <c r="A17" s="1172" t="n"/>
      <c r="B17" s="1840" t="inlineStr">
        <is>
          <t>UPPER CONN. 3-1/2" VAM TOP BOX 9.2 PPF SN 28 110 KSI
DESCRIPTION: 5 FEET XOVER
SAP: 130005011340
SUPPLIER: TENARIS
LOWER CONN. 3-1/2" TSH BLUE PIN 9.2 PPF SN 28 110 KSI</t>
        </is>
      </c>
      <c r="C17" s="1841" t="n">
        <v>2.959</v>
      </c>
      <c r="D17" s="895" t="n"/>
      <c r="E17" s="1841" t="n">
        <v>3.908</v>
      </c>
      <c r="F17" s="895" t="n"/>
      <c r="G17" s="1846" t="n">
        <v>4.879</v>
      </c>
      <c r="H17" s="895" t="n"/>
      <c r="I17" s="1840" t="inlineStr">
        <is>
          <t>N/A</t>
        </is>
      </c>
      <c r="J17" s="1840" t="inlineStr">
        <is>
          <t>N/A</t>
        </is>
      </c>
      <c r="K17" s="1840" t="inlineStr">
        <is>
          <t>130005011340</t>
        </is>
      </c>
      <c r="L17" s="1840" t="inlineStr">
        <is>
          <t>N/A</t>
        </is>
      </c>
    </row>
    <row r="18" ht="14.25" customHeight="1" s="882">
      <c r="B18" s="1840" t="n"/>
      <c r="C18" s="1841" t="n">
        <v>2.959</v>
      </c>
      <c r="D18" s="895" t="n"/>
      <c r="E18" s="1841" t="n">
        <v>3.908</v>
      </c>
      <c r="F18" s="895" t="n"/>
      <c r="G18" s="1105" t="n"/>
      <c r="H18" s="895" t="n"/>
      <c r="I18" s="1840" t="n"/>
      <c r="J18" s="1840" t="n"/>
      <c r="K18" s="1840" t="n"/>
      <c r="L18" s="1840" t="n"/>
    </row>
    <row r="19" ht="76.09999999999999" customHeight="1" s="882">
      <c r="A19" s="1847" t="inlineStr">
        <is>
          <t>D3</t>
        </is>
      </c>
      <c r="B19" s="1840" t="inlineStr">
        <is>
          <t>UPPER CONN. 3-1/2" TSH BLUE BOX 9.2 PPF SN 28 110 KSI
DESCRIPTION: 10 FEET XOVER
SAP: 130005012487
SUPPLIER: TENARIS
LOWER CONN. 3-1/2" VAM TOP PIN 9.2 PPF SN 28 110 KSI</t>
        </is>
      </c>
      <c r="C19" s="1841" t="n">
        <v>2.969</v>
      </c>
      <c r="D19" s="895" t="n"/>
      <c r="E19" s="1841" t="n">
        <v>3.937</v>
      </c>
      <c r="F19" s="895" t="n"/>
      <c r="G19" s="1848" t="n">
        <v>9.93</v>
      </c>
      <c r="H19" s="895" t="n"/>
      <c r="I19" s="1840" t="inlineStr">
        <is>
          <t>N/A</t>
        </is>
      </c>
      <c r="J19" s="1840" t="inlineStr">
        <is>
          <t>N/A</t>
        </is>
      </c>
      <c r="K19" s="1840" t="inlineStr">
        <is>
          <t>130005012487</t>
        </is>
      </c>
      <c r="L19" s="1840" t="inlineStr">
        <is>
          <t>N/A</t>
        </is>
      </c>
    </row>
    <row r="20" ht="16.4" customHeight="1" s="882">
      <c r="A20" s="1624" t="n"/>
      <c r="B20" s="1840" t="inlineStr">
        <is>
          <t>UPPER CONN. 3-1/2" VAM TOP BOX 9.2 PPF TX28- 110 KSI
DESCRIPTION: 5 FEET XOVER
SAP: 130013006383
SUPPLIER: TBX
LOWER CONN -3-1/2" SENTINEL PRIME PIN 9.2 PPF TX28-110 KSI</t>
        </is>
      </c>
      <c r="C20" s="1841" t="n">
        <v>2.959</v>
      </c>
      <c r="D20" s="895" t="n"/>
      <c r="E20" s="1841" t="n">
        <v>3.908</v>
      </c>
      <c r="F20" s="895" t="n"/>
      <c r="G20" s="1848" t="n">
        <v>4.88</v>
      </c>
      <c r="H20" s="895" t="n"/>
      <c r="I20" s="1840" t="inlineStr">
        <is>
          <t>N/A</t>
        </is>
      </c>
      <c r="J20" s="1840" t="inlineStr">
        <is>
          <t>N/A</t>
        </is>
      </c>
      <c r="K20" s="1840" t="inlineStr">
        <is>
          <t>130013006383</t>
        </is>
      </c>
      <c r="L20" s="1840" t="inlineStr">
        <is>
          <t>N/A</t>
        </is>
      </c>
    </row>
    <row r="21" ht="16.4" customHeight="1" s="882">
      <c r="A21" s="1624" t="n"/>
      <c r="B21" s="1840"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21" s="1841" t="n">
        <v>2.9</v>
      </c>
      <c r="D21" s="895" t="n"/>
      <c r="E21" s="1841" t="n">
        <v>5.82</v>
      </c>
      <c r="F21" s="895" t="n"/>
      <c r="G21" s="1848" t="n">
        <v>8.69</v>
      </c>
      <c r="H21" s="895" t="n"/>
      <c r="I21" s="1840" t="inlineStr">
        <is>
          <t>3205577</t>
        </is>
      </c>
      <c r="J21" s="1840" t="inlineStr">
        <is>
          <t>12600735-08</t>
        </is>
      </c>
      <c r="K21" s="1840" t="inlineStr">
        <is>
          <t>130010036652</t>
        </is>
      </c>
      <c r="L21" s="1840" t="inlineStr">
        <is>
          <t>N/A</t>
        </is>
      </c>
    </row>
    <row r="22" ht="16.4" customHeight="1" s="882">
      <c r="A22" s="1624" t="n"/>
      <c r="B22" s="1840" t="inlineStr">
        <is>
          <t>UPPER CONN. 3-1/2" SENTINEL PRIME BOX 9.2 PPF TX28-110 KSI
DESCRIPTION: 5 FEET XOVER
SAP: 130013006385
SUPPLIER: TBX
LOWER CONN. 3-1/2" VAM TOP PIN 9.2 PPF TX28-110 KSI</t>
        </is>
      </c>
      <c r="C22" s="1841" t="n">
        <v>2.921</v>
      </c>
      <c r="D22" s="895" t="n"/>
      <c r="E22" s="1841" t="n">
        <v>3.929</v>
      </c>
      <c r="F22" s="895" t="n"/>
      <c r="G22" s="1848" t="n">
        <v>4.96</v>
      </c>
      <c r="H22" s="895" t="n"/>
      <c r="I22" s="1840" t="inlineStr">
        <is>
          <t>N/A</t>
        </is>
      </c>
      <c r="J22" s="1840" t="inlineStr">
        <is>
          <t>N/A</t>
        </is>
      </c>
      <c r="K22" s="1840" t="inlineStr">
        <is>
          <t>130013006385</t>
        </is>
      </c>
      <c r="L22" s="1840" t="inlineStr">
        <is>
          <t>N/A</t>
        </is>
      </c>
    </row>
    <row r="23" ht="16.4" customHeight="1" s="882">
      <c r="A23" s="1172" t="n"/>
      <c r="B23" s="1840" t="inlineStr">
        <is>
          <t>UPPER CONN. 3-1/2" VAM TOP BOX 9.2 PPF SN 28 110 KSI
DESCRIPTION: 5 FEET XOVER
SAP: 130005011340
SUPPLIER: TENARIS
LOWER CONN. 3-1/2" TSH BLUE PIN 9.2 PPF SN 28 110 KSI</t>
        </is>
      </c>
      <c r="C23" s="1841" t="n">
        <v>2.959</v>
      </c>
      <c r="D23" s="895" t="n"/>
      <c r="E23" s="1841" t="n">
        <v>3.908</v>
      </c>
      <c r="F23" s="895" t="n"/>
      <c r="G23" s="1848" t="n">
        <v>4.889</v>
      </c>
      <c r="H23" s="895" t="n"/>
      <c r="I23" s="1840" t="inlineStr">
        <is>
          <t>N/A</t>
        </is>
      </c>
      <c r="J23" s="1840" t="inlineStr">
        <is>
          <t>N/A</t>
        </is>
      </c>
      <c r="K23" s="1840" t="inlineStr">
        <is>
          <t>130005011340</t>
        </is>
      </c>
      <c r="L23" s="1840" t="inlineStr">
        <is>
          <t>N/A</t>
        </is>
      </c>
    </row>
    <row r="24" ht="14.25" customHeight="1" s="882">
      <c r="B24" s="1840" t="n"/>
      <c r="C24" s="1841" t="n">
        <v>2.959</v>
      </c>
      <c r="D24" s="895" t="n"/>
      <c r="E24" s="1841" t="n">
        <v>3.908</v>
      </c>
      <c r="F24" s="895" t="n"/>
      <c r="G24" s="1105" t="n"/>
      <c r="H24" s="895" t="n"/>
      <c r="I24" s="1840" t="n"/>
      <c r="J24" s="1840" t="n"/>
      <c r="K24" s="1840" t="n"/>
      <c r="L24" s="1840" t="n"/>
    </row>
    <row r="25" ht="76.09999999999999" customHeight="1" s="882">
      <c r="A25" s="1849" t="inlineStr">
        <is>
          <t>D2</t>
        </is>
      </c>
      <c r="B25" s="1840" t="inlineStr">
        <is>
          <t>UPPER CONN. 3-1/2" TSH BLUE BOX 9.2 PPF SN 28 110 KSI
DESCRIPTION: 10 FEET XOVER
SAP: 130005012487
SUPPLIER: TENARIS
LOWER CONN. 3-1/2" VAM TOP PIN 9.2 PPF SN 28 110 KSI</t>
        </is>
      </c>
      <c r="C25" s="1841" t="n">
        <v>2.969</v>
      </c>
      <c r="D25" s="895" t="n"/>
      <c r="E25" s="1841" t="n">
        <v>3.937</v>
      </c>
      <c r="F25" s="895" t="n"/>
      <c r="G25" s="1850" t="n">
        <v>9.949999999999999</v>
      </c>
      <c r="H25" s="895" t="n"/>
      <c r="I25" s="1840" t="inlineStr">
        <is>
          <t>N/A</t>
        </is>
      </c>
      <c r="J25" s="1840" t="inlineStr">
        <is>
          <t>N/A</t>
        </is>
      </c>
      <c r="K25" s="1840" t="inlineStr">
        <is>
          <t>130005012487</t>
        </is>
      </c>
      <c r="L25" s="1840" t="inlineStr">
        <is>
          <t>N/A</t>
        </is>
      </c>
    </row>
    <row r="26" ht="76.09999999999999" customHeight="1" s="882">
      <c r="A26" s="1624" t="n"/>
      <c r="B26" s="1840" t="inlineStr">
        <is>
          <t>UPPER CONN. 3-1/2" VAM TOP BOX 9.2 PPF TX28- 110 KSI
DESCRIPTION: 5 FEET XOVER
SAP: 130013006383
SUPPLIER: TBX
LOWER CONN -3-1/2" SENTINEL PRIME PIN 9.2 PPF TX28-110 KSI</t>
        </is>
      </c>
      <c r="C26" s="1841" t="n">
        <v>2.959</v>
      </c>
      <c r="D26" s="895" t="n"/>
      <c r="E26" s="1841" t="n">
        <v>3.908</v>
      </c>
      <c r="F26" s="895" t="n"/>
      <c r="G26" s="1850" t="n">
        <v>4.8</v>
      </c>
      <c r="H26" s="895" t="n"/>
      <c r="I26" s="1840" t="inlineStr">
        <is>
          <t>N/A</t>
        </is>
      </c>
      <c r="J26" s="1840" t="inlineStr">
        <is>
          <t>N/A</t>
        </is>
      </c>
      <c r="K26" s="1840" t="inlineStr">
        <is>
          <t>130013006383</t>
        </is>
      </c>
      <c r="L26" s="1840" t="inlineStr">
        <is>
          <t>N/A</t>
        </is>
      </c>
    </row>
    <row r="27" ht="135.8" customHeight="1" s="882">
      <c r="A27" s="1624" t="n"/>
      <c r="B27" s="1840"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27" s="1841" t="n">
        <v>2.9</v>
      </c>
      <c r="D27" s="895" t="n"/>
      <c r="E27" s="1841" t="n">
        <v>5.82</v>
      </c>
      <c r="F27" s="895" t="n"/>
      <c r="G27" s="1850" t="n">
        <v>8.69</v>
      </c>
      <c r="H27" s="895" t="n"/>
      <c r="I27" s="1840" t="inlineStr">
        <is>
          <t>3205577</t>
        </is>
      </c>
      <c r="J27" s="1840" t="inlineStr">
        <is>
          <t>12636080-05</t>
        </is>
      </c>
      <c r="K27" s="1840" t="inlineStr">
        <is>
          <t>130010036652</t>
        </is>
      </c>
      <c r="L27" s="1840" t="inlineStr">
        <is>
          <t>N/A</t>
        </is>
      </c>
    </row>
    <row r="28" ht="76.09999999999999" customHeight="1" s="882">
      <c r="A28" s="1624" t="n"/>
      <c r="B28" s="1840" t="inlineStr">
        <is>
          <t>UPPER CONN. 3-1/2" SENTINEL PRIME BOX 9.2 PPF TX28- 110 KSI
DESCRIPTION: 5 FEET XOVER
SAP: 130013006385
SUPPLIER: TBX
LOWER CONN. 3-1/2" VAM TOP PIN 9.2 PPF TX28-110 KSI</t>
        </is>
      </c>
      <c r="C28" s="1841" t="n">
        <v>2.921</v>
      </c>
      <c r="D28" s="895" t="n"/>
      <c r="E28" s="1841" t="n">
        <v>3.929</v>
      </c>
      <c r="F28" s="895" t="n"/>
      <c r="G28" s="1850" t="n">
        <v>4.97</v>
      </c>
      <c r="H28" s="895" t="n"/>
      <c r="I28" s="1840" t="inlineStr">
        <is>
          <t>N/A</t>
        </is>
      </c>
      <c r="J28" s="1840" t="inlineStr">
        <is>
          <t>N/A</t>
        </is>
      </c>
      <c r="K28" s="1840" t="inlineStr">
        <is>
          <t>130013006385</t>
        </is>
      </c>
      <c r="L28" s="1840" t="inlineStr">
        <is>
          <t>N/A</t>
        </is>
      </c>
    </row>
    <row r="29" ht="76.09999999999999" customHeight="1" s="882">
      <c r="A29" s="1172" t="n"/>
      <c r="B29" s="1840" t="inlineStr">
        <is>
          <t>UPPER CONN. 3-1/2" VAM TOP BOX 9.2 PPF SN 28 110 KSI
DESCRIPTION: 5 FEET XOVER
SAP: 130005011340
SUPPLIER: TENARIS
LOWER CONN. 3-1/2" TSH BLUE PIN 9.2 PPF SN 28 110 KSI</t>
        </is>
      </c>
      <c r="C29" s="1841" t="n">
        <v>2.959</v>
      </c>
      <c r="D29" s="895" t="n"/>
      <c r="E29" s="1841" t="n">
        <v>3.908</v>
      </c>
      <c r="F29" s="895" t="n"/>
      <c r="G29" s="1850" t="n">
        <v>4.879</v>
      </c>
      <c r="H29" s="895" t="n"/>
      <c r="I29" s="1840" t="inlineStr">
        <is>
          <t>N/A</t>
        </is>
      </c>
      <c r="J29" s="1840" t="inlineStr">
        <is>
          <t>N/A</t>
        </is>
      </c>
      <c r="K29" s="1840" t="inlineStr">
        <is>
          <t>130005011340</t>
        </is>
      </c>
      <c r="L29" s="1840" t="inlineStr">
        <is>
          <t>N/A</t>
        </is>
      </c>
    </row>
    <row r="30" ht="14.25" customHeight="1" s="882">
      <c r="B30" s="1840" t="n"/>
      <c r="C30" s="1841" t="n">
        <v>2.959</v>
      </c>
      <c r="D30" s="895" t="n"/>
      <c r="E30" s="1841" t="n">
        <v>3.908</v>
      </c>
      <c r="F30" s="895" t="n"/>
      <c r="G30" s="1105" t="n"/>
      <c r="H30" s="895" t="n"/>
      <c r="I30" s="1840" t="n"/>
      <c r="J30" s="1840" t="n"/>
      <c r="K30" s="1840" t="n"/>
      <c r="L30" s="1840" t="n"/>
    </row>
    <row r="31" ht="76.09999999999999" customHeight="1" s="882">
      <c r="A31" s="1851" t="inlineStr">
        <is>
          <t>D1</t>
        </is>
      </c>
      <c r="B31" s="1840" t="inlineStr">
        <is>
          <t>UPPER CONN. 3-1/2" TSH BLUE BOX 9.2 PPF SN 28 110 KSI
DESCRIPTION: 10 FEET XOVER
SAP: 130005012487
SUPPLIER: TENARIS
LOWER CONN. 3-1/2" VAM TOP PIN 9.2 PPF SN 28 110 KSI</t>
        </is>
      </c>
      <c r="C31" s="1841" t="n">
        <v>2.969</v>
      </c>
      <c r="D31" s="895" t="n"/>
      <c r="E31" s="1841" t="n">
        <v>3.937</v>
      </c>
      <c r="F31" s="895" t="n"/>
      <c r="G31" s="1852" t="n">
        <v>9.949999999999999</v>
      </c>
      <c r="H31" s="895" t="n"/>
      <c r="I31" s="1840" t="inlineStr">
        <is>
          <t>N/A</t>
        </is>
      </c>
      <c r="J31" s="1840" t="inlineStr">
        <is>
          <t>N/A</t>
        </is>
      </c>
      <c r="K31" s="1840" t="inlineStr">
        <is>
          <t>130005012487</t>
        </is>
      </c>
      <c r="L31" s="1840" t="inlineStr">
        <is>
          <t>N/A</t>
        </is>
      </c>
    </row>
    <row r="32" ht="16.4" customHeight="1" s="882">
      <c r="A32" s="1624" t="n"/>
      <c r="B32" s="1840" t="inlineStr">
        <is>
          <t>UPPER CONN. 3-1/2" VAM TOP BOX 9.2 PPF TX28- 110 KSI
DESCRIPTION: 5 FEET XOVER
SAP: 130013006383
SUPPLIER: TBX
LOWER CONN -3-1/2" SENTINEL PRIME PIN 9.2 PPF TX28-110 KSI</t>
        </is>
      </c>
      <c r="C32" s="1841" t="n">
        <v>2.959</v>
      </c>
      <c r="D32" s="895" t="n"/>
      <c r="E32" s="1841" t="n">
        <v>3.908</v>
      </c>
      <c r="F32" s="895" t="n"/>
      <c r="G32" s="1852" t="n">
        <v>4.85</v>
      </c>
      <c r="H32" s="895" t="n"/>
      <c r="I32" s="1840" t="inlineStr">
        <is>
          <t>N/A</t>
        </is>
      </c>
      <c r="J32" s="1840" t="inlineStr">
        <is>
          <t>N/A</t>
        </is>
      </c>
      <c r="K32" s="1840" t="inlineStr">
        <is>
          <t>130013006383</t>
        </is>
      </c>
      <c r="L32" s="1840" t="inlineStr">
        <is>
          <t>N/A</t>
        </is>
      </c>
    </row>
    <row r="33" ht="16.4" customHeight="1" s="882">
      <c r="A33" s="1624" t="n"/>
      <c r="B33" s="1840"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33" s="1841" t="n">
        <v>2.9</v>
      </c>
      <c r="D33" s="895" t="n"/>
      <c r="E33" s="1841" t="n">
        <v>5.82</v>
      </c>
      <c r="F33" s="895" t="n"/>
      <c r="G33" s="1852" t="n">
        <v>8.69</v>
      </c>
      <c r="H33" s="895" t="n"/>
      <c r="I33" s="1840" t="inlineStr">
        <is>
          <t>3205577</t>
        </is>
      </c>
      <c r="J33" s="1840" t="inlineStr">
        <is>
          <t>12636080-03</t>
        </is>
      </c>
      <c r="K33" s="1840" t="inlineStr">
        <is>
          <t>130010036652</t>
        </is>
      </c>
      <c r="L33" s="1840" t="inlineStr">
        <is>
          <t>N/A</t>
        </is>
      </c>
    </row>
    <row r="34" ht="76.09999999999999" customHeight="1" s="882">
      <c r="A34" s="1624" t="n"/>
      <c r="B34" s="1840" t="inlineStr">
        <is>
          <t>UPPER CONN. 3-1/2" SENTINEL PRIME BOX 9.2 PPF TX28-110 KSI
DESCRIPTION: 5 FEET XOVER
SAP: 130013006385
SUPPLIER: TBX
LOWER CONN. 3-1/2" VAM TOP PIN 9.2 PPF TX28-110 KSI</t>
        </is>
      </c>
      <c r="C34" s="1841" t="n">
        <v>2.921</v>
      </c>
      <c r="D34" s="895" t="n"/>
      <c r="E34" s="1841" t="n">
        <v>3.929</v>
      </c>
      <c r="F34" s="895" t="n"/>
      <c r="G34" s="1852" t="n">
        <v>4.96</v>
      </c>
      <c r="H34" s="895" t="n"/>
      <c r="I34" s="1840" t="inlineStr">
        <is>
          <t>N/A</t>
        </is>
      </c>
      <c r="J34" s="1840" t="inlineStr">
        <is>
          <t>N/A</t>
        </is>
      </c>
      <c r="K34" s="1840" t="inlineStr">
        <is>
          <t>130013006385</t>
        </is>
      </c>
      <c r="L34" s="1840" t="inlineStr">
        <is>
          <t>N/A</t>
        </is>
      </c>
    </row>
    <row r="35" ht="76.09999999999999" customHeight="1" s="882">
      <c r="A35" s="1172" t="n"/>
      <c r="B35" s="1840" t="inlineStr">
        <is>
          <t>UPPER CONN. 3-1/2" VAM TOP BOX 9.2 PPF SN 28 110 KSI
DESCRIPTION: 5 FEET XOVER
SAP: 130005011340
SUPPLIER: TENARIS
LOWER CONN. 3-1/2" TSH BLUE PIN 9.2 PPF SN 28 110 KSI</t>
        </is>
      </c>
      <c r="C35" s="1841" t="n">
        <v>2.959</v>
      </c>
      <c r="D35" s="895" t="n"/>
      <c r="E35" s="1841" t="n">
        <v>3.908</v>
      </c>
      <c r="F35" s="895" t="n"/>
      <c r="G35" s="1852" t="n">
        <v>4.899</v>
      </c>
      <c r="H35" s="895" t="n"/>
      <c r="I35" s="1840" t="inlineStr">
        <is>
          <t>N/A</t>
        </is>
      </c>
      <c r="J35" s="1840" t="inlineStr">
        <is>
          <t>N/A</t>
        </is>
      </c>
      <c r="K35" s="1840" t="inlineStr">
        <is>
          <t>130005011340</t>
        </is>
      </c>
      <c r="L35" s="1840" t="inlineStr">
        <is>
          <t>N/A</t>
        </is>
      </c>
    </row>
    <row r="36" ht="14.25" customHeight="1" s="882">
      <c r="B36" s="1840" t="n"/>
      <c r="C36" s="1841" t="n">
        <v>2.959</v>
      </c>
      <c r="D36" s="895" t="n"/>
      <c r="E36" s="1841" t="n">
        <v>3.908</v>
      </c>
      <c r="F36" s="895" t="n"/>
      <c r="G36" s="1105" t="n"/>
      <c r="H36" s="895" t="n"/>
      <c r="I36" s="1840" t="n"/>
      <c r="J36" s="1840" t="n"/>
      <c r="K36" s="1840" t="n"/>
      <c r="L36" s="1840" t="n"/>
    </row>
    <row r="37" ht="76.09999999999999" customHeight="1" s="882">
      <c r="A37" s="1853" t="inlineStr">
        <is>
          <t>C</t>
        </is>
      </c>
      <c r="B37" s="1840" t="inlineStr">
        <is>
          <t>UPPER CONN. 3-1/2" TSH BLUE BOX 9.2 PPF SN 28 110 KSI
DESCRIPTION: 5 FEET XOVER
SAP: 130005011444
SUPPLIER: TENARIS
LOWER CONN. 3-1/2" VAM TOP PIN 9.2 PPF SN 28 110 KSI</t>
        </is>
      </c>
      <c r="C37" s="1841" t="n">
        <v>2.969</v>
      </c>
      <c r="D37" s="895" t="n"/>
      <c r="E37" s="1841" t="n">
        <v>3.937</v>
      </c>
      <c r="F37" s="895" t="n"/>
      <c r="G37" s="1854" t="n">
        <v>4.99</v>
      </c>
      <c r="H37" s="895" t="n"/>
      <c r="I37" s="1840" t="inlineStr">
        <is>
          <t>N/A</t>
        </is>
      </c>
      <c r="J37" s="1840" t="inlineStr">
        <is>
          <t>N/A</t>
        </is>
      </c>
      <c r="K37" s="1840" t="inlineStr">
        <is>
          <t>130005011444</t>
        </is>
      </c>
      <c r="L37" s="1840" t="inlineStr">
        <is>
          <t>N/A</t>
        </is>
      </c>
    </row>
    <row r="38" ht="150.7" customHeight="1" s="882">
      <c r="A38" s="1624" t="n"/>
      <c r="B38" s="1840"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8" s="1841" t="n">
        <v>2.919</v>
      </c>
      <c r="D38" s="895" t="n"/>
      <c r="E38" s="1841" t="n">
        <v>5.91</v>
      </c>
      <c r="F38" s="895" t="n"/>
      <c r="G38" s="1854" t="n">
        <v>9.710000000000001</v>
      </c>
      <c r="H38" s="895" t="n"/>
      <c r="I38" s="1840" t="inlineStr">
        <is>
          <t>2960170</t>
        </is>
      </c>
      <c r="J38" s="1840" t="inlineStr">
        <is>
          <t>12857761-01</t>
        </is>
      </c>
      <c r="K38" s="1840" t="inlineStr">
        <is>
          <t>130010037571</t>
        </is>
      </c>
      <c r="L38" s="1840" t="inlineStr">
        <is>
          <t>N/A</t>
        </is>
      </c>
    </row>
    <row r="39" ht="76.09999999999999" customHeight="1" s="882">
      <c r="A39" s="1624" t="n"/>
      <c r="B39" s="1840" t="inlineStr">
        <is>
          <t>UPPER CONN. 3-1/2" VAM TOP 9.2#PPF SM2535 BOX
DESCRIPTION: 10 FEET PUP JOINT
SAP: 130013000213
SUPPLIER: VAM
LOWER CONN. 3-1/2" VAM TOP 9.2#PPF SM2535 PIN</t>
        </is>
      </c>
      <c r="C39" s="1841" t="n">
        <v>2.959</v>
      </c>
      <c r="D39" s="895" t="n"/>
      <c r="E39" s="1841" t="n">
        <v>3.908</v>
      </c>
      <c r="F39" s="895" t="n"/>
      <c r="G39" s="1854" t="n">
        <v>9.92</v>
      </c>
      <c r="H39" s="895" t="n"/>
      <c r="I39" s="1840" t="inlineStr">
        <is>
          <t>N/A</t>
        </is>
      </c>
      <c r="J39" s="1840" t="inlineStr">
        <is>
          <t>N/A</t>
        </is>
      </c>
      <c r="K39" s="1840" t="inlineStr">
        <is>
          <t>130013000213</t>
        </is>
      </c>
      <c r="L39" s="1840" t="inlineStr">
        <is>
          <t>N/A</t>
        </is>
      </c>
    </row>
    <row r="40" ht="16.4" customHeight="1" s="882">
      <c r="A40" s="1624" t="n"/>
      <c r="B40" s="1840" t="inlineStr">
        <is>
          <t>UPPER CONN. 3-1/2" VAM TOP 9.2#PPF SM 2535 BOX
DESCRIPTION: 5 FEET PUP JOINT
SAP: 130005002758
SUPPLIER: VAM
LOWER CONN. 3-1/2" VAM TOP 9.2#PPF SM 2535 PIN</t>
        </is>
      </c>
      <c r="C40" s="1841" t="n">
        <v>2.959</v>
      </c>
      <c r="D40" s="895" t="n"/>
      <c r="E40" s="1841" t="n">
        <v>3.908</v>
      </c>
      <c r="F40" s="895" t="n"/>
      <c r="G40" s="1854" t="n">
        <v>4.92</v>
      </c>
      <c r="H40" s="895" t="n"/>
      <c r="I40" s="1840" t="inlineStr">
        <is>
          <t>N/A</t>
        </is>
      </c>
      <c r="J40" s="1840" t="inlineStr">
        <is>
          <t>N/A</t>
        </is>
      </c>
      <c r="K40" s="1840" t="inlineStr">
        <is>
          <t>130005002758</t>
        </is>
      </c>
      <c r="L40" s="1840" t="inlineStr">
        <is>
          <t>N/A</t>
        </is>
      </c>
    </row>
    <row r="41" ht="105.95" customHeight="1" s="882">
      <c r="A41" s="1624" t="n"/>
      <c r="B41" s="1840" t="inlineStr">
        <is>
          <t>UPPER CONN. 3-1/2" VAM TOP 9.2#PPF INC 925 KSI BOX
DESCRIPTION: 2.750 WXN Nipple
PN: 2963809
S/N :12527047-08
SAP: 130010036868
SUPPLIER: WEATHERFORD
LOWER CONN.3-1/2" VAM TOP 9.2#PPF INC 925KSI PIN</t>
        </is>
      </c>
      <c r="C41" s="1841" t="n">
        <v>2.637</v>
      </c>
      <c r="D41" s="895" t="n"/>
      <c r="E41" s="1841" t="n">
        <v>3.885</v>
      </c>
      <c r="F41" s="895" t="n"/>
      <c r="G41" s="1854" t="n">
        <v>1.15</v>
      </c>
      <c r="H41" s="895" t="n"/>
      <c r="I41" s="1840" t="inlineStr">
        <is>
          <t>2963809</t>
        </is>
      </c>
      <c r="J41" s="1840" t="inlineStr">
        <is>
          <t>12527047-08</t>
        </is>
      </c>
      <c r="K41" s="1840" t="inlineStr">
        <is>
          <t>130010036868</t>
        </is>
      </c>
      <c r="L41" s="1840" t="inlineStr">
        <is>
          <t>N/A</t>
        </is>
      </c>
    </row>
    <row r="42" ht="76.09999999999999" customHeight="1" s="882">
      <c r="A42" s="1172" t="n"/>
      <c r="B42" s="1840" t="inlineStr">
        <is>
          <t>UPPER CONN. 3-1/2" VAM TOP BOX 9.2 PPF SN 28 110 KSI
DESCRIPTION: 5 FEET XOVER
SAP: 130005011340
SUPPLIER: TENARIS
LOWER CONN. 3-1/2" TSH BLUE PIN 9.2 PPF SN 28 110 KSI</t>
        </is>
      </c>
      <c r="C42" s="1841" t="n">
        <v>2.959</v>
      </c>
      <c r="D42" s="895" t="n"/>
      <c r="E42" s="1841" t="n">
        <v>3.908</v>
      </c>
      <c r="F42" s="895" t="n"/>
      <c r="G42" s="1854" t="n">
        <v>4.859</v>
      </c>
      <c r="H42" s="895" t="n"/>
      <c r="I42" s="1840" t="inlineStr">
        <is>
          <t>N/A</t>
        </is>
      </c>
      <c r="J42" s="1840" t="inlineStr">
        <is>
          <t>N/A</t>
        </is>
      </c>
      <c r="K42" s="1840" t="inlineStr">
        <is>
          <t>130005011340</t>
        </is>
      </c>
      <c r="L42" s="1840" t="inlineStr">
        <is>
          <t>N/A</t>
        </is>
      </c>
    </row>
    <row r="43" ht="14.25" customHeight="1" s="882">
      <c r="B43" s="1840" t="n"/>
      <c r="C43" s="1841" t="n">
        <v>2.959</v>
      </c>
      <c r="D43" s="895" t="n"/>
      <c r="E43" s="1841" t="n">
        <v>3.908</v>
      </c>
      <c r="F43" s="895" t="n"/>
      <c r="G43" s="1105" t="n"/>
      <c r="H43" s="895" t="n"/>
      <c r="I43" s="1840" t="n"/>
      <c r="J43" s="1840" t="n"/>
      <c r="K43" s="1840" t="n"/>
      <c r="L43" s="1840" t="n"/>
    </row>
    <row r="44" ht="76.09999999999999" customHeight="1" s="882">
      <c r="A44" s="1855" t="inlineStr">
        <is>
          <t>B</t>
        </is>
      </c>
      <c r="B44" s="1840" t="inlineStr">
        <is>
          <t>UPPER CONN. 3-1/2" TSH BLUE BOX 9.2 PPF SN 28 110 KSI
DESCRIPTION: 10 FEET XOVER
SAP: 130005011444
SUPPLIER: TENARIS
LOWER CONN. 3-1/2" VAM TOP PIN 9.2 PPF SN 28 110 KSI</t>
        </is>
      </c>
      <c r="C44" s="1841" t="n">
        <v>2.969</v>
      </c>
      <c r="D44" s="895" t="n"/>
      <c r="E44" s="1841" t="n">
        <v>3.937</v>
      </c>
      <c r="F44" s="895" t="n"/>
      <c r="G44" s="1856" t="n">
        <v>9.83</v>
      </c>
      <c r="H44" s="895" t="n"/>
      <c r="I44" s="1840" t="inlineStr">
        <is>
          <t>N/A</t>
        </is>
      </c>
      <c r="J44" s="1840" t="inlineStr">
        <is>
          <t>N/A</t>
        </is>
      </c>
      <c r="K44" s="1840" t="inlineStr">
        <is>
          <t>130005011444</t>
        </is>
      </c>
      <c r="L44" s="1840" t="inlineStr">
        <is>
          <t>N/A</t>
        </is>
      </c>
    </row>
    <row r="45" ht="76.09999999999999" customHeight="1" s="882">
      <c r="A45" s="1624" t="n"/>
      <c r="B45" s="1840" t="inlineStr">
        <is>
          <t>UPPER CONN. 3-1/2" VAM TOP BOX 9.2 PPF TX28- 110 KSI
DESCRIPTION: 5 FEET XOVER
SAP: 130013006383
SUPPLIER: TBX
LOWER CONN -3-1/2" SENTINEL PRIME PIN 9.2 PPF TX28-110 KSI</t>
        </is>
      </c>
      <c r="C45" s="1841" t="n">
        <v>2.959</v>
      </c>
      <c r="D45" s="895" t="n"/>
      <c r="E45" s="1841" t="n">
        <v>3.908</v>
      </c>
      <c r="F45" s="895" t="n"/>
      <c r="G45" s="1856" t="n">
        <v>4.8</v>
      </c>
      <c r="H45" s="895" t="n"/>
      <c r="I45" s="1840" t="inlineStr">
        <is>
          <t>N/A</t>
        </is>
      </c>
      <c r="J45" s="1840" t="inlineStr">
        <is>
          <t>N/A</t>
        </is>
      </c>
      <c r="K45" s="1840" t="inlineStr">
        <is>
          <t>130013006383</t>
        </is>
      </c>
      <c r="L45" s="1840" t="inlineStr">
        <is>
          <t>N/A</t>
        </is>
      </c>
    </row>
    <row r="46" ht="105.95" customHeight="1" s="882">
      <c r="A46" s="1624" t="n"/>
      <c r="B46" s="1840" t="inlineStr">
        <is>
          <t>UPPER CONN. 3-1/2" SENTINEL PRIME 9.2#PPF INC 925 BOX
DESCRIPTION: NINE ENERGY MULTICYCLE BARRIER DEVICE
7 CYCLES REMAINING
P/N: 3207251
S/N: 100 086 877
SAP: 130010036003 SUPPLIER: NINE ENERGY
LOWER CONN- 3 1/2 9.2 SENTINEL PRIME 9.2 PPF INC 925 PIN</t>
        </is>
      </c>
      <c r="C46" s="1841" t="n">
        <v>2.91</v>
      </c>
      <c r="D46" s="895" t="n"/>
      <c r="E46" s="1841" t="n">
        <v>4.8</v>
      </c>
      <c r="F46" s="895" t="n"/>
      <c r="G46" s="1856" t="n">
        <v>5.22</v>
      </c>
      <c r="H46" s="895" t="n"/>
      <c r="I46" s="1840" t="inlineStr">
        <is>
          <t>3207251</t>
        </is>
      </c>
      <c r="J46" s="1840" t="inlineStr">
        <is>
          <t>100 086 877</t>
        </is>
      </c>
      <c r="K46" s="1840" t="inlineStr">
        <is>
          <t>130010036003</t>
        </is>
      </c>
      <c r="L46" s="1840" t="inlineStr">
        <is>
          <t>N/A</t>
        </is>
      </c>
    </row>
    <row r="47" ht="76.09999999999999" customHeight="1" s="882">
      <c r="A47" s="1624" t="n"/>
      <c r="B47" s="1840" t="inlineStr">
        <is>
          <t>UPPER CONN. 3-1/2" SENTINEL PRIME BOX 9.2 PPF TX28-110 KSI
DESCRIPTION: 5 FEET XOVER
SAP: 130013006385
SUPPLIER: TBX
LOWER CONN. 3-1/2" VAM TOP PIN 9.2 PPF TX28- 110 KSI</t>
        </is>
      </c>
      <c r="C47" s="1841" t="n">
        <v>2.921</v>
      </c>
      <c r="D47" s="895" t="n"/>
      <c r="E47" s="1841" t="n">
        <v>3.929</v>
      </c>
      <c r="F47" s="895" t="n"/>
      <c r="G47" s="1856" t="n">
        <v>4.91</v>
      </c>
      <c r="H47" s="895" t="n"/>
      <c r="I47" s="1840" t="inlineStr">
        <is>
          <t>N/A</t>
        </is>
      </c>
      <c r="J47" s="1840" t="inlineStr">
        <is>
          <t>N/A</t>
        </is>
      </c>
      <c r="K47" s="1840" t="inlineStr">
        <is>
          <t>130013006385</t>
        </is>
      </c>
      <c r="L47" s="1840" t="inlineStr">
        <is>
          <t>N/A</t>
        </is>
      </c>
    </row>
    <row r="48" ht="76.09999999999999" customHeight="1" s="882">
      <c r="A48" s="1172" t="n"/>
      <c r="B48" s="1840" t="inlineStr">
        <is>
          <t>UPPER CONN. 3-1/2" VAM TOP BOX 9.2 PPF SN 28 110 KSI
DESCRIPTION: 5 FEET XOVER
SAP: 130005011340
SUPPLIER: TENARIS
LOWER CONN. 3-1/2" TSH BLUE PIN 9.2 PPF SN 28 110 KSI</t>
        </is>
      </c>
      <c r="C48" s="1841" t="n">
        <v>2.959</v>
      </c>
      <c r="D48" s="895" t="n"/>
      <c r="E48" s="1841" t="n">
        <v>3.908</v>
      </c>
      <c r="F48" s="895" t="n"/>
      <c r="G48" s="1856" t="n">
        <v>4.879</v>
      </c>
      <c r="H48" s="895" t="n"/>
      <c r="I48" s="1840" t="inlineStr">
        <is>
          <t>N/A</t>
        </is>
      </c>
      <c r="J48" s="1840" t="inlineStr">
        <is>
          <t>N/A</t>
        </is>
      </c>
      <c r="K48" s="1840" t="inlineStr">
        <is>
          <t>130005011340</t>
        </is>
      </c>
      <c r="L48" s="1840" t="inlineStr">
        <is>
          <t>N/A</t>
        </is>
      </c>
    </row>
    <row r="49" ht="14.25" customHeight="1" s="882">
      <c r="B49" s="1840" t="n"/>
      <c r="C49" s="1841" t="n">
        <v>2.959</v>
      </c>
      <c r="D49" s="895" t="n"/>
      <c r="E49" s="1841" t="n">
        <v>3.908</v>
      </c>
      <c r="F49" s="895" t="n"/>
      <c r="G49" s="1105" t="n"/>
      <c r="H49" s="895" t="n"/>
      <c r="I49" s="1840" t="n"/>
      <c r="J49" s="1840" t="n"/>
      <c r="K49" s="1840" t="n"/>
      <c r="L49" s="1840" t="n"/>
    </row>
    <row r="50" ht="76.09999999999999" customHeight="1" s="882">
      <c r="A50" s="1857" t="inlineStr">
        <is>
          <t>SP-01</t>
        </is>
      </c>
      <c r="B50" s="1840" t="inlineStr">
        <is>
          <t>UPPER CONN . 3-1/2" TSH BLUE BOX 9.2 PPF SN 28 110 KSI
DESCRIPTION: 3 FEET XOVER
SAP: 130005011337
SUPPLIER: TENARIS
LOWER CONN. 3-1/2" VAM TOP PIN 9.2 PPF SN 28 110 KSI</t>
        </is>
      </c>
      <c r="C50" s="1841" t="n">
        <v>2.969</v>
      </c>
      <c r="D50" s="895" t="n"/>
      <c r="E50" s="1841" t="n">
        <v>3.937</v>
      </c>
      <c r="F50" s="895" t="n"/>
      <c r="G50" s="1858" t="n">
        <v>2.78</v>
      </c>
      <c r="H50" s="895" t="n"/>
      <c r="I50" s="1840" t="inlineStr">
        <is>
          <t>N/A</t>
        </is>
      </c>
      <c r="J50" s="1840" t="inlineStr">
        <is>
          <t>N/A</t>
        </is>
      </c>
      <c r="K50" s="1840" t="inlineStr">
        <is>
          <t>130005011337</t>
        </is>
      </c>
      <c r="L50" s="1840" t="inlineStr">
        <is>
          <t>N/A</t>
        </is>
      </c>
    </row>
    <row r="51" ht="135.8" customHeight="1" s="882">
      <c r="A51" s="1624" t="n"/>
      <c r="B51" s="1840" t="inlineStr">
        <is>
          <t>UPPER CONN.
3-1/2 9.2 PPF, 110KSI VAM TOP BOX
DESCRIPTION:
PCKR, SWEL,6,3-1/2,A925, OIL
P/N: 2991712
S/N: RDT-UAE-1003629
SAP: 130010039426
SUPPLIER: WFD-REACTIVE
LOWER CONN.</t>
        </is>
      </c>
      <c r="C51" s="1841" t="n">
        <v>2.953</v>
      </c>
      <c r="D51" s="895" t="n"/>
      <c r="E51" s="1841" t="n">
        <v>5.7</v>
      </c>
      <c r="F51" s="895" t="n"/>
      <c r="G51" s="1858" t="n">
        <v>30.88</v>
      </c>
      <c r="H51" s="895" t="n"/>
      <c r="I51" s="1840" t="inlineStr">
        <is>
          <t>2991712</t>
        </is>
      </c>
      <c r="J51" s="1840" t="inlineStr">
        <is>
          <t>RDT-UAE-1003629</t>
        </is>
      </c>
      <c r="K51" s="1840" t="inlineStr">
        <is>
          <t>130010039426</t>
        </is>
      </c>
      <c r="L51" s="1840" t="inlineStr">
        <is>
          <t>N/A</t>
        </is>
      </c>
    </row>
    <row r="52" ht="76.09999999999999" customHeight="1" s="882">
      <c r="A52" s="1172" t="n"/>
      <c r="B52" s="1840" t="inlineStr">
        <is>
          <t>UPPER CONN. 3-1/2" VAM TOP BOX 9.2 PPF SN 28 110 KSI
DESCRIPTION: 5 FEET XOVER
SAP: 130005011340
SUPPLIER: TENARIS
UPPER CONN. 3-1/2" TSH BLUE PIN 9.2 PPF SN 28 110 KSI</t>
        </is>
      </c>
      <c r="C52" s="1841" t="n">
        <v>2.959</v>
      </c>
      <c r="D52" s="895" t="n"/>
      <c r="E52" s="1841" t="n">
        <v>3.908</v>
      </c>
      <c r="F52" s="895" t="n"/>
      <c r="G52" s="1858" t="n">
        <v>4.879</v>
      </c>
      <c r="H52" s="895" t="n"/>
      <c r="I52" s="1840" t="inlineStr">
        <is>
          <t>N/A</t>
        </is>
      </c>
      <c r="J52" s="1840" t="inlineStr">
        <is>
          <t>N/A</t>
        </is>
      </c>
      <c r="K52" s="1840" t="inlineStr">
        <is>
          <t>130005011340</t>
        </is>
      </c>
      <c r="L52" s="1840" t="inlineStr">
        <is>
          <t>N/A</t>
        </is>
      </c>
    </row>
    <row r="53" ht="14.25" customHeight="1" s="882">
      <c r="B53" s="1840" t="n"/>
      <c r="C53" s="1841" t="n">
        <v>2.959</v>
      </c>
      <c r="D53" s="895" t="n"/>
      <c r="E53" s="1841" t="n">
        <v>3.908</v>
      </c>
      <c r="F53" s="895" t="n"/>
      <c r="G53" s="1105" t="n"/>
      <c r="H53" s="895" t="n"/>
      <c r="I53" s="1840" t="n"/>
      <c r="J53" s="1840" t="n"/>
      <c r="K53" s="1840" t="n"/>
      <c r="L53" s="1840" t="n"/>
    </row>
    <row r="54" ht="76.09999999999999" customHeight="1" s="882">
      <c r="A54" s="1859" t="inlineStr">
        <is>
          <t>A</t>
        </is>
      </c>
      <c r="B54" s="1840" t="inlineStr">
        <is>
          <t>UPPER CONN. 3-1/2" TSH BLUE BOX 9.2 PPF SN 28 110 KSI
DESCRIPTION: 5 FEET XOVER
SAP: 130005011340
SUPPLIER: TENARIS
LOWER CONN. 3-1/2" VAM TOP PIN 9.2 PPF SN 28 110 KSI</t>
        </is>
      </c>
      <c r="C54" s="1841" t="n">
        <v>2.969</v>
      </c>
      <c r="D54" s="895" t="n"/>
      <c r="E54" s="1841" t="n">
        <v>3.937</v>
      </c>
      <c r="F54" s="895" t="n"/>
      <c r="G54" s="1860" t="n">
        <v>4.96</v>
      </c>
      <c r="H54" s="895" t="n"/>
      <c r="I54" s="1840" t="inlineStr">
        <is>
          <t>N/A</t>
        </is>
      </c>
      <c r="J54" s="1840" t="inlineStr">
        <is>
          <t>N/A</t>
        </is>
      </c>
      <c r="K54" s="1840" t="inlineStr">
        <is>
          <t>130005011340</t>
        </is>
      </c>
      <c r="L54" s="1840" t="inlineStr">
        <is>
          <t>N/A</t>
        </is>
      </c>
    </row>
    <row r="55" ht="91" customHeight="1" s="882">
      <c r="A55" s="1172" t="n"/>
      <c r="B55" s="1840" t="inlineStr">
        <is>
          <t>UPPER CONN. 3-1/2" VAM TOP 9.2#PPF BOX VM 28 110 KSI
DESCRIPTION: WIRELINE ENTRY GUIDE
SN: 16339547-10-008
PN 2996481
SAP: 130010036277
SUPPLIER: WEATHERFORD</t>
        </is>
      </c>
      <c r="C55" s="1841" t="n">
        <v>2.949</v>
      </c>
      <c r="D55" s="895" t="n"/>
      <c r="E55" s="1841" t="n">
        <v>3.937</v>
      </c>
      <c r="F55" s="895" t="n"/>
      <c r="G55" s="1860" t="n">
        <v>0.299</v>
      </c>
      <c r="H55" s="895" t="n"/>
      <c r="I55" s="1840" t="inlineStr">
        <is>
          <t>2996481</t>
        </is>
      </c>
      <c r="J55" s="1840" t="inlineStr">
        <is>
          <t>16339547-10-008</t>
        </is>
      </c>
      <c r="K55" s="1840" t="inlineStr">
        <is>
          <t>130010036277</t>
        </is>
      </c>
      <c r="L55" s="1840" t="inlineStr">
        <is>
          <t>N/A</t>
        </is>
      </c>
    </row>
    <row r="56" ht="14.25" customHeight="1" s="882">
      <c r="B56" s="1840" t="n"/>
      <c r="C56" s="1841" t="n">
        <v>2.949</v>
      </c>
      <c r="D56" s="895" t="n"/>
      <c r="E56" s="1841" t="n">
        <v>3.937</v>
      </c>
      <c r="F56" s="895" t="n"/>
      <c r="G56" s="1105" t="n"/>
      <c r="H56" s="895" t="n"/>
      <c r="I56" s="1840" t="n"/>
      <c r="J56" s="1840" t="n"/>
      <c r="K56" s="1840" t="n"/>
      <c r="L56" s="1840" t="n"/>
    </row>
  </sheetData>
  <mergeCells count="178">
    <mergeCell ref="G21:H21"/>
    <mergeCell ref="C6:D6"/>
    <mergeCell ref="C15:D15"/>
    <mergeCell ref="E23:F23"/>
    <mergeCell ref="G23:H23"/>
    <mergeCell ref="E8:F8"/>
    <mergeCell ref="E51:F51"/>
    <mergeCell ref="C54:D54"/>
    <mergeCell ref="C1:D1"/>
    <mergeCell ref="E1:F1"/>
    <mergeCell ref="C41:D41"/>
    <mergeCell ref="C50:D50"/>
    <mergeCell ref="A13:A17"/>
    <mergeCell ref="G18:H18"/>
    <mergeCell ref="C56:D56"/>
    <mergeCell ref="A31:A35"/>
    <mergeCell ref="E34:F34"/>
    <mergeCell ref="C43:D43"/>
    <mergeCell ref="G34:H34"/>
    <mergeCell ref="A2:A5"/>
    <mergeCell ref="C27:D27"/>
    <mergeCell ref="E49:F49"/>
    <mergeCell ref="E27:F27"/>
    <mergeCell ref="C36:D36"/>
    <mergeCell ref="E36:F36"/>
    <mergeCell ref="C17:D17"/>
    <mergeCell ref="A50:A52"/>
    <mergeCell ref="G20:H20"/>
    <mergeCell ref="C19:D19"/>
    <mergeCell ref="C28:D28"/>
    <mergeCell ref="E22:F22"/>
    <mergeCell ref="G44:H44"/>
    <mergeCell ref="E53:F53"/>
    <mergeCell ref="G22:H22"/>
    <mergeCell ref="C3:D3"/>
    <mergeCell ref="E3:F3"/>
    <mergeCell ref="E12:F12"/>
    <mergeCell ref="G12:H12"/>
    <mergeCell ref="C30:D30"/>
    <mergeCell ref="E55:F55"/>
    <mergeCell ref="C5:D5"/>
    <mergeCell ref="E5:F5"/>
    <mergeCell ref="C14:D14"/>
    <mergeCell ref="C45:D45"/>
    <mergeCell ref="E14:F14"/>
    <mergeCell ref="A54:A55"/>
    <mergeCell ref="E48:F48"/>
    <mergeCell ref="G48:H48"/>
    <mergeCell ref="C4:D4"/>
    <mergeCell ref="E4:F4"/>
    <mergeCell ref="E38:F38"/>
    <mergeCell ref="A44:A48"/>
    <mergeCell ref="C47:D47"/>
    <mergeCell ref="G7:H7"/>
    <mergeCell ref="G38:H38"/>
    <mergeCell ref="C40:D40"/>
    <mergeCell ref="E40:F40"/>
    <mergeCell ref="A37:A42"/>
    <mergeCell ref="G49:H49"/>
    <mergeCell ref="G24:H24"/>
    <mergeCell ref="G33:H33"/>
    <mergeCell ref="A7:A11"/>
    <mergeCell ref="E26:F26"/>
    <mergeCell ref="G26:H26"/>
    <mergeCell ref="C8:D8"/>
    <mergeCell ref="G35:H35"/>
    <mergeCell ref="E16:F16"/>
    <mergeCell ref="G16:H16"/>
    <mergeCell ref="E25:F25"/>
    <mergeCell ref="G25:H25"/>
    <mergeCell ref="C18:D18"/>
    <mergeCell ref="C53:D53"/>
    <mergeCell ref="G9:H9"/>
    <mergeCell ref="E18:F18"/>
    <mergeCell ref="C34:D34"/>
    <mergeCell ref="E50:F50"/>
    <mergeCell ref="G2:H2"/>
    <mergeCell ref="G11:H11"/>
    <mergeCell ref="G42:H42"/>
    <mergeCell ref="E52:F52"/>
    <mergeCell ref="E39:F39"/>
    <mergeCell ref="G39:H39"/>
    <mergeCell ref="E44:F44"/>
    <mergeCell ref="C20:D20"/>
    <mergeCell ref="E20:F20"/>
    <mergeCell ref="C29:D29"/>
    <mergeCell ref="E29:F29"/>
    <mergeCell ref="G37:H37"/>
    <mergeCell ref="C44:D44"/>
    <mergeCell ref="E13:F13"/>
    <mergeCell ref="A19:A23"/>
    <mergeCell ref="C22:D22"/>
    <mergeCell ref="G13:H13"/>
    <mergeCell ref="C31:D31"/>
    <mergeCell ref="E31:F31"/>
    <mergeCell ref="C12:D12"/>
    <mergeCell ref="E6:F6"/>
    <mergeCell ref="C46:D46"/>
    <mergeCell ref="C21:D21"/>
    <mergeCell ref="E15:F15"/>
    <mergeCell ref="E46:F46"/>
    <mergeCell ref="G15:H15"/>
    <mergeCell ref="C51:D51"/>
    <mergeCell ref="C48:D48"/>
    <mergeCell ref="C23:D23"/>
    <mergeCell ref="G51:H51"/>
    <mergeCell ref="C32:D32"/>
    <mergeCell ref="C7:D7"/>
    <mergeCell ref="C38:D38"/>
    <mergeCell ref="E32:F32"/>
    <mergeCell ref="E7:F7"/>
    <mergeCell ref="E54:F54"/>
    <mergeCell ref="G1:H1"/>
    <mergeCell ref="G32:H32"/>
    <mergeCell ref="E41:F41"/>
    <mergeCell ref="G54:H54"/>
    <mergeCell ref="G41:H41"/>
    <mergeCell ref="G50:H50"/>
    <mergeCell ref="E56:F56"/>
    <mergeCell ref="G56:H56"/>
    <mergeCell ref="C49:D49"/>
    <mergeCell ref="E43:F43"/>
    <mergeCell ref="G43:H43"/>
    <mergeCell ref="C24:D24"/>
    <mergeCell ref="G52:H52"/>
    <mergeCell ref="E24:F24"/>
    <mergeCell ref="C33:D33"/>
    <mergeCell ref="E33:F33"/>
    <mergeCell ref="C42:D42"/>
    <mergeCell ref="G27:H27"/>
    <mergeCell ref="E42:F42"/>
    <mergeCell ref="G36:H36"/>
    <mergeCell ref="G8:H8"/>
    <mergeCell ref="E17:F17"/>
    <mergeCell ref="C26:D26"/>
    <mergeCell ref="G17:H17"/>
    <mergeCell ref="C35:D35"/>
    <mergeCell ref="E35:F35"/>
    <mergeCell ref="C10:D10"/>
    <mergeCell ref="C16:D16"/>
    <mergeCell ref="E10:F10"/>
    <mergeCell ref="C25:D25"/>
    <mergeCell ref="G10:H10"/>
    <mergeCell ref="E19:F19"/>
    <mergeCell ref="G19:H19"/>
    <mergeCell ref="E28:F28"/>
    <mergeCell ref="C55:D55"/>
    <mergeCell ref="G53:H53"/>
    <mergeCell ref="G28:H28"/>
    <mergeCell ref="G6:H6"/>
    <mergeCell ref="C9:D9"/>
    <mergeCell ref="E9:F9"/>
    <mergeCell ref="G3:H3"/>
    <mergeCell ref="E30:F30"/>
    <mergeCell ref="C2:D2"/>
    <mergeCell ref="G30:H30"/>
    <mergeCell ref="E2:F2"/>
    <mergeCell ref="C11:D11"/>
    <mergeCell ref="E11:F11"/>
    <mergeCell ref="G5:H5"/>
    <mergeCell ref="E45:F45"/>
    <mergeCell ref="G14:H14"/>
    <mergeCell ref="G45:H45"/>
    <mergeCell ref="C52:D52"/>
    <mergeCell ref="C39:D39"/>
    <mergeCell ref="G55:H55"/>
    <mergeCell ref="G29:H29"/>
    <mergeCell ref="G4:H4"/>
    <mergeCell ref="G47:H47"/>
    <mergeCell ref="A25:A29"/>
    <mergeCell ref="C37:D37"/>
    <mergeCell ref="E37:F37"/>
    <mergeCell ref="G31:H31"/>
    <mergeCell ref="C13:D13"/>
    <mergeCell ref="G46:H46"/>
    <mergeCell ref="G40:H40"/>
    <mergeCell ref="E47:F47"/>
    <mergeCell ref="E21:F21"/>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Muradov, Elman</dc:creator>
  <dc:language>en-US</dc:language>
  <dcterms:created xsi:type="dcterms:W3CDTF">2015-06-05T18:17:20Z</dcterms:created>
  <dcterms:modified xsi:type="dcterms:W3CDTF">2026-07-12T14:55:46Z</dcterms:modified>
  <cp:revision>2</cp:revision>
  <cp:lastPrinted>2026-06-18T07:20:43Z</cp:lastPrinted>
</cp:coreProperties>
</file>