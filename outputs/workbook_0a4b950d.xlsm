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gif" ContentType="image/gif"/>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drawings/drawing7.xml" ContentType="application/vnd.openxmlformats-officedocument.drawing+xml"/>
  <Override PartName="/xl/worksheets/sheet10.xml" ContentType="application/vnd.openxmlformats-officedocument.spreadsheetml.worksheet+xml"/>
  <Override PartName="/xl/drawings/drawing8.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JOB ORDER " sheetId="7" state="visible" r:id="rId7"/>
    <sheet name="Timesheet" sheetId="8" state="visible" r:id="rId8"/>
    <sheet name="Timesheet (2)" sheetId="9" state="visible" r:id="rId9"/>
    <sheet name="Backload" sheetId="10" state="visible" r:id="rId10"/>
  </sheets>
  <externalReferences>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s>
  <definedNames>
    <definedName name="a" hidden="0" function="0" vbProcedure="0">#REF!</definedName>
    <definedName name="aa" hidden="0" function="0" vbProcedure="0">!#REF!</definedName>
    <definedName name="aa.macro111" hidden="0" function="0" vbProcedure="0">[46]!Prev.Macro111</definedName>
    <definedName name="AAA" hidden="0" function="0" vbProcedure="0">#REF!</definedName>
    <definedName name="aaaa" hidden="0" function="0" vbProcedure="0">[48]!Macro59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[47]Run!$B$18:$B$512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'[48]8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'[49]DWS Wells'!$L$1:$L$1048576</definedName>
    <definedName name="Add.Req." hidden="0" function="0" vbProcedure="0">'[49]DWS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[54]!ADDSTAB</definedName>
    <definedName name="AddWeight" hidden="0" function="0" vbProcedure="0">#REF!</definedName>
    <definedName name="ade" hidden="0" function="0" vbProcedure="0">#REF!</definedName>
    <definedName name="adf" hidden="0" function="0" vbProcedure="0">[55]!Macro60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[56]Data!$W$2:$W$65</definedName>
    <definedName name="ALT" hidden="0" function="0" vbProcedure="0">#REF!</definedName>
    <definedName name="Altered" hidden="0" function="0" vbProcedure="0">[59]auf_screen!#ref!</definedName>
    <definedName name="Altered_by" hidden="0" function="0" vbProcedure="0">[59]auf_screen!#ref!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[18]Sheet1!$D$1:$D$7</definedName>
    <definedName name="Anchor_Cell" hidden="0" function="0" vbProcedure="0">[59]auf_screen!#ref!</definedName>
    <definedName name="Anchor_Type" hidden="0" function="0" vbProcedure="0">'[60]Drop-Down Items'!$C$4:$C$20</definedName>
    <definedName name="ANDERGAUGE" hidden="0" function="0" vbProcedure="0">[54]!ANDERGAUGE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[61]Macro2!$A$1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'[64]Bid Summary'!$K$6</definedName>
    <definedName name="API_Number" hidden="0" function="0" vbProcedure="0">#REF!</definedName>
    <definedName name="ApplEnvironment" hidden="0" function="0" vbProcedure="0">#REF!</definedName>
    <definedName name="Approval_Page" hidden="0" function="0" vbProcedure="0">'[48]Data Go-To-Sheet'!$B$5:$B$95</definedName>
    <definedName name="Approval_Signatures" hidden="0" function="0" vbProcedure="0">'[48]Data Go-To-Sheet'!$D$33:$D$51</definedName>
    <definedName name="approved_by" hidden="0" function="0" vbProcedure="0">'[65]data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'[60]Drop-Down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[70]!Calculate_Pipe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[71]!JointNumber</definedName>
    <definedName name="assadasdasdas" hidden="0" function="0" vbProcedure="0">#REF!</definedName>
    <definedName name="Assembly1" hidden="0" function="0" vbProcedure="0">[71]!Calculate_Pipe</definedName>
    <definedName name="Assy" hidden="0" function="0" vbProcedure="0">#REF!</definedName>
    <definedName name="assy.3" hidden="0" function="0" vbProcedure="0">[72]!Calculate_Pipe</definedName>
    <definedName name="assy.4" hidden="0" function="0" vbProcedure="0">#N/A</definedName>
    <definedName name="ASSY.6" hidden="0" function="0" vbProcedure="0">[71]!Calculate_Pipe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[71]!JointNumber</definedName>
    <definedName name="ASSY_122" hidden="0" function="0" vbProcedure="0">[16]!Macro1</definedName>
    <definedName name="ASSY_123" hidden="0" function="0" vbProcedure="0">[71]!JointNumber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[71]!JointNumber</definedName>
    <definedName name="assy_543" hidden="0" function="0" vbProcedure="0">[71]!JointNumber</definedName>
    <definedName name="Assy_765" hidden="0" function="0" vbProcedure="0">[71]!Calculate_Pipe</definedName>
    <definedName name="Assy_Batch" hidden="0" function="0" vbProcedure="0">#REF!</definedName>
    <definedName name="ASSy_blast" hidden="0" function="0" vbProcedure="0">[71]!Calculate_Pipe</definedName>
    <definedName name="ASSY_W2" hidden="0" function="0" vbProcedure="0">[71]!Calculate_Pipe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[73]DATA!$BO$2:$BO$9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'[75]JCSI 12'!$AN$26</definedName>
    <definedName name="Battery_2" hidden="0" function="0" vbProcedure="0">'[75]JCSI 12'!$AO$26</definedName>
    <definedName name="Battery_3" hidden="0" function="0" vbProcedure="0">'[75]JCSI 12'!$AP$26</definedName>
    <definedName name="Battery_4" hidden="0" function="0" vbProcedure="0">'[75]JCSI 12'!$AQ$26</definedName>
    <definedName name="Battery_5" hidden="0" function="0" vbProcedure="0">'[75]JCSI 12'!$AR$26</definedName>
    <definedName name="Battery_Type" hidden="0" function="0" vbProcedure="0">'[75]JCSI 12'!$AN$29:$AN$42</definedName>
    <definedName name="Bat_Source" hidden="0" function="0" vbProcedure="0">'[75]JCSI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[80]!Macro61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'[73]Metric Conversions'!$B$69</definedName>
    <definedName name="bblstk" hidden="0" function="0" vbProcedure="0">'[73]Displacement Cal.'!$B$7</definedName>
    <definedName name="BD" hidden="0" function="0" vbProcedure="0">INDEX([80]DRAW!$A$2:$B$12,MATCH(#REF!,[80]DRAW!$A$2:$A$12,0),2)</definedName>
    <definedName name="BD_SC" hidden="0" function="0" vbProcedure="0">INDEX([80]DRAW!$A$2:$B$12,MATCH(#REF!,[80]DRAW!$A$2:$A$12,0),2)</definedName>
    <definedName name="BD_TB" hidden="0" function="0" vbProcedure="0">INDEX([80]DRAW!$A$2:$B$12,MATCH(#REF!,[80]DRAW!$A$2:$A$12,0),2)</definedName>
    <definedName name="Bellows_1" hidden="0" function="0" vbProcedure="0">'[75]JCSI 12'!$AI$26</definedName>
    <definedName name="Bellows_2" hidden="0" function="0" vbProcedure="0">'[75]JCSI 12'!$AJ$26</definedName>
    <definedName name="Bellows_3" hidden="0" function="0" vbProcedure="0">'[75]JCSI 12'!$AK$26</definedName>
    <definedName name="Bellows_4" hidden="0" function="0" vbProcedure="0">'[75]JCSI 12'!$AL$26</definedName>
    <definedName name="Bellows_Type" hidden="0" function="0" vbProcedure="0">'[75]JCSI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'[85]run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[83]Data!$K$2:$K$17</definedName>
    <definedName name="Bits_17.5in" hidden="0" function="0" vbProcedure="0">[83]Data!$I$2:$I$17</definedName>
    <definedName name="Bits_26in" hidden="0" function="0" vbProcedure="0">[83]Data!$H$2:$H$7</definedName>
    <definedName name="Bits_6in" hidden="0" function="0" vbProcedure="0">[83]Data!$M$2:$M$14</definedName>
    <definedName name="Bits_8.5in" hidden="0" function="0" vbProcedure="0">[83]Data!$L$2:$L$15</definedName>
    <definedName name="Bit_Companies" hidden="0" function="0" vbProcedure="0">[83]Data!$G$2:$G$8</definedName>
    <definedName name="BJUIHJBH" hidden="0" function="0" vbProcedure="0">#REF!</definedName>
    <definedName name="bj_stroke" hidden="0" function="0" vbProcedure="0">'[73]Metric Conversions'!$B$35</definedName>
    <definedName name="bj_strokez" hidden="0" function="0" vbProcedure="0">'[73]Metric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'[89]k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'[87]Margin Summary'!$E$22</definedName>
    <definedName name="BPLimit" hidden="0" function="0" vbProcedure="0">#REF!</definedName>
    <definedName name="BPRNo" hidden="0" function="0" vbProcedure="0">#REF!</definedName>
    <definedName name="BRAKAH_____CASING_RUNNING_LIST" hidden="0" function="0" vbProcedure="0">[91]tbgtally!#ref!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'[60]Drop-Down Items'!$A$14:$A$22</definedName>
    <definedName name="BR_Column" hidden="0" function="0" vbProcedure="0">null</definedName>
    <definedName name="BR_Unit" hidden="0" function="0" vbProcedure="0">null</definedName>
    <definedName name="bs" hidden="0" function="0" vbProcedure="0">'[90]Max-Torq'!$Q$79</definedName>
    <definedName name="bsw" hidden="0" function="0" vbProcedure="0">'[95]well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'[90]Max-Torq'!$P$62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'[60]Drop-Down Items'!$E$56:$E$59</definedName>
    <definedName name="B_AMOUNT" hidden="0" function="0" vbProcedure="0">'[57]7-30-04'!#ref!</definedName>
    <definedName name="B_VALUE" hidden="0" function="0" vbProcedure="0">'[57]7-30-04'!#ref!</definedName>
    <definedName name="Ca" hidden="1" function="0" vbProcedure="0">{#N/A,#N/A,FALSE,"Drlg Param Run 1-1";#N/A,#N/A,FALSE,"DDR (3)";#N/A,#N/A,FALSE,"BHA AT (1)";#N/A,#N/A,FALSE,"Downlinkbha";#N/A,#N/A,FALSE,"Job Status Report"}</definedName>
    <definedName name="CABLE2_1" hidden="0" function="0" vbProcedure="0">INDEX([93]DRAW!$L$52:$M$54,MATCH([93]AUTO_DHWS!$AY$8,[93]DRAW!$L$52:$L$54,0),2)</definedName>
    <definedName name="CABLE2_2" hidden="0" function="0" vbProcedure="0">INDEX([93]DRAW!$L$52:$M$56,MATCH([93]AUTO_DHWS!$AY$9,[93]DRAW!$L$52:$L$56,0),2)</definedName>
    <definedName name="CABLE_1" hidden="0" function="0" vbProcedure="0">INDEX([80]DRAW!$L$51:$M$52,MATCH([80]DRAW!$B$40,[80]DRAW!$L$51:$L$52,0),2)</definedName>
    <definedName name="CABLE_2" hidden="0" function="0" vbProcedure="0">INDEX([80]DRAW!$L$51:$M$53,MATCH([80]DRAW!$B$41,[80]DRAW!$L$51:$L$53,0),2)</definedName>
    <definedName name="CABLE_3" hidden="0" function="0" vbProcedure="0">INDEX([80]DRAW!$M$54:$N$55,MATCH([80]DRAW!$B$42,[80]DRAW!$M$54:$M$55,0),2)</definedName>
    <definedName name="Calcs" hidden="0" function="0" vbProcedure="0">#REF!,#REF!</definedName>
    <definedName name="CalculatePipe" hidden="0" function="0" vbProcedure="0">[71]!Calculate_Pipe</definedName>
    <definedName name="Calculate_Pipe" hidden="0" function="0" vbProcedure="0">#N/A</definedName>
    <definedName name="Cancel" hidden="0" function="0" vbProcedure="0">[98]!Cancel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'[75]JCSI 12'!$AF$26</definedName>
    <definedName name="Carrier_Location" hidden="0" function="0" vbProcedure="0">'[75]JCSI 12'!$AG$29:$AG$42</definedName>
    <definedName name="Carrier_Loc_Index" hidden="0" function="0" vbProcedure="0">'[75]JCSI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[97]Criteria!$F$2:$F$6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[100]Data!$J$17</definedName>
    <definedName name="CasingDesign" hidden="0" function="0" vbProcedure="0">'[49]DWS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[100]Data!$GC$1</definedName>
    <definedName name="casinginfuserate" hidden="0" function="0" vbProcedure="0">#REF!</definedName>
    <definedName name="casingliner" hidden="0" function="0" vbProcedure="0">[100]Data!$E$45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'[73]Liner Job Info'!$J$14</definedName>
    <definedName name="Casing_Connections" hidden="0" function="0" vbProcedure="0">[98]Data!$AB$2:$AB$5</definedName>
    <definedName name="Casing_Grades" hidden="0" function="0" vbProcedure="0">[98]Data!$AA$2:$AA$4</definedName>
    <definedName name="Casing_Head_Housing" hidden="0" function="0" vbProcedure="0">[99]Data!$AK$2:$AK$5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[98]Data!$Z$2:$Z$9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[102]Sheet2!$A$70:$A$73</definedName>
    <definedName name="cc" hidden="0" function="0" vbProcedure="0">#REF!</definedName>
    <definedName name="ccc" hidden="0" function="0" vbProcedure="0">#REF!</definedName>
    <definedName name="ccccc" hidden="0" function="0" vbProcedure="0">[80]!Macro59</definedName>
    <definedName name="cccccccccccc" hidden="1" function="0" vbProcedure="0">#REF!</definedName>
    <definedName name="cdr" hidden="0" function="0" vbProcedure="0">'[95]well test sheet'!#ref!</definedName>
    <definedName name="CDWimdbase" hidden="0" function="0" vbProcedure="0">'[104]CD''s'!$A$2:$G$374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[106]Reference!$A$2:$A$4</definedName>
    <definedName name="Cent" hidden="0" function="0" vbProcedure="0">[107]Data!$Q$3:$Q$12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[108]Lists!$A$1:$A$3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[113]!Calculate_Pipe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INDEX([93]DRAW!$A$2:$B$13,MATCH([93]AUTO_DHWS!$AV$10,[93]DRAW!$A$2:$A$13,0),2)</definedName>
    <definedName name="CIV_2" hidden="0" function="0" vbProcedure="0">INDEX([93]DRAW!$A$2:$B$14,MATCH([93]AUTO_DHWS!$AV$14,[93]DRAW!$A$2:$A$13,0),2)</definedName>
    <definedName name="CIV_PDHG" hidden="0" function="0" vbProcedure="0">INDEX([80]DRAW!$A$2:$B$12,MATCH([80]DRAW!$B$32,[80]DRAW!$A$2:$A$12,0),2)</definedName>
    <definedName name="CLAMPON" hidden="0" function="0" vbProcedure="0">[54]!CLAMPON</definedName>
    <definedName name="Class" hidden="0" function="0" vbProcedure="0">'[111]Name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'[73]Database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'[73]Database Pg1'!$G$81</definedName>
    <definedName name="Clist3" hidden="0" function="0" vbProcedure="0">OFFSET(INDIRECT(ADDRESS(MATCH(Hsize3,Objects,0)+1,2,,,"Casing Info")),0,1,COUNTIF(Objects,Hsize3),1)</definedName>
    <definedName name="Hsize3" hidden="0" function="0" vbProcedure="0">'[73]Database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'[42]Ref.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'[114]CODE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'[111]Name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'[84]Liner Job Info'!$E$7</definedName>
    <definedName name="CompanyName" hidden="0" function="0" vbProcedure="0">'[84]Liner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[59]auf_screen!#ref!</definedName>
    <definedName name="CompletionCode" hidden="0" function="0" vbProcedure="0">#REF!</definedName>
    <definedName name="Completion_Code" hidden="0" function="0" vbProcedure="0">[98]Data!$AE$2:$AE$126</definedName>
    <definedName name="Completion_End_Date" hidden="0" function="0" vbProcedure="0">#REF!</definedName>
    <definedName name="Completion_Start_Date" hidden="0" function="0" vbProcedure="0">#REF!</definedName>
    <definedName name="Completion_Tally_Sheet" hidden="0" function="0" vbProcedure="0">'[118]Tally - Upper Completion'!$A$16:$AC$596</definedName>
    <definedName name="Completion_Tubing_Size" hidden="0" function="0" vbProcedure="0">[98]Data!$AF$2:$AF$8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'[60]Drop-Down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[59]auf_screen!#ref!,[59]auf_screen!#ref!,[59]auf_screen!#ref!,[59]auf_screen!#ref!,[59]auf_screen!#ref!,[59]auf_screen!#ref!,[59]auf_screen!#ref!,[59]auf_screen!#ref!,[59]auf_screen!#ref!</definedName>
    <definedName name="Consolisdation" hidden="0" function="0" vbProcedure="0">[59]auf_screen!#ref!,[59]auf_screen!#ref!,[59]auf_screen!#ref!,[59]auf_screen!#ref!,[59]auf_screen!#ref!,[59]auf_screen!#ref!,[59]auf_screen!#ref!,[59]auf_screen!#ref!,[59]auf_screen!#ref!,[59]auf_screen!#ref!</definedName>
    <definedName name="CONT" hidden="0" function="0" vbProcedure="0">#REF!</definedName>
    <definedName name="Contact" hidden="0" function="0" vbProcedure="0">[120]Mapping!$C$2:$C$10</definedName>
    <definedName name="Contact1" hidden="0" function="0" vbProcedure="0">[121]Mapping!$C$2:$C$10</definedName>
    <definedName name="Contacts" hidden="0" function="0" vbProcedure="0">#REF!</definedName>
    <definedName name="Contingency" hidden="0" function="0" vbProcedure="0">#REF!</definedName>
    <definedName name="contract" hidden="0" function="0" vbProcedure="0">'[123]Call Sheet'!$E$3</definedName>
    <definedName name="Contracting_entities" hidden="0" function="0" vbProcedure="0">'[124]drop downs'!$C$3:$C$11</definedName>
    <definedName name="Contraction" hidden="0" function="0" vbProcedure="0">#REF!</definedName>
    <definedName name="contractnum" hidden="0" function="0" vbProcedure="0">#REF!</definedName>
    <definedName name="contractor" hidden="0" function="0" vbProcedure="0">'[123]Call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[54]!COPYDESGN</definedName>
    <definedName name="copy_these" hidden="0" function="0" vbProcedure="0">#REF!</definedName>
    <definedName name="Corebarrel_type" hidden="0" function="0" vbProcedure="0">[98]Data!$V$2:$V$10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'[73]Liner Job Info'!$E$10</definedName>
    <definedName name="Countries" hidden="0" function="0" vbProcedure="0">[73]DATA!$BR$1:$BR$196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[59]auf_screen!#ref!</definedName>
    <definedName name="CreateDate" hidden="0" function="0" vbProcedure="0">#REF!</definedName>
    <definedName name="CreatedBy" hidden="0" function="0" vbProcedure="0">#REF!</definedName>
    <definedName name="Created_By" hidden="0" function="0" vbProcedure="0">[59]auf_screen!#ref!</definedName>
    <definedName name="Crew" hidden="0" function="0" vbProcedure="0">[126]Personnel!$A$3:$D$37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[126]Personnel!$A$3:$D$37</definedName>
    <definedName name="Critical" hidden="0" function="0" vbProcedure="0">#N/A</definedName>
    <definedName name="crs" hidden="0" function="0" vbProcedure="0">[128]RSS!$E$199:$E$205</definedName>
    <definedName name="CRS_FLOAT_VALVE" hidden="0" function="0" vbProcedure="0">[130]RSS!$O$177:$O$180</definedName>
    <definedName name="CRS_FLOW_KIT" hidden="0" function="0" vbProcedure="0">[130]RSS!$E$181:$E$184</definedName>
    <definedName name="CRS_STAB" hidden="0" function="0" vbProcedure="0">[130]RSS!$E$191:$E$197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[18]Sheet1!$H$14:$H$19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[18]Sheet1!$I$1:$I$8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'[73]Liner Job Info'!$H$14</definedName>
    <definedName name="Csg_Dft" hidden="0" function="0" vbProcedure="0">#REF!</definedName>
    <definedName name="CSG_DPTH" hidden="0" function="0" vbProcedure="0">#REF!</definedName>
    <definedName name="CSG_DPTHz" hidden="0" function="0" vbProcedure="0">'[73]Liner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[107]Data!$B$3:$B$30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[133]UNCFLAM8!$AJ$10:$AJ$25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'[75]JCSI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[113]!Calculate_Pipe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'[29]calculo de gas total'!#ref!</definedName>
    <definedName name="DAS_Specialist" hidden="0" function="0" vbProcedure="0">'[111]Name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h_mmPM_Red_\" hidden="0" function="0" vbProcedure="0">#REF!</definedName>
    <definedName name="Data_Ranges" hidden="0" function="0" vbProcedure="0">[59]auf_screen!#ref!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'[115]Job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'[139]Dropdown List'!$B$2:$B$6</definedName>
    <definedName name="DD_3" hidden="0" function="0" vbProcedure="0">'[139]Dropdown List'!$C$2:$C$4</definedName>
    <definedName name="DD_5" hidden="0" function="0" vbProcedure="0">'[139]Dropdown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'[145]blank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[146]!JointNumber</definedName>
    <definedName name="DEM" hidden="0" function="0" vbProcedure="0">[144]Reference!$F$2:$F$3</definedName>
    <definedName name="DENG" hidden="0" function="0" vbProcedure="0">[106]Reference!$B$2:$B$9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'[115]Job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'[75]JCSI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'[149]run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'[147]Metric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'[57]7-30-04'!#ref!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'[55]7-30-04'!$GO$7457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'[65]data sheet'!$J$2:$J$3</definedName>
    <definedName name="DMO" hidden="0" function="0" vbProcedure="0">#REF!</definedName>
    <definedName name="Dmsl" hidden="0" function="0" vbProcedure="0">#REF!</definedName>
    <definedName name="do" hidden="0" function="0" vbProcedure="0">[146]!JointNumber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'[73]Liner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'[73]Metric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'[73]Metric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'[73]Liner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'[73]Metric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'[73]Metric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'[73]Liner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'[73]Metric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'[73]Metric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'[73]Liner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'[73]Metric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'[73]Metric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'[73]Liner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'[73]Metric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'[73]Metric Conversions'!$C$89</definedName>
    <definedName name="dpdt" hidden="0" function="0" vbProcedure="0">'[150]WCT-Ft'!$Q$4:$X$18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'[152]DP Length'!$B$3:$B$1000</definedName>
    <definedName name="DPNumber_5" hidden="0" function="0" vbProcedure="0">'[152]DP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[73]DATA!$AA$44:$AA$94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[73]DATA!$AB$2:$AB$6</definedName>
    <definedName name="DP_Plus_Block" hidden="0" function="0" vbProcedure="0">#REF!</definedName>
    <definedName name="DP_PSI" hidden="0" function="0" vbProcedure="0">#REF!</definedName>
    <definedName name="DP_PSIz" hidden="0" function="0" vbProcedure="0">'[73]Liner Job Info'!$D$35</definedName>
    <definedName name="DP_SF" hidden="0" function="0" vbProcedure="0">#REF!</definedName>
    <definedName name="DP_Size" hidden="0" function="0" vbProcedure="0">[107]Data!$H$3:$H$30</definedName>
    <definedName name="DP_Wt" hidden="0" function="0" vbProcedure="0">[107]Data!$I$3:$I$30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'[60]Drop-Down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[156]!Calculate_Pipe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'[155]Dev-Baker'!$A$1:$J$46</definedName>
    <definedName name="Druckbereich_S3" hidden="0" function="0" vbProcedure="0">#REF!</definedName>
    <definedName name="DRYBUDG" hidden="0" function="0" vbProcedure="0">'[157]Exec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'[111]Name Range'!$O$2:$O$7</definedName>
    <definedName name="Dtail" hidden="0" function="0" vbProcedure="0">#REF!</definedName>
    <definedName name="DTNumber" hidden="0" function="0" vbProcedure="0">#REF!</definedName>
    <definedName name="dtr" hidden="0" function="0" vbProcedure="0">'[90]Max-Torq'!$P$77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[80]DWS2023!$A$4:$AD$257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[91]tbgtally!#ref!</definedName>
    <definedName name="ECTPROJ" hidden="0" function="0" vbProcedure="0">#REF!</definedName>
    <definedName name="ED" hidden="0" function="0" vbProcedure="0">[71]!Calculate_Pipe</definedName>
    <definedName name="edd" hidden="0" function="0" vbProcedure="0">[161]!Calculate_Pipe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[148]Revision_History!$G$8&amp;" "&amp;TEXT([148]Revision_History!$H$8, "DD-MMM-YYYY")</definedName>
    <definedName name="EffectiveAxialStressUnit" hidden="0" function="0" vbProcedure="0">#REF!</definedName>
    <definedName name="Eff_Area_Pipe" hidden="0" function="0" vbProcedure="0">[159]Selector!$C$23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'[73]Liner Job Info'!$P$41</definedName>
    <definedName name="Elevation" hidden="0" function="0" vbProcedure="0">#REF!</definedName>
    <definedName name="ElevationReference" hidden="0" function="0" vbProcedure="0">#REF!</definedName>
    <definedName name="emilia" hidden="0" function="0" vbProcedure="0">'[27]calculo de gas total'!#ref!</definedName>
    <definedName name="emplnum" hidden="0" function="0" vbProcedure="0">'[115]Job Summ.'!$A$6</definedName>
    <definedName name="Empty" hidden="0" function="0" vbProcedure="0">[59]auf_screen!#ref!</definedName>
    <definedName name="EmptyRow" hidden="0" function="0" vbProcedure="0">#REF!</definedName>
    <definedName name="END" hidden="0" function="0" vbProcedure="0">'[57]7-30-04'!#ref!</definedName>
    <definedName name="EndDepthMulti" hidden="0" function="0" vbProcedure="0">#REF!</definedName>
    <definedName name="end_1" hidden="0" function="0" vbProcedure="0">'[160]2003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'[161]#REF'!$B$12</definedName>
    <definedName name="Equipmentrunin" hidden="0" function="0" vbProcedure="0">#REF!</definedName>
    <definedName name="equipmenttype" hidden="0" function="0" vbProcedure="0">#REF!</definedName>
    <definedName name="EQ_2" hidden="0" function="0" vbProcedure="0">'[87]Margin Summary'!$E$14</definedName>
    <definedName name="erg" hidden="0" function="0" vbProcedure="0">#REF!</definedName>
    <definedName name="error" hidden="0" function="0" vbProcedure="0">[100]Data!$F$10</definedName>
    <definedName name="ertert" hidden="0" function="0" vbProcedure="0">#REF!</definedName>
    <definedName name="erttt" hidden="0" function="0" vbProcedure="0">#REF!</definedName>
    <definedName name="ESTPSjobs" hidden="0" function="0" vbProcedure="0">[59]auf_screen!#ref!</definedName>
    <definedName name="ES_Jobs" hidden="0" function="0" vbProcedure="0">[59]auf_screen!#ref!,[59]auf_screen!#ref!,[59]auf_screen!#ref!,[59]auf_screen!#ref!,[59]auf_screen!#ref!,[59]auf_screen!#ref!,[59]auf_screen!#ref!,[59]auf_screen!#ref!,[59]auf_screen!#ref!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[146]!JointNumber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INDEX([80]DRAW!$A$2:$B$12,MATCH(#REF!,[80]DRAW!$A$2:$A$12,0),2)</definedName>
    <definedName name="ExternalSales" hidden="0" function="0" vbProcedure="0">[97]Criteria!$D$2:$D$6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'[170]qte bom'!#ref!</definedName>
    <definedName name="FAX" hidden="0" function="0" vbProcedure="0">#REF!</definedName>
    <definedName name="FB" hidden="0" function="0" vbProcedure="0">[171]!Calculate_Pipe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=#REF!,OFFSET([172]!ValidationList2[[#all],[main categories]],1,,COUNTA([172]!ValidationList2[main categories])),OFFSET([172]!ValidationList2[#data],0,MATCH(#REF!, [172]!ValidationList2[#headers],0)-1,COUNTA(OFFSET([172]!ValidationList2[#data],,MATCH(#REF!, [172]!ValidationList2[#headers],0)-1,,1)),1)))</definedName>
    <definedName name="fdg" hidden="0" function="0" vbProcedure="0">#REF!</definedName>
    <definedName name="FE" hidden="0" function="0" vbProcedure="0">[107]Data!$O$3:$O$12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[171]CRITERIA1!$F$5</definedName>
    <definedName name="FFAPPCOLNAME6_1" hidden="0" function="0" vbProcedure="0">[171]CRITERIA1!$F$6</definedName>
    <definedName name="FFAPPCOLNAME7_1" hidden="0" function="0" vbProcedure="0">[171]CRITERIA1!$F$7</definedName>
    <definedName name="FFAPPCOLNAME8_1" hidden="0" function="0" vbProcedure="0">[171]CRITERIA1!$F$8</definedName>
    <definedName name="fff" hidden="0" function="0" vbProcedure="0">#REF!</definedName>
    <definedName name="ffff" hidden="0" function="0" vbProcedure="0">[175]!Prev.Macro113</definedName>
    <definedName name="fffff" hidden="0" function="0" vbProcedure="0">[173]Data!$W$2:$W$65</definedName>
    <definedName name="ffffffffffffff" hidden="1" function="0" vbProcedure="0">#REF!</definedName>
    <definedName name="FFSEGMENT1_1" hidden="0" function="0" vbProcedure="0">[171]CRITERIA1!$D$1</definedName>
    <definedName name="FFSEGMENT2_1" hidden="0" function="0" vbProcedure="0">[171]CRITERIA1!$D$2</definedName>
    <definedName name="FFSEGMENT3_1" hidden="0" function="0" vbProcedure="0">[171]CRITERIA1!$D$3</definedName>
    <definedName name="FFSEGMENT5_1" hidden="0" function="0" vbProcedure="0">[171]CRITERIA1!$D$5</definedName>
    <definedName name="FFSEGMENT6_1" hidden="0" function="0" vbProcedure="0">[171]CRITERIA1!$D$6</definedName>
    <definedName name="FFSEGMENT7_1" hidden="0" function="0" vbProcedure="0">[171]CRITERIA1!$D$7</definedName>
    <definedName name="FFSEGMENT8_1" hidden="0" function="0" vbProcedure="0">[171]CRITERIA1!$D$8</definedName>
    <definedName name="FFSEGSEPARATOR1" hidden="0" function="0" vbProcedure="0">[171]CRITERIA1!$B$17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[171]CRITERIA1!$B$25</definedName>
    <definedName name="FIelds" hidden="0" function="0" vbProcedure="0">#REF!</definedName>
    <definedName name="FieldStrength" hidden="0" function="0" vbProcedure="0">#REF!</definedName>
    <definedName name="Field_Index" hidden="0" function="0" vbProcedure="0">'[75]JCSI 12'!$W$26</definedName>
    <definedName name="Filename" hidden="0" function="0" vbProcedure="0">[59]auf_screen!#ref!</definedName>
    <definedName name="filtered" hidden="0" function="0" vbProcedure="0">#REF!</definedName>
    <definedName name="final" hidden="0" function="0" vbProcedure="0">[146]!JointNumber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[171]CRITERIA1!$B$27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'[60]Drop-Down Items'!$E$132:$E$135</definedName>
    <definedName name="FlowRegime" hidden="0" function="0" vbProcedure="0">#REF!</definedName>
    <definedName name="fluid" hidden="0" function="0" vbProcedure="0">#REF!</definedName>
    <definedName name="Fluids" hidden="0" function="0" vbProcedure="0">'[48]Data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'[60]Drop-Down Items'!$P$7:$P$10</definedName>
    <definedName name="fluid_vol" hidden="0" function="0" vbProcedure="0">'[60]Drop-Down Items'!$Q$7:$Q$11</definedName>
    <definedName name="fm_prop" hidden="0" function="0" vbProcedure="0">'[60]Drop-Down Items'!$F$5:$F$12</definedName>
    <definedName name="FNDNAM1" hidden="0" function="0" vbProcedure="0">[171]CRITERIA1!$B$12</definedName>
    <definedName name="FNDUSERID1" hidden="0" function="0" vbProcedure="0">[171]CRITERIA1!$B$15</definedName>
    <definedName name="Follow_Dress_Dull" hidden="0" function="0" vbProcedure="0">'[60]Drop-Down Items'!$E$74:$E$78</definedName>
    <definedName name="Fondsen_Alle" hidden="0" function="0" vbProcedure="0">#REF!</definedName>
    <definedName name="FOOTAGE" hidden="0" function="0" vbProcedure="0">'[57]7-30-04'!#ref!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[98]Data!$X$2:$X$18</definedName>
    <definedName name="Formation_Remarks" hidden="0" function="0" vbProcedure="0">#REF!</definedName>
    <definedName name="Formation_Type" hidden="0" function="0" vbProcedure="0">'[60]Drop-Down Items'!$E$4:$E$27</definedName>
    <definedName name="FORMULAS" hidden="0" function="0" vbProcedure="0">'[55]7-30-04'!$GO$7457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'[87]Margin Summary'!$E$23</definedName>
    <definedName name="frictionpressure" hidden="0" function="0" vbProcedure="0">[100]Data!$F$8</definedName>
    <definedName name="FRONT" hidden="0" function="0" vbProcedure="0">#REF!</definedName>
    <definedName name="fsm" hidden="0" function="0" vbProcedure="0">[175]Worksheet!$H$10</definedName>
    <definedName name="FT" hidden="0" function="0" vbProcedure="0">#REF!</definedName>
    <definedName name="ftg" hidden="0" function="0" vbProcedure="0">#REF!</definedName>
    <definedName name="ftmtrs" hidden="0" function="0" vbProcedure="0">#REF!</definedName>
    <definedName name="ftormeters" hidden="0" function="0" vbProcedure="0">'[73]Metric Conversions'!$B$14</definedName>
    <definedName name="FT_AVAL" hidden="0" function="0" vbProcedure="0">'[57]7-30-04'!#ref!</definedName>
    <definedName name="FT_HLDG" hidden="0" function="0" vbProcedure="0">'[57]7-30-04'!#ref!</definedName>
    <definedName name="FULL_COST_CALC" hidden="0" function="0" vbProcedure="0">#REF!</definedName>
    <definedName name="functioned" hidden="0" function="0" vbProcedure="0">#REF!</definedName>
    <definedName name="FUTOPBUDG" hidden="0" function="0" vbProcedure="0">'[157]Exec Summ'!$AA$74</definedName>
    <definedName name="fuv" hidden="0" function="0" vbProcedure="0">#REF!</definedName>
    <definedName name="F_COLLAR" hidden="0" function="0" vbProcedure="0">[91]tbgtally!#ref!</definedName>
    <definedName name="g" hidden="0" function="0" vbProcedure="0">#REF!</definedName>
    <definedName name="Gamal_Youssef_Salem" hidden="0" function="0" vbProcedure="0">'[179]distribution list'!#ref!</definedName>
    <definedName name="Gamma_Quadrant" hidden="0" function="0" vbProcedure="0">[130]RSS!$N$139:$N$144</definedName>
    <definedName name="GAS" hidden="0" function="0" vbProcedure="0">#REF!</definedName>
    <definedName name="GasQualities" hidden="0" function="0" vbProcedure="0">#REF!</definedName>
    <definedName name="gasrate" hidden="0" function="0" vbProcedure="0">'[95]well test sheet'!#ref!</definedName>
    <definedName name="GasTypes" hidden="0" function="0" vbProcedure="0">#REF!</definedName>
    <definedName name="gas_cumm" hidden="0" function="0" vbProcedure="0">'[95]well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'[75]JCSI 12'!$AF$29:$AF$42</definedName>
    <definedName name="Gauge_Index" hidden="0" function="0" vbProcedure="0">'[75]JCSI 12'!$AD$26</definedName>
    <definedName name="Gauge_Type" hidden="0" function="0" vbProcedure="0">'[75]JCSI 12'!$AD$29:$AD$42</definedName>
    <definedName name="GC" hidden="0" function="0" vbProcedure="0">#REF!</definedName>
    <definedName name="GCS" hidden="0" function="0" vbProcedure="0">#REF!</definedName>
    <definedName name="gdsg" hidden="1" function="0" vbProcedure="0">[177]Run!$C$16:$C$512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[146]!JointNumber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[71]!Calculate_Pipe</definedName>
    <definedName name="GLMs" hidden="0" function="0" vbProcedure="0">'[48]Equipment Go-To Sheet'!$F$201:$F$225</definedName>
    <definedName name="GLM_1" hidden="0" function="0" vbProcedure="0">INDEX([80]DRAW!$A$2:$B$12,MATCH(#REF!,[80]DRAW!$A$2:$A$12,0),2)</definedName>
    <definedName name="GLM_2" hidden="0" function="0" vbProcedure="0">INDEX([80]DRAW!$A$2:$B$12,MATCH(#REF!,[80]DRAW!$A$2:$A$12,0),2)</definedName>
    <definedName name="GLM_3" hidden="0" function="0" vbProcedure="0">INDEX([80]DRAW!$A$2:$B$12,MATCH(#REF!,[80]DRAW!$A$2:$A$12,0),2)</definedName>
    <definedName name="GLM_4" hidden="0" function="0" vbProcedure="0">INDEX([80]DRAW!$A$2:$B$12,MATCH(#REF!,[80]DRAW!$A$2:$A$12,0),2)</definedName>
    <definedName name="GLVs" hidden="0" function="0" vbProcedure="0">'[48]Equipment Go-To Sheet'!$F$223:$F$232</definedName>
    <definedName name="GM" hidden="0" function="0" vbProcedure="0">#REF!</definedName>
    <definedName name="Gmh" hidden="1" function="0" vbProcedure="0">{#N/A,#N/A,FALSE,"Sheet1"}</definedName>
    <definedName name="gor" hidden="0" function="0" vbProcedure="0">'[95]well test sheet'!#ref!</definedName>
    <definedName name="Goto_End_Ranges" hidden="0" function="0" vbProcedure="0">[59]auf_screen!#ref!</definedName>
    <definedName name="Goto_Home_Ranges" hidden="0" function="0" vbProcedure="0">[59]auf_screen!#ref!</definedName>
    <definedName name="Goto_Ranges" hidden="0" function="0" vbProcedure="0">[59]auf_screen!#ref!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[107]Data!$J$3:$J$30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[73]DATA!$Q$2:$Q$268</definedName>
    <definedName name="Groupslb" hidden="0" function="0" vbProcedure="0">#REF!</definedName>
    <definedName name="Group_ID" hidden="0" function="0" vbProcedure="0">[181]DATA!$Q$2:$Q$268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[142]summary!#ref!</definedName>
    <definedName name="Hassan" hidden="0" function="0" vbProcedure="0">[187]!Macro1</definedName>
    <definedName name="HAUL_Thread" hidden="0" function="0" vbProcedure="0">[73]DATA!$BM$22:$BM$114</definedName>
    <definedName name="HazCat" hidden="0" function="0" vbProcedure="0">[185]HARC_Upload!$B$3:$V$3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[47]Run!$D$15:$D$512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'[95]well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'[57]7-30-04'!#ref!</definedName>
    <definedName name="HLDG_QTY" hidden="0" function="0" vbProcedure="0">'[57]7-30-04'!#ref!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'[73]Liner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'[60]Drop-Down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'[95]well test sheet'!#ref!</definedName>
    <definedName name="HRS" hidden="0" function="0" vbProcedure="0">'[190]amberjack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'[150]WCT-Ft'!$Q$19:$X$24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[48]!Prev.Macro106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[100]Data!$GD$2:$GE$237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'[48]5 GLV Design'!$B$2:$K$23</definedName>
    <definedName name="IGLD_Target_Depths" hidden="0" function="0" vbProcedure="0">'[48]5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OFFSET([192]!Inclination,2,0,COUNT(#REF!),1)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[59]auf_screen!#ref!</definedName>
    <definedName name="Information_Range" hidden="0" function="0" vbProcedure="0">[59]auf_screen!#ref!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'[60]Drop-Down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INDEX(#REF!,0,MATCH('[191]ENG Input'!$A$12,Categories,0))</definedName>
    <definedName name="Item10" hidden="0" function="0" vbProcedure="0">INDEX(#REF!,0,MATCH('[191]ENG Input'!$A$128,Categories,0))</definedName>
    <definedName name="Item11" hidden="0" function="0" vbProcedure="0">INDEX(#REF!,0,MATCH('[191]ENG Input'!$A$139,Categories,0))</definedName>
    <definedName name="Item12" hidden="0" function="0" vbProcedure="0">INDEX(#REF!,0,MATCH('[191]ENG Input'!$A$155,Categories,0))</definedName>
    <definedName name="Item13" hidden="0" function="0" vbProcedure="0">INDEX(#REF!,0,MATCH('[191]ENG Input'!$A$171,Categories,0))</definedName>
    <definedName name="Item14" hidden="0" function="0" vbProcedure="0">INDEX(#REF!,0,MATCH('[191]ENG Input'!$A$182,Categories,0))</definedName>
    <definedName name="Item15" hidden="0" function="0" vbProcedure="0">INDEX(#REF!,0,MATCH('[191]ENG Input'!$A$193,Categories,0))</definedName>
    <definedName name="Item16" hidden="0" function="0" vbProcedure="0">INDEX(#REF!,0,MATCH('[191]ENG Input'!$A$204,Categories,0))</definedName>
    <definedName name="Item17" hidden="0" function="0" vbProcedure="0">INDEX(#REF!,0,MATCH('[191]ENG Input'!$A$215,Categories,0))</definedName>
    <definedName name="Item18" hidden="0" function="0" vbProcedure="0">INDEX(#REF!,0,MATCH('[191]ENG Input'!$A$226,Categories,0))</definedName>
    <definedName name="Item19" hidden="0" function="0" vbProcedure="0">INDEX(#REF!,0,MATCH('[191]ENG Input'!$A$237,Categories,0))</definedName>
    <definedName name="Item2" hidden="0" function="0" vbProcedure="0">INDEX(#REF!,0,MATCH('[191]ENG Input'!$A$32,Categories,0))</definedName>
    <definedName name="Item20" hidden="0" function="0" vbProcedure="0">INDEX(#REF!,0,MATCH('[191]ENG Input'!$A$248,Categories,0))</definedName>
    <definedName name="Item3" hidden="0" function="0" vbProcedure="0">INDEX(#REF!,0,MATCH('[191]ENG Input'!$A$48,Categories,0))</definedName>
    <definedName name="Item4" hidden="0" function="0" vbProcedure="0">INDEX(#REF!,0,MATCH('[191]ENG Input'!$A$59,Categories,0))</definedName>
    <definedName name="Item5" hidden="0" function="0" vbProcedure="0">INDEX(#REF!,0,MATCH('[191]ENG Input'!$A$73,Categories,0))</definedName>
    <definedName name="Item6" hidden="0" function="0" vbProcedure="0">INDEX(#REF!,0,MATCH('[191]ENG Input'!$A$84,Categories,0))</definedName>
    <definedName name="Item7" hidden="0" function="0" vbProcedure="0">INDEX(#REF!,0,MATCH('[191]ENG Input'!$A$95,Categories,0))</definedName>
    <definedName name="Item8" hidden="0" function="0" vbProcedure="0">INDEX(#REF!,0,MATCH('[191]ENG Input'!$A$106,Categories,0))</definedName>
    <definedName name="Item9" hidden="0" function="0" vbProcedure="0">INDEX(#REF!,0,MATCH('[191]ENG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'[84]Liner Job Info'!$O$11</definedName>
    <definedName name="JobEndDate" hidden="0" function="0" vbProcedure="0">#REF!</definedName>
    <definedName name="JobFd" hidden="0" function="0" vbProcedure="0">#REF!</definedName>
    <definedName name="JobLogCustSig" hidden="0" function="0" vbProcedure="0">#REF!</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[59]auf_screen!#ref!</definedName>
    <definedName name="Job_Type" hidden="0" function="0" vbProcedure="0">#REF!</definedName>
    <definedName name="Job_Type_Index" hidden="0" function="0" vbProcedure="0">'[75]JCSI 12'!$AB$26</definedName>
    <definedName name="JointNumber" hidden="0" function="0" vbProcedure="0">#N/A</definedName>
    <definedName name="JOINTNUMBER23" hidden="0" function="0" vbProcedure="0">[71]!JointNumber</definedName>
    <definedName name="JOINTNYMBER4" hidden="0" function="0" vbProcedure="0">[71]!JointNumber</definedName>
    <definedName name="joints" hidden="0" function="0" vbProcedure="0">#REF!</definedName>
    <definedName name="joints1" hidden="0" function="0" vbProcedure="0">#REF!</definedName>
    <definedName name="JOINT_NO." hidden="0" function="0" vbProcedure="0">[91]tbgtally!#ref!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 hidden="0" function="0" vbProcedure="0">[198]!JointNumber</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iteria" hidden="0" function="0" vbProcedure="0">[199]events!#ref!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'[55]7-30-04'!$GO$7457</definedName>
    <definedName name="LABELTEXTROW1" hidden="0" function="0" vbProcedure="0">[171]CRITERIA1!$B$23</definedName>
    <definedName name="Laffan" hidden="0" function="0" vbProcedure="0">#REF!</definedName>
    <definedName name="Landing_Strings" hidden="0" function="0" vbProcedure="0">'[48]Equipment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'[196]A3a Well Path (Lateral A)'!$B$9:$O$621</definedName>
    <definedName name="Lateral_B_Directional" hidden="0" function="0" vbProcedure="0">'[196]A3b Well Path (Lateral B)'!$B$10:$P$500</definedName>
    <definedName name="Lateral_Lower_Directional" hidden="0" function="0" vbProcedure="0">'[48]3A Well Path (lower lateral)'!$B$10:$P$420</definedName>
    <definedName name="latlong" hidden="0" function="0" vbProcedure="0">'[123]Call Sheet'!$P$7</definedName>
    <definedName name="Lay" hidden="0" function="0" vbProcedure="0">'[161]#REF'!$B$12</definedName>
    <definedName name="LBS_FT" hidden="0" function="0" vbProcedure="0">'[57]7-30-04'!#ref!</definedName>
    <definedName name="lb_ft" hidden="0" function="0" vbProcedure="0">#REF!</definedName>
    <definedName name="lb_gal" hidden="0" function="0" vbProcedure="0">#REF!</definedName>
    <definedName name="LC" hidden="0" function="0" vbProcedure="0">INDEX([80]DRAW!$J$12:$K$21,MATCH(#REF!,[80]DRAW!$J$12:$J$21,0),2)</definedName>
    <definedName name="LCJobType" hidden="0" function="0" vbProcedure="0">#REF!</definedName>
    <definedName name="LC_TYPE" hidden="0" function="0" vbProcedure="0">INDEX([80]DRAW!$P$60:$Q$62,MATCH([80]DRAW!$Q$59,[80]DRAW!$P$60:$P$62,0),2)</definedName>
    <definedName name="Lead_Cmt_Wt" hidden="0" function="0" vbProcedure="0">#REF!</definedName>
    <definedName name="Lead_Mill_Dull_Char" hidden="0" function="0" vbProcedure="0">'[60]Drop-Down Items'!$B$75:$B$94</definedName>
    <definedName name="Lead_Mill_Dull_Location" hidden="0" function="0" vbProcedure="0">'[60]Drop-Down Items'!$A$88:$A$106</definedName>
    <definedName name="Lead_Slurry_in_12.25__OH" hidden="0" function="0" vbProcedure="0">'[198]Cmt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'[75]JCSI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'[73]Liner Job Info'!$J$17</definedName>
    <definedName name="Liner1_Cap" hidden="0" function="0" vbProcedure="0">#REF!</definedName>
    <definedName name="Liner1_Collapse" hidden="0" function="0" vbProcedure="0">#REF!</definedName>
    <definedName name="Liner1_Collapsez" hidden="0" function="0" vbProcedure="0">'[73]Liner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'[73]Liner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'[73]Liner Job Info'!$J$18</definedName>
    <definedName name="Liner2_Cap" hidden="0" function="0" vbProcedure="0">#REF!</definedName>
    <definedName name="Liner2_Collapse" hidden="0" function="0" vbProcedure="0">#REF!</definedName>
    <definedName name="Liner2_Collapsez" hidden="0" function="0" vbProcedure="0">'[73]Liner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'[73]Liner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'[48]Equipment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'[55]7-30-04'!$GO$7457</definedName>
    <definedName name="Lithology" hidden="0" function="0" vbProcedure="0">#N/A</definedName>
    <definedName name="lkj" hidden="1" function="0" vbProcedure="0">[177]Run!$B$18:$B$512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'[73]Metric Conversions'!$C$77</definedName>
    <definedName name="Lnr1_X_OH_Vol" hidden="0" function="0" vbProcedure="0">#REF!</definedName>
    <definedName name="Lnr1_X_OH_Volz" hidden="0" function="0" vbProcedure="0">'[73]Metric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'[73]Metric Conversions'!$C$78</definedName>
    <definedName name="Lnr2_X_OH_Vol" hidden="0" function="0" vbProcedure="0">#REF!</definedName>
    <definedName name="Lnr2_X_OH_Volz" hidden="0" function="0" vbProcedure="0">'[73]Metric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'[116]Liner Job Info'!$R$19</definedName>
    <definedName name="Lnr_Size" hidden="0" function="0" vbProcedure="0">[107]Data!$D$3:$D$30</definedName>
    <definedName name="Lnr_Type" hidden="0" function="0" vbProcedure="0">[107]Data!$L$3:$L$12</definedName>
    <definedName name="Lnr_Wt" hidden="0" function="0" vbProcedure="0">[107]Data!$E$3:$E$159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'[60]Drop-Down Items'!$AD$7:$AD$8</definedName>
    <definedName name="location_rig" hidden="0" function="0" vbProcedure="0">#REF!</definedName>
    <definedName name="Loc_Index" hidden="0" function="0" vbProcedure="0">'[75]JCSI 12'!$W$26</definedName>
    <definedName name="LODO" hidden="0" function="0" vbProcedure="0">#REF!</definedName>
    <definedName name="LodSheet" hidden="0" function="0" vbProcedure="0">#REF!</definedName>
    <definedName name="LOGGER" hidden="0" function="0" vbProcedure="0">[204]!Calculate_Pipe</definedName>
    <definedName name="Logo" hidden="0" function="0" vbProcedure="0">#REF!</definedName>
    <definedName name="Logoo" hidden="0" function="0" vbProcedure="0">#REF!</definedName>
    <definedName name="Log_suites" hidden="0" function="0" vbProcedure="0">[98]Data!$F$2:$F$13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[185]HARC_Upload!$B$4:$Y$4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[202]Run!$D$15:$D$512</definedName>
    <definedName name="LRG_PROJ" hidden="0" function="0" vbProcedure="0">#REF!</definedName>
    <definedName name="LR_HS" hidden="0" function="0" vbProcedure="0">'[60]Drop-Down Items'!$F$34:$F$35</definedName>
    <definedName name="LS" hidden="0" function="0" vbProcedure="0">#REF!</definedName>
    <definedName name="LSA" hidden="0" function="0" vbProcedure="0">[208]!Calculate_Pipe</definedName>
    <definedName name="LSD" hidden="0" function="0" vbProcedure="0">#REF!</definedName>
    <definedName name="LStringW" hidden="0" function="0" vbProcedure="0">#REF!</definedName>
    <definedName name="LSV" hidden="0" function="0" vbProcedure="0">#REF!</definedName>
    <definedName name="LT" hidden="0" function="0" vbProcedure="0">'[57]7-30-04'!#ref!</definedName>
    <definedName name="LTP" hidden="0" function="0" vbProcedure="0">INDEX([80]DRAW!$D$13:$E$14,MATCH(#REF!,[80]DRAW!$D$13:$D$14,0),2)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[55]!Macro59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[91]tbgtally!#ref!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'[147]Metric Conversions'!$C$221</definedName>
    <definedName name="Material" hidden="0" function="0" vbProcedure="0">#REF!</definedName>
    <definedName name="Material_list" hidden="0" function="0" vbProcedure="0">'[48]Data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'[73]Metric Conversions'!$C$59</definedName>
    <definedName name="Max_Test_Cmt_Setup" hidden="0" function="0" vbProcedure="0">#REF!</definedName>
    <definedName name="Max_Test_Cmt_Setupz" hidden="0" function="0" vbProcedure="0">'[73]Metric Conversions'!$C$62</definedName>
    <definedName name="Max_Test_Seals_In" hidden="0" function="0" vbProcedure="0">#REF!</definedName>
    <definedName name="Max_Test_Seals_Inz" hidden="0" function="0" vbProcedure="0">'[73]Metric Conversions'!$C$61</definedName>
    <definedName name="Max_test_seals_out" hidden="0" function="0" vbProcedure="0">#REF!</definedName>
    <definedName name="Max_test_seals_outz" hidden="0" function="0" vbProcedure="0">'[73]Metric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OFFSET([192]!MDForInclination,2,0,COUNT(#REF!),1)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'[64]Bid Summary'!$K$5</definedName>
    <definedName name="MEA_Countries" hidden="0" function="0" vbProcedure="0">'[124]drop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[18]Sheet1!$G$4:$G$8</definedName>
    <definedName name="MillType" hidden="0" function="0" vbProcedure="0">[18]Sheet1!$A$18:$A$21</definedName>
    <definedName name="Mill_Type" hidden="0" function="0" vbProcedure="0">'[60]Drop-Down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'[73]Metric Conversions'!$B$39</definedName>
    <definedName name="Min_Ft_Release_RHz" hidden="0" function="0" vbProcedure="0">'[73]Metric Conversions'!$C$39</definedName>
    <definedName name="MissRuns" hidden="0" function="0" vbProcedure="0">#REF!</definedName>
    <definedName name="MiStringW" hidden="0" function="0" vbProcedure="0">#REF!</definedName>
    <definedName name="MJ" hidden="0" function="0" vbProcedure="0">'[206]#REF'!$B$12</definedName>
    <definedName name="mju" hidden="0" function="0" vbProcedure="0">#REF!</definedName>
    <definedName name="mmm" hidden="0" function="0" vbProcedure="0">[171]CRITERIA1!$B$32</definedName>
    <definedName name="MN" hidden="0" function="0" vbProcedure="0">#REF!</definedName>
    <definedName name="mnh" hidden="0" function="0" vbProcedure="0">#REF!</definedName>
    <definedName name="mobile" hidden="0" function="0" vbProcedure="0">'[123]Call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[207]References!$H$1:$I$12</definedName>
    <definedName name="Months" hidden="0" function="0" vbProcedure="0">#REF!</definedName>
    <definedName name="MorningReport" hidden="0" function="0" vbProcedure="0">'[213]morning report'!#ref!</definedName>
    <definedName name="MotorFits" hidden="0" function="0" vbProcedure="0">#REF!</definedName>
    <definedName name="MotorSizes" hidden="0" function="0" vbProcedure="0">#REF!</definedName>
    <definedName name="Motors_for_12.1_4in" hidden="0" function="0" vbProcedure="0">[98]Data!$R$2:$R$24</definedName>
    <definedName name="Motors_for_17.1_2_or_16in" hidden="0" function="0" vbProcedure="0">[83]Data!$Q$2:$Q$13</definedName>
    <definedName name="Motors_for_26in" hidden="0" function="0" vbProcedure="0">[83]Data!$P$2:$P$10</definedName>
    <definedName name="Motors_for_6in" hidden="0" function="0" vbProcedure="0">[98]Data!$T$2:$T$21</definedName>
    <definedName name="Motors_for_8.1_2in" hidden="0" function="0" vbProcedure="0">[83]Data!$S$2:$S$20</definedName>
    <definedName name="MotorType" hidden="0" function="0" vbProcedure="0">#REF!</definedName>
    <definedName name="MotorYN" hidden="0" function="0" vbProcedure="0">#REF!</definedName>
    <definedName name="Motor_Company" hidden="0" function="0" vbProcedure="0">[98]Data!$U$2:$U$6</definedName>
    <definedName name="MOTOR_LENGTH" hidden="0" function="0" vbProcedure="0">#REF!</definedName>
    <definedName name="MOTOR_WEIGHT" hidden="0" function="0" vbProcedure="0">#REF!</definedName>
    <definedName name="MPC" hidden="0" function="0" vbProcedure="0">'[64]Bid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'[60]Drop-Down Items'!$O$7:$O$11</definedName>
    <definedName name="Mud_Wt" hidden="0" function="0" vbProcedure="0">#REF!</definedName>
    <definedName name="Mud_Wtz" hidden="0" function="0" vbProcedure="0">'[73]Liner Job Info'!$D$31</definedName>
    <definedName name="MULE_SHOE_DEPTH" hidden="0" function="0" vbProcedure="0">#REF!</definedName>
    <definedName name="mush" hidden="0" function="0" vbProcedure="0">#REF!</definedName>
    <definedName name="Mustang" hidden="0" function="0" vbProcedure="0">'[210]Items Listings'!$A$10:$AI$821</definedName>
    <definedName name="mv" hidden="0" function="0" vbProcedure="0">#REF!</definedName>
    <definedName name="MW" hidden="0" function="0" vbProcedure="0">#REF!</definedName>
    <definedName name="MWD" hidden="0" function="0" vbProcedure="0">[54]!MWD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[146]!JointNumber</definedName>
    <definedName name="myData" hidden="0" function="0" vbProcedure="0">#REF!</definedName>
    <definedName name="m_choke" hidden="0" function="0" vbProcedure="0">'[95]well test sheet'!#ref!</definedName>
    <definedName name="M_Dual" hidden="0" function="0" vbProcedure="0">#REF!</definedName>
    <definedName name="M_TONS" hidden="0" function="0" vbProcedure="0">'[57]7-30-04'!#ref!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'[55]7-30-04'!$GO$7457</definedName>
    <definedName name="name" hidden="0" function="0" vbProcedure="0">#REF!</definedName>
    <definedName name="NAME1" hidden="0" function="0" vbProcedure="0">'[42]Ref. data2'!$B$7:$B$10</definedName>
    <definedName name="NAME4" hidden="0" function="0" vbProcedure="0">'[42]Ref. data2'!$B$19:$B$21</definedName>
    <definedName name="NAME5" hidden="0" function="0" vbProcedure="0">'[42]Ref. data2'!$B$22:$B$26</definedName>
    <definedName name="NAME6" hidden="0" function="0" vbProcedure="0">'[42]Ref. data2'!$B$27:$B$29</definedName>
    <definedName name="NAME7" hidden="0" function="0" vbProcedure="0">'[42]Ref. data2'!$B$30:$B$31</definedName>
    <definedName name="NAME9" hidden="0" function="0" vbProcedure="0">'[42]Ref.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'[65]data sheet'!$A$2:$A$8</definedName>
    <definedName name="nb" hidden="0" function="0" vbProcedure="0">#REF!</definedName>
    <definedName name="nbv" hidden="0" function="0" vbProcedure="0">#REF!</definedName>
    <definedName name="NCRP2" hidden="0" function="0" vbProcedure="0">#REF!</definedName>
    <definedName name="NEBRIGS" hidden="0" function="0" vbProcedure="0">[207]References!$D$1:$D$16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[211]MAIN!$B$12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[212]Tally!$F$3</definedName>
    <definedName name="NextTD" hidden="0" function="0" vbProcedure="0">'[214]Lookahd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'[48]Equipment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[171]CRITERIA1!$B$18</definedName>
    <definedName name="NOofTools" hidden="0" function="0" vbProcedure="0">[73]DATA!$BP$2:$BP$12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[171]CRITERIA1!$B$29</definedName>
    <definedName name="NUMBEROFHEADERFIELDS1" hidden="0" function="0" vbProcedure="0">[171]CRITERIA1!$B$28</definedName>
    <definedName name="Numenu" hidden="0" function="0" vbProcedure="0">[220]page1!#ref!</definedName>
    <definedName name="o" hidden="0" function="0" vbProcedure="0">#REF!</definedName>
    <definedName name="objective" hidden="0" function="0" vbProcedure="0">#REF!</definedName>
    <definedName name="Objectives" hidden="0" function="0" vbProcedure="0">'[218]DWS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[100]Data!$J$16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[100]Data!$W$18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'[57]7-30-04'!#ref!</definedName>
    <definedName name="office" hidden="0" function="0" vbProcedure="0">'[123]Call Sheet'!$AH$5</definedName>
    <definedName name="Offsets" hidden="0" function="0" vbProcedure="0">[59]auf_screen!#ref!</definedName>
    <definedName name="Offshore_Block" hidden="0" function="0" vbProcedure="0">#REF!</definedName>
    <definedName name="OFR_AMOUNT" hidden="0" function="0" vbProcedure="0">'[57]7-30-04'!#ref!</definedName>
    <definedName name="ogr" hidden="0" function="0" vbProcedure="0">'[220]Test Data'!$T$8:$T$16,'[220]Test Data'!$T$18:$T$122,'[220]Test Data'!$T$132:$T$247</definedName>
    <definedName name="OHoleID" hidden="0" function="0" vbProcedure="0">#REF!</definedName>
    <definedName name="OHoleLength" hidden="0" function="0" vbProcedure="0">#REF!</definedName>
    <definedName name="OH_1" hidden="0" function="0" vbProcedure="0">[221]References!$V$1:$V$4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'[95]well test sheet'!#ref!</definedName>
    <definedName name="oilT" hidden="0" function="0" vbProcedure="0">[226]oilt!#ref!</definedName>
    <definedName name="oil_cumm" hidden="0" function="0" vbProcedure="0">'[95]well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[97]Criteria!$E$2:$E$15</definedName>
    <definedName name="ONBOARD" hidden="0" function="0" vbProcedure="0">'[224]Initial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[171]CRITERIA1!$B$33</definedName>
    <definedName name="OPBUDG" hidden="0" function="0" vbProcedure="0">'[157]Exec Summ'!$Y$74</definedName>
    <definedName name="OpenEndString" hidden="0" function="0" vbProcedure="0">#REF!</definedName>
    <definedName name="OperationTypes" hidden="0" function="0" vbProcedure="0">#REF!</definedName>
    <definedName name="operator" hidden="0" function="0" vbProcedure="0">'[115]CPS Call Sheet'!$R$58</definedName>
    <definedName name="OpNo" hidden="0" function="0" vbProcedure="0">[227]SO!$B$23,[227]SO!$B$32,[227]SO!$B$41,[227]SO!$G$23,[227]SO!$G$32,[227]SO!$G$41,[227]SO!$L$23,[227]SO!$L$32,[227]SO!$L$41,[227]SO!$A$51:$A$58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[226]Data!$F$1:$F$3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ders_Ex_FX" hidden="0" function="0" vbProcedure="0">'[232]lex input 1st pass'!#ref!</definedName>
    <definedName name="Orders_PYDollars" hidden="0" function="0" vbProcedure="0">'[232]lex input 1st pass'!#ref!</definedName>
    <definedName name="Orders_USD_2001" hidden="0" function="0" vbProcedure="0">'[232]lex input 1st pass'!#ref!</definedName>
    <definedName name="Orientation" hidden="0" function="0" vbProcedure="0">[59]auf_screen!#ref!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'[73]Liner Job Info'!$R$14</definedName>
    <definedName name="Overlap_Vol" hidden="0" function="0" vbProcedure="0">#REF!</definedName>
    <definedName name="Overlap_Volz" hidden="0" function="0" vbProcedure="0">'[73]Metric Conversions'!$C$84</definedName>
    <definedName name="Override_Figures" hidden="0" function="0" vbProcedure="0">[59]auf_screen!#ref!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'[48]Equipment Go-To Sheet'!$F$171:$F$200</definedName>
    <definedName name="PACKER_2" hidden="0" function="0" vbProcedure="0">INDEX([80]DRAW!$D$12:$E$13,MATCH(#REF!,[80]DRAW!$D$12:$D$13,0),2)</definedName>
    <definedName name="Packer_Body_Burst" hidden="0" function="0" vbProcedure="0">#REF!</definedName>
    <definedName name="Packer_Element_Rating" hidden="0" function="0" vbProcedure="0">#REF!</definedName>
    <definedName name="Packer_Retrieval" hidden="0" function="0" vbProcedure="0">'[48]Equipment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'[126]Price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'[73]Liner Job Info'!$P$32</definedName>
    <definedName name="Pckr_Body_Coll" hidden="0" function="0" vbProcedure="0">#REF!</definedName>
    <definedName name="Pckr_Body_Collz" hidden="0" function="0" vbProcedure="0">'[73]Liner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'[42]Ref. data1'!$F$18:$F$23</definedName>
    <definedName name="PDDDD" hidden="0" function="0" vbProcedure="0">'[42]Ref. data1'!$G$18:$G$23</definedName>
    <definedName name="PDFlowRestrictor" hidden="0" function="0" vbProcedure="0">#REF!</definedName>
    <definedName name="PDFlowRestrictorUnit" hidden="0" function="0" vbProcedure="0">#REF!</definedName>
    <definedName name="PDHG_2" hidden="0" function="0" vbProcedure="0">INDEX([80]DRAW!$A$2:$B$12,MATCH(#REF!,[80]DRAW!$A$2:$A$12,0),2)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[130]RSS!$J$148:$J$152</definedName>
    <definedName name="PD_STAB" hidden="0" function="0" vbProcedure="0">[130]RSS!$R$131:$R$160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[171]CRITERIA1!$B$4</definedName>
    <definedName name="perm" hidden="0" function="0" vbProcedure="0">[100]Data!$G$56</definedName>
    <definedName name="perm1" hidden="0" function="0" vbProcedure="0">[100]Data!$G$57</definedName>
    <definedName name="Permanent" hidden="0" function="0" vbProcedure="0">[18]Sheet1!$D$10:$D$11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[48]!Prev.Macro102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[59]auf_screen!#ref!</definedName>
    <definedName name="PgUp_Ranges" hidden="0" function="0" vbProcedure="0">[59]auf_screen!#ref!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lot" hidden="0" function="0" vbProcedure="0">[234]!'[module4 formula].macro1'</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INDEX([231]PKR!$A$2:$B$15,MATCH([231]INPUT!$H$38,[231]PKR!$A$2:$A$15,0),2)</definedName>
    <definedName name="Pkrs" hidden="0" function="0" vbProcedure="0">#REF!</definedName>
    <definedName name="Pkr_ID" hidden="0" function="0" vbProcedure="0">#REF!</definedName>
    <definedName name="Platform" hidden="0" function="0" vbProcedure="0">'[124]drop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'[73]Liner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'[124]drop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[171]CRITERIA1!$B$34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[130]RSS!$A$206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'[73]Metric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[171]CRITERIA1!$B$34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[48]!Prev.Macro110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[100]Data!$C$2</definedName>
    <definedName name="pressure10" hidden="0" function="0" vbProcedure="0">[100]Data!$C$11</definedName>
    <definedName name="pressure2" hidden="0" function="0" vbProcedure="0">[100]Data!$C$3</definedName>
    <definedName name="pressure3" hidden="0" function="0" vbProcedure="0">[100]Data!$C$4</definedName>
    <definedName name="pressure4" hidden="0" function="0" vbProcedure="0">[100]Data!$C$5</definedName>
    <definedName name="pressure5" hidden="0" function="0" vbProcedure="0">[100]Data!$C$6</definedName>
    <definedName name="pressure6" hidden="0" function="0" vbProcedure="0">[100]Data!$C$7</definedName>
    <definedName name="pressure7" hidden="0" function="0" vbProcedure="0">[100]Data!$C$8</definedName>
    <definedName name="pressure8" hidden="0" function="0" vbProcedure="0">[100]Data!$C$9</definedName>
    <definedName name="pressure9" hidden="0" function="0" vbProcedure="0">[100]Data!$C$10</definedName>
    <definedName name="pressurea" hidden="0" function="0" vbProcedure="0">[100]Data!$D$2</definedName>
    <definedName name="pressureb" hidden="0" function="0" vbProcedure="0">[100]Data!$D$3</definedName>
    <definedName name="pressurec" hidden="0" function="0" vbProcedure="0">[100]Data!$D$4</definedName>
    <definedName name="pressured" hidden="0" function="0" vbProcedure="0">[100]Data!$D$5</definedName>
    <definedName name="pressuree" hidden="0" function="0" vbProcedure="0">[100]Data!$D$6</definedName>
    <definedName name="pressuref" hidden="0" function="0" vbProcedure="0">[100]Data!$D$7</definedName>
    <definedName name="pressureg" hidden="0" function="0" vbProcedure="0">[100]Data!$D$8</definedName>
    <definedName name="pressureh" hidden="0" function="0" vbProcedure="0">[100]Data!$D$9</definedName>
    <definedName name="pressurei" hidden="0" function="0" vbProcedure="0">[100]Data!$D$10</definedName>
    <definedName name="pressurej" hidden="0" function="0" vbProcedure="0">[100]Data!$D$11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'[60]Drop-Down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[48]!Prev.Macro122</definedName>
    <definedName name="prev.Macro200" hidden="0" function="0" vbProcedure="0">[48]!Prev.Macro128</definedName>
    <definedName name="Prev.Macro242" hidden="0" function="0" vbProcedure="0">[48]!Prev.Macro106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 hidden="0" function="0" vbProcedure="0">#REF!</definedName>
    <definedName name="Print_Area_______mPM_Red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[97]Criteria!$G$2:$G$6</definedName>
    <definedName name="prod" hidden="0" function="0" vbProcedure="0">[235]Products!$A$4:$F$144</definedName>
    <definedName name="PRODPKR" hidden="0" function="0" vbProcedure="0">INDEX([236]PKR!$A$2:$B$15,MATCH([236]INPUT!$H$37,[236]PKR!$A$2:$A$15,0),2)</definedName>
    <definedName name="ProductGroupUnique" hidden="0" function="0" vbProcedure="0">'[191]AE Database'!$B$305:INDEX('[191]AE Database'!$B$305:$B$400,'[191]AE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[207]References!$E$1:$E$4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[142]summary!#ref!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'[73]Metric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'[90]Max-Torq'!$P$71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'[60]Drop-Down Items'!$AA$7:$AA$10</definedName>
    <definedName name="Pups" hidden="0" function="0" vbProcedure="0">#REF!</definedName>
    <definedName name="PUP_B" hidden="0" function="0" vbProcedure="0">[91]tbgtally!#ref!</definedName>
    <definedName name="purchasing" hidden="0" function="0" vbProcedure="0">'[239]Summary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'[73]Liner Job Info'!$P$47</definedName>
    <definedName name="PU_Packoff" hidden="0" function="0" vbProcedure="0">#REF!</definedName>
    <definedName name="PU_Packoffz" hidden="0" function="0" vbProcedure="0">'[73]Liner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ewadc" hidden="0" function="0" vbProcedure="0">[246]!Calculate_Pipe</definedName>
    <definedName name="QPNum" hidden="0" function="0" vbProcedure="0">#REF!</definedName>
    <definedName name="QQQ" hidden="0" function="0" vbProcedure="0">#REF!</definedName>
    <definedName name="qqqqqqqqqqqq" hidden="0" function="0" vbProcedure="0">#REF!</definedName>
    <definedName name="QTY" hidden="0" function="0" vbProcedure="0">'[55]7-30-04'!$A$1:$XFD$7457</definedName>
    <definedName name="quantum" hidden="0" function="0" vbProcedure="0">#REF!</definedName>
    <definedName name="Quarter" hidden="0" function="0" vbProcedure="0">[243]Criteria!$E$2:$E$7</definedName>
    <definedName name="Query11" hidden="0" function="0" vbProcedure="0">#REF!</definedName>
    <definedName name="QUIT" hidden="0" function="0" vbProcedure="0">#REF!</definedName>
    <definedName name="quoteprob" hidden="0" function="0" vbProcedure="0">#REF!</definedName>
    <definedName name="Quotes_Contacts" hidden="0" function="0" vbProcedure="0">'[248]quote master data sheet'!#ref!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[100]Data!$F$7</definedName>
    <definedName name="rate1" hidden="0" function="0" vbProcedure="0">[100]Data!$A$2</definedName>
    <definedName name="rate10" hidden="0" function="0" vbProcedure="0">[100]Data!$A$11</definedName>
    <definedName name="rate2" hidden="0" function="0" vbProcedure="0">[100]Data!$A$3</definedName>
    <definedName name="rate3" hidden="0" function="0" vbProcedure="0">[100]Data!$A$4</definedName>
    <definedName name="rate4" hidden="0" function="0" vbProcedure="0">[100]Data!$A$5</definedName>
    <definedName name="rate5" hidden="0" function="0" vbProcedure="0">[100]Data!$A$6</definedName>
    <definedName name="rate6" hidden="0" function="0" vbProcedure="0">[100]Data!$A$7</definedName>
    <definedName name="rate7" hidden="0" function="0" vbProcedure="0">[100]Data!$A$8</definedName>
    <definedName name="rate8" hidden="0" function="0" vbProcedure="0">[100]Data!$A$9</definedName>
    <definedName name="rate9" hidden="0" function="0" vbProcedure="0">[100]Data!$A$10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 hidden="0" function="0" vbProcedure="0">'[251]calculo de gas total'!#ref!</definedName>
    <definedName name="reading" hidden="0" function="0" vbProcedure="0">#REF!</definedName>
    <definedName name="Ready" hidden="0" function="0" vbProcedure="0">[252]master!#ref!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'[60]Drop-Down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'[57]7-30-04'!#ref!</definedName>
    <definedName name="REF.2" hidden="0" function="0" vbProcedure="0">'[57]7-30-04'!#ref!</definedName>
    <definedName name="REF.3" hidden="0" function="0" vbProcedure="0">'[57]7-30-04'!#ref!</definedName>
    <definedName name="REF.NO" hidden="0" function="0" vbProcedure="0">'[55]7-30-04'!$GO$7457</definedName>
    <definedName name="refr_test" hidden="0" function="0" vbProcedure="0">#REF!</definedName>
    <definedName name="REF_1" hidden="0" function="0" vbProcedure="0">'[57]7-30-04'!#ref!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'[57]7-30-04'!#ref!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[73]DATA!$S$2:$S$79</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'[48]Data Go-To-Sheet'!$F$5:$F$12</definedName>
    <definedName name="RESET" hidden="0" function="0" vbProcedure="0">#REF!</definedName>
    <definedName name="RESPONSIBILITYAPPLICATIONID1" hidden="0" function="0" vbProcedure="0">[171]CRITERIA1!$B$7</definedName>
    <definedName name="RESPONSIBILITYID1" hidden="0" function="0" vbProcedure="0">[171]CRITERIA1!$B$8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[148]Revision_History!$G$7&amp;" "&amp;[148]Revision_History!$H$7</definedName>
    <definedName name="Rev_XX" hidden="0" function="0" vbProcedure="0">#REF!</definedName>
    <definedName name="RGER" hidden="0" function="0" vbProcedure="0">'[253]sap serv 06-02'!#ref!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'[73]Metric Conversions'!$C$38</definedName>
    <definedName name="RH_SHEAR" hidden="0" function="0" vbProcedure="0">#REF!</definedName>
    <definedName name="RH_SHEAR_LNGTH" hidden="0" function="0" vbProcedure="0">#REF!</definedName>
    <definedName name="RH_SHEAR_LNGTHz" hidden="0" function="0" vbProcedure="0">'[73]Metric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[250]Sheet1!$G$2:$I$21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[59]auf_screen!#ref!</definedName>
    <definedName name="ROMR" hidden="0" function="0" vbProcedure="0">[207]References!$A$1:$A$3</definedName>
    <definedName name="rop" hidden="0" function="0" vbProcedure="0">'[60]Drop-Down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[171]CRITERIA1!$B$20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verage_Header1" hidden="0" function="0" vbProcedure="0">'[256]slide sheet'!#ref!</definedName>
    <definedName name="Rpt_Average_Header2" hidden="0" function="0" vbProcedure="0">'[256]slide sheet'!#ref!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ments" hidden="0" function="0" vbProcedure="0">'[256]slide sheet'!#ref!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Logo_Left" hidden="0" function="0" vbProcedure="0">'[256]slide sheet'!#ref!</definedName>
    <definedName name="Rpt_Logo_Right" hidden="0" function="0" vbProcedure="0">'[256]slide sheet'!#ref!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[130]RSS!$K$197</definedName>
    <definedName name="RT" hidden="0" function="0" vbProcedure="0">#REF!</definedName>
    <definedName name="rtb" hidden="0" function="0" vbProcedure="0">'[90]Max-Torq'!$P$61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[73]DATA!$T$2:$T$79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 hidden="0" function="0" vbProcedure="0">'[258]all certification status'!#ref!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Inflation" hidden="0" function="0" vbProcedure="0">'[232]lex input 1st pass'!#ref!</definedName>
    <definedName name="Salesman" hidden="0" function="0" vbProcedure="0">#REF!</definedName>
    <definedName name="SalesPYDR95Aug" hidden="0" function="0" vbProcedure="0">'[232]lex input 1st pass'!#ref!</definedName>
    <definedName name="SalesPYDR95AugLira" hidden="0" function="0" vbProcedure="0">'[232]lex input 1st pass'!#ref!</definedName>
    <definedName name="SALESRECORD" hidden="0" function="0" vbProcedure="0">'[55]7-30-04'!$GO$7457</definedName>
    <definedName name="SalesTranslation" hidden="0" function="0" vbProcedure="0">'[232]lex input 1st pass'!#ref!</definedName>
    <definedName name="SalesVolumeImpact" hidden="0" function="0" vbProcedure="0">'[232]lex input 1st pass'!#ref!</definedName>
    <definedName name="sales_cell" hidden="0" function="0" vbProcedure="0">[259]data!#ref!</definedName>
    <definedName name="Sales_Contacts" hidden="0" function="0" vbProcedure="0">#REF!</definedName>
    <definedName name="SALES_CUST" hidden="0" function="0" vbProcedure="0">'[55]7-30-04'!$GO$7457</definedName>
    <definedName name="Sales_Explosive_Type" hidden="0" function="0" vbProcedure="0">#REF!</definedName>
    <definedName name="Sales_Ex_Fx" hidden="0" function="0" vbProcedure="0">'[232]lex input 1st pass'!#ref!</definedName>
    <definedName name="Sales_Gun_Size" hidden="0" function="0" vbProcedure="0">#REF!</definedName>
    <definedName name="Sales_Lease" hidden="0" function="0" vbProcedure="0">#REF!</definedName>
    <definedName name="Sales_PYDollars" hidden="0" function="0" vbProcedure="0">'[232]lex input 1st pass'!#ref!</definedName>
    <definedName name="SALES_QTY" hidden="0" function="0" vbProcedure="0">'[55]7-30-04'!$GO$7457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USD_2001" hidden="0" function="0" vbProcedure="0">'[232]lex input 1st pass'!#ref!</definedName>
    <definedName name="Sales_Well_Name" hidden="0" function="0" vbProcedure="0">#REF!</definedName>
    <definedName name="SALE_1" hidden="0" function="0" vbProcedure="0">'[57]7-30-04'!#ref!</definedName>
    <definedName name="SALE_2" hidden="0" function="0" vbProcedure="0">'[57]7-30-04'!#ref!</definedName>
    <definedName name="sale_array" hidden="0" function="0" vbProcedure="0">#REF!</definedName>
    <definedName name="salinity" hidden="0" function="0" vbProcedure="0">'[95]well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[130]RSS!$B$136:$B$144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POCTOBER" hidden="0" function="0" vbProcedure="0">'[260]sswe october revenue analysis'!#ref!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[100]Data!$E$79:$F$127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[71]!Calculate_Pipe</definedName>
    <definedName name="SDrag" hidden="0" function="0" vbProcedure="0">#REF!</definedName>
    <definedName name="se" hidden="0" function="0" vbProcedure="0">'[263]calculo de gas total'!#ref!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'[95]well test sheet'!#ref!</definedName>
    <definedName name="sep_temp" hidden="0" function="0" vbProcedure="0">'[95]well test sheet'!#ref!</definedName>
    <definedName name="SeqEvents" hidden="0" function="0" vbProcedure="0">#REF!</definedName>
    <definedName name="SeqEventTotalPages" hidden="0" function="0" vbProcedure="0">1</definedName>
    <definedName name="Sequence" hidden="0" function="0" vbProcedure="0">'[49]DWS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[171]CRITERIA1!$B$1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[59]auf_screen!#ref!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'[73]Metric Conversions'!$C$76</definedName>
    <definedName name="shoe_height" hidden="0" function="0" vbProcedure="0">#REF!</definedName>
    <definedName name="Shoe_Track_Length" hidden="0" function="0" vbProcedure="0">#REF!</definedName>
    <definedName name="Shoe_Track_Lengthz" hidden="0" function="0" vbProcedure="0">'[73]Liner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'[57]7-30-04'!#ref!</definedName>
    <definedName name="SHPD_2_QTY" hidden="0" function="0" vbProcedure="0">'[57]7-30-04'!#ref!</definedName>
    <definedName name="SHPD_3_QTY" hidden="0" function="0" vbProcedure="0">'[57]7-30-04'!#ref!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[258]Control!$D$7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'[75]JCSI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'[75]JCSI 12'!$AY$26</definedName>
    <definedName name="SM" hidden="0" function="0" vbProcedure="0">#REF!</definedName>
    <definedName name="SML_PROJ" hidden="0" function="0" vbProcedure="0">#REF!</definedName>
    <definedName name="SO" hidden="0" function="0" vbProcedure="0">#REF!</definedName>
    <definedName name="SOE" hidden="0" function="0" vbProcedure="0">'[65]data sheet'!$D$2:$D$4</definedName>
    <definedName name="soldto" hidden="0" function="0" vbProcedure="0">'[123]Call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'[75]JCSI 12'!$AS$26</definedName>
    <definedName name="Source_2" hidden="0" function="0" vbProcedure="0">'[75]JCSI 12'!$AT$26</definedName>
    <definedName name="Source_3" hidden="0" function="0" vbProcedure="0">'[75]JCSI 12'!$AU$26</definedName>
    <definedName name="Source_4" hidden="0" function="0" vbProcedure="0">'[75]JCSI 12'!$AV$26</definedName>
    <definedName name="Source_5" hidden="0" function="0" vbProcedure="0">'[75]JCSI 12'!$AW$26</definedName>
    <definedName name="Source_entities" hidden="0" function="0" vbProcedure="0">'[124]drop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[59]auf_screen!#ref!</definedName>
    <definedName name="SPCL" hidden="0" function="0" vbProcedure="0">'[57]7-30-04'!#ref!</definedName>
    <definedName name="Specialist" hidden="0" function="0" vbProcedure="0">#REF!</definedName>
    <definedName name="spf" hidden="0" function="0" vbProcedure="0">#REF!</definedName>
    <definedName name="SPI" hidden="0" function="0" vbProcedure="0">'[232]lex input 1st pass'!#ref!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'[49]DWS Wells'!$G$1:$G$1048576</definedName>
    <definedName name="Sr.No" hidden="0" function="0" vbProcedure="0">#REF!</definedName>
    <definedName name="SSA" hidden="0" function="0" vbProcedure="0">[266]!Macro46</definedName>
    <definedName name="SSDHGR" hidden="0" function="0" vbProcedure="0">#REF!</definedName>
    <definedName name="ssdsd" hidden="0" function="0" vbProcedure="0">#REF!</definedName>
    <definedName name="SSID" hidden="0" function="0" vbProcedure="0">'[73]Liner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[171]CRITERIA1!$B$21</definedName>
    <definedName name="Start_Here" hidden="0" function="0" vbProcedure="0">'[262]9.625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'[111]Name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'[48]Data Go-To-Sheet'!$D$4:$D$21</definedName>
    <definedName name="Stim_Lower_Schedule" hidden="0" function="0" vbProcedure="0">'[48]8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'[73]Metric Conversions'!$B$30</definedName>
    <definedName name="Stretch_DP1_Lnr_Wtz" hidden="0" function="0" vbProcedure="0">'[73]Metric Conversions'!$C$30</definedName>
    <definedName name="Stretch_DP2_Lnr_Wt" hidden="0" function="0" vbProcedure="0">'[73]Metric Conversions'!$B$31</definedName>
    <definedName name="Stretch_DP2_Lnr_Wtz" hidden="0" function="0" vbProcedure="0">'[73]Metric Conversions'!$C$31</definedName>
    <definedName name="Stretch_DP3_Lnr_Wt" hidden="0" function="0" vbProcedure="0">'[73]Metric Conversions'!$B$32</definedName>
    <definedName name="Stretch_DP3_Lnr_Wtz" hidden="0" function="0" vbProcedure="0">'[73]Metric Conversions'!$C$32</definedName>
    <definedName name="Stretch_DP4_Lnr_Wt" hidden="0" function="0" vbProcedure="0">'[73]Metric Conversions'!$B$33</definedName>
    <definedName name="Stretch_DP4_Lnr_Wtz" hidden="0" function="0" vbProcedure="0">'[73]Metric Conversions'!$C$33</definedName>
    <definedName name="Stretch_DP5_Lnr_Wt" hidden="0" function="0" vbProcedure="0">'[73]Metric Conversions'!$B$34</definedName>
    <definedName name="Stretch_DP5_Lnr_Wtz" hidden="0" function="0" vbProcedure="0">'[73]Metric Conversions'!$C$34</definedName>
    <definedName name="Stretch_TTL_Lnr_Wt" hidden="0" function="0" vbProcedure="0">#REF!</definedName>
    <definedName name="Stretch_TTL_Lnr_Wtz" hidden="0" function="0" vbProcedure="0">'[73]Metric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[207]References!$B$1:$B$15</definedName>
    <definedName name="submission" hidden="0" function="0" vbProcedure="0">[269]!Table5[platform]</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[100]Data!$F$4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 hidden="0" function="0" vbProcedure="0">[270]rig_fl_1!#ref!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'[262]9.625 TCP String'!$B$12:$I$3772</definedName>
    <definedName name="swd" hidden="0" function="0" vbProcedure="0">#REF!</definedName>
    <definedName name="SWELL_PKR" hidden="0" function="0" vbProcedure="0">INDEX([80]PKR!$F$2:$G$10,MATCH([80]PKR!$H$1,[80]PKR!$F$2:$F$10,0),2)</definedName>
    <definedName name="Sy" hidden="0" function="0" vbProcedure="0">#REF!</definedName>
    <definedName name="S___sick" hidden="0" function="0" vbProcedure="0">#REF!</definedName>
    <definedName name="T" hidden="0" function="0" vbProcedure="0">#REF!</definedName>
    <definedName name="t." hidden="0" function="0" vbProcedure="0">[48]!Prev.Macro102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[266]Tally!$A$5:$C$1004</definedName>
    <definedName name="Tally_2" hidden="0" function="0" vbProcedure="0">[267]Tally!$E$5:$G$1004</definedName>
    <definedName name="Tally_3" hidden="0" function="0" vbProcedure="0">[267]Tally!$I$5:$K$1004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[146]!Calculate_Pipe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[269]MUT!$O$3:$O$4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[270]MUT!$L$3:$L$8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[107]Data!$R$3:$R$12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'[73]Liner Job Info'!$P$37</definedName>
    <definedName name="TB_Ext_Bst" hidden="0" function="0" vbProcedure="0">#REF!</definedName>
    <definedName name="TB_Ext_Bstz" hidden="0" function="0" vbProcedure="0">'[73]Liner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'[73]Liner Job Info'!$P$38</definedName>
    <definedName name="TB_Ext_Yld" hidden="0" function="0" vbProcedure="0">#REF!</definedName>
    <definedName name="TCosts" hidden="0" function="0" vbProcedure="0">#REF!</definedName>
    <definedName name="TCPSTRING" hidden="0" function="0" vbProcedure="0">[277]!ADDSTAB</definedName>
    <definedName name="TCP_Specialist" hidden="0" function="0" vbProcedure="0">'[111]Name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'[90]Max-Torq'!$P$72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[171]CRITERIA1!$B$32</definedName>
    <definedName name="TEMPLATESTYLE1" hidden="0" function="0" vbProcedure="0">[171]CRITERIA1!$B$31</definedName>
    <definedName name="TEMPLATETYPE1" hidden="0" function="0" vbProcedure="0">[171]CRITERIA1!$B$30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'[240]Report Long(Esso)'!$E$4</definedName>
    <definedName name="TENDER_PROFILE" hidden="0" function="0" vbProcedure="0">#REF!</definedName>
    <definedName name="tens" hidden="0" function="0" vbProcedure="0">'[90]Max-Torq'!$N$58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'[75]JCSI 12'!$X$26</definedName>
    <definedName name="Test_po_out_1" hidden="0" function="0" vbProcedure="0">#REF!</definedName>
    <definedName name="Test_po_out_2" hidden="0" function="0" vbProcedure="0">#REF!</definedName>
    <definedName name="Test_Type" hidden="0" function="0" vbProcedure="0">'[75]JCSI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[224]Control!$D$9</definedName>
    <definedName name="TGW" hidden="0" function="0" vbProcedure="0">#REF!</definedName>
    <definedName name="Thread" hidden="0" function="0" vbProcedure="0">[107]Data!$P$3:$P$54</definedName>
    <definedName name="ThreadCon" hidden="0" function="0" vbProcedure="0">[273]MUT!$R$3:$R$9</definedName>
    <definedName name="Threads" hidden="0" function="0" vbProcedure="0">'[48]Data Go-To-Sheet'!$H$29:$H$74</definedName>
    <definedName name="THREADTYPES" hidden="0" function="0" vbProcedure="0">#REF!</definedName>
    <definedName name="Thread_DP" hidden="0" function="0" vbProcedure="0">[107]Data!$K$3:$K$30</definedName>
    <definedName name="TICKET" hidden="0" function="0" vbProcedure="0">#REF!</definedName>
    <definedName name="ticketdate" hidden="0" function="0" vbProcedure="0">'[123]Call Sheet'!$AH$1</definedName>
    <definedName name="tickettype" hidden="0" function="0" vbProcedure="0">#REF!</definedName>
    <definedName name="TICKIT" hidden="0" function="0" vbProcedure="0">#REF!</definedName>
    <definedName name="Tight_Hole" hidden="0" function="0" vbProcedure="0">'[60]Drop-Down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1__Time_2" hidden="0" function="0" vbProcedure="0">'[280]k factor'!#ref!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[106]Reference!$D$2</definedName>
    <definedName name="TLDENG" hidden="0" function="0" vbProcedure="0">[106]Reference!$C$2</definedName>
    <definedName name="TLDOPS" hidden="0" function="0" vbProcedure="0">[106]Reference!$E$2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'[73]Liner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[142]summary!#ref!</definedName>
    <definedName name="ToolMaterial" hidden="0" function="0" vbProcedure="0">[73]DATA!$BN$2:$BN$8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[73]DATA!$P$2:$P$268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INDEX([276]PKR!$A$16:$B$17,MATCH([276]INPUT!$G$56,[276]PKR!$A$16:$A$17,0),2)</definedName>
    <definedName name="TOPPKRIMG_1" hidden="0" function="0" vbProcedure="0">INDEX([236]PKR!$A$16:$B$18,MATCH([236]INPUT!$G$56,[236]PKR!$A$16:$A$18,0),2)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'[60]Drop-Down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'[73]Metric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'[73]Metric Conversions'!$C$75</definedName>
    <definedName name="Tot_Liner_Wt" hidden="0" function="0" vbProcedure="0">#REF!</definedName>
    <definedName name="Tot_Lnr_Vol_to_LC" hidden="0" function="0" vbProcedure="0">#REF!</definedName>
    <definedName name="Tot_Lnr_Vol_to_LCz" hidden="0" function="0" vbProcedure="0">'[73]Metric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'[73]Metric Conversions'!$C$80</definedName>
    <definedName name="Tot_Vol_to_Shoe" hidden="0" function="0" vbProcedure="0">#REF!</definedName>
    <definedName name="Tot_Vol_to_Shoez" hidden="0" function="0" vbProcedure="0">'[73]Metric Conversions'!$C$81</definedName>
    <definedName name="TP" hidden="0" function="0" vbProcedure="0">#REF!</definedName>
    <definedName name="tpermit" hidden="0" function="0" vbProcedure="0">[224]Control!$D$5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[18]Sheet1!$D$14:$D$15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'[48]Equipment Go-To Sheet'!$D$140:$L$170</definedName>
    <definedName name="trsv" hidden="0" function="0" vbProcedure="0">'[283]sap serv 06-02'!#ref!</definedName>
    <definedName name="try" hidden="0" function="0" vbProcedure="0">#REF!</definedName>
    <definedName name="TR_Column" hidden="0" function="0" vbProcedure="0">null</definedName>
    <definedName name="TR_Unit" hidden="0" function="0" vbProcedure="0">null</definedName>
    <definedName name="tshoe" hidden="0" function="0" vbProcedure="0">[224]Drillers!$Q$20</definedName>
    <definedName name="tsize" hidden="0" function="0" vbProcedure="0">[224]Control!$D$7</definedName>
    <definedName name="TST" hidden="0" function="0" vbProcedure="0">#REF!</definedName>
    <definedName name="tstickup" hidden="0" function="0" vbProcedure="0">[224]Drillers!$O$20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[279]CODE!$J$1:$P$4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[281]Data!$AH$2:$AH$5</definedName>
    <definedName name="Tubing_Head_Spool" hidden="0" function="0" vbProcedure="0">[99]Data!$AI$2:$AI$4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'[282]#REF'!$C$34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[224]Control!$D$8</definedName>
    <definedName name="twell" hidden="0" function="0" vbProcedure="0">[224]Control!$D$4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[207]References!$F$1:$F$2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'[60]Drop-Down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[81]Schematic!$L$12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[81]Schematic!$N$31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'[60]Drop-Down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'[60]Drop-Down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'[73]Liner Job Info'!$D$38</definedName>
    <definedName name="Using_Packer" hidden="0" function="0" vbProcedure="0">'[73]Liner Job Info'!$P$30</definedName>
    <definedName name="UZI" hidden="0" function="0" vbProcedure="0">#REF!</definedName>
    <definedName name="UZ_380" hidden="0" function="0" vbProcedure="0">[91]tbgtally!#ref!</definedName>
    <definedName name="V0" hidden="0" function="0" vbProcedure="0">'[5]MACRO125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[286]Currency!$A$1:$A$170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IF(ISBLANK([287]BOM1!B1),IF(#REF! [287]BOM1!A$1:A$1048576 =#REF!,OFFSET([293]!ValidationLists[[#all],[main categories]],1,,COUNTA([293]!ValidationLists[main categories])),OFFSET([293]!ValidationLists[#data],0,MATCH([287]BOM1!XFD1, [293]!ValidationLists[#headers],0)-1,COUNTA(OFFSET([293]!ValidationLists[#data],,MATCH([287]BOM1!XFD1, [293]!ValidationLists[#headers],0)-1,,1)),1)))</definedName>
    <definedName name="ValName11" hidden="0" function="0" vbProcedure="0">IF(ISBLANK('[288]Section F'!B1),IF(#REF! '[288]Section F'!A$1:A$1048576 =#REF!,OFFSET([294]!ValidationList2[[#all],[main categories]],1,,COUNTA([294]!ValidationList2[main categories])),OFFSET([294]!ValidationList2[#data],0,MATCH('[288]Section F'!XFD1, [294]!ValidationList2[#headers],0)-1,COUNTA(OFFSET([294]!ValidationList2[#data],,MATCH('[288]Section F'!XFD1, [294]!ValidationList2[#headers],0)-1,,1)),1)))</definedName>
    <definedName name="ValName12" hidden="0" function="0" vbProcedure="0">IF(ISBLANK('[288]Section F'!B1),IF(#REF! '[288]Section F'!A$1:A$1048576 =#REF!,OFFSET([294]!ValidationList1[[#all],[main items]],1,,COUNTA([294]!ValidationList1[main items])),OFFSET([294]!ValidationList1[#data],0,MATCH('[288]Section F'!XFD1, [294]!ValidationList1[#headers],0)-1,COUNTA(OFFSET([294]!ValidationList1[#data],,MATCH('[288]Section F'!XFD1, [294]!ValidationList1[#headers],0)-1,,1)),1)))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[59]auf_screen!#ref!</definedName>
    <definedName name="Verticaldepth" hidden="0" function="0" vbProcedure="0">'[130]Front Page Info'!$C$18</definedName>
    <definedName name="VETCO" hidden="0" function="0" vbProcedure="0">#REF!</definedName>
    <definedName name="vfdvf" hidden="0" function="0" vbProcedure="0">[175]!Macro61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[80]!Macro60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[18]Sheet1!$F$14:$F$22</definedName>
    <definedName name="Wear_Grade" hidden="0" function="0" vbProcedure="0">'[60]Drop-Down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[98]Data!$AC$2:$AC$6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'[115]CPS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[98]Data!$E$2:$E$94</definedName>
    <definedName name="well_direction" hidden="0" function="0" vbProcedure="0">'[60]Drop-Down Items'!$F$43:$F$47</definedName>
    <definedName name="Well_Index" hidden="0" function="0" vbProcedure="0">'[75]JCSI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'[60]Drop-Down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'[75]JCSI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'[42]Ref.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'[60]Drop-Down Items'!$E$34:$E$37</definedName>
    <definedName name="whipstock_size" hidden="0" function="0" vbProcedure="0">'[60]Drop-Down Items'!$B$53:$B$64</definedName>
    <definedName name="Whipstock_Type" hidden="0" function="0" vbProcedure="0">'[60]Drop-Down Items'!$B$4:$B$16</definedName>
    <definedName name="whp" hidden="0" function="0" vbProcedure="0">'[95]well test sheet'!#ref!</definedName>
    <definedName name="wht" hidden="0" function="0" vbProcedure="0">'[95]well test sheet'!#ref!</definedName>
    <definedName name="WHTFlow" hidden="0" function="0" vbProcedure="0">#REF!</definedName>
    <definedName name="WHTStatic" hidden="0" function="0" vbProcedure="0">#REF!</definedName>
    <definedName name="wiperplugunity" hidden="0" function="0" vbProcedure="0">[73]Test!$G$18</definedName>
    <definedName name="WIP_REPORT" hidden="0" function="0" vbProcedure="0">#REF!</definedName>
    <definedName name="Withinlimit" hidden="0" function="0" vbProcedure="0">#REF!</definedName>
    <definedName name="WIV?" hidden="0" function="0" vbProcedure="0">'[147]Multi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'[42]Ref.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[100]Data!$GC$3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[100]Data!$W$19</definedName>
    <definedName name="WS_ID" hidden="0" function="0" vbProcedure="0">#REF!</definedName>
    <definedName name="WS_LENGTH" hidden="0" function="0" vbProcedure="0">#REF!</definedName>
    <definedName name="WS_OD" hidden="0" function="0" vbProcedure="0">#REF!</definedName>
    <definedName name="wt" hidden="0" function="0" vbProcedure="0">'[90]Max-Torq'!$P$64</definedName>
    <definedName name="wtcasing" hidden="0" function="0" vbProcedure="0">[100]Data!$J$19</definedName>
    <definedName name="wtr_cumm" hidden="0" function="0" vbProcedure="0">'[95]well test sheet'!#ref!</definedName>
    <definedName name="wtr_rate" hidden="0" function="0" vbProcedure="0">'[95]well test sheet'!#ref!</definedName>
    <definedName name="wtworkstring" hidden="0" function="0" vbProcedure="0">[100]Data!$W$21</definedName>
    <definedName name="Wtype" hidden="0" function="0" vbProcedure="0">'[73]Liner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[130]RSS!$C$197</definedName>
    <definedName name="XCEED_TO" hidden="0" function="0" vbProcedure="0">[130]RSS!$G$201</definedName>
    <definedName name="xdd" hidden="0" function="0" vbProcedure="0">'[60]Drop-Down Items'!$Z$7</definedName>
    <definedName name="XdryCG" hidden="0" function="0" vbProcedure="0">'[157]Item Listings'!$AV$46</definedName>
    <definedName name="Xfoto" hidden="0" function="0" vbProcedure="0">#REF!</definedName>
    <definedName name="XfutopCG" hidden="0" function="0" vbProcedure="0">'[157]Wt Rpt'!$O$76</definedName>
    <definedName name="xls" hidden="0" function="0" vbProcedure="0">#REF!</definedName>
    <definedName name="Xmas_Tree" hidden="0" function="0" vbProcedure="0">[281]Data!$AG$2:$AG$6</definedName>
    <definedName name="Xnobj" hidden="0" function="0" vbProcedure="0">#REF!</definedName>
    <definedName name="XO" hidden="0" function="0" vbProcedure="0">#REF!</definedName>
    <definedName name="Xobj" hidden="0" function="0" vbProcedure="0">#REF!</definedName>
    <definedName name="XopCG" hidden="0" function="0" vbProcedure="0">'[157]Wt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[130]RSS!$E$201</definedName>
    <definedName name="xx" hidden="0" function="0" vbProcedure="0">#REF!</definedName>
    <definedName name="xxx" hidden="1" function="0" vbProcedure="0">{#N/A,#N/A,FALSE,"Sheet1"}</definedName>
    <definedName name="xxxx" hidden="0" function="0" vbProcedure="0">[298]!Macro46</definedName>
    <definedName name="xyc" hidden="0" function="0" vbProcedure="0">'[2]run sheet'!#ref!</definedName>
    <definedName name="X_O" hidden="0" function="0" vbProcedure="0">[91]tbgtally!#ref!</definedName>
    <definedName name="y" hidden="0" function="0" vbProcedure="0">#REF!</definedName>
    <definedName name="YdryCG" hidden="0" function="0" vbProcedure="0">'[157]Item Listings'!$AW$46</definedName>
    <definedName name="year" hidden="0" function="0" vbProcedure="0">#REF!</definedName>
    <definedName name="YesNo" hidden="0" function="0" vbProcedure="0">#REF!</definedName>
    <definedName name="Yes_No" hidden="0" function="0" vbProcedure="0">'[111]Name Range'!$K$2:$K$4</definedName>
    <definedName name="Yfoto" hidden="0" function="0" vbProcedure="0">#REF!</definedName>
    <definedName name="YfutopCG" hidden="0" function="0" vbProcedure="0">'[157]Wt Rpt'!$P$76</definedName>
    <definedName name="YJEJD" hidden="0" function="0" vbProcedure="0">#REF!</definedName>
    <definedName name="YN" hidden="0" function="0" vbProcedure="0">#REF!</definedName>
    <definedName name="Ynobj" hidden="0" function="0" vbProcedure="0">#REF!</definedName>
    <definedName name="ynu" hidden="0" function="0" vbProcedure="0">'[60]Drop-Down Items'!$B$24:$B$26</definedName>
    <definedName name="Yobj" hidden="0" function="0" vbProcedure="0">#REF!</definedName>
    <definedName name="YopCG" hidden="0" function="0" vbProcedure="0">'[157]Wt Rpt'!$F$76</definedName>
    <definedName name="YP" hidden="0" function="0" vbProcedure="0">#REF!</definedName>
    <definedName name="ypa" hidden="0" function="0" vbProcedure="0">'[90]Max-Torq'!$P$63</definedName>
    <definedName name="ypdtr" hidden="0" function="0" vbProcedure="0">'[90]Max-Torq'!$P$70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'[157]Item Listings'!$AX$46</definedName>
    <definedName name="ZfutopCG" hidden="0" function="0" vbProcedure="0">'[157]Wt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'[294]Com OldNom'!$A$1:$M$62</definedName>
    <definedName name="ZopCG" hidden="0" function="0" vbProcedure="0">'[157]Wt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zzzzz" hidden="0" function="0" vbProcedure="0">[298]!'[module4 formula].macro1'</definedName>
    <definedName name="Z_Fact_DH" hidden="0" function="0" vbProcedure="0">#REF!</definedName>
    <definedName name="Z_Fact_Surf" hidden="0" function="0" vbProcedure="0">#REF!</definedName>
    <definedName name="\0" hidden="0" function="0" vbProcedure="0">#REF!</definedName>
    <definedName name="\A" hidden="0" function="0" vbProcedure="0">#REF!</definedName>
    <definedName name="\B" hidden="0" function="0" vbProcedure="0">#REF!</definedName>
    <definedName name="\C" hidden="0" function="0" vbProcedure="0">#REF!</definedName>
    <definedName name="\D" hidden="0" function="0" vbProcedure="0">#REF!</definedName>
    <definedName name="\E" hidden="0" function="0" vbProcedure="0">#REF!</definedName>
    <definedName name="\F" hidden="0" function="0" vbProcedure="0">#REF!</definedName>
    <definedName name="\G" hidden="0" function="0" vbProcedure="0">#REF!</definedName>
    <definedName name="\H" hidden="0" function="0" vbProcedure="0">#REF!</definedName>
    <definedName name="\I" hidden="0" function="0" vbProcedure="0">#REF!</definedName>
    <definedName name="\J" hidden="0" function="0" vbProcedure="0">'[1]run sheet'!#ref!</definedName>
    <definedName name="\L" hidden="0" function="0" vbProcedure="0">#REF!</definedName>
    <definedName name="\M" hidden="0" function="0" vbProcedure="0">#REF!</definedName>
    <definedName name="\N" hidden="0" function="0" vbProcedure="0">#REF!</definedName>
    <definedName name="\O" hidden="0" function="0" vbProcedure="0">#REF!</definedName>
    <definedName name="\p" hidden="0" function="0" vbProcedure="0">#REF!</definedName>
    <definedName name="\Q" hidden="0" function="0" vbProcedure="0">#REF!</definedName>
    <definedName name="\R" hidden="0" function="0" vbProcedure="0">#REF!</definedName>
    <definedName name="\S" hidden="0" function="0" vbProcedure="0">#REF!</definedName>
    <definedName name="\T" hidden="0" function="0" vbProcedure="0">#REF!</definedName>
    <definedName name="\V" hidden="0" function="0" vbProcedure="0">#REF!</definedName>
    <definedName name="\X" hidden="0" function="0" vbProcedure="0">'[1]run sheet'!#ref!</definedName>
    <definedName name="\Y" hidden="0" function="0" vbProcedure="0">#REF!</definedName>
    <definedName name="\Z" hidden="0" function="0" vbProcedure="0">#REF!</definedName>
    <definedName name="_"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[31]mkn06!#ref!</definedName>
    <definedName name="_11__123Graph_CCHART_2" hidden="1" function="0" vbProcedure="0">'[20]case sjac 19'!#ref!</definedName>
    <definedName name="_1234GRAPH_G" hidden="1" function="0" vbProcedure="0">[7]Run!$F$16:$F$514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[34]mkn06!#ref!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[34]mkn06!#ref!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[31]mkn06!#ref!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[34]mkn06!#ref!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[31]mkn06!#ref!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[31]mkn06!#ref!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[34]mkn06!#ref!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[34]mkn06!#ref!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[31]mkn06!#ref!</definedName>
    <definedName name="_9__123Graph_XCHART_1" hidden="1" function="0" vbProcedure="0">[25]mkn06!#ref!</definedName>
    <definedName name="_a" hidden="1" function="0" vbProcedure="0">{#N/A,#N/A,FALSE,"Volume"}</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b" hidden="1" function="0" vbProcedure="0">{#N/A,#N/A,FALSE,"Volume"}</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c" hidden="1" function="0" vbProcedure="0">{#N/A,#N/A,FALSE,"Volume"}</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D" hidden="0" function="0" vbProcedure="0">#REF!</definedName>
    <definedName name="_d1" hidden="1" function="0" vbProcedure="0">{#N/A,#N/A,FALSE,"Volume"}</definedName>
    <definedName name="_d2\"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E"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F" hidden="0" function="0" vbProcedure="0">#REF!</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g" hidden="1" function="0" vbProcedure="0">{#N/A,#N/A,FALSE,"Volume"}</definedName>
    <definedName name="_gas1013" hidden="0" function="0" vbProcedure="0">'[27]calculo de gas total'!#ref!</definedName>
    <definedName name="_GAS1016" hidden="0" function="0" vbProcedure="0">'[28]calculo de gas total'!#ref!</definedName>
    <definedName name="_GAS1017" hidden="0" function="0" vbProcedure="0">'[28]calculo de gas total'!#ref!</definedName>
    <definedName name="_GAS1101" hidden="0" function="0" vbProcedure="0">'[28]calculo de gas total'!#ref!</definedName>
    <definedName name="_GAS1102" hidden="0" function="0" vbProcedure="0">'[28]calculo de gas total'!#ref!</definedName>
    <definedName name="_GAS1200" hidden="0" function="0" vbProcedure="0">'[28]calculo de gas total'!#ref!</definedName>
    <definedName name="_GAS1201" hidden="0" function="0" vbProcedure="0">'[28]calculo de gas total'!#ref!</definedName>
    <definedName name="_GAS1401" hidden="0" function="0" vbProcedure="0">'[28]calculo de gas total'!#ref!</definedName>
    <definedName name="_GAS1611" hidden="0" function="0" vbProcedure="0">'[28]calculo de gas total'!#ref!</definedName>
    <definedName name="_GAS1612" hidden="0" function="0" vbProcedure="0">'[28]calculo de gas total'!#ref!</definedName>
    <definedName name="_GAS1706" hidden="0" function="0" vbProcedure="0">'[28]calculo de gas total'!#ref!</definedName>
    <definedName name="_GAS1707" hidden="0" function="0" vbProcedure="0">'[28]calculo de gas total'!#ref!</definedName>
    <definedName name="_GAS1751" hidden="0" function="0" vbProcedure="0">'[28]calculo de gas total'!#ref!</definedName>
    <definedName name="_GAS1773" hidden="0" function="0" vbProcedure="0">'[28]calculo de gas total'!#ref!</definedName>
    <definedName name="_gas2020" hidden="0" function="0" vbProcedure="0">'[27]calculo de gas total'!#ref!</definedName>
    <definedName name="_gas6969" hidden="0" function="0" vbProcedure="0">'[27]calculo de gas total'!#ref!</definedName>
    <definedName name="_GAS7117" hidden="0" function="0" vbProcedure="0">'[28]calculo de gas total'!#ref!</definedName>
    <definedName name="_GAS7118" hidden="0" function="0" vbProcedure="0">'[28]calculo de gas total'!#ref!</definedName>
    <definedName name="_gmh1" hidden="1" function="0" vbProcedure="0">{#N/A,#N/A,FALSE,"Sheet1"}</definedName>
    <definedName name="_gs243" hidden="0" function="0" vbProcedure="0">'[29]calculo de gas total'!#ref!</definedName>
    <definedName name="_h" hidden="1" function="0" vbProcedure="0">{#N/A,#N/A,FALSE,"Volume"}</definedName>
    <definedName name="_i" hidden="1" function="0" vbProcedure="0">{#N/A,#N/A,FALSE,"Volume"}</definedName>
    <definedName name="_iw" hidden="1" function="0" vbProcedure="0">[22]mkn06!#ref!</definedName>
    <definedName name="_J" hidden="0" function="0" vbProcedure="0">#REF!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Key1" hidden="1"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um15"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1" function="0" vbProcedure="0">{#N/A,#N/A,FALSE,"Volume"}</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r06" hidden="0" function="0" vbProcedure="0">[42]!AutoCAD</definedName>
    <definedName name="_REG1773" hidden="0" function="0" vbProcedure="0">'[28]calculo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 hidden="1" function="0" vbProcedure="0">{#N/A,#N/A,FALSE,"Volume"}</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'[42]Ref. data2'!$D$34:$D$36</definedName>
    <definedName name="_TEL2" hidden="0" function="0" vbProcedure="0">'[42]Ref. data2'!$D$7:$D$10</definedName>
    <definedName name="_TEL5" hidden="0" function="0" vbProcedure="0">'[42]Ref. data2'!$D$19:$D$21</definedName>
    <definedName name="_TEL6" hidden="0" function="0" vbProcedure="0">'[42]Ref. data2'!$D$22:$D$26</definedName>
    <definedName name="_TEL7" hidden="0" function="0" vbProcedure="0">'[42]Ref. data2'!$D$27:$D$29</definedName>
    <definedName name="_TEL8" hidden="0" function="0" vbProcedure="0">'[42]Ref.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UA38" hidden="0" function="0" vbProcedure="0">[26]!_UA38</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1" function="0" vbProcedure="0">{#N/A,#N/A,FALSE,"Volume"}</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[165]BOOK5!$C$1:$C$1048576</definedName>
    <definedName name="_xlnm.Recorder" hidden="0" function="0" vbProcedure="0">#REF!</definedName>
    <definedName name="_z" hidden="1" function="0" vbProcedure="0">{#N/A,#N/A,FALSE,"Volume"}</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'[24]Minimum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[7]Run!$B$18:$B$512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'[27]calculo de gas total'!#ref!</definedName>
    <definedName name="__GAS1016" hidden="0" function="0" vbProcedure="0">'[28]calculo de gas total'!#ref!</definedName>
    <definedName name="__GAS1017" hidden="0" function="0" vbProcedure="0">'[28]calculo de gas total'!#ref!</definedName>
    <definedName name="__GAS1101" hidden="0" function="0" vbProcedure="0">'[28]calculo de gas total'!#ref!</definedName>
    <definedName name="__GAS1102" hidden="0" function="0" vbProcedure="0">'[28]calculo de gas total'!#ref!</definedName>
    <definedName name="__GAS1200" hidden="0" function="0" vbProcedure="0">'[28]calculo de gas total'!#ref!</definedName>
    <definedName name="__GAS1201" hidden="0" function="0" vbProcedure="0">'[28]calculo de gas total'!#ref!</definedName>
    <definedName name="__GAS1401" hidden="0" function="0" vbProcedure="0">'[28]calculo de gas total'!#ref!</definedName>
    <definedName name="__GAS1611" hidden="0" function="0" vbProcedure="0">'[28]calculo de gas total'!#ref!</definedName>
    <definedName name="__GAS1612" hidden="0" function="0" vbProcedure="0">'[28]calculo de gas total'!#ref!</definedName>
    <definedName name="__GAS1706" hidden="0" function="0" vbProcedure="0">'[28]calculo de gas total'!#ref!</definedName>
    <definedName name="__GAS1707" hidden="0" function="0" vbProcedure="0">'[28]calculo de gas total'!#ref!</definedName>
    <definedName name="__GAS1751" hidden="0" function="0" vbProcedure="0">'[28]calculo de gas total'!#ref!</definedName>
    <definedName name="__GAS1773" hidden="0" function="0" vbProcedure="0">'[28]calculo de gas total'!#ref!</definedName>
    <definedName name="__gas2020" hidden="0" function="0" vbProcedure="0">'[27]calculo de gas total'!#ref!</definedName>
    <definedName name="__gas6969" hidden="0" function="0" vbProcedure="0">'[27]calculo de gas total'!#ref!</definedName>
    <definedName name="__GAS7117" hidden="0" function="0" vbProcedure="0">'[28]calculo de gas total'!#ref!</definedName>
    <definedName name="__GAS7118" hidden="0" function="0" vbProcedure="0">'[28]calculo de gas total'!#ref!</definedName>
    <definedName name="__gs243" hidden="0" function="0" vbProcedure="0">'[29]calculo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'[30]data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'[28]calculo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[7]Run!$B$18:$B$512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[7]Run!$B$18:$B$512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[7]Run!$B$18:$B$512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[7]Run!$B$18:$B$512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[7]Run!$B$18:$B$512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[7]Run!$B$18:$B$512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[7]Run!$B$18:$B$512</definedName>
    <definedName name="_________bb2789" hidden="0" function="0" vbProcedure="0">[14]!Calculate_Pipe</definedName>
    <definedName name="_________wrn1" hidden="1" function="0" vbProcedure="0">{#N/A,#N/A,FALSE,"Volume"}</definedName>
    <definedName name="__________A4" hidden="1" function="0" vbProcedure="0">[7]Run!$B$18:$B$512</definedName>
    <definedName name="__________bb2789" hidden="0" function="0" vbProcedure="0">[14]!Calculate_Pipe</definedName>
    <definedName name="___________A4" hidden="1" function="0" vbProcedure="0">[7]Run!$B$18:$B$512</definedName>
    <definedName name="___________bb2789" hidden="0" function="0" vbProcedure="0">[14]!Calculate_Pipe</definedName>
    <definedName name="___________wrn1" hidden="1" function="0" vbProcedure="0">{#N/A,#N/A,FALSE,"Volume"}</definedName>
    <definedName name="____________A4" hidden="1" function="0" vbProcedure="0">[7]Run!$B$18:$B$512</definedName>
    <definedName name="____________bb2789" hidden="0" function="0" vbProcedure="0">[14]!Calculate_Pipe</definedName>
    <definedName name="____________wrn1" hidden="1" function="0" vbProcedure="0">{#N/A,#N/A,FALSE,"Volume"}</definedName>
    <definedName name="_____________A4" hidden="1" function="0" vbProcedure="0">[7]Run!$B$18:$B$512</definedName>
    <definedName name="_____________bb2789" hidden="0" function="0" vbProcedure="0">[14]!Calculate_Pipe</definedName>
    <definedName name="______________A4" hidden="1" function="0" vbProcedure="0">[7]Run!$B$18:$B$512</definedName>
    <definedName name="______________bb2789" hidden="0" function="0" vbProcedure="0">[14]!Calculate_Pipe</definedName>
    <definedName name="_______________A4" hidden="1" function="0" vbProcedure="0">[7]Run!$B$18:$B$512</definedName>
    <definedName name="_______________bb2789" hidden="0" function="0" vbProcedure="0">[14]!Calculate_Pipe</definedName>
    <definedName name="________________A4" hidden="1" function="0" vbProcedure="0">[7]Run!$B$18:$B$512</definedName>
    <definedName name="________________bb2789" hidden="0" function="0" vbProcedure="0">[11]!Calculate_Pipe</definedName>
    <definedName name="_________________A4" hidden="1" function="0" vbProcedure="0">[7]Run!$B$18:$B$512</definedName>
    <definedName name="_________________bb2789" hidden="0" function="0" vbProcedure="0">[11]!Calculate_Pipe</definedName>
    <definedName name="__________________A4" hidden="1" function="0" vbProcedure="0">[7]Run!$B$18:$B$512</definedName>
    <definedName name="__________________bb2789" hidden="0" function="0" vbProcedure="0">[13]!Calculate_Pipe</definedName>
    <definedName name="___________________A4" hidden="1" function="0" vbProcedure="0">[7]Run!$B$18:$B$512</definedName>
    <definedName name="___________________bb2789" hidden="0" function="0" vbProcedure="0">[11]!Calculate_Pipe</definedName>
    <definedName name="____________________A4" hidden="1" function="0" vbProcedure="0">[7]Run!$B$18:$B$512</definedName>
    <definedName name="____________________bb2789" hidden="0" function="0" vbProcedure="0">[9]!Calculate_Pipe</definedName>
    <definedName name="_____________________A4" hidden="1" function="0" vbProcedure="0">[7]Run!$B$18:$B$512</definedName>
    <definedName name="_____________________bb2789" hidden="0" function="0" vbProcedure="0">[12]!Calculate_Pipe</definedName>
    <definedName name="______________________A4" hidden="1" function="0" vbProcedure="0">[7]Run!$B$18:$B$512</definedName>
    <definedName name="______________________bb2789" hidden="0" function="0" vbProcedure="0">[9]!Calculate_Pipe</definedName>
    <definedName name="_______________________A4" hidden="1" function="0" vbProcedure="0">[7]Run!$B$18:$B$512</definedName>
    <definedName name="_______________________bb2789" hidden="0" function="0" vbProcedure="0">[9]!Calculate_Pipe</definedName>
    <definedName name="________________________A4" hidden="1" function="0" vbProcedure="0">[7]Run!$B$18:$B$512</definedName>
    <definedName name="________________________bb2789" hidden="0" function="0" vbProcedure="0">[11]!Calculate_Pipe</definedName>
    <definedName name="_________________________A4" hidden="1" function="0" vbProcedure="0">[7]Run!$B$18:$B$512</definedName>
    <definedName name="_________________________bb2789" hidden="0" function="0" vbProcedure="0">[9]!Calculate_Pipe</definedName>
    <definedName name="__________________________A4" hidden="1" function="0" vbProcedure="0">[7]Run!$B$18:$B$512</definedName>
    <definedName name="___________________________A4" hidden="1" function="0" vbProcedure="0">[7]Run!$B$18:$B$512</definedName>
    <definedName name="____________________________A4" hidden="1" function="0" vbProcedure="0">[7]Run!$B$18:$B$512</definedName>
    <definedName name="_____________________________A4" hidden="1" function="0" vbProcedure="0">[7]Run!$B$18:$B$512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'SOE'!$A$1:$S$42</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1" function="0" vbProcedure="0">#REF!</definedName>
    <definedName name="AA" localSheetId="6" hidden="0" function="0" vbProcedure="0">#REF!</definedName>
    <definedName name="aa.macro111" localSheetId="6" hidden="0" function="0" vbProcedure="0">[46]!Prev.Macro111</definedName>
    <definedName name="aaaa" localSheetId="6" hidden="0" function="0" vbProcedure="0">[48]!Macro59</definedName>
    <definedName name="ABX" localSheetId="6" hidden="1" function="0" vbProcedure="0">[23]Run!$B$18:$B$512</definedName>
    <definedName name="addresstwo" localSheetId="6" hidden="0" function="0" vbProcedure="0">[52]data!#ref!</definedName>
    <definedName name="ADDSTAB" localSheetId="6" hidden="0" function="0" vbProcedure="0">[54]!ADDSTAB</definedName>
    <definedName name="adf" localSheetId="6" hidden="0" function="0" vbProcedure="0">[55]!Macro60</definedName>
    <definedName name="ae" localSheetId="6" hidden="0" function="0" vbProcedure="0">'[54]forecast 3YP'!$AD$6</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6" hidden="0" function="0" vbProcedure="0">'[55]7-30-04'!$W$55:$IV$7457</definedName>
    <definedName name="AMACRO.n2foam" localSheetId="6" hidden="0" function="0" vbProcedure="0">'[60]tool backload dt'!amacro.n2foam</definedName>
    <definedName name="Ambient_temp" localSheetId="6" hidden="0" function="0" vbProcedure="0">'[6]#ref'!#ref!</definedName>
    <definedName name="amis" localSheetId="6" hidden="0" function="0" vbProcedure="0">[59]Tally!$A$5:$J$825</definedName>
    <definedName name="ANDERGAUGE" localSheetId="6" hidden="0" function="0" vbProcedure="0">[54]!ANDERGAUGE</definedName>
    <definedName name="annularvol" localSheetId="6" hidden="0" function="0" vbProcedure="0">[62]Data!$F$13</definedName>
    <definedName name="Ao" localSheetId="6" hidden="0" function="0" vbProcedure="0">[63]Piston!$F$5</definedName>
    <definedName name="Ap" localSheetId="6" hidden="0" function="0" vbProcedure="0">[63]Piston!$F$6</definedName>
    <definedName name="Approver_Objectives" localSheetId="6" hidden="0" function="0" vbProcedure="0">'[69]well team goals'!#ref!</definedName>
    <definedName name="Approver_Well_Plan" localSheetId="6" hidden="0" function="0" vbProcedure="0">'[69]well team goals'!#ref!</definedName>
    <definedName name="ASDA" localSheetId="6" hidden="0" function="0" vbProcedure="0">[70]!Calculate_Pipe</definedName>
    <definedName name="ASS" localSheetId="6" hidden="0" function="0" vbProcedure="0">[71]!JointNumber</definedName>
    <definedName name="Assembly1" localSheetId="6" hidden="0" function="0" vbProcedure="0">[71]!Calculate_Pipe</definedName>
    <definedName name="assy.3" localSheetId="6" hidden="0" function="0" vbProcedure="0">[71]!Calculate_Pipe</definedName>
    <definedName name="ASSY.6" localSheetId="6" hidden="0" function="0" vbProcedure="0">[71]!Calculate_Pipe</definedName>
    <definedName name="ASSY2312" localSheetId="6" hidden="0" function="0" vbProcedure="0">[73]!Macro1</definedName>
    <definedName name="ASSY7" localSheetId="6" hidden="0" function="0" vbProcedure="0">[40]!Calculate_Pipe</definedName>
    <definedName name="ASSY_098" localSheetId="6" hidden="0" function="0" vbProcedure="0">[71]!JointNumber</definedName>
    <definedName name="ASSY_122" localSheetId="6" hidden="0" function="0" vbProcedure="0">[73]!Macro1</definedName>
    <definedName name="ASSY_123" localSheetId="6" hidden="0" function="0" vbProcedure="0">[71]!JointNumber</definedName>
    <definedName name="ASSY_2111" localSheetId="6" hidden="0" function="0" vbProcedure="0">[73]!Macro1</definedName>
    <definedName name="ASSY_231" localSheetId="6" hidden="0" function="0" vbProcedure="0">[73]!Macro1</definedName>
    <definedName name="ASSY_342" localSheetId="6" hidden="0" function="0" vbProcedure="0">[73]!Macro1</definedName>
    <definedName name="ASSY_36" localSheetId="6" hidden="0" function="0" vbProcedure="0">[73]!Macro1</definedName>
    <definedName name="ASSY_4" localSheetId="6" hidden="0" function="0" vbProcedure="0">[73]!Macro1</definedName>
    <definedName name="ASSY_432" localSheetId="6" hidden="0" function="0" vbProcedure="0">[73]!Macro1</definedName>
    <definedName name="assy_5" localSheetId="6" hidden="0" function="0" vbProcedure="0">[71]!JointNumber</definedName>
    <definedName name="assy_543" localSheetId="6" hidden="0" function="0" vbProcedure="0">[71]!JointNumber</definedName>
    <definedName name="Assy_765" localSheetId="6" hidden="0" function="0" vbProcedure="0">[71]!Calculate_Pipe</definedName>
    <definedName name="ASSy_blast" localSheetId="6" hidden="0" function="0" vbProcedure="0">[71]!Calculate_Pipe</definedName>
    <definedName name="ASSY_W2" localSheetId="6" hidden="0" function="0" vbProcedure="0">[71]!Calculate_Pipe</definedName>
    <definedName name="AutoCAD" localSheetId="6" hidden="0" function="0" vbProcedure="0">[41]!AutoCAD</definedName>
    <definedName name="AutoCAD_1" localSheetId="6" hidden="0" function="0" vbProcedure="0">[73]!AutoCAD</definedName>
    <definedName name="AutoCAD_10" localSheetId="6" hidden="0" function="0" vbProcedure="0">[73]!AutoCAD</definedName>
    <definedName name="AutoCAD_11" localSheetId="6" hidden="0" function="0" vbProcedure="0">[73]!AutoCAD</definedName>
    <definedName name="AutoCAD_2" localSheetId="6" hidden="0" function="0" vbProcedure="0">[73]!AutoCAD</definedName>
    <definedName name="AutoCAD_3" localSheetId="6" hidden="0" function="0" vbProcedure="0">[73]!AutoCAD</definedName>
    <definedName name="AutoCAD_4" localSheetId="6" hidden="0" function="0" vbProcedure="0">[73]!AutoCAD</definedName>
    <definedName name="AutoCAD_5" localSheetId="6" hidden="0" function="0" vbProcedure="0">[73]!AutoCAD</definedName>
    <definedName name="AutoCAD_6" localSheetId="6" hidden="0" function="0" vbProcedure="0">[73]!AutoCAD</definedName>
    <definedName name="AutoCAD_7" localSheetId="6" hidden="0" function="0" vbProcedure="0">[73]!AutoCAD</definedName>
    <definedName name="AutoCAD_8" localSheetId="6" hidden="0" function="0" vbProcedure="0">[73]!AutoCAD</definedName>
    <definedName name="AutoCAD_9" localSheetId="6" hidden="0" function="0" vbProcedure="0">[73]!AutoCAD</definedName>
    <definedName name="Aux_BHA_ID" localSheetId="6" hidden="0" function="0" vbProcedure="0">'[72]Job Calculation Sheet'!$F$20</definedName>
    <definedName name="Aux_BHA_OD" localSheetId="6" hidden="0" function="0" vbProcedure="0">'[72]Job Calculation Sheet'!$E$20</definedName>
    <definedName name="AvgJoint" localSheetId="6" hidden="0" function="0" vbProcedure="0">[43]DATA!$BO$2:$BO$9</definedName>
    <definedName name="AvgLength" localSheetId="6" hidden="0" function="0" vbProcedure="0">'[77]casing talley'!#ref!</definedName>
    <definedName name="axj" localSheetId="6" hidden="1" function="0" vbProcedure="0">{#N/A,#N/A,FALSE,"Sheet1"}</definedName>
    <definedName name="A_L" localSheetId="6" hidden="0" function="0" vbProcedure="0">'[35]12(762mm)套管'!#ref!</definedName>
    <definedName name="b" localSheetId="6" hidden="1" function="0" vbProcedure="0">#REF!</definedName>
    <definedName name="back" localSheetId="6" hidden="0" function="0" vbProcedure="0">'[60]tool backload dt'!back</definedName>
    <definedName name="BallMaterial" localSheetId="6" hidden="0" function="0" vbProcedure="0">[43]DATA!$BL$2:$BL$11</definedName>
    <definedName name="Ballooning_Area" localSheetId="6" hidden="0" function="0" vbProcedure="0">[43]Test!$M$18</definedName>
    <definedName name="Ballseat" localSheetId="6" hidden="0" function="0" vbProcedure="0">[43]DATA!$AG$2:$AG$9</definedName>
    <definedName name="BallSize" localSheetId="6" hidden="0" function="0" vbProcedure="0">[43]DATA!$BF$3:$BF$8</definedName>
    <definedName name="basicok" localSheetId="6" hidden="0" function="0" vbProcedure="0">'JOB ORDER '!basicok</definedName>
    <definedName name="BBB" localSheetId="6" hidden="0" function="0" vbProcedure="0">'[76]DD Worksheet'!$C$1</definedName>
    <definedName name="bbbbb" localSheetId="6" hidden="0" function="0" vbProcedure="0">[80]!Macro61</definedName>
    <definedName name="bbllm3" localSheetId="6" hidden="0" function="0" vbProcedure="0">'[43]Metric Conversions'!$B$69</definedName>
    <definedName name="bblstk" localSheetId="6" hidden="0" function="0" vbProcedure="0">'[43]Displacement Cal.'!$B$7</definedName>
    <definedName name="BD" localSheetId="6" hidden="0" function="0" vbProcedure="0">INDEX([78]DRAW!$A$2:$B$13,MATCH([79]AUTO_DHWS!$AV$15,[78]DRAW!$A$2:$A$13,0),2)</definedName>
    <definedName name="BD_SC" localSheetId="6" hidden="0" function="0" vbProcedure="0">INDEX([78]DRAW!$A$2:$B$13,MATCH([79]AUTO_DHWS!$AV$16,[78]DRAW!$A$2:$A$13,0),2)</definedName>
    <definedName name="BD_TB" localSheetId="6" hidden="0" function="0" vbProcedure="0">INDEX([78]DRAW!$A$2:$B$13,MATCH([79]AUTO_DHWS!$AV$9,[78]DRAW!$A$2:$A$13,0),2)</definedName>
    <definedName name="bgn" localSheetId="6" hidden="1" function="0" vbProcedure="0">{#N/A,#N/A,FALSE,"Sheet1"}</definedName>
    <definedName name="BHT" localSheetId="6" hidden="0" function="0" vbProcedure="0">'[81]Job Technical Info'!$D$42</definedName>
    <definedName name="Bitsize" localSheetId="6" hidden="0" function="0" vbProcedure="0">[43]DATA!$L$2:$L$41</definedName>
    <definedName name="bj_stroke" localSheetId="6" hidden="0" function="0" vbProcedure="0">'[43]Metric Conversions'!$B$35</definedName>
    <definedName name="bj_strokez" localSheetId="6" hidden="0" function="0" vbProcedure="0">'[43]Metric Conversions'!$C$35</definedName>
    <definedName name="BJ_Tens" localSheetId="6" hidden="0" function="0" vbProcedure="0">'[43]Liner Job Info'!$P$45</definedName>
    <definedName name="blanklength" localSheetId="6" hidden="0" function="0" vbProcedure="0">'[6]#REF'!$J$13</definedName>
    <definedName name="blankod" localSheetId="6" hidden="0" function="0" vbProcedure="0">'[6]#REF'!$F$13</definedName>
    <definedName name="BLANK_COVERED_NV" localSheetId="6" hidden="0" function="0" vbProcedure="0">'[6]#REF'!$G$111</definedName>
    <definedName name="BLANK_LENGTH" localSheetId="6" hidden="0" function="0" vbProcedure="0">'[6]#REF'!$J$13</definedName>
    <definedName name="BLANK_OD" localSheetId="6" hidden="0" function="0" vbProcedure="0">'[6]#REF'!$F$13</definedName>
    <definedName name="Block_Field" localSheetId="6" hidden="0" function="0" vbProcedure="0">'[72]Pre-Job Info Sheet'!$D$7</definedName>
    <definedName name="BLock_TD_Wt" localSheetId="6" hidden="0" function="0" vbProcedure="0">'[84]Liner Job Info'!$D$33</definedName>
    <definedName name="Block_Wt" localSheetId="6" hidden="0" function="0" vbProcedure="0">'[43]Weight Calculations'!$H$14</definedName>
    <definedName name="bOB" localSheetId="6" hidden="0" function="0" vbProcedure="0">[85]Volumes!$K$1:$Y$76</definedName>
    <definedName name="BOT" localSheetId="6" hidden="0" function="0" vbProcedure="0">'[81]Job Technical Info'!$A$4</definedName>
    <definedName name="Bottom_Hole_Temp." localSheetId="6" hidden="0" function="0" vbProcedure="0">'[72]Pre-Job Info Sheet'!$B$34</definedName>
    <definedName name="Bottom_Perforation" localSheetId="6" hidden="0" function="0" vbProcedure="0">'[72]Pre-Job Info Sheet'!$B$29</definedName>
    <definedName name="Bottom_Shot" localSheetId="6" hidden="0" function="0" vbProcedure="0">'[72]TCP-BHA'!$H$36</definedName>
    <definedName name="BPLimit" localSheetId="6" hidden="0" function="0" vbProcedure="0">[84]!TubTable[[340]:[438]]</definedName>
    <definedName name="BR_Column" localSheetId="6" hidden="0" function="0" vbProcedure="0">null</definedName>
    <definedName name="BR_Unit" localSheetId="6" hidden="0" function="0" vbProcedure="0">null</definedName>
    <definedName name="bs" localSheetId="6" hidden="0" function="0" vbProcedure="0">'[89]Max-Torq'!$Q$79</definedName>
    <definedName name="bsw" localSheetId="6" hidden="0" function="0" vbProcedure="0">'[94]well test sheet'!#ref!</definedName>
    <definedName name="Budget_owner" localSheetId="6" hidden="0" function="0" vbProcedure="0">'[69]well specification'!#ref!</definedName>
    <definedName name="Buoy_Factor" localSheetId="6" hidden="0" function="0" vbProcedure="0">'[84]Liner Job Info'!$D$32</definedName>
    <definedName name="bxf" localSheetId="6" hidden="0" function="0" vbProcedure="0">'[89]Max-Torq'!$P$62</definedName>
    <definedName name="BypassRate" localSheetId="6" hidden="0" function="0" vbProcedure="0">[84]!TubTable[[340]:[438]]</definedName>
    <definedName name="Ca" localSheetId="6" hidden="1" function="0" vbProcedure="0">{#N/A,#N/A,FALSE,"Drlg Param Run 1-1";#N/A,#N/A,FALSE,"DDR (3)";#N/A,#N/A,FALSE,"BHA AT (1)";#N/A,#N/A,FALSE,"Downlinkbha";#N/A,#N/A,FALSE,"Job Status Report"}</definedName>
    <definedName name="CABLE2_1" localSheetId="6" hidden="0" function="0" vbProcedure="0">INDEX([78]DRAW!$L$52:$M$54,MATCH([79]AUTO_DHWS!$AY$8,[78]DRAW!$L$52:$L$54,0),2)</definedName>
    <definedName name="CABLE2_2" localSheetId="6" hidden="0" function="0" vbProcedure="0">INDEX([78]DRAW!$L$52:$M$56,MATCH([79]AUTO_DHWS!$AY$9,[78]DRAW!$L$52:$L$56,0),2)</definedName>
    <definedName name="CABLE_1" localSheetId="6" hidden="0" function="0" vbProcedure="0">INDEX([78]DRAW!$L$52:$M$53,MATCH([79]AUTO_DHWS!$AY$4,[78]DRAW!$L$52:$L$53,0),2)</definedName>
    <definedName name="CABLE_2" localSheetId="6" hidden="0" function="0" vbProcedure="0">INDEX([78]DRAW!$L$52:$M$56,MATCH([79]AUTO_DHWS!$AY$5,[78]DRAW!$L$52:$L$56,0),2)</definedName>
    <definedName name="CABLE_3" localSheetId="6" hidden="0" function="0" vbProcedure="0">INDEX([78]DRAW!$M$57:$N$63,MATCH([79]AUTO_DHWS!$AY$6,[78]DRAW!$M$57:$M$63,0),2)</definedName>
    <definedName name="CalculatePipe" localSheetId="6" hidden="0" function="0" vbProcedure="0">[71]!Calculate_Pipe</definedName>
    <definedName name="Calculate_Pipe" localSheetId="6" hidden="0" function="0" vbProcedure="0">[97]!Calculate_Pipe</definedName>
    <definedName name="Cancel" localSheetId="6" hidden="0" function="0" vbProcedure="0">[98]!Cancel</definedName>
    <definedName name="Capacities" localSheetId="6" hidden="0" function="0" vbProcedure="0">'[96]Kill Sheet - Horizontal'!$T$8,'[96]Kill Sheet - Horizontal'!$T$10,'[96]Kill Sheet - Horizontal'!$T$12,'[96]Kill Sheet - Horizontal'!$T$14:$U$15,'[96]Kill Sheet - Horizontal'!$AH$8,'[96]Kill Sheet - Horizontal'!$AH$10,'[96]Kill Sheet - Horizontal'!$AH$12:$AI$15,'[96]Kill Sheet - Horizontal'!$F$35,'[96]Kill Sheet - Horizontal'!$F$37</definedName>
    <definedName name="CAP_XO_PORT" localSheetId="6" hidden="0" function="0" vbProcedure="0">'[6]#REF'!$G$188</definedName>
    <definedName name="CARRIER_FL_WT" localSheetId="6" hidden="0" function="0" vbProcedure="0">'[6]#REF'!$F$67</definedName>
    <definedName name="CARR_FL_VISCOSITY" localSheetId="6" hidden="0" function="0" vbProcedure="0">'[6]#REF'!$I$106</definedName>
    <definedName name="CARR_FL_VOL_PREPACK" localSheetId="6" hidden="0" function="0" vbProcedure="0">'[6]#REF'!$F$47</definedName>
    <definedName name="Carr_fl_wt_prepack" localSheetId="6" hidden="0" function="0" vbProcedure="0">'[6]#REF'!$F$46</definedName>
    <definedName name="casingcolumn" localSheetId="6" hidden="0" function="0" vbProcedure="0">[62]Data!$J$17</definedName>
    <definedName name="casingid" localSheetId="6" hidden="0" function="0" vbProcedure="0">'[6]#REF'!$H$11</definedName>
    <definedName name="casingidref" localSheetId="6" hidden="0" function="0" vbProcedure="0">[62]Data!$GC$1</definedName>
    <definedName name="casinginfuserate" localSheetId="6" hidden="0" function="0" vbProcedure="0">'[6]#REF'!$K$50</definedName>
    <definedName name="casingliner" localSheetId="6" hidden="0" function="0" vbProcedure="0">[62]Data!$E$45</definedName>
    <definedName name="casingod" localSheetId="6" hidden="0" function="0" vbProcedure="0">'[6]#REF'!$F$11</definedName>
    <definedName name="CasingSize" localSheetId="6" hidden="0" function="0" vbProcedure="0">'[58]Well Installation Drawing'!$E$15</definedName>
    <definedName name="CasingWeight" localSheetId="6" hidden="0" function="0" vbProcedure="0">'[58]Well Installation Drawing'!$G$15</definedName>
    <definedName name="casingwt" localSheetId="6" hidden="0" function="0" vbProcedure="0">'[6]#REF'!$J$11</definedName>
    <definedName name="Casing_Collapsez" localSheetId="6" hidden="0" function="0" vbProcedure="0">'[43]Liner Job Info'!$J$14</definedName>
    <definedName name="Casing_I.D." localSheetId="6" hidden="0" function="0" vbProcedure="0">'[72]Job Calculation Sheet'!$F$13</definedName>
    <definedName name="Casing_Liner" localSheetId="6" hidden="0" function="0" vbProcedure="0">'[81]Installation Results #1'!$C$27</definedName>
    <definedName name="Casing_Size" localSheetId="6" hidden="0" function="0" vbProcedure="0">'[72]Pre-Job Info Sheet'!$D$15</definedName>
    <definedName name="Casing_Size_Weight" localSheetId="6" hidden="0" function="0" vbProcedure="0">'[72]TCP-BHA'!$I$5</definedName>
    <definedName name="Casing_Weight" localSheetId="6" hidden="0" function="0" vbProcedure="0">'[72]Pre-Job Info Sheet'!$D$16</definedName>
    <definedName name="CAS_BLNK_ANNULUS" localSheetId="6" hidden="0" function="0" vbProcedure="0">'[6]#REF'!$I$108</definedName>
    <definedName name="CAS_BLNK_VOL" localSheetId="6" hidden="0" function="0" vbProcedure="0">'[6]#ref'!#ref!</definedName>
    <definedName name="CAS_EXT_VOL" localSheetId="6" hidden="0" function="0" vbProcedure="0">'[6]#ref'!#ref!</definedName>
    <definedName name="CAS_ID" localSheetId="6" hidden="0" function="0" vbProcedure="0">'[6]#REF'!$H$11</definedName>
    <definedName name="CAS_OD" localSheetId="6" hidden="0" function="0" vbProcedure="0">'[6]#REF'!$J$11</definedName>
    <definedName name="CAS_SCR_VOL" localSheetId="6" hidden="0" function="0" vbProcedure="0">'[6]#ref'!#ref!</definedName>
    <definedName name="CAS_WT" localSheetId="6" hidden="0" function="0" vbProcedure="0">'[6]#REF'!$J$11</definedName>
    <definedName name="category" localSheetId="6" hidden="0" function="0" vbProcedure="0">[101]Sheet2!$A$70:$A$73</definedName>
    <definedName name="Cc" localSheetId="6" hidden="0" function="0" vbProcedure="0">0.3</definedName>
    <definedName name="ccc" localSheetId="6" hidden="0" function="0" vbProcedure="0">[37]钻井日报表!$I$7</definedName>
    <definedName name="ccccc" localSheetId="6" hidden="0" function="0" vbProcedure="0">[80]!Macro59</definedName>
    <definedName name="cdr" localSheetId="6" hidden="0" function="0" vbProcedure="0">'[94]well test sheet'!#ref!</definedName>
    <definedName name="CDWimdbase" localSheetId="6" hidden="0" function="0" vbProcedure="0">'[103]CD''s'!$A$2:$G$374</definedName>
    <definedName name="CementCompany" localSheetId="6" hidden="0" function="0" vbProcedure="0">[43]DATA!$BJ$2:$BJ$8</definedName>
    <definedName name="CENG" localSheetId="6" hidden="0" function="0" vbProcedure="0">[105]Reference!$A$2:$A$4</definedName>
    <definedName name="Centralizers" localSheetId="6" hidden="0" function="0" vbProcedure="0">[43]DATA!$AI$2:$AI$9</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emmac" localSheetId="6" hidden="0" function="0" vbProcedure="0">'[60]tool backload dt'!chemmac</definedName>
    <definedName name="cim" localSheetId="6" hidden="0" function="0" vbProcedure="0">[112]!Calculate_Pipe</definedName>
    <definedName name="CIPMACRO.n2foam" localSheetId="6" hidden="0" function="0" vbProcedure="0">'[60]tool backload dt'!cipmacro.n2foam</definedName>
    <definedName name="CIR_RATE_RESTRESS" localSheetId="6" hidden="0" function="0" vbProcedure="0">'[6]#REF'!$I$109</definedName>
    <definedName name="CIV" localSheetId="6" hidden="0" function="0" vbProcedure="0">INDEX([78]DRAW!$A$2:$B$13,MATCH([79]AUTO_DHWS!$AV$10,[78]DRAW!$A$2:$A$13,0),2)</definedName>
    <definedName name="CIV_2" localSheetId="6" hidden="0" function="0" vbProcedure="0">INDEX([78]DRAW!$A$2:$B$14,MATCH([79]AUTO_DHWS!$AV$14,[78]DRAW!$A$2:$A$13,0),2)</definedName>
    <definedName name="CIV_PDHG" localSheetId="6" hidden="0" function="0" vbProcedure="0">INDEX([78]DRAW!$A$2:$B$13,MATCH([79]AUTO_DHWS!$AV$11,[78]DRAW!$A$2:$A$13,0),2)</definedName>
    <definedName name="CLAMPON" localSheetId="6" hidden="0" function="0" vbProcedure="0">[54]!CLAMPON</definedName>
    <definedName name="CLEARCONTENTS" localSheetId="6" hidden="0" function="0" vbProcedure="0">[115]!CLEARCONTENTS</definedName>
    <definedName name="CLFluid1" localSheetId="6" hidden="0" function="0" vbProcedure="0">'[81]Installation Results #1'!$E$270</definedName>
    <definedName name="CLFluid10" localSheetId="6" hidden="0" function="0" vbProcedure="0">'[81]Installation Results #1'!$E$279</definedName>
    <definedName name="CLFluid11" localSheetId="6" hidden="0" function="0" vbProcedure="0">'[81]Installation Results #1'!$E$280</definedName>
    <definedName name="CLFluid12" localSheetId="6" hidden="0" function="0" vbProcedure="0">'[81]Installation Results #1'!$E$281</definedName>
    <definedName name="CLFluid13" localSheetId="6" hidden="0" function="0" vbProcedure="0">'[81]Installation Results #1'!$E$282</definedName>
    <definedName name="CLFluid14" localSheetId="6" hidden="0" function="0" vbProcedure="0">'[81]Installation Results #1'!$E$283</definedName>
    <definedName name="CLFluid15" localSheetId="6" hidden="0" function="0" vbProcedure="0">'[81]Installation Results #1'!$E$284</definedName>
    <definedName name="CLFluid2" localSheetId="6" hidden="0" function="0" vbProcedure="0">'[81]Installation Results #1'!$E$271</definedName>
    <definedName name="CLFluid3" localSheetId="6" hidden="0" function="0" vbProcedure="0">'[81]Installation Results #1'!$E$272</definedName>
    <definedName name="CLFluid4" localSheetId="6" hidden="0" function="0" vbProcedure="0">'[81]Installation Results #1'!$E$273</definedName>
    <definedName name="CLFluid5" localSheetId="6" hidden="0" function="0" vbProcedure="0">'[81]Installation Results #1'!$E$274</definedName>
    <definedName name="CLFluid6" localSheetId="6" hidden="0" function="0" vbProcedure="0">'[81]Installation Results #1'!$E$275</definedName>
    <definedName name="CLFluid7" localSheetId="6" hidden="0" function="0" vbProcedure="0">'[81]Installation Results #1'!$E$276</definedName>
    <definedName name="CLFluid8" localSheetId="6" hidden="0" function="0" vbProcedure="0">'[81]Installation Results #1'!$E$277</definedName>
    <definedName name="CLFluid9" localSheetId="6" hidden="0" function="0" vbProcedure="0">'[81]Installation Results #1'!$E$278</definedName>
    <definedName name="Clist" localSheetId="6" hidden="0" function="0" vbProcedure="0">OFFSET(INDIRECT(ADDRESS(MATCH('JOB ORDER '!CL_Wt,'JOB ORDER '!Objects,0)+1,2,,,"Casing Info")),0,1,COUNTIF('JOB ORDER '!Objects,'JOB ORDER '!CL_Wt),1)</definedName>
    <definedName name="CL_Wt" localSheetId="6" hidden="0" function="0" vbProcedure="0">'[43]Database Pg1'!$E$28</definedName>
    <definedName name="Objects" localSheetId="6" hidden="0" function="0" vbProcedure="0">'[43]Casing Info'!$B$2:$B$241</definedName>
    <definedName name="Clist2" localSheetId="6" hidden="0" function="0" vbProcedure="0">OFFSET(INDIRECT(ADDRESS(MATCH('JOB ORDER '!Hsize2,'JOB ORDER '!Objects,0)+1,2,,,"Casing Info")),0,1,COUNTIF('JOB ORDER '!Objects,'JOB ORDER '!Hsize2),1)</definedName>
    <definedName name="Hsize2" localSheetId="6" hidden="0" function="0" vbProcedure="0">'[43]Database Pg1'!$G$81</definedName>
    <definedName name="Clist3" localSheetId="6" hidden="0" function="0" vbProcedure="0">OFFSET(INDIRECT(ADDRESS(MATCH('JOB ORDER '!Hsize3,'JOB ORDER '!Objects,0)+1,2,,,"Casing Info")),0,1,COUNTIF('JOB ORDER '!Objects,'JOB ORDER '!Hsize3),1)</definedName>
    <definedName name="Hsize3" localSheetId="6" hidden="0" function="0" vbProcedure="0">'[43]Database Pg1'!$G$83</definedName>
    <definedName name="Clrmess" localSheetId="6" hidden="0" function="0" vbProcedure="0">[115]!Clrmess</definedName>
    <definedName name="CO2_" localSheetId="6" hidden="0" function="0" vbProcedure="0">'[81]Job Technical Info'!$L$42</definedName>
    <definedName name="CODELIST" localSheetId="6" hidden="0" function="0" vbProcedure="0">'[113]CODE SIN'!$A$3:$A$240</definedName>
    <definedName name="CODETAB" localSheetId="6" hidden="0" function="0" vbProcedure="0">'[113]CODE SIN'!$C$3:$AD$240</definedName>
    <definedName name="coections" localSheetId="6" hidden="0" function="0" vbProcedure="0">'JOB ORDER '!coections</definedName>
    <definedName name="COMP" localSheetId="6" hidden="0" function="0" vbProcedure="0">#REF!</definedName>
    <definedName name="company" localSheetId="6" hidden="0" function="0" vbProcedure="0">'[115]CPS Call Sheet'!$E$4</definedName>
    <definedName name="Company_Man" localSheetId="6" hidden="0" function="0" vbProcedure="0">'[116]Liner Job Info'!$E$7</definedName>
    <definedName name="Company_Name" localSheetId="6" hidden="0" function="0" vbProcedure="0">'[117]Liner Job Info'!$E$4</definedName>
    <definedName name="compfluidwt" localSheetId="6" hidden="0" function="0" vbProcedure="0">'[6]#REF'!$L$27</definedName>
    <definedName name="Compl._Fluid_Type" localSheetId="6" hidden="0" function="0" vbProcedure="0">'[72]Pre-Job Info Sheet'!$D$32</definedName>
    <definedName name="Compl._Fluid_Wt." localSheetId="6" hidden="0" function="0" vbProcedure="0">'[72]Pre-Job Info Sheet'!$D$33</definedName>
    <definedName name="COMPL_FL_VOL" localSheetId="6" hidden="0" function="0" vbProcedure="0">'[6]#REF'!$F$68</definedName>
    <definedName name="COMPL_FL_WT" localSheetId="6" hidden="0" function="0" vbProcedure="0">'[6]#REF'!$K$27</definedName>
    <definedName name="conections" localSheetId="6" hidden="0" function="0" vbProcedure="0">'JOB ORDER '!conections</definedName>
    <definedName name="Conflict1" localSheetId="6" hidden="1" function="0" vbProcedure="0">{#N/A,#N/A,FALSE,"Drlg Param Run 1-1";#N/A,#N/A,FALSE,"DDR (3)";#N/A,#N/A,FALSE,"BHA AT (1)";#N/A,#N/A,FALSE,"Downlinkbha";#N/A,#N/A,FALSE,"Job Status Report"}</definedName>
    <definedName name="conref" localSheetId="6" hidden="0" function="0" vbProcedure="0">[30]Price!$A$1:$A$65536</definedName>
    <definedName name="consequence" localSheetId="6" hidden="0" function="0" vbProcedure="0">[119]Sheet2!$A$1:$A$5</definedName>
    <definedName name="contract" localSheetId="6" hidden="0" function="0" vbProcedure="0">'[122]Call Sheet'!$E$3</definedName>
    <definedName name="contractnum" localSheetId="6" hidden="0" function="0" vbProcedure="0">'[30]data '!#ref!</definedName>
    <definedName name="contractor" localSheetId="6" hidden="0" function="0" vbProcedure="0">'[122]Call Sheet'!$E$6</definedName>
    <definedName name="Coordinator" localSheetId="6" hidden="0" function="0" vbProcedure="0">'[81]Job Technical Info'!$G$10</definedName>
    <definedName name="COPYDESGN" localSheetId="6" hidden="0" function="0" vbProcedure="0">[54]!COPYDESGN</definedName>
    <definedName name="CoRep" localSheetId="6" hidden="0" function="0" vbProcedure="0">'[81]Job Technical Info'!$C$16</definedName>
    <definedName name="corrlist2" localSheetId="6" hidden="0" function="0" vbProcedure="0">OFFSET(INDIRECT(ADDRESS(MATCH('JOB ORDER '!Hsize2,'JOB ORDER '!Objects,0)+1,2,,,"Casing Info")),0,1,COUNTIF('JOB ORDER '!Objects,[73]!Liner1_OD),1)</definedName>
    <definedName name="corrlist4" localSheetId="6" hidden="0" function="0" vbProcedure="0">OFFSET(INDIRECT(ADDRESS(MATCH('JOB ORDER '!Hanger_Size,'JOB ORDER '!Objects,0)+1,2,,,"Casing Info")),0,1,COUNTIF('JOB ORDER '!Objects, 'JOB ORDER '!Hanger_Size),1)</definedName>
    <definedName name="Hanger_Size" localSheetId="6" hidden="0" function="0" vbProcedure="0">'[43]Database Pg1'!$G$79</definedName>
    <definedName name="Cotry" localSheetId="6" hidden="0" function="0" vbProcedure="0">'[43]Liner Job Info'!$E$10</definedName>
    <definedName name="Countries" localSheetId="6" hidden="0" function="0" vbProcedure="0">[43]DATA!$BR$1:$BR$196</definedName>
    <definedName name="COUNTRY" localSheetId="6" hidden="0" function="0" vbProcedure="0">'[125]Master data'!$A$2:$A$239</definedName>
    <definedName name="county" localSheetId="6" hidden="0" function="0" vbProcedure="0">'[115]CPS Call Sheet'!$P$7</definedName>
    <definedName name="Crack_DH" localSheetId="6" hidden="0" function="0" vbProcedure="0">'[72]Tester Valve Calcs'!$F$31</definedName>
    <definedName name="Crack_Press" localSheetId="6" hidden="0" function="0" vbProcedure="0">'[72]Tester Valve Calcs'!$F$13</definedName>
    <definedName name="crs" localSheetId="6" hidden="0" function="0" vbProcedure="0">[127]RSS!$E$199:$E$205</definedName>
    <definedName name="CRS_FLOAT_VALVE" localSheetId="6" hidden="0" function="0" vbProcedure="0">[129]RSS!$O$177:$O$180</definedName>
    <definedName name="CRS_FLOW_KIT" localSheetId="6" hidden="0" function="0" vbProcedure="0">[129]RSS!$E$181:$E$184</definedName>
    <definedName name="CRS_STAB" localSheetId="6" hidden="0" function="0" vbProcedure="0">[129]RSS!$E$191:$E$197</definedName>
    <definedName name="Csg" localSheetId="6" hidden="0" function="0" vbProcedure="0">[18]Sheet1!$G$1:$G$3</definedName>
    <definedName name="CsgDrift1" localSheetId="6" hidden="0" function="0" vbProcedure="0">'[81]Job Technical Info'!$G$25</definedName>
    <definedName name="CsgDrift2" localSheetId="6" hidden="0" function="0" vbProcedure="0">'[81]Job Technical Info'!$G$26</definedName>
    <definedName name="CsgDrift3" localSheetId="6" hidden="0" function="0" vbProcedure="0">'[81]Job Technical Info'!$G$27</definedName>
    <definedName name="CsgDrift4" localSheetId="6" hidden="0" function="0" vbProcedure="0">'[81]Job Technical Info'!$G$28</definedName>
    <definedName name="CsgGrd1" localSheetId="6" hidden="0" function="0" vbProcedure="0">'[81]Job Technical Info'!$H$25</definedName>
    <definedName name="CsgGrd2" localSheetId="6" hidden="0" function="0" vbProcedure="0">'[81]Job Technical Info'!$H$26</definedName>
    <definedName name="CsgGrd3" localSheetId="6" hidden="0" function="0" vbProcedure="0">'[81]Job Technical Info'!$H$27</definedName>
    <definedName name="CsgGrd4" localSheetId="6" hidden="0" function="0" vbProcedure="0">'[81]Job Technical Info'!$H$28</definedName>
    <definedName name="CsgID1" localSheetId="6" hidden="0" function="0" vbProcedure="0">'[81]Job Technical Info'!$F$25</definedName>
    <definedName name="CsgID2" localSheetId="6" hidden="0" function="0" vbProcedure="0">'[81]Job Technical Info'!$F$26</definedName>
    <definedName name="CsgID3" localSheetId="6" hidden="0" function="0" vbProcedure="0">'[81]Job Technical Info'!$F$27</definedName>
    <definedName name="CsgID4" localSheetId="6" hidden="0" function="0" vbProcedure="0">'[81]Job Technical Info'!$F$28</definedName>
    <definedName name="CsgSz1" localSheetId="6" hidden="0" function="0" vbProcedure="0">'[81]Job Technical Info'!$D$25</definedName>
    <definedName name="CsgSz2" localSheetId="6" hidden="0" function="0" vbProcedure="0">'[81]Job Technical Info'!$D$26</definedName>
    <definedName name="CsgSz3" localSheetId="6" hidden="0" function="0" vbProcedure="0">'[81]Job Technical Info'!$D$27</definedName>
    <definedName name="CsgSz4" localSheetId="6" hidden="0" function="0" vbProcedure="0">'[81]Job Technical Info'!$D$28</definedName>
    <definedName name="CsgThd1" localSheetId="6" hidden="0" function="0" vbProcedure="0">'[81]Job Technical Info'!$J$25</definedName>
    <definedName name="CsgThd2" localSheetId="6" hidden="0" function="0" vbProcedure="0">'[81]Job Technical Info'!$J$26</definedName>
    <definedName name="CsgThd3" localSheetId="6" hidden="0" function="0" vbProcedure="0">'[81]Job Technical Info'!$J$27</definedName>
    <definedName name="CsgThd4" localSheetId="6" hidden="0" function="0" vbProcedure="0">'[81]Job Technical Info'!$J$28</definedName>
    <definedName name="CsgWt" localSheetId="6" hidden="0" function="0" vbProcedure="0">[18]Sheet1!$H$1:$H$10</definedName>
    <definedName name="CsgWt1" localSheetId="6" hidden="0" function="0" vbProcedure="0">'[81]Job Technical Info'!$E$25</definedName>
    <definedName name="CsgWt2" localSheetId="6" hidden="0" function="0" vbProcedure="0">'[81]Job Technical Info'!$E$26</definedName>
    <definedName name="CsgWt3" localSheetId="6" hidden="0" function="0" vbProcedure="0">'[81]Job Technical Info'!$E$27</definedName>
    <definedName name="CsgWt4" localSheetId="6" hidden="0" function="0" vbProcedure="0">'[81]Job Technical Info'!$E$28</definedName>
    <definedName name="Csg_Bst" localSheetId="6" hidden="0" function="0" vbProcedure="0">'[43]Metric Conversions'!$B$43</definedName>
    <definedName name="Csg_Burstz" localSheetId="6" hidden="0" function="0" vbProcedure="0">'[43]Liner Job Info'!$H$14</definedName>
    <definedName name="Csg_Dft" localSheetId="6" hidden="0" function="0" vbProcedure="0">'[43]Liner Job Info'!$L$14</definedName>
    <definedName name="CSG_DPTH" localSheetId="6" hidden="0" function="0" vbProcedure="0">'[131]Metric Conversions'!$B$15</definedName>
    <definedName name="CSG_DPTHz" localSheetId="6" hidden="0" function="0" vbProcedure="0">'[43]Liner Job Info'!$P$14</definedName>
    <definedName name="CSG_Grd" localSheetId="6" hidden="0" function="0" vbProcedure="0">'[131]Liner Job Info'!$D$14</definedName>
    <definedName name="CSG_ID" localSheetId="6" hidden="0" function="0" vbProcedure="0">'[43]Liner Job Info'!$B$14</definedName>
    <definedName name="CSG_ID_Area" localSheetId="6" hidden="0" function="0" vbProcedure="0">[43]Test!$Z$39</definedName>
    <definedName name="CSG_MYS" localSheetId="6" hidden="0" function="0" vbProcedure="0">[132]DATA!$J$3:$J$22</definedName>
    <definedName name="CSG_OD" localSheetId="6" hidden="0" function="0" vbProcedure="0">'[131]Liner Job Info'!$A$14</definedName>
    <definedName name="CSG_Thread" localSheetId="6" hidden="0" function="0" vbProcedure="0">'[131]Liner Job Info'!$E$14</definedName>
    <definedName name="Csg_Wt" localSheetId="6" hidden="0" function="0" vbProcedure="0">'[131]Liner Job Info'!$C$14</definedName>
    <definedName name="CsShoeDepth" localSheetId="6" hidden="0" function="0" vbProcedure="0">'[81]Job Technical Info'!$F$40</definedName>
    <definedName name="CU.FT." localSheetId="6" hidden="0" function="0" vbProcedure="0">'[6]#REF'!$E$23</definedName>
    <definedName name="currency" localSheetId="6" hidden="0" function="0" vbProcedure="0">[52]data!#ref!</definedName>
    <definedName name="Customer" localSheetId="6" hidden="0" function="0" vbProcedure="0">'[81]Job Technical Info'!$C$12</definedName>
    <definedName name="customer1" localSheetId="6" hidden="0" function="0" vbProcedure="0">[50]Data!$A$1:$A$65536</definedName>
    <definedName name="Customer2" localSheetId="6" hidden="0" function="0" vbProcedure="0">[50]Data!$B$1:$B$65536</definedName>
    <definedName name="CustomerName" localSheetId="6" hidden="0" function="0" vbProcedure="0">'[137]job info sheet'!#ref!</definedName>
    <definedName name="customerrep" localSheetId="6" hidden="0" function="0" vbProcedure="0">'[6]#REF'!$E$6</definedName>
    <definedName name="Cyl_Yield" localSheetId="6" hidden="0" function="0" vbProcedure="0">'[45]liner job info'!#ref!</definedName>
    <definedName name="d" localSheetId="6" hidden="0" function="0" vbProcedure="0">'[1]run sheet'!#ref!</definedName>
    <definedName name="DAADA" localSheetId="6" hidden="0" function="0" vbProcedure="0">[112]!Calculate_Pipe</definedName>
    <definedName name="DAD" localSheetId="6" hidden="0" function="0" vbProcedure="0">'[140]tally checklist'!dad</definedName>
    <definedName name="DADAA" localSheetId="6" hidden="0" function="0" vbProcedure="0">'[140]tally checklist'!dadaa</definedName>
    <definedName name="DAEFF" localSheetId="6" hidden="0" function="0" vbProcedure="0">'[140]tally checklist'!daeff</definedName>
    <definedName name="DAPage" localSheetId="6" hidden="0" function="0" vbProcedure="0">'[81]Data Acq. Results'!$S$5</definedName>
    <definedName name="data1" localSheetId="6" hidden="0" function="0" vbProcedure="0">#REF!</definedName>
    <definedName name="DC" localSheetId="6" hidden="0" function="0" vbProcedure="0">'[55]7-30-04'!$GO$7457</definedName>
    <definedName name="dd" localSheetId="6" hidden="0" function="0" vbProcedure="0">null</definedName>
    <definedName name="dddd" localSheetId="6" hidden="0" function="0" vbProcedure="0">[143]试油成果记录!#REF!</definedName>
    <definedName name="decdhm" localSheetId="6" hidden="0" function="0" vbProcedure="0">'[141]Personal Expense Dec-95 (MH)'!$K$5</definedName>
    <definedName name="decdlr" localSheetId="6" hidden="0" function="0" vbProcedure="0">'[141]Personal Expense Dec-95 (MH)'!$H$5</definedName>
    <definedName name="decfrc" localSheetId="6" hidden="0" function="0" vbProcedure="0">'[141]Personal Expense Dec-95 (MH)'!$I$5</definedName>
    <definedName name="decpnd" localSheetId="6" hidden="0" function="0" vbProcedure="0">'[141]Personal Expense Dec-95 (MH)'!$G$5</definedName>
    <definedName name="decrl" localSheetId="6" hidden="0" function="0" vbProcedure="0">'[141]Personal Expense Dec-95 (MH)'!$J$5</definedName>
    <definedName name="decrup" localSheetId="6" hidden="0" function="0" vbProcedure="0">'[141]Personal Expense Dec-95 (MH)'!$L$5</definedName>
    <definedName name="decrupees" localSheetId="6" hidden="0" function="0" vbProcedure="0">'[141]Cash Expense December-95'!$H$6</definedName>
    <definedName name="deliveredto" localSheetId="6" hidden="0" function="0" vbProcedure="0">'[30]data '!#ref!</definedName>
    <definedName name="deliverto" localSheetId="6" hidden="0" function="0" vbProcedure="0">[52]data!#ref!</definedName>
    <definedName name="delma" localSheetId="6" hidden="0" function="0" vbProcedure="0">[146]!JointNumber</definedName>
    <definedName name="DENG" localSheetId="6" hidden="0" function="0" vbProcedure="0">[105]Reference!$B$2:$B$12</definedName>
    <definedName name="DEPTH_TAGGED_PREPACK" localSheetId="6" hidden="0" function="0" vbProcedure="0">'[6]#REF'!$F$80</definedName>
    <definedName name="DEQ" localSheetId="6" hidden="0" function="0" vbProcedure="0">'[140]tally checklist'!deq</definedName>
    <definedName name="Desired_Set_Down" localSheetId="6" hidden="0" function="0" vbProcedure="0">'[72]Packer Calculation Sheet'!$G$47</definedName>
    <definedName name="Dev" localSheetId="6" hidden="0" function="0" vbProcedure="0">'[43]Liner Job Info'!$D$30</definedName>
    <definedName name="DEVIATION" localSheetId="6" hidden="0" function="0" vbProcedure="0">'[6]#REF'!$F$24</definedName>
    <definedName name="dftg" localSheetId="6" hidden="0" function="0" vbProcedure="0">'[145]井口装置示意图-4'!$E$1:$E$65536</definedName>
    <definedName name="DiameterConversion" localSheetId="6" hidden="0" function="0" vbProcedure="0">[81]Lists!$AD$3</definedName>
    <definedName name="Diff_Across_Ball" localSheetId="6" hidden="0" function="0" vbProcedure="0">'[72]Tester Valve Calcs'!$F$30</definedName>
    <definedName name="Disp._Fluid_Type" localSheetId="6" hidden="0" function="0" vbProcedure="0">'[72]Pre-Job Info Sheet'!$D$37</definedName>
    <definedName name="Disp._Fluid_Weight" localSheetId="6" hidden="0" function="0" vbProcedure="0">'[72]Pre-Job Info Sheet'!$D$38</definedName>
    <definedName name="Displacement" localSheetId="6" hidden="0" function="0" vbProcedure="0">[43]DATA!$AJ$2:$AJ$12</definedName>
    <definedName name="DisplacementMethod" localSheetId="6" hidden="0" function="0" vbProcedure="0">[43]DATA!$AS$2:$AS$4</definedName>
    <definedName name="Disp_Fluid_Wt" localSheetId="6" hidden="0" function="0" vbProcedure="0">'[72]Job Calculation Sheet'!$D$30</definedName>
    <definedName name="District" localSheetId="6" hidden="0" function="0" vbProcedure="0">'[84]Liner Job Info'!$O$4</definedName>
    <definedName name="DistrictPh" localSheetId="6" hidden="0" function="0" vbProcedure="0">'[81]Job Technical Info'!$G$11</definedName>
    <definedName name="Districts" localSheetId="6" hidden="0" function="0" vbProcedure="0">[43]DATA!$A$6:$A$437</definedName>
    <definedName name="DIV_MIX_RATIO" localSheetId="6" hidden="0" function="0" vbProcedure="0">'[6]#REF'!$K$55</definedName>
    <definedName name="DL" localSheetId="6" hidden="0" function="0" vbProcedure="0">[63]Piston!$F$21</definedName>
    <definedName name="do" localSheetId="6" hidden="0" function="0" vbProcedure="0">[146]!JointNumber</definedName>
    <definedName name="docNum" localSheetId="6" hidden="0" function="0" vbProcedure="0">[148]Revision_History!$G$6&amp;" "&amp;[148]Revision_History!$H$6</definedName>
    <definedName name="DocTitle" localSheetId="6" hidden="0" function="0" vbProcedure="0">'[81]Job Technical Info'!$C$2</definedName>
    <definedName name="Doc_Rev" localSheetId="6" hidden="0" function="0" vbProcedure="0">'[84]Liner Job Info'!$A$2</definedName>
    <definedName name="DP1_Cap" localSheetId="6" hidden="0" function="0" vbProcedure="0">'[43]Liner Job Info'!$G$22</definedName>
    <definedName name="DP1_conn" localSheetId="6" hidden="0" function="0" vbProcedure="0">'[131]Liner Job Info'!$J$22</definedName>
    <definedName name="DP1_Grd" localSheetId="6" hidden="0" function="0" vbProcedure="0">'[131]Liner Job Info'!$F$22</definedName>
    <definedName name="DP1_ID" localSheetId="6" hidden="0" function="0" vbProcedure="0">'[43]Liner Job Info'!$E$22</definedName>
    <definedName name="DP1_Leng" localSheetId="6" hidden="0" function="0" vbProcedure="0">'[131]Metric Conversions'!$B$20</definedName>
    <definedName name="DP1_Lengz" localSheetId="6" hidden="0" function="0" vbProcedure="0">'[43]Liner Job Info'!$I$22</definedName>
    <definedName name="DP1_MYS" localSheetId="6" hidden="0" function="0" vbProcedure="0">'[43]Liner Job Info'!$AD$31</definedName>
    <definedName name="DP1_OD" localSheetId="6" hidden="0" function="0" vbProcedure="0">'[131]Liner Job Info'!$C$22</definedName>
    <definedName name="DP1_Tens" localSheetId="6" hidden="0" function="0" vbProcedure="0">'[43]Liner Job Info'!$M$22</definedName>
    <definedName name="DP1_Volz" localSheetId="6" hidden="0" function="0" vbProcedure="0">'[43]Metric Conversions'!$C$70</definedName>
    <definedName name="DP1_Wt_inmud" localSheetId="6" hidden="0" function="0" vbProcedure="0">'[43]Weight Calculations'!$H$8</definedName>
    <definedName name="DP1_Wt_Per_Ft" localSheetId="6" hidden="0" function="0" vbProcedure="0">'[131]Liner Job Info'!$D$22</definedName>
    <definedName name="DP1_X_Csg_Volz" localSheetId="6" hidden="0" function="0" vbProcedure="0">'[43]Metric Conversions'!$C$85</definedName>
    <definedName name="DP2_Cap" localSheetId="6" hidden="0" function="0" vbProcedure="0">'[43]Liner Job Info'!$G$23</definedName>
    <definedName name="DP2_conn" localSheetId="6" hidden="0" function="0" vbProcedure="0">'[131]Liner Job Info'!$J$23</definedName>
    <definedName name="DP2_Cross_Sect" localSheetId="6" hidden="0" function="0" vbProcedure="0">'[45]liner job info'!#ref!</definedName>
    <definedName name="DP2_Grd" localSheetId="6" hidden="0" function="0" vbProcedure="0">'[131]Liner Job Info'!$F$23</definedName>
    <definedName name="DP2_ID" localSheetId="6" hidden="0" function="0" vbProcedure="0">'[43]Liner Job Info'!$E$23</definedName>
    <definedName name="DP2_Leng" localSheetId="6" hidden="0" function="0" vbProcedure="0">'[131]Metric Conversions'!$B$21</definedName>
    <definedName name="DP2_Lengz" localSheetId="6" hidden="0" function="0" vbProcedure="0">'[43]Liner Job Info'!$I$23</definedName>
    <definedName name="DP2_MYS" localSheetId="6" hidden="0" function="0" vbProcedure="0">'[43]Liner Job Info'!$AD$32</definedName>
    <definedName name="DP2_OD" localSheetId="6" hidden="0" function="0" vbProcedure="0">'[131]Liner Job Info'!$C$23</definedName>
    <definedName name="DP2_Tens" localSheetId="6" hidden="0" function="0" vbProcedure="0">'[43]Liner Job Info'!$M$23</definedName>
    <definedName name="DP2_Volz" localSheetId="6" hidden="0" function="0" vbProcedure="0">'[43]Metric Conversions'!$C$71</definedName>
    <definedName name="DP2_Wt_inmud" localSheetId="6" hidden="0" function="0" vbProcedure="0">'[43]Weight Calculations'!$H$9</definedName>
    <definedName name="DP2_Wt_Per_Ft" localSheetId="6" hidden="0" function="0" vbProcedure="0">'[131]Liner Job Info'!$D$23</definedName>
    <definedName name="DP2_X_Csg_Volz" localSheetId="6" hidden="0" function="0" vbProcedure="0">'[43]Metric Conversions'!$C$86</definedName>
    <definedName name="DP3_bbl_per_ft" localSheetId="6" hidden="0" function="0" vbProcedure="0">'[45]liner job info'!#ref!</definedName>
    <definedName name="DP3_Cap" localSheetId="6" hidden="0" function="0" vbProcedure="0">'[43]Liner Job Info'!$G$24</definedName>
    <definedName name="DP3_COnn" localSheetId="6" hidden="0" function="0" vbProcedure="0">'[131]Liner Job Info'!$J$24</definedName>
    <definedName name="DP3_Grd" localSheetId="6" hidden="0" function="0" vbProcedure="0">'[131]Liner Job Info'!$F$24</definedName>
    <definedName name="DP3_ID" localSheetId="6" hidden="0" function="0" vbProcedure="0">'[43]Liner Job Info'!$E$24</definedName>
    <definedName name="DP3_Leng" localSheetId="6" hidden="0" function="0" vbProcedure="0">'[131]Metric Conversions'!$B$22</definedName>
    <definedName name="DP3_Lengz" localSheetId="6" hidden="0" function="0" vbProcedure="0">'[43]Liner Job Info'!$I$24</definedName>
    <definedName name="DP3_MYS" localSheetId="6" hidden="0" function="0" vbProcedure="0">'[43]Liner Job Info'!$AD$33</definedName>
    <definedName name="DP3_OD" localSheetId="6" hidden="0" function="0" vbProcedure="0">'[131]Liner Job Info'!$C$24</definedName>
    <definedName name="DP3_Tens" localSheetId="6" hidden="0" function="0" vbProcedure="0">'[43]Liner Job Info'!$M$24</definedName>
    <definedName name="DP3_Volz" localSheetId="6" hidden="0" function="0" vbProcedure="0">'[43]Metric Conversions'!$C$72</definedName>
    <definedName name="DP3_Wt_inmud" localSheetId="6" hidden="0" function="0" vbProcedure="0">'[43]Weight Calculations'!$H$10</definedName>
    <definedName name="DP3_Wt_Per_Ft" localSheetId="6" hidden="0" function="0" vbProcedure="0">'[131]Liner Job Info'!$D$24</definedName>
    <definedName name="DP3_X_Csg_Volz" localSheetId="6" hidden="0" function="0" vbProcedure="0">'[43]Metric Conversions'!$C$87</definedName>
    <definedName name="DP4_Cap" localSheetId="6" hidden="0" function="0" vbProcedure="0">'[43]Liner Job Info'!$G$25</definedName>
    <definedName name="DP4_COnn" localSheetId="6" hidden="0" function="0" vbProcedure="0">'[131]Liner Job Info'!$J$25</definedName>
    <definedName name="DP4_Grd" localSheetId="6" hidden="0" function="0" vbProcedure="0">'[131]Liner Job Info'!$F$25</definedName>
    <definedName name="DP4_ID" localSheetId="6" hidden="0" function="0" vbProcedure="0">'[43]Liner Job Info'!$E$25</definedName>
    <definedName name="DP4_Leng" localSheetId="6" hidden="0" function="0" vbProcedure="0">'[131]Metric Conversions'!$B$23</definedName>
    <definedName name="DP4_Lengz" localSheetId="6" hidden="0" function="0" vbProcedure="0">'[43]Liner Job Info'!$I$25</definedName>
    <definedName name="DP4_MYS" localSheetId="6" hidden="0" function="0" vbProcedure="0">'[43]Liner Job Info'!$AD$34</definedName>
    <definedName name="DP4_OD" localSheetId="6" hidden="0" function="0" vbProcedure="0">'[131]Liner Job Info'!$C$25</definedName>
    <definedName name="DP4_Tens" localSheetId="6" hidden="0" function="0" vbProcedure="0">'[43]Liner Job Info'!$M$25</definedName>
    <definedName name="DP4_Volz" localSheetId="6" hidden="0" function="0" vbProcedure="0">'[43]Metric Conversions'!$C$73</definedName>
    <definedName name="DP4_Wt_inmud" localSheetId="6" hidden="0" function="0" vbProcedure="0">'[43]Weight Calculations'!$H$11</definedName>
    <definedName name="DP4_Wt_Per_Ft" localSheetId="6" hidden="0" function="0" vbProcedure="0">'[131]Liner Job Info'!$D$25</definedName>
    <definedName name="DP4_X_Csg_Volz" localSheetId="6" hidden="0" function="0" vbProcedure="0">'[43]Metric Conversions'!$C$88</definedName>
    <definedName name="DP5_bbl_per_ft" localSheetId="6" hidden="0" function="0" vbProcedure="0">'[43]Liner Job Info'!$AT$73</definedName>
    <definedName name="DP5_COnn" localSheetId="6" hidden="0" function="0" vbProcedure="0">'[131]Liner Job Info'!$J$26</definedName>
    <definedName name="DP5_Grd" localSheetId="6" hidden="0" function="0" vbProcedure="0">'[131]Liner Job Info'!$F$26</definedName>
    <definedName name="DP5_ID" localSheetId="6" hidden="0" function="0" vbProcedure="0">'[43]Liner Job Info'!$E$26</definedName>
    <definedName name="DP5_Leng" localSheetId="6" hidden="0" function="0" vbProcedure="0">'[131]Metric Conversions'!$B$24</definedName>
    <definedName name="DP5_Lengz" localSheetId="6" hidden="0" function="0" vbProcedure="0">'[43]Liner Job Info'!$I$26</definedName>
    <definedName name="DP5_MYS" localSheetId="6" hidden="0" function="0" vbProcedure="0">'[43]Liner Job Info'!$AD$35</definedName>
    <definedName name="DP5_OD" localSheetId="6" hidden="0" function="0" vbProcedure="0">'[131]Liner Job Info'!$C$26</definedName>
    <definedName name="DP5_Tens" localSheetId="6" hidden="0" function="0" vbProcedure="0">'[43]Liner Job Info'!$M$26</definedName>
    <definedName name="DP5_Volz" localSheetId="6" hidden="0" function="0" vbProcedure="0">'[43]Metric Conversions'!$C$74</definedName>
    <definedName name="DP5_Wt_inmud" localSheetId="6" hidden="0" function="0" vbProcedure="0">'[43]Weight Calculations'!$H$12</definedName>
    <definedName name="DP5_Wt_Per_Ft" localSheetId="6" hidden="0" function="0" vbProcedure="0">'[131]Liner Job Info'!$D$26</definedName>
    <definedName name="DP5_X_Csg_Volz" localSheetId="6" hidden="0" function="0" vbProcedure="0">'[43]Metric Conversions'!$C$89</definedName>
    <definedName name="dpdt" localSheetId="6" hidden="0" function="0" vbProcedure="0">'[149]WCT-Ft'!$Q$4:$X$18</definedName>
    <definedName name="DPi" localSheetId="6" hidden="0" function="0" vbProcedure="0">[63]Piston!$F$10</definedName>
    <definedName name="DPia" localSheetId="6" hidden="0" function="0" vbProcedure="0">[63]Balooning!$F$9</definedName>
    <definedName name="DPNumber_35" localSheetId="6" hidden="0" function="0" vbProcedure="0">'[151]DP Length'!$A$3:$A$1000</definedName>
    <definedName name="DPNumber_5" localSheetId="6" hidden="0" function="0" vbProcedure="0">'[151]DP Length'!$C$3:$C$1000</definedName>
    <definedName name="DPo" localSheetId="6" hidden="0" function="0" vbProcedure="0">[63]Piston!$F$11</definedName>
    <definedName name="DPoa" localSheetId="6" hidden="0" function="0" vbProcedure="0">[63]Balooning!$F$10</definedName>
    <definedName name="DPThread" localSheetId="6" hidden="0" function="0" vbProcedure="0">[43]DATA!$AA$44:$AA$94</definedName>
    <definedName name="DPTTL_HYD_LENTH" localSheetId="6" hidden="0" function="0" vbProcedure="0">'[43]Weight Calculations'!$F$46</definedName>
    <definedName name="DP_MYS" localSheetId="6" hidden="0" function="0" vbProcedure="0">[43]DATA!$AB$2:$AB$6</definedName>
    <definedName name="DP_Plus_Block" localSheetId="6" hidden="0" function="0" vbProcedure="0">'[43]Weight Calculations'!$H$15</definedName>
    <definedName name="DP_PSI" localSheetId="6" hidden="0" function="0" vbProcedure="0">'[43]Metric Conversions'!$B$49</definedName>
    <definedName name="DP_PSIz" localSheetId="6" hidden="0" function="0" vbProcedure="0">'[43]Liner Job Info'!$D$35</definedName>
    <definedName name="DP_SF" localSheetId="6" hidden="0" function="0" vbProcedure="0">'[43]Liner Job Info'!$R$27</definedName>
    <definedName name="drawblanks" localSheetId="6" hidden="0" function="0" vbProcedure="0">'[140]tally checklist'!drawblanks</definedName>
    <definedName name="drawlinerfirst" localSheetId="6" hidden="0" function="0" vbProcedure="0">'[140]tally checklist'!drawlinerfirst</definedName>
    <definedName name="drawlinersecond" localSheetId="6" hidden="0" function="0" vbProcedure="0">'[140]tally checklist'!drawlinersecond</definedName>
    <definedName name="drawmiscellaneous" localSheetId="6" hidden="0" function="0" vbProcedure="0">'[140]tally checklist'!drawmiscellaneous</definedName>
    <definedName name="drawproductionfirst" localSheetId="6" hidden="0" function="0" vbProcedure="0">'[140]tally checklist'!drawproductionfirst</definedName>
    <definedName name="drawproductionsecond" localSheetId="6" hidden="0" function="0" vbProcedure="0">'[140]tally checklist'!drawproductionsecond</definedName>
    <definedName name="drawquantum" localSheetId="6" hidden="0" function="0" vbProcedure="0">'[140]tally checklist'!drawquantum</definedName>
    <definedName name="drawscreens" localSheetId="6" hidden="0" function="0" vbProcedure="0">'[140]tally checklist'!drawscreens</definedName>
    <definedName name="drawshearsubs" localSheetId="6" hidden="0" function="0" vbProcedure="0">'[140]tally checklist'!drawshearsubs</definedName>
    <definedName name="drawsump" localSheetId="6" hidden="0" function="0" vbProcedure="0">'[140]tally checklist'!drawsump</definedName>
    <definedName name="draw_blanks" localSheetId="6" hidden="0" function="0" vbProcedure="0">'[140]tally checklist'!draw_blanks</definedName>
    <definedName name="draw_linerfirst" localSheetId="6" hidden="0" function="0" vbProcedure="0">'[140]tally checklist'!draw_linerfirst</definedName>
    <definedName name="draw_linersecond" localSheetId="6" hidden="0" function="0" vbProcedure="0">'[140]tally checklist'!draw_linersecond</definedName>
    <definedName name="draw_miscellaneous" localSheetId="6" hidden="0" function="0" vbProcedure="0">'[140]tally checklist'!draw_miscellaneous</definedName>
    <definedName name="draw_productionfirst" localSheetId="6" hidden="0" function="0" vbProcedure="0">'[140]tally checklist'!draw_productionfirst</definedName>
    <definedName name="draw_productionsecond" localSheetId="6" hidden="0" function="0" vbProcedure="0">'[140]tally checklist'!draw_productionsecond</definedName>
    <definedName name="draw_quantum" localSheetId="6" hidden="0" function="0" vbProcedure="0">'[140]tally checklist'!draw_quantum</definedName>
    <definedName name="draw_screens" localSheetId="6" hidden="0" function="0" vbProcedure="0">'[140]tally checklist'!draw_screens</definedName>
    <definedName name="draw_shearsubs" localSheetId="6" hidden="0" function="0" vbProcedure="0">'[140]tally checklist'!draw_shearsubs</definedName>
    <definedName name="draw_sump" localSheetId="6" hidden="0" function="0" vbProcedure="0">'[140]tally checklist'!draw_sump</definedName>
    <definedName name="DRILLER" localSheetId="6" hidden="0" function="0" vbProcedure="0">#REF!</definedName>
    <definedName name="DRILLER2" localSheetId="6" hidden="0" function="0" vbProcedure="0">[156]!Calculate_Pipe</definedName>
    <definedName name="Drillpipesize" localSheetId="6" hidden="0" function="0" vbProcedure="0">[43]DATA!$X$2:$X$10</definedName>
    <definedName name="Drillpipetype" localSheetId="6" hidden="0" function="0" vbProcedure="0">[43]DATA!$AA$2:$AA$6</definedName>
    <definedName name="Drillpipeweight" localSheetId="6" hidden="0" function="0" vbProcedure="0">[43]DATA!$Z$2:$Z$36</definedName>
    <definedName name="Druckbereich_MI" localSheetId="6" hidden="0" function="0" vbProcedure="0">'[154]Dev-Baker'!$A$1:$J$46</definedName>
    <definedName name="Druckbereich_S3" localSheetId="6" hidden="0" function="0" vbProcedure="0">'[159]run_s.xls'!#ref!</definedName>
    <definedName name="dtr" localSheetId="6" hidden="0" function="0" vbProcedure="0">'[89]Max-Torq'!$P$77</definedName>
    <definedName name="DWS" localSheetId="6" hidden="0" function="0" vbProcedure="0">[78]DWS2023!$A$4:$AD$257</definedName>
    <definedName name="ED" localSheetId="6" hidden="0" function="0" vbProcedure="0">[71]!Calculate_Pipe</definedName>
    <definedName name="edd" localSheetId="6" hidden="0" function="0" vbProcedure="0">[161]!Calculate_Pipe</definedName>
    <definedName name="Eff_Date" localSheetId="6" hidden="0" function="0" vbProcedure="0">'[81]Job Technical Info'!$L$3</definedName>
    <definedName name="EJYETYJEJ" localSheetId="6" hidden="0" function="0" vbProcedure="0">'[140]tally checklist'!ejyetyjej</definedName>
    <definedName name="Element_Rating" localSheetId="6" hidden="0" function="0" vbProcedure="0">'[43]Metric Conversions'!$B$57</definedName>
    <definedName name="Element_Ratingz" localSheetId="6" hidden="0" function="0" vbProcedure="0">'[43]Liner Job Info'!$P$41</definedName>
    <definedName name="equipmenttype" localSheetId="6" hidden="0" function="0" vbProcedure="0">[52]data!#ref!</definedName>
    <definedName name="error" localSheetId="6" hidden="0" function="0" vbProcedure="0">[62]Data!$F$10</definedName>
    <definedName name="ertert" localSheetId="6" hidden="0" function="0" vbProcedure="0">[165]试压!#REF!</definedName>
    <definedName name="ES_pricelist" localSheetId="6" hidden="0" function="0" vbProcedure="0">[163]Pricelist!$A$8:$B$18</definedName>
    <definedName name="ex" localSheetId="6" hidden="0" function="0" vbProcedure="0">[146]!JointNumber</definedName>
    <definedName name="Expected_Job_Date" localSheetId="6" hidden="0" function="0" vbProcedure="0">'[72]Pre-Job Info Sheet'!$D$5</definedName>
    <definedName name="Explosive_Type" localSheetId="6" hidden="0" function="0" vbProcedure="0">'[72]TCP-BHA'!$E$7</definedName>
    <definedName name="EXP_1" localSheetId="6" hidden="0" function="0" vbProcedure="0">INDEX([78]DRAW!$A$2:$B$13,MATCH([79]AUTO_DHWS!$AV$7,[78]DRAW!$A$2:$A$13,0),2)</definedName>
    <definedName name="EXT_LENGTH" localSheetId="6" hidden="0" function="0" vbProcedure="0">'[6]#ref'!#ref!</definedName>
    <definedName name="F" localSheetId="6" hidden="0" function="0" vbProcedure="0">[166]Parts!$A$1:$I$65536</definedName>
    <definedName name="FB" localSheetId="6" hidden="0" function="0" vbProcedure="0">[171]!Calculate_Pipe</definedName>
    <definedName name="fdg" localSheetId="6" hidden="0" function="0" vbProcedure="0">[37]钻井日报表!$G$7</definedName>
    <definedName name="februpees" localSheetId="6" hidden="0" function="0" vbProcedure="0">'[170]Cash Expense March-96'!$H$6</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6" hidden="0" function="0" vbProcedure="0">'[140]tally checklist'!fewfw</definedName>
    <definedName name="fff" localSheetId="6" hidden="0" function="0" vbProcedure="0">'[140]tally checklist'!fff</definedName>
    <definedName name="ffff" localSheetId="6" hidden="0" function="0" vbProcedure="0">[175]!Prev.Macro113</definedName>
    <definedName name="final" localSheetId="6" hidden="0" function="0" vbProcedure="0">[146]!JointNumber</definedName>
    <definedName name="FJNDEF" localSheetId="6" hidden="0" function="0" vbProcedure="0">'[140]tally checklist'!fjndef</definedName>
    <definedName name="Floatequipment" localSheetId="6" hidden="0" function="0" vbProcedure="0">[43]DATA!$AM$2:$AM$9</definedName>
    <definedName name="FluidType" localSheetId="6" hidden="0" function="0" vbProcedure="0">'[81]Job Technical Info'!$F$42</definedName>
    <definedName name="FluidWt" localSheetId="6" hidden="0" function="0" vbProcedure="0">'[81]Job Technical Info'!$H$42</definedName>
    <definedName name="Form._Pressure" localSheetId="6" hidden="0" function="0" vbProcedure="0">'[72]Pre-Job Info Sheet'!$B$33</definedName>
    <definedName name="formation" localSheetId="6" hidden="0" function="0" vbProcedure="0">[52]data!#ref!</definedName>
    <definedName name="fracpress" localSheetId="6" hidden="0" function="0" vbProcedure="0">'[6]#REF'!$L$25</definedName>
    <definedName name="frictionpressure" localSheetId="6" hidden="0" function="0" vbProcedure="0">[62]Data!$F$8</definedName>
    <definedName name="FRONT" localSheetId="6" hidden="0" function="0" vbProcedure="0">'[174]DAILY RPT'!$A$1:$Y$67</definedName>
    <definedName name="ftormeters" localSheetId="6" hidden="0" function="0" vbProcedure="0">'[43]Metric Conversions'!$B$14</definedName>
    <definedName name="Gamma_Quadrant" localSheetId="6" hidden="0" function="0" vbProcedure="0">[129]RSS!$N$139:$N$144</definedName>
    <definedName name="gasrate" localSheetId="6" hidden="0" function="0" vbProcedure="0">'[94]well test sheet'!#ref!</definedName>
    <definedName name="gas_cumm" localSheetId="6" hidden="0" function="0" vbProcedure="0">'[94]well test sheet'!#ref!</definedName>
    <definedName name="Gauge" localSheetId="6" hidden="0" function="0" vbProcedure="0">'[60]Drop-Down Items'!$D$74:$D$92</definedName>
    <definedName name="Gaugecancel" localSheetId="6" hidden="0" function="0" vbProcedure="0">'JOB ORDER '!Gaugecancel</definedName>
    <definedName name="gaugeconok" localSheetId="6" hidden="0" function="0" vbProcedure="0">'JOB ORDER '!gaugeconok</definedName>
    <definedName name="gaugeconok2" localSheetId="6" hidden="0" function="0" vbProcedure="0">'JOB ORDER '!gaugeconok2</definedName>
    <definedName name="gaugeok" localSheetId="6" hidden="0" function="0" vbProcedure="0">'JOB ORDER '!gaugeok</definedName>
    <definedName name="gaugeok2" localSheetId="6" hidden="0" function="0" vbProcedure="0">'JOB ORDER '!gaugeok2</definedName>
    <definedName name="gaugeselect" localSheetId="6" hidden="0" function="0" vbProcedure="0">'JOB ORDER '!gaugeselect</definedName>
    <definedName name="gaugeselect2" localSheetId="6" hidden="0" function="0" vbProcedure="0">'JOB ORDER '!gaugeselect2</definedName>
    <definedName name="gdsg" localSheetId="6" hidden="1" function="0" vbProcedure="0">[23]Run!$C$16:$C$512</definedName>
    <definedName name="GFTTC" localSheetId="6" hidden="0" function="0" vbProcedure="0">[146]!JointNumber</definedName>
    <definedName name="GGGR" localSheetId="6" hidden="0" function="0" vbProcedure="0">'[140]tally checklist'!gggr</definedName>
    <definedName name="GL" localSheetId="6" hidden="0" function="0" vbProcedure="0">'[182]offset data'!#ref!</definedName>
    <definedName name="GLM" localSheetId="6" hidden="0" function="0" vbProcedure="0">[71]!Calculate_Pipe</definedName>
    <definedName name="GLM_1" localSheetId="6" hidden="0" function="0" vbProcedure="0">INDEX([78]DRAW!$A$2:$B$13,MATCH([79]AUTO_DHWS!$AV$3,[78]DRAW!$A$2:$A$13,0),2)</definedName>
    <definedName name="GLM_2" localSheetId="6" hidden="0" function="0" vbProcedure="0">INDEX([78]DRAW!$A$2:$B$13,MATCH([79]AUTO_DHWS!$AV$4,[78]DRAW!$A$2:$A$13,0),2)</definedName>
    <definedName name="GLM_3" localSheetId="6" hidden="0" function="0" vbProcedure="0">INDEX([78]DRAW!$A$2:$B$13,MATCH([79]AUTO_DHWS!$AV$5,[78]DRAW!$A$2:$A$13,0),2)</definedName>
    <definedName name="GLM_4" localSheetId="6" hidden="0" function="0" vbProcedure="0">INDEX([78]DRAW!$A$2:$B$13,MATCH([79]AUTO_DHWS!$AV$6,[78]DRAW!$A$2:$A$13,0),2)</definedName>
    <definedName name="Gmh" localSheetId="6" hidden="1" function="0" vbProcedure="0">{#N/A,#N/A,FALSE,"Sheet1"}</definedName>
    <definedName name="gor" localSheetId="6" hidden="0" function="0" vbProcedure="0">'[94]well test sheet'!#ref!</definedName>
    <definedName name="gpbreakerconc" localSheetId="6" hidden="0" function="0" vbProcedure="0">'[6]#REF'!$K$68</definedName>
    <definedName name="gpbreakertype" localSheetId="6" hidden="0" function="0" vbProcedure="0">'[6]#REF'!$K$67</definedName>
    <definedName name="gpcarriervis" localSheetId="6" hidden="0" function="0" vbProcedure="0">'[6]#REF'!$K$66</definedName>
    <definedName name="gpcarriervol" localSheetId="6" hidden="0" function="0" vbProcedure="0">'[6]#REF'!$F$69</definedName>
    <definedName name="gpcarrierwt" localSheetId="6" hidden="0" function="0" vbProcedure="0">'[6]#REF'!$F$67</definedName>
    <definedName name="gpextlength" localSheetId="6" hidden="0" function="0" vbProcedure="0">'[6]#REF'!$J$15</definedName>
    <definedName name="gpextod" localSheetId="6" hidden="0" function="0" vbProcedure="0">'[6]#REF'!$F$15</definedName>
    <definedName name="gpgel" localSheetId="6" hidden="0" function="0" vbProcedure="0">'[6]#REF'!$K$65</definedName>
    <definedName name="gplbs" localSheetId="6" hidden="0" function="0" vbProcedure="0">'[6]#REF'!$F$64</definedName>
    <definedName name="gpslurrydens" localSheetId="6" hidden="0" function="0" vbProcedure="0">'[6]#REF'!$F$70</definedName>
    <definedName name="GP_EXT_OD" localSheetId="6" hidden="0" function="0" vbProcedure="0">'[6]#REF'!$F$15</definedName>
    <definedName name="GP_MIX_RATIO" localSheetId="6" hidden="0" function="0" vbProcedure="0">'[6]#REF'!$K$64</definedName>
    <definedName name="GP_SLURRY_VOL" localSheetId="6" hidden="0" function="0" vbProcedure="0">'[6]#REF'!$F$69</definedName>
    <definedName name="GQGQ" localSheetId="6" hidden="0" function="0" vbProcedure="0">'[140]tally checklist'!gqgq</definedName>
    <definedName name="GQQ" localSheetId="6" hidden="0" function="0" vbProcedure="0">'[140]tally checklist'!gqq</definedName>
    <definedName name="GRAVEL_IN_CSG." localSheetId="6" hidden="0" function="0" vbProcedure="0">'[6]#REF'!XEP1048377</definedName>
    <definedName name="GroupID" localSheetId="6" hidden="0" function="0" vbProcedure="0">[43]DATA!$Q$2:$Q$268</definedName>
    <definedName name="Group_ID" localSheetId="6" hidden="0" function="0" vbProcedure="0">[132]DATA!$Q$2:$Q$268</definedName>
    <definedName name="GRQ" localSheetId="6" hidden="0" function="0" vbProcedure="0">'[140]tally checklist'!grq</definedName>
    <definedName name="GUB24SECWELL" localSheetId="6" hidden="1" function="0" vbProcedure="0">[182]Sheet1!$A$181:$H$210</definedName>
    <definedName name="Gun_Size" localSheetId="6" hidden="0" function="0" vbProcedure="0">'[72]TCP-BHA'!$F$5</definedName>
    <definedName name="GWS" localSheetId="6" hidden="0" function="0" vbProcedure="0">'[140]tally checklist'!gws</definedName>
    <definedName name="h" localSheetId="6" hidden="0" function="0" vbProcedure="0">[183]Tally!$A$5:$H$1064</definedName>
    <definedName name="H2S" localSheetId="6" hidden="0" function="0" vbProcedure="0">'[81]Job Technical Info'!$L$41</definedName>
    <definedName name="Hangerfunction" localSheetId="6" hidden="0" function="0" vbProcedure="0">[43]DATA!$AH$2:$AH$9</definedName>
    <definedName name="Hassan" localSheetId="6" hidden="0" function="0" vbProcedure="0">[187]!Macro1</definedName>
    <definedName name="HAUL_Thread" localSheetId="6" hidden="0" function="0" vbProcedure="0">[43]DATA!$BM$22:$BM$114</definedName>
    <definedName name="hesfluid" localSheetId="6" hidden="0" function="0" vbProcedure="0">[52]data!#ref!</definedName>
    <definedName name="hgh" localSheetId="6" hidden="1" function="0" vbProcedure="0">[23]Run!$D$15:$D$512</definedName>
    <definedName name="HGR_OL_Packoff_In" localSheetId="6" hidden="0" function="0" vbProcedure="0">[43]Test!$M$36</definedName>
    <definedName name="hhp" localSheetId="6" hidden="0" function="0" vbProcedure="0">'[94]well test sheet'!#ref!</definedName>
    <definedName name="hj" localSheetId="6" hidden="0" function="0" vbProcedure="0">[189]bha!#ref!</definedName>
    <definedName name="HKWT" localSheetId="6" hidden="0" function="0" vbProcedure="0">[37]钻井日报表!$E$7</definedName>
    <definedName name="Hngr_Bst" localSheetId="6" hidden="0" function="0" vbProcedure="0">'[43]Metric Conversions'!$B$50</definedName>
    <definedName name="Hngr_Bstz" localSheetId="6" hidden="0" function="0" vbProcedure="0">'[43]Liner Job Info'!$D$39</definedName>
    <definedName name="Hngr_OL_PO_out" localSheetId="6" hidden="0" function="0" vbProcedure="0">[43]Test!$M$30</definedName>
    <definedName name="Hngr_Overload_Cmt_Setup" localSheetId="6" hidden="0" function="0" vbProcedure="0">[43]Test!$M$42</definedName>
    <definedName name="Hngr_Tens" localSheetId="6" hidden="0" function="0" vbProcedure="0">'[43]Liner Job Info'!$D$40</definedName>
    <definedName name="Hng_Cap" localSheetId="6" hidden="0" function="0" vbProcedure="0">'[43]Liner Job Info'!$D$41</definedName>
    <definedName name="holevol" localSheetId="6" hidden="0" function="0" vbProcedure="0">'[60]tool backload dt'!holevol</definedName>
    <definedName name="hpb" localSheetId="6" hidden="0" function="0" vbProcedure="0">'[94]well test sheet'!#ref!</definedName>
    <definedName name="HR_Turns" localSheetId="6" hidden="0" function="0" vbProcedure="0">'[43]Weight Calculations'!$Q$36</definedName>
    <definedName name="HTML_Control" localSheetId="6" hidden="1" function="0" vbProcedure="0">{"'Operator &amp; Well Info.'!$A$1:$F$16"}</definedName>
    <definedName name="hwdpdt" localSheetId="6" hidden="0" function="0" vbProcedure="0">'[149]WCT-Ft'!$Q$19:$X$24</definedName>
    <definedName name="hy" localSheetId="6" hidden="0" function="0" vbProcedure="0">[48]!Prev.Macro106</definedName>
    <definedName name="Hyd._Pressure" localSheetId="6" hidden="0" function="0" vbProcedure="0">'[72]Job Calculation Sheet'!$H$28</definedName>
    <definedName name="Hyd_at_TV" localSheetId="6" hidden="0" function="0" vbProcedure="0">'[72]Tester Valve Calcs'!$F$21</definedName>
    <definedName name="Hyd_Effect_Force" localSheetId="6" hidden="0" function="0" vbProcedure="0">'[43]Weight Calculations'!$F$47</definedName>
    <definedName name="Hyd_force_element" localSheetId="6" hidden="0" function="0" vbProcedure="0">[43]Test!$M$17</definedName>
    <definedName name="HyfloSeatID" localSheetId="6" hidden="0" function="0" vbProcedure="0">[43]DATA!$AY$2:$AY$4</definedName>
    <definedName name="HyfloSeatNumber" localSheetId="6" hidden="0" function="0" vbProcedure="0">[43]DATA!$AZ$2:$AZ$5</definedName>
    <definedName name="HyfloSupplier" localSheetId="6" hidden="0" function="0" vbProcedure="0">[43]DATA!$BA$2:$BA$5</definedName>
    <definedName name="idlist" localSheetId="6" hidden="0" function="0" vbProcedure="0">[62]Data!$GD$2:$GE$237</definedName>
    <definedName name="IDUnit" localSheetId="6" hidden="0" function="0" vbProcedure="0">'[81]Job Technical Info'!$F$24</definedName>
    <definedName name="impdwg" localSheetId="6" hidden="0" function="0" vbProcedure="0">[73]!impdwg</definedName>
    <definedName name="impdwg_1" localSheetId="6" hidden="0" function="0" vbProcedure="0">'JOB ORDER '!impdwg</definedName>
    <definedName name="impdwg_10" localSheetId="6" hidden="0" function="0" vbProcedure="0">'JOB ORDER '!impdwg</definedName>
    <definedName name="impdwg_11" localSheetId="6" hidden="0" function="0" vbProcedure="0">'JOB ORDER '!impdwg</definedName>
    <definedName name="impdwg_2" localSheetId="6" hidden="0" function="0" vbProcedure="0">'JOB ORDER '!impdwg</definedName>
    <definedName name="impdwg_3" localSheetId="6" hidden="0" function="0" vbProcedure="0">'JOB ORDER '!impdwg</definedName>
    <definedName name="impdwg_4" localSheetId="6" hidden="0" function="0" vbProcedure="0">'JOB ORDER '!impdwg</definedName>
    <definedName name="impdwg_5" localSheetId="6" hidden="0" function="0" vbProcedure="0">'JOB ORDER '!impdwg</definedName>
    <definedName name="impdwg_6" localSheetId="6" hidden="0" function="0" vbProcedure="0">'JOB ORDER '!impdwg</definedName>
    <definedName name="impdwg_7" localSheetId="6" hidden="0" function="0" vbProcedure="0">'JOB ORDER '!impdwg</definedName>
    <definedName name="impdwg_8" localSheetId="6" hidden="0" function="0" vbProcedure="0">'JOB ORDER '!impdwg</definedName>
    <definedName name="impdwg_9" localSheetId="6" hidden="0" function="0" vbProcedure="0">'JOB ORDER '!impdwg</definedName>
    <definedName name="Inc" localSheetId="6" hidden="0" function="0" vbProcedure="0">[37]钻井日报表!$G$8</definedName>
    <definedName name="InclinationData" localSheetId="6" hidden="0" function="0" vbProcedure="0">OFFSET([73]!Inclination,2,0,COUNT(#REF!),1)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6" hidden="0" function="0" vbProcedure="0">'[189]Job File Index'!$B$7</definedName>
    <definedName name="INFUSER_RATE" localSheetId="6" hidden="0" function="0" vbProcedure="0">'[6]#REF'!$F$71</definedName>
    <definedName name="INFUSER_RATE_PREPACK" localSheetId="6" hidden="0" function="0" vbProcedure="0">'[6]#REF'!$F$50</definedName>
    <definedName name="Insert_New_Page" localSheetId="6" hidden="0" function="0" vbProcedure="0">[41]!Insert_New_Page</definedName>
    <definedName name="Insert_New_Page_1" localSheetId="6" hidden="0" function="0" vbProcedure="0">[73]!Insert_New_Page</definedName>
    <definedName name="Insert_New_Page_10" localSheetId="6" hidden="0" function="0" vbProcedure="0">[73]!Insert_New_Page</definedName>
    <definedName name="Insert_New_Page_11" localSheetId="6" hidden="0" function="0" vbProcedure="0">[73]!Insert_New_Page</definedName>
    <definedName name="Insert_New_Page_2" localSheetId="6" hidden="0" function="0" vbProcedure="0">[73]!Insert_New_Page</definedName>
    <definedName name="Insert_New_Page_3" localSheetId="6" hidden="0" function="0" vbProcedure="0">[73]!Insert_New_Page</definedName>
    <definedName name="Insert_New_Page_4" localSheetId="6" hidden="0" function="0" vbProcedure="0">[73]!Insert_New_Page</definedName>
    <definedName name="Insert_New_Page_5" localSheetId="6" hidden="0" function="0" vbProcedure="0">[73]!Insert_New_Page</definedName>
    <definedName name="Insert_New_Page_6" localSheetId="6" hidden="0" function="0" vbProcedure="0">[73]!Insert_New_Page</definedName>
    <definedName name="Insert_New_Page_7" localSheetId="6" hidden="0" function="0" vbProcedure="0">[73]!Insert_New_Page</definedName>
    <definedName name="Insert_New_Page_8" localSheetId="6" hidden="0" function="0" vbProcedure="0">[73]!Insert_New_Page</definedName>
    <definedName name="Insert_New_Page_9" localSheetId="6" hidden="0" function="0" vbProcedure="0">[73]!Insert_New_Page</definedName>
    <definedName name="Inverse_Balloon_Area" localSheetId="6" hidden="0" function="0" vbProcedure="0">[43]Test!$M$19</definedName>
    <definedName name="Issue" localSheetId="6" hidden="0" function="0" vbProcedure="0">'[190]Title Page'!$Q$2:$Q$20</definedName>
    <definedName name="Item1" localSheetId="6" hidden="0" function="0" vbProcedure="0">INDEX(#REF!,0,MATCH('[191]ENG Input'!$A$12,Categories,0))</definedName>
    <definedName name="Item10" localSheetId="6" hidden="0" function="0" vbProcedure="0">INDEX(#REF!,0,MATCH('[191]ENG Input'!$A$128,Categories,0))</definedName>
    <definedName name="Item11" localSheetId="6" hidden="0" function="0" vbProcedure="0">INDEX(#REF!,0,MATCH('[191]ENG Input'!$A$139,Categories,0))</definedName>
    <definedName name="Item12" localSheetId="6" hidden="0" function="0" vbProcedure="0">INDEX(#REF!,0,MATCH('[191]ENG Input'!$A$155,Categories,0))</definedName>
    <definedName name="Item13" localSheetId="6" hidden="0" function="0" vbProcedure="0">INDEX(#REF!,0,MATCH('[191]ENG Input'!$A$171,Categories,0))</definedName>
    <definedName name="Item14" localSheetId="6" hidden="0" function="0" vbProcedure="0">INDEX(#REF!,0,MATCH('[191]ENG Input'!$A$182,Categories,0))</definedName>
    <definedName name="Item15" localSheetId="6" hidden="0" function="0" vbProcedure="0">INDEX(#REF!,0,MATCH('[191]ENG Input'!$A$193,Categories,0))</definedName>
    <definedName name="Item16" localSheetId="6" hidden="0" function="0" vbProcedure="0">INDEX(#REF!,0,MATCH('[191]ENG Input'!$A$204,Categories,0))</definedName>
    <definedName name="Item17" localSheetId="6" hidden="0" function="0" vbProcedure="0">INDEX(#REF!,0,MATCH('[191]ENG Input'!$A$215,Categories,0))</definedName>
    <definedName name="Item18" localSheetId="6" hidden="0" function="0" vbProcedure="0">INDEX(#REF!,0,MATCH('[191]ENG Input'!$A$226,Categories,0))</definedName>
    <definedName name="Item19" localSheetId="6" hidden="0" function="0" vbProcedure="0">INDEX(#REF!,0,MATCH('[191]ENG Input'!$A$237,Categories,0))</definedName>
    <definedName name="Item2" localSheetId="6" hidden="0" function="0" vbProcedure="0">INDEX(#REF!,0,MATCH('[191]ENG Input'!$A$32,Categories,0))</definedName>
    <definedName name="Item20" localSheetId="6" hidden="0" function="0" vbProcedure="0">INDEX(#REF!,0,MATCH('[191]ENG Input'!$A$248,Categories,0))</definedName>
    <definedName name="Item3" localSheetId="6" hidden="0" function="0" vbProcedure="0">INDEX(#REF!,0,MATCH('[191]ENG Input'!$A$48,Categories,0))</definedName>
    <definedName name="Item4" localSheetId="6" hidden="0" function="0" vbProcedure="0">INDEX(#REF!,0,MATCH('[191]ENG Input'!$A$59,Categories,0))</definedName>
    <definedName name="Item5" localSheetId="6" hidden="0" function="0" vbProcedure="0">INDEX(#REF!,0,MATCH('[191]ENG Input'!$A$73,Categories,0))</definedName>
    <definedName name="Item6" localSheetId="6" hidden="0" function="0" vbProcedure="0">INDEX(#REF!,0,MATCH('[191]ENG Input'!$A$84,Categories,0))</definedName>
    <definedName name="Item7" localSheetId="6" hidden="0" function="0" vbProcedure="0">INDEX(#REF!,0,MATCH('[191]ENG Input'!$A$95,Categories,0))</definedName>
    <definedName name="Item8" localSheetId="6" hidden="0" function="0" vbProcedure="0">INDEX(#REF!,0,MATCH('[191]ENG Input'!$A$106,Categories,0))</definedName>
    <definedName name="Item9" localSheetId="6" hidden="0" function="0" vbProcedure="0">INDEX(#REF!,0,MATCH('[191]ENG Input'!$A$117,Categories,0))</definedName>
    <definedName name="J" localSheetId="6" hidden="1" function="0" vbProcedure="0">#REF!</definedName>
    <definedName name="janrupees" localSheetId="6" hidden="0" function="0" vbProcedure="0">'[192]Cash Expense January-96'!$H$6</definedName>
    <definedName name="JEYJD" localSheetId="6" hidden="0" function="0" vbProcedure="0">'[140]tally checklist'!jeyjd</definedName>
    <definedName name="JK" localSheetId="6" hidden="0" function="0" vbProcedure="0">[193]CSG13!$B$5</definedName>
    <definedName name="JobCenterID" localSheetId="6" hidden="0" function="0" vbProcedure="0">'[81]Job Technical Info'!$C$10</definedName>
    <definedName name="JobEndDate" localSheetId="6" hidden="0" function="0" vbProcedure="0">'[137]job info sheet'!#ref!</definedName>
    <definedName name="JobNumber" localSheetId="6" hidden="0" function="0" vbProcedure="0">'[129]Front Page Info'!$C$4</definedName>
    <definedName name="jobpurpose1" localSheetId="6" hidden="0" function="0" vbProcedure="0">[50]Data!$L$1:$L$65536</definedName>
    <definedName name="JobType" localSheetId="6" hidden="0" function="0" vbProcedure="0">[18]Sheet1!$A$11:$A$16</definedName>
    <definedName name="Jobtype1" localSheetId="6" hidden="0" function="0" vbProcedure="0">[50]Data!$N$1:$N$65536</definedName>
    <definedName name="Job_date" localSheetId="6" hidden="0" function="0" vbProcedure="0">'[72]TCP-BHA'!$D$5</definedName>
    <definedName name="Job_Name" localSheetId="6" hidden="0" function="0" vbProcedure="0">'[84]Liner Job Info'!$E$5</definedName>
    <definedName name="Job_Type" localSheetId="6" hidden="0" function="0" vbProcedure="0">'[75]JCSI 12'!$AB$29:$AB$42</definedName>
    <definedName name="JointNumber" localSheetId="6" hidden="0" function="0" vbProcedure="0">[97]!JointNumber</definedName>
    <definedName name="JOINTNUMBER23" localSheetId="6" hidden="0" function="0" vbProcedure="0">[71]!JointNumber</definedName>
    <definedName name="JOINTNYMBER4" localSheetId="6" hidden="0" function="0" vbProcedure="0">[71]!JointNumber</definedName>
    <definedName name="JOYCE" localSheetId="6" hidden="1" function="0" vbProcedure="0">#REF!</definedName>
    <definedName name="JRJTRJT" localSheetId="6" hidden="0" function="0" vbProcedure="0">'[140]tally checklist'!jrjtrjt</definedName>
    <definedName name="JT" localSheetId="6" hidden="0" function="0" vbProcedure="0">[198]!JointNumber</definedName>
    <definedName name="JtCount" localSheetId="6" hidden="0" function="0" vbProcedure="0">'[77]casing talley'!#ref!</definedName>
    <definedName name="JTNFN" localSheetId="6" hidden="0" function="0" vbProcedure="0">'[140]tally checklist'!jtnfn</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junk" localSheetId="6" hidden="0" function="0" vbProcedure="0">{#N/A,#N/A,FALSE,"Volume"}</definedName>
    <definedName name="junk1" localSheetId="6" hidden="0" function="0" vbProcedure="0">{#N/A,#N/A,FALSE,"Volume"}</definedName>
    <definedName name="junk2" localSheetId="6" hidden="0" function="0" vbProcedure="0">{#N/A,#N/A,FALSE,"Volume"}</definedName>
    <definedName name="junk3" localSheetId="6" hidden="0" function="0" vbProcedure="0">{#N/A,#N/A,FALSE,"Volume"}</definedName>
    <definedName name="junk4" localSheetId="6" hidden="0" function="0" vbProcedure="0">{#N/A,#N/A,FALSE,"Volume"}</definedName>
    <definedName name="k" localSheetId="6" hidden="1" function="0" vbProcedure="0">#REF!</definedName>
    <definedName name="Kill_Fluid_Type" localSheetId="6" hidden="0" function="0" vbProcedure="0">'[72]TCP-BHA'!$G$7</definedName>
    <definedName name="Kill_Fluid_Wt" localSheetId="6" hidden="0" function="0" vbProcedure="0">'[72]TCP-BHA'!$F$7</definedName>
    <definedName name="KK" localSheetId="6" hidden="0" function="0" vbProcedure="0">[73]!Macro1</definedName>
    <definedName name="KL" localSheetId="6" hidden="0" function="0" vbProcedure="0">[186]BHA!$C$4</definedName>
    <definedName name="KO" localSheetId="6" hidden="0" function="0" vbProcedure="0">[193]CSG13!$F$6</definedName>
    <definedName name="KRR" localSheetId="6" hidden="0" function="0" vbProcedure="0">'[140]tally checklist'!krr</definedName>
    <definedName name="KUYUKR" localSheetId="6" hidden="0" function="0" vbProcedure="0">'[140]tally checklist'!kuyukr</definedName>
    <definedName name="landoffshore" localSheetId="6" hidden="0" function="0" vbProcedure="0">[52]data!#ref!</definedName>
    <definedName name="LastCsgString" localSheetId="6" hidden="0" function="0" vbProcedure="0">[43]DATA!$AU$2:$AU$4</definedName>
    <definedName name="latlong" localSheetId="6" hidden="0" function="0" vbProcedure="0">'[122]Call Sheet'!$P$7</definedName>
    <definedName name="LC" localSheetId="6" hidden="0" function="0" vbProcedure="0">INDEX([78]DRAW!$J$13:$K$22,MATCH([79]AUTO_DHWS!$BC$4,[78]DRAW!$J$13:$J$22,0),2)</definedName>
    <definedName name="LCJobType" localSheetId="6" hidden="0" function="0" vbProcedure="0">'[81]Installation Results #1'!$C$306</definedName>
    <definedName name="LC_TYPE" localSheetId="6" hidden="0" function="0" vbProcedure="0">INDEX([78]DRAW!$P$68:$Q$70,MATCH([78]DRAW!$Q$67,[78]DRAW!$P$68:$P$70,0),2)</definedName>
    <definedName name="Lead_Slurry_in_12.25__OH" localSheetId="6" hidden="0" function="0" vbProcedure="0">'[197]Cmt Csg'!$C$6</definedName>
    <definedName name="Lease1" localSheetId="6" hidden="0" function="0" vbProcedure="0">'[72]TCP-BHA'!$A$7</definedName>
    <definedName name="Lengths" localSheetId="6" hidden="0" function="0" vbProcedure="0">'[96]Kill Sheet - Horizontal'!$Q$8,'[96]Kill Sheet - Horizontal'!$Q$10,'[96]Kill Sheet - Horizontal'!$Q$12,'[96]Kill Sheet - Horizontal'!$Q$14,'[96]Kill Sheet - Horizontal'!$Q$15,'[96]Kill Sheet - Horizontal'!$AE$8,'[96]Kill Sheet - Horizontal'!$AE$10,'[96]Kill Sheet - Horizontal'!$AE$12:$AF$15,'[96]Kill Sheet - Horizontal'!$W$24,'[96]Kill Sheet - Horizontal'!$W$25,'[96]Kill Sheet - Horizontal'!$I$19,'[96]Kill Sheet - Horizontal'!$I$20,'[96]Kill Sheet - Horizontal'!$H$29,'[96]Kill Sheet - Horizontal'!$H$30</definedName>
    <definedName name="Likelihood" localSheetId="6" hidden="0" function="0" vbProcedure="0">[119]Sheet2!$C$1:$C$5</definedName>
    <definedName name="Liner1_Burst" localSheetId="6" hidden="0" function="0" vbProcedure="0">'[43]Metric Conversions'!$B$45</definedName>
    <definedName name="Liner1_Burstz" localSheetId="6" hidden="0" function="0" vbProcedure="0">'[43]Liner Job Info'!$J$17</definedName>
    <definedName name="Liner1_Cap" localSheetId="6" hidden="0" function="0" vbProcedure="0">'[43]Liner Job Info'!$P$17</definedName>
    <definedName name="Liner1_Collapsez" localSheetId="6" hidden="0" function="0" vbProcedure="0">'[43]Liner Job Info'!$L$17</definedName>
    <definedName name="Liner1_ID" localSheetId="6" hidden="0" function="0" vbProcedure="0">'[43]Liner Job Info'!$D$17</definedName>
    <definedName name="Liner1_Length" localSheetId="6" hidden="0" function="0" vbProcedure="0">'[131]Metric Conversions'!$B$17</definedName>
    <definedName name="Liner1_Lengthz" localSheetId="6" hidden="0" function="0" vbProcedure="0">'[43]Liner Job Info'!$R$17</definedName>
    <definedName name="Liner1_OD" localSheetId="6" hidden="0" function="0" vbProcedure="0">'[131]Liner Job Info'!$C$17</definedName>
    <definedName name="Liner1_Thread" localSheetId="6" hidden="0" function="0" vbProcedure="0">'[131]Liner Job Info'!$H$17</definedName>
    <definedName name="Liner1_Wt_in_Mud" localSheetId="6" hidden="0" function="0" vbProcedure="0">'[43]Weight Calculations'!$H$16</definedName>
    <definedName name="Liner1_Wt_Per_Ft" localSheetId="6" hidden="0" function="0" vbProcedure="0">'[131]Liner Job Info'!$E$17</definedName>
    <definedName name="Liner2_Burst" localSheetId="6" hidden="0" function="0" vbProcedure="0">'[43]Metric Conversions'!$B$46</definedName>
    <definedName name="Liner2_Burstz" localSheetId="6" hidden="0" function="0" vbProcedure="0">'[43]Liner Job Info'!$J$18</definedName>
    <definedName name="Liner2_Cap" localSheetId="6" hidden="0" function="0" vbProcedure="0">'[43]Liner Job Info'!$P$18</definedName>
    <definedName name="Liner2_Collapsez" localSheetId="6" hidden="0" function="0" vbProcedure="0">'[43]Liner Job Info'!$L$18</definedName>
    <definedName name="Liner2_ID" localSheetId="6" hidden="0" function="0" vbProcedure="0">'[43]Liner Job Info'!$D$18</definedName>
    <definedName name="Liner2_Length" localSheetId="6" hidden="0" function="0" vbProcedure="0">'[131]Metric Conversions'!$B$18</definedName>
    <definedName name="Liner2_Lengthz" localSheetId="6" hidden="0" function="0" vbProcedure="0">'[43]Liner Job Info'!$R$18</definedName>
    <definedName name="Liner2_OD" localSheetId="6" hidden="0" function="0" vbProcedure="0">'[131]Liner Job Info'!$C$18</definedName>
    <definedName name="Liner2_Thread" localSheetId="6" hidden="0" function="0" vbProcedure="0">'[131]Liner Job Info'!$H$18</definedName>
    <definedName name="Liner2_Wt_in_Mud" localSheetId="6" hidden="0" function="0" vbProcedure="0">'[43]Weight Calculations'!$H$17</definedName>
    <definedName name="Liner2_Wt_Per_FT" localSheetId="6" hidden="0" function="0" vbProcedure="0">'[131]Liner Job Info'!$E$18</definedName>
    <definedName name="Linertype" localSheetId="6" hidden="0" function="0" vbProcedure="0">[43]DATA!$W$2:$W$12</definedName>
    <definedName name="Liner_I.D." localSheetId="6" hidden="0" function="0" vbProcedure="0">'[72]Job Calculation Sheet'!$F$14</definedName>
    <definedName name="Liner_ID_Area" localSheetId="6" hidden="0" function="0" vbProcedure="0">[43]Test!$V$40</definedName>
    <definedName name="Liner_Size" localSheetId="6" hidden="0" function="0" vbProcedure="0">'[72]Pre-Job Info Sheet'!$D$17</definedName>
    <definedName name="Liner_Top__MD" localSheetId="6" hidden="0" function="0" vbProcedure="0">'[72]Pre-Job Info Sheet'!$D$19</definedName>
    <definedName name="Liner_Weight" localSheetId="6" hidden="0" function="0" vbProcedure="0">'[72]Pre-Job Info Sheet'!$D$18</definedName>
    <definedName name="lkj" localSheetId="6" hidden="1" function="0" vbProcedure="0">[23]Run!$B$18:$B$512</definedName>
    <definedName name="Lnr1_Grade" localSheetId="6" hidden="0" function="0" vbProcedure="0">'[131]Liner Job Info'!$F$17</definedName>
    <definedName name="Lnr1_Vol" localSheetId="6" hidden="0" function="0" vbProcedure="0">'[43]Metric Conversions'!$B$77</definedName>
    <definedName name="Lnr1_Volz" localSheetId="6" hidden="0" function="0" vbProcedure="0">'[43]Metric Conversions'!$C$77</definedName>
    <definedName name="Lnr1_X_OH_Volz" localSheetId="6" hidden="0" function="0" vbProcedure="0">'[43]Metric Conversions'!$C$82</definedName>
    <definedName name="Lnr2_Grade" localSheetId="6" hidden="0" function="0" vbProcedure="0">'[131]Liner Job Info'!$F$18</definedName>
    <definedName name="Lnr2_Vol" localSheetId="6" hidden="0" function="0" vbProcedure="0">'[43]Metric Conversions'!$B$78</definedName>
    <definedName name="Lnr2_Volz" localSheetId="6" hidden="0" function="0" vbProcedure="0">'[43]Metric Conversions'!$C$78</definedName>
    <definedName name="Lnr2_X_OH_Volz" localSheetId="6" hidden="0" function="0" vbProcedure="0">'[43]Metric Conversions'!$C$83</definedName>
    <definedName name="LnrDrift1" localSheetId="6" hidden="0" function="0" vbProcedure="0">'[81]Job Technical Info'!$G$29</definedName>
    <definedName name="LnrDrift2" localSheetId="6" hidden="0" function="0" vbProcedure="0">'[81]Job Technical Info'!$G$30</definedName>
    <definedName name="LnrGrd1" localSheetId="6" hidden="0" function="0" vbProcedure="0">'[81]Job Technical Info'!$H$29</definedName>
    <definedName name="LnrGrd2" localSheetId="6" hidden="0" function="0" vbProcedure="0">'[81]Job Technical Info'!$H$30</definedName>
    <definedName name="LnrID1" localSheetId="6" hidden="0" function="0" vbProcedure="0">'[81]Job Technical Info'!$F$29</definedName>
    <definedName name="LnrID2" localSheetId="6" hidden="0" function="0" vbProcedure="0">'[81]Job Technical Info'!$F$30</definedName>
    <definedName name="LnrSz1" localSheetId="6" hidden="0" function="0" vbProcedure="0">'[81]Job Technical Info'!$D$29</definedName>
    <definedName name="LnrSz2" localSheetId="6" hidden="0" function="0" vbProcedure="0">'[81]Job Technical Info'!$D$30</definedName>
    <definedName name="LnrThd1" localSheetId="6" hidden="0" function="0" vbProcedure="0">'[81]Job Technical Info'!$J$29</definedName>
    <definedName name="LnrThd2" localSheetId="6" hidden="0" function="0" vbProcedure="0">'[81]Job Technical Info'!$J$30</definedName>
    <definedName name="LnrWt1" localSheetId="6" hidden="0" function="0" vbProcedure="0">'[81]Job Technical Info'!$E$29</definedName>
    <definedName name="LnrWt2" localSheetId="6" hidden="0" function="0" vbProcedure="0">'[81]Job Technical Info'!$E$30</definedName>
    <definedName name="Lnr_Shoe_Depth" localSheetId="6" hidden="0" function="0" vbProcedure="0">'[131]Metric Conversions'!$B$29</definedName>
    <definedName name="Loaded" localSheetId="6" hidden="0" function="0" vbProcedure="0">'[72]Pre-Job Info Sheet'!$B$19</definedName>
    <definedName name="Location" localSheetId="6" hidden="0" function="0" vbProcedure="0">[59]auf_screen!#ref!</definedName>
    <definedName name="LOGGER" localSheetId="6" hidden="0" function="0" vbProcedure="0">[203]!Calculate_Pipe</definedName>
    <definedName name="loudout" localSheetId="6" hidden="1" function="0" vbProcedure="0">[201]Run!$D$15:$D$512</definedName>
    <definedName name="LS" localSheetId="6" hidden="0" function="0" vbProcedure="0">'[190]amberjack a32ream'!#ref!</definedName>
    <definedName name="LSA" localSheetId="6" hidden="0" function="0" vbProcedure="0">[207]!Calculate_Pipe</definedName>
    <definedName name="LSD" localSheetId="6" hidden="0" function="0" vbProcedure="0">'[137]job info sheet'!#ref!</definedName>
    <definedName name="LTP" localSheetId="6" hidden="0" function="0" vbProcedure="0">INDEX([78]DRAW!$D$14:$E$15,MATCH([79]AUTO_DHWS!$BB$7,[78]DRAW!$D$14:$D$15,0),2)</definedName>
    <definedName name="M" localSheetId="6" hidden="1" function="0" vbProcedure="0">#REF!</definedName>
    <definedName name="Macro1" localSheetId="6" hidden="0" function="0" vbProcedure="0">[16]!Macro1</definedName>
    <definedName name="Macro112" localSheetId="6" hidden="0" function="0" vbProcedure="0">[55]!Macro59</definedName>
    <definedName name="Macro2" localSheetId="6" hidden="0" function="0" vbProcedure="0">[73]!Macro2</definedName>
    <definedName name="Macro22" localSheetId="6" hidden="0" function="0" vbProcedure="0">[73]!Macro22</definedName>
    <definedName name="Macro22_1" localSheetId="6" hidden="0" function="0" vbProcedure="0">'JOB ORDER '!Macro22</definedName>
    <definedName name="Macro22_10" localSheetId="6" hidden="0" function="0" vbProcedure="0">'JOB ORDER '!Macro22</definedName>
    <definedName name="Macro22_11" localSheetId="6" hidden="0" function="0" vbProcedure="0">'JOB ORDER '!Macro22</definedName>
    <definedName name="Macro22_2" localSheetId="6" hidden="0" function="0" vbProcedure="0">'JOB ORDER '!Macro22</definedName>
    <definedName name="Macro22_3" localSheetId="6" hidden="0" function="0" vbProcedure="0">'JOB ORDER '!Macro22</definedName>
    <definedName name="Macro22_4" localSheetId="6" hidden="0" function="0" vbProcedure="0">'JOB ORDER '!Macro22</definedName>
    <definedName name="Macro22_5" localSheetId="6" hidden="0" function="0" vbProcedure="0">'JOB ORDER '!Macro22</definedName>
    <definedName name="Macro22_6" localSheetId="6" hidden="0" function="0" vbProcedure="0">'JOB ORDER '!Macro22</definedName>
    <definedName name="Macro22_7" localSheetId="6" hidden="0" function="0" vbProcedure="0">'JOB ORDER '!Macro22</definedName>
    <definedName name="Macro22_8" localSheetId="6" hidden="0" function="0" vbProcedure="0">'JOB ORDER '!Macro22</definedName>
    <definedName name="Macro22_9" localSheetId="6" hidden="0" function="0" vbProcedure="0">'JOB ORDER '!Macro22</definedName>
    <definedName name="Macro233" localSheetId="6" hidden="0" function="0" vbProcedure="0">[73]!Macro1</definedName>
    <definedName name="Macro2_1" localSheetId="6" hidden="0" function="0" vbProcedure="0">'JOB ORDER '!Macro2</definedName>
    <definedName name="Macro2_10" localSheetId="6" hidden="0" function="0" vbProcedure="0">'JOB ORDER '!Macro2</definedName>
    <definedName name="Macro2_11" localSheetId="6" hidden="0" function="0" vbProcedure="0">'JOB ORDER '!Macro2</definedName>
    <definedName name="Macro2_2" localSheetId="6" hidden="0" function="0" vbProcedure="0">'JOB ORDER '!Macro2</definedName>
    <definedName name="Macro2_3" localSheetId="6" hidden="0" function="0" vbProcedure="0">'JOB ORDER '!Macro2</definedName>
    <definedName name="Macro2_4" localSheetId="6" hidden="0" function="0" vbProcedure="0">'JOB ORDER '!Macro2</definedName>
    <definedName name="Macro2_5" localSheetId="6" hidden="0" function="0" vbProcedure="0">'JOB ORDER '!Macro2</definedName>
    <definedName name="Macro2_6" localSheetId="6" hidden="0" function="0" vbProcedure="0">'JOB ORDER '!Macro2</definedName>
    <definedName name="Macro2_7" localSheetId="6" hidden="0" function="0" vbProcedure="0">'JOB ORDER '!Macro2</definedName>
    <definedName name="Macro2_8" localSheetId="6" hidden="0" function="0" vbProcedure="0">'JOB ORDER '!Macro2</definedName>
    <definedName name="Macro2_9" localSheetId="6" hidden="0" function="0" vbProcedure="0">'JOB ORDER '!Macro2</definedName>
    <definedName name="Macro3" localSheetId="6" hidden="0" function="0" vbProcedure="0">[73]!Macro3</definedName>
    <definedName name="Macro3_1" localSheetId="6" hidden="0" function="0" vbProcedure="0">'JOB ORDER '!Macro3</definedName>
    <definedName name="Macro3_10" localSheetId="6" hidden="0" function="0" vbProcedure="0">'JOB ORDER '!Macro3</definedName>
    <definedName name="Macro3_11" localSheetId="6" hidden="0" function="0" vbProcedure="0">'JOB ORDER '!Macro3</definedName>
    <definedName name="Macro3_2" localSheetId="6" hidden="0" function="0" vbProcedure="0">'JOB ORDER '!Macro3</definedName>
    <definedName name="Macro3_3" localSheetId="6" hidden="0" function="0" vbProcedure="0">'JOB ORDER '!Macro3</definedName>
    <definedName name="Macro3_4" localSheetId="6" hidden="0" function="0" vbProcedure="0">'JOB ORDER '!Macro3</definedName>
    <definedName name="Macro3_5" localSheetId="6" hidden="0" function="0" vbProcedure="0">'JOB ORDER '!Macro3</definedName>
    <definedName name="Macro3_6" localSheetId="6" hidden="0" function="0" vbProcedure="0">'JOB ORDER '!Macro3</definedName>
    <definedName name="Macro3_7" localSheetId="6" hidden="0" function="0" vbProcedure="0">'JOB ORDER '!Macro3</definedName>
    <definedName name="Macro3_8" localSheetId="6" hidden="0" function="0" vbProcedure="0">'JOB ORDER '!Macro3</definedName>
    <definedName name="Macro3_9" localSheetId="6" hidden="0" function="0" vbProcedure="0">'JOB ORDER '!Macro3</definedName>
    <definedName name="Make_Up_Torque_Of_Weak_Link" localSheetId="6" hidden="0" function="0" vbProcedure="0">'[43]Liner Job Info'!$P$50</definedName>
    <definedName name="MaPSDensity" localSheetId="6" hidden="0" function="0" vbProcedure="0">'[81]SetUp Tab'!$G$25</definedName>
    <definedName name="MaPSDiameter" localSheetId="6" hidden="0" function="0" vbProcedure="0">'[81]SetUp Tab'!$G$23</definedName>
    <definedName name="MaPSFlowRate" localSheetId="6" hidden="0" function="0" vbProcedure="0">'[81]SetUp Tab'!$G$26</definedName>
    <definedName name="MaPSLength" localSheetId="6" hidden="0" function="0" vbProcedure="0">'[81]SetUp Tab'!$E$23</definedName>
    <definedName name="MaPSMass" localSheetId="6" hidden="0" function="0" vbProcedure="0">[81]Lists!$BJ$3</definedName>
    <definedName name="MaPSPressure" localSheetId="6" hidden="0" function="0" vbProcedure="0">'[81]SetUp Tab'!$G$24</definedName>
    <definedName name="MaPSTemp" localSheetId="6" hidden="0" function="0" vbProcedure="0">'[81]SetUp Tab'!$E$26</definedName>
    <definedName name="MaPSWeight" localSheetId="6" hidden="0" function="0" vbProcedure="0">'[81]SetUp Tab'!$E$24</definedName>
    <definedName name="marrupees" localSheetId="6" hidden="0" function="0" vbProcedure="0">'[205]Cash Expsense March-96'!$H$6</definedName>
    <definedName name="Material" localSheetId="6" hidden="0" function="0" vbProcedure="0">[43]DATA!$I$3:$I$22</definedName>
    <definedName name="Max._Deviation" localSheetId="6" hidden="0" function="0" vbProcedure="0">'[72]Pre-Job Info Sheet'!$B$36</definedName>
    <definedName name="MaxDev" localSheetId="6" hidden="0" function="0" vbProcedure="0">'[81]Job Technical Info'!$F$41</definedName>
    <definedName name="Max_Bump_psi" localSheetId="6" hidden="0" function="0" vbProcedure="0">'[43]Metric Conversions'!$B$59</definedName>
    <definedName name="Max_Bump_psiz" localSheetId="6" hidden="0" function="0" vbProcedure="0">'[43]Metric Conversions'!$C$59</definedName>
    <definedName name="Max_Test_Cmt_Setup" localSheetId="6" hidden="0" function="0" vbProcedure="0">'[43]Metric Conversions'!$B$62</definedName>
    <definedName name="Max_Test_Cmt_Setupz" localSheetId="6" hidden="0" function="0" vbProcedure="0">'[43]Metric Conversions'!$C$62</definedName>
    <definedName name="Max_Test_Seals_In" localSheetId="6" hidden="0" function="0" vbProcedure="0">'[43]Metric Conversions'!$B$61</definedName>
    <definedName name="Max_Test_Seals_Inz" localSheetId="6" hidden="0" function="0" vbProcedure="0">'[43]Metric Conversions'!$C$61</definedName>
    <definedName name="Max_test_seals_out" localSheetId="6" hidden="0" function="0" vbProcedure="0">'[43]Metric Conversions'!$B$60</definedName>
    <definedName name="Max_test_seals_outz" localSheetId="6" hidden="0" function="0" vbProcedure="0">'[43]Metric Conversions'!$C$60</definedName>
    <definedName name="Max_Turns" localSheetId="6" hidden="0" function="0" vbProcedure="0">'[43]Weight Calculations'!$T$36</definedName>
    <definedName name="MDData" localSheetId="6" hidden="0" function="0" vbProcedure="0">OFFSET([73]!MDForInclination,2,0,COUNT(#REF!),1)</definedName>
    <definedName name="MeteringTime" localSheetId="6" hidden="0" function="0" vbProcedure="0">[43]DATA!$BG$2:$BG$42</definedName>
    <definedName name="Min._Ten_Sett_Tool_Assy" localSheetId="6" hidden="0" function="0" vbProcedure="0">'[43]Weight Calculations'!$S$60</definedName>
    <definedName name="Min_DP_Tens" localSheetId="6" hidden="0" function="0" vbProcedure="0">'[43]Weight Calculations'!$W$61</definedName>
    <definedName name="Min_Ft_Release_RH" localSheetId="6" hidden="0" function="0" vbProcedure="0">'[43]Metric Conversions'!$B$39</definedName>
    <definedName name="Min_Ft_Release_RHz" localSheetId="6" hidden="0" function="0" vbProcedure="0">'[43]Metric Conversions'!$C$39</definedName>
    <definedName name="mobile" localSheetId="6" hidden="0" function="0" vbProcedure="0">'[122]Call Sheet'!$R$5</definedName>
    <definedName name="Module1.draw_productionfirst" localSheetId="6" hidden="0" function="0" vbProcedure="0">'[140]tally checklist'!module1.draw_productionfirst</definedName>
    <definedName name="Module1.draw_productionsecond" localSheetId="6" hidden="0" function="0" vbProcedure="0">'[140]tally checklist'!module1.draw_productionsecond</definedName>
    <definedName name="Module1.impdwg" localSheetId="6" hidden="0" function="0" vbProcedure="0">[73]!Module1.impdwg</definedName>
    <definedName name="Module1.impdwg_1" localSheetId="6" hidden="0" function="0" vbProcedure="0">'JOB ORDER '!Module1.impdwg</definedName>
    <definedName name="Module1.impdwg_10" localSheetId="6" hidden="0" function="0" vbProcedure="0">'JOB ORDER '!Module1.impdwg</definedName>
    <definedName name="Module1.impdwg_11" localSheetId="6" hidden="0" function="0" vbProcedure="0">'JOB ORDER '!Module1.impdwg</definedName>
    <definedName name="Module1.impdwg_2" localSheetId="6" hidden="0" function="0" vbProcedure="0">'JOB ORDER '!Module1.impdwg</definedName>
    <definedName name="Module1.impdwg_3" localSheetId="6" hidden="0" function="0" vbProcedure="0">'JOB ORDER '!Module1.impdwg</definedName>
    <definedName name="Module1.impdwg_4" localSheetId="6" hidden="0" function="0" vbProcedure="0">'JOB ORDER '!Module1.impdwg</definedName>
    <definedName name="Module1.impdwg_5" localSheetId="6" hidden="0" function="0" vbProcedure="0">'JOB ORDER '!Module1.impdwg</definedName>
    <definedName name="Module1.impdwg_6" localSheetId="6" hidden="0" function="0" vbProcedure="0">'JOB ORDER '!Module1.impdwg</definedName>
    <definedName name="Module1.impdwg_7" localSheetId="6" hidden="0" function="0" vbProcedure="0">'JOB ORDER '!Module1.impdwg</definedName>
    <definedName name="Module1.impdwg_8" localSheetId="6" hidden="0" function="0" vbProcedure="0">'JOB ORDER '!Module1.impdwg</definedName>
    <definedName name="Module1.impdwg_9" localSheetId="6" hidden="0" function="0" vbProcedure="0">'JOB ORDER '!Module1.impdwg</definedName>
    <definedName name="Module4.drawblanks" localSheetId="6" hidden="0" function="0" vbProcedure="0">'[140]tally checklist'!module4.drawblanks</definedName>
    <definedName name="Module4.drawlinerfirst" localSheetId="6" hidden="0" function="0" vbProcedure="0">'[140]tally checklist'!module4.drawlinerfirst</definedName>
    <definedName name="Module4.drawlinersecond" localSheetId="6" hidden="0" function="0" vbProcedure="0">'[140]tally checklist'!module4.drawlinersecond</definedName>
    <definedName name="Module4.drawmiscellaneous" localSheetId="6" hidden="0" function="0" vbProcedure="0">'[140]tally checklist'!module4.drawmiscellaneous</definedName>
    <definedName name="Module4.drawproductionfirst" localSheetId="6" hidden="0" function="0" vbProcedure="0">'[140]tally checklist'!module4.drawproductionfirst</definedName>
    <definedName name="Module4.drawproductionsecond" localSheetId="6" hidden="0" function="0" vbProcedure="0">'[140]tally checklist'!module4.drawproductionsecond</definedName>
    <definedName name="Module4.drawquantum" localSheetId="6" hidden="0" function="0" vbProcedure="0">'[140]tally checklist'!module4.drawquantum</definedName>
    <definedName name="Module4.drawscreens" localSheetId="6" hidden="0" function="0" vbProcedure="0">'[140]tally checklist'!module4.drawscreens</definedName>
    <definedName name="Module4.drawshearsubs" localSheetId="6" hidden="0" function="0" vbProcedure="0">'[140]tally checklist'!module4.drawshearsubs</definedName>
    <definedName name="Module4.drawsump" localSheetId="6" hidden="0" function="0" vbProcedure="0">'[140]tally checklist'!module4.drawsump</definedName>
    <definedName name="Module4.textfive" localSheetId="6" hidden="0" function="0" vbProcedure="0">'[140]tally checklist'!module4.textfive</definedName>
    <definedName name="Module4.textfivehalf" localSheetId="6" hidden="0" function="0" vbProcedure="0">'[140]tally checklist'!module4.textfivehalf</definedName>
    <definedName name="Module4.textninefiveeightfourfirst" localSheetId="6" hidden="0" function="0" vbProcedure="0">'[140]tally checklist'!module4.textninefiveeightfourfirst</definedName>
    <definedName name="Module4.textninefiveeightfoursecond" localSheetId="6" hidden="0" function="0" vbProcedure="0">'[140]tally checklist'!module4.textninefiveeightfoursecond</definedName>
    <definedName name="Module4.textninefiveeightsixfirst" localSheetId="6" hidden="0" function="0" vbProcedure="0">'[140]tally checklist'!module4.textninefiveeightsixfirst</definedName>
    <definedName name="Module4.textninefiveeightsixsecond" localSheetId="6" hidden="0" function="0" vbProcedure="0">'[140]tally checklist'!module4.textninefiveeightsixsecond</definedName>
    <definedName name="Module4.textsevenfiveeightfour" localSheetId="6" hidden="0" function="0" vbProcedure="0">'[140]tally checklist'!module4.textsevenfiveeightfour</definedName>
    <definedName name="Module4.textsevenfiveeightthree" localSheetId="6" hidden="0" function="0" vbProcedure="0">'[140]tally checklist'!module4.textsevenfiveeightthree</definedName>
    <definedName name="Module4.textsevenfour" localSheetId="6" hidden="0" function="0" vbProcedure="0">'[140]tally checklist'!module4.textsevenfour</definedName>
    <definedName name="Module4.textseventhree" localSheetId="6" hidden="0" function="0" vbProcedure="0">'[140]tally checklist'!module4.textseventhree</definedName>
    <definedName name="Month" localSheetId="6" hidden="0" function="0" vbProcedure="0">[59]auf_screen!#ref!</definedName>
    <definedName name="MorningReport" localSheetId="6" hidden="0" function="0" vbProcedure="0">'[212]morning report'!#ref!</definedName>
    <definedName name="mr" localSheetId="6" hidden="1" function="0" vbProcedure="0">{#N/A,#N/A,FALSE,"Sheet1"}</definedName>
    <definedName name="Mudtype" localSheetId="6" hidden="0" function="0" vbProcedure="0">[43]DATA!$N$2:$N$18</definedName>
    <definedName name="Mudwt" localSheetId="6" hidden="0" function="0" vbProcedure="0">"Dialog2_Edit Box 5"</definedName>
    <definedName name="Mud_Type" localSheetId="6" hidden="0" function="0" vbProcedure="0">'[60]Drop-Down Items'!$D$4:$D$14</definedName>
    <definedName name="Mud_Wt" localSheetId="6" hidden="0" function="0" vbProcedure="0">'[131]Metric Conversions'!$B$66</definedName>
    <definedName name="Mud_Wtz" localSheetId="6" hidden="0" function="0" vbProcedure="0">'[43]Liner Job Info'!$D$31</definedName>
    <definedName name="MULE_SHOE_DEPTH" localSheetId="6" hidden="0" function="0" vbProcedure="0">'[6]#REF'!$F$182</definedName>
    <definedName name="MW" localSheetId="6" hidden="0" function="0" vbProcedure="0">#REF!,#REF!,#REF!,#REF!,#REF!</definedName>
    <definedName name="MWD" localSheetId="6" hidden="0" function="0" vbProcedure="0">[18]Sheet1!$F$10:$F$12</definedName>
    <definedName name="my" localSheetId="6" hidden="0" function="0" vbProcedure="0">[146]!JointNumber</definedName>
    <definedName name="m_choke" localSheetId="6" hidden="0" function="0" vbProcedure="0">'[94]well test sheet'!#ref!</definedName>
    <definedName name="n" localSheetId="6" hidden="0" function="0" vbProcedure="0">'[140]tally checklist'!n</definedName>
    <definedName name="N2_Precharge" localSheetId="6" hidden="0" function="0" vbProcedure="0">'[72]Tester Valve Calcs'!$F$16</definedName>
    <definedName name="N2_Press_DH" localSheetId="6" hidden="0" function="0" vbProcedure="0">'[72]Tester Valve Calcs'!$F$29</definedName>
    <definedName name="N2_Stroke" localSheetId="6" hidden="0" function="0" vbProcedure="0">'[72]Tester Valve Calcs'!$M$18</definedName>
    <definedName name="N2_Temp_DH" localSheetId="6" hidden="0" function="0" vbProcedure="0">'[72]Tester Valve Calcs'!$F$22</definedName>
    <definedName name="N2_Temp_Surf" localSheetId="6" hidden="0" function="0" vbProcedure="0">'[72]Tester Valve Calcs'!$F$17</definedName>
    <definedName name="N2_Vol_DH" localSheetId="6" hidden="0" function="0" vbProcedure="0">'[72]Tester Valve Calcs'!$F$25</definedName>
    <definedName name="N2_Vol_Surf" localSheetId="6" hidden="0" function="0" vbProcedure="0">'[72]Tester Valve Calcs'!$F$14</definedName>
    <definedName name="nb" localSheetId="6" hidden="0" function="0" vbProcedure="0">'[145]井口装置示意图-4'!$E$1:$E$65536</definedName>
    <definedName name="NET_PERFS" localSheetId="6" hidden="0" function="0" vbProcedure="0">'[6]#REF'!$F$20</definedName>
    <definedName name="NewData" localSheetId="6" hidden="0" function="0" vbProcedure="0">'[50]New Contract'!$A$1:$G$65536</definedName>
    <definedName name="NewDes" localSheetId="6" hidden="0" function="0" vbProcedure="0">'[50]New Contract'!$A$1:$A$65536</definedName>
    <definedName name="newrisk" localSheetId="6" hidden="0" function="0" vbProcedure="0">[119]Sheet2!$D$1:$D$3</definedName>
    <definedName name="NextTD" localSheetId="6" hidden="0" function="0" vbProcedure="0">'[213]Lookahd EA'!$E$1:$N$3</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6" hidden="0" function="0" vbProcedure="0">'[6]#ref'!#ref!</definedName>
    <definedName name="NM" localSheetId="6" hidden="0" function="0" vbProcedure="0">[16]!Macro1</definedName>
    <definedName name="No" localSheetId="6" hidden="0" function="0" vbProcedure="0">'[215]BPR LOG'!$A$1:$A$1048576</definedName>
    <definedName name="NOofTools" localSheetId="6" hidden="0" function="0" vbProcedure="0">[43]DATA!$BP$2:$BP$12</definedName>
    <definedName name="O" localSheetId="6" hidden="0" function="0" vbProcedure="0">'[217]Report Long(Esso)'!$E$4</definedName>
    <definedName name="odcasing" localSheetId="6" hidden="0" function="0" vbProcedure="0">[62]Data!$J$16</definedName>
    <definedName name="ODSizes" localSheetId="6" hidden="0" function="0" vbProcedure="0">[81]Lists!$AF$3:$AF$42</definedName>
    <definedName name="ODUnit" localSheetId="6" hidden="0" function="0" vbProcedure="0">'[81]Job Technical Info'!$D$24</definedName>
    <definedName name="odworkstring" localSheetId="6" hidden="0" function="0" vbProcedure="0">[62]Data!$W$18</definedName>
    <definedName name="office" localSheetId="6" hidden="0" function="0" vbProcedure="0">'[122]Call Sheet'!$AH$5</definedName>
    <definedName name="Offshore_Block" localSheetId="6" hidden="0" function="0" vbProcedure="0">'[72]TCP-BHA'!$A$9</definedName>
    <definedName name="ogr" localSheetId="6" hidden="0" function="0" vbProcedure="0">'[219]Test Data'!$T$8:$T$16,'[219]Test Data'!$T$18:$T$122,'[219]Test Data'!$T$132:$T$247</definedName>
    <definedName name="OHoleID" localSheetId="6" hidden="0" function="0" vbProcedure="0">'[81]Job Technical Info'!$B$40</definedName>
    <definedName name="OHoleLength" localSheetId="6" hidden="0" function="0" vbProcedure="0">'[81]Job Technical Info'!$D$40</definedName>
    <definedName name="OH_Dia" localSheetId="6" hidden="0" function="0" vbProcedure="0">'[43]Liner Job Info'!$Q$14</definedName>
    <definedName name="oilrate" localSheetId="6" hidden="0" function="0" vbProcedure="0">'[94]well test sheet'!#ref!</definedName>
    <definedName name="oil_cumm" localSheetId="6" hidden="0" function="0" vbProcedure="0">'[94]well test sheet'!#ref!</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6" hidden="0" function="0" vbProcedure="0">'[223]Initial Tally'!$G$4</definedName>
    <definedName name="onefive" localSheetId="6" hidden="0" function="0" vbProcedure="0">[52]data!#ref!</definedName>
    <definedName name="OP_1" localSheetId="6" hidden="0" function="0" vbProcedure="0">[225]Data!$F$1:$F$3</definedName>
    <definedName name="Overbalance" localSheetId="6" hidden="0" function="0" vbProcedure="0">'[72]Pre-Job Info Sheet'!$D$34</definedName>
    <definedName name="Overlap" localSheetId="6" hidden="0" function="0" vbProcedure="0">'[43]Metric Conversions'!$B$16</definedName>
    <definedName name="Overlapz" localSheetId="6" hidden="0" function="0" vbProcedure="0">'[43]Liner Job Info'!$R$14</definedName>
    <definedName name="Overlap_Volz" localSheetId="6" hidden="0" function="0" vbProcedure="0">'[43]Metric Conversions'!$C$84</definedName>
    <definedName name="P" localSheetId="6" hidden="1" function="0" vbProcedure="0">{#N/A,#N/A,FALSE,"Drlg Param Run 1-1";#N/A,#N/A,FALSE,"DDR (3)";#N/A,#N/A,FALSE,"BHA AT (1)";#N/A,#N/A,FALSE,"Downlinkbha";#N/A,#N/A,FALSE,"Job Status Report"}</definedName>
    <definedName name="PACKER" localSheetId="6" hidden="0" function="0" vbProcedure="0">INDEX([78]DRAW!$A$2:$B$13,MATCH([79]AUTO_DHWS!$AV$8,[78]DRAW!$A$2:$A$13,0),2)</definedName>
    <definedName name="PackerDepth" localSheetId="6" hidden="0" function="0" vbProcedure="0">'[77]casing talley'!#ref!</definedName>
    <definedName name="PACKER_2" localSheetId="6" hidden="0" function="0" vbProcedure="0">INDEX([78]DRAW!$D$13:$E$14,MATCH([79]AUTO_DHWS!$AV$12,[78]DRAW!$D$13:$D$14,0),2)</definedName>
    <definedName name="Packer_Rotation" localSheetId="6" hidden="0" function="0" vbProcedure="0">'[43]Liner Job Info'!$P$40</definedName>
    <definedName name="Packer_Set_In" localSheetId="6" hidden="0" function="0" vbProcedure="0">'[72]Pre-Job Info Sheet'!$D$22</definedName>
    <definedName name="PackOff" localSheetId="6" hidden="0" function="0" vbProcedure="0">[43]DATA!$AP$2:$AP$6</definedName>
    <definedName name="PackoffXDP1_Pist_Area" localSheetId="6" hidden="0" function="0" vbProcedure="0">'[43]Liner Job Info'!$AF$2</definedName>
    <definedName name="PackoffXDP2_Pist_Area" localSheetId="6" hidden="0" function="0" vbProcedure="0">'[43]Liner Job Info'!$AF$3</definedName>
    <definedName name="PackoffXDP3_Pist_Area" localSheetId="6" hidden="0" function="0" vbProcedure="0">'[43]Liner Job Info'!$AG$28</definedName>
    <definedName name="PackoffXDP4_Pist_Area" localSheetId="6" hidden="0" function="0" vbProcedure="0">'[43]Liner Job Info'!$AG$29</definedName>
    <definedName name="PackoffXDP5_Pist_Area" localSheetId="6" hidden="0" function="0" vbProcedure="0">'[43]Liner Job Info'!$AG$30</definedName>
    <definedName name="Packoff_Pist_Area" localSheetId="6" hidden="0" function="0" vbProcedure="0">'[43]Liner Job Info'!$AG$31</definedName>
    <definedName name="Packoff_Stinger_OD" localSheetId="6" hidden="0" function="0" vbProcedure="0">'[43]Liner Job Info'!$P$42</definedName>
    <definedName name="Para3" localSheetId="6" hidden="1" function="0" vbProcedure="0">{#N/A,#N/A,FALSE,"Drlg Param Run 1-1";#N/A,#N/A,FALSE,"DDR (3)";#N/A,#N/A,FALSE,"BHA AT (1)";#N/A,#N/A,FALSE,"Downlinkbha";#N/A,#N/A,FALSE,"Job Status Report"}</definedName>
    <definedName name="Parish" localSheetId="6" hidden="0" function="0" vbProcedure="0">'[72]TCP-BHA'!$C$9</definedName>
    <definedName name="Parish_County" localSheetId="6" hidden="0" function="0" vbProcedure="0">'[72]Pre-Job Info Sheet'!$D$9</definedName>
    <definedName name="PBTD" localSheetId="6" hidden="0" function="0" vbProcedure="0">'[77]casing talley'!#ref!</definedName>
    <definedName name="Pckr_Body_Bst" localSheetId="6" hidden="0" function="0" vbProcedure="0">'[43]Metric Conversions'!$B$52</definedName>
    <definedName name="Pckr_Body_Bstz" localSheetId="6" hidden="0" function="0" vbProcedure="0">'[43]Liner Job Info'!$P$32</definedName>
    <definedName name="Pckr_Body_Collz" localSheetId="6" hidden="0" function="0" vbProcedure="0">'[43]Liner Job Info'!$P$33</definedName>
    <definedName name="Pckr_Body_Tens" localSheetId="6" hidden="0" function="0" vbProcedure="0">'[43]Liner Job Info'!$P$34</definedName>
    <definedName name="Pckr_Seal_Surf_OD" localSheetId="6" hidden="0" function="0" vbProcedure="0">'[43]Liner Job Info'!$P$31</definedName>
    <definedName name="Pckr_Sett_Force" localSheetId="6" hidden="0" function="0" vbProcedure="0">'[43]Liner Job Info'!$P$39</definedName>
    <definedName name="PDHG_2" localSheetId="6" hidden="0" function="0" vbProcedure="0">INDEX([78]DRAW!$A$2:$B$13,MATCH([79]AUTO_DHWS!$AV$13,[78]DRAW!$A$2:$A$13,0),2)</definedName>
    <definedName name="PD_SOFTWARE" localSheetId="6" hidden="0" function="0" vbProcedure="0">[129]RSS!$J$148:$J$152</definedName>
    <definedName name="PD_STAB" localSheetId="6" hidden="0" function="0" vbProcedure="0">[129]RSS!$R$131:$R$160</definedName>
    <definedName name="PEIGHT_TOTAL" localSheetId="6" hidden="0" function="0" vbProcedure="0">[233]index!#ref!</definedName>
    <definedName name="Perf._Interval" localSheetId="6" hidden="0" function="0" vbProcedure="0">'[72]Pre-Job Info Sheet'!$B$17</definedName>
    <definedName name="Perf._Interval_2" localSheetId="6" hidden="0" function="0" vbProcedure="0">'[72]Pre-Job Info Sheet'!$B$18</definedName>
    <definedName name="PerfDepth" localSheetId="6" hidden="0" function="0" vbProcedure="0">'[77]casing talley'!#ref!</definedName>
    <definedName name="PERF_BOTTOM" localSheetId="6" hidden="0" function="0" vbProcedure="0">'[6]#REF'!$H$19</definedName>
    <definedName name="PERF_SLURRY" localSheetId="6" hidden="0" function="0" vbProcedure="0">'[6]#REF'!$H$198</definedName>
    <definedName name="PERF_TOP" localSheetId="6" hidden="0" function="0" vbProcedure="0">'[6]#REF'!$F$19</definedName>
    <definedName name="PERF_VOL" localSheetId="6" hidden="0" function="0" vbProcedure="0">'[6]#REF'!$J$12</definedName>
    <definedName name="perm" localSheetId="6" hidden="0" function="0" vbProcedure="0">[62]Data!$G$56</definedName>
    <definedName name="perm1" localSheetId="6" hidden="0" function="0" vbProcedure="0">[62]Data!$G$57</definedName>
    <definedName name="Personnel1" localSheetId="6" hidden="0" function="0" vbProcedure="0">[50]Data!$P$1:$P$65536</definedName>
    <definedName name="Perv.Macro140" localSheetId="6" hidden="0" function="0" vbProcedure="0">[48]!Prev.Macro102</definedName>
    <definedName name="PFIVE_TOTAL" localSheetId="6" hidden="0" function="0" vbProcedure="0">[233]index!#ref!</definedName>
    <definedName name="PFOUR_TOTAL" localSheetId="6" hidden="0" function="0" vbProcedure="0">[233]index!#ref!</definedName>
    <definedName name="Phasing" localSheetId="6" hidden="0" function="0" vbProcedure="0">'[72]Pre-Job Info Sheet'!$B$23</definedName>
    <definedName name="Phone" localSheetId="6" hidden="0" function="0" vbProcedure="0">'[58]Well Installation Drawing'!$K$11</definedName>
    <definedName name="pick1_958x475_system" localSheetId="6" hidden="0" function="0" vbProcedure="0">'[140]tally checklist'!pick1_958x475_system</definedName>
    <definedName name="pick1_958x6_system" localSheetId="6" hidden="0" function="0" vbProcedure="0">'[140]tally checklist'!pick1_958x6_system</definedName>
    <definedName name="pick1_production" localSheetId="6" hidden="0" function="0" vbProcedure="0">'[140]tally checklist'!pick1_production</definedName>
    <definedName name="pick2_958x475_system" localSheetId="6" hidden="0" function="0" vbProcedure="0">'[140]tally checklist'!pick2_958x475_system</definedName>
    <definedName name="pick2_958x6_system" localSheetId="6" hidden="0" function="0" vbProcedure="0">'[140]tally checklist'!pick2_958x6_system</definedName>
    <definedName name="pick2_production" localSheetId="6" hidden="0" function="0" vbProcedure="0">'[140]tally checklist'!pick2_production</definedName>
    <definedName name="pick_512_system" localSheetId="6" hidden="0" function="0" vbProcedure="0">'[140]tally checklist'!pick_512_system</definedName>
    <definedName name="pick_5_system" localSheetId="6" hidden="0" function="0" vbProcedure="0">'[140]tally checklist'!pick_5_system</definedName>
    <definedName name="pick_758x314_system" localSheetId="6" hidden="0" function="0" vbProcedure="0">'[140]tally checklist'!pick_758x314_system</definedName>
    <definedName name="pick_758x4_system" localSheetId="6" hidden="0" function="0" vbProcedure="0">'[140]tally checklist'!pick_758x4_system</definedName>
    <definedName name="pick_7x314_system" localSheetId="6" hidden="0" function="0" vbProcedure="0">'[140]tally checklist'!pick_7x314_system</definedName>
    <definedName name="pick_7x4_system" localSheetId="6" hidden="0" function="0" vbProcedure="0">'[140]tally checklist'!pick_7x4_system</definedName>
    <definedName name="pick_blanks" localSheetId="6" hidden="0" function="0" vbProcedure="0">'[140]tally checklist'!pick_blanks</definedName>
    <definedName name="pick_liner" localSheetId="6" hidden="0" function="0" vbProcedure="0">'[140]tally checklist'!pick_liner</definedName>
    <definedName name="pick_liner2" localSheetId="6" hidden="0" function="0" vbProcedure="0">'[140]tally checklist'!pick_liner2</definedName>
    <definedName name="pick_miscellaneous" localSheetId="6" hidden="0" function="0" vbProcedure="0">'[140]tally checklist'!pick_miscellaneous</definedName>
    <definedName name="pick_quantum" localSheetId="6" hidden="0" function="0" vbProcedure="0">'[140]tally checklist'!pick_quantum</definedName>
    <definedName name="pick_screens" localSheetId="6" hidden="0" function="0" vbProcedure="0">'[140]tally checklist'!pick_screens</definedName>
    <definedName name="pick_shearsubs" localSheetId="6" hidden="0" function="0" vbProcedure="0">'[140]tally checklist'!pick_shearsubs</definedName>
    <definedName name="pick_sump" localSheetId="6" hidden="0" function="0" vbProcedure="0">'[140]tally checklist'!pick_sump</definedName>
    <definedName name="Pilot" localSheetId="6" hidden="0" function="0" vbProcedure="0">[234]!'[module4 formula].macro1'</definedName>
    <definedName name="PistArea_Packoff_to_DP_OD" localSheetId="6" hidden="0" function="0" vbProcedure="0">[43]Test!$M$16</definedName>
    <definedName name="Piston_Disp" localSheetId="6" hidden="0" function="0" vbProcedure="0">'[72]Tester Valve Calcs'!$M$16</definedName>
    <definedName name="Pist_Area_Csg_ID_to_DP1_OD" localSheetId="6" hidden="0" function="0" vbProcedure="0">[43]Test!$U$26</definedName>
    <definedName name="Pist_Area_Csg_ID_to_DP2_OD" localSheetId="6" hidden="0" function="0" vbProcedure="0">[43]Test!$U$27</definedName>
    <definedName name="Pist_Area_Csg_ID_to_DP3_OD" localSheetId="6" hidden="0" function="0" vbProcedure="0">[43]Test!$U$28</definedName>
    <definedName name="Pist_Area_Csg_ID_to_DP4_OD" localSheetId="6" hidden="0" function="0" vbProcedure="0">[43]Test!$U$29</definedName>
    <definedName name="Pist_Area_Csg_ID_to_DP5_OD" localSheetId="6" hidden="0" function="0" vbProcedure="0">[43]Test!$U$30</definedName>
    <definedName name="Pist_Area_from_CsgID_to_Packoff_OD" localSheetId="6" hidden="0" function="0" vbProcedure="0">[43]Test!$M$14</definedName>
    <definedName name="Pist_Area_PackoffOD_DP2_OD" localSheetId="6" hidden="0" function="0" vbProcedure="0">[43]Test!$Y$27</definedName>
    <definedName name="Pist_Area_PackoffOD_DP4_OD" localSheetId="6" hidden="0" function="0" vbProcedure="0">[43]Test!$Y$29</definedName>
    <definedName name="Pist_Area_PackoffOD_DP5_OD" localSheetId="6" hidden="0" function="0" vbProcedure="0">[43]Test!$Y$30</definedName>
    <definedName name="Pist_Area_PackoffOD_to_DP1_OD" localSheetId="6" hidden="0" function="0" vbProcedure="0">[43]Test!$Y$26</definedName>
    <definedName name="Pist_Area_PackoffOD_to_DP3_OD" localSheetId="6" hidden="0" function="0" vbProcedure="0">[43]Test!$Y$28</definedName>
    <definedName name="plotm" localSheetId="6" hidden="0" function="0" vbProcedure="0">'[60]tool backload dt'!plotm</definedName>
    <definedName name="PlugMethod" localSheetId="6" hidden="0" function="0" vbProcedure="0">[43]DATA!$BI$2:$BI$6</definedName>
    <definedName name="Plugs" localSheetId="6" hidden="0" function="0" vbProcedure="0">[43]DATA!$AL$2:$AL$13</definedName>
    <definedName name="Plug_Bmp_Hngr_Ovr_Ld" localSheetId="6" hidden="0" function="0" vbProcedure="0">[43]Test!$M$25</definedName>
    <definedName name="Plug_Bmp_psi_wo_DP" localSheetId="6" hidden="0" function="0" vbProcedure="0">[43]Test!$M$23</definedName>
    <definedName name="Plug_Bmp_psi_w_DP" localSheetId="6" hidden="0" function="0" vbProcedure="0">[43]Test!$M$24</definedName>
    <definedName name="Plug_Press_Rating" localSheetId="6" hidden="0" function="0" vbProcedure="0">'[43]Metric Conversions'!$B$51</definedName>
    <definedName name="Plug_Press_Ratingz" localSheetId="6" hidden="0" function="0" vbProcedure="0">'[43]Liner Job Info'!$D$43</definedName>
    <definedName name="Plug_Temp_Rating" localSheetId="6" hidden="0" function="0" vbProcedure="0">'[43]Liner Job Info'!$D$44</definedName>
    <definedName name="PNINE_TOTAL" localSheetId="6" hidden="0" function="0" vbProcedure="0">[233]index!#ref!</definedName>
    <definedName name="po" localSheetId="6" hidden="0" function="0" vbProcedure="0">[232]Drillers!$O$20</definedName>
    <definedName name="Ported_Sub" localSheetId="6" hidden="0" function="0" vbProcedure="0">'[72]TCP-BHA'!$H$30</definedName>
    <definedName name="Pos_of_Ball" localSheetId="6" hidden="0" function="0" vbProcedure="0">'[72]Tester Valve Calcs'!$F$12</definedName>
    <definedName name="PoundConversion" localSheetId="6" hidden="0" function="0" vbProcedure="0">[81]Lists!$AD$4</definedName>
    <definedName name="POWERV_TO" localSheetId="6" hidden="0" function="0" vbProcedure="0">[129]RSS!$A$206</definedName>
    <definedName name="ppgsggcc" localSheetId="6" hidden="0" function="0" vbProcedure="0">'[43]Metric Conversions'!$B$65</definedName>
    <definedName name="pph" localSheetId="6" hidden="0" function="0" vbProcedure="0">[40]!Calculate_Pipe</definedName>
    <definedName name="pre.Macro220" localSheetId="6" hidden="0" function="0" vbProcedure="0">[48]!Prev.Macro110</definedName>
    <definedName name="PREPACK_MIX_RATIO" localSheetId="6" hidden="0" function="0" vbProcedure="0">'[6]#REF'!$K$44</definedName>
    <definedName name="pressure1" localSheetId="6" hidden="0" function="0" vbProcedure="0">[62]Data!$C$2</definedName>
    <definedName name="pressure10" localSheetId="6" hidden="0" function="0" vbProcedure="0">[62]Data!$C$11</definedName>
    <definedName name="pressure2" localSheetId="6" hidden="0" function="0" vbProcedure="0">[62]Data!$C$3</definedName>
    <definedName name="pressure3" localSheetId="6" hidden="0" function="0" vbProcedure="0">[62]Data!$C$4</definedName>
    <definedName name="pressure4" localSheetId="6" hidden="0" function="0" vbProcedure="0">[62]Data!$C$5</definedName>
    <definedName name="pressure5" localSheetId="6" hidden="0" function="0" vbProcedure="0">[62]Data!$C$6</definedName>
    <definedName name="pressure6" localSheetId="6" hidden="0" function="0" vbProcedure="0">[62]Data!$C$7</definedName>
    <definedName name="pressure7" localSheetId="6" hidden="0" function="0" vbProcedure="0">[62]Data!$C$8</definedName>
    <definedName name="pressure8" localSheetId="6" hidden="0" function="0" vbProcedure="0">[62]Data!$C$9</definedName>
    <definedName name="pressure9" localSheetId="6" hidden="0" function="0" vbProcedure="0">[62]Data!$C$10</definedName>
    <definedName name="pressurea" localSheetId="6" hidden="0" function="0" vbProcedure="0">[62]Data!$D$2</definedName>
    <definedName name="pressureb" localSheetId="6" hidden="0" function="0" vbProcedure="0">[62]Data!$D$3</definedName>
    <definedName name="pressurec" localSheetId="6" hidden="0" function="0" vbProcedure="0">[62]Data!$D$4</definedName>
    <definedName name="pressured" localSheetId="6" hidden="0" function="0" vbProcedure="0">[62]Data!$D$5</definedName>
    <definedName name="pressuree" localSheetId="6" hidden="0" function="0" vbProcedure="0">[62]Data!$D$6</definedName>
    <definedName name="pressuref" localSheetId="6" hidden="0" function="0" vbProcedure="0">[62]Data!$D$7</definedName>
    <definedName name="pressureg" localSheetId="6" hidden="0" function="0" vbProcedure="0">[62]Data!$D$8</definedName>
    <definedName name="pressureh" localSheetId="6" hidden="0" function="0" vbProcedure="0">[62]Data!$D$9</definedName>
    <definedName name="pressurei" localSheetId="6" hidden="0" function="0" vbProcedure="0">[62]Data!$D$10</definedName>
    <definedName name="pressurej" localSheetId="6" hidden="0" function="0" vbProcedure="0">[62]Data!$D$11</definedName>
    <definedName name="Pressures" localSheetId="6" hidden="0" function="0" vbProcedure="0">'[96]Kill Sheet - Horizontal'!$W$27,'[96]Kill Sheet - Horizontal'!$W$31,'[96]Kill Sheet - Horizontal'!$W$32</definedName>
    <definedName name="prev.Macro150" localSheetId="6" hidden="0" function="0" vbProcedure="0">[48]!Prev.Macro122</definedName>
    <definedName name="prev.Macro200" localSheetId="6" hidden="0" function="0" vbProcedure="0">[48]!Prev.Macro128</definedName>
    <definedName name="Prev.Macro242" localSheetId="6" hidden="0" function="0" vbProcedure="0">[48]!Prev.Macro106</definedName>
    <definedName name="pricelist" localSheetId="6" hidden="0" function="0" vbProcedure="0">[163]Pricelist!$A$8:$B$11</definedName>
    <definedName name="print" localSheetId="6" hidden="0" function="0" vbProcedure="0">'[233]2003 SSWE LINE ITEMS'!$A$1:$V$302</definedName>
    <definedName name="PRODPKR" localSheetId="6" hidden="0" function="0" vbProcedure="0">INDEX([236]PKR!$A$2:$B$15,MATCH([236]INPUT!$H$37,[236]PKR!$A$2:$A$15,0),2)</definedName>
    <definedName name="production" localSheetId="6" hidden="0" function="0" vbProcedure="0">[237]WTR!$L$6</definedName>
    <definedName name="Production_History_by_Well" localSheetId="6" hidden="0" function="0" vbProcedure="0">'[242]neb-wells'!#ref!</definedName>
    <definedName name="profitcntr1" localSheetId="6" hidden="0" function="0" vbProcedure="0">[50]Data!$I$1:$I$65536</definedName>
    <definedName name="Project" localSheetId="6" hidden="0" function="0" vbProcedure="0">'[81]Job Technical Info'!$G$12</definedName>
    <definedName name="ProppantName" localSheetId="6" hidden="0" function="0" vbProcedure="0">'[81]Installation Results #1'!$B$326</definedName>
    <definedName name="PSEVEN_TOTAL" localSheetId="6" hidden="0" function="0" vbProcedure="0">[233]index!#ref!</definedName>
    <definedName name="PSI" localSheetId="6" hidden="0" function="0" vbProcedure="0">'[75]tester valve calcs'!#ref!</definedName>
    <definedName name="psia_array" localSheetId="6" hidden="0" function="0" vbProcedure="0">{"HMR","HMR-GT","ZI Probe","Spartek","Omega SP"}</definedName>
    <definedName name="psibarkpa" localSheetId="6" hidden="0" function="0" vbProcedure="0">'[43]Metric Conversions'!$B$42</definedName>
    <definedName name="psig_array" localSheetId="6" hidden="0" function="0" vbProcedure="0">{"RPG-3","RPG-4"}</definedName>
    <definedName name="PSIX_TOTAL" localSheetId="6" hidden="0" function="0" vbProcedure="0">[233]index!#ref!</definedName>
    <definedName name="psl" localSheetId="6" hidden="0" function="0" vbProcedure="0">[52]data!#ref!</definedName>
    <definedName name="Pstn_Force_Actual" localSheetId="6" hidden="0" function="0" vbProcedure="0">'[43]Weight Calculations'!$H$26</definedName>
    <definedName name="PS_pricelist" localSheetId="6" hidden="0" function="0" vbProcedure="0">[163]Pricelist!$A$22:$B$35</definedName>
    <definedName name="ptdtr" localSheetId="6" hidden="0" function="0" vbProcedure="0">'[89]Max-Torq'!$P$71</definedName>
    <definedName name="PTHREE_TOTAL" localSheetId="6" hidden="0" function="0" vbProcedure="0">[233]index!#ref!</definedName>
    <definedName name="PTWO_TOTAL" localSheetId="6" hidden="0" function="0" vbProcedure="0">[233]index!#ref!</definedName>
    <definedName name="PU_Dogs" localSheetId="6" hidden="0" function="0" vbProcedure="0">'[43]Metric Conversions'!$B$25</definedName>
    <definedName name="PU_Dogsz" localSheetId="6" hidden="0" function="0" vbProcedure="0">'[43]Liner Job Info'!$P$47</definedName>
    <definedName name="PU_Packoffz" localSheetId="6" hidden="0" function="0" vbProcedure="0">'[43]Liner Job Info'!$P$48</definedName>
    <definedName name="pv" localSheetId="6" hidden="0" function="0" vbProcedure="0">'[60]Drop-Down Items'!$R$7:$R$9</definedName>
    <definedName name="q" localSheetId="6" hidden="0" function="0" vbProcedure="0">'[240]Report Long(Esso)'!$E$2</definedName>
    <definedName name="qewadc" localSheetId="6" hidden="0" function="0" vbProcedure="0">[246]!Calculate_Pipe</definedName>
    <definedName name="QPNum" localSheetId="6" hidden="0" function="0" vbProcedure="0">'[81]Job Technical Info'!$K$11</definedName>
    <definedName name="qqq" localSheetId="6" hidden="1" function="0" vbProcedure="0">{#N/A,#N/A,FALSE,"Drlg Param Run 1-1";#N/A,#N/A,FALSE,"DDR (3)";#N/A,#N/A,FALSE,"BHA AT (1)";#N/A,#N/A,FALSE,"Downlinkbha";#N/A,#N/A,FALSE,"Job Status Report"}</definedName>
    <definedName name="quantum" localSheetId="6" hidden="0" function="0" vbProcedure="0">'[140]tally checklist'!quantum</definedName>
    <definedName name="Range1" localSheetId="6" hidden="0" function="0" vbProcedure="0">OFFSET([249]sheet1!$e$5, 1, 0,[249]sheet1!$e$2,1)</definedName>
    <definedName name="rate" localSheetId="6" hidden="0" function="0" vbProcedure="0">[62]Data!$F$7</definedName>
    <definedName name="rate1" localSheetId="6" hidden="0" function="0" vbProcedure="0">[62]Data!$A$2</definedName>
    <definedName name="rate10" localSheetId="6" hidden="0" function="0" vbProcedure="0">[62]Data!$A$11</definedName>
    <definedName name="rate2" localSheetId="6" hidden="0" function="0" vbProcedure="0">[62]Data!$A$3</definedName>
    <definedName name="rate3" localSheetId="6" hidden="0" function="0" vbProcedure="0">[62]Data!$A$4</definedName>
    <definedName name="rate4" localSheetId="6" hidden="0" function="0" vbProcedure="0">[62]Data!$A$5</definedName>
    <definedName name="rate5" localSheetId="6" hidden="0" function="0" vbProcedure="0">[62]Data!$A$6</definedName>
    <definedName name="rate6" localSheetId="6" hidden="0" function="0" vbProcedure="0">[62]Data!$A$7</definedName>
    <definedName name="rate7" localSheetId="6" hidden="0" function="0" vbProcedure="0">[62]Data!$A$8</definedName>
    <definedName name="rate8" localSheetId="6" hidden="0" function="0" vbProcedure="0">[62]Data!$A$9</definedName>
    <definedName name="rate9" localSheetId="6" hidden="0" function="0" vbProcedure="0">[62]Data!$A$10</definedName>
    <definedName name="raw_tally_lower" localSheetId="6" hidden="0" function="0" vbProcedure="0">'[245]2B Raw Rig Tally'!$B$13:$D$501</definedName>
    <definedName name="raw_tally_upper" localSheetId="6" hidden="0" function="0" vbProcedure="0">'[245]2B Raw Rig Tally'!$F$13:$H$501</definedName>
    <definedName name="Reasons" localSheetId="6" hidden="0" function="0" vbProcedure="0">'[190]Title Page'!$O$2:$O$23</definedName>
    <definedName name="Recalc" localSheetId="6" hidden="0" function="0" vbProcedure="0">[115]!Recalc</definedName>
    <definedName name="Region" localSheetId="6" hidden="0" function="0" vbProcedure="0">'[81]SetUp Tab'!$D$15</definedName>
    <definedName name="Regions" localSheetId="6" hidden="0" function="0" vbProcedure="0">[97]Criteria!$B$2:$B$11</definedName>
    <definedName name="Rem_DP1_Tens" localSheetId="6" hidden="0" function="0" vbProcedure="0">'[43]Weight Calculations'!$W$53</definedName>
    <definedName name="Rem_DP2_Tens" localSheetId="6" hidden="0" function="0" vbProcedure="0">'[43]Weight Calculations'!$W$54</definedName>
    <definedName name="Rem_DP3_Tens" localSheetId="6" hidden="0" function="0" vbProcedure="0">'[43]Weight Calculations'!$W$55</definedName>
    <definedName name="Rem_DP4_Tens" localSheetId="6" hidden="0" function="0" vbProcedure="0">'[43]Weight Calculations'!$W$59</definedName>
    <definedName name="Rem_DP5_Tens" localSheetId="6" hidden="0" function="0" vbProcedure="0">'[43]Weight Calculations'!$W$60</definedName>
    <definedName name="Rentalequipment" localSheetId="6" hidden="0" function="0" vbProcedure="0">[43]DATA!$R$2:$R$79</definedName>
    <definedName name="Rental_Tool_ID" localSheetId="6" hidden="0" function="0" vbProcedure="0">[43]DATA!$S$2:$S$79</definedName>
    <definedName name="RESE" localSheetId="6" hidden="0" function="0" vbProcedure="0">'[140]tally checklist'!rese</definedName>
    <definedName name="reservoir15" localSheetId="6" hidden="0" function="0" vbProcedure="0">'[69]geological prognosis'!#ref!</definedName>
    <definedName name="reservoir16" localSheetId="6" hidden="0" function="0" vbProcedure="0">'[69]geological prognosis'!#ref!</definedName>
    <definedName name="reservoir17" localSheetId="6" hidden="0" function="0" vbProcedure="0">'[69]geological prognosis'!#ref!</definedName>
    <definedName name="reservoir18" localSheetId="6" hidden="0" function="0" vbProcedure="0">'[69]geological prognosis'!#ref!</definedName>
    <definedName name="reservoir19" localSheetId="6" hidden="0" function="0" vbProcedure="0">'[69]geological prognosis'!#ref!</definedName>
    <definedName name="reservoir20" localSheetId="6" hidden="0" function="0" vbProcedure="0">'[69]geological prognosis'!#ref!</definedName>
    <definedName name="reservoir21" localSheetId="6" hidden="0" function="0" vbProcedure="0">'[69]geological prognosis'!#ref!</definedName>
    <definedName name="reservoir22" localSheetId="6" hidden="0" function="0" vbProcedure="0">'[69]geological prognosis'!#ref!</definedName>
    <definedName name="reservoir23" localSheetId="6" hidden="0" function="0" vbProcedure="0">'[69]geological prognosis'!#ref!</definedName>
    <definedName name="reservoir24" localSheetId="6" hidden="0" function="0" vbProcedure="0">'[69]geological prognosis'!#ref!</definedName>
    <definedName name="reservoir25" localSheetId="6" hidden="0" function="0" vbProcedure="0">'[69]geological prognosis'!#ref!</definedName>
    <definedName name="reservoir26" localSheetId="6" hidden="0" function="0" vbProcedure="0">'[69]geological prognosis'!#ref!</definedName>
    <definedName name="reservoir27" localSheetId="6" hidden="0" function="0" vbProcedure="0">'[69]geological prognosis'!#ref!</definedName>
    <definedName name="reservoir28" localSheetId="6" hidden="0" function="0" vbProcedure="0">'[69]geological prognosis'!#ref!</definedName>
    <definedName name="reservoir29" localSheetId="6" hidden="0" function="0" vbProcedure="0">'[69]geological prognosis'!#ref!</definedName>
    <definedName name="resrevoir09" localSheetId="6" hidden="0" function="0" vbProcedure="0">'[69]geological prognosis'!#ref!</definedName>
    <definedName name="resrevoir10" localSheetId="6" hidden="0" function="0" vbProcedure="0">'[69]geological prognosis'!#ref!</definedName>
    <definedName name="resrevoir12" localSheetId="6" hidden="0" function="0" vbProcedure="0">'[69]geological prognosis'!#ref!</definedName>
    <definedName name="resrevoir13" localSheetId="6" hidden="0" function="0" vbProcedure="0">'[69]geological prognosis'!#ref!</definedName>
    <definedName name="resrevoir14" localSheetId="6" hidden="0" function="0" vbProcedure="0">'[69]geological prognosis'!#ref!</definedName>
    <definedName name="ret" localSheetId="6" hidden="0" function="0" vbProcedure="0">[37]钻井日报表!$G$3</definedName>
    <definedName name="Rev_XX" localSheetId="6" hidden="0" function="0" vbProcedure="0">'[81]Job Technical Info'!$L$4</definedName>
    <definedName name="rhstretchz" localSheetId="6" hidden="0" function="0" vbProcedure="0">'[43]Metric Conversions'!$C$38</definedName>
    <definedName name="RH_SHEAR" localSheetId="6" hidden="0" function="0" vbProcedure="0">'[43]Weight Calculations'!$H$21</definedName>
    <definedName name="RH_SHEAR_LNGTH" localSheetId="6" hidden="0" function="0" vbProcedure="0">'[43]Metric Conversions'!$B$37</definedName>
    <definedName name="RH_SHEAR_LNGTHz" localSheetId="6" hidden="0" function="0" vbProcedure="0">'[43]Metric Conversions'!$C$37</definedName>
    <definedName name="Rig" localSheetId="6" hidden="0" function="0" vbProcedure="0">'[131]Liner Job Info'!$E$8</definedName>
    <definedName name="rigcontractor1" localSheetId="6" hidden="0" function="0" vbProcedure="0">[50]Data!$G$1:$G$65536</definedName>
    <definedName name="Rigname1" localSheetId="6" hidden="0" function="0" vbProcedure="0">[50]Data!$E$1:$E$65536</definedName>
    <definedName name="RigPh" localSheetId="6" hidden="0" function="0" vbProcedure="0">'[81]Job Technical Info'!$G$17</definedName>
    <definedName name="Rig_Name" localSheetId="6" hidden="0" function="0" vbProcedure="0">'[72]Pre-Job Info Sheet'!$D$11</definedName>
    <definedName name="Rig_Output" localSheetId="6" hidden="0" function="0" vbProcedure="0">'[43]Displacement Cal.'!$G$7</definedName>
    <definedName name="RI_LC_Z2_ANSWERS_SCPacker1" localSheetId="6" hidden="0" function="0" vbProcedure="0">'[249]LowerCompletions - Risk Index'!$G$56</definedName>
    <definedName name="RI_LC_Z3_ANSWERS_SCPacker1" localSheetId="6" hidden="0" function="0" vbProcedure="0">'[249]LowerCompletions - Risk Index'!$G$69</definedName>
    <definedName name="RI_LC_Z4_ANSWERS_SCPacker1" localSheetId="6" hidden="0" function="0" vbProcedure="0">'[249]LowerCompletions - Risk Index'!$G$82</definedName>
    <definedName name="RI_LC_Z5_ANSWERS_SCPacker1" localSheetId="6" hidden="0" function="0" vbProcedure="0">'[249]LowerCompletions - Risk Index'!$G$95</definedName>
    <definedName name="Rotation" localSheetId="6" hidden="0" function="0" vbProcedure="0">[43]DATA!$AK$2:$AK$10</definedName>
    <definedName name="Rpt_Average_Header1" localSheetId="6" hidden="0" function="0" vbProcedure="0">#REF!</definedName>
    <definedName name="Rpt_Average_Header2" localSheetId="6" hidden="0" function="0" vbProcedure="0">#REF!</definedName>
    <definedName name="Rpt_Comments" localSheetId="6" hidden="0" function="0" vbProcedure="0">#REF!</definedName>
    <definedName name="Rpt_Logo_Left" localSheetId="6" hidden="0" function="0" vbProcedure="0">#REF!</definedName>
    <definedName name="Rpt_Logo_Right" localSheetId="6" hidden="0" function="0" vbProcedure="0">#REF!</definedName>
    <definedName name="rrr" localSheetId="6" hidden="1" function="0" vbProcedure="0">{#N/A,#N/A,FALSE,"Sheet1"}</definedName>
    <definedName name="RSS_TO_COMPLETE" localSheetId="6" hidden="0" function="0" vbProcedure="0">[129]RSS!$K$197</definedName>
    <definedName name="rtb" localSheetId="6" hidden="0" function="0" vbProcedure="0">'[89]Max-Torq'!$P$61</definedName>
    <definedName name="Runningtool" localSheetId="6" hidden="0" function="0" vbProcedure="0">[43]DATA!$AO$2:$AO$8</definedName>
    <definedName name="Rupees" localSheetId="6" hidden="0" function="0" vbProcedure="0">'[170]Cash Expense March-96'!$H$6</definedName>
    <definedName name="R_Group_ID" localSheetId="6" hidden="0" function="0" vbProcedure="0">[43]DATA!$T$2:$T$79</definedName>
    <definedName name="S" localSheetId="6" hidden="0" function="0" vbProcedure="0">'[1]run sheet'!#ref!</definedName>
    <definedName name="Salesequipment" localSheetId="6" hidden="0" function="0" vbProcedure="0">[43]DATA!$O$2:$O$268</definedName>
    <definedName name="Salesman" localSheetId="6" hidden="0" function="0" vbProcedure="0">'[72]Pre-Job Info Sheet'!$B$7</definedName>
    <definedName name="Sales_Explosive_Type" localSheetId="6" hidden="0" function="0" vbProcedure="0">'[72]Pre-Job Info Sheet'!$B$24</definedName>
    <definedName name="Sales_Gun_Size" localSheetId="6" hidden="0" function="0" vbProcedure="0">'[72]Pre-Job Info Sheet'!$B$21</definedName>
    <definedName name="Sales_Lease" localSheetId="6" hidden="0" function="0" vbProcedure="0">'[72]Pre-Job Info Sheet'!$D$8</definedName>
    <definedName name="Sales_SPF" localSheetId="6" hidden="0" function="0" vbProcedure="0">'[72]Pre-Job Info Sheet'!$B$22</definedName>
    <definedName name="Sales_Ticket_Number" localSheetId="6" hidden="0" function="0" vbProcedure="0">'[84]Liner Job Info'!$E$11</definedName>
    <definedName name="Sales_Underbalance" localSheetId="6" hidden="0" function="0" vbProcedure="0">'[72]Pre-Job Info Sheet'!$D$35</definedName>
    <definedName name="Sales_Well_Name" localSheetId="6" hidden="0" function="0" vbProcedure="0">'[72]Pre-Job Info Sheet'!$D$6</definedName>
    <definedName name="salinity" localSheetId="6" hidden="0" function="0" vbProcedure="0">'[94]well test sheet'!#ref!</definedName>
    <definedName name="SANDOUT_PRESSURE" localSheetId="6" hidden="0" function="0" vbProcedure="0">'[6]#REF'!$I$107</definedName>
    <definedName name="SAND_ABOVE_PERFS_PREPACK" localSheetId="6" hidden="0" function="0" vbProcedure="0">'[6]#REF'!$F$175</definedName>
    <definedName name="SAND_DIVERTER" localSheetId="6" hidden="0" function="0" vbProcedure="0">'[6]#REF'!$F$56</definedName>
    <definedName name="SAND_GP" localSheetId="6" hidden="0" function="0" vbProcedure="0">'[6]#REF'!$F$64</definedName>
    <definedName name="SAND_IN_CAS_BLNK" localSheetId="6" hidden="0" function="0" vbProcedure="0">'[6]#ref'!#ref!</definedName>
    <definedName name="SAND_IN_CAS_EXT" localSheetId="6" hidden="0" function="0" vbProcedure="0">'[6]#ref'!#ref!</definedName>
    <definedName name="SAND_IN_CAS_PREPACK" localSheetId="6" hidden="0" function="0" vbProcedure="0">'[6]#REF'!$F$81</definedName>
    <definedName name="SAND_IN_CAS_SCR" localSheetId="6" hidden="0" function="0" vbProcedure="0">'[6]#ref'!#ref!</definedName>
    <definedName name="SAND_IN_PERFS" localSheetId="6" hidden="0" function="0" vbProcedure="0">'[6]#REF'!$I$185</definedName>
    <definedName name="SAND_IN_PERFS_PP" localSheetId="6" hidden="0" function="0" vbProcedure="0">'[6]#REF'!$F$82</definedName>
    <definedName name="SAND_PASS_XO_PORT" localSheetId="6" hidden="0" function="0" vbProcedure="0">'[6]#REF'!$E$195</definedName>
    <definedName name="SAND_PERMEABILITY" localSheetId="6" hidden="0" function="0" vbProcedure="0">'[6]#REF'!$I$105</definedName>
    <definedName name="SAND_PLACED_GP" localSheetId="6" hidden="0" function="0" vbProcedure="0">'[6]#REF'!$F$95</definedName>
    <definedName name="SAND_PREPACK" localSheetId="6" hidden="0" function="0" vbProcedure="0">'[6]#REF'!$F$44</definedName>
    <definedName name="SAND_PUMPED_GP" localSheetId="6" hidden="0" function="0" vbProcedure="0">'[6]#REF'!$F$92</definedName>
    <definedName name="SAND_PUMPED_PREPACK" localSheetId="6" hidden="0" function="0" vbProcedure="0">'[6]#REF'!$F$78</definedName>
    <definedName name="SAND_REVOUT_GP" localSheetId="6" hidden="0" function="0" vbProcedure="0">'[6]#REF'!$F$93</definedName>
    <definedName name="SAND_REVOUT_PREPACK" localSheetId="6" hidden="0" function="0" vbProcedure="0">'[6]#REF'!$F$79</definedName>
    <definedName name="Save_Document" localSheetId="6" hidden="0" function="0" vbProcedure="0">[73]!Save_Document</definedName>
    <definedName name="Save_Document_1" localSheetId="6" hidden="0" function="0" vbProcedure="0">'JOB ORDER '!Save_Document</definedName>
    <definedName name="Save_Document_10" localSheetId="6" hidden="0" function="0" vbProcedure="0">'JOB ORDER '!Save_Document</definedName>
    <definedName name="Save_Document_11" localSheetId="6" hidden="0" function="0" vbProcedure="0">'JOB ORDER '!Save_Document</definedName>
    <definedName name="Save_Document_2" localSheetId="6" hidden="0" function="0" vbProcedure="0">'JOB ORDER '!Save_Document</definedName>
    <definedName name="Save_Document_3" localSheetId="6" hidden="0" function="0" vbProcedure="0">'JOB ORDER '!Save_Document</definedName>
    <definedName name="Save_Document_4" localSheetId="6" hidden="0" function="0" vbProcedure="0">'JOB ORDER '!Save_Document</definedName>
    <definedName name="Save_Document_5" localSheetId="6" hidden="0" function="0" vbProcedure="0">'JOB ORDER '!Save_Document</definedName>
    <definedName name="Save_Document_6" localSheetId="6" hidden="0" function="0" vbProcedure="0">'JOB ORDER '!Save_Document</definedName>
    <definedName name="Save_Document_7" localSheetId="6" hidden="0" function="0" vbProcedure="0">'JOB ORDER '!Save_Document</definedName>
    <definedName name="Save_Document_8" localSheetId="6" hidden="0" function="0" vbProcedure="0">'JOB ORDER '!Save_Document</definedName>
    <definedName name="Save_Document_9" localSheetId="6" hidden="0" function="0" vbProcedure="0">'JOB ORDER '!Save_Document</definedName>
    <definedName name="SCB" localSheetId="6" hidden="0" function="0" vbProcedure="0">[129]RSS!$B$136:$B$144</definedName>
    <definedName name="SCHE" localSheetId="6" hidden="0" function="0" vbProcedure="0">[16]!Macro1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6" hidden="0" function="0" vbProcedure="0">'[6]#REF'!$H$14</definedName>
    <definedName name="screenidlist" localSheetId="6" hidden="0" function="0" vbProcedure="0">[62]Data!$E$79:$F$127</definedName>
    <definedName name="screenlength" localSheetId="6" hidden="0" function="0" vbProcedure="0">'[6]#REF'!$J$14</definedName>
    <definedName name="screenod" localSheetId="6" hidden="0" function="0" vbProcedure="0">'[6]#REF'!$F$14</definedName>
    <definedName name="screentype" localSheetId="6" hidden="0" function="0" vbProcedure="0">'[6]#REF'!$M$14</definedName>
    <definedName name="SCREEN_LENGTH" localSheetId="6" hidden="0" function="0" vbProcedure="0">'[6]#REF'!$J$13</definedName>
    <definedName name="SCREEN_OD" localSheetId="6" hidden="0" function="0" vbProcedure="0">'[6]#REF'!$F$14</definedName>
    <definedName name="sd" localSheetId="6" hidden="0" function="0" vbProcedure="0">null</definedName>
    <definedName name="SDE_23" localSheetId="6" hidden="0" function="0" vbProcedure="0">[71]!Calculate_Pipe</definedName>
    <definedName name="se" localSheetId="6" hidden="0" function="0" vbProcedure="0">'[262]calculo de gas total'!#ref!</definedName>
    <definedName name="SeatID" localSheetId="6" hidden="0" function="0" vbProcedure="0">[43]DATA!$BC$2:$BC$6</definedName>
    <definedName name="SeatNumber" localSheetId="6" hidden="0" function="0" vbProcedure="0">[43]DATA!$BD$2:$BD$7</definedName>
    <definedName name="SeatShear" localSheetId="6" hidden="0" function="0" vbProcedure="0">[43]DATA!$BE$2:$BE$4</definedName>
    <definedName name="SeatType" localSheetId="6" hidden="0" function="0" vbProcedure="0">[43]DATA!$BB$2:$BB$4</definedName>
    <definedName name="sep_press" localSheetId="6" hidden="0" function="0" vbProcedure="0">'[94]well test sheet'!#ref!</definedName>
    <definedName name="sep_temp" localSheetId="6" hidden="0" function="0" vbProcedure="0">'[94]well test sheet'!#ref!</definedName>
    <definedName name="serialselect1" localSheetId="6" hidden="0" function="0" vbProcedure="0">'JOB ORDER '!serialselect1</definedName>
    <definedName name="serialselect2" localSheetId="6" hidden="0" function="0" vbProcedure="0">'JOB ORDER '!serialselect2</definedName>
    <definedName name="serialselect3" localSheetId="6" hidden="0" function="0" vbProcedure="0">'JOB ORDER '!serialselect3</definedName>
    <definedName name="serialselect4" localSheetId="6" hidden="0" function="0" vbProcedure="0">'JOB ORDER '!serialselect4</definedName>
    <definedName name="ServiceCenter" localSheetId="6" hidden="0" function="0" vbProcedure="0">'[58]Well Installation Drawing'!$L$13</definedName>
    <definedName name="SETTLEMENT_RATE" localSheetId="6" hidden="0" function="0" vbProcedure="0">'[6]#REF'!$I$120</definedName>
    <definedName name="Sett_Tool_Tens" localSheetId="6" hidden="0" function="0" vbProcedure="0">'[43]Liner Job Info'!$P$44</definedName>
    <definedName name="Shear_HR_Mech_Release" localSheetId="6" hidden="0" function="0" vbProcedure="0">'[43]Liner Job Info'!$P$49</definedName>
    <definedName name="SHER" localSheetId="6" hidden="0" function="0" vbProcedure="0">'[140]tally checklist'!sher</definedName>
    <definedName name="shippedvia" localSheetId="6" hidden="0" function="0" vbProcedure="0">'[30]data '!#ref!</definedName>
    <definedName name="shit" localSheetId="6" hidden="1" function="0" vbProcedure="0">{#N/A,#N/A,FALSE,"Sheet1"}</definedName>
    <definedName name="SHO" localSheetId="6" hidden="0" function="0" vbProcedure="0">[37]钻井日报表!$G$3</definedName>
    <definedName name="ShoeTrack_Vol" localSheetId="6" hidden="0" function="0" vbProcedure="0">'[43]Metric Conversions'!$B$76</definedName>
    <definedName name="ShoeTrack_Volz" localSheetId="6" hidden="0" function="0" vbProcedure="0">'[43]Metric Conversions'!$C$76</definedName>
    <definedName name="Shoe_Track_Length" localSheetId="6" hidden="0" function="0" vbProcedure="0">'[43]Metric Conversions'!$B$19</definedName>
    <definedName name="Shoe_Track_Lengthz" localSheetId="6" hidden="0" function="0" vbProcedure="0">'[43]Liner Job Info'!$D$19</definedName>
    <definedName name="Show_1" localSheetId="6" hidden="0" function="0" vbProcedure="0">[41]!Show_1</definedName>
    <definedName name="Show_1_1" localSheetId="6" hidden="0" function="0" vbProcedure="0">[73]!Show_1</definedName>
    <definedName name="Show_1_10" localSheetId="6" hidden="0" function="0" vbProcedure="0">[73]!Show_1</definedName>
    <definedName name="Show_1_11" localSheetId="6" hidden="0" function="0" vbProcedure="0">[73]!Show_1</definedName>
    <definedName name="Show_1_2" localSheetId="6" hidden="0" function="0" vbProcedure="0">[73]!Show_1</definedName>
    <definedName name="Show_1_3" localSheetId="6" hidden="0" function="0" vbProcedure="0">[73]!Show_1</definedName>
    <definedName name="Show_1_4" localSheetId="6" hidden="0" function="0" vbProcedure="0">[73]!Show_1</definedName>
    <definedName name="Show_1_5" localSheetId="6" hidden="0" function="0" vbProcedure="0">[73]!Show_1</definedName>
    <definedName name="Show_1_6" localSheetId="6" hidden="0" function="0" vbProcedure="0">[73]!Show_1</definedName>
    <definedName name="Show_1_7" localSheetId="6" hidden="0" function="0" vbProcedure="0">[73]!Show_1</definedName>
    <definedName name="Show_1_8" localSheetId="6" hidden="0" function="0" vbProcedure="0">[73]!Show_1</definedName>
    <definedName name="Show_1_9" localSheetId="6" hidden="0" function="0" vbProcedure="0">[73]!Show_1</definedName>
    <definedName name="Show_2" localSheetId="6" hidden="0" function="0" vbProcedure="0">[41]!Show_2</definedName>
    <definedName name="Show_2_1" localSheetId="6" hidden="0" function="0" vbProcedure="0">[73]!Show_2</definedName>
    <definedName name="Show_2_10" localSheetId="6" hidden="0" function="0" vbProcedure="0">[73]!Show_2</definedName>
    <definedName name="Show_2_11" localSheetId="6" hidden="0" function="0" vbProcedure="0">[73]!Show_2</definedName>
    <definedName name="Show_2_2" localSheetId="6" hidden="0" function="0" vbProcedure="0">[73]!Show_2</definedName>
    <definedName name="Show_2_3" localSheetId="6" hidden="0" function="0" vbProcedure="0">[73]!Show_2</definedName>
    <definedName name="Show_2_4" localSheetId="6" hidden="0" function="0" vbProcedure="0">[73]!Show_2</definedName>
    <definedName name="Show_2_5" localSheetId="6" hidden="0" function="0" vbProcedure="0">[73]!Show_2</definedName>
    <definedName name="Show_2_6" localSheetId="6" hidden="0" function="0" vbProcedure="0">[73]!Show_2</definedName>
    <definedName name="Show_2_7" localSheetId="6" hidden="0" function="0" vbProcedure="0">[73]!Show_2</definedName>
    <definedName name="Show_2_8" localSheetId="6" hidden="0" function="0" vbProcedure="0">[73]!Show_2</definedName>
    <definedName name="Show_2_9" localSheetId="6" hidden="0" function="0" vbProcedure="0">[73]!Show_2</definedName>
    <definedName name="Size" localSheetId="6" hidden="0" function="0" vbProcedure="0">#REF!</definedName>
    <definedName name="SJT_DEPTH" localSheetId="6" hidden="0" function="0" vbProcedure="0">'[6]#REF'!$F$22</definedName>
    <definedName name="SJ_DEPTH" localSheetId="6" hidden="0" function="0" vbProcedure="0">'[6]#REF'!$F$22</definedName>
    <definedName name="SL" localSheetId="6" hidden="0" function="0" vbProcedure="0">[186]BHA!$C$3</definedName>
    <definedName name="SleeveLength" localSheetId="6" hidden="0" function="0" vbProcedure="0">[43]DATA!$AV$2:$AV$4</definedName>
    <definedName name="SLURRY_DENSITY" localSheetId="6" hidden="0" function="0" vbProcedure="0">'[6]#REF'!$F$70</definedName>
    <definedName name="SLURRY_VOL_PREPACK" localSheetId="6" hidden="0" function="0" vbProcedure="0">'[6]#REF'!$F$48</definedName>
    <definedName name="soldto" localSheetId="6" hidden="0" function="0" vbProcedure="0">'[122]Call Sheet'!$AL$3</definedName>
    <definedName name="sort" localSheetId="6" hidden="1" function="0" vbProcedure="0">[259]Sheet1!$A$181:$H$210</definedName>
    <definedName name="SORT_AREA" localSheetId="6" hidden="0" function="0" vbProcedure="0">'[234]DI-ESTI'!$A$8:$R$489</definedName>
    <definedName name="Spacedout" localSheetId="6" hidden="1" function="0" vbProcedure="0">{#N/A,#N/A,FALSE,"Drlg Param Run 1-1";#N/A,#N/A,FALSE,"DDR (3)";#N/A,#N/A,FALSE,"BHA AT (1)";#N/A,#N/A,FALSE,"Downlinkbha";#N/A,#N/A,FALSE,"Job Status Report"}</definedName>
    <definedName name="SpacerType" localSheetId="6" hidden="0" function="0" vbProcedure="0">[43]DATA!$BK$2:$BK$7</definedName>
    <definedName name="Spiral_Type" localSheetId="6" hidden="0" function="0" vbProcedure="0">[43]DATA!$BM$2:$BM$5</definedName>
    <definedName name="SSA" localSheetId="6" hidden="0" function="0" vbProcedure="0">[266]!Macro46</definedName>
    <definedName name="ssdsd" localSheetId="6" hidden="0" function="0" vbProcedure="0">'[140]tally checklist'!ssdsd</definedName>
    <definedName name="SSID" localSheetId="6" hidden="0" function="0" vbProcedure="0">'[43]Liner Job Info'!$O$6</definedName>
    <definedName name="sss" localSheetId="6" hidden="1" function="0" vbProcedure="0">{#N/A,#N/A,FALSE,"Drlg Param Run 1-1";#N/A,#N/A,FALSE,"DDR (3)";#N/A,#N/A,FALSE,"BHA AT (1)";#N/A,#N/A,FALSE,"Downlinkbha";#N/A,#N/A,FALSE,"Job Status Report"}</definedName>
    <definedName name="Stage_Number" localSheetId="6" hidden="0" function="0" vbProcedure="0">'[72]Pre-Job Info Sheet'!$B$15</definedName>
    <definedName name="Start_Here" localSheetId="6" hidden="0" function="0" vbProcedure="0">'[261]9.625 TCP String'!$B$10</definedName>
    <definedName name="state" localSheetId="6" hidden="0" function="0" vbProcedure="0">'[115]CPS Call Sheet'!$AC$7</definedName>
    <definedName name="status" localSheetId="6" hidden="0" function="0" vbProcedure="0">'[215]BPR LOG'!$H$1:$H$1048576</definedName>
    <definedName name="Stretch_DP1_Lnr_Wt" localSheetId="6" hidden="0" function="0" vbProcedure="0">'[43]Metric Conversions'!$B$30</definedName>
    <definedName name="Stretch_DP1_Lnr_Wtz" localSheetId="6" hidden="0" function="0" vbProcedure="0">'[43]Metric Conversions'!$C$30</definedName>
    <definedName name="Stretch_DP2_Lnr_Wt" localSheetId="6" hidden="0" function="0" vbProcedure="0">'[43]Metric Conversions'!$B$31</definedName>
    <definedName name="Stretch_DP2_Lnr_Wtz" localSheetId="6" hidden="0" function="0" vbProcedure="0">'[43]Metric Conversions'!$C$31</definedName>
    <definedName name="Stretch_DP3_Lnr_Wt" localSheetId="6" hidden="0" function="0" vbProcedure="0">'[43]Metric Conversions'!$B$32</definedName>
    <definedName name="Stretch_DP3_Lnr_Wtz" localSheetId="6" hidden="0" function="0" vbProcedure="0">'[43]Metric Conversions'!$C$32</definedName>
    <definedName name="Stretch_DP4_Lnr_Wt" localSheetId="6" hidden="0" function="0" vbProcedure="0">'[43]Metric Conversions'!$B$33</definedName>
    <definedName name="Stretch_DP4_Lnr_Wtz" localSheetId="6" hidden="0" function="0" vbProcedure="0">'[43]Metric Conversions'!$C$33</definedName>
    <definedName name="Stretch_DP5_Lnr_Wt" localSheetId="6" hidden="0" function="0" vbProcedure="0">'[43]Metric Conversions'!$B$34</definedName>
    <definedName name="Stretch_DP5_Lnr_Wtz" localSheetId="6" hidden="0" function="0" vbProcedure="0">'[43]Metric Conversions'!$C$34</definedName>
    <definedName name="Stretch_TTL_Lnr_Wt" localSheetId="6" hidden="0" function="0" vbProcedure="0">'[43]Metric Conversions'!$B$36</definedName>
    <definedName name="Stretch_TTL_Lnr_Wtz" localSheetId="6" hidden="0" function="0" vbProcedure="0">'[43]Metric Conversions'!$C$36</definedName>
    <definedName name="SubSeaTVD_Column" localSheetId="6" hidden="0" function="0" vbProcedure="0">null</definedName>
    <definedName name="SubSeaTVD_Unit" localSheetId="6" hidden="0" function="0" vbProcedure="0">null</definedName>
    <definedName name="SUMP_DEPTH" localSheetId="6" hidden="0" function="0" vbProcedure="0">'[6]#REF'!$F$23</definedName>
    <definedName name="Surfaceequipment" localSheetId="6" hidden="0" function="0" vbProcedure="0">[43]DATA!$AQ$2:$AQ$11</definedName>
    <definedName name="surfacefracpressure" localSheetId="6" hidden="0" function="0" vbProcedure="0">[62]Data!$F$4</definedName>
    <definedName name="Surf_Equip_Tens" localSheetId="6" hidden="0" function="0" vbProcedure="0">'[43]Liner Job Info'!$P$46</definedName>
    <definedName name="Svy_Print_Area" localSheetId="6" hidden="0" function="0" vbProcedure="0">'[261]9.625 TCP String'!$B$12:$I$3772</definedName>
    <definedName name="SWELL_PKR" localSheetId="6" hidden="0" function="0" vbProcedure="0">INDEX([78]PKR!$F$2:$G$10,MATCH([78]PKR!$H$1,[78]PKR!$F$2:$F$10,0),2)</definedName>
    <definedName name="t." localSheetId="6" hidden="0" function="0" vbProcedure="0">[48]!Prev.Macro102</definedName>
    <definedName name="Tally" localSheetId="6" hidden="0" function="0" vbProcedure="0">[265]Tally!$A$5:$C$1004</definedName>
    <definedName name="Tally_2" localSheetId="6" hidden="0" function="0" vbProcedure="0">[265]Tally!$E$5:$G$1004</definedName>
    <definedName name="Tally_3" localSheetId="6" hidden="0" function="0" vbProcedure="0">[265]Tally!$I$5:$K$1004</definedName>
    <definedName name="Taper_String_Grade" localSheetId="6" hidden="0" function="0" vbProcedure="0">'[72]Pre-Job Info Sheet'!$D$31</definedName>
    <definedName name="Taper_String_Size" localSheetId="6" hidden="0" function="0" vbProcedure="0">'[72]Pre-Job Info Sheet'!$D$29</definedName>
    <definedName name="Taper_String_Type" localSheetId="6" hidden="0" function="0" vbProcedure="0">'[72]Pre-Job Info Sheet'!$D$28</definedName>
    <definedName name="Taper_String_Wt._Ft." localSheetId="6" hidden="0" function="0" vbProcedure="0">'[72]Pre-Job Info Sheet'!$D$30</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0" function="0" vbProcedure="0">#REF!,#REF!</definedName>
    <definedName name="TARIQ" localSheetId="6" hidden="0" function="0" vbProcedure="0">[146]!Calculate_Pipe</definedName>
    <definedName name="TbgDrift1" localSheetId="6" hidden="0" function="0" vbProcedure="0">'[81]Job Technical Info'!$G$35</definedName>
    <definedName name="TbgDrift2" localSheetId="6" hidden="0" function="0" vbProcedure="0">'[81]Job Technical Info'!$G$36</definedName>
    <definedName name="TbgDrift3" localSheetId="6" hidden="0" function="0" vbProcedure="0">'[81]Job Technical Info'!$G$37</definedName>
    <definedName name="TbgDrift4" localSheetId="6" hidden="0" function="0" vbProcedure="0">'[81]Job Technical Info'!$G$38</definedName>
    <definedName name="TbgGrade" localSheetId="6" hidden="0" function="0" vbProcedure="0">[268]MUT!$O$3:$O$4</definedName>
    <definedName name="TbgGrd1" localSheetId="6" hidden="0" function="0" vbProcedure="0">'[81]Job Technical Info'!$H$35</definedName>
    <definedName name="TbgGrd2" localSheetId="6" hidden="0" function="0" vbProcedure="0">'[81]Job Technical Info'!$H$36</definedName>
    <definedName name="TbgGrd3" localSheetId="6" hidden="0" function="0" vbProcedure="0">'[81]Job Technical Info'!$H$37</definedName>
    <definedName name="TbgGrd4" localSheetId="6" hidden="0" function="0" vbProcedure="0">'[81]Job Technical Info'!$H$38</definedName>
    <definedName name="TbgID1" localSheetId="6" hidden="0" function="0" vbProcedure="0">'[81]Job Technical Info'!$F$35</definedName>
    <definedName name="TbgID2" localSheetId="6" hidden="0" function="0" vbProcedure="0">'[81]Job Technical Info'!$F$36</definedName>
    <definedName name="TbgID3" localSheetId="6" hidden="0" function="0" vbProcedure="0">'[81]Job Technical Info'!$F$37</definedName>
    <definedName name="TbgID4" localSheetId="6" hidden="0" function="0" vbProcedure="0">'[81]Job Technical Info'!$F$38</definedName>
    <definedName name="TbgSz1" localSheetId="6" hidden="0" function="0" vbProcedure="0">'[81]Job Technical Info'!$D$35</definedName>
    <definedName name="TbgSz2" localSheetId="6" hidden="0" function="0" vbProcedure="0">'[81]Job Technical Info'!$D$36</definedName>
    <definedName name="TbgSz3" localSheetId="6" hidden="0" function="0" vbProcedure="0">'[81]Job Technical Info'!$D$37</definedName>
    <definedName name="TbgSz4" localSheetId="6" hidden="0" function="0" vbProcedure="0">'[81]Job Technical Info'!$D$38</definedName>
    <definedName name="TbgThd1" localSheetId="6" hidden="0" function="0" vbProcedure="0">'[81]Job Technical Info'!$J$35</definedName>
    <definedName name="TbgThd2" localSheetId="6" hidden="0" function="0" vbProcedure="0">'[81]Job Technical Info'!$J$36</definedName>
    <definedName name="TbgThd3" localSheetId="6" hidden="0" function="0" vbProcedure="0">'[81]Job Technical Info'!$J$37</definedName>
    <definedName name="TbgThd4" localSheetId="6" hidden="0" function="0" vbProcedure="0">'[81]Job Technical Info'!$J$38</definedName>
    <definedName name="TbgWt1" localSheetId="6" hidden="0" function="0" vbProcedure="0">'[81]Job Technical Info'!$E$35</definedName>
    <definedName name="TbgWt2" localSheetId="6" hidden="0" function="0" vbProcedure="0">'[81]Job Technical Info'!$E$36</definedName>
    <definedName name="TbgWt3" localSheetId="6" hidden="0" function="0" vbProcedure="0">'[81]Job Technical Info'!$E$37</definedName>
    <definedName name="TbgWt4" localSheetId="6" hidden="0" function="0" vbProcedure="0">'[81]Job Technical Info'!$E$38</definedName>
    <definedName name="TB_Ext_API_Coll" localSheetId="6" hidden="0" function="0" vbProcedure="0">'[43]Metric Conversions'!$B$55</definedName>
    <definedName name="TB_Ext_API_Collz" localSheetId="6" hidden="0" function="0" vbProcedure="0">'[43]Liner Job Info'!$P$37</definedName>
    <definedName name="TB_Ext_Bst" localSheetId="6" hidden="0" function="0" vbProcedure="0">'[43]Metric Conversions'!$B$54</definedName>
    <definedName name="TB_Ext_Bstz" localSheetId="6" hidden="0" function="0" vbProcedure="0">'[43]Liner Job Info'!$P$36</definedName>
    <definedName name="TB_EXT_ID" localSheetId="6" hidden="0" function="0" vbProcedure="0">'[43]Liner Job Info'!$P$35</definedName>
    <definedName name="TB_Ext_Yield_Collz" localSheetId="6" hidden="0" function="0" vbProcedure="0">'[43]Liner Job Info'!$P$38</definedName>
    <definedName name="TCPSTRING" localSheetId="6" hidden="0" function="0" vbProcedure="0">[277]!ADDSTAB</definedName>
    <definedName name="TD_Depth_md" localSheetId="6" hidden="0" function="0" vbProcedure="0">'[69]well specification'!#ref!</definedName>
    <definedName name="TD_md" localSheetId="6" hidden="0" function="0" vbProcedure="0">'[69]well specification'!#ref!</definedName>
    <definedName name="tedtr" localSheetId="6" hidden="0" function="0" vbProcedure="0">'[89]Max-Torq'!$P$72</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6" hidden="0" function="0" vbProcedure="0">'[89]Max-Torq'!$N$58</definedName>
    <definedName name="terry1" localSheetId="6" hidden="0" function="0" vbProcedure="0">{#N/A,#N/A,FALSE,"Volume"}</definedName>
    <definedName name="terry2" localSheetId="6" hidden="0" function="0" vbProcedure="0">{#N/A,#N/A,FALSE,"Volume"}</definedName>
    <definedName name="terry3" localSheetId="6" hidden="0" function="0" vbProcedure="0">{#N/A,#N/A,FALSE,"Volume"}</definedName>
    <definedName name="terry4" localSheetId="6" hidden="0" function="0" vbProcedure="0">{#N/A,#N/A,FALSE,"Volume"}</definedName>
    <definedName name="terry5" localSheetId="6" hidden="0" function="0" vbProcedure="0">{#N/A,#N/A,FALSE,"Volume"}</definedName>
    <definedName name="TEST" localSheetId="6" hidden="0" function="0" vbProcedure="0">#REF!</definedName>
    <definedName name="Test_po_out_1" localSheetId="6" hidden="0" function="0" vbProcedure="0">[43]Test!$M$28</definedName>
    <definedName name="Test_po_out_2" localSheetId="6" hidden="0" function="0" vbProcedure="0">[43]Test!$M$29</definedName>
    <definedName name="textfive" localSheetId="6" hidden="0" function="0" vbProcedure="0">'[140]tally checklist'!textfive</definedName>
    <definedName name="textfivehalf" localSheetId="6" hidden="0" function="0" vbProcedure="0">'[140]tally checklist'!textfivehalf</definedName>
    <definedName name="textninefiveeightfourfirst" localSheetId="6" hidden="0" function="0" vbProcedure="0">'[140]tally checklist'!textninefiveeightfourfirst</definedName>
    <definedName name="textninefiveeightfoursecond" localSheetId="6" hidden="0" function="0" vbProcedure="0">'[140]tally checklist'!textninefiveeightfoursecond</definedName>
    <definedName name="textninefiveeightsixfirst" localSheetId="6" hidden="0" function="0" vbProcedure="0">'[140]tally checklist'!textninefiveeightsixfirst</definedName>
    <definedName name="textninefiveeightsixsecond" localSheetId="6" hidden="0" function="0" vbProcedure="0">'[140]tally checklist'!textninefiveeightsixsecond</definedName>
    <definedName name="textsevenfiveeightfour" localSheetId="6" hidden="0" function="0" vbProcedure="0">'[140]tally checklist'!textsevenfiveeightfour</definedName>
    <definedName name="textsevenfiveeightthree" localSheetId="6" hidden="0" function="0" vbProcedure="0">'[140]tally checklist'!textsevenfiveeightthree</definedName>
    <definedName name="textsevenfour" localSheetId="6" hidden="0" function="0" vbProcedure="0">'[140]tally checklist'!textsevenfour</definedName>
    <definedName name="textseventhree" localSheetId="6" hidden="0" function="0" vbProcedure="0">'[140]tally checklist'!textseventhree</definedName>
    <definedName name="text_five" localSheetId="6" hidden="0" function="0" vbProcedure="0">'[140]tally checklist'!text_five</definedName>
    <definedName name="text_fivehalf" localSheetId="6" hidden="0" function="0" vbProcedure="0">'[140]tally checklist'!text_fivehalf</definedName>
    <definedName name="text_ninefiveeightfourfirst" localSheetId="6" hidden="0" function="0" vbProcedure="0">'[140]tally checklist'!text_ninefiveeightfourfirst</definedName>
    <definedName name="text_ninefiveeightfoursecond" localSheetId="6" hidden="0" function="0" vbProcedure="0">'[140]tally checklist'!text_ninefiveeightfoursecond</definedName>
    <definedName name="text_ninefiveeightsixfirst" localSheetId="6" hidden="0" function="0" vbProcedure="0">'[140]tally checklist'!text_ninefiveeightsixfirst</definedName>
    <definedName name="text_ninefiveeightsixsecond" localSheetId="6" hidden="0" function="0" vbProcedure="0">'[140]tally checklist'!text_ninefiveeightsixsecond</definedName>
    <definedName name="text_sevenfiveeightfour" localSheetId="6" hidden="0" function="0" vbProcedure="0">'[140]tally checklist'!text_sevenfiveeightfour</definedName>
    <definedName name="text_sevenfiveeightthree" localSheetId="6" hidden="0" function="0" vbProcedure="0">'[140]tally checklist'!text_sevenfiveeightthree</definedName>
    <definedName name="text_sevenfour" localSheetId="6" hidden="0" function="0" vbProcedure="0">'[140]tally checklist'!text_sevenfour</definedName>
    <definedName name="text_seventhree" localSheetId="6" hidden="0" function="0" vbProcedure="0">'[140]tally checklist'!text_seventhree</definedName>
    <definedName name="tgrade" localSheetId="6" hidden="0" function="0" vbProcedure="0">[223]Control!$D$9</definedName>
    <definedName name="TGW" localSheetId="6" hidden="0" function="0" vbProcedure="0">'[140]tally checklist'!tgw</definedName>
    <definedName name="ThreadCon" localSheetId="6" hidden="0" function="0" vbProcedure="0">[272]MUT!$R$3:$R$9</definedName>
    <definedName name="ticketdate" localSheetId="6" hidden="0" function="0" vbProcedure="0">'[122]Call Sheet'!$AH$1</definedName>
    <definedName name="tickettype" localSheetId="6" hidden="0" function="0" vbProcedure="0">[52]data!#ref!</definedName>
    <definedName name="time" localSheetId="6" hidden="0" function="0" vbProcedure="0">'[94]well test sheet'!#ref!</definedName>
    <definedName name="Time2" localSheetId="6" hidden="1" function="0" vbProcedure="0">{#N/A,#N/A,FALSE,"Volume"}</definedName>
    <definedName name="TLCENG" localSheetId="6" hidden="0" function="0" vbProcedure="0">[105]Reference!$D$2</definedName>
    <definedName name="TLDENG" localSheetId="6" hidden="0" function="0" vbProcedure="0">[105]Reference!$C$2</definedName>
    <definedName name="TLDOPS" localSheetId="6" hidden="0" function="0" vbProcedure="0">[105]Reference!$E$2:$E$3</definedName>
    <definedName name="TOL" localSheetId="6" hidden="0" function="0" vbProcedure="0">'[131]Metric Conversions'!$B$28</definedName>
    <definedName name="TOLz" localSheetId="6" hidden="0" function="0" vbProcedure="0">'[43]Liner Job Info'!$I$19</definedName>
    <definedName name="ToolMaterial" localSheetId="6" hidden="0" function="0" vbProcedure="0">[43]DATA!$BN$2:$BN$8</definedName>
    <definedName name="Tool_ID" localSheetId="6" hidden="0" function="0" vbProcedure="0">[43]DATA!$P$2:$P$268</definedName>
    <definedName name="TOPPKRIMG" localSheetId="6" hidden="0" function="0" vbProcedure="0">INDEX([275]PKR!$A$16:$B$17,MATCH([275]INPUT!$G$56,[275]PKR!$A$16:$A$17,0),2)</definedName>
    <definedName name="TOPPKRIMG_1" localSheetId="6" hidden="0" function="0" vbProcedure="0">INDEX([236]PKR!$A$16:$B$18,MATCH([236]INPUT!$G$56,[236]PKR!$A$16:$A$18,0),2)</definedName>
    <definedName name="Top_Drive_y_n" localSheetId="6" hidden="0" function="0" vbProcedure="0">'[45]liner job info'!#ref!</definedName>
    <definedName name="Top_Perf._TVD" localSheetId="6" hidden="0" function="0" vbProcedure="0">'[72]Pre-Job Info Sheet'!$B$30</definedName>
    <definedName name="Top_Perforation" localSheetId="6" hidden="0" function="0" vbProcedure="0">'[72]Pre-Job Info Sheet'!$B$28</definedName>
    <definedName name="Total_DP_Wt" localSheetId="6" hidden="0" function="0" vbProcedure="0">'[43]Weight Calculations'!$H$13</definedName>
    <definedName name="Total_Length_of_BHA" localSheetId="6" hidden="0" function="0" vbProcedure="0">'[72]TCP-BHA'!$H$47</definedName>
    <definedName name="TOT_ANN_CAP" localSheetId="6" hidden="0" function="0" vbProcedure="0">'[6]#REF'!$G$189</definedName>
    <definedName name="Tot_Bottoms_Upz" localSheetId="6" hidden="0" function="0" vbProcedure="0">'[43]Metric Conversions'!$C$90</definedName>
    <definedName name="TOT_CAP_HOLE" localSheetId="6" hidden="0" function="0" vbProcedure="0">'[6]#REF'!$G$190</definedName>
    <definedName name="Tot_DP_Vol" localSheetId="6" hidden="0" function="0" vbProcedure="0">'[43]Metric Conversions'!$B$75</definedName>
    <definedName name="Tot_DP_Volz" localSheetId="6" hidden="0" function="0" vbProcedure="0">'[43]Metric Conversions'!$C$75</definedName>
    <definedName name="Tot_Liner_Wt" localSheetId="6" hidden="0" function="0" vbProcedure="0">'[43]Weight Calculations'!$H$18</definedName>
    <definedName name="Tot_Lnr_Vol_to_LC" localSheetId="6" hidden="0" function="0" vbProcedure="0">'[43]Metric Conversions'!$B$79</definedName>
    <definedName name="Tot_Lnr_Vol_to_LCz" localSheetId="6" hidden="0" function="0" vbProcedure="0">'[43]Metric Conversions'!$C$79</definedName>
    <definedName name="TOT_SAND_2B_PUMPED" localSheetId="6" hidden="0" function="0" vbProcedure="0">'[6]#ref'!#ref!</definedName>
    <definedName name="TOT_SAND_COV_BLANK" localSheetId="6" hidden="0" function="0" vbProcedure="0">'[6]#REF'!$H$136</definedName>
    <definedName name="TOT_SAND_COV_SCREEN" localSheetId="6" hidden="0" function="0" vbProcedure="0">'[6]#REF'!$H$135</definedName>
    <definedName name="TOT_SAND_IN_PERFS" localSheetId="6" hidden="0" function="0" vbProcedure="0">'[6]#REF'!$F$137</definedName>
    <definedName name="TOT_SAND_PLACED" localSheetId="6" hidden="0" function="0" vbProcedure="0">'[6]#REF'!$F$131</definedName>
    <definedName name="TOT_SAND_REVOUT" localSheetId="6" hidden="0" function="0" vbProcedure="0">'[6]#ref'!#ref!</definedName>
    <definedName name="Tot_Vol_to_Bump_Plugs" localSheetId="6" hidden="0" function="0" vbProcedure="0">'[43]Metric Conversions'!$B$80</definedName>
    <definedName name="Tot_Vol_to_Bump_Plugsz" localSheetId="6" hidden="0" function="0" vbProcedure="0">'[43]Metric Conversions'!$C$80</definedName>
    <definedName name="Tot_Vol_to_Shoez" localSheetId="6" hidden="0" function="0" vbProcedure="0">'[43]Metric Conversions'!$C$81</definedName>
    <definedName name="tpermit" localSheetId="6" hidden="0" function="0" vbProcedure="0">[223]Control!$D$5</definedName>
    <definedName name="TQW" localSheetId="6" hidden="0" function="0" vbProcedure="0">'[140]tally checklist'!tqw</definedName>
    <definedName name="tr" localSheetId="6" hidden="0" function="0" vbProcedure="0">null</definedName>
    <definedName name="transport" localSheetId="6" hidden="0" function="0" vbProcedure="0">[52]data!#ref!</definedName>
    <definedName name="treatment" localSheetId="6" hidden="0" function="0" vbProcedure="0">[52]data!#ref!</definedName>
    <definedName name="try" localSheetId="6" hidden="0" function="0" vbProcedure="0">[278]Calculos!$K$3:$V$31</definedName>
    <definedName name="TR_Column" localSheetId="6" hidden="0" function="0" vbProcedure="0">null</definedName>
    <definedName name="TR_Unit" localSheetId="6" hidden="0" function="0" vbProcedure="0">null</definedName>
    <definedName name="tshoe" localSheetId="6" hidden="0" function="0" vbProcedure="0">[223]Drillers!$Q$20</definedName>
    <definedName name="tsize" localSheetId="6" hidden="0" function="0" vbProcedure="0">[223]Control!$D$7</definedName>
    <definedName name="TST" localSheetId="6" hidden="0" function="0" vbProcedure="0">'[84]Liner Job Info'!$O$5</definedName>
    <definedName name="tstickup" localSheetId="6" hidden="0" function="0" vbProcedure="0">[223]Drillers!$O$20</definedName>
    <definedName name="TS_pricelist" localSheetId="6" hidden="0" function="0" vbProcedure="0">[163]Pricelist!$A$57:$B$65</definedName>
    <definedName name="Tubing" localSheetId="6" hidden="0" function="0" vbProcedure="0">[280]Tubing!$B$7:$I$142</definedName>
    <definedName name="TubingAverage" localSheetId="6" hidden="0" function="0" vbProcedure="0">((SUM(NosOfTubing))-(MakeupLoss*COUNT(NosOfTubing)))/COUNT(NosOfTubing)</definedName>
    <definedName name="TubingOD" localSheetId="6" hidden="0" function="0" vbProcedure="0">[81]Lists!$AH$3:$AH$297</definedName>
    <definedName name="TubingSizes" localSheetId="6" hidden="0" function="0" vbProcedure="0">[81]Lists!$H$2:$H$14</definedName>
    <definedName name="tubingweight" localSheetId="6" hidden="0" function="0" vbProcedure="0">[84]!TubTable[id LIST (in)]</definedName>
    <definedName name="TVD_MID_PERF" localSheetId="6" hidden="0" function="0" vbProcedure="0">'[6]#REF'!$F$25</definedName>
    <definedName name="TV_TVD" localSheetId="6" hidden="0" function="0" vbProcedure="0">'[72]Tester Valve Calcs'!$F$20</definedName>
    <definedName name="TV_Vol" localSheetId="6" hidden="0" function="0" vbProcedure="0">'[72]Tester Valve Calcs'!$M$17</definedName>
    <definedName name="tweight" localSheetId="6" hidden="0" function="0" vbProcedure="0">[223]Control!$D$8</definedName>
    <definedName name="twell" localSheetId="6" hidden="0" function="0" vbProcedure="0">[223]Control!$D$4</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6" hidden="0" function="0" vbProcedure="0">'[140]tally checklist'!tyjeje</definedName>
    <definedName name="TYPE" localSheetId="6" hidden="0" function="0" vbProcedure="0">'[57]7-30-04'!#ref!</definedName>
    <definedName name="TYPEOFPLUG" localSheetId="6" hidden="0" function="0" vbProcedure="0">'[283]DATA CALL OUT'!$C$1:$C$65536</definedName>
    <definedName name="T_ABOP" localSheetId="6" hidden="0" function="0" vbProcedure="0">'[81]Physical Barrier Check Form'!$B$15</definedName>
    <definedName name="T_BFluidColumn" localSheetId="6" hidden="0" function="0" vbProcedure="0">'[81]Physical Barrier Check Form'!$B$19</definedName>
    <definedName name="T_BHP" localSheetId="6" hidden="0" function="0" vbProcedure="0">'[81]Job Technical Info'!$A$42</definedName>
    <definedName name="T_BHT" localSheetId="6" hidden="0" function="0" vbProcedure="0">'[81]Job Technical Info'!$C$42</definedName>
    <definedName name="T_Casing1" localSheetId="6" hidden="0" function="0" vbProcedure="0">'[81]Job Technical Info'!$B$25</definedName>
    <definedName name="T_Casing2" localSheetId="6" hidden="0" function="0" vbProcedure="0">'[81]Job Technical Info'!$B$26</definedName>
    <definedName name="T_Casing3" localSheetId="6" hidden="0" function="0" vbProcedure="0">'[81]Job Technical Info'!$B$27</definedName>
    <definedName name="T_Casing4" localSheetId="6" hidden="0" function="0" vbProcedure="0">'[81]Job Technical Info'!$B$28</definedName>
    <definedName name="T_Ccasing" localSheetId="6" hidden="0" function="0" vbProcedure="0">'[81]Physical Barrier Check Form'!$B$23</definedName>
    <definedName name="T_CustomerProject" localSheetId="6" hidden="0" function="0" vbProcedure="0">[81]Schematic!$A$8</definedName>
    <definedName name="T_C_H" localSheetId="6" hidden="0" function="0" vbProcedure="0">'[35]12(762mm)套管'!#ref!</definedName>
    <definedName name="T_Description" localSheetId="6" hidden="0" function="0" vbProcedure="0">[81]Schematic!$D$31</definedName>
    <definedName name="T_District" localSheetId="6" hidden="0" function="0" vbProcedure="0">'[81]Physical Barrier Check Form'!$B$4</definedName>
    <definedName name="T_DProductionPacker" localSheetId="6" hidden="0" function="0" vbProcedure="0">'[81]Physical Barrier Check Form'!$B$27</definedName>
    <definedName name="T_Drift" localSheetId="6" hidden="0" function="0" vbProcedure="0">'[81]Job Technical Info'!$G$23</definedName>
    <definedName name="T_EBridgePlug" localSheetId="6" hidden="0" function="0" vbProcedure="0">'[81]Physical Barrier Check Form'!$B$31</definedName>
    <definedName name="T_FluidType" localSheetId="6" hidden="0" function="0" vbProcedure="0">'[81]Job Technical Info'!$E$42</definedName>
    <definedName name="T_FluidWeight" localSheetId="6" hidden="0" function="0" vbProcedure="0">'[81]Job Technical Info'!$G$42</definedName>
    <definedName name="T_FOtherBarriers" localSheetId="6" hidden="0" function="0" vbProcedure="0">'[81]Physical Barrier Check Form'!$B$35</definedName>
    <definedName name="T_Grade" localSheetId="6" hidden="0" function="0" vbProcedure="0">'[81]Job Technical Info'!$H$23</definedName>
    <definedName name="T_ID" localSheetId="6" hidden="0" function="0" vbProcedure="0">'[81]Job Technical Info'!$F$23</definedName>
    <definedName name="T_Length" localSheetId="6" hidden="0" function="0" vbProcedure="0">[81]Schematic!$M$31</definedName>
    <definedName name="T_Liner1" localSheetId="6" hidden="0" function="0" vbProcedure="0">'[81]Job Technical Info'!$B$29</definedName>
    <definedName name="T_Liner2" localSheetId="6" hidden="0" function="0" vbProcedure="0">'[81]Job Technical Info'!$B$30</definedName>
    <definedName name="T_MaxDev" localSheetId="6" hidden="0" function="0" vbProcedure="0">[81]Schematic!$M$10</definedName>
    <definedName name="T_No" localSheetId="6" hidden="0" function="0" vbProcedure="0">[81]Schematic!$C$31</definedName>
    <definedName name="T_Notes" localSheetId="6" hidden="0" function="0" vbProcedure="0">'[81]Physical Barrier Check Form'!$H$13</definedName>
    <definedName name="T_OD" localSheetId="6" hidden="0" function="0" vbProcedure="0">'[81]Job Technical Info'!$D$23</definedName>
    <definedName name="T_Thread" localSheetId="6" hidden="0" function="0" vbProcedure="0">'[81]Job Technical Info'!$J$23</definedName>
    <definedName name="T_Tubing1" localSheetId="6" hidden="0" function="0" vbProcedure="0">'[81]Job Technical Info'!$B$35</definedName>
    <definedName name="T_Tubing2" localSheetId="6" hidden="0" function="0" vbProcedure="0">'[81]Job Technical Info'!$B$36</definedName>
    <definedName name="T_Tubing3" localSheetId="6" hidden="0" function="0" vbProcedure="0">'[81]Job Technical Info'!$B$37</definedName>
    <definedName name="T_Tubing4" localSheetId="6" hidden="0" function="0" vbProcedure="0">'[81]Job Technical Info'!$B$38</definedName>
    <definedName name="T_Tubulars" localSheetId="6" hidden="0" function="0" vbProcedure="0">'[81]Job Technical Info'!$B$23</definedName>
    <definedName name="T_Weight" localSheetId="6" hidden="0" function="0" vbProcedure="0">'[81]Job Technical Info'!$E$23</definedName>
    <definedName name="T_Workstring1" localSheetId="6" hidden="0" function="0" vbProcedure="0">'[81]Job Technical Info'!$B$31</definedName>
    <definedName name="T_Workstring2" localSheetId="6" hidden="0" function="0" vbProcedure="0">'[81]Job Technical Info'!$B$32</definedName>
    <definedName name="T_Workstring3" localSheetId="6" hidden="0" function="0" vbProcedure="0">'[81]Job Technical Info'!$B$33</definedName>
    <definedName name="T_Workstring4" localSheetId="6" hidden="0" function="0" vbProcedure="0">'[81]Job Technical Info'!$B$34</definedName>
    <definedName name="U" localSheetId="6" hidden="0" function="0" vbProcedure="0">[284]Lists!$A$1:$A$3</definedName>
    <definedName name="Underbalance" localSheetId="6" hidden="0" function="0" vbProcedure="0">'[72]Job Calculation Sheet'!$H$34</definedName>
    <definedName name="UNI_AA_VERSION" localSheetId="6" hidden="1" function="0" vbProcedure="0">"322.2.0"</definedName>
    <definedName name="Used" localSheetId="6" hidden="0" function="0" vbProcedure="0">[43]DATA!$AR$2:$AR$3</definedName>
    <definedName name="Using_Hanger" localSheetId="6" hidden="0" function="0" vbProcedure="0">'[43]Liner Job Info'!$D$38</definedName>
    <definedName name="Using_Packer" localSheetId="6" hidden="0" function="0" vbProcedure="0">'[43]Liner Job Info'!$P$30</definedName>
    <definedName name="VALIDCURR" localSheetId="6" hidden="0" function="0" vbProcedure="0">[285]Currency!$A$1:$A$170</definedName>
    <definedName name="Vallist" localSheetId="6" hidden="0" function="0" vbProcedure="0">'[43]Casing Info'!$A$2:$A$34</definedName>
    <definedName name="vallist2" localSheetId="6" hidden="0" function="0" vbProcedure="0">#N/A</definedName>
    <definedName name="vbcode.draw_blanks" localSheetId="6" hidden="0" function="0" vbProcedure="0">'[140]tally checklist'!vbcode.draw_blanks</definedName>
    <definedName name="vbcode.draw_linerfirst" localSheetId="6" hidden="0" function="0" vbProcedure="0">'[140]tally checklist'!vbcode.draw_linerfirst</definedName>
    <definedName name="vbcode.draw_linersecond" localSheetId="6" hidden="0" function="0" vbProcedure="0">'[140]tally checklist'!vbcode.draw_linersecond</definedName>
    <definedName name="vbcode.draw_miscellaneous" localSheetId="6" hidden="0" function="0" vbProcedure="0">'[140]tally checklist'!vbcode.draw_miscellaneous</definedName>
    <definedName name="vbcode.draw_productionfirst" localSheetId="6" hidden="0" function="0" vbProcedure="0">'[140]tally checklist'!vbcode.draw_productionfirst</definedName>
    <definedName name="vbcode.draw_productionsecond" localSheetId="6" hidden="0" function="0" vbProcedure="0">'[140]tally checklist'!vbcode.draw_productionsecond</definedName>
    <definedName name="vbcode.draw_quantum" localSheetId="6" hidden="0" function="0" vbProcedure="0">'[140]tally checklist'!vbcode.draw_quantum</definedName>
    <definedName name="vbcode.draw_screens" localSheetId="6" hidden="0" function="0" vbProcedure="0">'[140]tally checklist'!vbcode.draw_screens</definedName>
    <definedName name="vbcode.draw_shearsubs" localSheetId="6" hidden="0" function="0" vbProcedure="0">'[140]tally checklist'!vbcode.draw_shearsubs</definedName>
    <definedName name="vbcode.draw_sump" localSheetId="6" hidden="0" function="0" vbProcedure="0">'[140]tally checklist'!vbcode.draw_sump</definedName>
    <definedName name="vbcode.text_five" localSheetId="6" hidden="0" function="0" vbProcedure="0">'[140]tally checklist'!vbcode.text_five</definedName>
    <definedName name="vbcode.text_fivehalf" localSheetId="6" hidden="0" function="0" vbProcedure="0">'[140]tally checklist'!vbcode.text_fivehalf</definedName>
    <definedName name="vbcode.text_ninefiveeightfourfirst" localSheetId="6" hidden="0" function="0" vbProcedure="0">'[140]tally checklist'!vbcode.text_ninefiveeightfourfirst</definedName>
    <definedName name="vbcode.text_ninefiveeightfoursecond" localSheetId="6" hidden="0" function="0" vbProcedure="0">'[140]tally checklist'!vbcode.text_ninefiveeightfoursecond</definedName>
    <definedName name="vbcode.text_ninefiveeightsixfirst" localSheetId="6" hidden="0" function="0" vbProcedure="0">'[140]tally checklist'!vbcode.text_ninefiveeightsixfirst</definedName>
    <definedName name="vbcode.text_ninefiveeightsixsecond" localSheetId="6" hidden="0" function="0" vbProcedure="0">'[140]tally checklist'!vbcode.text_ninefiveeightsixsecond</definedName>
    <definedName name="vbcode.text_sevenfiveeightfour" localSheetId="6" hidden="0" function="0" vbProcedure="0">'[140]tally checklist'!vbcode.text_sevenfiveeightfour</definedName>
    <definedName name="vbcode.text_sevenfiveeightthree" localSheetId="6" hidden="0" function="0" vbProcedure="0">'[140]tally checklist'!vbcode.text_sevenfiveeightthree</definedName>
    <definedName name="vbcode.text_sevenfour" localSheetId="6" hidden="0" function="0" vbProcedure="0">'[140]tally checklist'!vbcode.text_sevenfour</definedName>
    <definedName name="vbcode.text_seventhree" localSheetId="6" hidden="0" function="0" vbProcedure="0">'[140]tally checklist'!vbcode.text_seventhree</definedName>
    <definedName name="Verticaldepth" localSheetId="6" hidden="0" function="0" vbProcedure="0">'[129]Front Page Info'!$C$18</definedName>
    <definedName name="vfdvf" localSheetId="6" hidden="0" function="0" vbProcedure="0">[175]!Macro61</definedName>
    <definedName name="volume1" localSheetId="6" hidden="0" function="0" vbProcedure="0">{#N/A,#N/A,FALSE,"Volume"}</definedName>
    <definedName name="VOL_MULE_SHOE" localSheetId="6" hidden="0" function="0" vbProcedure="0">'[6]#REF'!$F$178</definedName>
    <definedName name="VS" localSheetId="6" hidden="0" function="0" vbProcedure="0">'[5]MACRO125 '!$F$6</definedName>
    <definedName name="vvv" localSheetId="6" hidden="0" function="0" vbProcedure="0">[37]钻井日报表!$E$7</definedName>
    <definedName name="vvvdf" localSheetId="6" hidden="0" function="0" vbProcedure="0">[37]钻井日报表!$G$8</definedName>
    <definedName name="vvvvv" localSheetId="6" hidden="0" function="0" vbProcedure="0">[80]!Macro60</definedName>
    <definedName name="w" localSheetId="6" hidden="0" function="0" vbProcedure="0">'[295]run sheet'!#ref!</definedName>
    <definedName name="WBJobRev" localSheetId="6" hidden="0" function="0" vbProcedure="0">'[81]Job Technical Info'!$C$11</definedName>
    <definedName name="Weak_DP" localSheetId="6" hidden="0" function="0" vbProcedure="0">'[43]Weight Calculations'!$V$63</definedName>
    <definedName name="Weak_link" localSheetId="6" hidden="0" function="0" vbProcedure="0">'[43]Weight Calculations'!$R$61</definedName>
    <definedName name="Week" localSheetId="6" hidden="0" function="0" vbProcedure="0">[97]Criteria!$A$2:$A$51</definedName>
    <definedName name="weight" localSheetId="6" hidden="0" function="0" vbProcedure="0">'[60]Drop-Down Items'!$M$7:$M$10</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6" hidden="0" function="0" vbProcedure="0">[50]Data!$K$1:$K$65536</definedName>
    <definedName name="Welllocation1" localSheetId="6" hidden="0" function="0" vbProcedure="0">[50]Data!$M$1:$M$65536</definedName>
    <definedName name="WellMD" localSheetId="6" hidden="0" function="0" vbProcedure="0">'[81]Job Technical Info'!$H$41</definedName>
    <definedName name="WellNo" localSheetId="6" hidden="0" function="0" vbProcedure="0">'[84]Liner Job Info'!$E$6</definedName>
    <definedName name="Wells" localSheetId="6" hidden="0" function="0" vbProcedure="0">[296]welltest!#ref!</definedName>
    <definedName name="WellTVD" localSheetId="6" hidden="0" function="0" vbProcedure="0">'[81]Job Technical Info'!$J$41</definedName>
    <definedName name="welltype" localSheetId="6" hidden="0" function="0" vbProcedure="0">'[6]#REF'!$F$18</definedName>
    <definedName name="Welltype2" localSheetId="6" hidden="0" function="0" vbProcedure="0">[291]Data!$H$1:$H$65536</definedName>
    <definedName name="Well_Name" localSheetId="6" hidden="0" function="0" vbProcedure="0">'[72]TCP-BHA'!$C$7</definedName>
    <definedName name="Well_Number" localSheetId="6" hidden="0" function="0" vbProcedure="0">'[116]Liner Job Info'!$E$6</definedName>
    <definedName name="well_type" localSheetId="6" hidden="0" function="0" vbProcedure="0">'[60]Drop-Down Items'!$D$43:$D$48</definedName>
    <definedName name="Well_Type__Oil_Gas" localSheetId="6" hidden="0" function="0" vbProcedure="0">'[72]Pre-Job Info Sheet'!$B$31</definedName>
    <definedName name="WHP" localSheetId="6" hidden="0" function="0" vbProcedure="0">#REF!</definedName>
    <definedName name="wht" localSheetId="6" hidden="0" function="0" vbProcedure="0">'[94]well test sheet'!#ref!</definedName>
    <definedName name="wiperplugunity" localSheetId="6" hidden="0" function="0" vbProcedure="0">[43]Test!$G$18</definedName>
    <definedName name="WkstrDrift1" localSheetId="6" hidden="0" function="0" vbProcedure="0">'[81]Job Technical Info'!$G$31</definedName>
    <definedName name="WkstrDrift2" localSheetId="6" hidden="0" function="0" vbProcedure="0">'[81]Job Technical Info'!$G$32</definedName>
    <definedName name="WkstrDrift3" localSheetId="6" hidden="0" function="0" vbProcedure="0">'[81]Job Technical Info'!$G$33</definedName>
    <definedName name="WkstrDrift4" localSheetId="6" hidden="0" function="0" vbProcedure="0">'[81]Job Technical Info'!$G$34</definedName>
    <definedName name="WkstrGrd1" localSheetId="6" hidden="0" function="0" vbProcedure="0">'[81]Job Technical Info'!$H$31</definedName>
    <definedName name="WkstrGrd2" localSheetId="6" hidden="0" function="0" vbProcedure="0">'[81]Job Technical Info'!$H$32</definedName>
    <definedName name="WkstrGrd3" localSheetId="6" hidden="0" function="0" vbProcedure="0">'[81]Job Technical Info'!$H$33</definedName>
    <definedName name="WkstrGrd4" localSheetId="6" hidden="0" function="0" vbProcedure="0">'[81]Job Technical Info'!$H$34</definedName>
    <definedName name="WkstrID1" localSheetId="6" hidden="0" function="0" vbProcedure="0">'[81]Job Technical Info'!$F$31</definedName>
    <definedName name="WkstrID2" localSheetId="6" hidden="0" function="0" vbProcedure="0">'[81]Job Technical Info'!$F$32</definedName>
    <definedName name="WkstrID3" localSheetId="6" hidden="0" function="0" vbProcedure="0">'[81]Job Technical Info'!$F$33</definedName>
    <definedName name="WkstrID4" localSheetId="6" hidden="0" function="0" vbProcedure="0">'[81]Job Technical Info'!$F$34</definedName>
    <definedName name="WkstrSz1" localSheetId="6" hidden="0" function="0" vbProcedure="0">'[81]Job Technical Info'!$D$31</definedName>
    <definedName name="WkstrSz2" localSheetId="6" hidden="0" function="0" vbProcedure="0">'[81]Job Technical Info'!$D$32</definedName>
    <definedName name="WkstrSz3" localSheetId="6" hidden="0" function="0" vbProcedure="0">'[81]Job Technical Info'!$D$33</definedName>
    <definedName name="WkstrSz4" localSheetId="6" hidden="0" function="0" vbProcedure="0">'[81]Job Technical Info'!$D$34</definedName>
    <definedName name="WkstrThd1" localSheetId="6" hidden="0" function="0" vbProcedure="0">'[81]Job Technical Info'!$J$31</definedName>
    <definedName name="WkstrThd2" localSheetId="6" hidden="0" function="0" vbProcedure="0">'[81]Job Technical Info'!$J$32</definedName>
    <definedName name="WkstrThd3" localSheetId="6" hidden="0" function="0" vbProcedure="0">'[81]Job Technical Info'!$J$33</definedName>
    <definedName name="WkstrThd4" localSheetId="6" hidden="0" function="0" vbProcedure="0">'[81]Job Technical Info'!$J$34</definedName>
    <definedName name="WkstrWt1" localSheetId="6" hidden="0" function="0" vbProcedure="0">'[81]Job Technical Info'!$E$31</definedName>
    <definedName name="WkstrWt2" localSheetId="6" hidden="0" function="0" vbProcedure="0">'[81]Job Technical Info'!$E$32</definedName>
    <definedName name="WkstrWt3" localSheetId="6" hidden="0" function="0" vbProcedure="0">'[81]Job Technical Info'!$E$33</definedName>
    <definedName name="WkstrWt4" localSheetId="6" hidden="0" function="0" vbProcedure="0">'[81]Job Technical Info'!$E$34</definedName>
    <definedName name="workstringid" localSheetId="6" hidden="0" function="0" vbProcedure="0">'[6]#REF'!$H$12</definedName>
    <definedName name="workstringidref" localSheetId="6" hidden="0" function="0" vbProcedure="0">[62]Data!$GC$3</definedName>
    <definedName name="workstringlength" localSheetId="6" hidden="0" function="0" vbProcedure="0">'[6]#REF'!$J$12</definedName>
    <definedName name="workstringod" localSheetId="6" hidden="0" function="0" vbProcedure="0">'[6]#REF'!$F$12</definedName>
    <definedName name="workstringtable" localSheetId="6" hidden="0" function="0" vbProcedure="0">[84]!CasingTable[#data]</definedName>
    <definedName name="workstringwt" localSheetId="6" hidden="0" function="0" vbProcedure="0">'[6]#REF'!$M$12</definedName>
    <definedName name="Workstring_Grade" localSheetId="6" hidden="0" function="0" vbProcedure="0">'[72]Pre-Job Info Sheet'!$D$27</definedName>
    <definedName name="Workstring_ID" localSheetId="6" hidden="0" function="0" vbProcedure="0">'[72]Job Calculation Sheet'!$F$16</definedName>
    <definedName name="Workstring_Length" localSheetId="6" hidden="0" function="0" vbProcedure="0">'[72]TCP-BHA'!$G$12</definedName>
    <definedName name="Workstring_Size" localSheetId="6" hidden="0" function="0" vbProcedure="0">'[72]Pre-Job Info Sheet'!$D$25</definedName>
    <definedName name="Workstring_Type" localSheetId="6" hidden="0" function="0" vbProcedure="0">'[72]Pre-Job Info Sheet'!$D$24</definedName>
    <definedName name="Workstring_Wt._Ft." localSheetId="6" hidden="0" function="0" vbProcedure="0">'[72]Pre-Job Info Sheet'!$D$26</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SDF." localSheetId="6" hidden="1" function="0" vbProcedure="0">{#N/A,#N/A,FALSE,"SHEET 1";#N/A,#N/A,FALSE,"Sheet4"}</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DST_TCP." localSheetId="6" hidden="1" function="0" vbProcedure="0">{#N/A,#N/A,FALSE,"INFO";#N/A,#N/A,FALSE,"PCT";#N/A,#N/A,FALSE,"DISCS";#N/A,#N/A,FALSE,"DISC TABLE";#N/A,#N/A,FALSE,"CUSHION";#N/A,#N/A,FALSE,"HYDRAULICS";#N/A,#N/A,FALSE,"MCCV";#N/A,#N/A,FALSE,"HDF";#N/A,#N/A,FALSE,"GUNS";#N/A,#N/A,FALSE,"GUNDATA"}</definedName>
    <definedName name="wrn.FULL._.DTL." localSheetId="6" hidden="1" function="0" vbProcedure="0">{"CF",#N/A,FALSE,"FULL COST";"MANUFACT",#N/A,FALSE,"FULL COST";"PAYNMENT",#N/A,FALSE,"FULL COST"}</definedName>
    <definedName name="wrn.FULLSUM." localSheetId="6" hidden="1" function="0" vbProcedure="0">{#N/A,#N/A,FALSE,"SUM-1";#N/A,#N/A,FALSE,"SUM-2";#N/A,#N/A,FALSE,"TENDER"}</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ratios." localSheetId="6" hidden="1" function="0" vbProcedure="0">{"raatios",#N/A,FALSE,"A";"ratios",#N/A,FALSE,"B";"ratios",#N/A,FALSE,"C";"ratios",#N/A,FALSE,"D";"ratios",#N/A,FALSE,"F"}</definedName>
    <definedName name="wrn.SUMMARY." localSheetId="6" hidden="1" function="0" vbProcedure="0">{#N/A,#N/A,FALSE,"JUNK"}</definedName>
    <definedName name="wrn.VOLUME." localSheetId="6" hidden="0" function="0" vbProcedure="0">{#N/A,#N/A,FALSE,"Volume"}</definedName>
    <definedName name="wrn.volume.2" localSheetId="6" hidden="0" function="0" vbProcedure="0">{#N/A,#N/A,FALSE,"Volume"}</definedName>
    <definedName name="wrn.volume.2_1" localSheetId="6" hidden="0" function="0" vbProcedure="0">{#N/A,#N/A,FALSE,"Volume"}</definedName>
    <definedName name="wrn.volume.2_2" localSheetId="6" hidden="0" function="0" vbProcedure="0">{#N/A,#N/A,FALSE,"Volume"}</definedName>
    <definedName name="wrn.volume.2_3" localSheetId="6" hidden="0" function="0" vbProcedure="0">{#N/A,#N/A,FALSE,"Volume"}</definedName>
    <definedName name="wrn.volume.2_4" localSheetId="6" hidden="0" function="0" vbProcedure="0">{#N/A,#N/A,FALSE,"Volume"}</definedName>
    <definedName name="wrn.volume.2_5" localSheetId="6" hidden="0" function="0" vbProcedure="0">{#N/A,#N/A,FALSE,"Volume"}</definedName>
    <definedName name="wrn.volume.3" localSheetId="6" hidden="0" function="0" vbProcedure="0">{#N/A,#N/A,FALSE,"Volume"}</definedName>
    <definedName name="wrn.volume.3_1" localSheetId="6" hidden="0" function="0" vbProcedure="0">{#N/A,#N/A,FALSE,"Volume"}</definedName>
    <definedName name="wrn.volume.3_2" localSheetId="6" hidden="0" function="0" vbProcedure="0">{#N/A,#N/A,FALSE,"Volume"}</definedName>
    <definedName name="wrn.volume.3_3" localSheetId="6" hidden="0" function="0" vbProcedure="0">{#N/A,#N/A,FALSE,"Volume"}</definedName>
    <definedName name="wrn.volume.3_4" localSheetId="6" hidden="0" function="0" vbProcedure="0">{#N/A,#N/A,FALSE,"Volume"}</definedName>
    <definedName name="wrn.volume.3_5" localSheetId="6" hidden="0" function="0" vbProcedure="0">{#N/A,#N/A,FALSE,"Volume"}</definedName>
    <definedName name="wrn.VOLUME._1" localSheetId="6" hidden="0" function="0" vbProcedure="0">{#N/A,#N/A,FALSE,"Volume"}</definedName>
    <definedName name="wrn.VOLUME._2" localSheetId="6" hidden="0" function="0" vbProcedure="0">{#N/A,#N/A,FALSE,"Volume"}</definedName>
    <definedName name="wrn.VOLUME._3" localSheetId="6" hidden="0" function="0" vbProcedure="0">{#N/A,#N/A,FALSE,"Volume"}</definedName>
    <definedName name="wrn.VOLUME._4" localSheetId="6" hidden="0" function="0" vbProcedure="0">{#N/A,#N/A,FALSE,"Volume"}</definedName>
    <definedName name="wrn.VOLUME._5" localSheetId="6" hidden="0" function="0" vbProcedure="0">{#N/A,#N/A,FALSE,"Volume"}</definedName>
    <definedName name="WRN.VULUME" localSheetId="6" hidden="0"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6" hidden="1" function="0" vbProcedure="0">{#N/A,#N/A,FALSE,"SHEET 1";#N/A,#N/A,FALSE,"Sheet4"}</definedName>
    <definedName name="wscolumn" localSheetId="6" hidden="0" function="0" vbProcedure="0">[62]Data!$W$19</definedName>
    <definedName name="WS_ID" localSheetId="6" hidden="0" function="0" vbProcedure="0">'[6]#REF'!$H$12</definedName>
    <definedName name="WS_LENGTH" localSheetId="6" hidden="0" function="0" vbProcedure="0">'[6]#REF'!$J$12</definedName>
    <definedName name="WS_OD" localSheetId="6" hidden="0" function="0" vbProcedure="0">'[6]#REF'!$F$12</definedName>
    <definedName name="wt" localSheetId="6" hidden="0" function="0" vbProcedure="0">'[89]Max-Torq'!$P$64</definedName>
    <definedName name="wtcasing" localSheetId="6" hidden="0" function="0" vbProcedure="0">[62]Data!$J$19</definedName>
    <definedName name="wtr_cumm" localSheetId="6" hidden="0" function="0" vbProcedure="0">'[94]well test sheet'!#ref!</definedName>
    <definedName name="wtr_rate" localSheetId="6" hidden="0" function="0" vbProcedure="0">'[94]well test sheet'!#ref!</definedName>
    <definedName name="wtworkstring" localSheetId="6" hidden="0" function="0" vbProcedure="0">[62]Data!$W$21</definedName>
    <definedName name="Wtype" localSheetId="6" hidden="0" function="0" vbProcedure="0">'[43]Liner Job Info'!$E$9</definedName>
    <definedName name="Wt_Bouyant" localSheetId="6" hidden="0" function="0" vbProcedure="0">'[72]Packer Calculation Sheet'!$I$34</definedName>
    <definedName name="Wt_w_Cmt" localSheetId="6" hidden="0" function="0" vbProcedure="0">'[43]Liner Job Info'!$D$34</definedName>
    <definedName name="Wt_W_Pkr_Tst" localSheetId="6" hidden="0" function="0" vbProcedure="0">'[43]Liner Job Info'!$D$36</definedName>
    <definedName name="X" localSheetId="6" hidden="0" function="0" vbProcedure="0">#REF!</definedName>
    <definedName name="X5_TO" localSheetId="6" hidden="0" function="0" vbProcedure="0">[129]RSS!$C$197</definedName>
    <definedName name="XCEED_TO" localSheetId="6" hidden="0" function="0" vbProcedure="0">[129]RSS!$G$201</definedName>
    <definedName name="xoportdepth" localSheetId="6" hidden="0" function="0" vbProcedure="0">'[6]#REF'!$F$21</definedName>
    <definedName name="XO_DEPTH" localSheetId="6" hidden="0" function="0" vbProcedure="0">'[6]#REF'!$F$21</definedName>
    <definedName name="XO_PORT_DEPTH" localSheetId="6" hidden="0" function="0" vbProcedure="0">'[6]#REF'!$F$21</definedName>
    <definedName name="XTRA_TO" localSheetId="6" hidden="0" function="0" vbProcedure="0">[129]RSS!$E$201</definedName>
    <definedName name="xxx" localSheetId="6" hidden="1" function="0" vbProcedure="0">{#N/A,#N/A,FALSE,"Sheet1"}</definedName>
    <definedName name="xxxx" localSheetId="6" hidden="0" function="0" vbProcedure="0">[298]!Macro46</definedName>
    <definedName name="Y" localSheetId="6" hidden="0" function="0" vbProcedure="0">'[299]#ref'!#ref!</definedName>
    <definedName name="YESNO" localSheetId="6" hidden="0" function="0" vbProcedure="0">[129]RSS!$E$139:$E$141</definedName>
    <definedName name="YJEJD" localSheetId="6" hidden="0" function="0" vbProcedure="0">'[140]tally checklist'!yjejd</definedName>
    <definedName name="yp" localSheetId="6" hidden="0" function="0" vbProcedure="0">'[89]Max-Torq'!$N$59</definedName>
    <definedName name="ypa" localSheetId="6" hidden="0" function="0" vbProcedure="0">'[89]Max-Torq'!$P$63</definedName>
    <definedName name="ypdtr" localSheetId="6" hidden="0" function="0" vbProcedure="0">'[89]Max-Torq'!$P$70</definedName>
    <definedName name="yyyyyyyyyyyy" localSheetId="6" hidden="1" function="0" vbProcedure="0">{"raatios",#N/A,FALSE,"A";"ratios",#N/A,FALSE,"B";"ratios",#N/A,FALSE,"C";"ratios",#N/A,FALSE,"D";"ratios",#N/A,FALSE,"F"}</definedName>
    <definedName name="Zone1BHP" localSheetId="6" hidden="0" function="0" vbProcedure="0">'[81]Job Technical Info'!$G$49</definedName>
    <definedName name="Zone1BHT" localSheetId="6" hidden="0" function="0" vbProcedure="0">'[81]Job Technical Info'!$H$49</definedName>
    <definedName name="Zone1Bottom" localSheetId="6" hidden="0" function="0" vbProcedure="0">'[81]Job Technical Info'!$E$49</definedName>
    <definedName name="Zone1Dev" localSheetId="6" hidden="0" function="0" vbProcedure="0">'[81]Job Technical Info'!$F$49</definedName>
    <definedName name="Zone1FluidType" localSheetId="6" hidden="0" function="0" vbProcedure="0">'[81]Job Technical Info'!$I$49</definedName>
    <definedName name="Zone1FluidWt" localSheetId="6" hidden="0" function="0" vbProcedure="0">'[81]Job Technical Info'!$J$49</definedName>
    <definedName name="Zone1Name" localSheetId="6" hidden="0" function="0" vbProcedure="0">'[81]Job Technical Info'!$C$49</definedName>
    <definedName name="Zone1Top" localSheetId="6" hidden="0" function="0" vbProcedure="0">'[81]Job Technical Info'!$D$49</definedName>
    <definedName name="Zone2BHP" localSheetId="6" hidden="0" function="0" vbProcedure="0">'[81]Job Technical Info'!$G$50</definedName>
    <definedName name="Zone2BHT" localSheetId="6" hidden="0" function="0" vbProcedure="0">'[81]Job Technical Info'!$H$50</definedName>
    <definedName name="Zone2Bottom" localSheetId="6" hidden="0" function="0" vbProcedure="0">'[81]Job Technical Info'!$E$50</definedName>
    <definedName name="Zone2Dev" localSheetId="6" hidden="0" function="0" vbProcedure="0">'[81]Job Technical Info'!$F$50</definedName>
    <definedName name="Zone2FluidType" localSheetId="6" hidden="0" function="0" vbProcedure="0">'[81]Job Technical Info'!$I$50</definedName>
    <definedName name="Zone2FluidWt" localSheetId="6" hidden="0" function="0" vbProcedure="0">'[81]Job Technical Info'!$J$50</definedName>
    <definedName name="Zone2Name" localSheetId="6" hidden="0" function="0" vbProcedure="0">'[81]Job Technical Info'!$C$50</definedName>
    <definedName name="Zone2Top" localSheetId="6" hidden="0" function="0" vbProcedure="0">'[81]Job Technical Info'!$D$50</definedName>
    <definedName name="Zone3BHP" localSheetId="6" hidden="0" function="0" vbProcedure="0">'[81]Job Technical Info'!$G$51</definedName>
    <definedName name="Zone3BHT" localSheetId="6" hidden="0" function="0" vbProcedure="0">'[81]Job Technical Info'!$H$51</definedName>
    <definedName name="Zone3Bottom" localSheetId="6" hidden="0" function="0" vbProcedure="0">'[81]Job Technical Info'!$E$51</definedName>
    <definedName name="Zone3Dev" localSheetId="6" hidden="0" function="0" vbProcedure="0">'[81]Job Technical Info'!$F$51</definedName>
    <definedName name="Zone3FluidType" localSheetId="6" hidden="0" function="0" vbProcedure="0">'[81]Job Technical Info'!$I$51</definedName>
    <definedName name="Zone3FluidWt" localSheetId="6" hidden="0" function="0" vbProcedure="0">'[81]Job Technical Info'!$J$51</definedName>
    <definedName name="Zone3Name" localSheetId="6" hidden="0" function="0" vbProcedure="0">'[81]Job Technical Info'!$C$51</definedName>
    <definedName name="Zone3Top" localSheetId="6" hidden="0" function="0" vbProcedure="0">'[81]Job Technical Info'!$D$51</definedName>
    <definedName name="Zone4BHP" localSheetId="6" hidden="0" function="0" vbProcedure="0">'[81]Job Technical Info'!$G$52</definedName>
    <definedName name="Zone4BHT" localSheetId="6" hidden="0" function="0" vbProcedure="0">'[81]Job Technical Info'!$H$52</definedName>
    <definedName name="Zone4Bottom" localSheetId="6" hidden="0" function="0" vbProcedure="0">'[81]Job Technical Info'!$E$52</definedName>
    <definedName name="Zone4Dev" localSheetId="6" hidden="0" function="0" vbProcedure="0">'[81]Job Technical Info'!$F$52</definedName>
    <definedName name="Zone4FluidType" localSheetId="6" hidden="0" function="0" vbProcedure="0">'[81]Job Technical Info'!$I$52</definedName>
    <definedName name="Zone4FluidWt" localSheetId="6" hidden="0" function="0" vbProcedure="0">'[81]Job Technical Info'!$J$52</definedName>
    <definedName name="Zone4Name" localSheetId="6" hidden="0" function="0" vbProcedure="0">'[81]Job Technical Info'!$C$52</definedName>
    <definedName name="Zone4Top" localSheetId="6" hidden="0" function="0" vbProcedure="0">'[81]Job Technical Info'!$D$52</definedName>
    <definedName name="Zone5BHP" localSheetId="6" hidden="0" function="0" vbProcedure="0">'[81]Job Technical Info'!$G$53</definedName>
    <definedName name="Zone5BHT" localSheetId="6" hidden="0" function="0" vbProcedure="0">'[81]Job Technical Info'!$H$53</definedName>
    <definedName name="Zone5Bottom" localSheetId="6" hidden="0" function="0" vbProcedure="0">'[81]Job Technical Info'!$E$53</definedName>
    <definedName name="Zone5Dev" localSheetId="6" hidden="0" function="0" vbProcedure="0">'[81]Job Technical Info'!$F$53</definedName>
    <definedName name="Zone5FluidType" localSheetId="6" hidden="0" function="0" vbProcedure="0">'[81]Job Technical Info'!$I$53</definedName>
    <definedName name="Zone5FluidWt" localSheetId="6" hidden="0" function="0" vbProcedure="0">'[81]Job Technical Info'!$J$53</definedName>
    <definedName name="Zone5Name" localSheetId="6" hidden="0" function="0" vbProcedure="0">'[81]Job Technical Info'!$C$53</definedName>
    <definedName name="Zone5Top" localSheetId="6" hidden="0" function="0" vbProcedure="0">'[81]Job Technical Info'!$D$53</definedName>
    <definedName name="ZXP_Seal_Area" localSheetId="6" hidden="0" function="0" vbProcedure="0">[43]Test!$Z$38</definedName>
    <definedName name="zzzzzz" localSheetId="6" hidden="0" function="0" vbProcedure="0">[298]!'[module4 formula].macro1'</definedName>
    <definedName name="Z_Fact_DH" localSheetId="6" hidden="0" function="0" vbProcedure="0">'[72]Tester Valve Calcs'!$F$23</definedName>
    <definedName name="Z_Fact_Surf" localSheetId="6" hidden="0" function="0" vbProcedure="0">'[72]Tester Valve Calcs'!$F$18</definedName>
    <definedName name="\A" localSheetId="6" hidden="0" function="0" vbProcedure="0">'[1]run sheet'!#ref!</definedName>
    <definedName name="\C" localSheetId="6" hidden="0" function="0" vbProcedure="0">'[1]run sheet'!#ref!</definedName>
    <definedName name="\D" localSheetId="6" hidden="0" function="0" vbProcedure="0">'[1]run sheet'!#ref!</definedName>
    <definedName name="\E" localSheetId="6" hidden="0" function="0" vbProcedure="0">'[1]run sheet'!#ref!</definedName>
    <definedName name="\f" localSheetId="6" hidden="0" function="0" vbProcedure="0">'[2]run sheet'!#ref!</definedName>
    <definedName name="\g" localSheetId="6" hidden="0" function="0" vbProcedure="0">'[2]run sheet'!#ref!</definedName>
    <definedName name="\h" localSheetId="6" hidden="0" function="0" vbProcedure="0">'[2]run sheet'!#ref!</definedName>
    <definedName name="\I" localSheetId="6" hidden="0" function="0" vbProcedure="0">'[1]run sheet'!#ref!</definedName>
    <definedName name="\L" localSheetId="6" hidden="0" function="0" vbProcedure="0">'[1]run sheet'!#ref!</definedName>
    <definedName name="\N" localSheetId="6" hidden="0" function="0" vbProcedure="0">'[1]run sheet'!#ref!</definedName>
    <definedName name="\q" localSheetId="6" hidden="0" function="0" vbProcedure="0">'[3]run sheet'!#ref!</definedName>
    <definedName name="\T" localSheetId="6" hidden="0" function="0" vbProcedure="0">'[4]cumulative temp diff'!#ref!</definedName>
    <definedName name="\Z" localSheetId="6" hidden="0" function="0" vbProcedure="0">'[1]run sheet'!#ref!</definedName>
    <definedName name="_" localSheetId="6" hidden="0" function="0" vbProcedure="0">[5]readings!#ref!</definedName>
    <definedName name="_1" localSheetId="6" hidden="0" function="0" vbProcedure="0">{#N/A,#N/A,FALSE,"Volume"}</definedName>
    <definedName name="_11Druckbereich" localSheetId="6" hidden="0" function="0" vbProcedure="0">[33]run_s!#ref!</definedName>
    <definedName name="_1234GRAPH_G" localSheetId="6" hidden="1" function="0" vbProcedure="0">[10]Run!$F$16:$F$514</definedName>
    <definedName name="_1Module2__2__.gaugeconok2" localSheetId="6" hidden="0" function="0" vbProcedure="0">'JOB ORDER '!_1Module2__2__.gaugeconok2</definedName>
    <definedName name="_2" localSheetId="6" hidden="0" function="0" vbProcedure="0">{#N/A,#N/A,FALSE,"Volume"}</definedName>
    <definedName name="_2Module2__2__.gaugeok2" localSheetId="6" hidden="0" function="0" vbProcedure="0">'JOB ORDER '!_2Module2__2__.gaugeok2</definedName>
    <definedName name="_3Module2__2__.gaugeselect2" localSheetId="6" hidden="0" function="0" vbProcedure="0">'JOB ORDER '!_3Module2__2__.gaugeselect2</definedName>
    <definedName name="_4Module2__2__.serialselect3" localSheetId="6" hidden="0" function="0" vbProcedure="0">'JOB ORDER '!_4Module2__2__.serialselect3</definedName>
    <definedName name="_5" localSheetId="6" hidden="0" function="0" vbProcedure="0">{#N/A,#N/A,FALSE,"Volume"}</definedName>
    <definedName name="_5Module2__2__.serialselect4" localSheetId="6" hidden="0" function="0" vbProcedure="0">'JOB ORDER '!_5Module2__2__.serialselect4</definedName>
    <definedName name="_a" localSheetId="6" hidden="0" function="0" vbProcedure="0">{#N/A,#N/A,FALSE,"Volume"}</definedName>
    <definedName name="_a1" localSheetId="6" hidden="0" function="0" vbProcedure="0">{#N/A,#N/A,FALSE,"Volume"}</definedName>
    <definedName name="_a2" localSheetId="6" hidden="0" function="0" vbProcedure="0">{#N/A,#N/A,FALSE,"Volume"}</definedName>
    <definedName name="_a3" localSheetId="6" hidden="0" function="0" vbProcedure="0">{#N/A,#N/A,FALSE,"Volume"}</definedName>
    <definedName name="_A4" localSheetId="6" hidden="1" function="0" vbProcedure="0">[10]Run!$B$18:$B$512</definedName>
    <definedName name="_aa" localSheetId="6" hidden="0" function="0" vbProcedure="0">{#N/A,#N/A,FALSE,"Volume"}</definedName>
    <definedName name="_aaa" localSheetId="6" hidden="0" function="0" vbProcedure="0">{#N/A,#N/A,FALSE,"Volume"}</definedName>
    <definedName name="_aaaaa" localSheetId="6" hidden="0" function="0" vbProcedure="0">{#N/A,#N/A,FALSE,"Volume"}</definedName>
    <definedName name="_aaaaaa" localSheetId="6" hidden="0" function="0" vbProcedure="0">{#N/A,#N/A,FALSE,"Volume"}</definedName>
    <definedName name="_ab" localSheetId="6" hidden="0" function="0" vbProcedure="0">{#N/A,#N/A,FALSE,"Volume"}</definedName>
    <definedName name="_ac" localSheetId="6" hidden="0" function="0" vbProcedure="0">{#N/A,#N/A,FALSE,"Volume"}</definedName>
    <definedName name="_acasdf" localSheetId="6" hidden="0" function="0" vbProcedure="0">{#N/A,#N/A,FALSE,"Volume"}</definedName>
    <definedName name="_acc" localSheetId="6" hidden="0" function="0" vbProcedure="0">{#N/A,#N/A,FALSE,"Volume"}</definedName>
    <definedName name="_ap1" localSheetId="6" hidden="0" function="0" vbProcedure="0">{#N/A,#N/A,FALSE,"Volume"}</definedName>
    <definedName name="_ap2" localSheetId="6" hidden="0" function="0" vbProcedure="0">{#N/A,#N/A,FALSE,"Volume"}</definedName>
    <definedName name="_ap3" localSheetId="6" hidden="0" function="0" vbProcedure="0">{#N/A,#N/A,FALSE,"Volume"}</definedName>
    <definedName name="_app1" localSheetId="6" hidden="0" function="0" vbProcedure="0">{#N/A,#N/A,FALSE,"Volume"}</definedName>
    <definedName name="_app2" localSheetId="6" hidden="0" function="0" vbProcedure="0">{#N/A,#N/A,FALSE,"Volume"}</definedName>
    <definedName name="_app3" localSheetId="6" hidden="0" function="0" vbProcedure="0">{#N/A,#N/A,FALSE,"Volume"}</definedName>
    <definedName name="_app4" localSheetId="6" hidden="0" function="0" vbProcedure="0">{#N/A,#N/A,FALSE,"Volume"}</definedName>
    <definedName name="_app5" localSheetId="6" hidden="0" function="0" vbProcedure="0">{#N/A,#N/A,FALSE,"Volume"}</definedName>
    <definedName name="_asdfas" localSheetId="6" hidden="0" function="0" vbProcedure="0">{#N/A,#N/A,FALSE,"Volume"}</definedName>
    <definedName name="_b" localSheetId="6" hidden="0" function="0" vbProcedure="0">{#N/A,#N/A,FALSE,"Volume"}</definedName>
    <definedName name="_b1" localSheetId="6" hidden="0" function="0" vbProcedure="0">{#N/A,#N/A,FALSE,"Volume"}</definedName>
    <definedName name="_b2" localSheetId="6" hidden="0" function="0" vbProcedure="0">{#N/A,#N/A,FALSE,"Volume"}</definedName>
    <definedName name="_b3" localSheetId="6" hidden="0" function="0" vbProcedure="0">{#N/A,#N/A,FALSE,"Volume"}</definedName>
    <definedName name="_b4" localSheetId="6" hidden="0" function="0" vbProcedure="0">{#N/A,#N/A,FALSE,"Volume"}</definedName>
    <definedName name="_b5" localSheetId="6" hidden="0" function="0" vbProcedure="0">{#N/A,#N/A,FALSE,"Volume"}</definedName>
    <definedName name="_bb2789" localSheetId="6" hidden="0" function="0" vbProcedure="0">[9]!Calculate_Pipe</definedName>
    <definedName name="_bgn1" localSheetId="6" hidden="1" function="0" vbProcedure="0">{#N/A,#N/A,FALSE,"Sheet1"}</definedName>
    <definedName name="_c" localSheetId="6" hidden="0" function="0" vbProcedure="0">{#N/A,#N/A,FALSE,"Volume"}</definedName>
    <definedName name="_c1" localSheetId="6" hidden="0" function="0" vbProcedure="0">{#N/A,#N/A,FALSE,"Volume"}</definedName>
    <definedName name="_c2" localSheetId="6" hidden="0" function="0" vbProcedure="0">{#N/A,#N/A,FALSE,"Volume"}</definedName>
    <definedName name="_c3" localSheetId="6" hidden="0" function="0" vbProcedure="0">{#N/A,#N/A,FALSE,"Volume"}</definedName>
    <definedName name="_c4" localSheetId="6" hidden="0" function="0" vbProcedure="0">{#N/A,#N/A,FALSE,"Volume"}</definedName>
    <definedName name="_cd1" localSheetId="6" hidden="1" function="0" vbProcedure="0">{#N/A,#N/A,FALSE,"Sheet1"}</definedName>
    <definedName name="_cf1" localSheetId="6" hidden="1" function="0" vbProcedure="0">{#N/A,#N/A,FALSE,"Sheet1"}</definedName>
    <definedName name="_d" localSheetId="6" hidden="0" function="0" vbProcedure="0">{#N/A,#N/A,FALSE,"Volume"}</definedName>
    <definedName name="_d1" localSheetId="6" hidden="0" function="0" vbProcedure="0">{#N/A,#N/A,FALSE,"Volume"}</definedName>
    <definedName name="_d2\" localSheetId="6" hidden="0" function="0" vbProcedure="0">{#N/A,#N/A,FALSE,"Volume"}</definedName>
    <definedName name="_d3" localSheetId="6" hidden="0" function="0" vbProcedure="0">{#N/A,#N/A,FALSE,"Volume"}</definedName>
    <definedName name="_d4" localSheetId="6" hidden="0" function="0" vbProcedure="0">{#N/A,#N/A,FALSE,"Volume"}</definedName>
    <definedName name="_DAT16" localSheetId="6" hidden="0" function="0" vbProcedure="0">'[37]sap serv 06-02'!#ref!</definedName>
    <definedName name="_DAT17" localSheetId="6" hidden="0" function="0" vbProcedure="0">'[37]sap serv 06-02'!#ref!</definedName>
    <definedName name="_DAT19" localSheetId="6" hidden="0" function="0" vbProcedure="0">'[37]sap serv 06-02'!#ref!</definedName>
    <definedName name="_DAT20" localSheetId="6" hidden="0" function="0" vbProcedure="0">'[37]sap serv 06-02'!#ref!</definedName>
    <definedName name="_DAT25" localSheetId="6" hidden="0" function="0" vbProcedure="0">'[37]sap serv 06-02'!#ref!</definedName>
    <definedName name="_DAT26" localSheetId="6" hidden="0" function="0" vbProcedure="0">'[37]sap serv 06-02'!#ref!</definedName>
    <definedName name="_DAT27" localSheetId="6" hidden="0" function="0" vbProcedure="0">'[37]sap serv 06-02'!#ref!</definedName>
    <definedName name="_DAT28" localSheetId="6" hidden="0" function="0" vbProcedure="0">'[37]sap serv 06-02'!#ref!</definedName>
    <definedName name="_DAT29" localSheetId="6" hidden="0" function="0" vbProcedure="0">'[37]sap serv 06-02'!#ref!</definedName>
    <definedName name="_DAT31" localSheetId="6" hidden="0" function="0" vbProcedure="0">'[37]sap serv 06-02'!#ref!</definedName>
    <definedName name="_DAT32" localSheetId="6" hidden="0" function="0" vbProcedure="0">'[37]sap serv 06-02'!#ref!</definedName>
    <definedName name="_DAT34" localSheetId="6" hidden="0" function="0" vbProcedure="0">'[37]sap serv 06-02'!#ref!</definedName>
    <definedName name="_DAT35" localSheetId="6" hidden="0" function="0" vbProcedure="0">'[37]sap serv 06-02'!#ref!</definedName>
    <definedName name="_DAT36" localSheetId="6" hidden="0" function="0" vbProcedure="0">'[37]sap serv 06-02'!#ref!</definedName>
    <definedName name="_DAT40" localSheetId="6" hidden="0" function="0" vbProcedure="0">'[37]sap serv 06-02'!#ref!</definedName>
    <definedName name="_DAT41" localSheetId="6" hidden="0" function="0" vbProcedure="0">'[37]sap serv 06-02'!#ref!</definedName>
    <definedName name="_DAT42" localSheetId="6" hidden="0" function="0" vbProcedure="0">'[37]sap serv 06-02'!#ref!</definedName>
    <definedName name="_DAT44" localSheetId="6" hidden="0" function="0" vbProcedure="0">'[37]sap serv 06-02'!#ref!</definedName>
    <definedName name="_DAT45" localSheetId="6" hidden="0" function="0" vbProcedure="0">'[37]sap serv 06-02'!#ref!</definedName>
    <definedName name="_DAT46" localSheetId="6" hidden="0" function="0" vbProcedure="0">'[37]sap serv 06-02'!#ref!</definedName>
    <definedName name="_DAT47" localSheetId="6" hidden="0" function="0" vbProcedure="0">'[37]sap serv 06-02'!#ref!</definedName>
    <definedName name="_DAT48" localSheetId="6" hidden="0" function="0" vbProcedure="0">'[37]sap serv 06-02'!#ref!</definedName>
    <definedName name="_DAT49" localSheetId="6" hidden="0" function="0" vbProcedure="0">'[37]sap serv 06-02'!#ref!</definedName>
    <definedName name="_DAT50" localSheetId="6" hidden="0" function="0" vbProcedure="0">'[37]sap serv 06-02'!#ref!</definedName>
    <definedName name="_DAT52" localSheetId="6" hidden="0" function="0" vbProcedure="0">'[37]sap serv 06-02'!#ref!</definedName>
    <definedName name="_DAT53" localSheetId="6" hidden="0" function="0" vbProcedure="0">'[37]sap serv 06-02'!#ref!</definedName>
    <definedName name="_DAT54" localSheetId="6" hidden="0" function="0" vbProcedure="0">'[37]sap serv 06-02'!#ref!</definedName>
    <definedName name="_DAT56" localSheetId="6" hidden="0" function="0" vbProcedure="0">'[37]sap serv 06-02'!#ref!</definedName>
    <definedName name="_DAT57" localSheetId="6" hidden="0" function="0" vbProcedure="0">'[37]sap serv 06-02'!#ref!</definedName>
    <definedName name="_DAT62" localSheetId="6" hidden="0" function="0" vbProcedure="0">'[37]sap serv 06-02'!#ref!</definedName>
    <definedName name="_DAT63" localSheetId="6" hidden="0" function="0" vbProcedure="0">'[37]sap serv 06-02'!#ref!</definedName>
    <definedName name="_e" localSheetId="6" hidden="0" function="0" vbProcedure="0">{#N/A,#N/A,FALSE,"Volume"}</definedName>
    <definedName name="_e1" localSheetId="6" hidden="0" function="0" vbProcedure="0">{#N/A,#N/A,FALSE,"Volume"}</definedName>
    <definedName name="_e2" localSheetId="6" hidden="0" function="0" vbProcedure="0">{#N/A,#N/A,FALSE,"Volume"}</definedName>
    <definedName name="_e3" localSheetId="6" hidden="0" function="0" vbProcedure="0">{#N/A,#N/A,FALSE,"Volume"}</definedName>
    <definedName name="_e4" localSheetId="6" hidden="0" function="0" vbProcedure="0">{#N/A,#N/A,FALSE,"Volume"}</definedName>
    <definedName name="_f" localSheetId="6" hidden="0" function="0" vbProcedure="0">{#N/A,#N/A,FALSE,"Volume"}</definedName>
    <definedName name="_f1" localSheetId="6" hidden="0" function="0" vbProcedure="0">{#N/A,#N/A,FALSE,"Volume"}</definedName>
    <definedName name="_f2" localSheetId="6" hidden="0" function="0" vbProcedure="0">{#N/A,#N/A,FALSE,"Volume"}</definedName>
    <definedName name="_f3" localSheetId="6" hidden="0" function="0" vbProcedure="0">{#N/A,#N/A,FALSE,"Volume"}</definedName>
    <definedName name="_f4" localSheetId="6" hidden="0" function="0" vbProcedure="0">{#N/A,#N/A,FALSE,"Volume"}</definedName>
    <definedName name="_f5" localSheetId="6" hidden="0" function="0" vbProcedure="0">{#N/A,#N/A,FALSE,"Volume"}</definedName>
    <definedName name="_f6" localSheetId="6" hidden="0" function="0" vbProcedure="0">{#N/A,#N/A,FALSE,"Volume"}</definedName>
    <definedName name="_f7" localSheetId="6" hidden="0" function="0" vbProcedure="0">{#N/A,#N/A,FALSE,"Volume"}</definedName>
    <definedName name="_Fill" localSheetId="6" hidden="1" function="0" vbProcedure="0">#REF!</definedName>
    <definedName name="_g" localSheetId="6" hidden="0" function="0" vbProcedure="0">{#N/A,#N/A,FALSE,"Volume"}</definedName>
    <definedName name="_gmh1" localSheetId="6" hidden="1" function="0" vbProcedure="0">{#N/A,#N/A,FALSE,"Sheet1"}</definedName>
    <definedName name="_h" localSheetId="6" hidden="0" function="0" vbProcedure="0">{#N/A,#N/A,FALSE,"Volume"}</definedName>
    <definedName name="_i" localSheetId="6" hidden="0" function="0" vbProcedure="0">{#N/A,#N/A,FALSE,"Volume"}</definedName>
    <definedName name="_Key1" localSheetId="6" hidden="1" function="0" vbProcedure="0">#REF!</definedName>
    <definedName name="_lyc7" localSheetId="6" hidden="0" function="0" vbProcedure="0">[37]钻井日报表!$G$5</definedName>
    <definedName name="_num15" localSheetId="6" hidden="0" function="0" vbProcedure="0">'[30]data '!#ref!</definedName>
    <definedName name="_Order2" localSheetId="6" hidden="1" function="0" vbProcedure="0">255</definedName>
    <definedName name="_P" localSheetId="6" hidden="0" function="0" vbProcedure="0">{#N/A,#N/A,FALSE,"Volume"}</definedName>
    <definedName name="_P1" localSheetId="6" hidden="0" function="0" vbProcedure="0">{#N/A,#N/A,FALSE,"Volume"}</definedName>
    <definedName name="_P2" localSheetId="6" hidden="0" function="0" vbProcedure="0">{#N/A,#N/A,FALSE,"Volume"}</definedName>
    <definedName name="_P3" localSheetId="6" hidden="0" function="0" vbProcedure="0">{#N/A,#N/A,FALSE,"Volume"}</definedName>
    <definedName name="_P4" localSheetId="6" hidden="0" function="0" vbProcedure="0">{#N/A,#N/A,FALSE,"Volume"}</definedName>
    <definedName name="_pap1" localSheetId="6" hidden="0" function="0" vbProcedure="0">{#N/A,#N/A,FALSE,"Volume"}</definedName>
    <definedName name="_pap2" localSheetId="6" hidden="0" function="0" vbProcedure="0">{#N/A,#N/A,FALSE,"Volume"}</definedName>
    <definedName name="_pap3" localSheetId="6" hidden="0" function="0" vbProcedure="0">{#N/A,#N/A,FALSE,"Volume"}</definedName>
    <definedName name="_pap4" localSheetId="6" hidden="0" function="0" vbProcedure="0">{#N/A,#N/A,FALSE,"Volume"}</definedName>
    <definedName name="_pap5" localSheetId="6" hidden="0" function="0" vbProcedure="0">{#N/A,#N/A,FALSE,"Volume"}</definedName>
    <definedName name="_PPH1" localSheetId="6" hidden="0" function="0" vbProcedure="0">[40]!Calculate_Pipe</definedName>
    <definedName name="_r06" localSheetId="6" hidden="0" function="0" vbProcedure="0">[41]!AutoCAD</definedName>
    <definedName name="_Sort" localSheetId="6" hidden="1" function="0" vbProcedure="0">#REF!</definedName>
    <definedName name="_SPM1" localSheetId="6" hidden="0" function="0" vbProcedure="0">[16]!Macro1</definedName>
    <definedName name="_SSA1" localSheetId="6" hidden="0" function="0" vbProcedure="0">[43]!Macro46</definedName>
    <definedName name="_T" localSheetId="6" hidden="0" function="0" vbProcedure="0">{#N/A,#N/A,FALSE,"Volume"}</definedName>
    <definedName name="_Table1_In1" localSheetId="6" hidden="1" function="0" vbProcedure="0">[23]Run!$E$575</definedName>
    <definedName name="_Table1_Out" localSheetId="6" hidden="1" function="0" vbProcedure="0">[23]Run!$C$16:$E$577</definedName>
    <definedName name="_TST2" localSheetId="6" hidden="0" function="0" vbProcedure="0">'[43]Liner Job Info'!$O$7</definedName>
    <definedName name="_UA38" localSheetId="6" hidden="0" function="0" vbProcedure="0">'JOB ORDER '!_UA38</definedName>
    <definedName name="_wrn1" localSheetId="6" hidden="0" function="0" vbProcedure="0">{#N/A,#N/A,FALSE,"Volume"}</definedName>
    <definedName name="_x" localSheetId="6" hidden="0" function="0" vbProcedure="0">{#N/A,#N/A,FALSE,"Volume"}</definedName>
    <definedName name="_xa" localSheetId="6" hidden="0" function="0" vbProcedure="0">{#N/A,#N/A,FALSE,"Volume"}</definedName>
    <definedName name="_xb" localSheetId="6" hidden="0" function="0" vbProcedure="0">{#N/A,#N/A,FALSE,"Volume"}</definedName>
    <definedName name="_xc" localSheetId="6" hidden="0" function="0" vbProcedure="0">{#N/A,#N/A,FALSE,"Volume"}</definedName>
    <definedName name="_z" localSheetId="6" hidden="0" function="0" vbProcedure="0">{#N/A,#N/A,FALSE,"Volume"}</definedName>
    <definedName name="_z1" localSheetId="6" hidden="0" function="0" vbProcedure="0">{#N/A,#N/A,FALSE,"Volume"}</definedName>
    <definedName name="_z2" localSheetId="6" hidden="0" function="0" vbProcedure="0">{#N/A,#N/A,FALSE,"Volume"}</definedName>
    <definedName name="_z3" localSheetId="6" hidden="0" function="0" vbProcedure="0">{#N/A,#N/A,FALSE,"Volume"}</definedName>
    <definedName name="_z4" localSheetId="6" hidden="0" function="0" vbProcedure="0">{#N/A,#N/A,FALSE,"Volume"}</definedName>
    <definedName name="__" localSheetId="6" hidden="0" function="0" vbProcedure="0">'[6]#REF'!$E$29</definedName>
    <definedName name="__123Graph_A" localSheetId="6" hidden="1" function="0" vbProcedure="0">[23]Run!$B$18:$B$512</definedName>
    <definedName name="__123Graph_B" localSheetId="6" hidden="1" function="0" vbProcedure="0">'[24]Minimum Curve Method'!$K$9:$K$152</definedName>
    <definedName name="__123Graph_C" localSheetId="6" hidden="1" function="0" vbProcedure="0">[23]Run!$C$16:$C$512</definedName>
    <definedName name="__123Graph_D" localSheetId="6" hidden="1" function="0" vbProcedure="0">[23]Run!$D$15:$D$512</definedName>
    <definedName name="__123Graph_E" localSheetId="6" hidden="1" function="0" vbProcedure="0">[23]Run!$E$16:$E$514</definedName>
    <definedName name="__123Graph_F" localSheetId="6" hidden="1" function="0" vbProcedure="0">[23]Run!$F$16:$F$514</definedName>
    <definedName name="__123Graph_X" localSheetId="6" hidden="1" function="0" vbProcedure="0">'[24]Minimum Curve Method'!$K$9:$K$152</definedName>
    <definedName name="__1Module2__2__.gaugeconok2" localSheetId="6" hidden="0" function="0" vbProcedure="0">'JOB ORDER '!__1Module2__2__.gaugeconok2</definedName>
    <definedName name="__2Module2__2__.gaugeok2" localSheetId="6" hidden="0" function="0" vbProcedure="0">'JOB ORDER '!__2Module2__2__.gaugeok2</definedName>
    <definedName name="__3Module2__2__.gaugeselect2" localSheetId="6" hidden="0" function="0" vbProcedure="0">'JOB ORDER '!__3Module2__2__.gaugeselect2</definedName>
    <definedName name="__4Module2__2__.serialselect3" localSheetId="6" hidden="0" function="0" vbProcedure="0">'JOB ORDER '!__4Module2__2__.serialselect3</definedName>
    <definedName name="__5Module2__2__.serialselect4" localSheetId="6" hidden="0" function="0" vbProcedure="0">'JOB ORDER '!__5Module2__2__.serialselect4</definedName>
    <definedName name="__A4" localSheetId="6" hidden="1" function="0" vbProcedure="0">[10]Run!$B$18:$B$512</definedName>
    <definedName name="__bb2789" localSheetId="6" hidden="0" function="0" vbProcedure="0">[9]!Calculate_Pipe</definedName>
    <definedName name="__SPM1" localSheetId="6" hidden="0" function="0" vbProcedure="0">[16]!Macro1</definedName>
    <definedName name="__UA38" localSheetId="6" hidden="0" function="0" vbProcedure="0">'JOB ORDER '!__UA38</definedName>
    <definedName name="__wrn1" localSheetId="6" hidden="0" function="0" vbProcedure="0">{#N/A,#N/A,FALSE,"Volume"}</definedName>
    <definedName name="___A4" localSheetId="6" hidden="1" function="0" vbProcedure="0">[10]Run!$B$18:$B$512</definedName>
    <definedName name="___bb2789" localSheetId="6" hidden="0" function="0" vbProcedure="0">[9]!Calculate_Pipe</definedName>
    <definedName name="___SPM1" localSheetId="6" hidden="0" function="0" vbProcedure="0">[16]!Macro1</definedName>
    <definedName name="___wrn1" localSheetId="6" hidden="0" function="0" vbProcedure="0">{#N/A,#N/A,FALSE,"Volume"}</definedName>
    <definedName name="____A4" localSheetId="6" hidden="1" function="0" vbProcedure="0">[10]Run!$B$18:$B$512</definedName>
    <definedName name="____bb2789" localSheetId="6" hidden="0" function="0" vbProcedure="0">[9]!Calculate_Pipe</definedName>
    <definedName name="____SPM1" localSheetId="6" hidden="0" function="0" vbProcedure="0">[16]!Macro1</definedName>
    <definedName name="____wrn1" localSheetId="6" hidden="0" function="0" vbProcedure="0">{#N/A,#N/A,FALSE,"Volume"}</definedName>
    <definedName name="_____A4" localSheetId="6" hidden="1" function="0" vbProcedure="0">[10]Run!$B$18:$B$512</definedName>
    <definedName name="_____bb2789" localSheetId="6" hidden="0" function="0" vbProcedure="0">[14]!Calculate_Pipe</definedName>
    <definedName name="_____SPM1" localSheetId="6" hidden="0" function="0" vbProcedure="0">[16]!Macro1</definedName>
    <definedName name="_____wrn1" localSheetId="6" hidden="0" function="0" vbProcedure="0">{#N/A,#N/A,FALSE,"Volume"}</definedName>
    <definedName name="______A4" localSheetId="6" hidden="1" function="0" vbProcedure="0">[10]Run!$B$18:$B$512</definedName>
    <definedName name="______bb2789" localSheetId="6" hidden="0" function="0" vbProcedure="0">[14]!Calculate_Pipe</definedName>
    <definedName name="______SPM1" localSheetId="6" hidden="0" function="0" vbProcedure="0">[16]!Macro1</definedName>
    <definedName name="______wrn1" localSheetId="6" hidden="1" function="0" vbProcedure="0">{#N/A,#N/A,FALSE,"Volume"}</definedName>
    <definedName name="_______A4" localSheetId="6" hidden="1" function="0" vbProcedure="0">[10]Run!$B$18:$B$512</definedName>
    <definedName name="_______bb2789" localSheetId="6" hidden="0" function="0" vbProcedure="0">[14]!Calculate_Pipe</definedName>
    <definedName name="_______wrn1" localSheetId="6" hidden="0" function="0" vbProcedure="0">{#N/A,#N/A,FALSE,"Volume"}</definedName>
    <definedName name="________A4" localSheetId="6" hidden="1" function="0" vbProcedure="0">[10]Run!$B$18:$B$512</definedName>
    <definedName name="________bb2789" localSheetId="6" hidden="0" function="0" vbProcedure="0">[14]!Calculate_Pipe</definedName>
    <definedName name="________wrn1" localSheetId="6" hidden="1" function="0" vbProcedure="0">{#N/A,#N/A,FALSE,"Volume"}</definedName>
    <definedName name="________wrn2" localSheetId="6" hidden="1" function="0" vbProcedure="0">{#N/A,#N/A,FALSE,"Volume"}</definedName>
    <definedName name="_________A4" localSheetId="6" hidden="1" function="0" vbProcedure="0">[10]Run!$B$18:$B$512</definedName>
    <definedName name="_________bb2789" localSheetId="6" hidden="0" function="0" vbProcedure="0">[14]!Calculate_Pipe</definedName>
    <definedName name="_________wrn1" localSheetId="6" hidden="0" function="0" vbProcedure="0">{#N/A,#N/A,FALSE,"Volume"}</definedName>
    <definedName name="__________A4" localSheetId="6" hidden="1" function="0" vbProcedure="0">[10]Run!$B$18:$B$512</definedName>
    <definedName name="__________bb2789" localSheetId="6" hidden="0" function="0" vbProcedure="0">[14]!Calculate_Pipe</definedName>
    <definedName name="___________A4" localSheetId="6" hidden="1" function="0" vbProcedure="0">[10]Run!$B$18:$B$512</definedName>
    <definedName name="___________bb2789" localSheetId="6" hidden="0" function="0" vbProcedure="0">[14]!Calculate_Pipe</definedName>
    <definedName name="___________wrn1" localSheetId="6" hidden="0" function="0" vbProcedure="0">{#N/A,#N/A,FALSE,"Volume"}</definedName>
    <definedName name="____________A4" localSheetId="6" hidden="1" function="0" vbProcedure="0">[10]Run!$B$18:$B$512</definedName>
    <definedName name="____________bb2789" localSheetId="6" hidden="0" function="0" vbProcedure="0">[14]!Calculate_Pipe</definedName>
    <definedName name="____________wrn1" localSheetId="6" hidden="0" function="0" vbProcedure="0">{#N/A,#N/A,FALSE,"Volume"}</definedName>
    <definedName name="_____________A4" localSheetId="6" hidden="1" function="0" vbProcedure="0">[10]Run!$B$18:$B$512</definedName>
    <definedName name="_____________bb2789" localSheetId="6" hidden="0" function="0" vbProcedure="0">[14]!Calculate_Pipe</definedName>
    <definedName name="______________A4" localSheetId="6" hidden="1" function="0" vbProcedure="0">[10]Run!$B$18:$B$512</definedName>
    <definedName name="______________bb2789" localSheetId="6" hidden="0" function="0" vbProcedure="0">[14]!Calculate_Pipe</definedName>
    <definedName name="_______________A4" localSheetId="6" hidden="1" function="0" vbProcedure="0">[10]Run!$B$18:$B$512</definedName>
    <definedName name="_______________bb2789" localSheetId="6" hidden="0" function="0" vbProcedure="0">[14]!Calculate_Pipe</definedName>
    <definedName name="________________A4" localSheetId="6" hidden="1" function="0" vbProcedure="0">[10]Run!$B$18:$B$512</definedName>
    <definedName name="________________bb2789" localSheetId="6" hidden="0" function="0" vbProcedure="0">[9]!Calculate_Pipe</definedName>
    <definedName name="_________________A4" localSheetId="6" hidden="1" function="0" vbProcedure="0">[10]Run!$B$18:$B$512</definedName>
    <definedName name="_________________bb2789" localSheetId="6" hidden="0" function="0" vbProcedure="0">[9]!Calculate_Pipe</definedName>
    <definedName name="__________________A4" localSheetId="6" hidden="1" function="0" vbProcedure="0">[10]Run!$B$18:$B$512</definedName>
    <definedName name="__________________bb2789" localSheetId="6" hidden="0" function="0" vbProcedure="0">[11]!Calculate_Pipe</definedName>
    <definedName name="___________________A4" localSheetId="6" hidden="1" function="0" vbProcedure="0">[10]Run!$B$18:$B$512</definedName>
    <definedName name="___________________bb2789" localSheetId="6" hidden="0" function="0" vbProcedure="0">[11]!Calculate_Pipe</definedName>
    <definedName name="____________________A4" localSheetId="6" hidden="1" function="0" vbProcedure="0">[8]Run!$B$18:$B$512</definedName>
    <definedName name="____________________bb2789" localSheetId="6" hidden="0" function="0" vbProcedure="0">[9]!Calculate_Pipe</definedName>
    <definedName name="_____________________A4" localSheetId="6" hidden="1" function="0" vbProcedure="0">[10]Run!$B$18:$B$512</definedName>
    <definedName name="_____________________bb2789" localSheetId="6" hidden="0" function="0" vbProcedure="0">[12]!Calculate_Pipe</definedName>
    <definedName name="______________________A4" localSheetId="6" hidden="1" function="0" vbProcedure="0">[10]Run!$B$18:$B$512</definedName>
    <definedName name="______________________bb2789" localSheetId="6" hidden="0" function="0" vbProcedure="0">[9]!Calculate_Pipe</definedName>
    <definedName name="_______________________A4" localSheetId="6" hidden="1" function="0" vbProcedure="0">[8]Run!$B$18:$B$512</definedName>
    <definedName name="_______________________bb2789" localSheetId="6" hidden="0" function="0" vbProcedure="0">[9]!Calculate_Pipe</definedName>
    <definedName name="________________________A4" localSheetId="6" hidden="1" function="0" vbProcedure="0">[10]Run!$B$18:$B$512</definedName>
    <definedName name="________________________bb2789" localSheetId="6" hidden="0" function="0" vbProcedure="0">[11]!Calculate_Pipe</definedName>
    <definedName name="_________________________bb2789" localSheetId="6" hidden="0" function="0" vbProcedure="0">[9]!Calculate_Pipe</definedName>
    <definedName name="__________________________A4" localSheetId="6" hidden="1" function="0" vbProcedure="0">[8]Run!$B$18:$B$512</definedName>
    <definedName name="歼击机" localSheetId="6" hidden="0" function="0" vbProcedure="0">[37]钻井日报表!$E$7</definedName>
    <definedName name="起始日期" localSheetId="6" hidden="0" function="0" vbProcedure="0">[295]钻井日报表!$B$1</definedName>
    <definedName name="_xlnm.Print_Area" localSheetId="6">'JOB ORDER '!$A$1:$L$109</definedName>
    <definedName name="a" localSheetId="7" hidden="0" function="0" vbProcedure="0">!#REF!</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7" hidden="0" function="0" vbProcedure="0">#REF!</definedName>
    <definedName name="As" localSheetId="7" hidden="0" function="0" vbProcedure="0">#REF!</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HOOSE" localSheetId="7" hidden="0" function="0" vbProcedure="0">#REF!</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CSG_ID" localSheetId="7" hidden="0" function="0" vbProcedure="0">#REF!</definedName>
    <definedName name="CSG_OD" localSheetId="7" hidden="0" function="0" vbProcedure="0">#REF!</definedName>
    <definedName name="CSG_WT" localSheetId="7" hidden="0" function="0" vbProcedure="0">#REF!</definedName>
    <definedName name="D" localSheetId="7" hidden="0" function="0" vbProcedure="0">#REF!</definedName>
    <definedName name="DA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7" hidden="0" function="0" vbProcedure="0">#REF!</definedName>
    <definedName name="drawblanks" localSheetId="7" hidden="0" function="0" vbProcedure="0">#REF!</definedName>
    <definedName name="drawlinerfirst" localSheetId="7" hidden="0" function="0" vbProcedure="0">#REF!</definedName>
    <definedName name="drawlinersecond" localSheetId="7" hidden="0" function="0" vbProcedure="0">#REF!</definedName>
    <definedName name="drawmiscellaneous" localSheetId="7" hidden="0" function="0" vbProcedure="0">#REF!</definedName>
    <definedName name="drawproductionfirst" localSheetId="7" hidden="0" function="0" vbProcedure="0">#REF!</definedName>
    <definedName name="drawproductionsecond" localSheetId="7" hidden="0" function="0" vbProcedure="0">#REF!</definedName>
    <definedName name="drawquantum" localSheetId="7" hidden="0" function="0" vbProcedure="0">#REF!</definedName>
    <definedName name="drawscreens" localSheetId="7" hidden="0" function="0" vbProcedure="0">#REF!</definedName>
    <definedName name="drawshearsubs" localSheetId="7" hidden="0" function="0" vbProcedure="0">#REF!</definedName>
    <definedName name="drawsump" localSheetId="7" hidden="0" function="0" vbProcedure="0">#REF!</definedName>
    <definedName name="draw_blanks" localSheetId="7" hidden="0" function="0" vbProcedure="0">#REF!</definedName>
    <definedName name="draw_linerfirst" localSheetId="7" hidden="0" function="0" vbProcedure="0">#REF!</definedName>
    <definedName name="draw_linersecond" localSheetId="7" hidden="0" function="0" vbProcedure="0">#REF!</definedName>
    <definedName name="draw_miscellaneous" localSheetId="7" hidden="0" function="0" vbProcedure="0">#REF!</definedName>
    <definedName name="draw_productionfirst" localSheetId="7" hidden="0" function="0" vbProcedure="0">#REF!</definedName>
    <definedName name="draw_productionsecond" localSheetId="7" hidden="0" function="0" vbProcedure="0">#REF!</definedName>
    <definedName name="draw_quantum" localSheetId="7" hidden="0" function="0" vbProcedure="0">#REF!</definedName>
    <definedName name="draw_screens" localSheetId="7" hidden="0" function="0" vbProcedure="0">#REF!</definedName>
    <definedName name="draw_shearsubs" localSheetId="7" hidden="0" function="0" vbProcedure="0">#REF!</definedName>
    <definedName name="draw_sump" localSheetId="7" hidden="0" function="0" vbProcedure="0">#REF!</definedName>
    <definedName name="E" localSheetId="7" hidden="0" function="0" vbProcedure="0">#REF!</definedName>
    <definedName name="F" localSheetId="7" hidden="0" function="0" vbProcedure="0">#REF!</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7" hidden="0" function="0" vbProcedure="0">#REF!</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acro2" localSheetId="7" hidden="0" function="0" vbProcedure="0">#REF!</definedName>
    <definedName name="Module1.draw_productionfirst" localSheetId="7" hidden="0" function="0" vbProcedure="0">#REF!</definedName>
    <definedName name="Module1.draw_productionsecond" localSheetId="7" hidden="0" function="0" vbProcedure="0">#REF!</definedName>
    <definedName name="Module4.drawblanks" localSheetId="7" hidden="0" function="0" vbProcedure="0">#REF!</definedName>
    <definedName name="Module4.drawlinerfirst" localSheetId="7" hidden="0" function="0" vbProcedure="0">#REF!</definedName>
    <definedName name="Module4.drawlinersecond" localSheetId="7" hidden="0" function="0" vbProcedure="0">#REF!</definedName>
    <definedName name="Module4.drawmiscellaneous" localSheetId="7" hidden="0" function="0" vbProcedure="0">#REF!</definedName>
    <definedName name="Module4.drawproductionfirst" localSheetId="7" hidden="0" function="0" vbProcedure="0">#REF!</definedName>
    <definedName name="Module4.drawproductionsecond" localSheetId="7" hidden="0" function="0" vbProcedure="0">#REF!</definedName>
    <definedName name="Module4.drawquantum" localSheetId="7" hidden="0" function="0" vbProcedure="0">#REF!</definedName>
    <definedName name="Module4.drawscreens" localSheetId="7" hidden="0" function="0" vbProcedure="0">#REF!</definedName>
    <definedName name="Module4.drawshearsubs" localSheetId="7" hidden="0" function="0" vbProcedure="0">#REF!</definedName>
    <definedName name="Module4.drawsump" localSheetId="7" hidden="0" function="0" vbProcedure="0">#REF!</definedName>
    <definedName name="Module4.textfive" localSheetId="7" hidden="0" function="0" vbProcedure="0">#REF!</definedName>
    <definedName name="Module4.textfivehalf" localSheetId="7" hidden="0" function="0" vbProcedure="0">#REF!</definedName>
    <definedName name="Module4.textninefiveeightfourfirst" localSheetId="7" hidden="0" function="0" vbProcedure="0">#REF!</definedName>
    <definedName name="Module4.textninefiveeightfoursecond" localSheetId="7" hidden="0" function="0" vbProcedure="0">#REF!</definedName>
    <definedName name="Module4.textninefiveeightsixfirst" localSheetId="7" hidden="0" function="0" vbProcedure="0">#REF!</definedName>
    <definedName name="Module4.textninefiveeightsixsecond" localSheetId="7" hidden="0" function="0" vbProcedure="0">#REF!</definedName>
    <definedName name="Module4.textsevenfiveeightfour" localSheetId="7" hidden="0" function="0" vbProcedure="0">#REF!</definedName>
    <definedName name="Module4.textsevenfiveeightthree" localSheetId="7" hidden="0" function="0" vbProcedure="0">#REF!</definedName>
    <definedName name="Module4.textsevenfour" localSheetId="7" hidden="0" function="0" vbProcedure="0">#REF!</definedName>
    <definedName name="Module4.textseventhree" localSheetId="7" hidden="0" function="0" vbProcedure="0">#REF!</definedName>
    <definedName name="mr" localSheetId="7" hidden="1" function="0" vbProcedure="0">{#N/A,#N/A,FALSE,"Sheet1"}</definedName>
    <definedName name="n" localSheetId="7" hidden="0" function="0" vbProcedure="0">#REF!</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pick1_958x475_system" localSheetId="7" hidden="0" function="0" vbProcedure="0">#REF!</definedName>
    <definedName name="pick1_958x6_system" localSheetId="7" hidden="0" function="0" vbProcedure="0">#REF!</definedName>
    <definedName name="pick1_production" localSheetId="7" hidden="0" function="0" vbProcedure="0">#REF!</definedName>
    <definedName name="pick2_958x475_system" localSheetId="7" hidden="0" function="0" vbProcedure="0">#REF!</definedName>
    <definedName name="pick2_958x6_system" localSheetId="7" hidden="0" function="0" vbProcedure="0">#REF!</definedName>
    <definedName name="pick2_production" localSheetId="7" hidden="0" function="0" vbProcedure="0">#REF!</definedName>
    <definedName name="pick_512_system" localSheetId="7" hidden="0" function="0" vbProcedure="0">#REF!</definedName>
    <definedName name="pick_5_system" localSheetId="7" hidden="0" function="0" vbProcedure="0">#REF!</definedName>
    <definedName name="pick_758x314_system" localSheetId="7" hidden="0" function="0" vbProcedure="0">#REF!</definedName>
    <definedName name="pick_758x4_system" localSheetId="7" hidden="0" function="0" vbProcedure="0">#REF!</definedName>
    <definedName name="pick_7x314_system" localSheetId="7" hidden="0" function="0" vbProcedure="0">#REF!</definedName>
    <definedName name="pick_7x4_system" localSheetId="7" hidden="0" function="0" vbProcedure="0">#REF!</definedName>
    <definedName name="pick_blanks" localSheetId="7" hidden="0" function="0" vbProcedure="0">#REF!</definedName>
    <definedName name="pick_liner" localSheetId="7" hidden="0" function="0" vbProcedure="0">#REF!</definedName>
    <definedName name="pick_liner2" localSheetId="7" hidden="0" function="0" vbProcedure="0">#REF!</definedName>
    <definedName name="pick_miscellaneous" localSheetId="7" hidden="0" function="0" vbProcedure="0">#REF!</definedName>
    <definedName name="pick_quantum" localSheetId="7" hidden="0" function="0" vbProcedure="0">#REF!</definedName>
    <definedName name="pick_screens" localSheetId="7" hidden="0" function="0" vbProcedure="0">#REF!</definedName>
    <definedName name="pick_shearsubs" localSheetId="7" hidden="0" function="0" vbProcedure="0">#REF!</definedName>
    <definedName name="pick_sump" localSheetId="7" hidden="0" function="0" vbProcedure="0">#REF!</definedName>
    <definedName name="Print_Area_MI" localSheetId="7" hidden="0" function="0" vbProcedure="0">#REF!</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7" hidden="0" function="0" vbProcedure="0">#REF!</definedName>
    <definedName name="tes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7" hidden="0" function="0" vbProcedure="0">#REF!</definedName>
    <definedName name="textfivehalf" localSheetId="7" hidden="0" function="0" vbProcedure="0">#REF!</definedName>
    <definedName name="textninefiveeightfourfirst" localSheetId="7" hidden="0" function="0" vbProcedure="0">#REF!</definedName>
    <definedName name="textninefiveeightfoursecond" localSheetId="7" hidden="0" function="0" vbProcedure="0">#REF!</definedName>
    <definedName name="textninefiveeightsixfirst" localSheetId="7" hidden="0" function="0" vbProcedure="0">#REF!</definedName>
    <definedName name="textninefiveeightsixsecond" localSheetId="7" hidden="0" function="0" vbProcedure="0">#REF!</definedName>
    <definedName name="textsevenfiveeightfour" localSheetId="7" hidden="0" function="0" vbProcedure="0">#REF!</definedName>
    <definedName name="textsevenfiveeightthree" localSheetId="7" hidden="0" function="0" vbProcedure="0">#REF!</definedName>
    <definedName name="textsevenfour" localSheetId="7" hidden="0" function="0" vbProcedure="0">#REF!</definedName>
    <definedName name="textseventhree" localSheetId="7" hidden="0" function="0" vbProcedure="0">#REF!</definedName>
    <definedName name="text_five" localSheetId="7" hidden="0" function="0" vbProcedure="0">#REF!</definedName>
    <definedName name="text_fivehalf" localSheetId="7" hidden="0" function="0" vbProcedure="0">#REF!</definedName>
    <definedName name="text_ninefiveeightfourfirst" localSheetId="7" hidden="0" function="0" vbProcedure="0">#REF!</definedName>
    <definedName name="text_ninefiveeightfoursecond" localSheetId="7" hidden="0" function="0" vbProcedure="0">#REF!</definedName>
    <definedName name="text_ninefiveeightsixfirst" localSheetId="7" hidden="0" function="0" vbProcedure="0">#REF!</definedName>
    <definedName name="text_ninefiveeightsixsecond" localSheetId="7" hidden="0" function="0" vbProcedure="0">#REF!</definedName>
    <definedName name="text_sevenfiveeightfour" localSheetId="7" hidden="0" function="0" vbProcedure="0">#REF!</definedName>
    <definedName name="text_sevenfiveeightthree" localSheetId="7" hidden="0" function="0" vbProcedure="0">#REF!</definedName>
    <definedName name="text_sevenfour" localSheetId="7" hidden="0" function="0" vbProcedure="0">#REF!</definedName>
    <definedName name="text_seventhree" localSheetId="7" hidden="0" function="0" vbProcedure="0">#REF!</definedName>
    <definedName name="Time2" localSheetId="7" hidden="1" function="0" vbProcedure="0">{#N/A,#N/A,FALSE,"Volume"}</definedName>
    <definedName name="Tubing" localSheetId="7" hidden="0" function="0" vbProcedure="0">#REF!</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bcode.draw_blanks" localSheetId="7" hidden="0" function="0" vbProcedure="0">#REF!</definedName>
    <definedName name="vbcode.draw_linerfirst" localSheetId="7" hidden="0" function="0" vbProcedure="0">#REF!</definedName>
    <definedName name="vbcode.draw_linersecond" localSheetId="7" hidden="0" function="0" vbProcedure="0">#REF!</definedName>
    <definedName name="vbcode.draw_miscellaneous" localSheetId="7" hidden="0" function="0" vbProcedure="0">#REF!</definedName>
    <definedName name="vbcode.draw_productionfirst" localSheetId="7" hidden="0" function="0" vbProcedure="0">#REF!</definedName>
    <definedName name="vbcode.draw_productionsecond" localSheetId="7" hidden="0" function="0" vbProcedure="0">#REF!</definedName>
    <definedName name="vbcode.draw_quantum" localSheetId="7" hidden="0" function="0" vbProcedure="0">#REF!</definedName>
    <definedName name="vbcode.draw_screens" localSheetId="7" hidden="0" function="0" vbProcedure="0">#REF!</definedName>
    <definedName name="vbcode.draw_shearsubs" localSheetId="7" hidden="0" function="0" vbProcedure="0">#REF!</definedName>
    <definedName name="vbcode.draw_sump" localSheetId="7" hidden="0" function="0" vbProcedure="0">#REF!</definedName>
    <definedName name="vbcode.text_five" localSheetId="7" hidden="0" function="0" vbProcedure="0">#REF!</definedName>
    <definedName name="vbcode.text_fivehalf" localSheetId="7" hidden="0" function="0" vbProcedure="0">#REF!</definedName>
    <definedName name="vbcode.text_ninefiveeightfourfirst" localSheetId="7" hidden="0" function="0" vbProcedure="0">#REF!</definedName>
    <definedName name="vbcode.text_ninefiveeightfoursecond" localSheetId="7" hidden="0" function="0" vbProcedure="0">#REF!</definedName>
    <definedName name="vbcode.text_ninefiveeightsixfirst" localSheetId="7" hidden="0" function="0" vbProcedure="0">#REF!</definedName>
    <definedName name="vbcode.text_ninefiveeightsixsecond" localSheetId="7" hidden="0" function="0" vbProcedure="0">#REF!</definedName>
    <definedName name="vbcode.text_sevenfiveeightfour" localSheetId="7" hidden="0" function="0" vbProcedure="0">#REF!</definedName>
    <definedName name="vbcode.text_sevenfiveeightthree" localSheetId="7" hidden="0" function="0" vbProcedure="0">#REF!</definedName>
    <definedName name="vbcode.text_sevenfour" localSheetId="7" hidden="0" function="0" vbProcedure="0">#REF!</definedName>
    <definedName name="vbcode.text_seventhree" localSheetId="7" hidden="0" function="0" vbProcedure="0">#REF!</definedName>
    <definedName name="volume1" localSheetId="7" hidden="1" function="0" vbProcedure="0">{#N/A,#N/A,FALSE,"Volume"}</definedName>
    <definedName name="well"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7" hidden="0" function="0" vbProcedure="0">#REF!</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yesno" localSheetId="7" hidden="0" function="0" vbProcedure="0">#REF!</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Order1" localSheetId="7" hidden="1" function="0" vbProcedure="0">0</definedName>
    <definedName name="_wrn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Area" localSheetId="7">'Timesheet'!$A$1:$AO$39</definedName>
    <definedName name="a" localSheetId="8" hidden="0" function="0" vbProcedure="0">!#REF!</definedName>
    <definedName name="AAA" localSheetId="8" hidden="0" function="0" vbProcedure="0">'[47]mtl$-inter'!#ref!</definedName>
    <definedName name="addresstwo" localSheetId="8" hidden="0" function="0" vbProcedure="0">[53]data!#ref!</definedName>
    <definedName name="ae" localSheetId="8" hidden="0" function="0" vbProcedure="0">'[54]forecast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mis" localSheetId="8" hidden="0" function="0" vbProcedure="0">[59]Tally!$A$5:$J$825</definedName>
    <definedName name="Approver_Objectives" localSheetId="8" hidden="0" function="0" vbProcedure="0">'[69]well team goals'!#ref!</definedName>
    <definedName name="Approver_Well_Plan" localSheetId="8" hidden="0" function="0" vbProcedure="0">'[69]well team goals'!#ref!</definedName>
    <definedName name="axj" localSheetId="8" hidden="1" function="0" vbProcedure="0">{#N/A,#N/A,FALSE,"Sheet1"}</definedName>
    <definedName name="A_L" localSheetId="8" hidden="0" function="0" vbProcedure="0">'[35]12(762mm)套管'!#ref!</definedName>
    <definedName name="bbb" localSheetId="8" hidden="1" function="0" vbProcedure="0">{#N/A,#N/A,FALSE,"Sheet1"}</definedName>
    <definedName name="bgn" localSheetId="8" hidden="1" function="0" vbProcedure="0">{#N/A,#N/A,FALSE,"Sheet1"}</definedName>
    <definedName name="bOB" localSheetId="8" hidden="0" function="0" vbProcedure="0">[85]Volumes!$K$1:$Y$76</definedName>
    <definedName name="Budget_owner" localSheetId="8" hidden="0" function="0" vbProcedure="0">'[69]well specification'!#ref!</definedName>
    <definedName name="ccc" localSheetId="8" hidden="0" function="0" vbProcedure="0">[37]钻井日报表!$I$7</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onflict1" localSheetId="8" hidden="1" function="0" vbProcedure="0">{#N/A,#N/A,FALSE,"Drlg Param Run 1-1";#N/A,#N/A,FALSE,"DDR (3)";#N/A,#N/A,FALSE,"BHA AT (1)";#N/A,#N/A,FALSE,"Downlinkbha";#N/A,#N/A,FALSE,"Job Status Report"}</definedName>
    <definedName name="conref" localSheetId="8" hidden="0" function="0" vbProcedure="0">[30]Price!$A$1:$A$65536</definedName>
    <definedName name="contractnum" localSheetId="8" hidden="0" function="0" vbProcedure="0">'[30]data '!#ref!</definedName>
    <definedName name="CSG_ID" localSheetId="8" hidden="0" function="0" vbProcedure="0">[37]钻井日报表!$G$5</definedName>
    <definedName name="CSG_OD" localSheetId="8" hidden="0" function="0" vbProcedure="0">[37]钻井日报表!$G$4</definedName>
    <definedName name="CSG_WT" localSheetId="8" hidden="0" function="0" vbProcedure="0">[37]钻井日报表!$G$6</definedName>
    <definedName name="currency" localSheetId="8" hidden="0" function="0" vbProcedure="0">[53]data!#ref!</definedName>
    <definedName name="D" localSheetId="8" hidden="0" function="0" vbProcedure="0">'[138]tally checklist'!d</definedName>
    <definedName name="DAD" localSheetId="8" hidden="0" function="0" vbProcedure="0">'[138]tally checklist'!dad</definedName>
    <definedName name="DADAA" localSheetId="8" hidden="0" function="0" vbProcedure="0">'[138]tally checklist'!dadaa</definedName>
    <definedName name="DAEFF" localSheetId="8" hidden="0" function="0" vbProcedure="0">'[138]tally checklist'!daeff</definedName>
    <definedName name="DA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d" localSheetId="8" hidden="0" function="0" vbProcedure="0">[141]试压!#REF!</definedName>
    <definedName name="dddd" localSheetId="8" hidden="0" function="0" vbProcedure="0">[143]试油成果记录!#REF!</definedName>
    <definedName name="decdhm" localSheetId="8" hidden="0" function="0" vbProcedure="0">'[141]Personal Expense Dec-95 (MH)'!$K$5</definedName>
    <definedName name="decdlr" localSheetId="8" hidden="0" function="0" vbProcedure="0">'[141]Personal Expense Dec-95 (MH)'!$H$5</definedName>
    <definedName name="decfrc" localSheetId="8" hidden="0" function="0" vbProcedure="0">'[141]Personal Expense Dec-95 (MH)'!$I$5</definedName>
    <definedName name="decpnd" localSheetId="8" hidden="0" function="0" vbProcedure="0">'[141]Personal Expense Dec-95 (MH)'!$G$5</definedName>
    <definedName name="decrl" localSheetId="8" hidden="0" function="0" vbProcedure="0">'[141]Personal Expense Dec-95 (MH)'!$J$5</definedName>
    <definedName name="decrup" localSheetId="8" hidden="0" function="0" vbProcedure="0">'[141]Personal Expense Dec-95 (MH)'!$L$5</definedName>
    <definedName name="decrupees" localSheetId="8" hidden="0" function="0" vbProcedure="0">'[141]Cash Expense December-95'!$H$6</definedName>
    <definedName name="deliveredto" localSheetId="8" hidden="0" function="0" vbProcedure="0">'[30]data '!#ref!</definedName>
    <definedName name="deliverto" localSheetId="8" hidden="0" function="0" vbProcedure="0">[53]data!#ref!</definedName>
    <definedName name="DEQ" localSheetId="8" hidden="0" function="0" vbProcedure="0">'[138]tally checklist'!deq</definedName>
    <definedName name="dfg" localSheetId="8" hidden="0" function="0" vbProcedure="0">[37]钻井日报表!$E$8</definedName>
    <definedName name="dftg" localSheetId="8" hidden="0" function="0" vbProcedure="0">'[145]井口装置示意图-4'!$E$1:$E$65536</definedName>
    <definedName name="drawblanks" localSheetId="8" hidden="0" function="0" vbProcedure="0">'[138]tally checklist'!drawblanks</definedName>
    <definedName name="drawlinerfirst" localSheetId="8" hidden="0" function="0" vbProcedure="0">'[138]tally checklist'!drawlinerfirst</definedName>
    <definedName name="drawlinersecond" localSheetId="8" hidden="0" function="0" vbProcedure="0">'[138]tally checklist'!drawlinersecond</definedName>
    <definedName name="drawmiscellaneous" localSheetId="8" hidden="0" function="0" vbProcedure="0">'[138]tally checklist'!drawmiscellaneous</definedName>
    <definedName name="drawproductionfirst" localSheetId="8" hidden="0" function="0" vbProcedure="0">'[138]tally checklist'!drawproductionfirst</definedName>
    <definedName name="drawproductionsecond" localSheetId="8" hidden="0" function="0" vbProcedure="0">'[138]tally checklist'!drawproductionsecond</definedName>
    <definedName name="drawquantum" localSheetId="8" hidden="0" function="0" vbProcedure="0">'[138]tally checklist'!drawquantum</definedName>
    <definedName name="drawscreens" localSheetId="8" hidden="0" function="0" vbProcedure="0">'[138]tally checklist'!drawscreens</definedName>
    <definedName name="drawshearsubs" localSheetId="8" hidden="0" function="0" vbProcedure="0">'[138]tally checklist'!drawshearsubs</definedName>
    <definedName name="drawsump" localSheetId="8" hidden="0" function="0" vbProcedure="0">'[138]tally checklist'!drawsump</definedName>
    <definedName name="draw_blanks" localSheetId="8" hidden="0" function="0" vbProcedure="0">'[138]tally checklist'!draw_blanks</definedName>
    <definedName name="draw_linerfirst" localSheetId="8" hidden="0" function="0" vbProcedure="0">'[138]tally checklist'!draw_linerfirst</definedName>
    <definedName name="draw_linersecond" localSheetId="8" hidden="0" function="0" vbProcedure="0">'[138]tally checklist'!draw_linersecond</definedName>
    <definedName name="draw_miscellaneous" localSheetId="8" hidden="0" function="0" vbProcedure="0">'[138]tally checklist'!draw_miscellaneous</definedName>
    <definedName name="draw_productionfirst" localSheetId="8" hidden="0" function="0" vbProcedure="0">'[138]tally checklist'!draw_productionfirst</definedName>
    <definedName name="draw_productionsecond" localSheetId="8" hidden="0" function="0" vbProcedure="0">'[138]tally checklist'!draw_productionsecond</definedName>
    <definedName name="draw_quantum" localSheetId="8" hidden="0" function="0" vbProcedure="0">'[138]tally checklist'!draw_quantum</definedName>
    <definedName name="draw_screens" localSheetId="8" hidden="0" function="0" vbProcedure="0">'[138]tally checklist'!draw_screens</definedName>
    <definedName name="draw_shearsubs" localSheetId="8" hidden="0" function="0" vbProcedure="0">'[138]tally checklist'!draw_shearsubs</definedName>
    <definedName name="draw_sump" localSheetId="8" hidden="0" function="0" vbProcedure="0">'[138]tally checklist'!draw_sump</definedName>
    <definedName name="Druckbereich_S3" localSheetId="8" hidden="0" function="0" vbProcedure="0">'[159]run_s.xls'!#ref!</definedName>
    <definedName name="EJYETYJEJ" localSheetId="8" hidden="0" function="0" vbProcedure="0">'[138]tally checklist'!ejyetyjej</definedName>
    <definedName name="equipmenttype" localSheetId="8" hidden="0" function="0" vbProcedure="0">[53]data!#ref!</definedName>
    <definedName name="ertert" localSheetId="8" hidden="0" function="0" vbProcedure="0">[165]试压!#REF!</definedName>
    <definedName name="ES_pricelist" localSheetId="8" hidden="0" function="0" vbProcedure="0">[163]Pricelist!$A$8:$B$18</definedName>
    <definedName name="fdg" localSheetId="8" hidden="0" function="0" vbProcedure="0">[37]钻井日报表!$G$7</definedName>
    <definedName name="februpees" localSheetId="8" hidden="0" function="0" vbProcedure="0">'[170]Cash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'[138]tally checklist'!fewfw</definedName>
    <definedName name="fff" localSheetId="8" hidden="0" function="0" vbProcedure="0">'[138]tally checklist'!fff</definedName>
    <definedName name="field" localSheetId="8" hidden="0" function="0" vbProcedure="0">[53]data!#ref!</definedName>
    <definedName name="FJNDEF" localSheetId="8" hidden="0" function="0" vbProcedure="0">'[138]tally checklist'!fjndef</definedName>
    <definedName name="formation" localSheetId="8" hidden="0" function="0" vbProcedure="0">[53]data!#ref!</definedName>
    <definedName name="FRONT" localSheetId="8" hidden="0" function="0" vbProcedure="0">'[174]DAILY RPT'!$A$1:$Y$67</definedName>
    <definedName name="GGGR" localSheetId="8" hidden="0" function="0" vbProcedure="0">'[138]tally checklist'!gggr</definedName>
    <definedName name="GL" localSheetId="8" hidden="0" function="0" vbProcedure="0">'[183]offset data'!#ref!</definedName>
    <definedName name="Gmh" localSheetId="8" hidden="1" function="0" vbProcedure="0">{#N/A,#N/A,FALSE,"Sheet1"}</definedName>
    <definedName name="GQGQ" localSheetId="8" hidden="0" function="0" vbProcedure="0">'[138]tally checklist'!gqgq</definedName>
    <definedName name="GQQ" localSheetId="8" hidden="0" function="0" vbProcedure="0">'[138]tally checklist'!gqq</definedName>
    <definedName name="GRQ" localSheetId="8" hidden="0" function="0" vbProcedure="0">'[138]tally checklist'!grq</definedName>
    <definedName name="GUB24SECWELL" localSheetId="8" hidden="1" function="0" vbProcedure="0">[182]Sheet1!$A$181:$H$210</definedName>
    <definedName name="GWS" localSheetId="8" hidden="0" function="0" vbProcedure="0">'[138]tally checklist'!gws</definedName>
    <definedName name="hesfluid" localSheetId="8" hidden="0" function="0" vbProcedure="0">[53]data!#ref!</definedName>
    <definedName name="hj" localSheetId="8" hidden="0" function="0" vbProcedure="0">[189]bha!#ref!</definedName>
    <definedName name="HKWT" localSheetId="8" hidden="0" function="0" vbProcedure="0">[37]钻井日报表!$E$7</definedName>
    <definedName name="Inc" localSheetId="8" hidden="0" function="0" vbProcedure="0">[37]钻井日报表!$G$8</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'[189]Job File Index'!$B$7</definedName>
    <definedName name="Issue" localSheetId="8" hidden="0" function="0" vbProcedure="0">'[190]Title Page'!$Q$2:$Q$20</definedName>
    <definedName name="janrupees" localSheetId="8" hidden="0" function="0" vbProcedure="0">'[192]Cash Expense January-96'!$H$6</definedName>
    <definedName name="JEYJD" localSheetId="8" hidden="0" function="0" vbProcedure="0">'[138]tally checklist'!jeyjd</definedName>
    <definedName name="JK" localSheetId="8" hidden="0" function="0" vbProcedure="0">[193]CSG13!$B$5</definedName>
    <definedName name="JRJTRJT" localSheetId="8" hidden="0" function="0" vbProcedure="0">'[138]tally checklist'!jrjtrjt</definedName>
    <definedName name="JTNFN" localSheetId="8" hidden="0" function="0" vbProcedure="0">'[138]tally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KL" localSheetId="8" hidden="0" function="0" vbProcedure="0">[186]BHA!$C$4</definedName>
    <definedName name="KO" localSheetId="8" hidden="0" function="0" vbProcedure="0">[193]CSG13!$F$6</definedName>
    <definedName name="KOP" localSheetId="8" hidden="0" function="0" vbProcedure="0">[37]钻井日报表!$G$7</definedName>
    <definedName name="KRR" localSheetId="8" hidden="0" function="0" vbProcedure="0">'[138]tally checklist'!krr</definedName>
    <definedName name="KUYUKR" localSheetId="8" hidden="0" function="0" vbProcedure="0">'[138]tally checklist'!kuyukr</definedName>
    <definedName name="landoffshore" localSheetId="8" hidden="0" function="0" vbProcedure="0">[53]data!#ref!</definedName>
    <definedName name="Macro1" localSheetId="8" hidden="0" function="0" vbProcedure="0">[187]!Macro1</definedName>
    <definedName name="Macro2" localSheetId="8" hidden="0" function="0" vbProcedure="0">[187]!Macro2</definedName>
    <definedName name="marrupees" localSheetId="8" hidden="0" function="0" vbProcedure="0">'[205]Cash Expsense March-96'!$H$6</definedName>
    <definedName name="Module1.draw_productionfirst" localSheetId="8" hidden="0" function="0" vbProcedure="0">'[138]tally checklist'!module1.draw_productionfirst</definedName>
    <definedName name="Module1.draw_productionsecond" localSheetId="8" hidden="0" function="0" vbProcedure="0">'[138]tally checklist'!module1.draw_productionsecond</definedName>
    <definedName name="Module4.drawblanks" localSheetId="8" hidden="0" function="0" vbProcedure="0">'[138]tally checklist'!module4.drawblanks</definedName>
    <definedName name="Module4.drawlinerfirst" localSheetId="8" hidden="0" function="0" vbProcedure="0">'[138]tally checklist'!module4.drawlinerfirst</definedName>
    <definedName name="Module4.drawlinersecond" localSheetId="8" hidden="0" function="0" vbProcedure="0">'[138]tally checklist'!module4.drawlinersecond</definedName>
    <definedName name="Module4.drawmiscellaneous" localSheetId="8" hidden="0" function="0" vbProcedure="0">'[138]tally checklist'!module4.drawmiscellaneous</definedName>
    <definedName name="Module4.drawproductionfirst" localSheetId="8" hidden="0" function="0" vbProcedure="0">'[138]tally checklist'!module4.drawproductionfirst</definedName>
    <definedName name="Module4.drawproductionsecond" localSheetId="8" hidden="0" function="0" vbProcedure="0">'[138]tally checklist'!module4.drawproductionsecond</definedName>
    <definedName name="Module4.drawquantum" localSheetId="8" hidden="0" function="0" vbProcedure="0">'[138]tally checklist'!module4.drawquantum</definedName>
    <definedName name="Module4.drawscreens" localSheetId="8" hidden="0" function="0" vbProcedure="0">'[138]tally checklist'!module4.drawscreens</definedName>
    <definedName name="Module4.drawshearsubs" localSheetId="8" hidden="0" function="0" vbProcedure="0">'[138]tally checklist'!module4.drawshearsubs</definedName>
    <definedName name="Module4.drawsump" localSheetId="8" hidden="0" function="0" vbProcedure="0">'[138]tally checklist'!module4.drawsump</definedName>
    <definedName name="Module4.textfive" localSheetId="8" hidden="0" function="0" vbProcedure="0">'[138]tally checklist'!module4.textfive</definedName>
    <definedName name="Module4.textfivehalf" localSheetId="8" hidden="0" function="0" vbProcedure="0">'[138]tally checklist'!module4.textfivehalf</definedName>
    <definedName name="Module4.textninefiveeightfourfirst" localSheetId="8" hidden="0" function="0" vbProcedure="0">'[138]tally checklist'!module4.textninefiveeightfourfirst</definedName>
    <definedName name="Module4.textninefiveeightfoursecond" localSheetId="8" hidden="0" function="0" vbProcedure="0">'[138]tally checklist'!module4.textninefiveeightfoursecond</definedName>
    <definedName name="Module4.textninefiveeightsixfirst" localSheetId="8" hidden="0" function="0" vbProcedure="0">'[138]tally checklist'!module4.textninefiveeightsixfirst</definedName>
    <definedName name="Module4.textninefiveeightsixsecond" localSheetId="8" hidden="0" function="0" vbProcedure="0">'[138]tally checklist'!module4.textninefiveeightsixsecond</definedName>
    <definedName name="Module4.textsevenfiveeightfour" localSheetId="8" hidden="0" function="0" vbProcedure="0">'[138]tally checklist'!module4.textsevenfiveeightfour</definedName>
    <definedName name="Module4.textsevenfiveeightthree" localSheetId="8" hidden="0" function="0" vbProcedure="0">'[138]tally checklist'!module4.textsevenfiveeightthree</definedName>
    <definedName name="Module4.textsevenfour" localSheetId="8" hidden="0" function="0" vbProcedure="0">'[138]tally checklist'!module4.textsevenfour</definedName>
    <definedName name="Module4.textseventhree" localSheetId="8" hidden="0" function="0" vbProcedure="0">'[138]tally checklist'!module4.textseventhree</definedName>
    <definedName name="mr" localSheetId="8" hidden="1" function="0" vbProcedure="0">{#N/A,#N/A,FALSE,"Sheet1"}</definedName>
    <definedName name="MW" localSheetId="8" hidden="0" function="0" vbProcedure="0">[37]钻井日报表!$E$8</definedName>
    <definedName name="n" localSheetId="8" hidden="0" function="0" vbProcedure="0">'[138]tally checklist'!n</definedName>
    <definedName name="nb" localSheetId="8" hidden="0" function="0" vbProcedure="0">'[145]井口装置示意图-4'!$E$1:$E$65536</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itrogen" localSheetId="8" hidden="0" function="0" vbProcedure="0">[30]Price!$A$1:$F$65536</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efive" localSheetId="8" hidden="0" function="0" vbProcedure="0">[53]data!#ref!</definedName>
    <definedName name="P" localSheetId="8" hidden="1" function="0" vbProcedure="0">{#N/A,#N/A,FALSE,"Drlg Param Run 1-1";#N/A,#N/A,FALSE,"DDR (3)";#N/A,#N/A,FALSE,"BHA AT (1)";#N/A,#N/A,FALSE,"Downlinkbha";#N/A,#N/A,FALSE,"Job Status Report"}</definedName>
    <definedName name="Para3" localSheetId="8" hidden="1" function="0" vbProcedure="0">{#N/A,#N/A,FALSE,"Drlg Param Run 1-1";#N/A,#N/A,FALSE,"DDR (3)";#N/A,#N/A,FALSE,"BHA AT (1)";#N/A,#N/A,FALSE,"Downlinkbha";#N/A,#N/A,FALSE,"Job Status Report"}</definedName>
    <definedName name="PEIGHT_TOTAL" localSheetId="8" hidden="0" function="0" vbProcedure="0">[233]index!#ref!</definedName>
    <definedName name="PFIVE_TOTAL" localSheetId="8" hidden="0" function="0" vbProcedure="0">[233]index!#ref!</definedName>
    <definedName name="PFOUR_TOTAL" localSheetId="8" hidden="0" function="0" vbProcedure="0">[233]index!#ref!</definedName>
    <definedName name="pick1_958x475_system" localSheetId="8" hidden="0" function="0" vbProcedure="0">'[138]tally checklist'!pick1_958x475_system</definedName>
    <definedName name="pick1_958x6_system" localSheetId="8" hidden="0" function="0" vbProcedure="0">'[138]tally checklist'!pick1_958x6_system</definedName>
    <definedName name="pick1_production" localSheetId="8" hidden="0" function="0" vbProcedure="0">'[138]tally checklist'!pick1_production</definedName>
    <definedName name="pick2_958x475_system" localSheetId="8" hidden="0" function="0" vbProcedure="0">'[138]tally checklist'!pick2_958x475_system</definedName>
    <definedName name="pick2_958x6_system" localSheetId="8" hidden="0" function="0" vbProcedure="0">'[138]tally checklist'!pick2_958x6_system</definedName>
    <definedName name="pick2_production" localSheetId="8" hidden="0" function="0" vbProcedure="0">'[138]tally checklist'!pick2_production</definedName>
    <definedName name="pick_512_system" localSheetId="8" hidden="0" function="0" vbProcedure="0">'[138]tally checklist'!pick_512_system</definedName>
    <definedName name="pick_5_system" localSheetId="8" hidden="0" function="0" vbProcedure="0">'[138]tally checklist'!pick_5_system</definedName>
    <definedName name="pick_758x314_system" localSheetId="8" hidden="0" function="0" vbProcedure="0">'[138]tally checklist'!pick_758x314_system</definedName>
    <definedName name="pick_758x4_system" localSheetId="8" hidden="0" function="0" vbProcedure="0">'[138]tally checklist'!pick_758x4_system</definedName>
    <definedName name="pick_7x314_system" localSheetId="8" hidden="0" function="0" vbProcedure="0">'[138]tally checklist'!pick_7x314_system</definedName>
    <definedName name="pick_7x4_system" localSheetId="8" hidden="0" function="0" vbProcedure="0">'[138]tally checklist'!pick_7x4_system</definedName>
    <definedName name="pick_blanks" localSheetId="8" hidden="0" function="0" vbProcedure="0">'[138]tally checklist'!pick_blanks</definedName>
    <definedName name="pick_liner" localSheetId="8" hidden="0" function="0" vbProcedure="0">'[138]tally checklist'!pick_liner</definedName>
    <definedName name="pick_liner2" localSheetId="8" hidden="0" function="0" vbProcedure="0">'[138]tally checklist'!pick_liner2</definedName>
    <definedName name="pick_miscellaneous" localSheetId="8" hidden="0" function="0" vbProcedure="0">'[138]tally checklist'!pick_miscellaneous</definedName>
    <definedName name="pick_quantum" localSheetId="8" hidden="0" function="0" vbProcedure="0">'[138]tally checklist'!pick_quantum</definedName>
    <definedName name="pick_screens" localSheetId="8" hidden="0" function="0" vbProcedure="0">'[138]tally checklist'!pick_screens</definedName>
    <definedName name="pick_shearsubs" localSheetId="8" hidden="0" function="0" vbProcedure="0">'[138]tally checklist'!pick_shearsubs</definedName>
    <definedName name="pick_sump" localSheetId="8" hidden="0" function="0" vbProcedure="0">'[138]tally checklist'!pick_sump</definedName>
    <definedName name="PNINE_TOTAL" localSheetId="8" hidden="0" function="0" vbProcedure="0">[233]index!#ref!</definedName>
    <definedName name="pricelist" localSheetId="8" hidden="0" function="0" vbProcedure="0">[163]Pricelist!$A$8:$B$11</definedName>
    <definedName name="Print_Area_MI" localSheetId="8" hidden="0" function="0" vbProcedure="0">'[234]ESTI.'!$A$1:$U$52</definedName>
    <definedName name="Production_History_by_Well" localSheetId="8" hidden="0" function="0" vbProcedure="0">'[242]neb-wells'!#ref!</definedName>
    <definedName name="PSEVEN_TOTAL" localSheetId="8" hidden="0" function="0" vbProcedure="0">[233]index!#ref!</definedName>
    <definedName name="PSIX_TOTAL" localSheetId="8" hidden="0" function="0" vbProcedure="0">[233]index!#ref!</definedName>
    <definedName name="psl" localSheetId="8" hidden="0" function="0" vbProcedure="0">[53]data!#ref!</definedName>
    <definedName name="PS_pricelist" localSheetId="8" hidden="0" function="0" vbProcedure="0">[163]Pricelist!$A$22:$B$35</definedName>
    <definedName name="PTHREE_TOTAL" localSheetId="8" hidden="0" function="0" vbProcedure="0">[233]index!#ref!</definedName>
    <definedName name="PTWO_TOTAL" localSheetId="8" hidden="0" function="0" vbProcedure="0">[233]index!#ref!</definedName>
    <definedName name="q" localSheetId="8" hidden="0" function="0" vbProcedure="0">[245]进度曲线!#REF!</definedName>
    <definedName name="quantum" localSheetId="8" hidden="0" function="0" vbProcedure="0">'[138]tally checklist'!quantum</definedName>
    <definedName name="Range1" localSheetId="8" hidden="0" function="0" vbProcedure="0">OFFSET([249]sheet1!$e$5, 1, 0,[249]sheet1!$e$2,1)</definedName>
    <definedName name="Reasons" localSheetId="8" hidden="0" function="0" vbProcedure="0">'[190]Title Page'!$O$2:$O$23</definedName>
    <definedName name="RESE" localSheetId="8" hidden="0" function="0" vbProcedure="0">'[138]tally checklist'!rese</definedName>
    <definedName name="reservoir15" localSheetId="8" hidden="0" function="0" vbProcedure="0">'[69]geological prognosis'!#ref!</definedName>
    <definedName name="reservoir16" localSheetId="8" hidden="0" function="0" vbProcedure="0">'[69]geological prognosis'!#ref!</definedName>
    <definedName name="reservoir17" localSheetId="8" hidden="0" function="0" vbProcedure="0">'[69]geological prognosis'!#ref!</definedName>
    <definedName name="reservoir18" localSheetId="8" hidden="0" function="0" vbProcedure="0">'[69]geological prognosis'!#ref!</definedName>
    <definedName name="reservoir19" localSheetId="8" hidden="0" function="0" vbProcedure="0">'[69]geological prognosis'!#ref!</definedName>
    <definedName name="reservoir20" localSheetId="8" hidden="0" function="0" vbProcedure="0">'[69]geological prognosis'!#ref!</definedName>
    <definedName name="reservoir21" localSheetId="8" hidden="0" function="0" vbProcedure="0">'[69]geological prognosis'!#ref!</definedName>
    <definedName name="reservoir22" localSheetId="8" hidden="0" function="0" vbProcedure="0">'[69]geological prognosis'!#ref!</definedName>
    <definedName name="reservoir23" localSheetId="8" hidden="0" function="0" vbProcedure="0">'[69]geological prognosis'!#ref!</definedName>
    <definedName name="reservoir24" localSheetId="8" hidden="0" function="0" vbProcedure="0">'[69]geological prognosis'!#ref!</definedName>
    <definedName name="reservoir25" localSheetId="8" hidden="0" function="0" vbProcedure="0">'[69]geological prognosis'!#ref!</definedName>
    <definedName name="reservoir26" localSheetId="8" hidden="0" function="0" vbProcedure="0">'[69]geological prognosis'!#ref!</definedName>
    <definedName name="reservoir27" localSheetId="8" hidden="0" function="0" vbProcedure="0">'[69]geological prognosis'!#ref!</definedName>
    <definedName name="reservoir28" localSheetId="8" hidden="0" function="0" vbProcedure="0">'[69]geological prognosis'!#ref!</definedName>
    <definedName name="reservoir29" localSheetId="8" hidden="0" function="0" vbProcedure="0">'[69]geological prognosis'!#ref!</definedName>
    <definedName name="resrevoir09" localSheetId="8" hidden="0" function="0" vbProcedure="0">'[69]geological prognosis'!#ref!</definedName>
    <definedName name="resrevoir10" localSheetId="8" hidden="0" function="0" vbProcedure="0">'[69]geological prognosis'!#ref!</definedName>
    <definedName name="resrevoir12" localSheetId="8" hidden="0" function="0" vbProcedure="0">'[69]geological prognosis'!#ref!</definedName>
    <definedName name="resrevoir13" localSheetId="8" hidden="0" function="0" vbProcedure="0">'[69]geological prognosis'!#ref!</definedName>
    <definedName name="resrevoir14" localSheetId="8" hidden="0" function="0" vbProcedure="0">'[69]geological prognosis'!#ref!</definedName>
    <definedName name="ret" localSheetId="8" hidden="0" function="0" vbProcedure="0">[37]钻井日报表!$G$3</definedName>
    <definedName name="rrr" localSheetId="8" hidden="1" function="0" vbProcedure="0">{#N/A,#N/A,FALSE,"Sheet1"}</definedName>
    <definedName name="Rupees" localSheetId="8" hidden="0" function="0" vbProcedure="0">'[170]Cash Expense March-96'!$H$6</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d" localSheetId="8" hidden="0" function="0" vbProcedure="0">[261]试压!#REF!</definedName>
    <definedName name="SHER" localSheetId="8" hidden="0" function="0" vbProcedure="0">'[138]tally checklist'!sher</definedName>
    <definedName name="shippedvia" localSheetId="8" hidden="0" function="0" vbProcedure="0">'[30]data '!#ref!</definedName>
    <definedName name="shit" localSheetId="8" hidden="1" function="0" vbProcedure="0">{#N/A,#N/A,FALSE,"Sheet1"}</definedName>
    <definedName name="SHO" localSheetId="8" hidden="0" function="0" vbProcedure="0">[37]钻井日报表!$G$3</definedName>
    <definedName name="Shoe" localSheetId="8" hidden="0" function="0" vbProcedure="0">[37]钻井日报表!$G$3</definedName>
    <definedName name="SL" localSheetId="8" hidden="0" function="0" vbProcedure="0">[186]BHA!$C$3</definedName>
    <definedName name="SORT_AREA" localSheetId="8" hidden="0" function="0" vbProcedure="0">'[234]DI-ESTI'!$A$8:$R$489</definedName>
    <definedName name="Spacedout" localSheetId="8" hidden="1" function="0" vbProcedure="0">{#N/A,#N/A,FALSE,"Drlg Param Run 1-1";#N/A,#N/A,FALSE,"DDR (3)";#N/A,#N/A,FALSE,"BHA AT (1)";#N/A,#N/A,FALSE,"Downlinkbha";#N/A,#N/A,FALSE,"Job Status Report"}</definedName>
    <definedName name="ssdsd" localSheetId="8" hidden="0" function="0" vbProcedure="0">'[138]tally checklist'!ssdsd</definedName>
    <definedName name="Tally" localSheetId="8" hidden="0" function="0" vbProcedure="0">[23]Tally!$A$5:$C$504</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D_Depth_md" localSheetId="8" hidden="0" function="0" vbProcedure="0">'[69]well specification'!#ref!</definedName>
    <definedName name="TD_md" localSheetId="8" hidden="0" function="0" vbProcedure="0">'[69]well specification'!#ref!</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8" hidden="0" function="0" vbProcedure="0">#REF!</definedName>
    <definedName name="tes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8" hidden="0" function="0" vbProcedure="0">'[138]tally checklist'!textfive</definedName>
    <definedName name="textfivehalf" localSheetId="8" hidden="0" function="0" vbProcedure="0">'[138]tally checklist'!textfivehalf</definedName>
    <definedName name="textninefiveeightfourfirst" localSheetId="8" hidden="0" function="0" vbProcedure="0">'[138]tally checklist'!textninefiveeightfourfirst</definedName>
    <definedName name="textninefiveeightfoursecond" localSheetId="8" hidden="0" function="0" vbProcedure="0">'[138]tally checklist'!textninefiveeightfoursecond</definedName>
    <definedName name="textninefiveeightsixfirst" localSheetId="8" hidden="0" function="0" vbProcedure="0">'[138]tally checklist'!textninefiveeightsixfirst</definedName>
    <definedName name="textninefiveeightsixsecond" localSheetId="8" hidden="0" function="0" vbProcedure="0">'[138]tally checklist'!textninefiveeightsixsecond</definedName>
    <definedName name="textsevenfiveeightfour" localSheetId="8" hidden="0" function="0" vbProcedure="0">'[138]tally checklist'!textsevenfiveeightfour</definedName>
    <definedName name="textsevenfiveeightthree" localSheetId="8" hidden="0" function="0" vbProcedure="0">'[138]tally checklist'!textsevenfiveeightthree</definedName>
    <definedName name="textsevenfour" localSheetId="8" hidden="0" function="0" vbProcedure="0">'[138]tally checklist'!textsevenfour</definedName>
    <definedName name="textseventhree" localSheetId="8" hidden="0" function="0" vbProcedure="0">'[138]tally checklist'!textseventhree</definedName>
    <definedName name="text_five" localSheetId="8" hidden="0" function="0" vbProcedure="0">'[138]tally checklist'!text_five</definedName>
    <definedName name="text_fivehalf" localSheetId="8" hidden="0" function="0" vbProcedure="0">'[138]tally checklist'!text_fivehalf</definedName>
    <definedName name="text_ninefiveeightfourfirst" localSheetId="8" hidden="0" function="0" vbProcedure="0">'[138]tally checklist'!text_ninefiveeightfourfirst</definedName>
    <definedName name="text_ninefiveeightfoursecond" localSheetId="8" hidden="0" function="0" vbProcedure="0">'[138]tally checklist'!text_ninefiveeightfoursecond</definedName>
    <definedName name="text_ninefiveeightsixfirst" localSheetId="8" hidden="0" function="0" vbProcedure="0">'[138]tally checklist'!text_ninefiveeightsixfirst</definedName>
    <definedName name="text_ninefiveeightsixsecond" localSheetId="8" hidden="0" function="0" vbProcedure="0">'[138]tally checklist'!text_ninefiveeightsixsecond</definedName>
    <definedName name="text_sevenfiveeightfour" localSheetId="8" hidden="0" function="0" vbProcedure="0">'[138]tally checklist'!text_sevenfiveeightfour</definedName>
    <definedName name="text_sevenfiveeightthree" localSheetId="8" hidden="0" function="0" vbProcedure="0">'[138]tally checklist'!text_sevenfiveeightthree</definedName>
    <definedName name="text_sevenfour" localSheetId="8" hidden="0" function="0" vbProcedure="0">'[138]tally checklist'!text_sevenfour</definedName>
    <definedName name="text_seventhree" localSheetId="8" hidden="0" function="0" vbProcedure="0">'[138]tally checklist'!text_seventhree</definedName>
    <definedName name="TGW" localSheetId="8" hidden="0" function="0" vbProcedure="0">'[138]tally checklist'!tgw</definedName>
    <definedName name="tickettype" localSheetId="8" hidden="0" function="0" vbProcedure="0">[53]data!#ref!</definedName>
    <definedName name="TQW" localSheetId="8" hidden="0" function="0" vbProcedure="0">'[138]tally checklist'!tqw</definedName>
    <definedName name="transport" localSheetId="8" hidden="0" function="0" vbProcedure="0">[53]data!#ref!</definedName>
    <definedName name="treatment" localSheetId="8" hidden="0" function="0" vbProcedure="0">[53]data!#ref!</definedName>
    <definedName name="try" localSheetId="8" hidden="0" function="0" vbProcedure="0">[278]Calculos!$K$3:$V$31</definedName>
    <definedName name="TS_pricelist" localSheetId="8" hidden="0" function="0" vbProcedure="0">[163]Pricelist!$A$57:$B$65</definedName>
    <definedName name="Tubing" localSheetId="8" hidden="0" function="0" vbProcedure="0">[280]Tubing!$B$7:$I$142</definedName>
    <definedName name="TubingAverage" localSheetId="8" hidden="0" function="0" vbProcedure="0">((SUM(NosOfTubing))-(MakeupLoss*COUNT(NosOfTubing)))/COUNT(NosOfTubing)</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'[138]tally checklist'!tyjeje</definedName>
    <definedName name="T_C_H" localSheetId="8" hidden="0" function="0" vbProcedure="0">'[35]12(762mm)套管'!#ref!</definedName>
    <definedName name="vbcode.draw_blanks" localSheetId="8" hidden="0" function="0" vbProcedure="0">'[138]tally checklist'!vbcode.draw_blanks</definedName>
    <definedName name="vbcode.draw_linerfirst" localSheetId="8" hidden="0" function="0" vbProcedure="0">'[138]tally checklist'!vbcode.draw_linerfirst</definedName>
    <definedName name="vbcode.draw_linersecond" localSheetId="8" hidden="0" function="0" vbProcedure="0">'[138]tally checklist'!vbcode.draw_linersecond</definedName>
    <definedName name="vbcode.draw_miscellaneous" localSheetId="8" hidden="0" function="0" vbProcedure="0">'[138]tally checklist'!vbcode.draw_miscellaneous</definedName>
    <definedName name="vbcode.draw_productionfirst" localSheetId="8" hidden="0" function="0" vbProcedure="0">'[138]tally checklist'!vbcode.draw_productionfirst</definedName>
    <definedName name="vbcode.draw_productionsecond" localSheetId="8" hidden="0" function="0" vbProcedure="0">'[138]tally checklist'!vbcode.draw_productionsecond</definedName>
    <definedName name="vbcode.draw_quantum" localSheetId="8" hidden="0" function="0" vbProcedure="0">'[138]tally checklist'!vbcode.draw_quantum</definedName>
    <definedName name="vbcode.draw_screens" localSheetId="8" hidden="0" function="0" vbProcedure="0">'[138]tally checklist'!vbcode.draw_screens</definedName>
    <definedName name="vbcode.draw_shearsubs" localSheetId="8" hidden="0" function="0" vbProcedure="0">'[138]tally checklist'!vbcode.draw_shearsubs</definedName>
    <definedName name="vbcode.draw_sump" localSheetId="8" hidden="0" function="0" vbProcedure="0">'[138]tally checklist'!vbcode.draw_sump</definedName>
    <definedName name="vbcode.text_five" localSheetId="8" hidden="0" function="0" vbProcedure="0">'[138]tally checklist'!vbcode.text_five</definedName>
    <definedName name="vbcode.text_fivehalf" localSheetId="8" hidden="0" function="0" vbProcedure="0">'[138]tally checklist'!vbcode.text_fivehalf</definedName>
    <definedName name="vbcode.text_ninefiveeightfourfirst" localSheetId="8" hidden="0" function="0" vbProcedure="0">'[138]tally checklist'!vbcode.text_ninefiveeightfourfirst</definedName>
    <definedName name="vbcode.text_ninefiveeightfoursecond" localSheetId="8" hidden="0" function="0" vbProcedure="0">'[138]tally checklist'!vbcode.text_ninefiveeightfoursecond</definedName>
    <definedName name="vbcode.text_ninefiveeightsixfirst" localSheetId="8" hidden="0" function="0" vbProcedure="0">'[138]tally checklist'!vbcode.text_ninefiveeightsixfirst</definedName>
    <definedName name="vbcode.text_ninefiveeightsixsecond" localSheetId="8" hidden="0" function="0" vbProcedure="0">'[138]tally checklist'!vbcode.text_ninefiveeightsixsecond</definedName>
    <definedName name="vbcode.text_sevenfiveeightfour" localSheetId="8" hidden="0" function="0" vbProcedure="0">'[138]tally checklist'!vbcode.text_sevenfiveeightfour</definedName>
    <definedName name="vbcode.text_sevenfiveeightthree" localSheetId="8" hidden="0" function="0" vbProcedure="0">'[138]tally checklist'!vbcode.text_sevenfiveeightthree</definedName>
    <definedName name="vbcode.text_sevenfour" localSheetId="8" hidden="0" function="0" vbProcedure="0">'[138]tally checklist'!vbcode.text_sevenfour</definedName>
    <definedName name="vbcode.text_seventhree" localSheetId="8" hidden="0" function="0" vbProcedure="0">'[138]tally checklist'!vbcode.text_seventhree</definedName>
    <definedName name="vvv" localSheetId="8" hidden="0" function="0" vbProcedure="0">[37]钻井日报表!$E$7</definedName>
    <definedName name="vvvdf" localSheetId="8" hidden="0" function="0" vbProcedure="0">[37]钻井日报表!$G$8</definedName>
    <definedName name="well"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s" localSheetId="8" hidden="0" function="0" vbProcedure="0">[296]welltest!#ref!</definedName>
    <definedName name="Welltype2" localSheetId="8" hidden="0" function="0" vbProcedure="0">[291]Data!$H$1:$H$65536</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8" hidden="1" function="0" vbProcedure="0">{#N/A,#N/A,FALSE,"Drlg Param Run 1-1";#N/A,#N/A,FALSE,"DDR (3)";#N/A,#N/A,FALSE,"BHA AT (1)";#N/A,#N/A,FALSE,"Downlinkbha";#N/A,#N/A,FALSE,"Job Status Report"}</definedName>
    <definedName name="xxx" localSheetId="8" hidden="1" function="0" vbProcedure="0">{#N/A,#N/A,FALSE,"Sheet1"}</definedName>
    <definedName name="y" localSheetId="8" hidden="0" function="0" vbProcedure="0">'[138]tally checklist'!y</definedName>
    <definedName name="yesno" localSheetId="8" hidden="0" function="0" vbProcedure="0">[53]data!#ref!</definedName>
    <definedName name="YJEJD" localSheetId="8" hidden="0" function="0" vbProcedure="0">'[138]tally checklist'!yjejd</definedName>
    <definedName name="_a1" localSheetId="8" hidden="0" function="0" vbProcedure="0">'[35]12(762mm)套管'!#ref!</definedName>
    <definedName name="_bgn1" localSheetId="8" hidden="1" function="0" vbProcedure="0">{#N/A,#N/A,FALSE,"Sheet1"}</definedName>
    <definedName name="_cd1" localSheetId="8" hidden="1" function="0" vbProcedure="0">{#N/A,#N/A,FALSE,"Sheet1"}</definedName>
    <definedName name="_cf1" localSheetId="8" hidden="1" function="0" vbProcedure="0">{#N/A,#N/A,FALSE,"Sheet1"}</definedName>
    <definedName name="_gmh1" localSheetId="8" hidden="1" function="0" vbProcedure="0">{#N/A,#N/A,FALSE,"Sheet1"}</definedName>
    <definedName name="_lyc7" localSheetId="8" hidden="0" function="0" vbProcedure="0">[37]钻井日报表!$G$5</definedName>
    <definedName name="_num15" localSheetId="8" hidden="0" function="0" vbProcedure="0">'[30]data '!#ref!</definedName>
    <definedName name="_Order1" localSheetId="8" hidden="1" function="0" vbProcedure="0">0</definedName>
    <definedName name="_wrn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123Graph_C" localSheetId="8" hidden="1" function="0" vbProcedure="0">[23]Run!$C$16:$C$512</definedName>
    <definedName name="__123Graph_D" localSheetId="8" hidden="1" function="0" vbProcedure="0">[23]Run!$D$15:$D$512</definedName>
    <definedName name="__123Graph_E" localSheetId="8" hidden="1" function="0" vbProcedure="0">[23]Run!$E$16:$E$514</definedName>
    <definedName name="__123Graph_F" localSheetId="8" hidden="1" function="0" vbProcedure="0">[23]Run!$F$16:$F$514</definedName>
    <definedName name="歼击机" localSheetId="8" hidden="0" function="0" vbProcedure="0">[37]钻井日报表!$E$7</definedName>
    <definedName name="起始日期" localSheetId="8" hidden="0" function="0" vbProcedure="0">[295]钻井日报表!$B$1</definedName>
    <definedName name="_xlnm.Print_Area" localSheetId="8">'Timesheet (2)'!$A$1:$AP$33</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9" hidden="1" function="0" vbProcedure="0">{#N/A,#N/A,FALSE,"Sheet1"}</definedName>
    <definedName name="bbb" localSheetId="9" hidden="1" function="0" vbProcedure="0">{#N/A,#N/A,FALSE,"Sheet1"}</definedName>
    <definedName name="bgn" localSheetId="9" hidden="1" function="0" vbProcedure="0">{#N/A,#N/A,FALSE,"Sheet1"}</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OMP" localSheetId="9" hidden="1" function="0" vbProcedure="0">{#N/A,#N/A,FALSE,"Volume"}</definedName>
    <definedName name="Conflict1" localSheetId="9" hidden="1" function="0" vbProcedure="0">{#N/A,#N/A,FALSE,"Drlg Param Run 1-1";#N/A,#N/A,FALSE,"DDR (3)";#N/A,#N/A,FALSE,"BHA AT (1)";#N/A,#N/A,FALSE,"Downlinkbha";#N/A,#N/A,FALSE,"Job Status Report"}</definedName>
    <definedName name="data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9" hidden="1" function="0" vbProcedure="0">{#N/A,#N/A,FALSE,"Sheet1"}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mr" localSheetId="9" hidden="1" function="0" vbProcedure="0">{#N/A,#N/A,FALSE,"Sheet1"}</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9" hidden="1" function="0" vbProcedure="0">{#N/A,#N/A,FALSE,"Drlg Param Run 1-1";#N/A,#N/A,FALSE,"DDR (3)";#N/A,#N/A,FALSE,"BHA AT (1)";#N/A,#N/A,FALSE,"Downlinkbha";#N/A,#N/A,FALSE,"Job Status Report"}</definedName>
    <definedName name="Para3" localSheetId="9" hidden="1" function="0" vbProcedure="0">{#N/A,#N/A,FALSE,"Drlg Param Run 1-1";#N/A,#N/A,FALSE,"DDR (3)";#N/A,#N/A,FALSE,"BHA AT (1)";#N/A,#N/A,FALSE,"Downlinkbha";#N/A,#N/A,FALSE,"Job Status Report"}</definedName>
    <definedName name="rrr" localSheetId="9" hidden="1" function="0" vbProcedure="0">{#N/A,#N/A,FALSE,"Sheet1"}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9" hidden="1" function="0" vbProcedure="0">{#N/A,#N/A,FALSE,"Sheet1"}</definedName>
    <definedName name="Spacedout" localSheetId="9" hidden="1" function="0" vbProcedure="0">{#N/A,#N/A,FALSE,"Drlg Param Run 1-1";#N/A,#N/A,FALSE,"DDR (3)";#N/A,#N/A,FALSE,"BHA AT (1)";#N/A,#N/A,FALSE,"Downlinkbha";#N/A,#N/A,FALSE,"Job Status Report"}</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9" hidden="1" function="0" vbProcedure="0">{#N/A,#N/A,FALSE,"Volume"}</definedName>
    <definedName name="TubingAverage" localSheetId="9" hidden="0" function="0" vbProcedure="0">((SUM(NosOfTubing))-(MakeupLoss*COUNT(NosOfTubing)))/COUNT(NosOfTubing)</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9" hidden="0" function="0" vbProcedure="0">OFFSET(INDIRECT(ADDRESS(MATCH(Liner1_OD,Objects,0)+1,2,,,"Casing Info")),0,1,COUNTIF(Objects,Liner1_OD),1)</definedName>
    <definedName name="volume1" localSheetId="9" hidden="1" function="0" vbProcedure="0">{#N/A,#N/A,FALSE,"Volume"}</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9" hidden="1" function="0" vbProcedure="0">{#N/A,#N/A,TRUE,"TOTAL";#N/A,#N/A,TRUE,"AGIBA ";#N/A,#N/A,TRUE,"AMOCO";#N/A,#N/A,TRUE,"BAPETCO";#N/A,#N/A,TRUE,"GUPCO";#N/A,#N/A,TRUE,"KHALDA";#N/A,#N/A,TRUE,"SUCO";#N/A,#N/A,TRUE,"PETROBEL";#N/A,#N/A,TRUE,"ZAFCO";#N/A,#N/A,TRUE,"TULLOW";#N/A,#N/A,TRUE,"HBS";#N/A,#N/A,TRUE,"QARUN";#N/A,#N/A,TRUE,"MISC"}</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Closing._.P14Q5FY98." localSheetId="9" hidden="1" function="0" vbProcedure="0">{#N/A,#N/A,TRUE,"P14 Summary";#N/A,#N/A,TRUE,"ACT_PLAN";#N/A,#N/A,TRUE,"BESA P14";#N/A,#N/A,TRUE,"Drexel P14";#N/A,#N/A,TRUE,"BSC P14";#N/A,#N/A,TRUE,"DIRECT-P14"}</definedName>
    <definedName name="wrn.FY99._.LOCAL._.PLAN." localSheetId="9" hidden="1" function="0" vbProcedure="0">{#N/A,#N/A,TRUE,"TOTAL";#N/A,#N/A,TRUE,"AGIBA ";#N/A,#N/A,TRUE,"AMOCO";#N/A,#N/A,TRUE,"BAPETCO";#N/A,#N/A,TRUE,"ERITREA";#N/A,#N/A,TRUE,"GUPCO";#N/A,#N/A,TRUE,"I.E.O.C.";#N/A,#N/A,TRUE,"KHALDA";#N/A,#N/A,TRUE,"PETROBEL";#N/A,#N/A,TRUE,"QARUN";#N/A,#N/A,TRUE,"ZAFCO";#N/A,#N/A,TRUE,"TULLOW";#N/A,#N/A,TRUE,"MISC"}</definedName>
    <definedName name="wrn.VOLUME." localSheetId="9" hidden="1"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9" hidden="1" function="0" vbProcedure="0">{#N/A,#N/A,FALSE,"Drlg Param Run 1-1";#N/A,#N/A,FALSE,"DDR (3)";#N/A,#N/A,FALSE,"BHA AT (1)";#N/A,#N/A,FALSE,"Downlinkbha";#N/A,#N/A,FALSE,"Job Status Report"}</definedName>
    <definedName name="xxx" localSheetId="9" hidden="1" function="0" vbProcedure="0">{#N/A,#N/A,FALSE,"Sheet1"}</definedName>
    <definedName name="_bgn1" localSheetId="9" hidden="1" function="0" vbProcedure="0">{#N/A,#N/A,FALSE,"Sheet1"}</definedName>
    <definedName name="_cd1" localSheetId="9" hidden="1" function="0" vbProcedure="0">{#N/A,#N/A,FALSE,"Sheet1"}</definedName>
    <definedName name="_cf1" localSheetId="9" hidden="1" function="0" vbProcedure="0">{#N/A,#N/A,FALSE,"Sheet1"}</definedName>
    <definedName name="_gmh1" localSheetId="9" hidden="1" function="0" vbProcedure="0">{#N/A,#N/A,FALSE,"Sheet1"}</definedName>
    <definedName name="_wrn1" localSheetId="9" hidden="1" function="0" vbProcedure="0">{#N/A,#N/A,FALSE,"Volume"}</definedName>
    <definedName name="__wrn1" localSheetId="9" hidden="1" function="0" vbProcedure="0">{#N/A,#N/A,FALSE,"Volume"}</definedName>
    <definedName name="___wrn1" localSheetId="9" hidden="1" function="0" vbProcedure="0">{#N/A,#N/A,FALSE,"Volume"}</definedName>
    <definedName name="____wrn1" localSheetId="9" hidden="1" function="0" vbProcedure="0">{#N/A,#N/A,FALSE,"Volume"}</definedName>
    <definedName name="_____wrn1" localSheetId="9" hidden="1" function="0" vbProcedure="0">{#N/A,#N/A,FALSE,"Volume"}</definedName>
    <definedName name="______wrn1" localSheetId="9" hidden="1" function="0" vbProcedure="0">{#N/A,#N/A,FALSE,"Volume"}</definedName>
    <definedName name="_______wrn1" localSheetId="9" hidden="1" function="0" vbProcedure="0">{#N/A,#N/A,FALSE,"Volume"}</definedName>
    <definedName name="________wrn1" localSheetId="9" hidden="1" function="0" vbProcedure="0">{#N/A,#N/A,FALSE,"Volume"}</definedName>
    <definedName name="________wrn2" localSheetId="9" hidden="1" function="0" vbProcedure="0">{#N/A,#N/A,FALSE,"Volume"}</definedName>
    <definedName name="_________wrn1" localSheetId="9" hidden="1" function="0" vbProcedure="0">{#N/A,#N/A,FALSE,"Volume"}</definedName>
    <definedName name="_xlnm.Print_Titles" localSheetId="9">'Backload'!$1:$7,'Backload'!$A:$K</definedName>
    <definedName name="_xlnm.Print_Area" localSheetId="9">'Backload'!$A$1:$K$29</definedName>
  </definedNames>
  <calcPr calcId="124519" fullCalcOnLoad="1" refMode="A1" iterate="0" iterateCount="100" iterateDelta="0.0001"/>
</workbook>
</file>

<file path=xl/styles.xml><?xml version="1.0" encoding="utf-8"?>
<styleSheet xmlns="http://schemas.openxmlformats.org/spreadsheetml/2006/main">
  <numFmts count="14">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dd\ mmmm\ yyyy;@"/>
    <numFmt numFmtId="171" formatCode="0.0"/>
    <numFmt numFmtId="172" formatCode="_(* #,##0.00_);_(* \(#,##0.00\);_(* \-??_);_(@_)"/>
    <numFmt numFmtId="173" formatCode="d\-mmm"/>
    <numFmt numFmtId="174" formatCode="0&quot; JTS&quot;"/>
    <numFmt numFmtId="175" formatCode="[$-409]d\-mmm;@"/>
    <numFmt numFmtId="176" formatCode="m/d/yyyy"/>
    <numFmt numFmtId="177" formatCode="dd-mmm-yy"/>
  </numFmts>
  <fonts count="110">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Calibri"/>
      <charset val="1"/>
      <family val="0"/>
      <color rgb="FF000000"/>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Arial"/>
      <charset val="1"/>
      <family val="2"/>
      <b val="1"/>
      <color rgb="FF000000"/>
      <sz val="10"/>
    </font>
    <font>
      <name val="Calibri"/>
      <charset val="1"/>
      <family val="2"/>
      <color theme="1"/>
      <sz val="10"/>
    </font>
    <font>
      <name val="Calibri"/>
      <charset val="1"/>
      <family val="2"/>
      <sz val="12"/>
    </font>
    <font>
      <name val="Arial"/>
      <charset val="1"/>
      <family val="2"/>
      <b val="1"/>
      <color theme="1"/>
      <sz val="10"/>
    </font>
    <font>
      <name val="Calibri"/>
      <charset val="1"/>
      <family val="2"/>
      <color rgb="FF000000"/>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font>
    <font>
      <name val="Calibri"/>
      <charset val="1"/>
      <family val="2"/>
      <b val="1"/>
      <color theme="1"/>
      <sz val="11"/>
      <u val="single"/>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Calibri"/>
      <charset val="1"/>
      <family val="2"/>
      <color rgb="FF333333"/>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color theme="1"/>
      <sz val="14"/>
    </font>
    <font>
      <name val="Calibri"/>
      <charset val="1"/>
      <family val="2"/>
      <b val="1"/>
      <sz val="14"/>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22"/>
    </font>
    <font>
      <name val="Arial"/>
      <charset val="1"/>
      <family val="2"/>
      <b val="1"/>
      <color rgb="FFC0C0C0"/>
      <sz val="8"/>
    </font>
    <font>
      <name val="Arial"/>
      <charset val="1"/>
      <family val="2"/>
      <color rgb="FFBFBFBF"/>
      <sz val="6.5"/>
    </font>
  </fonts>
  <fills count="17">
    <fill>
      <patternFill/>
    </fill>
    <fill>
      <patternFill patternType="gray125"/>
    </fill>
    <fill>
      <patternFill patternType="solid">
        <fgColor theme="0"/>
        <bgColor rgb="FFF2F2F2"/>
      </patternFill>
    </fill>
    <fill>
      <patternFill patternType="solid">
        <fgColor theme="9" tint="0.3999"/>
        <bgColor rgb="FFBFBFBF"/>
      </patternFill>
    </fill>
    <fill>
      <patternFill patternType="solid">
        <fgColor rgb="FFFFFF00"/>
        <bgColor rgb="FFFFCC00"/>
      </patternFill>
    </fill>
    <fill>
      <patternFill patternType="solid">
        <fgColor theme="0" tint="-0.15"/>
        <bgColor rgb="FFDBDBDB"/>
      </patternFill>
    </fill>
    <fill>
      <patternFill patternType="solid">
        <fgColor rgb="FFFF0000"/>
        <bgColor rgb="FF993300"/>
      </patternFill>
    </fill>
    <fill>
      <patternFill patternType="solid">
        <fgColor theme="0" tint="-0.25"/>
        <bgColor rgb="FFC0C0C0"/>
      </patternFill>
    </fill>
    <fill>
      <patternFill patternType="solid">
        <fgColor theme="0" tint="-0.05"/>
        <bgColor rgb="FFE2F0D9"/>
      </patternFill>
    </fill>
    <fill>
      <patternFill patternType="solid">
        <fgColor theme="6" tint="0.5999"/>
        <bgColor rgb="FFD9D9D9"/>
      </patternFill>
    </fill>
    <fill>
      <patternFill patternType="solid">
        <fgColor rgb="FF333333"/>
        <bgColor rgb="FF333300"/>
      </patternFill>
    </fill>
    <fill>
      <patternFill patternType="solid">
        <fgColor rgb="FFFF6600"/>
        <bgColor rgb="FFFF9900"/>
      </patternFill>
    </fill>
    <fill>
      <patternFill patternType="solid">
        <fgColor rgb="FFFFCC00"/>
        <bgColor rgb="FFFFFF00"/>
      </patternFill>
    </fill>
    <fill>
      <patternFill patternType="solid">
        <fgColor rgb="FFB3F200"/>
        <bgColor rgb="FF99CC00"/>
      </patternFill>
    </fill>
    <fill>
      <patternFill patternType="solid">
        <fgColor rgb="FF99CC00"/>
        <bgColor rgb="FFB3F200"/>
      </patternFill>
    </fill>
    <fill>
      <patternFill patternType="solid">
        <fgColor rgb="FF008000"/>
        <bgColor rgb="FF008080"/>
      </patternFill>
    </fill>
    <fill>
      <patternFill patternType="solid">
        <fgColor rgb="FFC0C0C0"/>
        <bgColor rgb="FFBFBFBF"/>
      </patternFill>
    </fill>
  </fills>
  <borders count="111">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right style="thin"/>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thin"/>
      <right/>
      <top style="thin"/>
      <bottom style="thin"/>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969696"/>
      </bottom>
      <diagonal/>
    </border>
    <border>
      <left/>
      <right style="medium">
        <color rgb="FF333333"/>
      </right>
      <top style="thin">
        <color rgb="FF969696"/>
      </top>
      <bottom style="thin">
        <color rgb="FF969696"/>
      </bottom>
      <diagonal/>
    </border>
    <border>
      <left/>
      <right/>
      <top/>
      <bottom style="medium">
        <color rgb="FF333333"/>
      </bottom>
      <diagonal/>
    </border>
    <border>
      <left/>
      <right style="medium">
        <color rgb="FF333333"/>
      </right>
      <top style="thin">
        <color rgb="FF969696"/>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style="medium"/>
      <right style="medium"/>
      <top style="medium"/>
      <bottom/>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right style="thin"/>
      <top/>
      <bottom style="medium"/>
      <diagonal/>
    </border>
    <border>
      <left style="thin"/>
      <right/>
      <top/>
      <bottom/>
      <diagonal/>
    </border>
    <border>
      <left/>
      <right style="medium"/>
      <top style="medium"/>
      <bottom style="thin"/>
      <diagonal/>
    </border>
    <border>
      <left style="thin"/>
      <right style="thin"/>
      <top/>
      <bottom/>
      <diagonal/>
    </border>
    <border>
      <left/>
      <right style="medium">
        <color rgb="FF333333"/>
      </right>
      <top style="medium">
        <color rgb="FF333333"/>
      </top>
      <bottom/>
      <diagonal/>
    </border>
    <border>
      <left/>
      <right/>
      <top style="medium">
        <color rgb="FF333333"/>
      </top>
      <bottom style="thin">
        <color rgb="FF969696"/>
      </bottom>
      <diagonal/>
    </border>
    <border>
      <left/>
      <right/>
      <top style="thin">
        <color rgb="FF969696"/>
      </top>
      <bottom/>
      <diagonal/>
    </border>
    <border>
      <left/>
      <right style="medium">
        <color rgb="FF333333"/>
      </right>
      <top style="thin">
        <color rgb="FF969696"/>
      </top>
      <bottom/>
      <diagonal/>
    </border>
    <border>
      <left/>
      <right/>
      <top style="thin">
        <color rgb="FF969696"/>
      </top>
      <bottom style="thin">
        <color rgb="FF969696"/>
      </bottom>
      <diagonal/>
    </border>
    <border>
      <left/>
      <right/>
      <top style="thin">
        <color rgb="FF969696"/>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172"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cellStyleXfs>
  <cellXfs count="1206">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11" fillId="0" borderId="6" applyAlignment="1" pivotButton="0" quotePrefix="0" xfId="0">
      <alignment horizontal="center" vertical="center" wrapText="1"/>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22" fillId="0" borderId="6" applyAlignment="1" applyProtection="1" pivotButton="0" quotePrefix="0" xfId="24">
      <alignment horizontal="center" vertical="center"/>
      <protection locked="1" hidden="1"/>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0" fontId="0" fillId="0" borderId="6" applyAlignment="1" applyProtection="1" pivotButton="0" quotePrefix="0" xfId="0">
      <alignment horizontal="general" vertical="center"/>
      <protection locked="0" hidden="0"/>
    </xf>
    <xf numFmtId="0" fontId="0" fillId="0" borderId="0" applyAlignment="1" pivotButton="0" quotePrefix="0" xfId="0">
      <alignment horizontal="general" vertical="bottom"/>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center"/>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21" applyAlignment="1" applyProtection="1" pivotButton="0" quotePrefix="0" xfId="0">
      <alignment horizontal="general" vertical="bottom" wrapText="1"/>
      <protection locked="0" hidden="0"/>
    </xf>
    <xf numFmtId="0" fontId="24" fillId="0" borderId="5" applyAlignment="1" pivotButton="0" quotePrefix="0" xfId="0">
      <alignment horizontal="center" vertical="center" wrapText="1"/>
    </xf>
    <xf numFmtId="0" fontId="25" fillId="0" borderId="7" applyAlignment="1" pivotButton="0" quotePrefix="0" xfId="0">
      <alignment horizontal="center" vertical="center" wrapText="1"/>
    </xf>
    <xf numFmtId="0" fontId="24" fillId="0" borderId="22" applyAlignment="1" pivotButton="0" quotePrefix="0" xfId="0">
      <alignment horizontal="general" vertical="center" wrapText="1"/>
    </xf>
    <xf numFmtId="0" fontId="21" fillId="0" borderId="0" applyAlignment="1" pivotButton="0" quotePrefix="0" xfId="0">
      <alignment horizontal="general" vertical="bottom"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0" applyAlignment="1" pivotButton="0" quotePrefix="0" xfId="0">
      <alignment horizontal="center" vertical="center" wrapText="1"/>
    </xf>
    <xf numFmtId="168" fontId="24" fillId="0" borderId="20" applyAlignment="1" pivotButton="0" quotePrefix="0" xfId="0">
      <alignment horizontal="center" vertical="center" wrapText="1"/>
    </xf>
    <xf numFmtId="0" fontId="24" fillId="0" borderId="24" applyAlignment="1" pivotButton="0" quotePrefix="0" xfId="0">
      <alignment horizontal="center" vertical="center" wrapText="1"/>
    </xf>
    <xf numFmtId="0" fontId="24" fillId="0" borderId="25" applyAlignment="1" pivotButton="0" quotePrefix="0" xfId="0">
      <alignment horizontal="center"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6" applyAlignment="1" pivotButton="0" quotePrefix="0" xfId="0">
      <alignment horizontal="center" vertical="center" wrapText="1"/>
    </xf>
    <xf numFmtId="0" fontId="24" fillId="0" borderId="0" applyAlignment="1" pivotButton="0" quotePrefix="0" xfId="0">
      <alignment horizontal="general" vertical="bottom" wrapText="1"/>
    </xf>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7" applyAlignment="1" pivotButton="0" quotePrefix="0" xfId="0">
      <alignment horizontal="center" vertical="bottom" wrapText="1"/>
    </xf>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20" fontId="29" fillId="6" borderId="6" applyAlignment="1" applyProtection="1" pivotButton="0" quotePrefix="0" xfId="0">
      <alignment horizontal="center" vertical="center" wrapText="1"/>
      <protection locked="0" hidden="0"/>
    </xf>
    <xf numFmtId="0" fontId="27" fillId="3" borderId="24" applyAlignment="1" applyProtection="1" pivotButton="0" quotePrefix="0" xfId="0">
      <alignment horizontal="general" vertical="center" wrapText="1"/>
      <protection locked="0" hidden="0"/>
    </xf>
    <xf numFmtId="170" fontId="30" fillId="0" borderId="6" applyAlignment="1" pivotButton="0" quotePrefix="0" xfId="0">
      <alignment horizontal="left" vertical="top" shrinkToFit="1"/>
    </xf>
    <xf numFmtId="0" fontId="27" fillId="0" borderId="28" applyAlignment="1" pivotButton="0" quotePrefix="0" xfId="0">
      <alignment horizontal="center" vertical="top" wrapText="1"/>
    </xf>
    <xf numFmtId="0" fontId="5" fillId="0" borderId="6" applyAlignment="1" pivotButton="0" quotePrefix="0" xfId="0">
      <alignment horizontal="left" vertical="top" wrapText="1"/>
    </xf>
    <xf numFmtId="0" fontId="27" fillId="2" borderId="6" applyAlignment="1" applyProtection="1" pivotButton="0" quotePrefix="0" xfId="0">
      <alignment horizontal="general" vertical="center" wrapText="1"/>
      <protection locked="0" hidden="0"/>
    </xf>
    <xf numFmtId="0" fontId="0" fillId="0" borderId="6" applyAlignment="1" pivotButton="0" quotePrefix="0" xfId="0">
      <alignment horizontal="left" vertical="center" wrapText="1"/>
    </xf>
    <xf numFmtId="0" fontId="27" fillId="0" borderId="28" applyAlignment="1" pivotButton="0" quotePrefix="0" xfId="0">
      <alignment horizontal="left" vertical="top" wrapText="1" indent="2"/>
    </xf>
    <xf numFmtId="0" fontId="0" fillId="0" borderId="6" applyAlignment="1" pivotButton="0" quotePrefix="0" xfId="0">
      <alignment horizontal="left" vertical="top" wrapText="1"/>
    </xf>
    <xf numFmtId="0" fontId="0" fillId="0" borderId="6" applyAlignment="1" pivotButton="0" quotePrefix="0" xfId="0">
      <alignment horizontal="left" vertical="bottom" wrapText="1"/>
    </xf>
    <xf numFmtId="0" fontId="27" fillId="0" borderId="28" applyAlignment="1" pivotButton="0" quotePrefix="0" xfId="0">
      <alignment horizontal="left" vertical="center" wrapText="1" indent="2"/>
    </xf>
    <xf numFmtId="0" fontId="21" fillId="2" borderId="0" applyAlignment="1" applyProtection="1" pivotButton="0" quotePrefix="0" xfId="0">
      <alignment horizontal="general" vertical="bottom" wrapText="1"/>
      <protection locked="0" hidden="0"/>
    </xf>
    <xf numFmtId="0" fontId="31" fillId="0" borderId="6" applyAlignment="1" pivotButton="0" quotePrefix="0" xfId="0">
      <alignment horizontal="left" vertical="bottom" wrapText="1"/>
    </xf>
    <xf numFmtId="0" fontId="5" fillId="2" borderId="6" applyAlignment="1" applyProtection="1" pivotButton="0" quotePrefix="0" xfId="0">
      <alignment horizontal="general" vertical="center" wrapText="1"/>
      <protection locked="0" hidden="0"/>
    </xf>
    <xf numFmtId="166" fontId="27" fillId="2" borderId="9" applyAlignment="1" applyProtection="1" pivotButton="0" quotePrefix="0" xfId="0">
      <alignment horizontal="center" vertical="center" wrapText="1"/>
      <protection locked="0" hidden="0"/>
    </xf>
    <xf numFmtId="20" fontId="27" fillId="2" borderId="28" applyAlignment="1" applyProtection="1" pivotButton="0" quotePrefix="0" xfId="0">
      <alignment horizontal="center" vertical="center" wrapText="1"/>
      <protection locked="0" hidden="0"/>
    </xf>
    <xf numFmtId="0" fontId="5" fillId="2" borderId="6" applyAlignment="1" applyProtection="1" pivotButton="0" quotePrefix="0" xfId="0">
      <alignment horizontal="left" vertical="center" wrapText="1"/>
      <protection locked="0" hidden="0"/>
    </xf>
    <xf numFmtId="0" fontId="32" fillId="0" borderId="6" applyAlignment="1" pivotButton="0" quotePrefix="0" xfId="28">
      <alignment horizontal="general" vertical="bottom" wrapText="1"/>
    </xf>
    <xf numFmtId="0" fontId="32" fillId="0" borderId="6" applyAlignment="1" pivotButton="0" quotePrefix="0" xfId="28">
      <alignment horizontal="general" vertical="center" wrapText="1"/>
    </xf>
    <xf numFmtId="20" fontId="33" fillId="0" borderId="28" applyAlignment="1" applyProtection="1" pivotButton="0" quotePrefix="0" xfId="0">
      <alignment horizontal="center" vertical="center" wrapText="1"/>
      <protection locked="0" hidden="0"/>
    </xf>
    <xf numFmtId="0" fontId="32" fillId="0" borderId="6" applyAlignment="1" pivotButton="0" quotePrefix="0" xfId="28">
      <alignment horizontal="general" vertical="top" wrapText="1"/>
    </xf>
    <xf numFmtId="0" fontId="34" fillId="0" borderId="6" applyAlignment="1" pivotButton="0" quotePrefix="0" xfId="28">
      <alignment horizontal="general" vertical="center" wrapText="1"/>
    </xf>
    <xf numFmtId="0" fontId="34" fillId="0" borderId="6" applyAlignment="1" pivotButton="0" quotePrefix="0" xfId="28">
      <alignment horizontal="general" vertical="top" wrapText="1"/>
    </xf>
    <xf numFmtId="0" fontId="34" fillId="0" borderId="6" applyAlignment="1" pivotButton="0" quotePrefix="0" xfId="28">
      <alignment horizontal="general" vertical="bottom" wrapText="1"/>
    </xf>
    <xf numFmtId="0" fontId="34" fillId="2" borderId="6" applyAlignment="1" pivotButton="0" quotePrefix="0" xfId="28">
      <alignment horizontal="general" vertical="center" wrapText="1"/>
    </xf>
    <xf numFmtId="0" fontId="27" fillId="2" borderId="6" applyAlignment="1" applyProtection="1" pivotButton="0" quotePrefix="0" xfId="0">
      <alignment horizontal="left" vertical="center" wrapText="1"/>
      <protection locked="0" hidden="0"/>
    </xf>
    <xf numFmtId="20" fontId="29" fillId="2" borderId="28" applyAlignment="1" applyProtection="1" pivotButton="0" quotePrefix="0" xfId="0">
      <alignment horizontal="center" vertical="center" wrapText="1"/>
      <protection locked="0" hidden="0"/>
    </xf>
    <xf numFmtId="0" fontId="0" fillId="5" borderId="29" applyAlignment="1" pivotButton="0" quotePrefix="0" xfId="0">
      <alignment horizontal="center" vertical="bottom" wrapText="1"/>
    </xf>
    <xf numFmtId="0" fontId="21" fillId="0" borderId="30" applyAlignment="1" applyProtection="1" pivotButton="0" quotePrefix="0" xfId="0">
      <alignment horizontal="general" vertical="bottom" wrapText="1"/>
      <protection locked="0" hidden="0"/>
    </xf>
    <xf numFmtId="0" fontId="21" fillId="0" borderId="31"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2" fillId="0" borderId="0" applyAlignment="1" applyProtection="1" pivotButton="0" quotePrefix="0" xfId="0">
      <alignment horizontal="general" vertical="center"/>
      <protection locked="0" hidden="0"/>
    </xf>
    <xf numFmtId="0" fontId="32" fillId="0" borderId="0" applyAlignment="1" applyProtection="1" pivotButton="0" quotePrefix="0" xfId="0">
      <alignment horizontal="center" vertical="center"/>
      <protection locked="0" hidden="0"/>
    </xf>
    <xf numFmtId="0" fontId="21" fillId="0" borderId="32" applyAlignment="1" applyProtection="1" pivotButton="0" quotePrefix="0" xfId="0">
      <alignment horizontal="general" vertical="bottom" wrapText="1"/>
      <protection locked="0" hidden="0"/>
    </xf>
    <xf numFmtId="0" fontId="29" fillId="0" borderId="4" applyAlignment="1" pivotButton="0" quotePrefix="0" xfId="0">
      <alignment horizontal="general" vertical="center" wrapText="1"/>
    </xf>
    <xf numFmtId="0" fontId="29" fillId="0" borderId="32" applyAlignment="1" pivotButton="0" quotePrefix="0" xfId="0">
      <alignment horizontal="general" vertical="center" wrapText="1"/>
    </xf>
    <xf numFmtId="0" fontId="35" fillId="0" borderId="33" applyAlignment="1" applyProtection="1" pivotButton="0" quotePrefix="0" xfId="0">
      <alignment horizontal="center" vertical="center"/>
      <protection locked="0" hidden="0"/>
    </xf>
    <xf numFmtId="169" fontId="36" fillId="0" borderId="33" applyAlignment="1" applyProtection="1" pivotButton="0" quotePrefix="0" xfId="0">
      <alignment horizontal="center" vertical="center"/>
      <protection locked="0" hidden="0"/>
    </xf>
    <xf numFmtId="0" fontId="37" fillId="0" borderId="34" applyAlignment="1" applyProtection="1" pivotButton="0" quotePrefix="0" xfId="0">
      <alignment horizontal="center" vertical="bottom" wrapText="1"/>
      <protection locked="0" hidden="0"/>
    </xf>
    <xf numFmtId="169" fontId="38" fillId="0" borderId="4" applyAlignment="1" applyProtection="1" pivotButton="0" quotePrefix="0" xfId="0">
      <alignment horizontal="center" vertical="center"/>
      <protection locked="0" hidden="0"/>
    </xf>
    <xf numFmtId="0" fontId="39" fillId="2" borderId="33" applyAlignment="1" applyProtection="1" pivotButton="0" quotePrefix="0" xfId="0">
      <alignment horizontal="center" vertical="center" wrapText="1"/>
      <protection locked="0" hidden="0"/>
    </xf>
    <xf numFmtId="0" fontId="40" fillId="2" borderId="0" applyAlignment="1" applyProtection="1" pivotButton="0" quotePrefix="0" xfId="0">
      <alignment horizontal="general" vertical="center" wrapText="1"/>
      <protection locked="0" hidden="0"/>
    </xf>
    <xf numFmtId="0" fontId="40" fillId="2" borderId="21" applyAlignment="1" applyProtection="1" pivotButton="0" quotePrefix="0" xfId="0">
      <alignment horizontal="general" vertical="center" wrapText="1"/>
      <protection locked="0" hidden="0"/>
    </xf>
    <xf numFmtId="0" fontId="41" fillId="0" borderId="0" applyAlignment="1" applyProtection="1" pivotButton="0" quotePrefix="0" xfId="30">
      <alignment horizontal="left" vertical="top"/>
      <protection locked="0" hidden="0"/>
    </xf>
    <xf numFmtId="0" fontId="41" fillId="0" borderId="1" applyAlignment="1" pivotButton="0" quotePrefix="0" xfId="30">
      <alignment horizontal="left" vertical="top"/>
    </xf>
    <xf numFmtId="0" fontId="41" fillId="0" borderId="2" applyAlignment="1" pivotButton="0" quotePrefix="0" xfId="30">
      <alignment horizontal="left" vertical="top"/>
    </xf>
    <xf numFmtId="0" fontId="41" fillId="0" borderId="3" applyAlignment="1" pivotButton="0" quotePrefix="0" xfId="30">
      <alignment horizontal="left" vertical="top"/>
    </xf>
    <xf numFmtId="0" fontId="42" fillId="7" borderId="4" applyAlignment="1" pivotButton="0" quotePrefix="0" xfId="30">
      <alignment horizontal="center" vertical="top"/>
    </xf>
    <xf numFmtId="0" fontId="43" fillId="0" borderId="35" applyAlignment="1" pivotButton="0" quotePrefix="0" xfId="30">
      <alignment horizontal="center" vertical="top" wrapText="1"/>
    </xf>
    <xf numFmtId="0" fontId="43" fillId="0" borderId="30" applyAlignment="1" pivotButton="0" quotePrefix="0" xfId="30">
      <alignment horizontal="left" vertical="center" wrapText="1"/>
    </xf>
    <xf numFmtId="0" fontId="43" fillId="0" borderId="30" applyAlignment="1" pivotButton="0" quotePrefix="0" xfId="30">
      <alignment horizontal="left" vertical="top" wrapText="1"/>
    </xf>
    <xf numFmtId="1" fontId="42" fillId="0" borderId="31" applyAlignment="1" pivotButton="0" quotePrefix="0" xfId="30">
      <alignment horizontal="left" vertical="top" shrinkToFit="1" indent="1"/>
    </xf>
    <xf numFmtId="0" fontId="43" fillId="0" borderId="36" applyAlignment="1" pivotButton="0" quotePrefix="0" xfId="30">
      <alignment horizontal="center" vertical="top" wrapText="1"/>
    </xf>
    <xf numFmtId="0" fontId="43" fillId="0" borderId="0" applyAlignment="1" pivotButton="0" quotePrefix="0" xfId="30">
      <alignment horizontal="left" vertical="center" wrapText="1"/>
    </xf>
    <xf numFmtId="0" fontId="43" fillId="0" borderId="0" applyAlignment="1" pivotButton="0" quotePrefix="0" xfId="30">
      <alignment horizontal="left" vertical="top" wrapText="1"/>
    </xf>
    <xf numFmtId="1" fontId="42" fillId="0" borderId="32" applyAlignment="1" pivotButton="0" quotePrefix="0" xfId="30">
      <alignment horizontal="left" vertical="top" shrinkToFit="1" indent="1"/>
    </xf>
    <xf numFmtId="0" fontId="43" fillId="0" borderId="34" applyAlignment="1" pivotButton="0" quotePrefix="0" xfId="30">
      <alignment horizontal="left" vertical="top" wrapText="1"/>
    </xf>
    <xf numFmtId="0" fontId="43" fillId="0" borderId="37" applyAlignment="1" pivotButton="0" quotePrefix="0" xfId="30">
      <alignment horizontal="center" vertical="top" wrapText="1"/>
    </xf>
    <xf numFmtId="0" fontId="43" fillId="0" borderId="34" applyAlignment="1" pivotButton="0" quotePrefix="0" xfId="30">
      <alignment horizontal="left" vertical="top" wrapText="1"/>
    </xf>
    <xf numFmtId="1" fontId="42" fillId="0" borderId="38" applyAlignment="1" pivotButton="0" quotePrefix="0" xfId="30">
      <alignment horizontal="left" vertical="top" shrinkToFit="1" indent="1"/>
    </xf>
    <xf numFmtId="0" fontId="43" fillId="7" borderId="39" applyAlignment="1" pivotButton="0" quotePrefix="0" xfId="30">
      <alignment horizontal="center" vertical="center" wrapText="1"/>
    </xf>
    <xf numFmtId="0" fontId="43" fillId="7" borderId="40" applyAlignment="1" pivotButton="0" quotePrefix="0" xfId="30">
      <alignment horizontal="center" vertical="center" wrapText="1"/>
    </xf>
    <xf numFmtId="0" fontId="43" fillId="7" borderId="41" applyAlignment="1" pivotButton="0" quotePrefix="0" xfId="30">
      <alignment horizontal="center" vertical="center" wrapText="1"/>
    </xf>
    <xf numFmtId="0" fontId="43" fillId="7" borderId="42" applyAlignment="1" pivotButton="0" quotePrefix="0" xfId="30">
      <alignment horizontal="center" vertical="center" wrapText="1"/>
    </xf>
    <xf numFmtId="0" fontId="41" fillId="0" borderId="0" applyAlignment="1" applyProtection="1" pivotButton="0" quotePrefix="0" xfId="30">
      <alignment horizontal="center" vertical="center"/>
      <protection locked="0" hidden="0"/>
    </xf>
    <xf numFmtId="0" fontId="44" fillId="0" borderId="13" applyAlignment="1" applyProtection="1" pivotButton="0" quotePrefix="0" xfId="30">
      <alignment horizontal="center" vertical="center" wrapText="1"/>
      <protection locked="0" hidden="0"/>
    </xf>
    <xf numFmtId="0" fontId="44" fillId="0" borderId="7" applyAlignment="1" applyProtection="1" pivotButton="0" quotePrefix="0" xfId="30">
      <alignment horizontal="general" vertical="center" wrapText="1"/>
      <protection locked="0" hidden="0"/>
    </xf>
    <xf numFmtId="4" fontId="44" fillId="0" borderId="6" applyAlignment="1" applyProtection="1" pivotButton="0" quotePrefix="0" xfId="30">
      <alignment horizontal="right" vertical="center" shrinkToFit="1"/>
      <protection locked="0" hidden="0"/>
    </xf>
    <xf numFmtId="1" fontId="44" fillId="0" borderId="15" applyAlignment="1" applyProtection="1" pivotButton="0" quotePrefix="0" xfId="30">
      <alignment horizontal="center" vertical="center" shrinkToFit="1"/>
      <protection locked="0" hidden="0"/>
    </xf>
    <xf numFmtId="4" fontId="44" fillId="0" borderId="26" applyAlignment="1" applyProtection="1" pivotButton="0" quotePrefix="0" xfId="30">
      <alignment horizontal="right" vertical="center" shrinkToFit="1"/>
      <protection locked="0" hidden="0"/>
    </xf>
    <xf numFmtId="0" fontId="44" fillId="0" borderId="9" applyAlignment="1" applyProtection="1" pivotButton="0" quotePrefix="0" xfId="30">
      <alignment horizontal="center" vertical="center" wrapText="1"/>
      <protection locked="0" hidden="0"/>
    </xf>
    <xf numFmtId="0" fontId="44" fillId="0" borderId="6" applyAlignment="1" applyProtection="1" pivotButton="0" quotePrefix="0" xfId="30">
      <alignment horizontal="general" vertical="center" wrapText="1"/>
      <protection locked="0" hidden="0"/>
    </xf>
    <xf numFmtId="1" fontId="44" fillId="0" borderId="6" applyAlignment="1" applyProtection="1" pivotButton="0" quotePrefix="0" xfId="30">
      <alignment horizontal="center" vertical="center" shrinkToFit="1"/>
      <protection locked="0" hidden="0"/>
    </xf>
    <xf numFmtId="4" fontId="41" fillId="0" borderId="6" applyAlignment="1" applyProtection="1" pivotButton="0" quotePrefix="0" xfId="30">
      <alignment horizontal="right" vertical="center" shrinkToFit="1"/>
      <protection locked="0" hidden="0"/>
    </xf>
    <xf numFmtId="171" fontId="41" fillId="0" borderId="6" applyAlignment="1" applyProtection="1" pivotButton="0" quotePrefix="0" xfId="30">
      <alignment horizontal="center" vertical="center" shrinkToFit="1"/>
      <protection locked="0" hidden="0"/>
    </xf>
    <xf numFmtId="4" fontId="41" fillId="0" borderId="26" applyAlignment="1" applyProtection="1" pivotButton="0" quotePrefix="0" xfId="30">
      <alignment horizontal="right" vertical="center" shrinkToFit="1"/>
      <protection locked="0" hidden="0"/>
    </xf>
    <xf numFmtId="1" fontId="41" fillId="0" borderId="6" applyAlignment="1" applyProtection="1" pivotButton="0" quotePrefix="0" xfId="30">
      <alignment horizontal="center" vertical="center" shrinkToFit="1"/>
      <protection locked="0" hidden="0"/>
    </xf>
    <xf numFmtId="0" fontId="43" fillId="0" borderId="10" applyAlignment="1" applyProtection="1" pivotButton="0" quotePrefix="0" xfId="30">
      <alignment horizontal="left" vertical="top" wrapText="1"/>
      <protection locked="0" hidden="0"/>
    </xf>
    <xf numFmtId="0" fontId="43" fillId="0" borderId="6" applyAlignment="1" applyProtection="1" pivotButton="0" quotePrefix="0" xfId="30">
      <alignment horizontal="center" vertical="center" wrapText="1"/>
      <protection locked="0" hidden="0"/>
    </xf>
    <xf numFmtId="4" fontId="42" fillId="0" borderId="8" applyAlignment="1" applyProtection="1" pivotButton="0" quotePrefix="0" xfId="30">
      <alignment horizontal="general" vertical="center" shrinkToFit="1"/>
      <protection locked="0" hidden="0"/>
    </xf>
    <xf numFmtId="0" fontId="43" fillId="0" borderId="11" applyAlignment="1" applyProtection="1" pivotButton="0" quotePrefix="0" xfId="30">
      <alignment horizontal="center" vertical="center" wrapText="1"/>
      <protection locked="0" hidden="0"/>
    </xf>
    <xf numFmtId="4" fontId="42" fillId="0" borderId="12" applyAlignment="1" applyProtection="1" pivotButton="0" quotePrefix="0" xfId="30">
      <alignment horizontal="general" vertical="center" shrinkToFit="1"/>
      <protection locked="0" hidden="0"/>
    </xf>
    <xf numFmtId="0" fontId="43" fillId="0" borderId="0" applyAlignment="1" applyProtection="1" pivotButton="0" quotePrefix="0" xfId="30">
      <alignment horizontal="left" vertical="center" wrapText="1"/>
      <protection locked="0" hidden="0"/>
    </xf>
    <xf numFmtId="172" fontId="41" fillId="0" borderId="0" applyAlignment="1" applyProtection="1" pivotButton="0" quotePrefix="0" xfId="20">
      <alignment horizontal="left" vertical="top"/>
      <protection locked="0" hidden="0"/>
    </xf>
    <xf numFmtId="0" fontId="45" fillId="0" borderId="35" applyAlignment="1" pivotButton="0" quotePrefix="0" xfId="0">
      <alignment horizontal="center" vertical="bottom"/>
    </xf>
    <xf numFmtId="0" fontId="0" fillId="0" borderId="30" applyAlignment="1" pivotButton="0" quotePrefix="0" xfId="0">
      <alignment horizontal="general" vertical="bottom"/>
    </xf>
    <xf numFmtId="0" fontId="21" fillId="0" borderId="30" applyAlignment="1" pivotButton="0" quotePrefix="0" xfId="0">
      <alignment horizontal="general" vertical="bottom"/>
    </xf>
    <xf numFmtId="0" fontId="0" fillId="0" borderId="31" applyAlignment="1" pivotButton="0" quotePrefix="0" xfId="0">
      <alignment horizontal="general" vertical="bottom"/>
    </xf>
    <xf numFmtId="0" fontId="45" fillId="0" borderId="43" applyAlignment="1" pivotButton="0" quotePrefix="0" xfId="0">
      <alignment horizontal="center" vertical="bottom"/>
    </xf>
    <xf numFmtId="0" fontId="0" fillId="0" borderId="44" applyAlignment="1" pivotButton="0" quotePrefix="0" xfId="0">
      <alignment horizontal="general" vertical="bottom"/>
    </xf>
    <xf numFmtId="0" fontId="0" fillId="0" borderId="0" applyAlignment="1" pivotButton="0" quotePrefix="0" xfId="0">
      <alignment horizontal="center" vertical="bottom"/>
    </xf>
    <xf numFmtId="0" fontId="0" fillId="0" borderId="32" applyAlignment="1" pivotButton="0" quotePrefix="0" xfId="0">
      <alignment horizontal="general" vertical="bottom"/>
    </xf>
    <xf numFmtId="0" fontId="0" fillId="0" borderId="9" applyAlignment="1" pivotButton="0" quotePrefix="0" xfId="0">
      <alignment horizontal="center" vertical="bottom"/>
    </xf>
    <xf numFmtId="0" fontId="0" fillId="0" borderId="28" applyAlignment="1" pivotButton="0" quotePrefix="0" xfId="0">
      <alignment horizontal="general" vertical="bottom"/>
    </xf>
    <xf numFmtId="0" fontId="46" fillId="8" borderId="4" applyAlignment="1" pivotButton="0" quotePrefix="0" xfId="0">
      <alignment horizontal="center" vertical="center" wrapText="1"/>
    </xf>
    <xf numFmtId="0" fontId="0" fillId="0" borderId="45" applyAlignment="1" pivotButton="0" quotePrefix="0" xfId="0">
      <alignment horizontal="center" vertical="bottom"/>
    </xf>
    <xf numFmtId="0" fontId="0" fillId="0" borderId="6" applyAlignment="1" pivotButton="0" quotePrefix="0" xfId="0">
      <alignment horizontal="general" vertical="bottom"/>
    </xf>
    <xf numFmtId="0" fontId="21" fillId="0" borderId="45" applyAlignment="1" pivotButton="0" quotePrefix="0" xfId="0">
      <alignment horizontal="center" vertical="bottom"/>
    </xf>
    <xf numFmtId="0" fontId="47" fillId="0" borderId="6" applyAlignment="1" pivotButton="0" quotePrefix="0" xfId="0">
      <alignment horizontal="general" vertical="bottom"/>
    </xf>
    <xf numFmtId="0" fontId="0" fillId="2" borderId="28"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6"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7" applyAlignment="1" pivotButton="0" quotePrefix="0" xfId="0">
      <alignment horizontal="general" vertical="bottom"/>
    </xf>
    <xf numFmtId="0" fontId="48" fillId="5" borderId="4" applyAlignment="1" pivotButton="0" quotePrefix="0" xfId="0">
      <alignment horizontal="center" vertical="center"/>
    </xf>
    <xf numFmtId="1" fontId="48" fillId="5" borderId="4" applyAlignment="1" pivotButton="0" quotePrefix="0" xfId="0">
      <alignment horizontal="center" vertical="center"/>
    </xf>
    <xf numFmtId="1" fontId="48" fillId="5" borderId="48" applyAlignment="1" pivotButton="0" quotePrefix="0" xfId="0">
      <alignment horizontal="center" vertical="bottom"/>
    </xf>
    <xf numFmtId="0" fontId="48" fillId="5" borderId="22" applyAlignment="1" pivotButton="0" quotePrefix="0" xfId="0">
      <alignment horizontal="general" vertical="bottom"/>
    </xf>
    <xf numFmtId="0" fontId="45" fillId="0" borderId="43" applyAlignment="1" pivotButton="0" quotePrefix="0" xfId="0">
      <alignment horizontal="general" vertical="bottom"/>
    </xf>
    <xf numFmtId="0" fontId="45" fillId="0" borderId="44" applyAlignment="1" pivotButton="0" quotePrefix="0" xfId="0">
      <alignment horizontal="general" vertical="bottom"/>
    </xf>
    <xf numFmtId="0" fontId="45" fillId="0" borderId="49" applyAlignment="1" pivotButton="0" quotePrefix="0" xfId="0">
      <alignment horizontal="general" vertical="bottom"/>
    </xf>
    <xf numFmtId="0" fontId="48" fillId="5" borderId="50" applyAlignment="1" pivotButton="0" quotePrefix="0" xfId="0">
      <alignment horizontal="left" vertical="bottom" wrapText="1"/>
    </xf>
    <xf numFmtId="1" fontId="48" fillId="5" borderId="14" applyAlignment="1" pivotButton="0" quotePrefix="0" xfId="0">
      <alignment horizontal="center" vertical="bottom"/>
    </xf>
    <xf numFmtId="0" fontId="48" fillId="5" borderId="26"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28" applyAlignment="1" pivotButton="0" quotePrefix="0" xfId="0">
      <alignment horizontal="center" vertical="bottom"/>
    </xf>
    <xf numFmtId="9" fontId="48"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5" applyAlignment="1" pivotButton="0" quotePrefix="0" xfId="0">
      <alignment horizontal="center" vertical="center" wrapText="1"/>
    </xf>
    <xf numFmtId="0" fontId="48" fillId="7" borderId="25" applyAlignment="1" pivotButton="0" quotePrefix="0" xfId="0">
      <alignment horizontal="left" vertical="bottom" wrapText="1"/>
    </xf>
    <xf numFmtId="1" fontId="0" fillId="0" borderId="45" applyAlignment="1" pivotButton="0" quotePrefix="0" xfId="0">
      <alignment horizontal="center" vertical="bottom"/>
    </xf>
    <xf numFmtId="0" fontId="48" fillId="0" borderId="9" applyAlignment="1" pivotButton="0" quotePrefix="0" xfId="0">
      <alignment horizontal="left" vertical="center" wrapText="1"/>
    </xf>
    <xf numFmtId="9" fontId="48" fillId="8" borderId="8" applyAlignment="1" applyProtection="1" pivotButton="0" quotePrefix="0" xfId="0">
      <alignment horizontal="center" vertical="center" wrapText="1"/>
      <protection locked="0" hidden="0"/>
    </xf>
    <xf numFmtId="2" fontId="0" fillId="0" borderId="28" applyAlignment="1" pivotButton="0" quotePrefix="0" xfId="0">
      <alignment horizontal="left" vertical="bottom" wrapText="1"/>
    </xf>
    <xf numFmtId="2" fontId="0" fillId="0" borderId="28" applyAlignment="1" pivotButton="0" quotePrefix="0" xfId="0">
      <alignment horizontal="center" vertical="bottom" wrapText="1"/>
    </xf>
    <xf numFmtId="1" fontId="0" fillId="0" borderId="45" applyAlignment="1" pivotButton="0" quotePrefix="0" xfId="0">
      <alignment horizontal="general" vertical="bottom"/>
    </xf>
    <xf numFmtId="173" fontId="31" fillId="0" borderId="51"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2" applyAlignment="1" pivotButton="0" quotePrefix="0" xfId="0">
      <alignment horizontal="center" vertical="bottom"/>
    </xf>
    <xf numFmtId="0" fontId="0" fillId="0" borderId="25" applyAlignment="1" pivotButton="0" quotePrefix="0" xfId="0">
      <alignment horizontal="center" vertical="bottom"/>
    </xf>
    <xf numFmtId="0" fontId="0" fillId="0" borderId="52" applyAlignment="1" pivotButton="0" quotePrefix="0" xfId="0">
      <alignment horizontal="center" vertical="bottom"/>
    </xf>
    <xf numFmtId="0" fontId="50" fillId="9" borderId="53" applyAlignment="1" pivotButton="0" quotePrefix="0" xfId="0">
      <alignment horizontal="general" vertical="center"/>
    </xf>
    <xf numFmtId="0" fontId="50" fillId="9" borderId="54" applyAlignment="1" pivotButton="0" quotePrefix="0" xfId="0">
      <alignment horizontal="center" vertical="center"/>
    </xf>
    <xf numFmtId="2" fontId="48" fillId="9" borderId="4" applyAlignment="1" pivotButton="0" quotePrefix="0" xfId="0">
      <alignment horizontal="center" vertical="center"/>
    </xf>
    <xf numFmtId="0" fontId="48"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48" fillId="0" borderId="43" applyAlignment="1" pivotButton="0" quotePrefix="0" xfId="0">
      <alignment horizontal="center" vertical="center"/>
    </xf>
    <xf numFmtId="2" fontId="48" fillId="0" borderId="6" applyAlignment="1" pivotButton="0" quotePrefix="0" xfId="0">
      <alignment horizontal="center" vertical="center" wrapText="1"/>
    </xf>
    <xf numFmtId="169" fontId="51" fillId="0" borderId="26"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48"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48" fillId="0" borderId="30" applyAlignment="1" pivotButton="0" quotePrefix="0" xfId="0">
      <alignment horizontal="general" vertical="center"/>
    </xf>
    <xf numFmtId="2" fontId="48" fillId="0" borderId="0" applyAlignment="1" pivotButton="0" quotePrefix="0" xfId="0">
      <alignment horizontal="general" vertical="center"/>
    </xf>
    <xf numFmtId="0" fontId="52" fillId="0" borderId="0" applyAlignment="1" pivotButton="0" quotePrefix="0" xfId="0">
      <alignment horizontal="general" vertical="center"/>
    </xf>
    <xf numFmtId="0" fontId="53" fillId="0" borderId="0" applyAlignment="1" pivotButton="0" quotePrefix="0" xfId="0">
      <alignment horizontal="center" vertical="center"/>
    </xf>
    <xf numFmtId="0" fontId="53" fillId="0" borderId="0" applyAlignment="1" pivotButton="0" quotePrefix="0" xfId="0">
      <alignment horizontal="general" vertical="center"/>
    </xf>
    <xf numFmtId="0" fontId="52" fillId="0" borderId="6" applyAlignment="1" pivotButton="0" quotePrefix="0" xfId="0">
      <alignment horizontal="general" vertical="center"/>
    </xf>
    <xf numFmtId="0" fontId="54" fillId="0" borderId="6" applyAlignment="1" pivotButton="0" quotePrefix="0" xfId="0">
      <alignment horizontal="center" vertical="center"/>
    </xf>
    <xf numFmtId="0" fontId="53"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5" fillId="10" borderId="55" applyAlignment="1" pivotButton="0" quotePrefix="0" xfId="0">
      <alignment horizontal="left" vertical="center" indent="1"/>
    </xf>
    <xf numFmtId="166" fontId="32" fillId="0" borderId="56"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5" fillId="10" borderId="0" applyAlignment="1" pivotButton="0" quotePrefix="0" xfId="0">
      <alignment horizontal="left" vertical="center" indent="1"/>
    </xf>
    <xf numFmtId="0" fontId="32" fillId="0" borderId="57"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5" fillId="10" borderId="58" applyAlignment="1" pivotButton="0" quotePrefix="0" xfId="0">
      <alignment horizontal="left" vertical="center" indent="1"/>
    </xf>
    <xf numFmtId="0" fontId="32" fillId="0" borderId="59" applyAlignment="1" applyProtection="1" pivotButton="0" quotePrefix="0" xfId="0">
      <alignment horizontal="center" vertical="center"/>
      <protection locked="0" hidden="0"/>
    </xf>
    <xf numFmtId="0" fontId="56" fillId="0" borderId="0" applyAlignment="1" pivotButton="0" quotePrefix="0" xfId="0">
      <alignment horizontal="right" vertical="bottom"/>
    </xf>
    <xf numFmtId="0" fontId="57" fillId="10" borderId="60" applyAlignment="1" pivotButton="0" quotePrefix="0" xfId="0">
      <alignment horizontal="left" vertical="center" wrapText="1" indent="1"/>
    </xf>
    <xf numFmtId="0" fontId="55" fillId="6" borderId="61" applyAlignment="1" pivotButton="0" quotePrefix="0" xfId="0">
      <alignment horizontal="center" vertical="center"/>
    </xf>
    <xf numFmtId="0" fontId="55" fillId="11" borderId="61" applyAlignment="1" pivotButton="0" quotePrefix="0" xfId="0">
      <alignment horizontal="center" vertical="center"/>
    </xf>
    <xf numFmtId="0" fontId="58" fillId="12" borderId="61" applyAlignment="1" pivotButton="0" quotePrefix="0" xfId="0">
      <alignment horizontal="center" vertical="center"/>
    </xf>
    <xf numFmtId="0" fontId="58" fillId="13" borderId="61" applyAlignment="1" pivotButton="0" quotePrefix="0" xfId="0">
      <alignment horizontal="center" vertical="center"/>
    </xf>
    <xf numFmtId="0" fontId="58" fillId="14" borderId="61" applyAlignment="1" pivotButton="0" quotePrefix="0" xfId="0">
      <alignment horizontal="center" vertical="center"/>
    </xf>
    <xf numFmtId="0" fontId="55" fillId="15" borderId="62" applyAlignment="1" pivotButton="0" quotePrefix="0" xfId="0">
      <alignment horizontal="center" vertical="center"/>
    </xf>
    <xf numFmtId="0" fontId="35" fillId="0" borderId="63" applyAlignment="1" applyProtection="1" pivotButton="0" quotePrefix="0" xfId="0">
      <alignment horizontal="center" vertical="center"/>
      <protection locked="0" hidden="0"/>
    </xf>
    <xf numFmtId="0" fontId="35" fillId="0" borderId="64" applyAlignment="1" applyProtection="1" pivotButton="0" quotePrefix="0" xfId="0">
      <alignment horizontal="center" vertical="center"/>
      <protection locked="0" hidden="0"/>
    </xf>
    <xf numFmtId="0" fontId="59" fillId="8" borderId="65" applyAlignment="1" pivotButton="0" quotePrefix="0" xfId="0">
      <alignment horizontal="center" vertical="bottom"/>
    </xf>
    <xf numFmtId="0" fontId="59" fillId="8" borderId="66" applyAlignment="1" pivotButton="0" quotePrefix="0" xfId="0">
      <alignment horizontal="center" vertical="bottom"/>
    </xf>
    <xf numFmtId="0" fontId="60" fillId="8" borderId="67" applyAlignment="1" pivotButton="0" quotePrefix="0" xfId="0">
      <alignment horizontal="center" vertical="top" wrapText="1"/>
    </xf>
    <xf numFmtId="0" fontId="56" fillId="8" borderId="67" applyAlignment="1" pivotButton="0" quotePrefix="0" xfId="0">
      <alignment horizontal="center" vertical="top" wrapText="1"/>
    </xf>
    <xf numFmtId="0" fontId="56" fillId="8" borderId="68" applyAlignment="1" pivotButton="0" quotePrefix="0" xfId="0">
      <alignment horizontal="center" vertical="top" wrapText="1"/>
    </xf>
    <xf numFmtId="0" fontId="52" fillId="0" borderId="0" applyAlignment="1" pivotButton="0" quotePrefix="0" xfId="0">
      <alignment horizontal="left" vertical="center" indent="1"/>
    </xf>
    <xf numFmtId="0" fontId="53" fillId="0" borderId="0" applyAlignment="1" pivotButton="0" quotePrefix="0" xfId="0">
      <alignment horizontal="center" vertical="center" wrapText="1"/>
    </xf>
    <xf numFmtId="0" fontId="62" fillId="0" borderId="63" applyAlignment="1" applyProtection="1" pivotButton="0" quotePrefix="0" xfId="0">
      <alignment horizontal="center" vertical="center"/>
      <protection locked="0" hidden="0"/>
    </xf>
    <xf numFmtId="0" fontId="62" fillId="0" borderId="64"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7" fillId="10" borderId="69" applyAlignment="1" pivotButton="0" quotePrefix="0" xfId="0">
      <alignment horizontal="left" vertical="center" wrapText="1" indent="1"/>
    </xf>
    <xf numFmtId="0" fontId="63" fillId="10" borderId="70" applyAlignment="1" pivotButton="0" quotePrefix="0" xfId="0">
      <alignment horizontal="center" vertical="center"/>
    </xf>
    <xf numFmtId="0" fontId="63" fillId="10" borderId="71" applyAlignment="1" pivotButton="0" quotePrefix="0" xfId="0">
      <alignment horizontal="center" vertical="center"/>
    </xf>
    <xf numFmtId="0" fontId="32" fillId="0" borderId="68" applyAlignment="1" applyProtection="1" pivotButton="0" quotePrefix="0" xfId="0">
      <alignment horizontal="left" vertical="center" wrapText="1" indent="1"/>
      <protection locked="0" hidden="0"/>
    </xf>
    <xf numFmtId="0" fontId="44" fillId="0" borderId="0" applyAlignment="1" pivotButton="0" quotePrefix="0" xfId="0">
      <alignment horizontal="general" vertical="center"/>
    </xf>
    <xf numFmtId="0" fontId="64" fillId="0" borderId="0" applyAlignment="1" pivotButton="0" quotePrefix="0" xfId="0">
      <alignment horizontal="center" vertical="center"/>
    </xf>
    <xf numFmtId="0" fontId="64" fillId="0" borderId="0" applyAlignment="1" pivotButton="0" quotePrefix="0" xfId="0">
      <alignment horizontal="general" vertical="center"/>
    </xf>
    <xf numFmtId="0" fontId="65" fillId="0" borderId="0" applyAlignment="1" pivotButton="0" quotePrefix="0" xfId="0">
      <alignment horizontal="left" vertical="center" wrapText="1"/>
    </xf>
    <xf numFmtId="0" fontId="32" fillId="0" borderId="44" applyAlignment="1" pivotButton="0" quotePrefix="0" xfId="0">
      <alignment horizontal="left" vertical="center"/>
    </xf>
    <xf numFmtId="0" fontId="64" fillId="0" borderId="0" applyAlignment="1" applyProtection="1" pivotButton="0" quotePrefix="0" xfId="0">
      <alignment horizontal="general" vertical="center"/>
      <protection locked="0" hidden="0"/>
    </xf>
    <xf numFmtId="0" fontId="32" fillId="0" borderId="72" applyAlignment="1" pivotButton="0" quotePrefix="0" xfId="0">
      <alignment horizontal="left" vertical="center"/>
    </xf>
    <xf numFmtId="0" fontId="32" fillId="0" borderId="72" applyAlignment="1" pivotButton="0" quotePrefix="0" xfId="0">
      <alignment horizontal="center" vertical="center"/>
    </xf>
    <xf numFmtId="0" fontId="32" fillId="0" borderId="0" applyAlignment="1" pivotButton="0" quotePrefix="0" xfId="0">
      <alignment horizontal="center" vertical="center"/>
    </xf>
    <xf numFmtId="0" fontId="32" fillId="0" borderId="0" applyAlignment="1" pivotButton="0" quotePrefix="0" xfId="0">
      <alignment horizontal="general" vertical="center"/>
    </xf>
    <xf numFmtId="0" fontId="66" fillId="0" borderId="0" applyAlignment="1" pivotButton="0" quotePrefix="0" xfId="0">
      <alignment horizontal="general" vertical="center" wrapText="1"/>
    </xf>
    <xf numFmtId="0" fontId="67" fillId="0" borderId="0" applyAlignment="1" pivotButton="0" quotePrefix="0" xfId="0">
      <alignment horizontal="center" vertical="bottom" wrapText="1"/>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5" fillId="3" borderId="0" applyAlignment="1" pivotButton="0" quotePrefix="0" xfId="26">
      <alignment horizontal="general" vertical="bottom"/>
    </xf>
    <xf numFmtId="0" fontId="32" fillId="3" borderId="0" applyAlignment="1" pivotButton="0" quotePrefix="0" xfId="26">
      <alignment horizontal="general" vertical="bottom"/>
    </xf>
    <xf numFmtId="0" fontId="0" fillId="3" borderId="0" applyAlignment="1" pivotButton="0" quotePrefix="0" xfId="0">
      <alignment horizontal="general" vertical="bottom"/>
    </xf>
    <xf numFmtId="168" fontId="35" fillId="3" borderId="0" applyAlignment="1" pivotButton="0" quotePrefix="0" xfId="26">
      <alignment horizontal="general" vertical="bottom"/>
    </xf>
    <xf numFmtId="0" fontId="44" fillId="3" borderId="0" applyAlignment="1" pivotButton="0" quotePrefix="0" xfId="26">
      <alignment horizontal="general" vertical="bottom"/>
    </xf>
    <xf numFmtId="0" fontId="68" fillId="3" borderId="0" applyAlignment="1" pivotButton="0" quotePrefix="0" xfId="0">
      <alignment horizontal="general" vertical="bottom"/>
    </xf>
    <xf numFmtId="0" fontId="69" fillId="3" borderId="0" applyAlignment="1" pivotButton="0" quotePrefix="0" xfId="0">
      <alignment horizontal="general" vertical="bottom"/>
    </xf>
    <xf numFmtId="0" fontId="38" fillId="3" borderId="0" applyAlignment="1" pivotButton="0" quotePrefix="0" xfId="26">
      <alignment horizontal="right" vertical="bottom"/>
    </xf>
    <xf numFmtId="0" fontId="38" fillId="3" borderId="0" applyAlignment="1" pivotButton="0" quotePrefix="0" xfId="26">
      <alignment horizontal="general" vertical="bottom"/>
    </xf>
    <xf numFmtId="0" fontId="38" fillId="3" borderId="0" applyAlignment="1" pivotButton="0" quotePrefix="0" xfId="26">
      <alignment horizontal="left" vertical="bottom"/>
    </xf>
    <xf numFmtId="0" fontId="70" fillId="3" borderId="0" applyAlignment="1" pivotButton="0" quotePrefix="0" xfId="26">
      <alignment horizontal="general" vertical="bottom"/>
    </xf>
    <xf numFmtId="0" fontId="71" fillId="3" borderId="0" applyAlignment="1" pivotButton="0" quotePrefix="0" xfId="26">
      <alignment horizontal="general" vertical="bottom"/>
    </xf>
    <xf numFmtId="0" fontId="72" fillId="3" borderId="0" applyAlignment="1" pivotButton="0" quotePrefix="0" xfId="26">
      <alignment horizontal="general" vertical="bottom"/>
    </xf>
    <xf numFmtId="0" fontId="73" fillId="3" borderId="0" applyAlignment="1" pivotButton="0" quotePrefix="0" xfId="26">
      <alignment horizontal="general" vertical="bottom"/>
    </xf>
    <xf numFmtId="12" fontId="44" fillId="3" borderId="0" applyAlignment="1" pivotButton="0" quotePrefix="0" xfId="26">
      <alignment horizontal="center" vertical="bottom"/>
    </xf>
    <xf numFmtId="2" fontId="43" fillId="3" borderId="0" applyAlignment="1" pivotButton="0" quotePrefix="0" xfId="26">
      <alignment horizontal="center" vertical="bottom"/>
    </xf>
    <xf numFmtId="49" fontId="43" fillId="3" borderId="0" applyAlignment="1" pivotButton="0" quotePrefix="0" xfId="26">
      <alignment horizontal="center" vertical="bottom"/>
    </xf>
    <xf numFmtId="0" fontId="43" fillId="3" borderId="0" applyAlignment="1" pivotButton="0" quotePrefix="0" xfId="26">
      <alignment horizontal="center" vertical="bottom"/>
    </xf>
    <xf numFmtId="0" fontId="74" fillId="3" borderId="0" applyAlignment="1" pivotButton="0" quotePrefix="0" xfId="0">
      <alignment horizontal="left" vertical="bottom"/>
    </xf>
    <xf numFmtId="0" fontId="74" fillId="3" borderId="0" applyAlignment="1" pivotButton="0" quotePrefix="0" xfId="0">
      <alignment horizontal="general" vertical="bottom"/>
    </xf>
    <xf numFmtId="49" fontId="75" fillId="3" borderId="0" applyAlignment="1" pivotButton="0" quotePrefix="0" xfId="26">
      <alignment horizontal="left" vertical="bottom"/>
    </xf>
    <xf numFmtId="0" fontId="59" fillId="3" borderId="36" applyAlignment="1" pivotButton="0" quotePrefix="0" xfId="23">
      <alignment horizontal="general" vertical="bottom"/>
    </xf>
    <xf numFmtId="0" fontId="75" fillId="3" borderId="0" applyAlignment="1" pivotButton="0" quotePrefix="0" xfId="23">
      <alignment horizontal="left" vertical="bottom"/>
    </xf>
    <xf numFmtId="0" fontId="22" fillId="3" borderId="0" applyAlignment="1" pivotButton="0" quotePrefix="0" xfId="23">
      <alignment horizontal="general" vertical="bottom"/>
    </xf>
    <xf numFmtId="0" fontId="76" fillId="3" borderId="1" applyAlignment="1" pivotButton="0" quotePrefix="0" xfId="0">
      <alignment horizontal="left" vertical="bottom"/>
    </xf>
    <xf numFmtId="0" fontId="76" fillId="3" borderId="1" applyAlignment="1" pivotButton="0" quotePrefix="0" xfId="0">
      <alignment horizontal="center" vertical="bottom" wrapText="1"/>
    </xf>
    <xf numFmtId="0" fontId="44" fillId="3" borderId="0" applyAlignment="1" pivotButton="0" quotePrefix="0" xfId="23">
      <alignment horizontal="general" vertical="bottom"/>
    </xf>
    <xf numFmtId="0" fontId="77" fillId="3" borderId="30" applyAlignment="1" pivotButton="0" quotePrefix="0" xfId="27">
      <alignment horizontal="left" vertical="bottom"/>
    </xf>
    <xf numFmtId="0" fontId="77" fillId="3" borderId="0" applyAlignment="1" pivotButton="0" quotePrefix="0" xfId="27">
      <alignment horizontal="left" vertical="bottom" wrapText="1"/>
    </xf>
    <xf numFmtId="0" fontId="78" fillId="3" borderId="0" applyAlignment="1" pivotButton="0" quotePrefix="0" xfId="27">
      <alignment horizontal="general" vertical="bottom"/>
    </xf>
    <xf numFmtId="0" fontId="77" fillId="3" borderId="0" applyAlignment="1" pivotButton="0" quotePrefix="0" xfId="27">
      <alignment horizontal="general" vertical="bottom" wrapText="1"/>
    </xf>
    <xf numFmtId="0" fontId="77" fillId="3" borderId="0" applyAlignment="1" pivotButton="0" quotePrefix="0" xfId="27">
      <alignment horizontal="left" vertical="bottom"/>
    </xf>
    <xf numFmtId="0" fontId="79" fillId="3" borderId="0" applyAlignment="1" pivotButton="0" quotePrefix="0" xfId="27">
      <alignment horizontal="left" vertical="bottom"/>
    </xf>
    <xf numFmtId="0" fontId="79" fillId="3" borderId="0" applyAlignment="1" pivotButton="0" quotePrefix="0" xfId="23">
      <alignment horizontal="left" vertical="bottom"/>
    </xf>
    <xf numFmtId="0" fontId="79" fillId="4" borderId="0" applyAlignment="1" pivotButton="0" quotePrefix="0" xfId="26">
      <alignment horizontal="left" vertical="bottom"/>
    </xf>
    <xf numFmtId="1" fontId="80" fillId="4" borderId="0" applyAlignment="1" pivotButton="0" quotePrefix="0" xfId="26">
      <alignment horizontal="general" vertical="bottom"/>
    </xf>
    <xf numFmtId="0" fontId="80" fillId="4" borderId="0" applyAlignment="1" pivotButton="0" quotePrefix="0" xfId="26">
      <alignment horizontal="general" vertical="bottom"/>
    </xf>
    <xf numFmtId="0" fontId="81" fillId="4" borderId="0" applyAlignment="1" pivotButton="0" quotePrefix="0" xfId="0">
      <alignment horizontal="general" vertical="bottom"/>
    </xf>
    <xf numFmtId="0" fontId="68" fillId="4" borderId="0" applyAlignment="1" pivotButton="0" quotePrefix="0" xfId="0">
      <alignment horizontal="general" vertical="bottom"/>
    </xf>
    <xf numFmtId="0" fontId="0" fillId="4" borderId="0" applyAlignment="1" pivotButton="0" quotePrefix="0" xfId="0">
      <alignment horizontal="general" vertical="bottom"/>
    </xf>
    <xf numFmtId="0" fontId="82" fillId="4" borderId="0" applyAlignment="1" pivotButton="0" quotePrefix="0" xfId="26">
      <alignment horizontal="left" vertical="bottom"/>
    </xf>
    <xf numFmtId="1" fontId="83" fillId="4" borderId="0" applyAlignment="1" pivotButton="0" quotePrefix="0" xfId="26">
      <alignment horizontal="general" vertical="bottom"/>
    </xf>
    <xf numFmtId="0" fontId="83" fillId="4" borderId="0" applyAlignment="1" pivotButton="0" quotePrefix="0" xfId="26">
      <alignment horizontal="general" vertical="bottom"/>
    </xf>
    <xf numFmtId="0" fontId="82" fillId="4" borderId="6" applyAlignment="1" pivotButton="0" quotePrefix="0" xfId="26">
      <alignment horizontal="center" vertical="bottom"/>
    </xf>
    <xf numFmtId="0" fontId="82" fillId="4" borderId="0" applyAlignment="1" pivotButton="0" quotePrefix="0" xfId="26">
      <alignment horizontal="general" vertical="bottom"/>
    </xf>
    <xf numFmtId="0" fontId="83" fillId="4" borderId="0" applyAlignment="1" pivotButton="0" quotePrefix="0" xfId="0">
      <alignment horizontal="general" vertical="bottom"/>
    </xf>
    <xf numFmtId="0" fontId="84" fillId="4" borderId="0" applyAlignment="1" pivotButton="0" quotePrefix="0" xfId="0">
      <alignment horizontal="general" vertical="bottom"/>
    </xf>
    <xf numFmtId="0" fontId="79" fillId="4" borderId="0" applyAlignment="1" pivotButton="0" quotePrefix="0" xfId="26">
      <alignment horizontal="center" vertical="bottom"/>
    </xf>
    <xf numFmtId="0" fontId="79" fillId="4" borderId="0" applyAlignment="1" pivotButton="0" quotePrefix="0" xfId="26">
      <alignment horizontal="general" vertical="bottom"/>
    </xf>
    <xf numFmtId="1" fontId="79" fillId="4" borderId="6" applyAlignment="1" pivotButton="0" quotePrefix="0" xfId="26">
      <alignment horizontal="center" vertical="bottom"/>
    </xf>
    <xf numFmtId="49" fontId="79" fillId="4" borderId="6" applyAlignment="1" pivotButton="0" quotePrefix="0" xfId="26">
      <alignment horizontal="center" vertical="bottom"/>
    </xf>
    <xf numFmtId="174" fontId="85" fillId="4" borderId="0" applyAlignment="1" pivotButton="0" quotePrefix="0" xfId="26">
      <alignment horizontal="right" vertical="center"/>
    </xf>
    <xf numFmtId="0" fontId="86" fillId="4" borderId="0" applyAlignment="1" pivotButton="0" quotePrefix="0" xfId="26">
      <alignment horizontal="center" vertical="bottom"/>
    </xf>
    <xf numFmtId="1" fontId="79" fillId="4" borderId="0" applyAlignment="1" pivotButton="0" quotePrefix="0" xfId="26">
      <alignment horizontal="center" vertical="bottom"/>
    </xf>
    <xf numFmtId="49" fontId="79" fillId="4" borderId="0" applyAlignment="1" pivotButton="0" quotePrefix="0" xfId="26">
      <alignment horizontal="center" vertical="bottom"/>
    </xf>
    <xf numFmtId="174" fontId="85" fillId="4" borderId="0" applyAlignment="1" pivotButton="0" quotePrefix="0" xfId="26">
      <alignment horizontal="right" vertical="bottom"/>
    </xf>
    <xf numFmtId="0" fontId="79" fillId="4" borderId="35" applyAlignment="1" pivotButton="0" quotePrefix="0" xfId="26">
      <alignment horizontal="center" vertical="bottom"/>
    </xf>
    <xf numFmtId="0" fontId="87" fillId="4" borderId="4" applyAlignment="1" pivotButton="0" quotePrefix="0" xfId="0">
      <alignment horizontal="center" vertical="bottom" wrapText="1"/>
    </xf>
    <xf numFmtId="0" fontId="79" fillId="4" borderId="6" applyAlignment="1" pivotButton="0" quotePrefix="0" xfId="26">
      <alignment horizontal="center" vertical="bottom"/>
    </xf>
    <xf numFmtId="0" fontId="79" fillId="4" borderId="0" applyAlignment="1" pivotButton="0" quotePrefix="0" xfId="26">
      <alignment horizontal="center" vertical="bottom"/>
    </xf>
    <xf numFmtId="0" fontId="87" fillId="4" borderId="36" applyAlignment="1" pivotButton="0" quotePrefix="0" xfId="0">
      <alignment horizontal="general" vertical="bottom"/>
    </xf>
    <xf numFmtId="0" fontId="87" fillId="4" borderId="37" applyAlignment="1" pivotButton="0" quotePrefix="0" xfId="0">
      <alignment horizontal="general" vertical="bottom"/>
    </xf>
    <xf numFmtId="0" fontId="87" fillId="4" borderId="0" applyAlignment="1" pivotButton="0" quotePrefix="0" xfId="0">
      <alignment horizontal="left" vertical="bottom"/>
    </xf>
    <xf numFmtId="0" fontId="88" fillId="4" borderId="0" applyAlignment="1" pivotButton="0" quotePrefix="0" xfId="26">
      <alignment horizontal="general" vertical="center" wrapText="1"/>
    </xf>
    <xf numFmtId="1" fontId="21" fillId="4" borderId="0" applyAlignment="1" pivotButton="0" quotePrefix="0" xfId="0">
      <alignment horizontal="general" vertical="bottom"/>
    </xf>
    <xf numFmtId="0" fontId="79" fillId="4" borderId="32" applyAlignment="1" pivotButton="0" quotePrefix="0" xfId="26">
      <alignment horizontal="center" vertical="bottom" wrapText="1"/>
    </xf>
    <xf numFmtId="0" fontId="79" fillId="4" borderId="0" applyAlignment="1" pivotButton="0" quotePrefix="0" xfId="26">
      <alignment horizontal="general" vertical="bottom" wrapText="1"/>
    </xf>
    <xf numFmtId="0" fontId="81" fillId="4" borderId="0" applyAlignment="1" pivotButton="0" quotePrefix="0" xfId="0">
      <alignment horizontal="general" vertical="center"/>
    </xf>
    <xf numFmtId="0" fontId="88" fillId="4" borderId="0" applyAlignment="1" pivotButton="0" quotePrefix="0" xfId="26">
      <alignment horizontal="general" vertical="bottom"/>
    </xf>
    <xf numFmtId="0" fontId="88" fillId="4" borderId="0" applyAlignment="1" pivotButton="0" quotePrefix="0" xfId="26">
      <alignment horizontal="left" vertical="center" wrapText="1"/>
    </xf>
    <xf numFmtId="0" fontId="88" fillId="4" borderId="0" applyAlignment="1" pivotButton="0" quotePrefix="0" xfId="26">
      <alignment horizontal="left" vertical="bottom"/>
    </xf>
    <xf numFmtId="0" fontId="87" fillId="4" borderId="0" applyAlignment="1" pivotButton="0" quotePrefix="0" xfId="0">
      <alignment horizontal="left" vertical="center"/>
    </xf>
    <xf numFmtId="0" fontId="87" fillId="4" borderId="0" applyAlignment="1" pivotButton="0" quotePrefix="0" xfId="0">
      <alignment horizontal="general" vertical="center"/>
    </xf>
    <xf numFmtId="0" fontId="88" fillId="4" borderId="0" applyAlignment="1" pivotButton="0" quotePrefix="0" xfId="26">
      <alignment horizontal="left" vertical="center"/>
    </xf>
    <xf numFmtId="0" fontId="79" fillId="4" borderId="0" applyAlignment="1" pivotButton="0" quotePrefix="0" xfId="26">
      <alignment horizontal="general" vertical="center"/>
    </xf>
    <xf numFmtId="0" fontId="48" fillId="4" borderId="0" applyAlignment="1" pivotButton="0" quotePrefix="0" xfId="0">
      <alignment horizontal="general" vertical="center"/>
    </xf>
    <xf numFmtId="0" fontId="79" fillId="4" borderId="6" applyAlignment="1" pivotButton="0" quotePrefix="0" xfId="26">
      <alignment horizontal="center" vertical="center" shrinkToFit="1"/>
    </xf>
    <xf numFmtId="0" fontId="79" fillId="4" borderId="0" applyAlignment="1" pivotButton="0" quotePrefix="0" xfId="26">
      <alignment horizontal="left" vertical="bottom" wrapText="1"/>
    </xf>
    <xf numFmtId="0" fontId="79" fillId="4" borderId="0" applyAlignment="1" pivotButton="0" quotePrefix="0" xfId="23">
      <alignment horizontal="left" vertical="center"/>
    </xf>
    <xf numFmtId="1" fontId="79" fillId="4" borderId="0" applyAlignment="1" pivotButton="0" quotePrefix="0" xfId="23">
      <alignment horizontal="general" vertical="center"/>
    </xf>
    <xf numFmtId="0" fontId="88" fillId="4" borderId="0" applyAlignment="1" pivotButton="0" quotePrefix="0" xfId="26">
      <alignment horizontal="left" vertical="center"/>
    </xf>
    <xf numFmtId="0" fontId="89" fillId="4" borderId="0" applyAlignment="1" pivotButton="0" quotePrefix="0" xfId="0">
      <alignment horizontal="general" vertical="center"/>
    </xf>
    <xf numFmtId="0" fontId="79" fillId="4" borderId="0" applyAlignment="1" pivotButton="0" quotePrefix="0" xfId="23">
      <alignment horizontal="general" vertical="center"/>
    </xf>
    <xf numFmtId="0" fontId="43" fillId="4" borderId="0" applyAlignment="1" pivotButton="0" quotePrefix="0" xfId="23">
      <alignment horizontal="general" vertical="center"/>
    </xf>
    <xf numFmtId="0" fontId="79" fillId="4" borderId="0" applyAlignment="1" pivotButton="0" quotePrefix="0" xfId="26">
      <alignment horizontal="left" vertical="center"/>
    </xf>
    <xf numFmtId="1" fontId="80" fillId="4" borderId="0" applyAlignment="1" pivotButton="0" quotePrefix="0" xfId="26">
      <alignment horizontal="general" vertical="center"/>
    </xf>
    <xf numFmtId="0" fontId="80" fillId="4" borderId="0" applyAlignment="1" pivotButton="0" quotePrefix="0" xfId="26">
      <alignment horizontal="general" vertical="center"/>
    </xf>
    <xf numFmtId="1" fontId="79" fillId="4" borderId="6" applyAlignment="1" pivotButton="0" quotePrefix="0" xfId="26">
      <alignment horizontal="center" vertical="center"/>
    </xf>
    <xf numFmtId="0" fontId="0" fillId="4" borderId="0" applyAlignment="1" pivotButton="0" quotePrefix="0" xfId="0">
      <alignment horizontal="general" vertical="center"/>
    </xf>
    <xf numFmtId="0" fontId="79" fillId="4" borderId="0" applyAlignment="1" pivotButton="0" quotePrefix="0" xfId="26">
      <alignment horizontal="left" vertical="center" wrapText="1"/>
    </xf>
    <xf numFmtId="1" fontId="79" fillId="4" borderId="0" applyAlignment="1" pivotButton="0" quotePrefix="0" xfId="26">
      <alignment horizontal="center" vertical="center"/>
    </xf>
    <xf numFmtId="174" fontId="79" fillId="4" borderId="0" applyAlignment="1" pivotButton="0" quotePrefix="0" xfId="26">
      <alignment horizontal="right" vertical="center"/>
    </xf>
    <xf numFmtId="0" fontId="79" fillId="4" borderId="0" applyAlignment="1" pivotButton="0" quotePrefix="0" xfId="26">
      <alignment horizontal="center" vertical="bottom" wrapText="1"/>
    </xf>
    <xf numFmtId="0" fontId="79" fillId="4" borderId="36" applyAlignment="1" pivotButton="0" quotePrefix="0" xfId="23">
      <alignment horizontal="left" vertical="center"/>
    </xf>
    <xf numFmtId="0" fontId="79" fillId="4" borderId="6" applyAlignment="1" pivotButton="0" quotePrefix="0" xfId="26">
      <alignment horizontal="center" vertical="center"/>
    </xf>
    <xf numFmtId="0" fontId="79" fillId="2" borderId="36" applyAlignment="1" pivotButton="0" quotePrefix="0" xfId="23">
      <alignment horizontal="left" vertical="center"/>
    </xf>
    <xf numFmtId="0" fontId="80" fillId="2" borderId="0" applyAlignment="1" pivotButton="0" quotePrefix="0" xfId="26">
      <alignment horizontal="general" vertical="center"/>
    </xf>
    <xf numFmtId="0" fontId="90" fillId="2" borderId="0" applyAlignment="1" pivotButton="0" quotePrefix="0" xfId="26">
      <alignment horizontal="center" vertical="center"/>
    </xf>
    <xf numFmtId="0" fontId="79" fillId="0" borderId="36" applyAlignment="1" pivotButton="0" quotePrefix="0" xfId="23">
      <alignment horizontal="left" vertical="center"/>
    </xf>
    <xf numFmtId="0" fontId="80" fillId="0" borderId="0" applyAlignment="1" pivotButton="0" quotePrefix="0" xfId="26">
      <alignment horizontal="general" vertical="center"/>
    </xf>
    <xf numFmtId="0" fontId="79" fillId="0" borderId="0" applyAlignment="1" pivotButton="0" quotePrefix="0" xfId="26">
      <alignment horizontal="left" vertical="center" wrapText="1"/>
    </xf>
    <xf numFmtId="0" fontId="87" fillId="0" borderId="0" applyAlignment="1" pivotButton="0" quotePrefix="0" xfId="0">
      <alignment horizontal="left" vertical="center"/>
    </xf>
    <xf numFmtId="0" fontId="79" fillId="0" borderId="0" applyAlignment="1" pivotButton="0" quotePrefix="0" xfId="26">
      <alignment horizontal="general" vertical="center"/>
    </xf>
    <xf numFmtId="0" fontId="79" fillId="0" borderId="0" applyAlignment="1" pivotButton="0" quotePrefix="0" xfId="26">
      <alignment horizontal="left" vertical="center"/>
    </xf>
    <xf numFmtId="0" fontId="48" fillId="0" borderId="0" applyAlignment="1" pivotButton="0" quotePrefix="0" xfId="0">
      <alignment horizontal="general" vertical="center"/>
    </xf>
    <xf numFmtId="0" fontId="79" fillId="0" borderId="0" applyAlignment="1" pivotButton="0" quotePrefix="0" xfId="23">
      <alignment horizontal="left" vertical="center"/>
    </xf>
    <xf numFmtId="0" fontId="79" fillId="0" borderId="0" applyAlignment="1" pivotButton="0" quotePrefix="0" xfId="26">
      <alignment horizontal="general" vertical="bottom"/>
    </xf>
    <xf numFmtId="0" fontId="79" fillId="0" borderId="0" applyAlignment="1" pivotButton="0" quotePrefix="0" xfId="26">
      <alignment horizontal="left" vertical="bottom"/>
    </xf>
    <xf numFmtId="0" fontId="48" fillId="0" borderId="0" applyAlignment="1" pivotButton="0" quotePrefix="0" xfId="0">
      <alignment horizontal="general" vertical="bottom"/>
    </xf>
    <xf numFmtId="0" fontId="87" fillId="0" borderId="0" applyAlignment="1" pivotButton="0" quotePrefix="0" xfId="0">
      <alignment horizontal="left" vertical="bottom"/>
    </xf>
    <xf numFmtId="0" fontId="79" fillId="2" borderId="0" applyAlignment="1" pivotButton="0" quotePrefix="0" xfId="26">
      <alignment horizontal="general" vertical="bottom"/>
    </xf>
    <xf numFmtId="0" fontId="80" fillId="0" borderId="0" applyAlignment="1" pivotButton="0" quotePrefix="0" xfId="26">
      <alignment horizontal="general" vertical="bottom"/>
    </xf>
    <xf numFmtId="0" fontId="80" fillId="0" borderId="0" applyAlignment="1" pivotButton="0" quotePrefix="0" xfId="26">
      <alignment horizontal="left" vertical="bottom"/>
    </xf>
    <xf numFmtId="0" fontId="91" fillId="0" borderId="0" applyAlignment="1" pivotButton="0" quotePrefix="0" xfId="0">
      <alignment horizontal="general" vertical="center"/>
    </xf>
    <xf numFmtId="0" fontId="81" fillId="0" borderId="0" applyAlignment="1" pivotButton="0" quotePrefix="0" xfId="0">
      <alignment horizontal="general" vertical="center"/>
    </xf>
    <xf numFmtId="0" fontId="87" fillId="0" borderId="0" applyAlignment="1" pivotButton="0" quotePrefix="0" xfId="0">
      <alignment horizontal="general" vertical="center"/>
    </xf>
    <xf numFmtId="0" fontId="87" fillId="0" borderId="0" applyAlignment="1" pivotButton="0" quotePrefix="0" xfId="0">
      <alignment horizontal="left" vertical="center" wrapText="1"/>
    </xf>
    <xf numFmtId="0" fontId="80" fillId="2" borderId="0" applyAlignment="1" pivotButton="0" quotePrefix="0" xfId="26">
      <alignment horizontal="left" vertical="bottom"/>
    </xf>
    <xf numFmtId="0" fontId="80" fillId="2" borderId="0" applyAlignment="1" pivotButton="0" quotePrefix="0" xfId="26">
      <alignment horizontal="general" vertical="bottom"/>
    </xf>
    <xf numFmtId="0" fontId="80" fillId="0" borderId="0" applyAlignment="1" pivotButton="0" quotePrefix="0" xfId="23">
      <alignment horizontal="general" vertical="bottom"/>
    </xf>
    <xf numFmtId="0" fontId="44" fillId="0" borderId="0" applyAlignment="1" pivotButton="0" quotePrefix="0" xfId="23">
      <alignment horizontal="general" vertical="bottom"/>
    </xf>
    <xf numFmtId="0" fontId="79" fillId="2" borderId="0" applyAlignment="1" pivotButton="0" quotePrefix="0" xfId="26">
      <alignment horizontal="left" vertical="bottom"/>
    </xf>
    <xf numFmtId="0" fontId="44" fillId="2" borderId="0" applyAlignment="1" pivotButton="0" quotePrefix="0" xfId="26">
      <alignment horizontal="left" vertical="bottom"/>
    </xf>
    <xf numFmtId="0" fontId="44" fillId="2" borderId="0" applyAlignment="1" pivotButton="0" quotePrefix="0" xfId="26">
      <alignment horizontal="general" vertical="bottom"/>
    </xf>
    <xf numFmtId="0" fontId="92" fillId="2" borderId="0" applyAlignment="1" pivotButton="0" quotePrefix="0" xfId="26">
      <alignment horizontal="general" vertical="center"/>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93" fillId="0" borderId="28" applyAlignment="1" applyProtection="1" pivotButton="0" quotePrefix="0" xfId="24">
      <alignment horizontal="center" vertical="center"/>
      <protection locked="1" hidden="1"/>
    </xf>
    <xf numFmtId="0" fontId="93" fillId="0" borderId="6" applyAlignment="1" applyProtection="1" pivotButton="0" quotePrefix="0" xfId="24">
      <alignment horizontal="center" vertical="center"/>
      <protection locked="1" hidden="1"/>
    </xf>
    <xf numFmtId="0" fontId="94" fillId="0" borderId="6" applyAlignment="1" applyProtection="1" pivotButton="0" quotePrefix="0" xfId="24">
      <alignment horizontal="center" vertical="center"/>
      <protection locked="1" hidden="1"/>
    </xf>
    <xf numFmtId="0" fontId="95" fillId="0" borderId="6" applyAlignment="1" applyProtection="1" pivotButton="0" quotePrefix="0" xfId="24">
      <alignment horizontal="center" vertical="center"/>
      <protection locked="1" hidden="1"/>
    </xf>
    <xf numFmtId="0" fontId="96" fillId="0" borderId="6" applyAlignment="1" applyProtection="1" pivotButton="0" quotePrefix="0" xfId="24">
      <alignment horizontal="center" vertical="center"/>
      <protection locked="1" hidden="1"/>
    </xf>
    <xf numFmtId="168" fontId="96" fillId="0" borderId="6" applyAlignment="1" applyProtection="1" pivotButton="0" quotePrefix="0" xfId="24">
      <alignment horizontal="center" vertical="center"/>
      <protection locked="1" hidden="1"/>
    </xf>
    <xf numFmtId="0" fontId="48" fillId="5" borderId="6" applyAlignment="1" applyProtection="1" pivotButton="0" quotePrefix="0" xfId="24">
      <alignment horizontal="general" vertical="center"/>
      <protection locked="1" hidden="1"/>
    </xf>
    <xf numFmtId="0" fontId="35"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9" fillId="2" borderId="28" applyAlignment="1" applyProtection="1" pivotButton="0" quotePrefix="0" xfId="24">
      <alignment horizontal="center" vertical="center"/>
      <protection locked="1" hidden="1"/>
    </xf>
    <xf numFmtId="0" fontId="59" fillId="2" borderId="45" applyAlignment="1" applyProtection="1" pivotButton="0" quotePrefix="0" xfId="24">
      <alignment horizontal="center" vertical="center"/>
      <protection locked="1" hidden="1"/>
    </xf>
    <xf numFmtId="0" fontId="75" fillId="2" borderId="28" applyAlignment="1" applyProtection="1" pivotButton="0" quotePrefix="0" xfId="24">
      <alignment horizontal="center" vertical="center"/>
      <protection locked="1" hidden="1"/>
    </xf>
    <xf numFmtId="166" fontId="75" fillId="2" borderId="73" applyAlignment="1" applyProtection="1" pivotButton="0" quotePrefix="0" xfId="24">
      <alignment horizontal="center" vertical="center"/>
      <protection locked="1" hidden="1"/>
    </xf>
    <xf numFmtId="0" fontId="75" fillId="2" borderId="73" applyAlignment="1" applyProtection="1" pivotButton="0" quotePrefix="0" xfId="24">
      <alignment horizontal="general" vertical="center"/>
      <protection locked="1" hidden="1"/>
    </xf>
    <xf numFmtId="166" fontId="75" fillId="2" borderId="45" applyAlignment="1" applyProtection="1" pivotButton="0" quotePrefix="0" xfId="24">
      <alignment horizontal="center" vertical="center"/>
      <protection locked="1" hidden="1"/>
    </xf>
    <xf numFmtId="0" fontId="43" fillId="2" borderId="6" applyAlignment="1" applyProtection="1" pivotButton="0" quotePrefix="0" xfId="24">
      <alignment horizontal="center" vertical="center"/>
      <protection locked="1" hidden="1"/>
    </xf>
    <xf numFmtId="175" fontId="97" fillId="2" borderId="6" applyAlignment="1" applyProtection="1" pivotButton="0" quotePrefix="0" xfId="24">
      <alignment horizontal="center" vertical="center"/>
      <protection locked="1" hidden="1"/>
    </xf>
    <xf numFmtId="0" fontId="31" fillId="2" borderId="6" applyAlignment="1" applyProtection="1" pivotButton="0" quotePrefix="0" xfId="24">
      <alignment horizontal="center" vertical="center" wrapText="1"/>
      <protection locked="1" hidden="1"/>
    </xf>
    <xf numFmtId="0" fontId="0" fillId="0" borderId="28" applyAlignment="1" pivotButton="0" quotePrefix="0" xfId="24">
      <alignment horizontal="general" vertical="bottom"/>
    </xf>
    <xf numFmtId="0" fontId="0" fillId="0" borderId="45" applyAlignment="1" pivotButton="0" quotePrefix="0" xfId="24">
      <alignment horizontal="general" vertical="bottom"/>
    </xf>
    <xf numFmtId="175" fontId="98" fillId="5" borderId="6" applyAlignment="1" applyProtection="1" pivotButton="0" quotePrefix="0" xfId="24">
      <alignment horizontal="center" vertical="center"/>
      <protection locked="1" hidden="1"/>
    </xf>
    <xf numFmtId="0" fontId="31" fillId="5" borderId="6" applyAlignment="1" applyProtection="1" pivotButton="0" quotePrefix="0" xfId="24">
      <alignment horizontal="center" vertical="center" wrapText="1"/>
      <protection locked="1" hidden="1"/>
    </xf>
    <xf numFmtId="49" fontId="48" fillId="0" borderId="0" applyAlignment="1" applyProtection="1" pivotButton="0" quotePrefix="0" xfId="24">
      <alignment horizontal="general" vertical="bottom"/>
      <protection locked="1" hidden="1"/>
    </xf>
    <xf numFmtId="0" fontId="48" fillId="5" borderId="6" applyAlignment="1" applyProtection="1" pivotButton="0" quotePrefix="0" xfId="24">
      <alignment horizontal="center" vertical="center"/>
      <protection locked="1" hidden="1"/>
    </xf>
    <xf numFmtId="175" fontId="99" fillId="8" borderId="6" applyAlignment="1" applyProtection="1" pivotButton="0" quotePrefix="0" xfId="24">
      <alignment horizontal="center" vertical="center" textRotation="90"/>
      <protection locked="1" hidden="1"/>
    </xf>
    <xf numFmtId="0" fontId="48"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50" fillId="0" borderId="6" applyAlignment="1" applyProtection="1" pivotButton="0" quotePrefix="0" xfId="24">
      <alignment horizontal="center" vertical="center"/>
      <protection locked="1" hidden="1"/>
    </xf>
    <xf numFmtId="0" fontId="48"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100" fillId="0" borderId="6" applyAlignment="1" applyProtection="1" pivotButton="0" quotePrefix="0" xfId="24">
      <alignment horizontal="center" vertical="center"/>
      <protection locked="0" hidden="0"/>
    </xf>
    <xf numFmtId="0" fontId="48" fillId="5" borderId="6" applyAlignment="1" applyProtection="1" pivotButton="0" quotePrefix="0" xfId="24">
      <alignment horizontal="general" vertical="center"/>
      <protection locked="0" hidden="0"/>
    </xf>
    <xf numFmtId="0" fontId="50"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48" fillId="0" borderId="15" applyAlignment="1" applyProtection="1" pivotButton="0" quotePrefix="0" xfId="24">
      <alignment horizontal="center" vertical="bottom"/>
      <protection locked="0" hidden="0"/>
    </xf>
    <xf numFmtId="0" fontId="48"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0" borderId="6" applyAlignment="1" applyProtection="1" pivotButton="0" quotePrefix="0" xfId="24">
      <alignment horizontal="center" vertical="bottom"/>
      <protection locked="0" hidden="0"/>
    </xf>
    <xf numFmtId="49" fontId="47"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0" fontId="50"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48" fillId="0" borderId="6" applyAlignment="1" applyProtection="1" pivotButton="0" quotePrefix="0" xfId="24">
      <alignment horizontal="general" vertical="bottom"/>
      <protection locked="1" hidden="1"/>
    </xf>
    <xf numFmtId="0" fontId="48" fillId="0" borderId="6" applyAlignment="1" applyProtection="1" pivotButton="0" quotePrefix="0" xfId="24">
      <alignment horizontal="center" vertical="top" wrapText="1"/>
      <protection locked="1" hidden="1"/>
    </xf>
    <xf numFmtId="0" fontId="48" fillId="0" borderId="6" applyAlignment="1" applyProtection="1" pivotButton="0" quotePrefix="0" xfId="24">
      <alignment horizontal="center" vertical="bottom"/>
      <protection locked="1" hidden="1"/>
    </xf>
    <xf numFmtId="0" fontId="48" fillId="0" borderId="6" applyAlignment="1" applyProtection="1" pivotButton="0" quotePrefix="0" xfId="24">
      <alignment horizontal="center" vertical="bottom"/>
      <protection locked="1" hidden="1"/>
    </xf>
    <xf numFmtId="0" fontId="101" fillId="0" borderId="6" applyAlignment="1" applyProtection="1" pivotButton="0" quotePrefix="0" xfId="24">
      <alignment horizontal="left" vertical="top"/>
      <protection locked="1" hidden="1"/>
    </xf>
    <xf numFmtId="166" fontId="48" fillId="0" borderId="6" applyAlignment="1" applyProtection="1" pivotButton="0" quotePrefix="0" xfId="24">
      <alignment horizontal="center" vertical="top" wrapText="1"/>
      <protection locked="0" hidden="0"/>
    </xf>
    <xf numFmtId="0" fontId="48" fillId="0" borderId="6" applyAlignment="1" applyProtection="1" pivotButton="0" quotePrefix="0" xfId="24">
      <alignment horizontal="center" vertical="top" wrapText="1"/>
      <protection locked="1" hidden="1"/>
    </xf>
    <xf numFmtId="176" fontId="0" fillId="0" borderId="0" applyAlignment="1" pivotButton="0" quotePrefix="0" xfId="24">
      <alignment horizontal="general" vertical="bottom"/>
    </xf>
    <xf numFmtId="0" fontId="44" fillId="2" borderId="6" applyAlignment="1" applyProtection="1" pivotButton="0" quotePrefix="0" xfId="24">
      <alignment horizontal="center" vertical="center"/>
      <protection locked="1" hidden="1"/>
    </xf>
    <xf numFmtId="0" fontId="44" fillId="2" borderId="28" applyAlignment="1" applyProtection="1" pivotButton="0" quotePrefix="0" xfId="24">
      <alignment horizontal="center" vertical="center"/>
      <protection locked="1" hidden="1"/>
    </xf>
    <xf numFmtId="0" fontId="22" fillId="2" borderId="45" applyAlignment="1" applyProtection="1" pivotButton="0" quotePrefix="0" xfId="24">
      <alignment horizontal="center" vertical="center"/>
      <protection locked="1" hidden="1"/>
    </xf>
    <xf numFmtId="0" fontId="22" fillId="2" borderId="28" applyAlignment="1" applyProtection="1" pivotButton="0" quotePrefix="0" xfId="24">
      <alignment horizontal="center" vertical="center"/>
      <protection locked="1" hidden="1"/>
    </xf>
    <xf numFmtId="176" fontId="22" fillId="2" borderId="73" applyAlignment="1" applyProtection="1" pivotButton="0" quotePrefix="0" xfId="24">
      <alignment horizontal="center" vertical="center"/>
      <protection locked="1" hidden="1"/>
    </xf>
    <xf numFmtId="0" fontId="22" fillId="2" borderId="73" applyAlignment="1" applyProtection="1" pivotButton="0" quotePrefix="0" xfId="24">
      <alignment horizontal="general" vertical="center"/>
      <protection locked="1" hidden="1"/>
    </xf>
    <xf numFmtId="175" fontId="98" fillId="2" borderId="6" applyAlignment="1" applyProtection="1" pivotButton="0" quotePrefix="0" xfId="24">
      <alignment horizontal="center" vertical="center"/>
      <protection locked="1" hidden="1"/>
    </xf>
    <xf numFmtId="0" fontId="31" fillId="4" borderId="6" applyAlignment="1" applyProtection="1" pivotButton="0" quotePrefix="0" xfId="24">
      <alignment horizontal="center" vertical="center" wrapText="1"/>
      <protection locked="1" hidden="1"/>
    </xf>
    <xf numFmtId="49" fontId="98" fillId="5" borderId="6" applyAlignment="1" applyProtection="1" pivotButton="0" quotePrefix="0" xfId="24">
      <alignment horizontal="center" vertical="center"/>
      <protection locked="1" hidden="1"/>
    </xf>
    <xf numFmtId="0" fontId="48" fillId="0" borderId="6" applyAlignment="1" applyProtection="1" pivotButton="0" quotePrefix="0" xfId="24">
      <alignment horizontal="center" vertical="center"/>
      <protection locked="1" hidden="1"/>
    </xf>
    <xf numFmtId="0" fontId="100" fillId="0" borderId="6" applyAlignment="1" applyProtection="1" pivotButton="0" quotePrefix="0" xfId="24">
      <alignment horizontal="center" vertical="center"/>
      <protection locked="1" hidden="1"/>
    </xf>
    <xf numFmtId="0" fontId="22" fillId="2" borderId="6" applyAlignment="1" applyProtection="1" pivotButton="0" quotePrefix="0" xfId="24">
      <alignment horizontal="center" vertical="center"/>
      <protection locked="1" hidden="1"/>
    </xf>
    <xf numFmtId="0" fontId="50" fillId="0" borderId="6" applyAlignment="1" applyProtection="1" pivotButton="0" quotePrefix="0" xfId="24">
      <alignment horizontal="center" vertical="center"/>
      <protection locked="1" hidden="1"/>
    </xf>
    <xf numFmtId="0" fontId="22" fillId="0" borderId="6" applyAlignment="1" applyProtection="1" pivotButton="0" quotePrefix="0" xfId="24">
      <alignment horizontal="general" vertical="bottom"/>
      <protection locked="1" hidden="1"/>
    </xf>
    <xf numFmtId="0" fontId="48" fillId="0" borderId="15" applyAlignment="1" applyProtection="1" pivotButton="0" quotePrefix="0" xfId="24">
      <alignment horizontal="center" vertical="bottom"/>
      <protection locked="1" hidden="1"/>
    </xf>
    <xf numFmtId="0" fontId="0" fillId="0" borderId="6" applyAlignment="1" applyProtection="1" pivotButton="0" quotePrefix="0" xfId="24">
      <alignment horizontal="general" vertical="bottom"/>
      <protection locked="1" hidden="1"/>
    </xf>
    <xf numFmtId="0" fontId="0" fillId="0" borderId="6" applyAlignment="1" applyProtection="1" pivotButton="0" quotePrefix="0" xfId="24">
      <alignment horizontal="left" vertical="bottom"/>
      <protection locked="1" hidden="1"/>
    </xf>
    <xf numFmtId="0" fontId="0" fillId="2" borderId="6" applyAlignment="1" applyProtection="1" pivotButton="0" quotePrefix="0" xfId="24">
      <alignment horizontal="center" vertical="center"/>
      <protection locked="1" hidden="1"/>
    </xf>
    <xf numFmtId="0" fontId="0" fillId="0" borderId="6" applyAlignment="1" applyProtection="1" pivotButton="0" quotePrefix="0" xfId="24">
      <alignment horizontal="center" vertical="bottom"/>
      <protection locked="1" hidden="1"/>
    </xf>
    <xf numFmtId="168" fontId="48" fillId="0" borderId="6" applyAlignment="1" applyProtection="1" pivotButton="0" quotePrefix="0" xfId="24">
      <alignment horizontal="center" vertical="top" wrapText="1"/>
      <protection locked="1" hidden="1"/>
    </xf>
    <xf numFmtId="0" fontId="102" fillId="0" borderId="4" applyAlignment="1" pivotButton="0" quotePrefix="0" xfId="0">
      <alignment horizontal="center" vertical="center" wrapText="1"/>
    </xf>
    <xf numFmtId="0" fontId="103" fillId="0" borderId="4" applyAlignment="1" pivotButton="0" quotePrefix="0" xfId="0">
      <alignment horizontal="center" vertical="center" wrapText="1"/>
    </xf>
    <xf numFmtId="0" fontId="105" fillId="0" borderId="4" applyAlignment="1" pivotButton="0" quotePrefix="0" xfId="0">
      <alignment horizontal="center" vertical="center" wrapText="1"/>
    </xf>
    <xf numFmtId="0" fontId="106" fillId="0" borderId="4" applyAlignment="1" pivotButton="0" quotePrefix="0" xfId="0">
      <alignment horizontal="center" vertical="center" wrapText="1"/>
    </xf>
    <xf numFmtId="0" fontId="104" fillId="0" borderId="4" applyAlignment="1" pivotButton="0" quotePrefix="0" xfId="0">
      <alignment horizontal="center" vertical="center" wrapText="1"/>
    </xf>
    <xf numFmtId="0" fontId="31"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19" fillId="0" borderId="4" applyAlignment="1" pivotButton="0" quotePrefix="0" xfId="0">
      <alignment horizontal="center" vertical="center"/>
    </xf>
    <xf numFmtId="0" fontId="31" fillId="0" borderId="4" applyAlignment="1" pivotButton="0" quotePrefix="0" xfId="0">
      <alignment horizontal="center" vertical="center"/>
    </xf>
    <xf numFmtId="49" fontId="74" fillId="0" borderId="4" applyAlignment="1" applyProtection="1" pivotButton="0" quotePrefix="0" xfId="0">
      <alignment horizontal="center" vertical="center"/>
      <protection locked="0" hidden="0"/>
    </xf>
    <xf numFmtId="49" fontId="74" fillId="0" borderId="4" applyAlignment="1" applyProtection="1" pivotButton="0" quotePrefix="0" xfId="0">
      <alignment horizontal="left" vertical="center" wrapText="1"/>
      <protection locked="0" hidden="0"/>
    </xf>
    <xf numFmtId="0" fontId="74" fillId="0" borderId="4" applyAlignment="1" applyProtection="1" pivotButton="0" quotePrefix="0" xfId="0">
      <alignment horizontal="center" vertical="center"/>
      <protection locked="0" hidden="0"/>
    </xf>
    <xf numFmtId="3" fontId="74" fillId="0" borderId="74" applyAlignment="1" applyProtection="1" pivotButton="0" quotePrefix="0" xfId="0">
      <alignment horizontal="center" vertical="center"/>
      <protection locked="0" hidden="0"/>
    </xf>
    <xf numFmtId="0" fontId="74" fillId="0" borderId="74" applyAlignment="1" applyProtection="1" pivotButton="0" quotePrefix="0" xfId="0">
      <alignment horizontal="center" vertical="center"/>
      <protection locked="0" hidden="0"/>
    </xf>
    <xf numFmtId="0" fontId="59" fillId="0" borderId="4" applyAlignment="1" applyProtection="1" pivotButton="0" quotePrefix="0" xfId="0">
      <alignment horizontal="center" vertical="center"/>
      <protection locked="0" hidden="0"/>
    </xf>
    <xf numFmtId="49" fontId="59" fillId="0" borderId="4" applyAlignment="1" applyProtection="1" pivotButton="0" quotePrefix="0" xfId="0">
      <alignment horizontal="left" vertical="center" wrapText="1"/>
      <protection locked="0" hidden="0"/>
    </xf>
    <xf numFmtId="0" fontId="59" fillId="0" borderId="4" applyAlignment="1" applyProtection="1" pivotButton="0" quotePrefix="0" xfId="0">
      <alignment horizontal="center" vertical="center"/>
      <protection locked="0" hidden="0"/>
    </xf>
    <xf numFmtId="0" fontId="107" fillId="0" borderId="0" applyAlignment="1" pivotButton="0" quotePrefix="0" xfId="0">
      <alignment horizontal="left" vertical="bottom"/>
    </xf>
    <xf numFmtId="0" fontId="59" fillId="0" borderId="4" applyAlignment="1" applyProtection="1" pivotButton="0" quotePrefix="0" xfId="0">
      <alignment horizontal="general" vertical="center" wrapText="1"/>
      <protection locked="0" hidden="0"/>
    </xf>
    <xf numFmtId="49" fontId="59" fillId="0" borderId="4" applyAlignment="1" applyProtection="1" pivotButton="0" quotePrefix="0" xfId="0">
      <alignment horizontal="general" vertical="center" wrapText="1"/>
      <protection locked="0" hidden="0"/>
    </xf>
    <xf numFmtId="49" fontId="5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31"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7"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108" fillId="0" borderId="0" applyAlignment="1" pivotButton="0" quotePrefix="0" xfId="0">
      <alignment horizontal="center" vertical="center"/>
    </xf>
    <xf numFmtId="0" fontId="108" fillId="0" borderId="0" applyAlignment="1" pivotButton="0" quotePrefix="0" xfId="0">
      <alignment horizontal="center" vertical="bottom"/>
    </xf>
    <xf numFmtId="0" fontId="109" fillId="0" borderId="0" applyAlignment="1" pivotButton="0" quotePrefix="0" xfId="0">
      <alignment horizontal="center" vertical="top" wrapText="1"/>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8" pivotButton="0" quotePrefix="0" xfId="0"/>
    <xf numFmtId="0" fontId="11" fillId="3" borderId="6" applyAlignment="1" pivotButton="0" quotePrefix="0" xfId="0">
      <alignment horizontal="center" vertical="center" wrapText="1"/>
    </xf>
    <xf numFmtId="0" fontId="0" fillId="0" borderId="45"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3" pivotButton="0" quotePrefix="0" xfId="0"/>
    <xf numFmtId="0" fontId="0" fillId="0" borderId="51"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78" pivotButton="0" quotePrefix="0" xfId="0"/>
    <xf numFmtId="0" fontId="0" fillId="0" borderId="79"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4"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11" fillId="0"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22" fillId="0" borderId="6" applyAlignment="1" applyProtection="1" pivotButton="0" quotePrefix="0" xfId="24">
      <alignment horizontal="center" vertical="center"/>
      <protection locked="1" hidden="1"/>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5" borderId="6" applyAlignment="1" applyProtection="1" pivotButton="0" quotePrefix="0" xfId="0">
      <alignment horizontal="general" vertical="center"/>
      <protection locked="0" hidden="0"/>
    </xf>
    <xf numFmtId="0" fontId="0" fillId="0" borderId="6" applyAlignment="1" applyProtection="1" pivotButton="0" quotePrefix="0" xfId="0">
      <alignment horizontal="general" vertical="center"/>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center"/>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21"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4" fillId="0" borderId="5" applyAlignment="1" pivotButton="0" quotePrefix="0" xfId="0">
      <alignment horizontal="center" vertical="center" wrapText="1"/>
    </xf>
    <xf numFmtId="0" fontId="0" fillId="0" borderId="80" pivotButton="0" quotePrefix="0" xfId="0"/>
    <xf numFmtId="0" fontId="25" fillId="0" borderId="7" applyAlignment="1" pivotButton="0" quotePrefix="0" xfId="0">
      <alignment horizontal="center" vertical="center" wrapText="1"/>
    </xf>
    <xf numFmtId="0" fontId="24" fillId="0" borderId="22" applyAlignment="1" pivotButton="0" quotePrefix="0" xfId="0">
      <alignment horizontal="general" vertical="center"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3" applyAlignment="1" pivotButton="0" quotePrefix="0" xfId="0">
      <alignment horizontal="center" vertical="center" wrapText="1"/>
    </xf>
    <xf numFmtId="0" fontId="0" fillId="0" borderId="72" pivotButton="0" quotePrefix="0" xfId="0"/>
    <xf numFmtId="0" fontId="0" fillId="0" borderId="76" pivotButton="0" quotePrefix="0" xfId="0"/>
    <xf numFmtId="0" fontId="24" fillId="0" borderId="20" applyAlignment="1" pivotButton="0" quotePrefix="0" xfId="0">
      <alignment horizontal="center" vertical="center" wrapText="1"/>
    </xf>
    <xf numFmtId="0" fontId="0" fillId="0" borderId="82" pivotButton="0" quotePrefix="0" xfId="0"/>
    <xf numFmtId="0" fontId="0" fillId="0" borderId="81" pivotButton="0" quotePrefix="0" xfId="0"/>
    <xf numFmtId="168" fontId="24" fillId="0" borderId="20" applyAlignment="1" pivotButton="0" quotePrefix="0" xfId="0">
      <alignment horizontal="center" vertical="center" wrapText="1"/>
    </xf>
    <xf numFmtId="0" fontId="24" fillId="0" borderId="24" applyAlignment="1" pivotButton="0" quotePrefix="0" xfId="0">
      <alignment horizontal="center" vertical="center" wrapText="1"/>
    </xf>
    <xf numFmtId="0" fontId="24" fillId="0" borderId="25" applyAlignment="1" pivotButton="0" quotePrefix="0" xfId="0">
      <alignment horizontal="center" vertical="bottom" wrapText="1"/>
    </xf>
    <xf numFmtId="0" fontId="24" fillId="0" borderId="0" applyAlignment="1" pivotButton="0" quotePrefix="0" xfId="0">
      <alignment horizontal="general"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6" applyAlignment="1" pivotButton="0" quotePrefix="0" xfId="0">
      <alignment horizontal="center" vertical="center" wrapText="1"/>
    </xf>
    <xf numFmtId="0" fontId="0" fillId="0" borderId="49" pivotButton="0" quotePrefix="0" xfId="0"/>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7" applyAlignment="1" pivotButton="0" quotePrefix="0" xfId="0">
      <alignment horizontal="center" vertical="bottom" wrapText="1"/>
    </xf>
    <xf numFmtId="0" fontId="0" fillId="0" borderId="32" pivotButton="0" quotePrefix="0" xfId="0"/>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6" applyAlignment="1" applyProtection="1" pivotButton="0" quotePrefix="0" xfId="0">
      <alignment horizontal="center" vertical="center" wrapText="1"/>
      <protection locked="0" hidden="0"/>
    </xf>
    <xf numFmtId="0" fontId="0" fillId="0" borderId="73" applyProtection="1" pivotButton="0" quotePrefix="0" xfId="0">
      <protection locked="0" hidden="0"/>
    </xf>
    <xf numFmtId="0" fontId="0" fillId="0" borderId="45" applyProtection="1" pivotButton="0" quotePrefix="0" xfId="0">
      <protection locked="0" hidden="0"/>
    </xf>
    <xf numFmtId="20" fontId="29" fillId="6" borderId="28" applyAlignment="1" applyProtection="1" pivotButton="0" quotePrefix="0" xfId="0">
      <alignment horizontal="center" vertical="center" wrapText="1"/>
      <protection locked="0" hidden="0"/>
    </xf>
    <xf numFmtId="0" fontId="27" fillId="3" borderId="6" applyAlignment="1" applyProtection="1" pivotButton="0" quotePrefix="0" xfId="0">
      <alignment horizontal="general" vertical="center" wrapText="1"/>
      <protection locked="0" hidden="0"/>
    </xf>
    <xf numFmtId="0" fontId="0" fillId="0" borderId="72" applyProtection="1" pivotButton="0" quotePrefix="0" xfId="0">
      <protection locked="0" hidden="0"/>
    </xf>
    <xf numFmtId="0" fontId="0" fillId="0" borderId="77" applyProtection="1" pivotButton="0" quotePrefix="0" xfId="0">
      <protection locked="0" hidden="0"/>
    </xf>
    <xf numFmtId="170" fontId="30" fillId="0" borderId="6" applyAlignment="1" pivotButton="0" quotePrefix="0" xfId="0">
      <alignment horizontal="left" vertical="top" shrinkToFit="1"/>
    </xf>
    <xf numFmtId="0" fontId="27" fillId="0" borderId="28" applyAlignment="1" pivotButton="0" quotePrefix="0" xfId="0">
      <alignment horizontal="center" vertical="top" wrapText="1"/>
    </xf>
    <xf numFmtId="0" fontId="5" fillId="0" borderId="6" applyAlignment="1" pivotButton="0" quotePrefix="0" xfId="0">
      <alignment horizontal="left" vertical="top" wrapText="1"/>
    </xf>
    <xf numFmtId="0" fontId="27" fillId="2" borderId="6" applyAlignment="1" applyProtection="1" pivotButton="0" quotePrefix="0" xfId="0">
      <alignment horizontal="general" vertical="center" wrapText="1"/>
      <protection locked="0" hidden="0"/>
    </xf>
    <xf numFmtId="0" fontId="0" fillId="0" borderId="6" applyAlignment="1" pivotButton="0" quotePrefix="0" xfId="0">
      <alignment horizontal="left" vertical="center" wrapText="1"/>
    </xf>
    <xf numFmtId="0" fontId="27" fillId="0" borderId="28" applyAlignment="1" pivotButton="0" quotePrefix="0" xfId="0">
      <alignment horizontal="left" vertical="top" wrapText="1" indent="2"/>
    </xf>
    <xf numFmtId="0" fontId="0" fillId="0" borderId="6" applyAlignment="1" pivotButton="0" quotePrefix="0" xfId="0">
      <alignment horizontal="left" vertical="top" wrapText="1"/>
    </xf>
    <xf numFmtId="0" fontId="0" fillId="0" borderId="6" applyAlignment="1" pivotButton="0" quotePrefix="0" xfId="0">
      <alignment horizontal="left" vertical="bottom" wrapText="1"/>
    </xf>
    <xf numFmtId="177" fontId="30" fillId="0" borderId="6" applyAlignment="1" pivotButton="0" quotePrefix="0" xfId="0">
      <alignment horizontal="left" vertical="top" shrinkToFit="1"/>
    </xf>
    <xf numFmtId="0" fontId="27" fillId="0" borderId="28" applyAlignment="1" pivotButton="0" quotePrefix="0" xfId="0">
      <alignment horizontal="center" vertical="top" wrapText="1"/>
    </xf>
    <xf numFmtId="0" fontId="5" fillId="0" borderId="6" applyAlignment="1" pivotButton="0" quotePrefix="0" xfId="0">
      <alignment horizontal="left" vertical="top" wrapText="1"/>
    </xf>
    <xf numFmtId="170" fontId="30" fillId="0" borderId="6" applyAlignment="1" pivotButton="0" quotePrefix="0" xfId="0">
      <alignment horizontal="left" vertical="top" shrinkToFit="1"/>
    </xf>
    <xf numFmtId="0" fontId="21" fillId="2" borderId="0" applyAlignment="1" applyProtection="1" pivotButton="0" quotePrefix="0" xfId="0">
      <alignment horizontal="general" vertical="bottom" wrapText="1"/>
      <protection locked="0" hidden="0"/>
    </xf>
    <xf numFmtId="170" fontId="30" fillId="0" borderId="6" applyAlignment="1" applyProtection="1" pivotButton="0" quotePrefix="0" xfId="0">
      <alignment horizontal="left" vertical="top" shrinkToFit="1"/>
      <protection locked="0" hidden="0"/>
    </xf>
    <xf numFmtId="0" fontId="27" fillId="0" borderId="28" applyAlignment="1" applyProtection="1" pivotButton="0" quotePrefix="0" xfId="0">
      <alignment horizontal="center" vertical="top" wrapText="1"/>
      <protection locked="0" hidden="0"/>
    </xf>
    <xf numFmtId="0" fontId="5" fillId="0" borderId="6" applyAlignment="1" applyProtection="1" pivotButton="0" quotePrefix="0" xfId="0">
      <alignment horizontal="left" vertical="top" wrapText="1"/>
      <protection locked="0" hidden="0"/>
    </xf>
    <xf numFmtId="0" fontId="29" fillId="0" borderId="1" applyAlignment="1" applyProtection="1" pivotButton="0" quotePrefix="0" xfId="0">
      <alignment horizontal="general" vertical="center" wrapText="1"/>
      <protection locked="0" hidden="0"/>
    </xf>
    <xf numFmtId="0" fontId="29" fillId="0" borderId="4" applyAlignment="1" applyProtection="1" pivotButton="0" quotePrefix="0" xfId="0">
      <alignment horizontal="general" vertical="center"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center" vertical="center" wrapText="1"/>
    </xf>
    <xf numFmtId="0" fontId="32" fillId="0" borderId="0" applyAlignment="1" pivotButton="0" quotePrefix="0" xfId="0">
      <alignment horizontal="general" vertical="center"/>
    </xf>
    <xf numFmtId="0" fontId="21" fillId="0" borderId="32" applyAlignment="1" pivotButton="0" quotePrefix="0" xfId="0">
      <alignment horizontal="general" vertical="bottom" wrapText="1"/>
    </xf>
    <xf numFmtId="0" fontId="29" fillId="0" borderId="32" applyAlignment="1" pivotButton="0" quotePrefix="0" xfId="0">
      <alignment horizontal="general" vertical="center" wrapText="1"/>
    </xf>
    <xf numFmtId="0" fontId="0" fillId="0" borderId="37" applyProtection="1" pivotButton="0" quotePrefix="0" xfId="0">
      <protection locked="0" hidden="0"/>
    </xf>
    <xf numFmtId="0" fontId="0" fillId="0" borderId="76" applyProtection="1" pivotButton="0" quotePrefix="0" xfId="0">
      <protection locked="0" hidden="0"/>
    </xf>
    <xf numFmtId="0" fontId="0" fillId="0" borderId="37" pivotButton="0" quotePrefix="0" xfId="28"/>
    <xf numFmtId="0" fontId="0" fillId="0" borderId="34" pivotButton="0" quotePrefix="0" xfId="0"/>
    <xf numFmtId="0" fontId="0" fillId="0" borderId="37" pivotButton="0" quotePrefix="0" xfId="0"/>
    <xf numFmtId="0" fontId="0" fillId="0" borderId="43" applyProtection="1" pivotButton="0" quotePrefix="0" xfId="0">
      <protection locked="0" hidden="0"/>
    </xf>
    <xf numFmtId="0" fontId="0" fillId="0" borderId="44" applyProtection="1" pivotButton="0" quotePrefix="0" xfId="0">
      <protection locked="0" hidden="0"/>
    </xf>
    <xf numFmtId="0" fontId="0" fillId="0" borderId="14" applyProtection="1" pivotButton="0" quotePrefix="0" xfId="0">
      <protection locked="0" hidden="0"/>
    </xf>
    <xf numFmtId="0" fontId="0" fillId="0" borderId="110" pivotButton="0" quotePrefix="0" xfId="0"/>
    <xf numFmtId="0" fontId="0" fillId="0" borderId="36" applyProtection="1" pivotButton="0" quotePrefix="0" xfId="0">
      <protection locked="0" hidden="0"/>
    </xf>
    <xf numFmtId="0" fontId="0" fillId="0" borderId="0" applyProtection="1" pivotButton="0" quotePrefix="0" xfId="0">
      <protection locked="0" hidden="0"/>
    </xf>
    <xf numFmtId="0" fontId="0" fillId="0" borderId="21" applyProtection="1" pivotButton="0" quotePrefix="0" xfId="0">
      <protection locked="0" hidden="0"/>
    </xf>
    <xf numFmtId="166" fontId="27" fillId="2" borderId="9" applyAlignment="1" applyProtection="1" pivotButton="0" quotePrefix="0" xfId="0">
      <alignment horizontal="center" vertical="center" wrapText="1"/>
      <protection locked="0" hidden="0"/>
    </xf>
    <xf numFmtId="20" fontId="27" fillId="2" borderId="28" applyAlignment="1" applyProtection="1" pivotButton="0" quotePrefix="0" xfId="0">
      <alignment horizontal="center" vertical="center" wrapText="1"/>
      <protection locked="0" hidden="0"/>
    </xf>
    <xf numFmtId="0" fontId="32" fillId="0" borderId="6" applyAlignment="1" pivotButton="0" quotePrefix="0" xfId="28">
      <alignment horizontal="general" vertical="top" wrapText="1"/>
    </xf>
    <xf numFmtId="0" fontId="34" fillId="0" borderId="6" applyAlignment="1" pivotButton="0" quotePrefix="0" xfId="28">
      <alignment horizontal="general" vertical="center" wrapText="1"/>
    </xf>
    <xf numFmtId="0" fontId="32" fillId="0" borderId="6" applyAlignment="1" pivotButton="0" quotePrefix="0" xfId="28">
      <alignment horizontal="general" vertical="center" wrapText="1"/>
    </xf>
    <xf numFmtId="0" fontId="34" fillId="0" borderId="6" applyAlignment="1" pivotButton="0" quotePrefix="0" xfId="28">
      <alignment horizontal="general" vertical="top" wrapText="1"/>
    </xf>
    <xf numFmtId="0" fontId="34" fillId="0" borderId="6" applyAlignment="1" pivotButton="0" quotePrefix="0" xfId="28">
      <alignment horizontal="general" vertical="bottom" wrapText="1"/>
    </xf>
    <xf numFmtId="0" fontId="34" fillId="2" borderId="6" applyAlignment="1" pivotButton="0" quotePrefix="0" xfId="28">
      <alignment horizontal="general" vertical="center" wrapText="1"/>
    </xf>
    <xf numFmtId="0" fontId="32" fillId="0" borderId="6" applyAlignment="1" pivotButton="0" quotePrefix="0" xfId="28">
      <alignment horizontal="general" vertical="bottom" wrapText="1"/>
    </xf>
    <xf numFmtId="0" fontId="27" fillId="2" borderId="6" applyAlignment="1" applyProtection="1" pivotButton="0" quotePrefix="0" xfId="0">
      <alignment horizontal="left" vertical="center" wrapText="1"/>
      <protection locked="0" hidden="0"/>
    </xf>
    <xf numFmtId="20" fontId="29" fillId="2" borderId="28" applyAlignment="1" applyProtection="1" pivotButton="0" quotePrefix="0" xfId="0">
      <alignment horizontal="center" vertical="center" wrapText="1"/>
      <protection locked="0" hidden="0"/>
    </xf>
    <xf numFmtId="0" fontId="27" fillId="0" borderId="28" applyAlignment="1" pivotButton="0" quotePrefix="0" xfId="0">
      <alignment horizontal="left" vertical="center" wrapText="1" indent="2"/>
    </xf>
    <xf numFmtId="0" fontId="31" fillId="0" borderId="6" applyAlignment="1" pivotButton="0" quotePrefix="0" xfId="0">
      <alignment horizontal="left" vertical="bottom" wrapText="1"/>
    </xf>
    <xf numFmtId="0" fontId="5" fillId="2" borderId="6" applyAlignment="1" applyProtection="1" pivotButton="0" quotePrefix="0" xfId="0">
      <alignment horizontal="general" vertical="center" wrapText="1"/>
      <protection locked="0" hidden="0"/>
    </xf>
    <xf numFmtId="0" fontId="5" fillId="2" borderId="6" applyAlignment="1" applyProtection="1" pivotButton="0" quotePrefix="0" xfId="0">
      <alignment horizontal="left" vertical="center" wrapText="1"/>
      <protection locked="0" hidden="0"/>
    </xf>
    <xf numFmtId="20" fontId="33" fillId="0" borderId="28" applyAlignment="1" applyProtection="1" pivotButton="0" quotePrefix="0" xfId="0">
      <alignment horizontal="center" vertical="center" wrapText="1"/>
      <protection locked="0" hidden="0"/>
    </xf>
    <xf numFmtId="0" fontId="0" fillId="5" borderId="29" applyAlignment="1" pivotButton="0" quotePrefix="0" xfId="0">
      <alignment horizontal="center" vertical="bottom" wrapText="1"/>
    </xf>
    <xf numFmtId="0" fontId="0" fillId="0" borderId="77" pivotButton="0" quotePrefix="0" xfId="0"/>
    <xf numFmtId="0" fontId="21" fillId="0" borderId="30" applyAlignment="1" applyProtection="1" pivotButton="0" quotePrefix="0" xfId="0">
      <alignment horizontal="general" vertical="bottom" wrapText="1"/>
      <protection locked="0" hidden="0"/>
    </xf>
    <xf numFmtId="0" fontId="21" fillId="0" borderId="31"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2" fillId="0" borderId="0" applyAlignment="1" applyProtection="1" pivotButton="0" quotePrefix="0" xfId="0">
      <alignment horizontal="general" vertical="center"/>
      <protection locked="0" hidden="0"/>
    </xf>
    <xf numFmtId="0" fontId="32" fillId="0" borderId="0" applyAlignment="1" applyProtection="1" pivotButton="0" quotePrefix="0" xfId="0">
      <alignment horizontal="center" vertical="center"/>
      <protection locked="0" hidden="0"/>
    </xf>
    <xf numFmtId="0" fontId="21" fillId="0" borderId="32" applyAlignment="1" applyProtection="1" pivotButton="0" quotePrefix="0" xfId="0">
      <alignment horizontal="general" vertical="bottom" wrapText="1"/>
      <protection locked="0" hidden="0"/>
    </xf>
    <xf numFmtId="0" fontId="29" fillId="0" borderId="32" applyAlignment="1" pivotButton="0" quotePrefix="0" xfId="0">
      <alignment horizontal="general" vertical="center" wrapText="1"/>
    </xf>
    <xf numFmtId="0" fontId="35" fillId="0" borderId="33" applyAlignment="1" applyProtection="1" pivotButton="0" quotePrefix="0" xfId="0">
      <alignment horizontal="center" vertical="center"/>
      <protection locked="0" hidden="0"/>
    </xf>
    <xf numFmtId="169" fontId="36" fillId="0" borderId="33" applyAlignment="1" applyProtection="1" pivotButton="0" quotePrefix="0" xfId="0">
      <alignment horizontal="center" vertical="center"/>
      <protection locked="0" hidden="0"/>
    </xf>
    <xf numFmtId="0" fontId="37" fillId="0" borderId="34" applyAlignment="1" applyProtection="1" pivotButton="0" quotePrefix="0" xfId="0">
      <alignment horizontal="center" vertical="bottom" wrapText="1"/>
      <protection locked="0" hidden="0"/>
    </xf>
    <xf numFmtId="169" fontId="38" fillId="0" borderId="4" applyAlignment="1" applyProtection="1" pivotButton="0" quotePrefix="0" xfId="0">
      <alignment horizontal="center" vertical="center"/>
      <protection locked="0" hidden="0"/>
    </xf>
    <xf numFmtId="0" fontId="39" fillId="2" borderId="33" applyAlignment="1" applyProtection="1" pivotButton="0" quotePrefix="0" xfId="0">
      <alignment horizontal="center" vertical="center" wrapText="1"/>
      <protection locked="0" hidden="0"/>
    </xf>
    <xf numFmtId="0" fontId="40" fillId="2" borderId="0" applyAlignment="1" applyProtection="1" pivotButton="0" quotePrefix="0" xfId="0">
      <alignment horizontal="general" vertical="center" wrapText="1"/>
      <protection locked="0" hidden="0"/>
    </xf>
    <xf numFmtId="0" fontId="40" fillId="2" borderId="21" applyAlignment="1" applyProtection="1" pivotButton="0" quotePrefix="0" xfId="0">
      <alignment horizontal="general" vertical="center" wrapText="1"/>
      <protection locked="0" hidden="0"/>
    </xf>
    <xf numFmtId="0" fontId="41" fillId="0" borderId="0" applyAlignment="1" applyProtection="1" pivotButton="0" quotePrefix="0" xfId="30">
      <alignment horizontal="left" vertical="top"/>
      <protection locked="0" hidden="0"/>
    </xf>
    <xf numFmtId="0" fontId="41" fillId="0" borderId="1" applyAlignment="1" pivotButton="0" quotePrefix="0" xfId="30">
      <alignment horizontal="left" vertical="top"/>
    </xf>
    <xf numFmtId="0" fontId="41" fillId="0" borderId="2" applyAlignment="1" pivotButton="0" quotePrefix="0" xfId="30">
      <alignment horizontal="left" vertical="top"/>
    </xf>
    <xf numFmtId="0" fontId="41" fillId="0" borderId="3" applyAlignment="1" pivotButton="0" quotePrefix="0" xfId="30">
      <alignment horizontal="left" vertical="top"/>
    </xf>
    <xf numFmtId="0" fontId="42" fillId="7" borderId="4" applyAlignment="1" pivotButton="0" quotePrefix="0" xfId="30">
      <alignment horizontal="center" vertical="top"/>
    </xf>
    <xf numFmtId="0" fontId="43" fillId="0" borderId="35" applyAlignment="1" pivotButton="0" quotePrefix="0" xfId="30">
      <alignment horizontal="center" vertical="top" wrapText="1"/>
    </xf>
    <xf numFmtId="0" fontId="0" fillId="0" borderId="30" pivotButton="0" quotePrefix="0" xfId="0"/>
    <xf numFmtId="0" fontId="43" fillId="0" borderId="30" applyAlignment="1" pivotButton="0" quotePrefix="0" xfId="30">
      <alignment horizontal="left" vertical="center" wrapText="1"/>
    </xf>
    <xf numFmtId="0" fontId="43" fillId="0" borderId="30" applyAlignment="1" pivotButton="0" quotePrefix="0" xfId="30">
      <alignment horizontal="left" vertical="top" wrapText="1"/>
    </xf>
    <xf numFmtId="1" fontId="42" fillId="0" borderId="31" applyAlignment="1" pivotButton="0" quotePrefix="0" xfId="30">
      <alignment horizontal="left" vertical="top" shrinkToFit="1" indent="1"/>
    </xf>
    <xf numFmtId="0" fontId="0" fillId="0" borderId="31" pivotButton="0" quotePrefix="0" xfId="0"/>
    <xf numFmtId="0" fontId="43" fillId="0" borderId="36" applyAlignment="1" pivotButton="0" quotePrefix="0" xfId="30">
      <alignment horizontal="center" vertical="top" wrapText="1"/>
    </xf>
    <xf numFmtId="0" fontId="43" fillId="0" borderId="0" applyAlignment="1" pivotButton="0" quotePrefix="0" xfId="30">
      <alignment horizontal="left" vertical="center" wrapText="1"/>
    </xf>
    <xf numFmtId="0" fontId="43" fillId="0" borderId="0" applyAlignment="1" pivotButton="0" quotePrefix="0" xfId="30">
      <alignment horizontal="left" vertical="top" wrapText="1"/>
    </xf>
    <xf numFmtId="1" fontId="42" fillId="0" borderId="32" applyAlignment="1" pivotButton="0" quotePrefix="0" xfId="30">
      <alignment horizontal="left" vertical="top" shrinkToFit="1" indent="1"/>
    </xf>
    <xf numFmtId="0" fontId="43" fillId="0" borderId="34" applyAlignment="1" pivotButton="0" quotePrefix="0" xfId="30">
      <alignment horizontal="left" vertical="top" wrapText="1"/>
    </xf>
    <xf numFmtId="0" fontId="43" fillId="0" borderId="37" applyAlignment="1" pivotButton="0" quotePrefix="0" xfId="30">
      <alignment horizontal="center" vertical="top" wrapText="1"/>
    </xf>
    <xf numFmtId="1" fontId="42" fillId="0" borderId="38" applyAlignment="1" pivotButton="0" quotePrefix="0" xfId="30">
      <alignment horizontal="left" vertical="top" shrinkToFit="1" indent="1"/>
    </xf>
    <xf numFmtId="0" fontId="0" fillId="0" borderId="38" pivotButton="0" quotePrefix="0" xfId="0"/>
    <xf numFmtId="0" fontId="41" fillId="0" borderId="0" applyAlignment="1" applyProtection="1" pivotButton="0" quotePrefix="0" xfId="30">
      <alignment horizontal="center" vertical="center"/>
      <protection locked="0" hidden="0"/>
    </xf>
    <xf numFmtId="0" fontId="43" fillId="7" borderId="39" applyAlignment="1" pivotButton="0" quotePrefix="0" xfId="30">
      <alignment horizontal="center" vertical="center" wrapText="1"/>
    </xf>
    <xf numFmtId="0" fontId="43" fillId="7" borderId="40" applyAlignment="1" pivotButton="0" quotePrefix="0" xfId="30">
      <alignment horizontal="center" vertical="center" wrapText="1"/>
    </xf>
    <xf numFmtId="0" fontId="43" fillId="7" borderId="41" applyAlignment="1" pivotButton="0" quotePrefix="0" xfId="30">
      <alignment horizontal="center" vertical="center" wrapText="1"/>
    </xf>
    <xf numFmtId="0" fontId="43" fillId="7" borderId="42" applyAlignment="1" pivotButton="0" quotePrefix="0" xfId="30">
      <alignment horizontal="center" vertical="center" wrapText="1"/>
    </xf>
    <xf numFmtId="0" fontId="44" fillId="0" borderId="13" applyAlignment="1" applyProtection="1" pivotButton="0" quotePrefix="0" xfId="30">
      <alignment horizontal="center" vertical="center" wrapText="1"/>
      <protection locked="0" hidden="0"/>
    </xf>
    <xf numFmtId="0" fontId="44" fillId="0" borderId="7" applyAlignment="1" applyProtection="1" pivotButton="0" quotePrefix="0" xfId="30">
      <alignment horizontal="general" vertical="center" wrapText="1"/>
      <protection locked="0" hidden="0"/>
    </xf>
    <xf numFmtId="0" fontId="0" fillId="0" borderId="48" applyProtection="1" pivotButton="0" quotePrefix="0" xfId="0">
      <protection locked="0" hidden="0"/>
    </xf>
    <xf numFmtId="4" fontId="44" fillId="0" borderId="6" applyAlignment="1" applyProtection="1" pivotButton="0" quotePrefix="0" xfId="30">
      <alignment horizontal="right" vertical="center" shrinkToFit="1"/>
      <protection locked="0" hidden="0"/>
    </xf>
    <xf numFmtId="1" fontId="44" fillId="0" borderId="15" applyAlignment="1" applyProtection="1" pivotButton="0" quotePrefix="0" xfId="30">
      <alignment horizontal="center" vertical="center" shrinkToFit="1"/>
      <protection locked="0" hidden="0"/>
    </xf>
    <xf numFmtId="4" fontId="44" fillId="0" borderId="26" applyAlignment="1" applyProtection="1" pivotButton="0" quotePrefix="0" xfId="30">
      <alignment horizontal="right" vertical="center" shrinkToFit="1"/>
      <protection locked="0" hidden="0"/>
    </xf>
    <xf numFmtId="0" fontId="44" fillId="0" borderId="9" applyAlignment="1" applyProtection="1" pivotButton="0" quotePrefix="0" xfId="30">
      <alignment horizontal="center" vertical="center" wrapText="1"/>
      <protection locked="0" hidden="0"/>
    </xf>
    <xf numFmtId="0" fontId="44" fillId="0" borderId="6" applyAlignment="1" applyProtection="1" pivotButton="0" quotePrefix="0" xfId="30">
      <alignment horizontal="general" vertical="center" wrapText="1"/>
      <protection locked="0" hidden="0"/>
    </xf>
    <xf numFmtId="1" fontId="44" fillId="0" borderId="6" applyAlignment="1" applyProtection="1" pivotButton="0" quotePrefix="0" xfId="30">
      <alignment horizontal="center" vertical="center" shrinkToFit="1"/>
      <protection locked="0" hidden="0"/>
    </xf>
    <xf numFmtId="4" fontId="41" fillId="0" borderId="6" applyAlignment="1" applyProtection="1" pivotButton="0" quotePrefix="0" xfId="30">
      <alignment horizontal="right" vertical="center" shrinkToFit="1"/>
      <protection locked="0" hidden="0"/>
    </xf>
    <xf numFmtId="171" fontId="41" fillId="0" borderId="6" applyAlignment="1" applyProtection="1" pivotButton="0" quotePrefix="0" xfId="30">
      <alignment horizontal="center" vertical="center" shrinkToFit="1"/>
      <protection locked="0" hidden="0"/>
    </xf>
    <xf numFmtId="4" fontId="41" fillId="0" borderId="26" applyAlignment="1" applyProtection="1" pivotButton="0" quotePrefix="0" xfId="30">
      <alignment horizontal="right" vertical="center" shrinkToFit="1"/>
      <protection locked="0" hidden="0"/>
    </xf>
    <xf numFmtId="1" fontId="41" fillId="0" borderId="6" applyAlignment="1" applyProtection="1" pivotButton="0" quotePrefix="0" xfId="30">
      <alignment horizontal="center" vertical="center" shrinkToFit="1"/>
      <protection locked="0" hidden="0"/>
    </xf>
    <xf numFmtId="0" fontId="43" fillId="0" borderId="10" applyAlignment="1" applyProtection="1" pivotButton="0" quotePrefix="0" xfId="30">
      <alignment horizontal="left" vertical="top" wrapText="1"/>
      <protection locked="0" hidden="0"/>
    </xf>
    <xf numFmtId="0" fontId="43" fillId="0" borderId="6" applyAlignment="1" applyProtection="1" pivotButton="0" quotePrefix="0" xfId="30">
      <alignment horizontal="center" vertical="center" wrapText="1"/>
      <protection locked="0" hidden="0"/>
    </xf>
    <xf numFmtId="4" fontId="42" fillId="0" borderId="8" applyAlignment="1" applyProtection="1" pivotButton="0" quotePrefix="0" xfId="30">
      <alignment horizontal="general" vertical="center" shrinkToFit="1"/>
      <protection locked="0" hidden="0"/>
    </xf>
    <xf numFmtId="0" fontId="0" fillId="0" borderId="34" applyProtection="1" pivotButton="0" quotePrefix="0" xfId="0">
      <protection locked="0" hidden="0"/>
    </xf>
    <xf numFmtId="0" fontId="0" fillId="0" borderId="83" applyProtection="1" pivotButton="0" quotePrefix="0" xfId="0">
      <protection locked="0" hidden="0"/>
    </xf>
    <xf numFmtId="0" fontId="43" fillId="0" borderId="11" applyAlignment="1" applyProtection="1" pivotButton="0" quotePrefix="0" xfId="30">
      <alignment horizontal="center" vertical="center" wrapText="1"/>
      <protection locked="0" hidden="0"/>
    </xf>
    <xf numFmtId="0" fontId="0" fillId="0" borderId="16" applyProtection="1" pivotButton="0" quotePrefix="0" xfId="0">
      <protection locked="0" hidden="0"/>
    </xf>
    <xf numFmtId="4" fontId="42" fillId="0" borderId="12" applyAlignment="1" applyProtection="1" pivotButton="0" quotePrefix="0" xfId="30">
      <alignment horizontal="general" vertical="center" shrinkToFit="1"/>
      <protection locked="0" hidden="0"/>
    </xf>
    <xf numFmtId="0" fontId="43" fillId="0" borderId="0" applyAlignment="1" applyProtection="1" pivotButton="0" quotePrefix="0" xfId="30">
      <alignment horizontal="left" vertical="center" wrapText="1"/>
      <protection locked="0" hidden="0"/>
    </xf>
    <xf numFmtId="172" fontId="41" fillId="0" borderId="0" applyAlignment="1" applyProtection="1" pivotButton="0" quotePrefix="0" xfId="20">
      <alignment horizontal="left" vertical="top"/>
      <protection locked="0" hidden="0"/>
    </xf>
    <xf numFmtId="0" fontId="45" fillId="0" borderId="35" applyAlignment="1" pivotButton="0" quotePrefix="0" xfId="0">
      <alignment horizontal="center" vertical="bottom"/>
    </xf>
    <xf numFmtId="0" fontId="0" fillId="0" borderId="30" applyAlignment="1" pivotButton="0" quotePrefix="0" xfId="0">
      <alignment horizontal="general" vertical="bottom"/>
    </xf>
    <xf numFmtId="0" fontId="21" fillId="0" borderId="30" applyAlignment="1" pivotButton="0" quotePrefix="0" xfId="0">
      <alignment horizontal="general" vertical="bottom"/>
    </xf>
    <xf numFmtId="0" fontId="0" fillId="0" borderId="31" applyAlignment="1" pivotButton="0" quotePrefix="0" xfId="0">
      <alignment horizontal="general" vertical="bottom"/>
    </xf>
    <xf numFmtId="0" fontId="45" fillId="0" borderId="43" applyAlignment="1" pivotButton="0" quotePrefix="0" xfId="0">
      <alignment horizontal="center" vertical="bottom"/>
    </xf>
    <xf numFmtId="0" fontId="0" fillId="0" borderId="44" applyAlignment="1" pivotButton="0" quotePrefix="0" xfId="0">
      <alignment horizontal="general" vertical="bottom"/>
    </xf>
    <xf numFmtId="0" fontId="0" fillId="0" borderId="0" applyAlignment="1" pivotButton="0" quotePrefix="0" xfId="0">
      <alignment horizontal="center" vertical="bottom"/>
    </xf>
    <xf numFmtId="0" fontId="0" fillId="0" borderId="32" applyAlignment="1" pivotButton="0" quotePrefix="0" xfId="0">
      <alignment horizontal="general" vertical="bottom"/>
    </xf>
    <xf numFmtId="0" fontId="0" fillId="0" borderId="9" applyAlignment="1" pivotButton="0" quotePrefix="0" xfId="0">
      <alignment horizontal="center" vertical="bottom"/>
    </xf>
    <xf numFmtId="0" fontId="0" fillId="0" borderId="28" applyAlignment="1" pivotButton="0" quotePrefix="0" xfId="0">
      <alignment horizontal="general" vertical="bottom"/>
    </xf>
    <xf numFmtId="0" fontId="46" fillId="8" borderId="4" applyAlignment="1" pivotButton="0" quotePrefix="0" xfId="0">
      <alignment horizontal="center" vertical="center" wrapText="1"/>
    </xf>
    <xf numFmtId="0" fontId="0" fillId="0" borderId="45" applyAlignment="1" pivotButton="0" quotePrefix="0" xfId="0">
      <alignment horizontal="center" vertical="bottom"/>
    </xf>
    <xf numFmtId="0" fontId="0" fillId="0" borderId="36" pivotButton="0" quotePrefix="0" xfId="0"/>
    <xf numFmtId="0" fontId="21" fillId="0" borderId="45" applyAlignment="1" pivotButton="0" quotePrefix="0" xfId="0">
      <alignment horizontal="center" vertical="bottom"/>
    </xf>
    <xf numFmtId="0" fontId="47" fillId="0" borderId="6" applyAlignment="1" pivotButton="0" quotePrefix="0" xfId="0">
      <alignment horizontal="general" vertical="bottom"/>
    </xf>
    <xf numFmtId="0" fontId="0" fillId="2" borderId="28"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6"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7" applyAlignment="1" pivotButton="0" quotePrefix="0" xfId="0">
      <alignment horizontal="general" vertical="bottom"/>
    </xf>
    <xf numFmtId="0" fontId="48" fillId="5" borderId="4" applyAlignment="1" pivotButton="0" quotePrefix="0" xfId="0">
      <alignment horizontal="center" vertical="center"/>
    </xf>
    <xf numFmtId="1" fontId="48" fillId="5" borderId="4" applyAlignment="1" pivotButton="0" quotePrefix="0" xfId="0">
      <alignment horizontal="center" vertical="center"/>
    </xf>
    <xf numFmtId="1" fontId="48" fillId="5" borderId="48" applyAlignment="1" pivotButton="0" quotePrefix="0" xfId="0">
      <alignment horizontal="center" vertical="bottom"/>
    </xf>
    <xf numFmtId="0" fontId="48" fillId="5" borderId="22" applyAlignment="1" pivotButton="0" quotePrefix="0" xfId="0">
      <alignment horizontal="general" vertical="bottom"/>
    </xf>
    <xf numFmtId="0" fontId="45" fillId="0" borderId="43" applyAlignment="1" pivotButton="0" quotePrefix="0" xfId="0">
      <alignment horizontal="general" vertical="bottom"/>
    </xf>
    <xf numFmtId="0" fontId="45" fillId="0" borderId="44" applyAlignment="1" pivotButton="0" quotePrefix="0" xfId="0">
      <alignment horizontal="general" vertical="bottom"/>
    </xf>
    <xf numFmtId="0" fontId="0" fillId="0" borderId="27" pivotButton="0" quotePrefix="0" xfId="0"/>
    <xf numFmtId="0" fontId="45" fillId="0" borderId="49" applyAlignment="1" pivotButton="0" quotePrefix="0" xfId="0">
      <alignment horizontal="general" vertical="bottom"/>
    </xf>
    <xf numFmtId="0" fontId="48" fillId="5" borderId="50" applyAlignment="1" pivotButton="0" quotePrefix="0" xfId="0">
      <alignment horizontal="left" vertical="bottom" wrapText="1"/>
    </xf>
    <xf numFmtId="0" fontId="0" fillId="0" borderId="33" pivotButton="0" quotePrefix="0" xfId="0"/>
    <xf numFmtId="1" fontId="48" fillId="5" borderId="14" applyAlignment="1" pivotButton="0" quotePrefix="0" xfId="0">
      <alignment horizontal="center" vertical="bottom"/>
    </xf>
    <xf numFmtId="0" fontId="48" fillId="5" borderId="26"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28" applyAlignment="1" pivotButton="0" quotePrefix="0" xfId="0">
      <alignment horizontal="center" vertical="bottom"/>
    </xf>
    <xf numFmtId="9" fontId="48"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5" applyAlignment="1" pivotButton="0" quotePrefix="0" xfId="0">
      <alignment horizontal="center" vertical="center" wrapText="1"/>
    </xf>
    <xf numFmtId="0" fontId="0" fillId="0" borderId="54" pivotButton="0" quotePrefix="0" xfId="0"/>
    <xf numFmtId="0" fontId="0" fillId="0" borderId="26" pivotButton="0" quotePrefix="0" xfId="0"/>
    <xf numFmtId="0" fontId="48" fillId="7" borderId="25" applyAlignment="1" pivotButton="0" quotePrefix="0" xfId="0">
      <alignment horizontal="left" vertical="bottom" wrapText="1"/>
    </xf>
    <xf numFmtId="1" fontId="0" fillId="0" borderId="45" applyAlignment="1" pivotButton="0" quotePrefix="0" xfId="0">
      <alignment horizontal="center" vertical="bottom"/>
    </xf>
    <xf numFmtId="0" fontId="48" fillId="0" borderId="9" applyAlignment="1" pivotButton="0" quotePrefix="0" xfId="0">
      <alignment horizontal="left" vertical="center" wrapText="1"/>
    </xf>
    <xf numFmtId="9" fontId="48" fillId="8" borderId="8" applyAlignment="1" applyProtection="1" pivotButton="0" quotePrefix="0" xfId="0">
      <alignment horizontal="center" vertical="center" wrapText="1"/>
      <protection locked="0" hidden="0"/>
    </xf>
    <xf numFmtId="0" fontId="0" fillId="0" borderId="54" applyProtection="1" pivotButton="0" quotePrefix="0" xfId="0">
      <protection locked="0" hidden="0"/>
    </xf>
    <xf numFmtId="2" fontId="0" fillId="0" borderId="28" applyAlignment="1" pivotButton="0" quotePrefix="0" xfId="0">
      <alignment horizontal="left" vertical="bottom" wrapText="1"/>
    </xf>
    <xf numFmtId="2" fontId="0" fillId="0" borderId="28" applyAlignment="1" pivotButton="0" quotePrefix="0" xfId="0">
      <alignment horizontal="center" vertical="bottom" wrapText="1"/>
    </xf>
    <xf numFmtId="0" fontId="0" fillId="0" borderId="26" applyProtection="1" pivotButton="0" quotePrefix="0" xfId="0">
      <protection locked="0" hidden="0"/>
    </xf>
    <xf numFmtId="1" fontId="0" fillId="0" borderId="45" applyAlignment="1" pivotButton="0" quotePrefix="0" xfId="0">
      <alignment horizontal="general" vertical="bottom"/>
    </xf>
    <xf numFmtId="173" fontId="31" fillId="0" borderId="51"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2" applyAlignment="1" pivotButton="0" quotePrefix="0" xfId="0">
      <alignment horizontal="center" vertical="bottom"/>
    </xf>
    <xf numFmtId="0" fontId="0" fillId="0" borderId="85" pivotButton="0" quotePrefix="0" xfId="0"/>
    <xf numFmtId="0" fontId="0" fillId="0" borderId="25" applyAlignment="1" pivotButton="0" quotePrefix="0" xfId="0">
      <alignment horizontal="center" vertical="bottom"/>
    </xf>
    <xf numFmtId="0" fontId="0" fillId="0" borderId="52" applyAlignment="1" pivotButton="0" quotePrefix="0" xfId="0">
      <alignment horizontal="center" vertical="bottom"/>
    </xf>
    <xf numFmtId="0" fontId="50" fillId="9" borderId="53" applyAlignment="1" pivotButton="0" quotePrefix="0" xfId="0">
      <alignment horizontal="general" vertical="center"/>
    </xf>
    <xf numFmtId="0" fontId="0" fillId="0" borderId="21" pivotButton="0" quotePrefix="0" xfId="0"/>
    <xf numFmtId="0" fontId="50" fillId="9" borderId="54" applyAlignment="1" pivotButton="0" quotePrefix="0" xfId="0">
      <alignment horizontal="center" vertical="center"/>
    </xf>
    <xf numFmtId="2" fontId="48" fillId="9" borderId="4" applyAlignment="1" pivotButton="0" quotePrefix="0" xfId="0">
      <alignment horizontal="center" vertical="center"/>
    </xf>
    <xf numFmtId="0" fontId="48" fillId="9" borderId="4" applyAlignment="1" pivotButton="0" quotePrefix="0" xfId="0">
      <alignment horizontal="center" vertical="center"/>
    </xf>
    <xf numFmtId="0" fontId="0" fillId="0" borderId="84" pivotButton="0" quotePrefix="0" xfId="0"/>
    <xf numFmtId="0" fontId="0" fillId="0" borderId="5" applyAlignment="1" pivotButton="0" quotePrefix="0" xfId="0">
      <alignment horizontal="center" vertical="bottom" wrapText="1"/>
    </xf>
    <xf numFmtId="0" fontId="0" fillId="0" borderId="75" pivotButton="0" quotePrefix="0" xfId="0"/>
    <xf numFmtId="0" fontId="0" fillId="0" borderId="19" applyAlignment="1" pivotButton="0" quotePrefix="0" xfId="0">
      <alignment horizontal="center" vertical="bottom"/>
    </xf>
    <xf numFmtId="2" fontId="48" fillId="0" borderId="43" applyAlignment="1" pivotButton="0" quotePrefix="0" xfId="0">
      <alignment horizontal="center" vertical="center"/>
    </xf>
    <xf numFmtId="2" fontId="48" fillId="0" borderId="6" applyAlignment="1" pivotButton="0" quotePrefix="0" xfId="0">
      <alignment horizontal="center" vertical="center" wrapText="1"/>
    </xf>
    <xf numFmtId="169" fontId="51" fillId="0" borderId="26" applyAlignment="1" applyProtection="1" pivotButton="0" quotePrefix="0" xfId="0">
      <alignment horizontal="center" vertical="center"/>
      <protection locked="0" hidden="0"/>
    </xf>
    <xf numFmtId="0" fontId="0" fillId="0" borderId="43" pivotButton="0" quotePrefix="0" xfId="0"/>
    <xf numFmtId="0" fontId="0" fillId="0" borderId="15" pivotButton="0" quotePrefix="0" xfId="0"/>
    <xf numFmtId="0" fontId="0" fillId="0" borderId="12" applyAlignment="1" pivotButton="0" quotePrefix="0" xfId="0">
      <alignment horizontal="center" vertical="bottom"/>
    </xf>
    <xf numFmtId="2" fontId="48" fillId="0" borderId="9" applyAlignment="1" pivotButton="0" quotePrefix="0" xfId="0">
      <alignment horizontal="center" vertical="center" wrapText="1"/>
    </xf>
    <xf numFmtId="0" fontId="0" fillId="0" borderId="83" pivotButton="0" quotePrefix="0" xfId="0"/>
    <xf numFmtId="0" fontId="0" fillId="0" borderId="40" pivotButton="0" quotePrefix="0" xfId="0"/>
    <xf numFmtId="0" fontId="0" fillId="0" borderId="0" applyAlignment="1" pivotButton="0" quotePrefix="0" xfId="0">
      <alignment horizontal="general" vertical="bottom" wrapText="1"/>
    </xf>
    <xf numFmtId="2" fontId="48" fillId="0" borderId="30" applyAlignment="1" pivotButton="0" quotePrefix="0" xfId="0">
      <alignment horizontal="general" vertical="center"/>
    </xf>
    <xf numFmtId="2" fontId="48" fillId="0" borderId="0" applyAlignment="1" pivotButton="0" quotePrefix="0" xfId="0">
      <alignment horizontal="general" vertical="center"/>
    </xf>
    <xf numFmtId="0" fontId="52" fillId="0" borderId="0" applyAlignment="1" pivotButton="0" quotePrefix="0" xfId="0">
      <alignment horizontal="general" vertical="center"/>
    </xf>
    <xf numFmtId="0" fontId="53" fillId="0" borderId="0" applyAlignment="1" pivotButton="0" quotePrefix="0" xfId="0">
      <alignment horizontal="center" vertical="center"/>
    </xf>
    <xf numFmtId="0" fontId="53" fillId="0" borderId="0" applyAlignment="1" pivotButton="0" quotePrefix="0" xfId="0">
      <alignment horizontal="general" vertical="center"/>
    </xf>
    <xf numFmtId="0" fontId="52" fillId="0" borderId="6" applyAlignment="1" pivotButton="0" quotePrefix="0" xfId="0">
      <alignment horizontal="general" vertical="center"/>
    </xf>
    <xf numFmtId="0" fontId="54" fillId="0" borderId="6" applyAlignment="1" pivotButton="0" quotePrefix="0" xfId="0">
      <alignment horizontal="center" vertical="center"/>
    </xf>
    <xf numFmtId="0" fontId="53"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5" fillId="10" borderId="55" applyAlignment="1" pivotButton="0" quotePrefix="0" xfId="0">
      <alignment horizontal="left" vertical="center" indent="1"/>
    </xf>
    <xf numFmtId="166" fontId="32" fillId="0" borderId="56"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6" applyProtection="1" pivotButton="0" quotePrefix="0" xfId="0">
      <protection locked="0" hidden="0"/>
    </xf>
    <xf numFmtId="0" fontId="0" fillId="0" borderId="0" applyAlignment="1" pivotButton="0" quotePrefix="0" xfId="0">
      <alignment horizontal="left" vertical="center"/>
    </xf>
    <xf numFmtId="0" fontId="55" fillId="10" borderId="0" applyAlignment="1" pivotButton="0" quotePrefix="0" xfId="0">
      <alignment horizontal="left" vertical="center" indent="1"/>
    </xf>
    <xf numFmtId="0" fontId="32" fillId="0" borderId="57"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7" applyProtection="1" pivotButton="0" quotePrefix="0" xfId="0">
      <protection locked="0" hidden="0"/>
    </xf>
    <xf numFmtId="0" fontId="0" fillId="0" borderId="0" applyAlignment="1" applyProtection="1" pivotButton="0" quotePrefix="0" xfId="0">
      <alignment horizontal="left" vertical="center"/>
      <protection locked="0" hidden="0"/>
    </xf>
    <xf numFmtId="0" fontId="55" fillId="10" borderId="58" applyAlignment="1" pivotButton="0" quotePrefix="0" xfId="0">
      <alignment horizontal="left" vertical="center" indent="1"/>
    </xf>
    <xf numFmtId="0" fontId="32" fillId="0" borderId="5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9" applyProtection="1" pivotButton="0" quotePrefix="0" xfId="0">
      <protection locked="0" hidden="0"/>
    </xf>
    <xf numFmtId="0" fontId="56" fillId="0" borderId="0" applyAlignment="1" pivotButton="0" quotePrefix="0" xfId="0">
      <alignment horizontal="right" vertical="bottom"/>
    </xf>
    <xf numFmtId="0" fontId="57" fillId="10" borderId="60" applyAlignment="1" pivotButton="0" quotePrefix="0" xfId="0">
      <alignment horizontal="left" vertical="center" wrapText="1" indent="1"/>
    </xf>
    <xf numFmtId="0" fontId="55" fillId="6" borderId="61" applyAlignment="1" pivotButton="0" quotePrefix="0" xfId="0">
      <alignment horizontal="center" vertical="center"/>
    </xf>
    <xf numFmtId="0" fontId="0" fillId="0" borderId="96" pivotButton="0" quotePrefix="0" xfId="0"/>
    <xf numFmtId="0" fontId="55" fillId="11" borderId="61" applyAlignment="1" pivotButton="0" quotePrefix="0" xfId="0">
      <alignment horizontal="center" vertical="center"/>
    </xf>
    <xf numFmtId="0" fontId="58" fillId="12" borderId="61" applyAlignment="1" pivotButton="0" quotePrefix="0" xfId="0">
      <alignment horizontal="center" vertical="center"/>
    </xf>
    <xf numFmtId="0" fontId="58" fillId="13" borderId="61" applyAlignment="1" pivotButton="0" quotePrefix="0" xfId="0">
      <alignment horizontal="center" vertical="center"/>
    </xf>
    <xf numFmtId="0" fontId="58" fillId="14" borderId="61" applyAlignment="1" pivotButton="0" quotePrefix="0" xfId="0">
      <alignment horizontal="center" vertical="center"/>
    </xf>
    <xf numFmtId="0" fontId="55" fillId="15" borderId="62" applyAlignment="1" pivotButton="0" quotePrefix="0" xfId="0">
      <alignment horizontal="center" vertical="center"/>
    </xf>
    <xf numFmtId="0" fontId="0" fillId="0" borderId="97" pivotButton="0" quotePrefix="0" xfId="0"/>
    <xf numFmtId="0" fontId="0" fillId="0" borderId="93" pivotButton="0" quotePrefix="0" xfId="0"/>
    <xf numFmtId="0" fontId="35" fillId="0" borderId="63" applyAlignment="1" applyProtection="1" pivotButton="0" quotePrefix="0" xfId="0">
      <alignment horizontal="center" vertical="center"/>
      <protection locked="0" hidden="0"/>
    </xf>
    <xf numFmtId="0" fontId="0" fillId="0" borderId="100" applyProtection="1" pivotButton="0" quotePrefix="0" xfId="0">
      <protection locked="0" hidden="0"/>
    </xf>
    <xf numFmtId="0" fontId="35" fillId="0" borderId="64" applyAlignment="1" applyProtection="1" pivotButton="0" quotePrefix="0" xfId="0">
      <alignment horizontal="center" vertical="center"/>
      <protection locked="0" hidden="0"/>
    </xf>
    <xf numFmtId="0" fontId="0" fillId="0" borderId="102" applyProtection="1" pivotButton="0" quotePrefix="0" xfId="0">
      <protection locked="0" hidden="0"/>
    </xf>
    <xf numFmtId="0" fontId="59" fillId="8" borderId="65" applyAlignment="1" pivotButton="0" quotePrefix="0" xfId="0">
      <alignment horizontal="center" vertical="bottom"/>
    </xf>
    <xf numFmtId="0" fontId="0" fillId="0" borderId="104" pivotButton="0" quotePrefix="0" xfId="0"/>
    <xf numFmtId="0" fontId="59" fillId="8" borderId="66" applyAlignment="1" pivotButton="0" quotePrefix="0" xfId="0">
      <alignment horizontal="center" vertical="bottom"/>
    </xf>
    <xf numFmtId="0" fontId="0" fillId="0" borderId="105" pivotButton="0" quotePrefix="0" xfId="0"/>
    <xf numFmtId="0" fontId="0" fillId="0" borderId="94" pivotButton="0" quotePrefix="0" xfId="0"/>
    <xf numFmtId="0" fontId="60" fillId="8" borderId="67" applyAlignment="1" pivotButton="0" quotePrefix="0" xfId="0">
      <alignment horizontal="center" vertical="top" wrapText="1"/>
    </xf>
    <xf numFmtId="0" fontId="56" fillId="8" borderId="67" applyAlignment="1" pivotButton="0" quotePrefix="0" xfId="0">
      <alignment horizontal="center" vertical="top" wrapText="1"/>
    </xf>
    <xf numFmtId="0" fontId="56" fillId="8" borderId="68" applyAlignment="1" pivotButton="0" quotePrefix="0" xfId="0">
      <alignment horizontal="center" vertical="top" wrapText="1"/>
    </xf>
    <xf numFmtId="0" fontId="0" fillId="0" borderId="107" pivotButton="0" quotePrefix="0" xfId="0"/>
    <xf numFmtId="0" fontId="52" fillId="0" borderId="0" applyAlignment="1" pivotButton="0" quotePrefix="0" xfId="0">
      <alignment horizontal="left" vertical="center" indent="1"/>
    </xf>
    <xf numFmtId="0" fontId="53" fillId="0" borderId="0" applyAlignment="1" pivotButton="0" quotePrefix="0" xfId="0">
      <alignment horizontal="center" vertical="center" wrapText="1"/>
    </xf>
    <xf numFmtId="0" fontId="62" fillId="0" borderId="63" applyAlignment="1" applyProtection="1" pivotButton="0" quotePrefix="0" xfId="0">
      <alignment horizontal="center" vertical="center"/>
      <protection locked="0" hidden="0"/>
    </xf>
    <xf numFmtId="0" fontId="62" fillId="0" borderId="64"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7" fillId="10" borderId="69" applyAlignment="1" pivotButton="0" quotePrefix="0" xfId="0">
      <alignment horizontal="left" vertical="center" wrapText="1" indent="1"/>
    </xf>
    <xf numFmtId="0" fontId="63" fillId="10" borderId="70" applyAlignment="1" pivotButton="0" quotePrefix="0" xfId="0">
      <alignment horizontal="center" vertical="center"/>
    </xf>
    <xf numFmtId="0" fontId="63" fillId="10" borderId="71" applyAlignment="1" pivotButton="0" quotePrefix="0" xfId="0">
      <alignment horizontal="center" vertical="center"/>
    </xf>
    <xf numFmtId="0" fontId="32" fillId="0" borderId="68"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8" pivotButton="0" quotePrefix="0" xfId="0"/>
    <xf numFmtId="0" fontId="0" fillId="0" borderId="109" applyProtection="1" pivotButton="0" quotePrefix="0" xfId="0">
      <protection locked="0" hidden="0"/>
    </xf>
    <xf numFmtId="0" fontId="0" fillId="0" borderId="58" applyProtection="1" pivotButton="0" quotePrefix="0" xfId="0">
      <protection locked="0" hidden="0"/>
    </xf>
    <xf numFmtId="0" fontId="0" fillId="0" borderId="107" applyProtection="1" pivotButton="0" quotePrefix="0" xfId="0">
      <protection locked="0" hidden="0"/>
    </xf>
    <xf numFmtId="0" fontId="64" fillId="0" borderId="0" applyAlignment="1" pivotButton="0" quotePrefix="0" xfId="0">
      <alignment horizontal="general" vertical="center"/>
    </xf>
    <xf numFmtId="0" fontId="44" fillId="0" borderId="0" applyAlignment="1" pivotButton="0" quotePrefix="0" xfId="0">
      <alignment horizontal="general" vertical="center"/>
    </xf>
    <xf numFmtId="0" fontId="64" fillId="0" borderId="0" applyAlignment="1" pivotButton="0" quotePrefix="0" xfId="0">
      <alignment horizontal="center" vertical="center"/>
    </xf>
    <xf numFmtId="0" fontId="65" fillId="0" borderId="0" applyAlignment="1" pivotButton="0" quotePrefix="0" xfId="0">
      <alignment horizontal="left" vertical="center" wrapText="1"/>
    </xf>
    <xf numFmtId="0" fontId="32" fillId="0" borderId="44" applyAlignment="1" pivotButton="0" quotePrefix="0" xfId="0">
      <alignment horizontal="left" vertical="center"/>
    </xf>
    <xf numFmtId="0" fontId="64" fillId="0" borderId="0" applyAlignment="1" applyProtection="1" pivotButton="0" quotePrefix="0" xfId="0">
      <alignment horizontal="general" vertical="center"/>
      <protection locked="0" hidden="0"/>
    </xf>
    <xf numFmtId="0" fontId="32" fillId="0" borderId="72" applyAlignment="1" pivotButton="0" quotePrefix="0" xfId="0">
      <alignment horizontal="left" vertical="center"/>
    </xf>
    <xf numFmtId="0" fontId="32" fillId="0" borderId="72" applyAlignment="1" pivotButton="0" quotePrefix="0" xfId="0">
      <alignment horizontal="center" vertical="center"/>
    </xf>
    <xf numFmtId="0" fontId="32" fillId="0" borderId="0" applyAlignment="1" pivotButton="0" quotePrefix="0" xfId="0">
      <alignment horizontal="center" vertical="center"/>
    </xf>
    <xf numFmtId="0" fontId="32" fillId="0" borderId="0" applyAlignment="1" pivotButton="0" quotePrefix="0" xfId="0">
      <alignment horizontal="general" vertical="center"/>
    </xf>
    <xf numFmtId="0" fontId="66" fillId="0" borderId="0" applyAlignment="1" pivotButton="0" quotePrefix="0" xfId="0">
      <alignment horizontal="general" vertical="center" wrapText="1"/>
    </xf>
    <xf numFmtId="0" fontId="67" fillId="0" borderId="0" applyAlignment="1" pivotButton="0" quotePrefix="0" xfId="0">
      <alignment horizontal="center" vertical="bottom" wrapText="1"/>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5" fillId="3" borderId="0" applyAlignment="1" pivotButton="0" quotePrefix="0" xfId="26">
      <alignment horizontal="general" vertical="bottom"/>
    </xf>
    <xf numFmtId="0" fontId="32" fillId="3" borderId="0" applyAlignment="1" pivotButton="0" quotePrefix="0" xfId="26">
      <alignment horizontal="general" vertical="bottom"/>
    </xf>
    <xf numFmtId="168" fontId="35" fillId="3" borderId="0" applyAlignment="1" pivotButton="0" quotePrefix="0" xfId="26">
      <alignment horizontal="general" vertical="bottom"/>
    </xf>
    <xf numFmtId="0" fontId="44" fillId="3" borderId="0" applyAlignment="1" pivotButton="0" quotePrefix="0" xfId="26">
      <alignment horizontal="general" vertical="bottom"/>
    </xf>
    <xf numFmtId="0" fontId="68" fillId="3" borderId="0" applyAlignment="1" pivotButton="0" quotePrefix="0" xfId="0">
      <alignment horizontal="general" vertical="bottom"/>
    </xf>
    <xf numFmtId="0" fontId="69" fillId="3" borderId="0" applyAlignment="1" pivotButton="0" quotePrefix="0" xfId="0">
      <alignment horizontal="general" vertical="bottom"/>
    </xf>
    <xf numFmtId="0" fontId="38" fillId="3" borderId="0" applyAlignment="1" pivotButton="0" quotePrefix="0" xfId="26">
      <alignment horizontal="right" vertical="bottom"/>
    </xf>
    <xf numFmtId="0" fontId="38" fillId="3" borderId="0" applyAlignment="1" pivotButton="0" quotePrefix="0" xfId="26">
      <alignment horizontal="general" vertical="bottom"/>
    </xf>
    <xf numFmtId="0" fontId="38" fillId="3" borderId="0" applyAlignment="1" pivotButton="0" quotePrefix="0" xfId="26">
      <alignment horizontal="left" vertical="bottom"/>
    </xf>
    <xf numFmtId="0" fontId="70" fillId="3" borderId="0" applyAlignment="1" pivotButton="0" quotePrefix="0" xfId="26">
      <alignment horizontal="general" vertical="bottom"/>
    </xf>
    <xf numFmtId="0" fontId="71" fillId="3" borderId="0" applyAlignment="1" pivotButton="0" quotePrefix="0" xfId="26">
      <alignment horizontal="general" vertical="bottom"/>
    </xf>
    <xf numFmtId="0" fontId="72" fillId="3" borderId="0" applyAlignment="1" pivotButton="0" quotePrefix="0" xfId="26">
      <alignment horizontal="general" vertical="bottom"/>
    </xf>
    <xf numFmtId="0" fontId="73" fillId="3" borderId="0" applyAlignment="1" pivotButton="0" quotePrefix="0" xfId="26">
      <alignment horizontal="general" vertical="bottom"/>
    </xf>
    <xf numFmtId="12" fontId="44" fillId="3" borderId="0" applyAlignment="1" pivotButton="0" quotePrefix="0" xfId="26">
      <alignment horizontal="center" vertical="bottom"/>
    </xf>
    <xf numFmtId="2" fontId="43" fillId="3" borderId="0" applyAlignment="1" pivotButton="0" quotePrefix="0" xfId="26">
      <alignment horizontal="center" vertical="bottom"/>
    </xf>
    <xf numFmtId="49" fontId="43" fillId="3" borderId="0" applyAlignment="1" pivotButton="0" quotePrefix="0" xfId="26">
      <alignment horizontal="center" vertical="bottom"/>
    </xf>
    <xf numFmtId="0" fontId="43" fillId="3" borderId="0" applyAlignment="1" pivotButton="0" quotePrefix="0" xfId="26">
      <alignment horizontal="center" vertical="bottom"/>
    </xf>
    <xf numFmtId="0" fontId="74" fillId="3" borderId="0" applyAlignment="1" pivotButton="0" quotePrefix="0" xfId="0">
      <alignment horizontal="left" vertical="bottom"/>
    </xf>
    <xf numFmtId="0" fontId="74" fillId="3" borderId="0" applyAlignment="1" pivotButton="0" quotePrefix="0" xfId="0">
      <alignment horizontal="general" vertical="bottom"/>
    </xf>
    <xf numFmtId="49" fontId="75" fillId="3" borderId="0" applyAlignment="1" pivotButton="0" quotePrefix="0" xfId="26">
      <alignment horizontal="left" vertical="bottom"/>
    </xf>
    <xf numFmtId="0" fontId="59" fillId="3" borderId="36" applyAlignment="1" pivotButton="0" quotePrefix="0" xfId="23">
      <alignment horizontal="general" vertical="bottom"/>
    </xf>
    <xf numFmtId="0" fontId="75" fillId="3" borderId="0" applyAlignment="1" pivotButton="0" quotePrefix="0" xfId="23">
      <alignment horizontal="left" vertical="bottom"/>
    </xf>
    <xf numFmtId="0" fontId="22" fillId="3" borderId="0" applyAlignment="1" pivotButton="0" quotePrefix="0" xfId="23">
      <alignment horizontal="general" vertical="bottom"/>
    </xf>
    <xf numFmtId="0" fontId="76" fillId="3" borderId="1" applyAlignment="1" pivotButton="0" quotePrefix="0" xfId="0">
      <alignment horizontal="left" vertical="bottom"/>
    </xf>
    <xf numFmtId="0" fontId="76" fillId="3" borderId="1" applyAlignment="1" pivotButton="0" quotePrefix="0" xfId="0">
      <alignment horizontal="center" vertical="bottom" wrapText="1"/>
    </xf>
    <xf numFmtId="0" fontId="44" fillId="3" borderId="0" applyAlignment="1" pivotButton="0" quotePrefix="0" xfId="23">
      <alignment horizontal="general" vertical="bottom"/>
    </xf>
    <xf numFmtId="0" fontId="77" fillId="3" borderId="30" applyAlignment="1" pivotButton="0" quotePrefix="0" xfId="27">
      <alignment horizontal="left" vertical="bottom"/>
    </xf>
    <xf numFmtId="0" fontId="77" fillId="3" borderId="0" applyAlignment="1" pivotButton="0" quotePrefix="0" xfId="27">
      <alignment horizontal="left" vertical="bottom" wrapText="1"/>
    </xf>
    <xf numFmtId="0" fontId="78" fillId="3" borderId="0" applyAlignment="1" pivotButton="0" quotePrefix="0" xfId="27">
      <alignment horizontal="general" vertical="bottom"/>
    </xf>
    <xf numFmtId="0" fontId="77" fillId="3" borderId="0" applyAlignment="1" pivotButton="0" quotePrefix="0" xfId="27">
      <alignment horizontal="general" vertical="bottom" wrapText="1"/>
    </xf>
    <xf numFmtId="0" fontId="77" fillId="3" borderId="0" applyAlignment="1" pivotButton="0" quotePrefix="0" xfId="27">
      <alignment horizontal="left" vertical="bottom"/>
    </xf>
    <xf numFmtId="0" fontId="79" fillId="3" borderId="0" applyAlignment="1" pivotButton="0" quotePrefix="0" xfId="27">
      <alignment horizontal="left" vertical="bottom"/>
    </xf>
    <xf numFmtId="0" fontId="79" fillId="3" borderId="0" applyAlignment="1" pivotButton="0" quotePrefix="0" xfId="23">
      <alignment horizontal="left" vertical="bottom"/>
    </xf>
    <xf numFmtId="0" fontId="0" fillId="4" borderId="0" applyAlignment="1" pivotButton="0" quotePrefix="0" xfId="0">
      <alignment horizontal="general" vertical="bottom"/>
    </xf>
    <xf numFmtId="0" fontId="79" fillId="4" borderId="0" applyAlignment="1" pivotButton="0" quotePrefix="0" xfId="26">
      <alignment horizontal="left" vertical="bottom"/>
    </xf>
    <xf numFmtId="1" fontId="80" fillId="4" borderId="0" applyAlignment="1" pivotButton="0" quotePrefix="0" xfId="26">
      <alignment horizontal="general" vertical="bottom"/>
    </xf>
    <xf numFmtId="0" fontId="80" fillId="4" borderId="0" applyAlignment="1" pivotButton="0" quotePrefix="0" xfId="26">
      <alignment horizontal="general" vertical="bottom"/>
    </xf>
    <xf numFmtId="0" fontId="81" fillId="4" borderId="0" applyAlignment="1" pivotButton="0" quotePrefix="0" xfId="0">
      <alignment horizontal="general" vertical="bottom"/>
    </xf>
    <xf numFmtId="0" fontId="68" fillId="4" borderId="0" applyAlignment="1" pivotButton="0" quotePrefix="0" xfId="0">
      <alignment horizontal="general" vertical="bottom"/>
    </xf>
    <xf numFmtId="0" fontId="84" fillId="4" borderId="0" applyAlignment="1" pivotButton="0" quotePrefix="0" xfId="0">
      <alignment horizontal="general" vertical="bottom"/>
    </xf>
    <xf numFmtId="0" fontId="82" fillId="4" borderId="0" applyAlignment="1" pivotButton="0" quotePrefix="0" xfId="26">
      <alignment horizontal="left" vertical="bottom"/>
    </xf>
    <xf numFmtId="1" fontId="83" fillId="4" borderId="0" applyAlignment="1" pivotButton="0" quotePrefix="0" xfId="26">
      <alignment horizontal="general" vertical="bottom"/>
    </xf>
    <xf numFmtId="0" fontId="83" fillId="4" borderId="0" applyAlignment="1" pivotButton="0" quotePrefix="0" xfId="26">
      <alignment horizontal="general" vertical="bottom"/>
    </xf>
    <xf numFmtId="0" fontId="82" fillId="4" borderId="6" applyAlignment="1" pivotButton="0" quotePrefix="0" xfId="26">
      <alignment horizontal="center" vertical="bottom"/>
    </xf>
    <xf numFmtId="0" fontId="82" fillId="4" borderId="0" applyAlignment="1" pivotButton="0" quotePrefix="0" xfId="26">
      <alignment horizontal="general" vertical="bottom"/>
    </xf>
    <xf numFmtId="0" fontId="83" fillId="4" borderId="0" applyAlignment="1" pivotButton="0" quotePrefix="0" xfId="0">
      <alignment horizontal="general" vertical="bottom"/>
    </xf>
    <xf numFmtId="0" fontId="79" fillId="4" borderId="0" applyAlignment="1" pivotButton="0" quotePrefix="0" xfId="26">
      <alignment horizontal="center" vertical="bottom"/>
    </xf>
    <xf numFmtId="0" fontId="79" fillId="4" borderId="0" applyAlignment="1" pivotButton="0" quotePrefix="0" xfId="26">
      <alignment horizontal="general" vertical="bottom"/>
    </xf>
    <xf numFmtId="1" fontId="79" fillId="4" borderId="6" applyAlignment="1" pivotButton="0" quotePrefix="0" xfId="26">
      <alignment horizontal="center" vertical="bottom"/>
    </xf>
    <xf numFmtId="49" fontId="79" fillId="4" borderId="6" applyAlignment="1" pivotButton="0" quotePrefix="0" xfId="26">
      <alignment horizontal="center" vertical="bottom"/>
    </xf>
    <xf numFmtId="174" fontId="85" fillId="4" borderId="0" applyAlignment="1" pivotButton="0" quotePrefix="0" xfId="26">
      <alignment horizontal="right" vertical="center"/>
    </xf>
    <xf numFmtId="0" fontId="86" fillId="4" borderId="0" applyAlignment="1" pivotButton="0" quotePrefix="0" xfId="26">
      <alignment horizontal="center" vertical="bottom"/>
    </xf>
    <xf numFmtId="1" fontId="79" fillId="4" borderId="0" applyAlignment="1" pivotButton="0" quotePrefix="0" xfId="26">
      <alignment horizontal="center" vertical="bottom"/>
    </xf>
    <xf numFmtId="49" fontId="79" fillId="4" borderId="0" applyAlignment="1" pivotButton="0" quotePrefix="0" xfId="26">
      <alignment horizontal="center" vertical="bottom"/>
    </xf>
    <xf numFmtId="174" fontId="85" fillId="4" borderId="0" applyAlignment="1" pivotButton="0" quotePrefix="0" xfId="26">
      <alignment horizontal="right" vertical="bottom"/>
    </xf>
    <xf numFmtId="0" fontId="79" fillId="4" borderId="35" applyAlignment="1" pivotButton="0" quotePrefix="0" xfId="26">
      <alignment horizontal="center" vertical="bottom"/>
    </xf>
    <xf numFmtId="0" fontId="87" fillId="4" borderId="4" applyAlignment="1" pivotButton="0" quotePrefix="0" xfId="0">
      <alignment horizontal="center" vertical="bottom" wrapText="1"/>
    </xf>
    <xf numFmtId="0" fontId="79" fillId="4" borderId="6" applyAlignment="1" pivotButton="0" quotePrefix="0" xfId="26">
      <alignment horizontal="center" vertical="bottom"/>
    </xf>
    <xf numFmtId="0" fontId="87" fillId="4" borderId="36" applyAlignment="1" pivotButton="0" quotePrefix="0" xfId="0">
      <alignment horizontal="general" vertical="bottom"/>
    </xf>
    <xf numFmtId="0" fontId="87" fillId="4" borderId="37" applyAlignment="1" pivotButton="0" quotePrefix="0" xfId="0">
      <alignment horizontal="general" vertical="bottom"/>
    </xf>
    <xf numFmtId="0" fontId="87" fillId="4" borderId="0" applyAlignment="1" pivotButton="0" quotePrefix="0" xfId="0">
      <alignment horizontal="left" vertical="bottom"/>
    </xf>
    <xf numFmtId="0" fontId="88" fillId="4" borderId="0" applyAlignment="1" pivotButton="0" quotePrefix="0" xfId="26">
      <alignment horizontal="general" vertical="center" wrapText="1"/>
    </xf>
    <xf numFmtId="1" fontId="21" fillId="4" borderId="0" applyAlignment="1" pivotButton="0" quotePrefix="0" xfId="0">
      <alignment horizontal="general" vertical="bottom"/>
    </xf>
    <xf numFmtId="0" fontId="79" fillId="4" borderId="32" applyAlignment="1" pivotButton="0" quotePrefix="0" xfId="26">
      <alignment horizontal="center" vertical="bottom" wrapText="1"/>
    </xf>
    <xf numFmtId="0" fontId="79" fillId="4" borderId="0" applyAlignment="1" pivotButton="0" quotePrefix="0" xfId="26">
      <alignment horizontal="general" vertical="bottom" wrapText="1"/>
    </xf>
    <xf numFmtId="0" fontId="81" fillId="4" borderId="0" applyAlignment="1" pivotButton="0" quotePrefix="0" xfId="0">
      <alignment horizontal="general" vertical="center"/>
    </xf>
    <xf numFmtId="0" fontId="88" fillId="4" borderId="0" applyAlignment="1" pivotButton="0" quotePrefix="0" xfId="26">
      <alignment horizontal="general" vertical="bottom"/>
    </xf>
    <xf numFmtId="0" fontId="88" fillId="4" borderId="0" applyAlignment="1" pivotButton="0" quotePrefix="0" xfId="26">
      <alignment horizontal="left" vertical="center" wrapText="1"/>
    </xf>
    <xf numFmtId="0" fontId="88" fillId="4" borderId="0" applyAlignment="1" pivotButton="0" quotePrefix="0" xfId="26">
      <alignment horizontal="left" vertical="bottom"/>
    </xf>
    <xf numFmtId="0" fontId="48" fillId="4" borderId="0" applyAlignment="1" pivotButton="0" quotePrefix="0" xfId="0">
      <alignment horizontal="general" vertical="center"/>
    </xf>
    <xf numFmtId="0" fontId="87" fillId="4" borderId="0" applyAlignment="1" pivotButton="0" quotePrefix="0" xfId="0">
      <alignment horizontal="left" vertical="center"/>
    </xf>
    <xf numFmtId="0" fontId="87" fillId="4" borderId="0" applyAlignment="1" pivotButton="0" quotePrefix="0" xfId="0">
      <alignment horizontal="general" vertical="center"/>
    </xf>
    <xf numFmtId="0" fontId="88" fillId="4" borderId="0" applyAlignment="1" pivotButton="0" quotePrefix="0" xfId="26">
      <alignment horizontal="left" vertical="center"/>
    </xf>
    <xf numFmtId="0" fontId="79" fillId="4" borderId="0" applyAlignment="1" pivotButton="0" quotePrefix="0" xfId="26">
      <alignment horizontal="general" vertical="center"/>
    </xf>
    <xf numFmtId="0" fontId="79" fillId="4" borderId="6" applyAlignment="1" pivotButton="0" quotePrefix="0" xfId="26">
      <alignment horizontal="center" vertical="center" shrinkToFit="1"/>
    </xf>
    <xf numFmtId="0" fontId="79" fillId="4" borderId="0" applyAlignment="1" pivotButton="0" quotePrefix="0" xfId="26">
      <alignment horizontal="left" vertical="bottom" wrapText="1"/>
    </xf>
    <xf numFmtId="0" fontId="43" fillId="4" borderId="0" applyAlignment="1" pivotButton="0" quotePrefix="0" xfId="23">
      <alignment horizontal="general" vertical="center"/>
    </xf>
    <xf numFmtId="0" fontId="79" fillId="4" borderId="0" applyAlignment="1" pivotButton="0" quotePrefix="0" xfId="23">
      <alignment horizontal="left" vertical="center"/>
    </xf>
    <xf numFmtId="1" fontId="79" fillId="4" borderId="0" applyAlignment="1" pivotButton="0" quotePrefix="0" xfId="23">
      <alignment horizontal="general" vertical="center"/>
    </xf>
    <xf numFmtId="0" fontId="89" fillId="4" borderId="0" applyAlignment="1" pivotButton="0" quotePrefix="0" xfId="0">
      <alignment horizontal="general" vertical="center"/>
    </xf>
    <xf numFmtId="0" fontId="79" fillId="4" borderId="0" applyAlignment="1" pivotButton="0" quotePrefix="0" xfId="23">
      <alignment horizontal="general" vertical="center"/>
    </xf>
    <xf numFmtId="0" fontId="0" fillId="4" borderId="0" applyAlignment="1" pivotButton="0" quotePrefix="0" xfId="0">
      <alignment horizontal="general" vertical="center"/>
    </xf>
    <xf numFmtId="0" fontId="79" fillId="4" borderId="0" applyAlignment="1" pivotButton="0" quotePrefix="0" xfId="26">
      <alignment horizontal="left" vertical="center"/>
    </xf>
    <xf numFmtId="1" fontId="80" fillId="4" borderId="0" applyAlignment="1" pivotButton="0" quotePrefix="0" xfId="26">
      <alignment horizontal="general" vertical="center"/>
    </xf>
    <xf numFmtId="0" fontId="80" fillId="4" borderId="0" applyAlignment="1" pivotButton="0" quotePrefix="0" xfId="26">
      <alignment horizontal="general" vertical="center"/>
    </xf>
    <xf numFmtId="1" fontId="79" fillId="4" borderId="6" applyAlignment="1" pivotButton="0" quotePrefix="0" xfId="26">
      <alignment horizontal="center" vertical="center"/>
    </xf>
    <xf numFmtId="0" fontId="79" fillId="4" borderId="0" applyAlignment="1" pivotButton="0" quotePrefix="0" xfId="26">
      <alignment horizontal="left" vertical="center" wrapText="1"/>
    </xf>
    <xf numFmtId="1" fontId="79" fillId="4" borderId="0" applyAlignment="1" pivotButton="0" quotePrefix="0" xfId="26">
      <alignment horizontal="center" vertical="center"/>
    </xf>
    <xf numFmtId="174" fontId="79" fillId="4" borderId="0" applyAlignment="1" pivotButton="0" quotePrefix="0" xfId="26">
      <alignment horizontal="right" vertical="center"/>
    </xf>
    <xf numFmtId="0" fontId="79" fillId="4" borderId="0" applyAlignment="1" pivotButton="0" quotePrefix="0" xfId="26">
      <alignment horizontal="center" vertical="bottom" wrapText="1"/>
    </xf>
    <xf numFmtId="0" fontId="79" fillId="4" borderId="36" applyAlignment="1" pivotButton="0" quotePrefix="0" xfId="23">
      <alignment horizontal="left" vertical="center"/>
    </xf>
    <xf numFmtId="0" fontId="79" fillId="4" borderId="6" applyAlignment="1" pivotButton="0" quotePrefix="0" xfId="26">
      <alignment horizontal="center" vertical="center"/>
    </xf>
    <xf numFmtId="0" fontId="79" fillId="2" borderId="36" applyAlignment="1" pivotButton="0" quotePrefix="0" xfId="23">
      <alignment horizontal="left" vertical="center"/>
    </xf>
    <xf numFmtId="0" fontId="80" fillId="2" borderId="0" applyAlignment="1" pivotButton="0" quotePrefix="0" xfId="26">
      <alignment horizontal="general" vertical="center"/>
    </xf>
    <xf numFmtId="0" fontId="90" fillId="2" borderId="0" applyAlignment="1" pivotButton="0" quotePrefix="0" xfId="26">
      <alignment horizontal="center" vertical="center"/>
    </xf>
    <xf numFmtId="0" fontId="79" fillId="0" borderId="36" applyAlignment="1" pivotButton="0" quotePrefix="0" xfId="23">
      <alignment horizontal="left" vertical="center"/>
    </xf>
    <xf numFmtId="0" fontId="80" fillId="0" borderId="0" applyAlignment="1" pivotButton="0" quotePrefix="0" xfId="26">
      <alignment horizontal="general" vertical="center"/>
    </xf>
    <xf numFmtId="0" fontId="79" fillId="0" borderId="0" applyAlignment="1" pivotButton="0" quotePrefix="0" xfId="26">
      <alignment horizontal="left" vertical="center" wrapText="1"/>
    </xf>
    <xf numFmtId="0" fontId="48" fillId="0" borderId="0" applyAlignment="1" pivotButton="0" quotePrefix="0" xfId="0">
      <alignment horizontal="general" vertical="center"/>
    </xf>
    <xf numFmtId="0" fontId="87" fillId="0" borderId="0" applyAlignment="1" pivotButton="0" quotePrefix="0" xfId="0">
      <alignment horizontal="left" vertical="center"/>
    </xf>
    <xf numFmtId="0" fontId="79" fillId="0" borderId="0" applyAlignment="1" pivotButton="0" quotePrefix="0" xfId="26">
      <alignment horizontal="general" vertical="center"/>
    </xf>
    <xf numFmtId="0" fontId="79" fillId="0" borderId="0" applyAlignment="1" pivotButton="0" quotePrefix="0" xfId="26">
      <alignment horizontal="left" vertical="center"/>
    </xf>
    <xf numFmtId="0" fontId="48" fillId="0" borderId="0" applyAlignment="1" pivotButton="0" quotePrefix="0" xfId="0">
      <alignment horizontal="general" vertical="bottom"/>
    </xf>
    <xf numFmtId="0" fontId="79" fillId="0" borderId="0" applyAlignment="1" pivotButton="0" quotePrefix="0" xfId="23">
      <alignment horizontal="left" vertical="center"/>
    </xf>
    <xf numFmtId="0" fontId="79" fillId="0" borderId="0" applyAlignment="1" pivotButton="0" quotePrefix="0" xfId="26">
      <alignment horizontal="general" vertical="bottom"/>
    </xf>
    <xf numFmtId="0" fontId="79" fillId="0" borderId="0" applyAlignment="1" pivotButton="0" quotePrefix="0" xfId="26">
      <alignment horizontal="left" vertical="bottom"/>
    </xf>
    <xf numFmtId="0" fontId="87" fillId="0" borderId="0" applyAlignment="1" pivotButton="0" quotePrefix="0" xfId="0">
      <alignment horizontal="left" vertical="bottom"/>
    </xf>
    <xf numFmtId="0" fontId="79" fillId="2" borderId="0" applyAlignment="1" pivotButton="0" quotePrefix="0" xfId="26">
      <alignment horizontal="general" vertical="bottom"/>
    </xf>
    <xf numFmtId="0" fontId="80" fillId="0" borderId="0" applyAlignment="1" pivotButton="0" quotePrefix="0" xfId="26">
      <alignment horizontal="general" vertical="bottom"/>
    </xf>
    <xf numFmtId="0" fontId="80" fillId="0" borderId="0" applyAlignment="1" pivotButton="0" quotePrefix="0" xfId="26">
      <alignment horizontal="left" vertical="bottom"/>
    </xf>
    <xf numFmtId="0" fontId="91" fillId="0" borderId="0" applyAlignment="1" pivotButton="0" quotePrefix="0" xfId="0">
      <alignment horizontal="general" vertical="center"/>
    </xf>
    <xf numFmtId="0" fontId="81" fillId="0" borderId="0" applyAlignment="1" pivotButton="0" quotePrefix="0" xfId="0">
      <alignment horizontal="general" vertical="center"/>
    </xf>
    <xf numFmtId="0" fontId="87" fillId="0" borderId="0" applyAlignment="1" pivotButton="0" quotePrefix="0" xfId="0">
      <alignment horizontal="general" vertical="center"/>
    </xf>
    <xf numFmtId="0" fontId="87" fillId="0" borderId="0" applyAlignment="1" pivotButton="0" quotePrefix="0" xfId="0">
      <alignment horizontal="left" vertical="center" wrapText="1"/>
    </xf>
    <xf numFmtId="0" fontId="80" fillId="2" borderId="0" applyAlignment="1" pivotButton="0" quotePrefix="0" xfId="26">
      <alignment horizontal="left" vertical="bottom"/>
    </xf>
    <xf numFmtId="0" fontId="80" fillId="2" borderId="0" applyAlignment="1" pivotButton="0" quotePrefix="0" xfId="26">
      <alignment horizontal="general" vertical="bottom"/>
    </xf>
    <xf numFmtId="0" fontId="44" fillId="0" borderId="0" applyAlignment="1" pivotButton="0" quotePrefix="0" xfId="23">
      <alignment horizontal="general" vertical="bottom"/>
    </xf>
    <xf numFmtId="0" fontId="80" fillId="0" borderId="0" applyAlignment="1" pivotButton="0" quotePrefix="0" xfId="23">
      <alignment horizontal="general" vertical="bottom"/>
    </xf>
    <xf numFmtId="0" fontId="79" fillId="2" borderId="0" applyAlignment="1" pivotButton="0" quotePrefix="0" xfId="26">
      <alignment horizontal="left" vertical="bottom"/>
    </xf>
    <xf numFmtId="0" fontId="44" fillId="2" borderId="0" applyAlignment="1" pivotButton="0" quotePrefix="0" xfId="26">
      <alignment horizontal="left" vertical="bottom"/>
    </xf>
    <xf numFmtId="0" fontId="44" fillId="2" borderId="0" applyAlignment="1" pivotButton="0" quotePrefix="0" xfId="26">
      <alignment horizontal="general" vertical="bottom"/>
    </xf>
    <xf numFmtId="0" fontId="92" fillId="2" borderId="0" applyAlignment="1" pivotButton="0" quotePrefix="0" xfId="26">
      <alignment horizontal="general" vertical="center"/>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93" fillId="0" borderId="28" applyAlignment="1" applyProtection="1" pivotButton="0" quotePrefix="0" xfId="24">
      <alignment horizontal="center" vertical="center"/>
      <protection locked="1" hidden="1"/>
    </xf>
    <xf numFmtId="0" fontId="0" fillId="0" borderId="73" applyProtection="1" pivotButton="0" quotePrefix="0" xfId="0">
      <protection locked="1" hidden="1"/>
    </xf>
    <xf numFmtId="0" fontId="93" fillId="0" borderId="6" applyAlignment="1" applyProtection="1" pivotButton="0" quotePrefix="0" xfId="24">
      <alignment horizontal="center" vertical="center"/>
      <protection locked="1" hidden="1"/>
    </xf>
    <xf numFmtId="0" fontId="0" fillId="0" borderId="72" applyProtection="1" pivotButton="0" quotePrefix="0" xfId="0">
      <protection locked="1" hidden="1"/>
    </xf>
    <xf numFmtId="0" fontId="0" fillId="0" borderId="76" applyProtection="1" pivotButton="0" quotePrefix="0" xfId="0">
      <protection locked="1" hidden="1"/>
    </xf>
    <xf numFmtId="0" fontId="0" fillId="0" borderId="86" applyProtection="1" pivotButton="0" quotePrefix="0" xfId="0">
      <protection locked="1" hidden="1"/>
    </xf>
    <xf numFmtId="0" fontId="94" fillId="0" borderId="6" applyAlignment="1" applyProtection="1" pivotButton="0" quotePrefix="0" xfId="24">
      <alignment horizontal="center" vertical="center"/>
      <protection locked="1" hidden="1"/>
    </xf>
    <xf numFmtId="0" fontId="0" fillId="0" borderId="45" applyProtection="1" pivotButton="0" quotePrefix="0" xfId="0">
      <protection locked="1" hidden="1"/>
    </xf>
    <xf numFmtId="0" fontId="0" fillId="0" borderId="84" applyProtection="1" pivotButton="0" quotePrefix="0" xfId="0">
      <protection locked="1" hidden="1"/>
    </xf>
    <xf numFmtId="0" fontId="0" fillId="0" borderId="0" applyProtection="1" pivotButton="0" quotePrefix="0" xfId="0">
      <protection locked="1" hidden="1"/>
    </xf>
    <xf numFmtId="0" fontId="0" fillId="0" borderId="21" applyProtection="1" pivotButton="0" quotePrefix="0" xfId="0">
      <protection locked="1" hidden="1"/>
    </xf>
    <xf numFmtId="0" fontId="95" fillId="0" borderId="6" applyAlignment="1" applyProtection="1" pivotButton="0" quotePrefix="0" xfId="24">
      <alignment horizontal="center" vertical="center"/>
      <protection locked="1" hidden="1"/>
    </xf>
    <xf numFmtId="0" fontId="96" fillId="0" borderId="6" applyAlignment="1" applyProtection="1" pivotButton="0" quotePrefix="0" xfId="24">
      <alignment horizontal="center" vertical="center"/>
      <protection locked="1" hidden="1"/>
    </xf>
    <xf numFmtId="168" fontId="96" fillId="0" borderId="6" applyAlignment="1" applyProtection="1" pivotButton="0" quotePrefix="0" xfId="24">
      <alignment horizontal="center" vertical="center"/>
      <protection locked="1" hidden="1"/>
    </xf>
    <xf numFmtId="0" fontId="48" fillId="5" borderId="6" applyAlignment="1" applyProtection="1" pivotButton="0" quotePrefix="0" xfId="24">
      <alignment horizontal="general" vertical="center"/>
      <protection locked="1" hidden="1"/>
    </xf>
    <xf numFmtId="0" fontId="35"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9" fillId="2" borderId="28" applyAlignment="1" applyProtection="1" pivotButton="0" quotePrefix="0" xfId="24">
      <alignment horizontal="center" vertical="center"/>
      <protection locked="1" hidden="1"/>
    </xf>
    <xf numFmtId="0" fontId="59" fillId="2" borderId="45" applyAlignment="1" applyProtection="1" pivotButton="0" quotePrefix="0" xfId="24">
      <alignment horizontal="center" vertical="center"/>
      <protection locked="1" hidden="1"/>
    </xf>
    <xf numFmtId="0" fontId="0" fillId="0" borderId="15" applyProtection="1" pivotButton="0" quotePrefix="0" xfId="0">
      <protection locked="1" hidden="1"/>
    </xf>
    <xf numFmtId="0" fontId="75" fillId="2" borderId="28" applyAlignment="1" applyProtection="1" pivotButton="0" quotePrefix="0" xfId="24">
      <alignment horizontal="center" vertical="center"/>
      <protection locked="1" hidden="1"/>
    </xf>
    <xf numFmtId="166" fontId="75" fillId="2" borderId="73" applyAlignment="1" applyProtection="1" pivotButton="0" quotePrefix="0" xfId="24">
      <alignment horizontal="center" vertical="center"/>
      <protection locked="1" hidden="1"/>
    </xf>
    <xf numFmtId="0" fontId="75" fillId="2" borderId="73" applyAlignment="1" applyProtection="1" pivotButton="0" quotePrefix="0" xfId="24">
      <alignment horizontal="general" vertical="center"/>
      <protection locked="1" hidden="1"/>
    </xf>
    <xf numFmtId="166" fontId="75" fillId="2" borderId="45"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4" applyProtection="1" pivotButton="0" quotePrefix="0" xfId="0">
      <protection locked="1" hidden="1"/>
    </xf>
    <xf numFmtId="0" fontId="0" fillId="0" borderId="14" applyProtection="1" pivotButton="0" quotePrefix="0" xfId="0">
      <protection locked="1" hidden="1"/>
    </xf>
    <xf numFmtId="0" fontId="43" fillId="2" borderId="6" applyAlignment="1" applyProtection="1" pivotButton="0" quotePrefix="0" xfId="24">
      <alignment horizontal="center" vertical="center"/>
      <protection locked="1" hidden="1"/>
    </xf>
    <xf numFmtId="175" fontId="97" fillId="2" borderId="6" applyAlignment="1" applyProtection="1" pivotButton="0" quotePrefix="0" xfId="24">
      <alignment horizontal="center" vertical="center"/>
      <protection locked="1" hidden="1"/>
    </xf>
    <xf numFmtId="0" fontId="31" fillId="2" borderId="6" applyAlignment="1" applyProtection="1" pivotButton="0" quotePrefix="0" xfId="24">
      <alignment horizontal="center" vertical="center" wrapText="1"/>
      <protection locked="1" hidden="1"/>
    </xf>
    <xf numFmtId="0" fontId="0" fillId="0" borderId="28" applyAlignment="1" pivotButton="0" quotePrefix="0" xfId="24">
      <alignment horizontal="general" vertical="bottom"/>
    </xf>
    <xf numFmtId="0" fontId="0" fillId="0" borderId="45" applyAlignment="1" pivotButton="0" quotePrefix="0" xfId="24">
      <alignment horizontal="general" vertical="bottom"/>
    </xf>
    <xf numFmtId="175" fontId="98" fillId="5" borderId="6" applyAlignment="1" applyProtection="1" pivotButton="0" quotePrefix="0" xfId="24">
      <alignment horizontal="center" vertical="center"/>
      <protection locked="1" hidden="1"/>
    </xf>
    <xf numFmtId="0" fontId="31" fillId="5" borderId="6" applyAlignment="1" applyProtection="1" pivotButton="0" quotePrefix="0" xfId="24">
      <alignment horizontal="center" vertical="center" wrapText="1"/>
      <protection locked="1" hidden="1"/>
    </xf>
    <xf numFmtId="49" fontId="48" fillId="0" borderId="0" applyAlignment="1" applyProtection="1" pivotButton="0" quotePrefix="0" xfId="24">
      <alignment horizontal="general" vertical="bottom"/>
      <protection locked="1" hidden="1"/>
    </xf>
    <xf numFmtId="0" fontId="48" fillId="5" borderId="6" applyAlignment="1" applyProtection="1" pivotButton="0" quotePrefix="0" xfId="24">
      <alignment horizontal="center" vertical="center"/>
      <protection locked="1" hidden="1"/>
    </xf>
    <xf numFmtId="175" fontId="99" fillId="8" borderId="6" applyAlignment="1" applyProtection="1" pivotButton="0" quotePrefix="0" xfId="24">
      <alignment horizontal="center" vertical="center" textRotation="90"/>
      <protection locked="1" hidden="1"/>
    </xf>
    <xf numFmtId="0" fontId="48" fillId="5" borderId="15" applyAlignment="1" applyProtection="1" pivotButton="0" quotePrefix="0" xfId="24">
      <alignment horizontal="center" vertical="center" wrapText="1"/>
      <protection locked="1" hidden="1"/>
    </xf>
    <xf numFmtId="0" fontId="0" fillId="0" borderId="0" applyAlignment="1" pivotButton="0" quotePrefix="0" xfId="24">
      <alignment horizontal="general" vertical="center"/>
    </xf>
    <xf numFmtId="0" fontId="0" fillId="0" borderId="0" applyAlignment="1" applyProtection="1" pivotButton="0" quotePrefix="0" xfId="24">
      <alignment horizontal="general" vertical="center"/>
      <protection locked="1" hidden="1"/>
    </xf>
    <xf numFmtId="0" fontId="50" fillId="0" borderId="6" applyAlignment="1" applyProtection="1" pivotButton="0" quotePrefix="0" xfId="24">
      <alignment horizontal="center" vertical="center"/>
      <protection locked="1" hidden="1"/>
    </xf>
    <xf numFmtId="0" fontId="48" fillId="0" borderId="6" applyAlignment="1" applyProtection="1" pivotButton="0" quotePrefix="0" xfId="24">
      <alignment horizontal="center" vertical="center"/>
      <protection locked="0" hidden="0"/>
    </xf>
    <xf numFmtId="0" fontId="100" fillId="0" borderId="6" applyAlignment="1" applyProtection="1" pivotButton="0" quotePrefix="0" xfId="24">
      <alignment horizontal="center" vertical="center"/>
      <protection locked="0" hidden="0"/>
    </xf>
    <xf numFmtId="0" fontId="48" fillId="5" borderId="6" applyAlignment="1" applyProtection="1" pivotButton="0" quotePrefix="0" xfId="24">
      <alignment horizontal="general" vertical="center"/>
      <protection locked="0" hidden="0"/>
    </xf>
    <xf numFmtId="0" fontId="50"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48" fillId="0" borderId="15" applyAlignment="1" applyProtection="1" pivotButton="0" quotePrefix="0" xfId="24">
      <alignment horizontal="center" vertical="bottom"/>
      <protection locked="0" hidden="0"/>
    </xf>
    <xf numFmtId="0" fontId="48"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0" borderId="6" applyAlignment="1" applyProtection="1" pivotButton="0" quotePrefix="0" xfId="24">
      <alignment horizontal="center" vertical="bottom"/>
      <protection locked="0" hidden="0"/>
    </xf>
    <xf numFmtId="49" fontId="47" fillId="0" borderId="6" applyAlignment="1" applyProtection="1" pivotButton="0" quotePrefix="0" xfId="24">
      <alignment horizontal="center" vertical="bottom"/>
      <protection locked="0" hidden="0"/>
    </xf>
    <xf numFmtId="0" fontId="50"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48" fillId="0" borderId="6" applyAlignment="1" applyProtection="1" pivotButton="0" quotePrefix="0" xfId="24">
      <alignment horizontal="general" vertical="bottom"/>
      <protection locked="1" hidden="1"/>
    </xf>
    <xf numFmtId="0" fontId="48" fillId="0" borderId="6" applyAlignment="1" applyProtection="1" pivotButton="0" quotePrefix="0" xfId="24">
      <alignment horizontal="center" vertical="top" wrapText="1"/>
      <protection locked="1" hidden="1"/>
    </xf>
    <xf numFmtId="0" fontId="48" fillId="0" borderId="6" applyAlignment="1" applyProtection="1" pivotButton="0" quotePrefix="0" xfId="24">
      <alignment horizontal="center" vertical="bottom"/>
      <protection locked="1" hidden="1"/>
    </xf>
    <xf numFmtId="0" fontId="101" fillId="0" borderId="6" applyAlignment="1" applyProtection="1" pivotButton="0" quotePrefix="0" xfId="24">
      <alignment horizontal="left" vertical="top"/>
      <protection locked="1" hidden="1"/>
    </xf>
    <xf numFmtId="166" fontId="48" fillId="0" borderId="6" applyAlignment="1" applyProtection="1" pivotButton="0" quotePrefix="0" xfId="24">
      <alignment horizontal="center" vertical="top" wrapText="1"/>
      <protection locked="0" hidden="0"/>
    </xf>
    <xf numFmtId="176" fontId="0" fillId="0" borderId="0" applyAlignment="1" pivotButton="0" quotePrefix="0" xfId="24">
      <alignment horizontal="general" vertical="bottom"/>
    </xf>
    <xf numFmtId="0" fontId="44" fillId="2" borderId="6" applyAlignment="1" applyProtection="1" pivotButton="0" quotePrefix="0" xfId="24">
      <alignment horizontal="center" vertical="center"/>
      <protection locked="1" hidden="1"/>
    </xf>
    <xf numFmtId="0" fontId="44" fillId="2" borderId="28" applyAlignment="1" applyProtection="1" pivotButton="0" quotePrefix="0" xfId="24">
      <alignment horizontal="center" vertical="center"/>
      <protection locked="1" hidden="1"/>
    </xf>
    <xf numFmtId="0" fontId="22" fillId="2" borderId="45" applyAlignment="1" applyProtection="1" pivotButton="0" quotePrefix="0" xfId="24">
      <alignment horizontal="center" vertical="center"/>
      <protection locked="1" hidden="1"/>
    </xf>
    <xf numFmtId="0" fontId="22" fillId="2" borderId="28" applyAlignment="1" applyProtection="1" pivotButton="0" quotePrefix="0" xfId="24">
      <alignment horizontal="center" vertical="center"/>
      <protection locked="1" hidden="1"/>
    </xf>
    <xf numFmtId="176" fontId="22" fillId="2" borderId="73" applyAlignment="1" applyProtection="1" pivotButton="0" quotePrefix="0" xfId="24">
      <alignment horizontal="center" vertical="center"/>
      <protection locked="1" hidden="1"/>
    </xf>
    <xf numFmtId="0" fontId="22" fillId="2" borderId="73" applyAlignment="1" applyProtection="1" pivotButton="0" quotePrefix="0" xfId="24">
      <alignment horizontal="general" vertical="center"/>
      <protection locked="1" hidden="1"/>
    </xf>
    <xf numFmtId="175" fontId="98" fillId="2" borderId="6" applyAlignment="1" applyProtection="1" pivotButton="0" quotePrefix="0" xfId="24">
      <alignment horizontal="center" vertical="center"/>
      <protection locked="1" hidden="1"/>
    </xf>
    <xf numFmtId="0" fontId="31" fillId="4" borderId="6" applyAlignment="1" applyProtection="1" pivotButton="0" quotePrefix="0" xfId="24">
      <alignment horizontal="center" vertical="center" wrapText="1"/>
      <protection locked="1" hidden="1"/>
    </xf>
    <xf numFmtId="49" fontId="98" fillId="5" borderId="6" applyAlignment="1" applyProtection="1" pivotButton="0" quotePrefix="0" xfId="24">
      <alignment horizontal="center" vertical="center"/>
      <protection locked="1" hidden="1"/>
    </xf>
    <xf numFmtId="0" fontId="48" fillId="0" borderId="6" applyAlignment="1" applyProtection="1" pivotButton="0" quotePrefix="0" xfId="24">
      <alignment horizontal="center" vertical="center"/>
      <protection locked="1" hidden="1"/>
    </xf>
    <xf numFmtId="0" fontId="100" fillId="0" borderId="6" applyAlignment="1" applyProtection="1" pivotButton="0" quotePrefix="0" xfId="24">
      <alignment horizontal="center" vertical="center"/>
      <protection locked="1" hidden="1"/>
    </xf>
    <xf numFmtId="0" fontId="22" fillId="2" borderId="6" applyAlignment="1" applyProtection="1" pivotButton="0" quotePrefix="0" xfId="24">
      <alignment horizontal="center" vertical="center"/>
      <protection locked="1" hidden="1"/>
    </xf>
    <xf numFmtId="0" fontId="22" fillId="0" borderId="6" applyAlignment="1" applyProtection="1" pivotButton="0" quotePrefix="0" xfId="24">
      <alignment horizontal="general" vertical="bottom"/>
      <protection locked="1" hidden="1"/>
    </xf>
    <xf numFmtId="0" fontId="48" fillId="0" borderId="15" applyAlignment="1" applyProtection="1" pivotButton="0" quotePrefix="0" xfId="24">
      <alignment horizontal="center" vertical="bottom"/>
      <protection locked="1" hidden="1"/>
    </xf>
    <xf numFmtId="0" fontId="0" fillId="0" borderId="6" applyAlignment="1" applyProtection="1" pivotButton="0" quotePrefix="0" xfId="24">
      <alignment horizontal="general" vertical="bottom"/>
      <protection locked="1" hidden="1"/>
    </xf>
    <xf numFmtId="0" fontId="0" fillId="0" borderId="6" applyAlignment="1" applyProtection="1" pivotButton="0" quotePrefix="0" xfId="24">
      <alignment horizontal="left" vertical="bottom"/>
      <protection locked="1" hidden="1"/>
    </xf>
    <xf numFmtId="0" fontId="0" fillId="2" borderId="6" applyAlignment="1" applyProtection="1" pivotButton="0" quotePrefix="0" xfId="24">
      <alignment horizontal="center" vertical="center"/>
      <protection locked="1" hidden="1"/>
    </xf>
    <xf numFmtId="0" fontId="0" fillId="0" borderId="6" applyAlignment="1" applyProtection="1" pivotButton="0" quotePrefix="0" xfId="24">
      <alignment horizontal="center" vertical="bottom"/>
      <protection locked="1" hidden="1"/>
    </xf>
    <xf numFmtId="168" fontId="48" fillId="0" borderId="6" applyAlignment="1" applyProtection="1" pivotButton="0" quotePrefix="0" xfId="24">
      <alignment horizontal="center" vertical="top" wrapText="1"/>
      <protection locked="1" hidden="1"/>
    </xf>
    <xf numFmtId="0" fontId="102" fillId="0" borderId="4" applyAlignment="1" pivotButton="0" quotePrefix="0" xfId="0">
      <alignment horizontal="center" vertical="center" wrapText="1"/>
    </xf>
    <xf numFmtId="0" fontId="103" fillId="0" borderId="4" applyAlignment="1" pivotButton="0" quotePrefix="0" xfId="0">
      <alignment horizontal="center" vertical="center" wrapText="1"/>
    </xf>
    <xf numFmtId="0" fontId="105" fillId="0" borderId="4" applyAlignment="1" pivotButton="0" quotePrefix="0" xfId="0">
      <alignment horizontal="center" vertical="center" wrapText="1"/>
    </xf>
    <xf numFmtId="0" fontId="106" fillId="0" borderId="4" applyAlignment="1" pivotButton="0" quotePrefix="0" xfId="0">
      <alignment horizontal="center" vertical="center" wrapText="1"/>
    </xf>
    <xf numFmtId="0" fontId="104" fillId="0" borderId="4" applyAlignment="1" pivotButton="0" quotePrefix="0" xfId="0">
      <alignment horizontal="center" vertical="center" wrapText="1"/>
    </xf>
    <xf numFmtId="0" fontId="31"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31" fillId="0" borderId="4" applyAlignment="1" pivotButton="0" quotePrefix="0" xfId="0">
      <alignment horizontal="center" vertical="center"/>
    </xf>
    <xf numFmtId="49" fontId="74" fillId="0" borderId="4" applyAlignment="1" applyProtection="1" pivotButton="0" quotePrefix="0" xfId="0">
      <alignment horizontal="center" vertical="center"/>
      <protection locked="0" hidden="0"/>
    </xf>
    <xf numFmtId="49" fontId="74" fillId="0" borderId="4" applyAlignment="1" applyProtection="1" pivotButton="0" quotePrefix="0" xfId="0">
      <alignment horizontal="left" vertical="center" wrapText="1"/>
      <protection locked="0" hidden="0"/>
    </xf>
    <xf numFmtId="0" fontId="74" fillId="0" borderId="4" applyAlignment="1" applyProtection="1" pivotButton="0" quotePrefix="0" xfId="0">
      <alignment horizontal="center" vertical="center"/>
      <protection locked="0" hidden="0"/>
    </xf>
    <xf numFmtId="3" fontId="74" fillId="0" borderId="74" applyAlignment="1" applyProtection="1" pivotButton="0" quotePrefix="0" xfId="0">
      <alignment horizontal="center" vertical="center"/>
      <protection locked="0" hidden="0"/>
    </xf>
    <xf numFmtId="0" fontId="74" fillId="0" borderId="74" applyAlignment="1" applyProtection="1" pivotButton="0" quotePrefix="0" xfId="0">
      <alignment horizontal="center" vertical="center"/>
      <protection locked="0" hidden="0"/>
    </xf>
    <xf numFmtId="0" fontId="0" fillId="0" borderId="31" applyProtection="1" pivotButton="0" quotePrefix="0" xfId="0">
      <protection locked="0" hidden="0"/>
    </xf>
    <xf numFmtId="0" fontId="0" fillId="0" borderId="30" applyProtection="1" pivotButton="0" quotePrefix="0" xfId="0">
      <protection locked="0" hidden="0"/>
    </xf>
    <xf numFmtId="0" fontId="59" fillId="0" borderId="4" applyAlignment="1" applyProtection="1" pivotButton="0" quotePrefix="0" xfId="0">
      <alignment horizontal="center" vertical="center"/>
      <protection locked="0" hidden="0"/>
    </xf>
    <xf numFmtId="49" fontId="59" fillId="0" borderId="4" applyAlignment="1" applyProtection="1" pivotButton="0" quotePrefix="0" xfId="0">
      <alignment horizontal="left" vertical="center" wrapText="1"/>
      <protection locked="0" hidden="0"/>
    </xf>
    <xf numFmtId="0" fontId="107" fillId="0" borderId="0" applyAlignment="1" pivotButton="0" quotePrefix="0" xfId="0">
      <alignment horizontal="left" vertical="bottom"/>
    </xf>
    <xf numFmtId="0" fontId="59" fillId="0" borderId="4" applyAlignment="1" applyProtection="1" pivotButton="0" quotePrefix="0" xfId="0">
      <alignment horizontal="general" vertical="center" wrapText="1"/>
      <protection locked="0" hidden="0"/>
    </xf>
    <xf numFmtId="49" fontId="59" fillId="0" borderId="4" applyAlignment="1" applyProtection="1" pivotButton="0" quotePrefix="0" xfId="0">
      <alignment horizontal="general" vertical="center" wrapText="1"/>
      <protection locked="0" hidden="0"/>
    </xf>
    <xf numFmtId="49" fontId="5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31"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7"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108" fillId="0" borderId="0" applyAlignment="1" pivotButton="0" quotePrefix="0" xfId="0">
      <alignment horizontal="center" vertical="center"/>
    </xf>
    <xf numFmtId="0" fontId="108" fillId="0" borderId="0" applyAlignment="1" pivotButton="0" quotePrefix="0" xfId="0">
      <alignment horizontal="center" vertical="bottom"/>
    </xf>
    <xf numFmtId="0" fontId="109" fillId="0" borderId="0" applyAlignment="1" pivotButton="0" quotePrefix="0" xfId="0">
      <alignment horizontal="center" vertical="top" wrapText="1"/>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Comma 2" xfId="6"/>
    <cellStyle name="Hyperlink 2" xfId="7"/>
    <cellStyle name="Normal 10" xfId="8"/>
    <cellStyle name="Normal 12" xfId="9"/>
    <cellStyle name="Normal 19 2" xfId="10"/>
    <cellStyle name="Normal 2" xfId="11"/>
    <cellStyle name="Normal 2 2" xfId="12"/>
    <cellStyle name="Normal 2 2 2" xfId="13"/>
    <cellStyle name="Normal 2 2 3" xfId="14"/>
    <cellStyle name="Normal 2 3 2" xfId="15"/>
    <cellStyle name="Normal 3" xfId="16"/>
    <cellStyle name="Normal 3 2 2" xfId="17"/>
    <cellStyle name="Normal 3 4" xfId="18"/>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A6A6A6"/>
      <rgbColor rgb="FF993366"/>
      <rgbColor rgb="FFF2F2F2"/>
      <rgbColor rgb="FFDEEBF7"/>
      <rgbColor rgb="FF660066"/>
      <rgbColor rgb="FFFF8080"/>
      <rgbColor rgb="FF0066CC"/>
      <rgbColor rgb="FFD9D9D9"/>
      <rgbColor rgb="FF000080"/>
      <rgbColor rgb="FFFF00FF"/>
      <rgbColor rgb="FFB3F200"/>
      <rgbColor rgb="FF00FFFF"/>
      <rgbColor rgb="FF800080"/>
      <rgbColor rgb="FF800000"/>
      <rgbColor rgb="FF008080"/>
      <rgbColor rgb="FF0000FF"/>
      <rgbColor rgb="FF00CCFF"/>
      <rgbColor rgb="FFDBDBDB"/>
      <rgbColor rgb="FFE2F0D9"/>
      <rgbColor rgb="FFA9D18E"/>
      <rgbColor rgb="FFBFBFBF"/>
      <rgbColor rgb="FFFF99CC"/>
      <rgbColor rgb="FFCC99FF"/>
      <rgbColor rgb="FFFBE5D6"/>
      <rgbColor rgb="FF3366FF"/>
      <rgbColor rgb="FF33CCCC"/>
      <rgbColor rgb="FF99CC00"/>
      <rgbColor rgb="FFFFCC00"/>
      <rgbColor rgb="FFFF9900"/>
      <rgbColor rgb="FFFF6600"/>
      <rgbColor rgb="FF7F7F7F"/>
      <rgbColor rgb="FF969696"/>
      <rgbColor rgb="FF003366"/>
      <rgbColor rgb="FF00B050"/>
      <rgbColor rgb="FF003300"/>
      <rgbColor rgb="FF333300"/>
      <rgbColor rgb="FF993300"/>
      <rgbColor rgb="FF993366"/>
      <rgbColor rgb="FF44546A"/>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externalLink" Target="/xl/externalLinks/externalLink1.xml" Id="rId11" /><Relationship Type="http://schemas.openxmlformats.org/officeDocument/2006/relationships/externalLink" Target="/xl/externalLinks/externalLink2.xml" Id="rId12" /><Relationship Type="http://schemas.openxmlformats.org/officeDocument/2006/relationships/externalLink" Target="/xl/externalLinks/externalLink3.xml" Id="rId13" /><Relationship Type="http://schemas.openxmlformats.org/officeDocument/2006/relationships/externalLink" Target="/xl/externalLinks/externalLink4.xml" Id="rId14" /><Relationship Type="http://schemas.openxmlformats.org/officeDocument/2006/relationships/externalLink" Target="/xl/externalLinks/externalLink5.xml" Id="rId15" /><Relationship Type="http://schemas.openxmlformats.org/officeDocument/2006/relationships/externalLink" Target="/xl/externalLinks/externalLink6.xml" Id="rId16" /><Relationship Type="http://schemas.openxmlformats.org/officeDocument/2006/relationships/externalLink" Target="/xl/externalLinks/externalLink7.xml" Id="rId17" /><Relationship Type="http://schemas.openxmlformats.org/officeDocument/2006/relationships/externalLink" Target="/xl/externalLinks/externalLink8.xml" Id="rId18" /><Relationship Type="http://schemas.openxmlformats.org/officeDocument/2006/relationships/externalLink" Target="/xl/externalLinks/externalLink9.xml" Id="rId19" /><Relationship Type="http://schemas.openxmlformats.org/officeDocument/2006/relationships/externalLink" Target="/xl/externalLinks/externalLink10.xml" Id="rId20" /><Relationship Type="http://schemas.openxmlformats.org/officeDocument/2006/relationships/externalLink" Target="/xl/externalLinks/externalLink11.xml" Id="rId21" /><Relationship Type="http://schemas.openxmlformats.org/officeDocument/2006/relationships/externalLink" Target="/xl/externalLinks/externalLink12.xml" Id="rId22" /><Relationship Type="http://schemas.openxmlformats.org/officeDocument/2006/relationships/externalLink" Target="/xl/externalLinks/externalLink13.xml" Id="rId23" /><Relationship Type="http://schemas.openxmlformats.org/officeDocument/2006/relationships/externalLink" Target="/xl/externalLinks/externalLink14.xml" Id="rId24" /><Relationship Type="http://schemas.openxmlformats.org/officeDocument/2006/relationships/externalLink" Target="/xl/externalLinks/externalLink15.xml" Id="rId25" /><Relationship Type="http://schemas.openxmlformats.org/officeDocument/2006/relationships/externalLink" Target="/xl/externalLinks/externalLink16.xml" Id="rId26" /><Relationship Type="http://schemas.openxmlformats.org/officeDocument/2006/relationships/externalLink" Target="/xl/externalLinks/externalLink17.xml" Id="rId27" /><Relationship Type="http://schemas.openxmlformats.org/officeDocument/2006/relationships/externalLink" Target="/xl/externalLinks/externalLink18.xml" Id="rId28" /><Relationship Type="http://schemas.openxmlformats.org/officeDocument/2006/relationships/externalLink" Target="/xl/externalLinks/externalLink19.xml" Id="rId29" /><Relationship Type="http://schemas.openxmlformats.org/officeDocument/2006/relationships/externalLink" Target="/xl/externalLinks/externalLink20.xml" Id="rId30" /><Relationship Type="http://schemas.openxmlformats.org/officeDocument/2006/relationships/externalLink" Target="/xl/externalLinks/externalLink21.xml" Id="rId31" /><Relationship Type="http://schemas.openxmlformats.org/officeDocument/2006/relationships/externalLink" Target="/xl/externalLinks/externalLink22.xml" Id="rId32" /><Relationship Type="http://schemas.openxmlformats.org/officeDocument/2006/relationships/externalLink" Target="/xl/externalLinks/externalLink23.xml" Id="rId33" /><Relationship Type="http://schemas.openxmlformats.org/officeDocument/2006/relationships/externalLink" Target="/xl/externalLinks/externalLink24.xml" Id="rId34" /><Relationship Type="http://schemas.openxmlformats.org/officeDocument/2006/relationships/externalLink" Target="/xl/externalLinks/externalLink25.xml" Id="rId35" /><Relationship Type="http://schemas.openxmlformats.org/officeDocument/2006/relationships/externalLink" Target="/xl/externalLinks/externalLink26.xml" Id="rId36" /><Relationship Type="http://schemas.openxmlformats.org/officeDocument/2006/relationships/externalLink" Target="/xl/externalLinks/externalLink27.xml" Id="rId37" /><Relationship Type="http://schemas.openxmlformats.org/officeDocument/2006/relationships/externalLink" Target="/xl/externalLinks/externalLink28.xml" Id="rId38" /><Relationship Type="http://schemas.openxmlformats.org/officeDocument/2006/relationships/externalLink" Target="/xl/externalLinks/externalLink29.xml" Id="rId39" /><Relationship Type="http://schemas.openxmlformats.org/officeDocument/2006/relationships/externalLink" Target="/xl/externalLinks/externalLink30.xml" Id="rId40" /><Relationship Type="http://schemas.openxmlformats.org/officeDocument/2006/relationships/externalLink" Target="/xl/externalLinks/externalLink31.xml" Id="rId41" /><Relationship Type="http://schemas.openxmlformats.org/officeDocument/2006/relationships/externalLink" Target="/xl/externalLinks/externalLink32.xml" Id="rId42" /><Relationship Type="http://schemas.openxmlformats.org/officeDocument/2006/relationships/externalLink" Target="/xl/externalLinks/externalLink33.xml" Id="rId43" /><Relationship Type="http://schemas.openxmlformats.org/officeDocument/2006/relationships/externalLink" Target="/xl/externalLinks/externalLink34.xml" Id="rId44" /><Relationship Type="http://schemas.openxmlformats.org/officeDocument/2006/relationships/externalLink" Target="/xl/externalLinks/externalLink35.xml" Id="rId45" /><Relationship Type="http://schemas.openxmlformats.org/officeDocument/2006/relationships/externalLink" Target="/xl/externalLinks/externalLink36.xml" Id="rId46" /><Relationship Type="http://schemas.openxmlformats.org/officeDocument/2006/relationships/externalLink" Target="/xl/externalLinks/externalLink37.xml" Id="rId47" /><Relationship Type="http://schemas.openxmlformats.org/officeDocument/2006/relationships/externalLink" Target="/xl/externalLinks/externalLink38.xml" Id="rId48" /><Relationship Type="http://schemas.openxmlformats.org/officeDocument/2006/relationships/externalLink" Target="/xl/externalLinks/externalLink39.xml" Id="rId49" /><Relationship Type="http://schemas.openxmlformats.org/officeDocument/2006/relationships/externalLink" Target="/xl/externalLinks/externalLink40.xml" Id="rId50" /><Relationship Type="http://schemas.openxmlformats.org/officeDocument/2006/relationships/externalLink" Target="/xl/externalLinks/externalLink41.xml" Id="rId51" /><Relationship Type="http://schemas.openxmlformats.org/officeDocument/2006/relationships/externalLink" Target="/xl/externalLinks/externalLink42.xml" Id="rId52" /><Relationship Type="http://schemas.openxmlformats.org/officeDocument/2006/relationships/externalLink" Target="/xl/externalLinks/externalLink43.xml" Id="rId53" /><Relationship Type="http://schemas.openxmlformats.org/officeDocument/2006/relationships/externalLink" Target="/xl/externalLinks/externalLink44.xml" Id="rId54" /><Relationship Type="http://schemas.openxmlformats.org/officeDocument/2006/relationships/externalLink" Target="/xl/externalLinks/externalLink45.xml" Id="rId55" /><Relationship Type="http://schemas.openxmlformats.org/officeDocument/2006/relationships/externalLink" Target="/xl/externalLinks/externalLink46.xml" Id="rId56" /><Relationship Type="http://schemas.openxmlformats.org/officeDocument/2006/relationships/externalLink" Target="/xl/externalLinks/externalLink47.xml" Id="rId57" /><Relationship Type="http://schemas.openxmlformats.org/officeDocument/2006/relationships/externalLink" Target="/xl/externalLinks/externalLink48.xml" Id="rId58" /><Relationship Type="http://schemas.openxmlformats.org/officeDocument/2006/relationships/externalLink" Target="/xl/externalLinks/externalLink49.xml" Id="rId59" /><Relationship Type="http://schemas.openxmlformats.org/officeDocument/2006/relationships/externalLink" Target="/xl/externalLinks/externalLink50.xml" Id="rId60" /><Relationship Type="http://schemas.openxmlformats.org/officeDocument/2006/relationships/externalLink" Target="/xl/externalLinks/externalLink51.xml" Id="rId61" /><Relationship Type="http://schemas.openxmlformats.org/officeDocument/2006/relationships/externalLink" Target="/xl/externalLinks/externalLink52.xml" Id="rId62" /><Relationship Type="http://schemas.openxmlformats.org/officeDocument/2006/relationships/externalLink" Target="/xl/externalLinks/externalLink53.xml" Id="rId63" /><Relationship Type="http://schemas.openxmlformats.org/officeDocument/2006/relationships/externalLink" Target="/xl/externalLinks/externalLink54.xml" Id="rId64" /><Relationship Type="http://schemas.openxmlformats.org/officeDocument/2006/relationships/externalLink" Target="/xl/externalLinks/externalLink55.xml" Id="rId65" /><Relationship Type="http://schemas.openxmlformats.org/officeDocument/2006/relationships/externalLink" Target="/xl/externalLinks/externalLink56.xml" Id="rId66" /><Relationship Type="http://schemas.openxmlformats.org/officeDocument/2006/relationships/externalLink" Target="/xl/externalLinks/externalLink57.xml" Id="rId67" /><Relationship Type="http://schemas.openxmlformats.org/officeDocument/2006/relationships/externalLink" Target="/xl/externalLinks/externalLink58.xml" Id="rId68" /><Relationship Type="http://schemas.openxmlformats.org/officeDocument/2006/relationships/externalLink" Target="/xl/externalLinks/externalLink59.xml" Id="rId69" /><Relationship Type="http://schemas.openxmlformats.org/officeDocument/2006/relationships/externalLink" Target="/xl/externalLinks/externalLink60.xml" Id="rId70" /><Relationship Type="http://schemas.openxmlformats.org/officeDocument/2006/relationships/externalLink" Target="/xl/externalLinks/externalLink61.xml" Id="rId71" /><Relationship Type="http://schemas.openxmlformats.org/officeDocument/2006/relationships/externalLink" Target="/xl/externalLinks/externalLink62.xml" Id="rId72" /><Relationship Type="http://schemas.openxmlformats.org/officeDocument/2006/relationships/externalLink" Target="/xl/externalLinks/externalLink63.xml" Id="rId73" /><Relationship Type="http://schemas.openxmlformats.org/officeDocument/2006/relationships/externalLink" Target="/xl/externalLinks/externalLink64.xml" Id="rId74" /><Relationship Type="http://schemas.openxmlformats.org/officeDocument/2006/relationships/externalLink" Target="/xl/externalLinks/externalLink65.xml" Id="rId75" /><Relationship Type="http://schemas.openxmlformats.org/officeDocument/2006/relationships/externalLink" Target="/xl/externalLinks/externalLink66.xml" Id="rId76" /><Relationship Type="http://schemas.openxmlformats.org/officeDocument/2006/relationships/externalLink" Target="/xl/externalLinks/externalLink67.xml" Id="rId77" /><Relationship Type="http://schemas.openxmlformats.org/officeDocument/2006/relationships/externalLink" Target="/xl/externalLinks/externalLink68.xml" Id="rId78" /><Relationship Type="http://schemas.openxmlformats.org/officeDocument/2006/relationships/externalLink" Target="/xl/externalLinks/externalLink69.xml" Id="rId79" /><Relationship Type="http://schemas.openxmlformats.org/officeDocument/2006/relationships/externalLink" Target="/xl/externalLinks/externalLink70.xml" Id="rId80" /><Relationship Type="http://schemas.openxmlformats.org/officeDocument/2006/relationships/externalLink" Target="/xl/externalLinks/externalLink71.xml" Id="rId81" /><Relationship Type="http://schemas.openxmlformats.org/officeDocument/2006/relationships/externalLink" Target="/xl/externalLinks/externalLink72.xml" Id="rId82" /><Relationship Type="http://schemas.openxmlformats.org/officeDocument/2006/relationships/externalLink" Target="/xl/externalLinks/externalLink73.xml" Id="rId83" /><Relationship Type="http://schemas.openxmlformats.org/officeDocument/2006/relationships/externalLink" Target="/xl/externalLinks/externalLink74.xml" Id="rId84" /><Relationship Type="http://schemas.openxmlformats.org/officeDocument/2006/relationships/externalLink" Target="/xl/externalLinks/externalLink75.xml" Id="rId85" /><Relationship Type="http://schemas.openxmlformats.org/officeDocument/2006/relationships/externalLink" Target="/xl/externalLinks/externalLink76.xml" Id="rId86" /><Relationship Type="http://schemas.openxmlformats.org/officeDocument/2006/relationships/externalLink" Target="/xl/externalLinks/externalLink77.xml" Id="rId87" /><Relationship Type="http://schemas.openxmlformats.org/officeDocument/2006/relationships/externalLink" Target="/xl/externalLinks/externalLink78.xml" Id="rId88" /><Relationship Type="http://schemas.openxmlformats.org/officeDocument/2006/relationships/externalLink" Target="/xl/externalLinks/externalLink79.xml" Id="rId89" /><Relationship Type="http://schemas.openxmlformats.org/officeDocument/2006/relationships/externalLink" Target="/xl/externalLinks/externalLink80.xml" Id="rId90" /><Relationship Type="http://schemas.openxmlformats.org/officeDocument/2006/relationships/externalLink" Target="/xl/externalLinks/externalLink81.xml" Id="rId91" /><Relationship Type="http://schemas.openxmlformats.org/officeDocument/2006/relationships/externalLink" Target="/xl/externalLinks/externalLink82.xml" Id="rId92" /><Relationship Type="http://schemas.openxmlformats.org/officeDocument/2006/relationships/externalLink" Target="/xl/externalLinks/externalLink83.xml" Id="rId93" /><Relationship Type="http://schemas.openxmlformats.org/officeDocument/2006/relationships/externalLink" Target="/xl/externalLinks/externalLink84.xml" Id="rId94" /><Relationship Type="http://schemas.openxmlformats.org/officeDocument/2006/relationships/externalLink" Target="/xl/externalLinks/externalLink85.xml" Id="rId95" /><Relationship Type="http://schemas.openxmlformats.org/officeDocument/2006/relationships/externalLink" Target="/xl/externalLinks/externalLink86.xml" Id="rId96" /><Relationship Type="http://schemas.openxmlformats.org/officeDocument/2006/relationships/externalLink" Target="/xl/externalLinks/externalLink87.xml" Id="rId97" /><Relationship Type="http://schemas.openxmlformats.org/officeDocument/2006/relationships/externalLink" Target="/xl/externalLinks/externalLink88.xml" Id="rId98" /><Relationship Type="http://schemas.openxmlformats.org/officeDocument/2006/relationships/externalLink" Target="/xl/externalLinks/externalLink89.xml" Id="rId99" /><Relationship Type="http://schemas.openxmlformats.org/officeDocument/2006/relationships/externalLink" Target="/xl/externalLinks/externalLink90.xml" Id="rId100" /><Relationship Type="http://schemas.openxmlformats.org/officeDocument/2006/relationships/externalLink" Target="/xl/externalLinks/externalLink91.xml" Id="rId101" /><Relationship Type="http://schemas.openxmlformats.org/officeDocument/2006/relationships/externalLink" Target="/xl/externalLinks/externalLink92.xml" Id="rId102" /><Relationship Type="http://schemas.openxmlformats.org/officeDocument/2006/relationships/externalLink" Target="/xl/externalLinks/externalLink93.xml" Id="rId103" /><Relationship Type="http://schemas.openxmlformats.org/officeDocument/2006/relationships/externalLink" Target="/xl/externalLinks/externalLink94.xml" Id="rId104" /><Relationship Type="http://schemas.openxmlformats.org/officeDocument/2006/relationships/externalLink" Target="/xl/externalLinks/externalLink95.xml" Id="rId105" /><Relationship Type="http://schemas.openxmlformats.org/officeDocument/2006/relationships/externalLink" Target="/xl/externalLinks/externalLink96.xml" Id="rId106" /><Relationship Type="http://schemas.openxmlformats.org/officeDocument/2006/relationships/externalLink" Target="/xl/externalLinks/externalLink97.xml" Id="rId107" /><Relationship Type="http://schemas.openxmlformats.org/officeDocument/2006/relationships/externalLink" Target="/xl/externalLinks/externalLink98.xml" Id="rId108" /><Relationship Type="http://schemas.openxmlformats.org/officeDocument/2006/relationships/externalLink" Target="/xl/externalLinks/externalLink99.xml" Id="rId109" /><Relationship Type="http://schemas.openxmlformats.org/officeDocument/2006/relationships/externalLink" Target="/xl/externalLinks/externalLink100.xml" Id="rId110" /><Relationship Type="http://schemas.openxmlformats.org/officeDocument/2006/relationships/externalLink" Target="/xl/externalLinks/externalLink101.xml" Id="rId111" /><Relationship Type="http://schemas.openxmlformats.org/officeDocument/2006/relationships/externalLink" Target="/xl/externalLinks/externalLink102.xml" Id="rId112" /><Relationship Type="http://schemas.openxmlformats.org/officeDocument/2006/relationships/externalLink" Target="/xl/externalLinks/externalLink103.xml" Id="rId113" /><Relationship Type="http://schemas.openxmlformats.org/officeDocument/2006/relationships/externalLink" Target="/xl/externalLinks/externalLink104.xml" Id="rId114" /><Relationship Type="http://schemas.openxmlformats.org/officeDocument/2006/relationships/externalLink" Target="/xl/externalLinks/externalLink105.xml" Id="rId115" /><Relationship Type="http://schemas.openxmlformats.org/officeDocument/2006/relationships/externalLink" Target="/xl/externalLinks/externalLink106.xml" Id="rId116" /><Relationship Type="http://schemas.openxmlformats.org/officeDocument/2006/relationships/externalLink" Target="/xl/externalLinks/externalLink107.xml" Id="rId117" /><Relationship Type="http://schemas.openxmlformats.org/officeDocument/2006/relationships/externalLink" Target="/xl/externalLinks/externalLink108.xml" Id="rId118" /><Relationship Type="http://schemas.openxmlformats.org/officeDocument/2006/relationships/externalLink" Target="/xl/externalLinks/externalLink109.xml" Id="rId119" /><Relationship Type="http://schemas.openxmlformats.org/officeDocument/2006/relationships/externalLink" Target="/xl/externalLinks/externalLink110.xml" Id="rId120" /><Relationship Type="http://schemas.openxmlformats.org/officeDocument/2006/relationships/externalLink" Target="/xl/externalLinks/externalLink111.xml" Id="rId121" /><Relationship Type="http://schemas.openxmlformats.org/officeDocument/2006/relationships/externalLink" Target="/xl/externalLinks/externalLink112.xml" Id="rId122" /><Relationship Type="http://schemas.openxmlformats.org/officeDocument/2006/relationships/externalLink" Target="/xl/externalLinks/externalLink113.xml" Id="rId123" /><Relationship Type="http://schemas.openxmlformats.org/officeDocument/2006/relationships/externalLink" Target="/xl/externalLinks/externalLink114.xml" Id="rId124" /><Relationship Type="http://schemas.openxmlformats.org/officeDocument/2006/relationships/externalLink" Target="/xl/externalLinks/externalLink115.xml" Id="rId125" /><Relationship Type="http://schemas.openxmlformats.org/officeDocument/2006/relationships/externalLink" Target="/xl/externalLinks/externalLink116.xml" Id="rId126" /><Relationship Type="http://schemas.openxmlformats.org/officeDocument/2006/relationships/externalLink" Target="/xl/externalLinks/externalLink117.xml" Id="rId127" /><Relationship Type="http://schemas.openxmlformats.org/officeDocument/2006/relationships/externalLink" Target="/xl/externalLinks/externalLink118.xml" Id="rId128" /><Relationship Type="http://schemas.openxmlformats.org/officeDocument/2006/relationships/externalLink" Target="/xl/externalLinks/externalLink119.xml" Id="rId129" /><Relationship Type="http://schemas.openxmlformats.org/officeDocument/2006/relationships/externalLink" Target="/xl/externalLinks/externalLink120.xml" Id="rId130" /><Relationship Type="http://schemas.openxmlformats.org/officeDocument/2006/relationships/externalLink" Target="/xl/externalLinks/externalLink121.xml" Id="rId131" /><Relationship Type="http://schemas.openxmlformats.org/officeDocument/2006/relationships/externalLink" Target="/xl/externalLinks/externalLink122.xml" Id="rId132" /><Relationship Type="http://schemas.openxmlformats.org/officeDocument/2006/relationships/externalLink" Target="/xl/externalLinks/externalLink123.xml" Id="rId133" /><Relationship Type="http://schemas.openxmlformats.org/officeDocument/2006/relationships/externalLink" Target="/xl/externalLinks/externalLink124.xml" Id="rId134" /><Relationship Type="http://schemas.openxmlformats.org/officeDocument/2006/relationships/externalLink" Target="/xl/externalLinks/externalLink125.xml" Id="rId135" /><Relationship Type="http://schemas.openxmlformats.org/officeDocument/2006/relationships/externalLink" Target="/xl/externalLinks/externalLink126.xml" Id="rId136" /><Relationship Type="http://schemas.openxmlformats.org/officeDocument/2006/relationships/externalLink" Target="/xl/externalLinks/externalLink127.xml" Id="rId137" /><Relationship Type="http://schemas.openxmlformats.org/officeDocument/2006/relationships/externalLink" Target="/xl/externalLinks/externalLink128.xml" Id="rId138" /><Relationship Type="http://schemas.openxmlformats.org/officeDocument/2006/relationships/externalLink" Target="/xl/externalLinks/externalLink129.xml" Id="rId139" /><Relationship Type="http://schemas.openxmlformats.org/officeDocument/2006/relationships/externalLink" Target="/xl/externalLinks/externalLink130.xml" Id="rId140" /><Relationship Type="http://schemas.openxmlformats.org/officeDocument/2006/relationships/externalLink" Target="/xl/externalLinks/externalLink131.xml" Id="rId141" /><Relationship Type="http://schemas.openxmlformats.org/officeDocument/2006/relationships/externalLink" Target="/xl/externalLinks/externalLink132.xml" Id="rId142" /><Relationship Type="http://schemas.openxmlformats.org/officeDocument/2006/relationships/externalLink" Target="/xl/externalLinks/externalLink133.xml" Id="rId143" /><Relationship Type="http://schemas.openxmlformats.org/officeDocument/2006/relationships/externalLink" Target="/xl/externalLinks/externalLink134.xml" Id="rId144" /><Relationship Type="http://schemas.openxmlformats.org/officeDocument/2006/relationships/externalLink" Target="/xl/externalLinks/externalLink135.xml" Id="rId145" /><Relationship Type="http://schemas.openxmlformats.org/officeDocument/2006/relationships/externalLink" Target="/xl/externalLinks/externalLink136.xml" Id="rId146" /><Relationship Type="http://schemas.openxmlformats.org/officeDocument/2006/relationships/externalLink" Target="/xl/externalLinks/externalLink137.xml" Id="rId147" /><Relationship Type="http://schemas.openxmlformats.org/officeDocument/2006/relationships/externalLink" Target="/xl/externalLinks/externalLink138.xml" Id="rId148" /><Relationship Type="http://schemas.openxmlformats.org/officeDocument/2006/relationships/externalLink" Target="/xl/externalLinks/externalLink139.xml" Id="rId149" /><Relationship Type="http://schemas.openxmlformats.org/officeDocument/2006/relationships/externalLink" Target="/xl/externalLinks/externalLink140.xml" Id="rId150" /><Relationship Type="http://schemas.openxmlformats.org/officeDocument/2006/relationships/externalLink" Target="/xl/externalLinks/externalLink141.xml" Id="rId151" /><Relationship Type="http://schemas.openxmlformats.org/officeDocument/2006/relationships/externalLink" Target="/xl/externalLinks/externalLink142.xml" Id="rId152" /><Relationship Type="http://schemas.openxmlformats.org/officeDocument/2006/relationships/externalLink" Target="/xl/externalLinks/externalLink143.xml" Id="rId153" /><Relationship Type="http://schemas.openxmlformats.org/officeDocument/2006/relationships/externalLink" Target="/xl/externalLinks/externalLink144.xml" Id="rId154" /><Relationship Type="http://schemas.openxmlformats.org/officeDocument/2006/relationships/externalLink" Target="/xl/externalLinks/externalLink145.xml" Id="rId155" /><Relationship Type="http://schemas.openxmlformats.org/officeDocument/2006/relationships/externalLink" Target="/xl/externalLinks/externalLink146.xml" Id="rId156" /><Relationship Type="http://schemas.openxmlformats.org/officeDocument/2006/relationships/externalLink" Target="/xl/externalLinks/externalLink147.xml" Id="rId157" /><Relationship Type="http://schemas.openxmlformats.org/officeDocument/2006/relationships/externalLink" Target="/xl/externalLinks/externalLink148.xml" Id="rId158" /><Relationship Type="http://schemas.openxmlformats.org/officeDocument/2006/relationships/externalLink" Target="/xl/externalLinks/externalLink149.xml" Id="rId159" /><Relationship Type="http://schemas.openxmlformats.org/officeDocument/2006/relationships/externalLink" Target="/xl/externalLinks/externalLink150.xml" Id="rId160" /><Relationship Type="http://schemas.openxmlformats.org/officeDocument/2006/relationships/externalLink" Target="/xl/externalLinks/externalLink151.xml" Id="rId161" /><Relationship Type="http://schemas.openxmlformats.org/officeDocument/2006/relationships/externalLink" Target="/xl/externalLinks/externalLink152.xml" Id="rId162" /><Relationship Type="http://schemas.openxmlformats.org/officeDocument/2006/relationships/externalLink" Target="/xl/externalLinks/externalLink153.xml" Id="rId163" /><Relationship Type="http://schemas.openxmlformats.org/officeDocument/2006/relationships/externalLink" Target="/xl/externalLinks/externalLink154.xml" Id="rId164" /><Relationship Type="http://schemas.openxmlformats.org/officeDocument/2006/relationships/externalLink" Target="/xl/externalLinks/externalLink155.xml" Id="rId165" /><Relationship Type="http://schemas.openxmlformats.org/officeDocument/2006/relationships/externalLink" Target="/xl/externalLinks/externalLink156.xml" Id="rId166" /><Relationship Type="http://schemas.openxmlformats.org/officeDocument/2006/relationships/externalLink" Target="/xl/externalLinks/externalLink157.xml" Id="rId167" /><Relationship Type="http://schemas.openxmlformats.org/officeDocument/2006/relationships/externalLink" Target="/xl/externalLinks/externalLink158.xml" Id="rId168" /><Relationship Type="http://schemas.openxmlformats.org/officeDocument/2006/relationships/externalLink" Target="/xl/externalLinks/externalLink159.xml" Id="rId169" /><Relationship Type="http://schemas.openxmlformats.org/officeDocument/2006/relationships/externalLink" Target="/xl/externalLinks/externalLink160.xml" Id="rId170" /><Relationship Type="http://schemas.openxmlformats.org/officeDocument/2006/relationships/externalLink" Target="/xl/externalLinks/externalLink161.xml" Id="rId171" /><Relationship Type="http://schemas.openxmlformats.org/officeDocument/2006/relationships/externalLink" Target="/xl/externalLinks/externalLink162.xml" Id="rId172" /><Relationship Type="http://schemas.openxmlformats.org/officeDocument/2006/relationships/externalLink" Target="/xl/externalLinks/externalLink163.xml" Id="rId173" /><Relationship Type="http://schemas.openxmlformats.org/officeDocument/2006/relationships/externalLink" Target="/xl/externalLinks/externalLink164.xml" Id="rId174" /><Relationship Type="http://schemas.openxmlformats.org/officeDocument/2006/relationships/externalLink" Target="/xl/externalLinks/externalLink165.xml" Id="rId175" /><Relationship Type="http://schemas.openxmlformats.org/officeDocument/2006/relationships/externalLink" Target="/xl/externalLinks/externalLink166.xml" Id="rId176" /><Relationship Type="http://schemas.openxmlformats.org/officeDocument/2006/relationships/externalLink" Target="/xl/externalLinks/externalLink167.xml" Id="rId177" /><Relationship Type="http://schemas.openxmlformats.org/officeDocument/2006/relationships/externalLink" Target="/xl/externalLinks/externalLink168.xml" Id="rId178" /><Relationship Type="http://schemas.openxmlformats.org/officeDocument/2006/relationships/externalLink" Target="/xl/externalLinks/externalLink169.xml" Id="rId179" /><Relationship Type="http://schemas.openxmlformats.org/officeDocument/2006/relationships/externalLink" Target="/xl/externalLinks/externalLink170.xml" Id="rId180" /><Relationship Type="http://schemas.openxmlformats.org/officeDocument/2006/relationships/externalLink" Target="/xl/externalLinks/externalLink171.xml" Id="rId181" /><Relationship Type="http://schemas.openxmlformats.org/officeDocument/2006/relationships/externalLink" Target="/xl/externalLinks/externalLink172.xml" Id="rId182" /><Relationship Type="http://schemas.openxmlformats.org/officeDocument/2006/relationships/externalLink" Target="/xl/externalLinks/externalLink173.xml" Id="rId183" /><Relationship Type="http://schemas.openxmlformats.org/officeDocument/2006/relationships/externalLink" Target="/xl/externalLinks/externalLink174.xml" Id="rId184" /><Relationship Type="http://schemas.openxmlformats.org/officeDocument/2006/relationships/externalLink" Target="/xl/externalLinks/externalLink175.xml" Id="rId185" /><Relationship Type="http://schemas.openxmlformats.org/officeDocument/2006/relationships/externalLink" Target="/xl/externalLinks/externalLink176.xml" Id="rId186" /><Relationship Type="http://schemas.openxmlformats.org/officeDocument/2006/relationships/externalLink" Target="/xl/externalLinks/externalLink177.xml" Id="rId187" /><Relationship Type="http://schemas.openxmlformats.org/officeDocument/2006/relationships/externalLink" Target="/xl/externalLinks/externalLink178.xml" Id="rId188" /><Relationship Type="http://schemas.openxmlformats.org/officeDocument/2006/relationships/styles" Target="styles.xml" Id="rId189" /><Relationship Type="http://schemas.openxmlformats.org/officeDocument/2006/relationships/theme" Target="theme/theme1.xml" Id="rId190" /><Relationship Type="http://schemas.microsoft.com/office/2006/relationships/vbaProject" Target="vbaProject.bin" Id="rId191"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3.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 Type="http://schemas.openxmlformats.org/officeDocument/2006/relationships/image" Target="/xl/media/image8.jpeg" Id="rId8" /><Relationship Type="http://schemas.openxmlformats.org/officeDocument/2006/relationships/image" Target="/xl/media/image9.jpeg" Id="rId9" /><Relationship Type="http://schemas.openxmlformats.org/officeDocument/2006/relationships/image" Target="/xl/media/image10.jpeg" Id="rId10" /></Relationships>
</file>

<file path=xl/drawings/_rels/drawing2.xml.rels><Relationships xmlns="http://schemas.openxmlformats.org/package/2006/relationships"><Relationship Type="http://schemas.openxmlformats.org/officeDocument/2006/relationships/image" Target="/xl/media/image11.png" Id="rId1" /><Relationship Type="http://schemas.openxmlformats.org/officeDocument/2006/relationships/image" Target="/xl/media/image12.png" Id="rId2" /></Relationships>
</file>

<file path=xl/drawings/_rels/drawing3.xml.rels><Relationships xmlns="http://schemas.openxmlformats.org/package/2006/relationships"><Relationship Type="http://schemas.openxmlformats.org/officeDocument/2006/relationships/image" Target="/xl/media/image13.jpeg" Id="rId1" /></Relationships>
</file>

<file path=xl/drawings/_rels/drawing4.xml.rels><Relationships xmlns="http://schemas.openxmlformats.org/package/2006/relationships"><Relationship Type="http://schemas.openxmlformats.org/officeDocument/2006/relationships/image" Target="/xl/media/image14.png" Id="rId1" /></Relationships>
</file>

<file path=xl/drawings/_rels/drawing5.xml.rels><Relationships xmlns="http://schemas.openxmlformats.org/package/2006/relationships"><Relationship Type="http://schemas.openxmlformats.org/officeDocument/2006/relationships/image" Target="/xl/media/image15.jpeg" Id="rId1" /><Relationship Type="http://schemas.openxmlformats.org/officeDocument/2006/relationships/image" Target="/xl/media/image16.gif" Id="rId2" /><Relationship Type="http://schemas.openxmlformats.org/officeDocument/2006/relationships/image" Target="/xl/media/image17.png" Id="rId3" /></Relationships>
</file>

<file path=xl/drawings/_rels/drawing6.xml.rels><Relationships xmlns="http://schemas.openxmlformats.org/package/2006/relationships"><Relationship Type="http://schemas.openxmlformats.org/officeDocument/2006/relationships/image" Target="/xl/media/image18.png" Id="rId1" /><Relationship Type="http://schemas.openxmlformats.org/officeDocument/2006/relationships/image" Target="/xl/media/image19.png" Id="rId2" /></Relationships>
</file>

<file path=xl/drawings/_rels/drawing7.xml.rels><Relationships xmlns="http://schemas.openxmlformats.org/package/2006/relationships"><Relationship Type="http://schemas.openxmlformats.org/officeDocument/2006/relationships/image" Target="/xl/media/image20.png" Id="rId1" /><Relationship Type="http://schemas.openxmlformats.org/officeDocument/2006/relationships/image" Target="/xl/media/image21.png" Id="rId2" /></Relationships>
</file>

<file path=xl/drawings/_rels/drawing8.xml.rels><Relationships xmlns="http://schemas.openxmlformats.org/package/2006/relationships"><Relationship Type="http://schemas.openxmlformats.org/officeDocument/2006/relationships/image" Target="/xl/media/image22.png" Id="rId1" /><Relationship Type="http://schemas.openxmlformats.org/officeDocument/2006/relationships/image" Target="/xl/media/image23.png" Id="rId2"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2264040</colOff>
      <row>6</row>
      <rowOff>549000</rowOff>
    </to>
    <pic>
      <nvPicPr>
        <cNvPr id="0" name="Picture 1" descr=""/>
        <cNvPicPr/>
      </nvPicPr>
      <blipFill>
        <a:blip r:embed="rId1"/>
        <a:stretch>
          <a:fillRect/>
        </a:stretch>
      </blipFill>
      <spPr>
        <a:xfrm>
          <a:off x="11334600" y="1576800"/>
          <a:ext cx="1081800" cy="401040"/>
        </a:xfrm>
        <a:prstGeom prst="rect">
          <avLst/>
        </a:prstGeom>
        <a:ln w="0">
          <a:noFill/>
          <a:prstDash val="solid"/>
        </a:ln>
      </spPr>
    </pic>
    <clientData/>
  </twoCellAnchor>
  <twoCellAnchor editAs="oneCell">
    <from>
      <col>6</col>
      <colOff>1182240</colOff>
      <row>6</row>
      <rowOff>147960</rowOff>
    </from>
    <to>
      <col>6</col>
      <colOff>2264040</colOff>
      <row>6</row>
      <rowOff>549000</rowOff>
    </to>
    <pic>
      <nvPicPr>
        <cNvPr id="1" name="Picture 2" descr=""/>
        <cNvPicPr/>
      </nvPicPr>
      <blipFill>
        <a:blip r:embed="rId2"/>
        <a:stretch>
          <a:fillRect/>
        </a:stretch>
      </blipFill>
      <spPr>
        <a:xfrm>
          <a:off x="11334600" y="1576800"/>
          <a:ext cx="1081800" cy="401040"/>
        </a:xfrm>
        <a:prstGeom prst="rect">
          <avLst/>
        </a:prstGeom>
        <a:ln w="0">
          <a:noFill/>
          <a:prstDash val="solid"/>
        </a:ln>
      </spPr>
    </pic>
    <clientData/>
  </twoCellAnchor>
  <twoCellAnchor editAs="oneCell">
    <from>
      <col>6</col>
      <colOff>1182240</colOff>
      <row>6</row>
      <rowOff>147960</rowOff>
    </from>
    <to>
      <col>6</col>
      <colOff>2264040</colOff>
      <row>6</row>
      <rowOff>549000</rowOff>
    </to>
    <pic>
      <nvPicPr>
        <cNvPr id="2" name="Picture 3" descr=""/>
        <cNvPicPr/>
      </nvPicPr>
      <blipFill>
        <a:blip r:embed="rId3"/>
        <a:stretch>
          <a:fillRect/>
        </a:stretch>
      </blipFill>
      <spPr>
        <a:xfrm>
          <a:off x="11334600" y="1576800"/>
          <a:ext cx="1081800" cy="401040"/>
        </a:xfrm>
        <a:prstGeom prst="rect">
          <avLst/>
        </a:prstGeom>
        <a:ln w="0">
          <a:noFill/>
          <a:prstDash val="solid"/>
        </a:ln>
      </spPr>
    </pic>
    <clientData/>
  </twoCellAnchor>
  <twoCellAnchor editAs="oneCell">
    <from>
      <col>6</col>
      <colOff>1182240</colOff>
      <row>6</row>
      <rowOff>147960</rowOff>
    </from>
    <to>
      <col>6</col>
      <colOff>2264040</colOff>
      <row>6</row>
      <rowOff>549000</rowOff>
    </to>
    <pic>
      <nvPicPr>
        <cNvPr id="3" name="Picture 4" descr=""/>
        <cNvPicPr/>
      </nvPicPr>
      <blipFill>
        <a:blip r:embed="rId4"/>
        <a:stretch>
          <a:fillRect/>
        </a:stretch>
      </blipFill>
      <spPr>
        <a:xfrm>
          <a:off x="11334600" y="1576800"/>
          <a:ext cx="1081800" cy="401040"/>
        </a:xfrm>
        <a:prstGeom prst="rect">
          <avLst/>
        </a:prstGeom>
        <a:ln w="0">
          <a:noFill/>
          <a:prstDash val="solid"/>
        </a:ln>
      </spPr>
    </pic>
    <clientData/>
  </twoCellAnchor>
  <twoCellAnchor editAs="oneCell">
    <from>
      <col>6</col>
      <colOff>1182240</colOff>
      <row>6</row>
      <rowOff>147960</rowOff>
    </from>
    <to>
      <col>6</col>
      <colOff>2264040</colOff>
      <row>6</row>
      <rowOff>549000</rowOff>
    </to>
    <pic>
      <nvPicPr>
        <cNvPr id="4" name="Picture 5" descr=""/>
        <cNvPicPr/>
      </nvPicPr>
      <blipFill>
        <a:blip r:embed="rId5"/>
        <a:stretch>
          <a:fillRect/>
        </a:stretch>
      </blipFill>
      <spPr>
        <a:xfrm>
          <a:off x="11334600" y="1576800"/>
          <a:ext cx="1081800" cy="401040"/>
        </a:xfrm>
        <a:prstGeom prst="rect">
          <avLst/>
        </a:prstGeom>
        <a:ln w="0">
          <a:noFill/>
          <a:prstDash val="solid"/>
        </a:ln>
      </spPr>
    </pic>
    <clientData/>
  </twoCellAnchor>
  <twoCellAnchor editAs="oneCell">
    <from>
      <col>6</col>
      <colOff>1182240</colOff>
      <row>6</row>
      <rowOff>147960</rowOff>
    </from>
    <to>
      <col>6</col>
      <colOff>2264040</colOff>
      <row>6</row>
      <rowOff>549000</rowOff>
    </to>
    <pic>
      <nvPicPr>
        <cNvPr id="5" name="Picture 7" descr=""/>
        <cNvPicPr/>
      </nvPicPr>
      <blipFill>
        <a:blip r:embed="rId6"/>
        <a:stretch>
          <a:fillRect/>
        </a:stretch>
      </blipFill>
      <spPr>
        <a:xfrm>
          <a:off x="11334600" y="1576800"/>
          <a:ext cx="1081800" cy="401040"/>
        </a:xfrm>
        <a:prstGeom prst="rect">
          <avLst/>
        </a:prstGeom>
        <a:ln w="0">
          <a:noFill/>
          <a:prstDash val="solid"/>
        </a:ln>
      </spPr>
    </pic>
    <clientData/>
  </twoCellAnchor>
  <twoCellAnchor editAs="oneCell">
    <from>
      <col>6</col>
      <colOff>1182240</colOff>
      <row>6</row>
      <rowOff>147960</rowOff>
    </from>
    <to>
      <col>6</col>
      <colOff>2264040</colOff>
      <row>6</row>
      <rowOff>549000</rowOff>
    </to>
    <pic>
      <nvPicPr>
        <cNvPr id="6" name="Picture 6" descr=""/>
        <cNvPicPr/>
      </nvPicPr>
      <blipFill>
        <a:blip r:embed="rId7"/>
        <a:stretch>
          <a:fillRect/>
        </a:stretch>
      </blipFill>
      <spPr>
        <a:xfrm>
          <a:off x="11334600" y="1576800"/>
          <a:ext cx="1081800" cy="401040"/>
        </a:xfrm>
        <a:prstGeom prst="rect">
          <avLst/>
        </a:prstGeom>
        <a:ln w="0">
          <a:noFill/>
          <a:prstDash val="solid"/>
        </a:ln>
      </spPr>
    </pic>
    <clientData/>
  </twoCellAnchor>
  <twoCellAnchor editAs="oneCell">
    <from>
      <col>6</col>
      <colOff>1182240</colOff>
      <row>6</row>
      <rowOff>147960</rowOff>
    </from>
    <to>
      <col>6</col>
      <colOff>2264040</colOff>
      <row>6</row>
      <rowOff>549000</rowOff>
    </to>
    <pic>
      <nvPicPr>
        <cNvPr id="7" name="Picture 9" descr=""/>
        <cNvPicPr/>
      </nvPicPr>
      <blipFill>
        <a:blip r:embed="rId8"/>
        <a:stretch>
          <a:fillRect/>
        </a:stretch>
      </blipFill>
      <spPr>
        <a:xfrm>
          <a:off x="11334600" y="1576800"/>
          <a:ext cx="1081800" cy="401040"/>
        </a:xfrm>
        <a:prstGeom prst="rect">
          <avLst/>
        </a:prstGeom>
        <a:ln w="0">
          <a:noFill/>
          <a:prstDash val="solid"/>
        </a:ln>
      </spPr>
    </pic>
    <clientData/>
  </twoCellAnchor>
  <twoCellAnchor editAs="oneCell">
    <from>
      <col>6</col>
      <colOff>1182240</colOff>
      <row>6</row>
      <rowOff>147960</rowOff>
    </from>
    <to>
      <col>6</col>
      <colOff>2264040</colOff>
      <row>6</row>
      <rowOff>549000</rowOff>
    </to>
    <pic>
      <nvPicPr>
        <cNvPr id="8" name="Picture 10" descr=""/>
        <cNvPicPr/>
      </nvPicPr>
      <blipFill>
        <a:blip r:embed="rId9"/>
        <a:stretch>
          <a:fillRect/>
        </a:stretch>
      </blipFill>
      <spPr>
        <a:xfrm>
          <a:off x="11334600" y="1576800"/>
          <a:ext cx="1081800" cy="401040"/>
        </a:xfrm>
        <a:prstGeom prst="rect">
          <avLst/>
        </a:prstGeom>
        <a:ln w="0">
          <a:noFill/>
          <a:prstDash val="solid"/>
        </a:ln>
      </spPr>
    </pic>
    <clientData/>
  </twoCellAnchor>
  <twoCellAnchor editAs="oneCell">
    <from>
      <col>6</col>
      <colOff>1182240</colOff>
      <row>6</row>
      <rowOff>147960</rowOff>
    </from>
    <to>
      <col>6</col>
      <colOff>2264040</colOff>
      <row>6</row>
      <rowOff>549000</rowOff>
    </to>
    <pic>
      <nvPicPr>
        <cNvPr id="9" name="Picture 8" descr=""/>
        <cNvPicPr/>
      </nvPicPr>
      <blipFill>
        <a:blip r:embed="rId10"/>
        <a:stretch>
          <a:fillRect/>
        </a:stretch>
      </blipFill>
      <spPr>
        <a:xfrm>
          <a:off x="11334600" y="1576800"/>
          <a:ext cx="1081800" cy="401040"/>
        </a:xfrm>
        <a:prstGeom prst="rect">
          <avLst/>
        </a:prstGeom>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124200</colOff>
      <row>0</row>
      <rowOff>700200</rowOff>
    </to>
    <pic>
      <nvPicPr>
        <cNvPr id="10" name="Picture 1" descr=""/>
        <cNvPicPr/>
      </nvPicPr>
      <blipFill>
        <a:blip r:embed="rId1"/>
        <a:srcRect l="13234" t="33457" r="19440" b="30041"/>
        <a:stretch>
          <a:fillRect/>
        </a:stretch>
      </blipFill>
      <spPr>
        <a:xfrm>
          <a:off x="0" y="163080"/>
          <a:ext cx="888840" cy="537120"/>
        </a:xfrm>
        <a:prstGeom prst="rect">
          <avLst/>
        </a:prstGeom>
        <a:ln w="0">
          <a:noFill/>
          <a:prstDash val="solid"/>
        </a:ln>
      </spPr>
    </pic>
    <clientData/>
  </twoCellAnchor>
  <twoCellAnchor editAs="oneCell">
    <from>
      <col>17</col>
      <colOff>312480</colOff>
      <row>0</row>
      <rowOff>45720</rowOff>
    </from>
    <to>
      <col>17</col>
      <colOff>1721880</colOff>
      <row>0</row>
      <rowOff>639000</rowOff>
    </to>
    <pic>
      <nvPicPr>
        <cNvPr id="11" name="Picture 3" descr=""/>
        <cNvPicPr/>
      </nvPicPr>
      <blipFill>
        <a:blip r:embed="rId2"/>
        <a:stretch>
          <a:fillRect/>
        </a:stretch>
      </blipFill>
      <spPr>
        <a:xfrm>
          <a:off x="9913680" y="45720"/>
          <a:ext cx="1409400" cy="593280"/>
        </a:xfrm>
        <a:prstGeom prst="rect">
          <avLst/>
        </a:prstGeom>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743760</colOff>
      <row>0</row>
      <rowOff>748800</rowOff>
    </to>
    <pic>
      <nvPicPr>
        <cNvPr id="12" name="Picture 1" descr=""/>
        <cNvPicPr/>
      </nvPicPr>
      <blipFill>
        <a:blip r:embed="rId1"/>
        <a:stretch>
          <a:fillRect/>
        </a:stretch>
      </blipFill>
      <spPr>
        <a:xfrm>
          <a:off x="35280" y="46800"/>
          <a:ext cx="1837440" cy="702000"/>
        </a:xfrm>
        <a:prstGeom prst="rect">
          <avLst/>
        </a:prstGeom>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1002960</colOff>
      <row>6</row>
      <rowOff>178920</rowOff>
    </to>
    <pic>
      <nvPicPr>
        <cNvPr id="13" name="Picture 1" descr=""/>
        <cNvPicPr/>
      </nvPicPr>
      <blipFill>
        <a:blip r:embed="rId1"/>
        <a:stretch>
          <a:fillRect/>
        </a:stretch>
      </blipFill>
      <spPr>
        <a:xfrm>
          <a:off x="13295160" y="66600"/>
          <a:ext cx="802800" cy="1112400"/>
        </a:xfrm>
        <a:prstGeom prst="rect">
          <avLst/>
        </a:prstGeom>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4</row>
      <rowOff>19080</rowOff>
    </from>
    <to>
      <col>12</col>
      <colOff>782640</colOff>
      <row>11</row>
      <rowOff>54720</rowOff>
    </to>
    <pic>
      <nvPicPr>
        <cNvPr id="14" name="Picture 3" descr=""/>
        <cNvPicPr/>
      </nvPicPr>
      <blipFill>
        <a:blip r:embed="rId1"/>
        <a:stretch>
          <a:fillRect/>
        </a:stretch>
      </blipFill>
      <spPr>
        <a:xfrm>
          <a:off x="10098360" y="1800360"/>
          <a:ext cx="3512520" cy="1635840"/>
        </a:xfrm>
        <a:prstGeom prst="rect">
          <avLst/>
        </a:prstGeom>
        <a:ln w="0">
          <a:noFill/>
          <a:prstDash val="solid"/>
        </a:ln>
      </spPr>
    </pic>
    <clientData/>
  </twoCellAnchor>
  <twoCellAnchor editAs="oneCell">
    <from>
      <col>0</col>
      <colOff>360360</colOff>
      <row>0</row>
      <rowOff>79200</rowOff>
    </from>
    <to>
      <col>0</col>
      <colOff>1074240</colOff>
      <row>0</row>
      <rowOff>613440</rowOff>
    </to>
    <pic>
      <nvPicPr>
        <cNvPr id="15" name="Picture 3" descr=""/>
        <cNvPicPr/>
      </nvPicPr>
      <blipFill>
        <a:blip r:embed="rId2"/>
        <a:srcRect l="13395" t="33204" r="19440" b="30928"/>
        <a:stretch>
          <a:fillRect/>
        </a:stretch>
      </blipFill>
      <spPr>
        <a:xfrm>
          <a:off x="360360" y="79200"/>
          <a:ext cx="713880" cy="534240"/>
        </a:xfrm>
        <a:prstGeom prst="rect">
          <avLst/>
        </a:prstGeom>
        <a:ln w="0">
          <a:noFill/>
          <a:prstDash val="solid"/>
        </a:ln>
      </spPr>
    </pic>
    <clientData/>
  </twoCellAnchor>
  <twoCellAnchor editAs="oneCell">
    <from>
      <col>11</col>
      <colOff>507960</colOff>
      <row>0</row>
      <rowOff>21240</rowOff>
    </from>
    <to>
      <col>12</col>
      <colOff>118440</colOff>
      <row>0</row>
      <rowOff>747360</rowOff>
    </to>
    <pic>
      <nvPicPr>
        <cNvPr id="16" name="Picture 4" descr=""/>
        <cNvPicPr/>
      </nvPicPr>
      <blipFill>
        <a:blip r:embed="rId3"/>
        <a:stretch>
          <a:fillRect/>
        </a:stretch>
      </blipFill>
      <spPr>
        <a:xfrm>
          <a:off x="12322800" y="21240"/>
          <a:ext cx="623880" cy="726120"/>
        </a:xfrm>
        <a:prstGeom prst="rect">
          <avLst/>
        </a:prstGeom>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573480</colOff>
      <row>5</row>
      <rowOff>215280</rowOff>
    </to>
    <pic>
      <nvPicPr>
        <cNvPr id="17" name="Picture 1" descr=""/>
        <cNvPicPr/>
      </nvPicPr>
      <blipFill>
        <a:blip r:embed="rId1"/>
        <a:stretch>
          <a:fillRect/>
        </a:stretch>
      </blipFill>
      <spPr>
        <a:xfrm>
          <a:off x="14754240" y="112680"/>
          <a:ext cx="923400" cy="1074240"/>
        </a:xfrm>
        <a:prstGeom prst="rect">
          <avLst/>
        </a:prstGeom>
        <a:ln w="0">
          <a:noFill/>
          <a:prstDash val="solid"/>
        </a:ln>
      </spPr>
    </pic>
    <clientData/>
  </twoCellAnchor>
  <twoCellAnchor editAs="oneCell">
    <from>
      <col>1</col>
      <colOff>200160</colOff>
      <row>1</row>
      <rowOff>0</rowOff>
    </from>
    <to>
      <col>1</col>
      <colOff>1628640</colOff>
      <row>5</row>
      <rowOff>158400</rowOff>
    </to>
    <pic>
      <nvPicPr>
        <cNvPr id="18" name="Graphic 2" descr=""/>
        <cNvPicPr/>
      </nvPicPr>
      <blipFill>
        <a:blip r:embed="rId2"/>
        <a:stretch>
          <a:fillRect/>
        </a:stretch>
      </blipFill>
      <spPr>
        <a:xfrm>
          <a:off x="333360" y="85680"/>
          <a:ext cx="1428480" cy="1044360"/>
        </a:xfrm>
        <a:prstGeom prst="rect">
          <avLst/>
        </a:prstGeom>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587520</colOff>
      <row>5</row>
      <rowOff>196920</rowOff>
    </to>
    <pic>
      <nvPicPr>
        <cNvPr id="19" name="Picture 1" descr=""/>
        <cNvPicPr/>
      </nvPicPr>
      <blipFill>
        <a:blip r:embed="rId1"/>
        <a:stretch>
          <a:fillRect/>
        </a:stretch>
      </blipFill>
      <spPr>
        <a:xfrm>
          <a:off x="14141160" y="112680"/>
          <a:ext cx="901440" cy="1055880"/>
        </a:xfrm>
        <a:prstGeom prst="rect">
          <avLst/>
        </a:prstGeom>
        <a:ln w="0">
          <a:noFill/>
          <a:prstDash val="solid"/>
        </a:ln>
      </spPr>
    </pic>
    <clientData/>
  </twoCellAnchor>
  <twoCellAnchor editAs="oneCell">
    <from>
      <col>1</col>
      <colOff>200160</colOff>
      <row>1</row>
      <rowOff>0</rowOff>
    </from>
    <to>
      <col>1</col>
      <colOff>1628640</colOff>
      <row>5</row>
      <rowOff>139680</rowOff>
    </to>
    <pic>
      <nvPicPr>
        <cNvPr id="20" name="Graphic 2" descr=""/>
        <cNvPicPr/>
      </nvPicPr>
      <blipFill>
        <a:blip r:embed="rId2"/>
        <a:stretch>
          <a:fillRect/>
        </a:stretch>
      </blipFill>
      <spPr>
        <a:xfrm>
          <a:off x="342360" y="85680"/>
          <a:ext cx="1428480" cy="1025640"/>
        </a:xfrm>
        <a:prstGeom prst="rect">
          <avLst/>
        </a:prstGeom>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263520</colOff>
      <row>0</row>
      <rowOff>538920</rowOff>
    </to>
    <pic>
      <nvPicPr>
        <cNvPr id="21" name="Picture 2" descr=""/>
        <cNvPicPr/>
      </nvPicPr>
      <blipFill>
        <a:blip r:embed="rId1"/>
        <a:srcRect l="13234" t="33457" r="19440" b="30041"/>
        <a:stretch>
          <a:fillRect/>
        </a:stretch>
      </blipFill>
      <spPr>
        <a:xfrm>
          <a:off x="273600" y="59040"/>
          <a:ext cx="677520" cy="479880"/>
        </a:xfrm>
        <a:prstGeom prst="rect">
          <avLst/>
        </a:prstGeom>
        <a:ln w="0">
          <a:noFill/>
          <a:prstDash val="solid"/>
        </a:ln>
      </spPr>
    </pic>
    <clientData/>
  </twoCellAnchor>
  <twoCellAnchor editAs="oneCell">
    <from>
      <col>9</col>
      <colOff>360720</colOff>
      <row>0</row>
      <rowOff>23400</rowOff>
    </from>
    <to>
      <col>10</col>
      <colOff>81000</colOff>
      <row>0</row>
      <rowOff>556560</rowOff>
    </to>
    <pic>
      <nvPicPr>
        <cNvPr id="22" name="Picture 3" descr=""/>
        <cNvPicPr/>
      </nvPicPr>
      <blipFill>
        <a:blip r:embed="rId2"/>
        <a:stretch>
          <a:fillRect/>
        </a:stretch>
      </blipFill>
      <spPr>
        <a:xfrm>
          <a:off x="7967880" y="23400"/>
          <a:ext cx="458280" cy="533160"/>
        </a:xfrm>
        <a:prstGeom prst="rect">
          <avLst/>
        </a:prstGeom>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6.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7.xml.rels><Relationships xmlns="http://schemas.openxmlformats.org/package/2006/relationships"><Relationship Type="http://schemas.openxmlformats.org/officeDocument/2006/relationships/externalLinkPath" Target="../../../A:/CALC7-2.XLS" TargetMode="External" Id="rId1" /></Relationships>
</file>

<file path=xl/externalLinks/_rels/externalLink8.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9.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0.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1.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2.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3.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4.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5.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7.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8.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0.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3.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4.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5.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6.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7.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8.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29.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0.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1.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2.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3.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4.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5.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6.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7.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8.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39.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0.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1.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2.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3.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4.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7.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8.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49.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0.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1.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2.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3.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4.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5.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6.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7.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8.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5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0.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1.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2.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3.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4.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5.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6.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7.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68.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2.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3.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4.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5.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7.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78.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79.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0.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1.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2.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3.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4.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5.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6.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7.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8.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89.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0.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1.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2.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3.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4.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5.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6.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8.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99.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0.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1.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2.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3.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4.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5.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6.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8.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09.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0.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1.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2.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3.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4.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5.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6.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7.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19.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0.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21.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22.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3.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4.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5.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6.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7.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29.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0.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1.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2.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3.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4.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5.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6.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7.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38.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39.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1.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2.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3.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4.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5.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7.xml.rels><Relationships xmlns="http://schemas.openxmlformats.org/package/2006/relationships"><Relationship Type="http://schemas.openxmlformats.org/officeDocument/2006/relationships/externalLinkPath" Target="../../../A:/BHA.XLS" TargetMode="External" Id="rId1" /></Relationships>
</file>

<file path=xl/externalLinks/_rels/externalLink148.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49.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0.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1.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2.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3.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4.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5.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6.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7.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59.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0.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1.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2.xml.rels><Relationships xmlns="http://schemas.openxmlformats.org/package/2006/relationships"><Relationship Type="http://schemas.openxmlformats.org/officeDocument/2006/relationships/externalLinkPath" Target="../../../A:/KUAN/Book1.xls" TargetMode="External" Id="rId1" /></Relationships>
</file>

<file path=xl/externalLinks/_rels/externalLink163.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4.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5.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66.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67.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68.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69.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0.xml.rels><Relationships xmlns="http://schemas.openxmlformats.org/package/2006/relationships"><Relationship Type="http://schemas.openxmlformats.org/officeDocument/2006/relationships/externalLinkPath" Target="../../../A:/Extras.xls" TargetMode="External" Id="rId1" /></Relationships>
</file>

<file path=xl/externalLinks/_rels/externalLink171.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2.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3.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4.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5.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76.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77.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78.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1"/>
      <sheetName val="LT_Disc1"/>
      <sheetName val="Pay_Calculation_Sheet1"/>
      <sheetName val="Price_Book1"/>
      <sheetName val="CPRN_Feb_2001_Invoice1"/>
      <sheetName val="Pers&amp;Dem_Scarabeo_32"/>
      <sheetName val="LT_Disc2"/>
      <sheetName val="Pay_Calculation_Sheet2"/>
      <sheetName val="Price_Book2"/>
      <sheetName val="CPRN_Feb_2001_Invoice2"/>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 MTL"/>
      <sheetName val="?? DI"/>
      <sheetName val="??_MTL"/>
      <sheetName val="??_DI"/>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_MTL1"/>
      <sheetName val="??_DI1"/>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8.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9.xml.rels><Relationships xmlns="http://schemas.openxmlformats.org/package/2006/relationships"><Relationship Type="http://schemas.openxmlformats.org/officeDocument/2006/relationships/drawing" Target="/xl/drawings/drawing7.xml" Id="rId1" /></Relationships>
</file>

<file path=xl/worksheets/_rels/sheet10.xml.rels><Relationships xmlns="http://schemas.openxmlformats.org/package/2006/relationships"><Relationship Type="http://schemas.openxmlformats.org/officeDocument/2006/relationships/drawing" Target="/xl/drawings/drawing8.xml" Id="rId1" /><Relationship Type="http://schemas.openxmlformats.org/officeDocument/2006/relationships/vmlDrawing" Target="/xl/drawings/vmlDrawing3.vml" Id="anysvml" /></Relationships>
</file>

<file path=xl/worksheets/sheet1.xml><?xml version="1.0" encoding="utf-8"?>
<worksheet xmlns="http://schemas.openxmlformats.org/spreadsheetml/2006/main">
  <sheetPr filterMode="0">
    <outlinePr summaryBelow="1" summaryRight="1"/>
    <pageSetUpPr fitToPage="1"/>
  </sheetPr>
  <dimension ref="A1:I19"/>
  <sheetViews>
    <sheetView showFormulas="0" showGridLines="1" showRowColHeaders="1" showZeros="1" rightToLeft="0" tabSelected="0" showOutlineSymbols="1" defaultGridColor="1" view="pageBreakPreview" topLeftCell="A1" colorId="64" zoomScale="100" zoomScaleNormal="85" zoomScalePageLayoutView="100" workbookViewId="0">
      <selection pane="topLeft" activeCell="I8" activeCellId="0" sqref="I8"/>
    </sheetView>
  </sheetViews>
  <sheetFormatPr baseColWidth="8" defaultColWidth="9.22265625" defaultRowHeight="14.25" zeroHeight="0" outlineLevelRow="0"/>
  <cols>
    <col width="21.22" customWidth="1" style="556" min="1" max="1"/>
    <col width="14.22" customWidth="1" style="556" min="2" max="2"/>
    <col width="15.22" customWidth="1" style="556" min="3" max="3"/>
    <col width="33.78" customWidth="1" style="556" min="4" max="4"/>
    <col width="21.22" customWidth="1" style="556" min="5" max="6"/>
    <col width="34.11" customWidth="1" style="556" min="7" max="7"/>
    <col width="16.22" customWidth="1" style="556" min="8" max="8"/>
    <col width="22.78" customWidth="1" style="556" min="9" max="9"/>
    <col width="9.220000000000001" customWidth="1" style="556" min="10" max="16384"/>
  </cols>
  <sheetData>
    <row r="1" ht="18" customHeight="1" s="557">
      <c r="A1" s="558" t="n"/>
      <c r="B1" s="559" t="n"/>
      <c r="C1" s="560" t="inlineStr">
        <is>
          <t>COMPLETION ASSEMBLY INSTALLATION / CONSUMPTION RECORD SHEET</t>
        </is>
      </c>
      <c r="D1" s="561" t="n"/>
      <c r="E1" s="561" t="n"/>
      <c r="F1" s="561" t="n"/>
      <c r="G1" s="562" t="n"/>
      <c r="H1" s="563" t="inlineStr">
        <is>
          <t>DT 15969455</t>
        </is>
      </c>
      <c r="I1" s="562" t="n"/>
    </row>
    <row r="2" ht="15" customHeight="1" s="557">
      <c r="A2" s="564" t="inlineStr">
        <is>
          <t>CUSTOMER :</t>
        </is>
      </c>
      <c r="B2" s="565" t="n"/>
      <c r="C2" s="566" t="inlineStr">
        <is>
          <t>ADNOC OFFSHORE</t>
        </is>
      </c>
      <c r="D2" s="567" t="n"/>
      <c r="E2" s="568" t="inlineStr">
        <is>
          <t>FIELD :</t>
        </is>
      </c>
      <c r="F2" s="569" t="inlineStr">
        <is>
          <t>AL SILA</t>
        </is>
      </c>
      <c r="G2" s="570" t="n"/>
      <c r="H2" s="570" t="n"/>
      <c r="I2" s="571" t="n"/>
    </row>
    <row r="3" ht="14.25" customHeight="1" s="557">
      <c r="A3" s="572" t="inlineStr">
        <is>
          <t>WORK ORDER NUMBER</t>
        </is>
      </c>
      <c r="B3" s="567" t="n"/>
      <c r="C3" s="566" t="inlineStr">
        <is>
          <t>4700014396</t>
        </is>
      </c>
      <c r="D3" s="567" t="n"/>
      <c r="E3" s="573" t="inlineStr">
        <is>
          <t>CONTRACT NUMBER</t>
        </is>
      </c>
      <c r="F3" s="574" t="inlineStr">
        <is>
          <t>FTASM 1706-B</t>
        </is>
      </c>
      <c r="G3" s="570" t="n"/>
      <c r="H3" s="570" t="n"/>
      <c r="I3" s="571" t="n"/>
    </row>
    <row r="4" ht="14.25" customHeight="1" s="557">
      <c r="A4" s="575" t="inlineStr">
        <is>
          <t>Installation :</t>
        </is>
      </c>
      <c r="B4" s="567" t="n"/>
      <c r="C4" s="576" t="n">
        <v>46221</v>
      </c>
      <c r="D4" s="567" t="n"/>
      <c r="E4" s="577" t="inlineStr">
        <is>
          <t>Reported By :</t>
        </is>
      </c>
      <c r="F4" s="578" t="inlineStr">
        <is>
          <t xml:space="preserve">DRILLING SUPERVISOR </t>
        </is>
      </c>
      <c r="G4" s="570" t="n"/>
      <c r="H4" s="570" t="n"/>
      <c r="I4" s="571" t="n"/>
    </row>
    <row r="5" ht="25.5" customHeight="1" s="557">
      <c r="A5" s="575" t="inlineStr">
        <is>
          <t>Date :</t>
        </is>
      </c>
      <c r="B5" s="567" t="n"/>
      <c r="C5" s="576" t="n">
        <v>46230</v>
      </c>
      <c r="D5" s="567" t="n"/>
      <c r="E5" s="577" t="inlineStr">
        <is>
          <t>Production Commitment No. :</t>
        </is>
      </c>
      <c r="F5" s="579" t="inlineStr">
        <is>
          <t>4200448799</t>
        </is>
      </c>
      <c r="G5" s="570" t="n"/>
      <c r="H5" s="570" t="n"/>
      <c r="I5" s="571" t="n"/>
    </row>
    <row r="6" ht="25.5" customHeight="1" s="557">
      <c r="A6" s="575" t="inlineStr">
        <is>
          <t>Client's Representative Name:</t>
        </is>
      </c>
      <c r="B6" s="567" t="n"/>
      <c r="C6" s="580" t="n"/>
      <c r="D6" s="567" t="n"/>
      <c r="E6" s="577" t="inlineStr">
        <is>
          <t>Weatherford's
Representative Name:</t>
        </is>
      </c>
      <c r="F6" s="581" t="inlineStr">
        <is>
          <t>Mahmoud Ali</t>
        </is>
      </c>
      <c r="G6" s="570" t="n"/>
      <c r="H6" s="570" t="n"/>
      <c r="I6" s="571" t="n"/>
    </row>
    <row r="7" ht="52.5" customHeight="1" s="557">
      <c r="A7" s="582" t="inlineStr">
        <is>
          <t>Client's Representative Sign.:</t>
        </is>
      </c>
      <c r="B7" s="583" t="n"/>
      <c r="C7" s="584" t="n"/>
      <c r="D7" s="583" t="n"/>
      <c r="E7" s="585" t="inlineStr">
        <is>
          <t>Weatherford's
Representative Sign.:</t>
        </is>
      </c>
      <c r="F7" s="586" t="n">
        <v>0</v>
      </c>
      <c r="G7" s="587" t="n"/>
      <c r="H7" s="587" t="n"/>
      <c r="I7" s="588" t="n"/>
    </row>
    <row r="8" ht="15" customHeight="1" s="557">
      <c r="A8" s="589" t="n"/>
      <c r="B8" s="590" t="n"/>
      <c r="C8" s="590" t="n"/>
      <c r="D8" s="590" t="n"/>
      <c r="E8" s="591" t="inlineStr">
        <is>
          <t xml:space="preserve">*THE FOLLOWING ASSEMBLIES ARE TO BE SHIPPED TO : </t>
        </is>
      </c>
      <c r="F8" s="592" t="n"/>
      <c r="G8" s="592" t="n"/>
      <c r="H8" s="593" t="n"/>
      <c r="I8" s="594" t="inlineStr">
        <is>
          <t>AL SILA</t>
        </is>
      </c>
    </row>
    <row r="9" ht="15" customHeight="1" s="557">
      <c r="A9" s="595" t="n"/>
      <c r="B9" s="596" t="n"/>
      <c r="C9" s="596" t="n"/>
      <c r="D9" s="596" t="n"/>
      <c r="E9" s="597" t="inlineStr">
        <is>
          <t xml:space="preserve">*THE FOLLOWING ASSEMBLIES HAVE BEEN RUN IN : </t>
        </is>
      </c>
      <c r="F9" s="587" t="n"/>
      <c r="G9" s="587" t="n"/>
      <c r="H9" s="583" t="n"/>
      <c r="I9" s="594" t="inlineStr">
        <is>
          <t>ZK-460</t>
        </is>
      </c>
    </row>
    <row r="10" ht="25.5" customHeight="1" s="557">
      <c r="A10" s="598" t="inlineStr">
        <is>
          <t>PC LINE ITEM NO.</t>
        </is>
      </c>
      <c r="B10" s="598" t="inlineStr">
        <is>
          <t>MATERIAL REQUISITION</t>
        </is>
      </c>
      <c r="C10" s="598" t="inlineStr">
        <is>
          <t>SAP MATERIAL NUMBER</t>
        </is>
      </c>
      <c r="D10" s="599" t="inlineStr">
        <is>
          <t>ADNOC DESCRIPTION</t>
        </is>
      </c>
      <c r="E10" s="599" t="inlineStr">
        <is>
          <t>WEATHERFORD
Part No:</t>
        </is>
      </c>
      <c r="F10" s="599" t="inlineStr">
        <is>
          <t>Serial Number</t>
        </is>
      </c>
      <c r="G10" s="599" t="inlineStr">
        <is>
          <t>DESCRIPTION</t>
        </is>
      </c>
      <c r="H10" s="599" t="inlineStr">
        <is>
          <t>QUANTITY</t>
        </is>
      </c>
      <c r="I10" s="600" t="inlineStr">
        <is>
          <t>COMMENTS</t>
        </is>
      </c>
    </row>
    <row r="11" ht="44.25" customFormat="1" customHeight="1" s="601">
      <c r="A11" s="602" t="n">
        <v>1</v>
      </c>
      <c r="B11" s="602" t="inlineStr">
        <is>
          <t>N/A</t>
        </is>
      </c>
      <c r="C11" s="603" t="inlineStr">
        <is>
          <t>N/A</t>
        </is>
      </c>
      <c r="D11" s="602" t="inlineStr">
        <is>
          <t>CONTAINER, WORKSHOP 10 FT X 8</t>
        </is>
      </c>
      <c r="E11" s="604" t="inlineStr">
        <is>
          <t>1230111</t>
        </is>
      </c>
      <c r="F11" s="604" t="inlineStr">
        <is>
          <t>RZ062-001</t>
        </is>
      </c>
      <c r="G11" s="602" t="inlineStr">
        <is>
          <t>CONTAINER, WORKSHOP 10 FT X 8</t>
        </is>
      </c>
      <c r="H11" s="604" t="n">
        <v>1</v>
      </c>
      <c r="I11" s="604" t="inlineStr">
        <is>
          <t>SUCCESSFULLY RIH</t>
        </is>
      </c>
    </row>
    <row r="12" ht="44.25" customFormat="1" customHeight="1" s="601">
      <c r="A12" s="605" t="n">
        <v>2</v>
      </c>
      <c r="B12" s="605" t="inlineStr">
        <is>
          <t>N/A</t>
        </is>
      </c>
      <c r="C12" s="605" t="inlineStr">
        <is>
          <t>N/A</t>
        </is>
      </c>
      <c r="D12" s="605" t="inlineStr">
        <is>
          <t>SPOOLER UNIT, PNEUMATIC</t>
        </is>
      </c>
      <c r="E12" s="605" t="inlineStr">
        <is>
          <t>1393195</t>
        </is>
      </c>
      <c r="F12" s="605" t="inlineStr">
        <is>
          <t>RZ059-006</t>
        </is>
      </c>
      <c r="G12" s="605" t="inlineStr">
        <is>
          <t>SPOOLER UNIT, PNEUMATIC</t>
        </is>
      </c>
      <c r="H12" s="605" t="n">
        <v>1</v>
      </c>
      <c r="I12" s="605" t="inlineStr">
        <is>
          <t>SUCCESSFULLY RIH</t>
        </is>
      </c>
    </row>
    <row r="13" ht="44.25" customFormat="1" customHeight="1" s="601">
      <c r="A13" s="605" t="n">
        <v>3</v>
      </c>
      <c r="B13" s="605" t="inlineStr">
        <is>
          <t>N/A</t>
        </is>
      </c>
      <c r="C13" s="605" t="inlineStr">
        <is>
          <t>N/A</t>
        </is>
      </c>
      <c r="D13" s="605" t="inlineStr">
        <is>
          <t>BASKET, EQUIPMENT OFFSHORE</t>
        </is>
      </c>
      <c r="E13" s="605" t="inlineStr">
        <is>
          <t>237531</t>
        </is>
      </c>
      <c r="F13" s="605" t="inlineStr">
        <is>
          <t>CON-TAC45-017</t>
        </is>
      </c>
      <c r="G13" s="605" t="inlineStr">
        <is>
          <t>BASKET, EQUIPMENT OFFSHORE</t>
        </is>
      </c>
      <c r="H13" s="605" t="n">
        <v>1</v>
      </c>
      <c r="I13" s="605" t="inlineStr">
        <is>
          <t>SUCCESSFULLY RIH</t>
        </is>
      </c>
    </row>
    <row r="14" ht="44.25" customFormat="1" customHeight="1" s="601">
      <c r="A14" s="605" t="n">
        <v>4</v>
      </c>
      <c r="B14" s="605" t="inlineStr">
        <is>
          <t>N/A</t>
        </is>
      </c>
      <c r="C14" s="605" t="inlineStr">
        <is>
          <t>N/A</t>
        </is>
      </c>
      <c r="D14" s="605" t="inlineStr">
        <is>
          <t>WHEEL, SHEAVE 12 FT</t>
        </is>
      </c>
      <c r="E14" s="605" t="inlineStr">
        <is>
          <t>506655</t>
        </is>
      </c>
      <c r="F14" s="605" t="inlineStr">
        <is>
          <t>WEA-SW-6003</t>
        </is>
      </c>
      <c r="G14" s="605" t="inlineStr">
        <is>
          <t>WHEEL, SHEAVE 12 FT</t>
        </is>
      </c>
      <c r="H14" s="605" t="n">
        <v>1</v>
      </c>
      <c r="I14" s="605" t="inlineStr">
        <is>
          <t>SUCCESSFULLY RIH</t>
        </is>
      </c>
    </row>
    <row r="15" ht="44.25" customHeight="1" s="557">
      <c r="A15" s="602" t="inlineStr">
        <is>
          <t>5</t>
        </is>
      </c>
      <c r="B15" s="602" t="inlineStr">
        <is>
          <t>N/A</t>
        </is>
      </c>
      <c r="C15" s="603" t="inlineStr">
        <is>
          <t>N/A</t>
        </is>
      </c>
      <c r="D15" s="602" t="inlineStr">
        <is>
          <t>BASKET, CARGO LARGE 43FT X 4FT</t>
        </is>
      </c>
      <c r="E15" s="604" t="inlineStr">
        <is>
          <t>3270114</t>
        </is>
      </c>
      <c r="F15" s="604" t="inlineStr">
        <is>
          <t>CON-TAC21-01</t>
        </is>
      </c>
      <c r="G15" s="602" t="inlineStr">
        <is>
          <t>BASKET, CARGO LARGE 43FT X 4FT</t>
        </is>
      </c>
      <c r="H15" s="604" t="n">
        <v>1</v>
      </c>
      <c r="I15" s="604" t="inlineStr">
        <is>
          <t>SUCCESSFULLY RIH</t>
        </is>
      </c>
    </row>
    <row r="16" ht="44.25" customHeight="1" s="557">
      <c r="A16" s="602" t="n"/>
      <c r="B16" s="602" t="n"/>
      <c r="C16" s="603" t="n"/>
      <c r="D16" s="602" t="n"/>
      <c r="E16" s="604" t="n"/>
      <c r="F16" s="604" t="n"/>
      <c r="G16" s="602" t="n"/>
      <c r="H16" s="604" t="n"/>
      <c r="I16" s="604" t="n"/>
    </row>
    <row r="17" ht="44.25" customHeight="1" s="557">
      <c r="A17" s="602" t="n"/>
      <c r="B17" s="602" t="n"/>
      <c r="C17" s="603" t="n"/>
      <c r="D17" s="602" t="n"/>
      <c r="E17" s="604" t="n"/>
      <c r="F17" s="604" t="n"/>
      <c r="G17" s="602" t="n"/>
      <c r="H17" s="604" t="n"/>
      <c r="I17" s="604" t="n"/>
    </row>
    <row r="18" ht="36" customHeight="1" s="557">
      <c r="A18" s="602" t="n"/>
      <c r="B18" s="605" t="n"/>
      <c r="C18" s="605" t="n"/>
      <c r="D18" s="605" t="n"/>
      <c r="E18" s="605" t="n"/>
      <c r="F18" s="605" t="n"/>
      <c r="G18" s="605" t="n"/>
      <c r="H18" s="605" t="n"/>
      <c r="I18" s="605" t="n"/>
    </row>
    <row r="19" ht="44.25" customHeight="1" s="557">
      <c r="A19" s="602" t="n"/>
      <c r="B19" s="605" t="n"/>
      <c r="C19" s="605" t="n"/>
      <c r="D19" s="605" t="n"/>
      <c r="E19" s="605" t="n"/>
      <c r="F19" s="605" t="n"/>
      <c r="G19" s="605" t="n"/>
      <c r="H19" s="605" t="n"/>
      <c r="I19" s="605" t="n"/>
    </row>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00" zoomScaleNormal="110" zoomScalePageLayoutView="100" workbookViewId="0">
      <selection pane="topLeft" activeCell="B5" activeCellId="0" sqref="B5"/>
    </sheetView>
  </sheetViews>
  <sheetFormatPr baseColWidth="8" defaultColWidth="8.59765625" defaultRowHeight="14.25" zeroHeight="0" outlineLevelRow="0"/>
  <cols>
    <col width="22.11" customWidth="1" style="606" min="1" max="1"/>
    <col width="30.11" customWidth="1" style="606" min="2" max="2"/>
    <col width="4.22" customWidth="1" style="606" min="3" max="3"/>
    <col width="24" customWidth="1" style="606" min="4" max="4"/>
    <col width="29.44" customWidth="1" style="606" min="5" max="5"/>
    <col width="4.22" customWidth="1" style="607" min="6" max="6"/>
    <col width="12.89" customWidth="1" style="606" min="7" max="7"/>
    <col width="22.44" customWidth="1" style="606" min="8" max="8"/>
    <col width="25.56" customWidth="1" style="606" min="9" max="9"/>
  </cols>
  <sheetData>
    <row r="1" ht="17.35" customHeight="1" s="557">
      <c r="A1" s="608" t="inlineStr">
        <is>
          <t>Master Data Imput</t>
        </is>
      </c>
    </row>
    <row r="3" ht="39" customFormat="1" customHeight="1" s="609">
      <c r="A3" s="610" t="inlineStr">
        <is>
          <t>Customer Name</t>
        </is>
      </c>
      <c r="B3" s="611">
        <f>MS2!$C$2</f>
        <v/>
      </c>
      <c r="D3" s="610" t="inlineStr">
        <is>
          <t>Job Type</t>
        </is>
      </c>
      <c r="E3" s="612" t="inlineStr">
        <is>
          <t>3-1/2" Single Oil Producer, Alloy-28 Tubing,</t>
        </is>
      </c>
      <c r="F3" s="613" t="n"/>
      <c r="G3" s="614" t="inlineStr">
        <is>
          <t>Lead Engineer</t>
        </is>
      </c>
      <c r="H3" s="615" t="inlineStr">
        <is>
          <t>Jamal Iqbal</t>
        </is>
      </c>
      <c r="I3" s="615" t="inlineStr">
        <is>
          <t>Completion engineer</t>
        </is>
      </c>
    </row>
    <row r="4" ht="24" customHeight="1" s="557">
      <c r="A4" s="616" t="inlineStr">
        <is>
          <t>ADNOC Rep.</t>
        </is>
      </c>
      <c r="B4" s="617" t="inlineStr">
        <is>
          <t xml:space="preserve">Mostafa </t>
        </is>
      </c>
      <c r="D4" s="616" t="inlineStr">
        <is>
          <t>Work Description</t>
        </is>
      </c>
      <c r="E4" s="612" t="inlineStr">
        <is>
          <t>RIH COMPLETION</t>
        </is>
      </c>
      <c r="G4" s="618" t="inlineStr">
        <is>
          <t>Crew 1</t>
        </is>
      </c>
      <c r="H4" s="615" t="inlineStr">
        <is>
          <t>Jamal Iqbal/Mahmood Ali</t>
        </is>
      </c>
      <c r="I4" s="615" t="inlineStr">
        <is>
          <t>Completion engineer</t>
        </is>
      </c>
    </row>
    <row r="5" ht="14.25" customHeight="1" s="557">
      <c r="A5" s="618" t="inlineStr">
        <is>
          <t>ADNOC Rep. Phone</t>
        </is>
      </c>
      <c r="B5" s="619" t="n">
        <v>971508126221</v>
      </c>
      <c r="D5" s="618" t="inlineStr">
        <is>
          <t>Field</t>
        </is>
      </c>
      <c r="E5" s="620" t="n"/>
      <c r="G5" s="616" t="inlineStr">
        <is>
          <t>Crew 2</t>
        </is>
      </c>
      <c r="H5" s="615" t="inlineStr">
        <is>
          <t>Mahmood Ali</t>
        </is>
      </c>
      <c r="I5" s="615" t="inlineStr">
        <is>
          <t>Completion engineer</t>
        </is>
      </c>
    </row>
    <row r="6" ht="14.25" customHeight="1" s="557">
      <c r="A6" s="618" t="n"/>
      <c r="B6" s="619" t="n"/>
      <c r="D6" s="618" t="n"/>
      <c r="E6" s="620" t="n"/>
      <c r="G6" s="616" t="inlineStr">
        <is>
          <t>Crew 3</t>
        </is>
      </c>
      <c r="H6" s="615" t="inlineStr">
        <is>
          <t>Omer Abdulhalim</t>
        </is>
      </c>
      <c r="I6" s="615" t="inlineStr">
        <is>
          <t>Packer Engineer</t>
        </is>
      </c>
    </row>
    <row r="7" ht="14.25" customHeight="1" s="557">
      <c r="A7" s="616" t="n"/>
      <c r="B7" s="621" t="n"/>
      <c r="D7" s="618" t="n"/>
      <c r="E7" s="620" t="n"/>
      <c r="G7" s="616" t="inlineStr">
        <is>
          <t>Crew 4</t>
        </is>
      </c>
      <c r="H7" s="615" t="inlineStr">
        <is>
          <t>Ahmed Ghuneim</t>
        </is>
      </c>
      <c r="I7" s="615" t="inlineStr">
        <is>
          <t>FE completion RMS supervisor</t>
        </is>
      </c>
    </row>
    <row r="8" ht="14.25" customHeight="1" s="557">
      <c r="A8" s="618" t="inlineStr">
        <is>
          <t>ADNOC Rep. Phone</t>
        </is>
      </c>
      <c r="B8" s="619" t="n">
        <v>971508126221</v>
      </c>
      <c r="D8" s="618" t="inlineStr">
        <is>
          <t>Field</t>
        </is>
      </c>
      <c r="E8" s="620" t="inlineStr">
        <is>
          <t>BAB</t>
        </is>
      </c>
      <c r="G8" s="616" t="inlineStr">
        <is>
          <t>Crew 5</t>
        </is>
      </c>
      <c r="H8" s="615" t="inlineStr">
        <is>
          <t>Panchanan Barik</t>
        </is>
      </c>
      <c r="I8" s="615" t="inlineStr">
        <is>
          <t>Completion RMS</t>
        </is>
      </c>
    </row>
    <row r="9" ht="14.25" customHeight="1" s="557">
      <c r="A9" s="618" t="inlineStr">
        <is>
          <t>ADNOC Rep. Phone</t>
        </is>
      </c>
      <c r="B9" s="619" t="n">
        <v>971508126221</v>
      </c>
      <c r="D9" s="618" t="inlineStr">
        <is>
          <t>Field</t>
        </is>
      </c>
      <c r="E9" s="620" t="inlineStr">
        <is>
          <t>BAB</t>
        </is>
      </c>
      <c r="G9" s="616" t="inlineStr">
        <is>
          <t>Crew 6</t>
        </is>
      </c>
      <c r="H9" s="615" t="inlineStr">
        <is>
          <t>Ephraim Oshorenoya</t>
        </is>
      </c>
      <c r="I9" s="615" t="inlineStr">
        <is>
          <t>Completion RMS</t>
        </is>
      </c>
    </row>
    <row r="10" ht="14.25" customHeight="1" s="557">
      <c r="A10" s="616" t="inlineStr">
        <is>
          <t>Contract #</t>
        </is>
      </c>
      <c r="B10" s="621">
        <f>MS2!$C$3</f>
        <v/>
      </c>
      <c r="D10" s="616" t="inlineStr">
        <is>
          <t>Well</t>
        </is>
      </c>
      <c r="E10" s="622">
        <f>MS2!I9</f>
        <v/>
      </c>
      <c r="G10" s="616" t="inlineStr">
        <is>
          <t>Crew 7</t>
        </is>
      </c>
      <c r="H10" s="615" t="inlineStr">
        <is>
          <t>Rajesh Saw</t>
        </is>
      </c>
      <c r="I10" s="615" t="inlineStr">
        <is>
          <t>Completion RMS</t>
        </is>
      </c>
    </row>
    <row r="11" ht="14.25" customHeight="1" s="557">
      <c r="A11" s="623" t="inlineStr">
        <is>
          <t>Customer RO #:</t>
        </is>
      </c>
      <c r="B11" s="624">
        <f>MS2!$F$5</f>
        <v/>
      </c>
      <c r="D11" s="618" t="inlineStr">
        <is>
          <t>RIG</t>
        </is>
      </c>
      <c r="E11" s="625">
        <f>MS2!I8</f>
        <v/>
      </c>
      <c r="G11" s="616" t="inlineStr">
        <is>
          <t>Crew 8</t>
        </is>
      </c>
      <c r="H11" s="615" t="inlineStr">
        <is>
          <t>Srikrishna Roy</t>
        </is>
      </c>
      <c r="I11" s="615" t="inlineStr">
        <is>
          <t>Completion RMS</t>
        </is>
      </c>
    </row>
    <row r="12" ht="14.25" customHeight="1" s="557">
      <c r="A12" s="618" t="inlineStr">
        <is>
          <t>Number of Days in RO</t>
        </is>
      </c>
      <c r="B12" s="626" t="n">
        <v>11</v>
      </c>
      <c r="D12" s="616" t="inlineStr">
        <is>
          <t>Date and time for Arrival</t>
        </is>
      </c>
      <c r="E12" s="627">
        <f t="array" ref="E12:F12">MS2!C4:D4</f>
        <v/>
      </c>
      <c r="F12" s="607" t="n">
        <v>0</v>
      </c>
      <c r="G12" s="616" t="inlineStr">
        <is>
          <t>Crew 9</t>
        </is>
      </c>
      <c r="H12" s="611" t="n"/>
      <c r="I12" s="628" t="n"/>
    </row>
    <row r="13" ht="14.25" customHeight="1" s="557">
      <c r="D13" s="618" t="inlineStr">
        <is>
          <t>Date and time for Job Start</t>
        </is>
      </c>
      <c r="E13" s="627">
        <f>E12</f>
        <v/>
      </c>
      <c r="G13" s="616" t="inlineStr">
        <is>
          <t>Crew 10</t>
        </is>
      </c>
      <c r="H13" s="617" t="n"/>
      <c r="I13" s="629" t="n"/>
    </row>
    <row r="14" ht="14.25" customHeight="1" s="557">
      <c r="A14" s="618" t="inlineStr">
        <is>
          <t>Customer (Contractor) #</t>
        </is>
      </c>
      <c r="B14" s="626" t="n"/>
      <c r="D14" s="616" t="inlineStr">
        <is>
          <t>Date and time for Job End</t>
        </is>
      </c>
      <c r="E14" s="627">
        <f t="array" ref="E14:F14">MS2!C5:D5</f>
        <v/>
      </c>
      <c r="F14" s="607" t="n">
        <v>0</v>
      </c>
      <c r="G14" s="618" t="n"/>
      <c r="H14" s="611" t="n"/>
      <c r="I14" s="628" t="n"/>
    </row>
    <row r="15" ht="14.25" customHeight="1" s="557">
      <c r="A15" s="618" t="inlineStr">
        <is>
          <t>Service DT</t>
        </is>
      </c>
      <c r="B15" s="626">
        <f t="array" ref="B15:C15">MS2!H1:I1</f>
        <v/>
      </c>
      <c r="C15" s="606" t="n">
        <v>0</v>
      </c>
      <c r="D15" s="618" t="inlineStr">
        <is>
          <t>Date and time for Leave</t>
        </is>
      </c>
      <c r="E15" s="627">
        <f>E14</f>
        <v/>
      </c>
      <c r="G15" s="616" t="n"/>
      <c r="H15" s="617" t="n"/>
      <c r="I15" s="629" t="n"/>
    </row>
    <row r="16" ht="14.25" customHeight="1" s="557">
      <c r="A16" s="618" t="inlineStr">
        <is>
          <t>WPTS #</t>
        </is>
      </c>
      <c r="B16" s="626" t="n"/>
      <c r="D16" s="616" t="inlineStr">
        <is>
          <t>Total Time Hrs</t>
        </is>
      </c>
      <c r="E16" s="622" t="n">
        <v>90</v>
      </c>
      <c r="G16" s="618" t="n"/>
      <c r="H16" s="611" t="n"/>
      <c r="I16" s="628" t="n"/>
    </row>
    <row r="17" ht="14.25" customHeight="1" s="557">
      <c r="D17" s="618" t="inlineStr">
        <is>
          <t>Operational Time Hrs</t>
        </is>
      </c>
      <c r="E17" s="625" t="n">
        <v>87</v>
      </c>
      <c r="G17" s="616" t="n"/>
      <c r="H17" s="630" t="n"/>
      <c r="I17" s="631" t="n"/>
    </row>
    <row r="18" ht="14.25" customHeight="1" s="557">
      <c r="A18" s="618" t="inlineStr">
        <is>
          <t>Company</t>
        </is>
      </c>
      <c r="B18" s="626" t="inlineStr">
        <is>
          <t>Weatherford Bin Hamoodah L.L.C</t>
        </is>
      </c>
      <c r="D18" s="616" t="inlineStr">
        <is>
          <t>Lost Time (NPT)</t>
        </is>
      </c>
      <c r="E18" s="622" t="n">
        <v>0</v>
      </c>
      <c r="G18" s="618" t="n"/>
      <c r="H18" s="611" t="n"/>
      <c r="I18" s="628" t="n"/>
    </row>
    <row r="19" ht="14.25" customHeight="1" s="557">
      <c r="A19" s="616" t="inlineStr">
        <is>
          <t>WFT Contact Name</t>
        </is>
      </c>
      <c r="B19" s="622" t="inlineStr">
        <is>
          <t>Mohamed Massood</t>
        </is>
      </c>
      <c r="D19" s="618" t="inlineStr">
        <is>
          <t>Runs</t>
        </is>
      </c>
      <c r="E19" s="625" t="n">
        <v>1</v>
      </c>
      <c r="G19" s="616" t="n"/>
      <c r="H19" s="630" t="n"/>
      <c r="I19" s="631" t="n"/>
    </row>
    <row r="20" ht="14.25" customHeight="1" s="557">
      <c r="A20" s="618" t="inlineStr">
        <is>
          <t>WFT Contact Phone #</t>
        </is>
      </c>
      <c r="B20" s="632" t="n">
        <v>971547926323</v>
      </c>
      <c r="D20" s="616" t="inlineStr">
        <is>
          <t>Miss Runs</t>
        </is>
      </c>
      <c r="E20" s="622" t="n">
        <v>0</v>
      </c>
    </row>
    <row r="21" ht="14.25" customHeight="1" s="557">
      <c r="A21" s="616" t="inlineStr">
        <is>
          <t>WFT Supervisor</t>
        </is>
      </c>
      <c r="B21" s="633" t="inlineStr">
        <is>
          <t xml:space="preserve">Mahmoud Ali </t>
        </is>
      </c>
    </row>
    <row r="22" ht="14.25" customHeight="1" s="557">
      <c r="A22" s="618" t="inlineStr">
        <is>
          <t>WFT Supervisor Phone #</t>
        </is>
      </c>
      <c r="B22" s="634" t="n">
        <v>971567203838</v>
      </c>
    </row>
    <row r="23" ht="14.25" customHeight="1" s="557">
      <c r="D23" s="618" t="inlineStr">
        <is>
          <t>Backload Sent</t>
        </is>
      </c>
      <c r="E23" s="635">
        <f>E15</f>
        <v/>
      </c>
    </row>
    <row r="24" ht="14.25" customHeight="1" s="557">
      <c r="A24" s="616" t="inlineStr">
        <is>
          <t>PO Asociated</t>
        </is>
      </c>
      <c r="B24" s="621" t="inlineStr">
        <is>
          <t>Q-74878</t>
        </is>
      </c>
      <c r="D24" s="616" t="inlineStr">
        <is>
          <t>Documents Signed Date</t>
        </is>
      </c>
      <c r="E24" s="635">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0"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K798"/>
  <sheetViews>
    <sheetView showFormulas="0" showGridLines="1" showRowColHeaders="1" showZeros="1" rightToLeft="0" tabSelected="1" showOutlineSymbols="1" defaultGridColor="1" view="pageBreakPreview" topLeftCell="A1" colorId="64" zoomScale="100" zoomScaleNormal="100" zoomScalePageLayoutView="100" workbookViewId="0">
      <selection pane="topLeft" activeCell="Q5" activeCellId="0" sqref="Q5"/>
    </sheetView>
  </sheetViews>
  <sheetFormatPr baseColWidth="8" defaultColWidth="9.11328125" defaultRowHeight="12" zeroHeight="0" outlineLevelRow="0"/>
  <cols>
    <col width="4.55" customWidth="1" style="636" min="1" max="1"/>
    <col width="5" customWidth="1" style="636" min="2" max="2"/>
    <col width="3.45" customWidth="1" style="636" min="3" max="3"/>
    <col width="9.66" customWidth="1" style="636" min="4" max="4"/>
    <col width="5.44" customWidth="1" style="636" min="5" max="5"/>
    <col width="8.890000000000001" customWidth="1" style="636" min="6" max="12"/>
    <col width="7.33" customWidth="1" style="636" min="13" max="13"/>
    <col width="3.45" customWidth="1" style="636" min="14" max="14"/>
    <col width="6" customWidth="1" style="637" min="15" max="15"/>
    <col width="6.34" customWidth="1" style="636" min="16" max="16"/>
    <col width="6.56" customWidth="1" style="636" min="17" max="17"/>
    <col width="31.33" customWidth="1" style="636" min="18" max="18"/>
    <col width="9.109999999999999" customWidth="1" style="636" min="19" max="130"/>
    <col width="7.33" customWidth="1" style="636" min="131" max="131"/>
    <col width="5" customWidth="1" style="636" min="132" max="132"/>
    <col width="5.44" customWidth="1" style="636" min="133" max="133"/>
    <col width="9.66" customWidth="1" style="636" min="134" max="134"/>
    <col width="5.44" customWidth="1" style="636" min="135" max="135"/>
    <col width="2" customWidth="1" style="636" min="136" max="136"/>
    <col width="7.55" customWidth="1" style="636" min="137" max="137"/>
    <col width="8.67" customWidth="1" style="636" min="138" max="138"/>
    <col width="4.67" customWidth="1" style="636" min="139" max="139"/>
    <col width="8.67" customWidth="1" style="636" min="140" max="140"/>
    <col width="6" customWidth="1" style="636" min="141" max="141"/>
    <col width="6.34" customWidth="1" style="636" min="142" max="142"/>
    <col width="8.67" customWidth="1" style="636" min="143" max="143"/>
    <col width="3.45" customWidth="1" style="636" min="144" max="144"/>
    <col width="3" customWidth="1" style="636" min="145" max="145"/>
    <col width="4.33" customWidth="1" style="636" min="146" max="146"/>
    <col width="5.56" customWidth="1" style="636" min="147" max="147"/>
    <col width="4.67" customWidth="1" style="636" min="148" max="148"/>
    <col width="15.45" customWidth="1" style="636" min="149" max="149"/>
    <col width="9.109999999999999" customWidth="1" style="636" min="150" max="153"/>
    <col width="10.44" customWidth="1" style="636" min="154" max="154"/>
    <col width="18" customWidth="1" style="636" min="155" max="155"/>
    <col width="9.109999999999999" customWidth="1" style="636" min="156" max="386"/>
    <col width="7.33" customWidth="1" style="636" min="387" max="387"/>
    <col width="5" customWidth="1" style="636" min="388" max="388"/>
    <col width="5.44" customWidth="1" style="636" min="389" max="389"/>
    <col width="9.66" customWidth="1" style="636" min="390" max="390"/>
    <col width="5.44" customWidth="1" style="636" min="391" max="391"/>
    <col width="2" customWidth="1" style="636" min="392" max="392"/>
    <col width="7.55" customWidth="1" style="636" min="393" max="393"/>
    <col width="8.67" customWidth="1" style="636" min="394" max="394"/>
    <col width="4.67" customWidth="1" style="636" min="395" max="395"/>
    <col width="8.67" customWidth="1" style="636" min="396" max="396"/>
    <col width="6" customWidth="1" style="636" min="397" max="397"/>
    <col width="6.34" customWidth="1" style="636" min="398" max="398"/>
    <col width="8.67" customWidth="1" style="636" min="399" max="399"/>
    <col width="3.45" customWidth="1" style="636" min="400" max="400"/>
    <col width="3" customWidth="1" style="636" min="401" max="401"/>
    <col width="4.33" customWidth="1" style="636" min="402" max="402"/>
    <col width="5.56" customWidth="1" style="636" min="403" max="403"/>
    <col width="4.67" customWidth="1" style="636" min="404" max="404"/>
    <col width="15.45" customWidth="1" style="636" min="405" max="405"/>
    <col width="9.109999999999999" customWidth="1" style="636" min="406" max="409"/>
    <col width="10.44" customWidth="1" style="636" min="410" max="410"/>
    <col width="18" customWidth="1" style="636" min="411" max="411"/>
    <col width="9.109999999999999" customWidth="1" style="636" min="412" max="642"/>
    <col width="7.33" customWidth="1" style="636" min="643" max="643"/>
    <col width="5" customWidth="1" style="636" min="644" max="644"/>
    <col width="5.44" customWidth="1" style="636" min="645" max="645"/>
    <col width="9.66" customWidth="1" style="636" min="646" max="646"/>
    <col width="5.44" customWidth="1" style="636" min="647" max="647"/>
    <col width="2" customWidth="1" style="636" min="648" max="648"/>
    <col width="7.55" customWidth="1" style="636" min="649" max="649"/>
    <col width="8.67" customWidth="1" style="636" min="650" max="650"/>
    <col width="4.67" customWidth="1" style="636" min="651" max="651"/>
    <col width="8.67" customWidth="1" style="636" min="652" max="652"/>
    <col width="6" customWidth="1" style="636" min="653" max="653"/>
    <col width="6.34" customWidth="1" style="636" min="654" max="654"/>
    <col width="8.67" customWidth="1" style="636" min="655" max="655"/>
    <col width="3.45" customWidth="1" style="636" min="656" max="656"/>
    <col width="3" customWidth="1" style="636" min="657" max="657"/>
    <col width="4.33" customWidth="1" style="636" min="658" max="658"/>
    <col width="5.56" customWidth="1" style="636" min="659" max="659"/>
    <col width="4.67" customWidth="1" style="636" min="660" max="660"/>
    <col width="15.45" customWidth="1" style="636" min="661" max="661"/>
    <col width="9.109999999999999" customWidth="1" style="636" min="662" max="665"/>
    <col width="10.44" customWidth="1" style="636" min="666" max="666"/>
    <col width="18" customWidth="1" style="636" min="667" max="667"/>
    <col width="9.109999999999999" customWidth="1" style="636" min="668" max="898"/>
    <col width="7.33" customWidth="1" style="636" min="899" max="899"/>
    <col width="5" customWidth="1" style="636" min="900" max="900"/>
    <col width="5.44" customWidth="1" style="636" min="901" max="901"/>
    <col width="9.66" customWidth="1" style="636" min="902" max="902"/>
    <col width="5.44" customWidth="1" style="636" min="903" max="903"/>
    <col width="2" customWidth="1" style="636" min="904" max="904"/>
    <col width="7.55" customWidth="1" style="636" min="905" max="905"/>
    <col width="8.67" customWidth="1" style="636" min="906" max="906"/>
    <col width="4.67" customWidth="1" style="636" min="907" max="907"/>
    <col width="8.67" customWidth="1" style="636" min="908" max="908"/>
    <col width="6" customWidth="1" style="636" min="909" max="909"/>
    <col width="6.34" customWidth="1" style="636" min="910" max="910"/>
    <col width="8.67" customWidth="1" style="636" min="911" max="911"/>
    <col width="3.45" customWidth="1" style="636" min="912" max="912"/>
    <col width="3" customWidth="1" style="636" min="913" max="913"/>
    <col width="4.33" customWidth="1" style="636" min="914" max="914"/>
    <col width="5.56" customWidth="1" style="636" min="915" max="915"/>
    <col width="4.67" customWidth="1" style="636" min="916" max="916"/>
    <col width="15.45" customWidth="1" style="636" min="917" max="917"/>
    <col width="9.109999999999999" customWidth="1" style="636" min="918" max="921"/>
    <col width="10.44" customWidth="1" style="636" min="922" max="922"/>
    <col width="18" customWidth="1" style="636" min="923" max="923"/>
    <col width="9.109999999999999" customWidth="1" style="636" min="924" max="1154"/>
    <col width="7.33" customWidth="1" style="636" min="1155" max="1155"/>
    <col width="5" customWidth="1" style="636" min="1156" max="1156"/>
    <col width="5.44" customWidth="1" style="636" min="1157" max="1157"/>
    <col width="9.66" customWidth="1" style="636" min="1158" max="1158"/>
    <col width="5.44" customWidth="1" style="636" min="1159" max="1159"/>
    <col width="2" customWidth="1" style="636" min="1160" max="1160"/>
    <col width="7.55" customWidth="1" style="636" min="1161" max="1161"/>
    <col width="8.67" customWidth="1" style="636" min="1162" max="1162"/>
    <col width="4.67" customWidth="1" style="636" min="1163" max="1163"/>
    <col width="8.67" customWidth="1" style="636" min="1164" max="1164"/>
    <col width="6" customWidth="1" style="636" min="1165" max="1165"/>
    <col width="6.34" customWidth="1" style="636" min="1166" max="1166"/>
    <col width="8.67" customWidth="1" style="636" min="1167" max="1167"/>
    <col width="3.45" customWidth="1" style="636" min="1168" max="1168"/>
    <col width="3" customWidth="1" style="636" min="1169" max="1169"/>
    <col width="4.33" customWidth="1" style="636" min="1170" max="1170"/>
    <col width="5.56" customWidth="1" style="636" min="1171" max="1171"/>
    <col width="4.67" customWidth="1" style="636" min="1172" max="1172"/>
    <col width="15.45" customWidth="1" style="636" min="1173" max="1173"/>
    <col width="9.109999999999999" customWidth="1" style="636" min="1174" max="1177"/>
    <col width="10.44" customWidth="1" style="636" min="1178" max="1178"/>
    <col width="18" customWidth="1" style="636" min="1179" max="1179"/>
    <col width="9.109999999999999" customWidth="1" style="636" min="1180" max="1410"/>
    <col width="7.33" customWidth="1" style="636" min="1411" max="1411"/>
    <col width="5" customWidth="1" style="636" min="1412" max="1412"/>
    <col width="5.44" customWidth="1" style="636" min="1413" max="1413"/>
    <col width="9.66" customWidth="1" style="636" min="1414" max="1414"/>
    <col width="5.44" customWidth="1" style="636" min="1415" max="1415"/>
    <col width="2" customWidth="1" style="636" min="1416" max="1416"/>
    <col width="7.55" customWidth="1" style="636" min="1417" max="1417"/>
    <col width="8.67" customWidth="1" style="636" min="1418" max="1418"/>
    <col width="4.67" customWidth="1" style="636" min="1419" max="1419"/>
    <col width="8.67" customWidth="1" style="636" min="1420" max="1420"/>
    <col width="6" customWidth="1" style="636" min="1421" max="1421"/>
    <col width="6.34" customWidth="1" style="636" min="1422" max="1422"/>
    <col width="8.67" customWidth="1" style="636" min="1423" max="1423"/>
    <col width="3.45" customWidth="1" style="636" min="1424" max="1424"/>
    <col width="3" customWidth="1" style="636" min="1425" max="1425"/>
    <col width="4.33" customWidth="1" style="636" min="1426" max="1426"/>
    <col width="5.56" customWidth="1" style="636" min="1427" max="1427"/>
    <col width="4.67" customWidth="1" style="636" min="1428" max="1428"/>
    <col width="15.45" customWidth="1" style="636" min="1429" max="1429"/>
    <col width="9.109999999999999" customWidth="1" style="636" min="1430" max="1433"/>
    <col width="10.44" customWidth="1" style="636" min="1434" max="1434"/>
    <col width="18" customWidth="1" style="636" min="1435" max="1435"/>
    <col width="9.109999999999999" customWidth="1" style="636" min="1436" max="1666"/>
    <col width="7.33" customWidth="1" style="636" min="1667" max="1667"/>
    <col width="5" customWidth="1" style="636" min="1668" max="1668"/>
    <col width="5.44" customWidth="1" style="636" min="1669" max="1669"/>
    <col width="9.66" customWidth="1" style="636" min="1670" max="1670"/>
    <col width="5.44" customWidth="1" style="636" min="1671" max="1671"/>
    <col width="2" customWidth="1" style="636" min="1672" max="1672"/>
    <col width="7.55" customWidth="1" style="636" min="1673" max="1673"/>
    <col width="8.67" customWidth="1" style="636" min="1674" max="1674"/>
    <col width="4.67" customWidth="1" style="636" min="1675" max="1675"/>
    <col width="8.67" customWidth="1" style="636" min="1676" max="1676"/>
    <col width="6" customWidth="1" style="636" min="1677" max="1677"/>
    <col width="6.34" customWidth="1" style="636" min="1678" max="1678"/>
    <col width="8.67" customWidth="1" style="636" min="1679" max="1679"/>
    <col width="3.45" customWidth="1" style="636" min="1680" max="1680"/>
    <col width="3" customWidth="1" style="636" min="1681" max="1681"/>
    <col width="4.33" customWidth="1" style="636" min="1682" max="1682"/>
    <col width="5.56" customWidth="1" style="636" min="1683" max="1683"/>
    <col width="4.67" customWidth="1" style="636" min="1684" max="1684"/>
    <col width="15.45" customWidth="1" style="636" min="1685" max="1685"/>
    <col width="9.109999999999999" customWidth="1" style="636" min="1686" max="1689"/>
    <col width="10.44" customWidth="1" style="636" min="1690" max="1690"/>
    <col width="18" customWidth="1" style="636" min="1691" max="1691"/>
    <col width="9.109999999999999" customWidth="1" style="636" min="1692" max="1922"/>
    <col width="7.33" customWidth="1" style="636" min="1923" max="1923"/>
    <col width="5" customWidth="1" style="636" min="1924" max="1924"/>
    <col width="5.44" customWidth="1" style="636" min="1925" max="1925"/>
    <col width="9.66" customWidth="1" style="636" min="1926" max="1926"/>
    <col width="5.44" customWidth="1" style="636" min="1927" max="1927"/>
    <col width="2" customWidth="1" style="636" min="1928" max="1928"/>
    <col width="7.55" customWidth="1" style="636" min="1929" max="1929"/>
    <col width="8.67" customWidth="1" style="636" min="1930" max="1930"/>
    <col width="4.67" customWidth="1" style="636" min="1931" max="1931"/>
    <col width="8.67" customWidth="1" style="636" min="1932" max="1932"/>
    <col width="6" customWidth="1" style="636" min="1933" max="1933"/>
    <col width="6.34" customWidth="1" style="636" min="1934" max="1934"/>
    <col width="8.67" customWidth="1" style="636" min="1935" max="1935"/>
    <col width="3.45" customWidth="1" style="636" min="1936" max="1936"/>
    <col width="3" customWidth="1" style="636" min="1937" max="1937"/>
    <col width="4.33" customWidth="1" style="636" min="1938" max="1938"/>
    <col width="5.56" customWidth="1" style="636" min="1939" max="1939"/>
    <col width="4.67" customWidth="1" style="636" min="1940" max="1940"/>
    <col width="15.45" customWidth="1" style="636" min="1941" max="1941"/>
    <col width="9.109999999999999" customWidth="1" style="636" min="1942" max="1945"/>
    <col width="10.44" customWidth="1" style="636" min="1946" max="1946"/>
    <col width="18" customWidth="1" style="636" min="1947" max="1947"/>
    <col width="9.109999999999999" customWidth="1" style="636" min="1948" max="2178"/>
    <col width="7.33" customWidth="1" style="636" min="2179" max="2179"/>
    <col width="5" customWidth="1" style="636" min="2180" max="2180"/>
    <col width="5.44" customWidth="1" style="636" min="2181" max="2181"/>
    <col width="9.66" customWidth="1" style="636" min="2182" max="2182"/>
    <col width="5.44" customWidth="1" style="636" min="2183" max="2183"/>
    <col width="2" customWidth="1" style="636" min="2184" max="2184"/>
    <col width="7.55" customWidth="1" style="636" min="2185" max="2185"/>
    <col width="8.67" customWidth="1" style="636" min="2186" max="2186"/>
    <col width="4.67" customWidth="1" style="636" min="2187" max="2187"/>
    <col width="8.67" customWidth="1" style="636" min="2188" max="2188"/>
    <col width="6" customWidth="1" style="636" min="2189" max="2189"/>
    <col width="6.34" customWidth="1" style="636" min="2190" max="2190"/>
    <col width="8.67" customWidth="1" style="636" min="2191" max="2191"/>
    <col width="3.45" customWidth="1" style="636" min="2192" max="2192"/>
    <col width="3" customWidth="1" style="636" min="2193" max="2193"/>
    <col width="4.33" customWidth="1" style="636" min="2194" max="2194"/>
    <col width="5.56" customWidth="1" style="636" min="2195" max="2195"/>
    <col width="4.67" customWidth="1" style="636" min="2196" max="2196"/>
    <col width="15.45" customWidth="1" style="636" min="2197" max="2197"/>
    <col width="9.109999999999999" customWidth="1" style="636" min="2198" max="2201"/>
    <col width="10.44" customWidth="1" style="636" min="2202" max="2202"/>
    <col width="18" customWidth="1" style="636" min="2203" max="2203"/>
    <col width="9.109999999999999" customWidth="1" style="636" min="2204" max="2434"/>
    <col width="7.33" customWidth="1" style="636" min="2435" max="2435"/>
    <col width="5" customWidth="1" style="636" min="2436" max="2436"/>
    <col width="5.44" customWidth="1" style="636" min="2437" max="2437"/>
    <col width="9.66" customWidth="1" style="636" min="2438" max="2438"/>
    <col width="5.44" customWidth="1" style="636" min="2439" max="2439"/>
    <col width="2" customWidth="1" style="636" min="2440" max="2440"/>
    <col width="7.55" customWidth="1" style="636" min="2441" max="2441"/>
    <col width="8.67" customWidth="1" style="636" min="2442" max="2442"/>
    <col width="4.67" customWidth="1" style="636" min="2443" max="2443"/>
    <col width="8.67" customWidth="1" style="636" min="2444" max="2444"/>
    <col width="6" customWidth="1" style="636" min="2445" max="2445"/>
    <col width="6.34" customWidth="1" style="636" min="2446" max="2446"/>
    <col width="8.67" customWidth="1" style="636" min="2447" max="2447"/>
    <col width="3.45" customWidth="1" style="636" min="2448" max="2448"/>
    <col width="3" customWidth="1" style="636" min="2449" max="2449"/>
    <col width="4.33" customWidth="1" style="636" min="2450" max="2450"/>
    <col width="5.56" customWidth="1" style="636" min="2451" max="2451"/>
    <col width="4.67" customWidth="1" style="636" min="2452" max="2452"/>
    <col width="15.45" customWidth="1" style="636" min="2453" max="2453"/>
    <col width="9.109999999999999" customWidth="1" style="636" min="2454" max="2457"/>
    <col width="10.44" customWidth="1" style="636" min="2458" max="2458"/>
    <col width="18" customWidth="1" style="636" min="2459" max="2459"/>
    <col width="9.109999999999999" customWidth="1" style="636" min="2460" max="2690"/>
    <col width="7.33" customWidth="1" style="636" min="2691" max="2691"/>
    <col width="5" customWidth="1" style="636" min="2692" max="2692"/>
    <col width="5.44" customWidth="1" style="636" min="2693" max="2693"/>
    <col width="9.66" customWidth="1" style="636" min="2694" max="2694"/>
    <col width="5.44" customWidth="1" style="636" min="2695" max="2695"/>
    <col width="2" customWidth="1" style="636" min="2696" max="2696"/>
    <col width="7.55" customWidth="1" style="636" min="2697" max="2697"/>
    <col width="8.67" customWidth="1" style="636" min="2698" max="2698"/>
    <col width="4.67" customWidth="1" style="636" min="2699" max="2699"/>
    <col width="8.67" customWidth="1" style="636" min="2700" max="2700"/>
    <col width="6" customWidth="1" style="636" min="2701" max="2701"/>
    <col width="6.34" customWidth="1" style="636" min="2702" max="2702"/>
    <col width="8.67" customWidth="1" style="636" min="2703" max="2703"/>
    <col width="3.45" customWidth="1" style="636" min="2704" max="2704"/>
    <col width="3" customWidth="1" style="636" min="2705" max="2705"/>
    <col width="4.33" customWidth="1" style="636" min="2706" max="2706"/>
    <col width="5.56" customWidth="1" style="636" min="2707" max="2707"/>
    <col width="4.67" customWidth="1" style="636" min="2708" max="2708"/>
    <col width="15.45" customWidth="1" style="636" min="2709" max="2709"/>
    <col width="9.109999999999999" customWidth="1" style="636" min="2710" max="2713"/>
    <col width="10.44" customWidth="1" style="636" min="2714" max="2714"/>
    <col width="18" customWidth="1" style="636" min="2715" max="2715"/>
    <col width="9.109999999999999" customWidth="1" style="636" min="2716" max="2946"/>
    <col width="7.33" customWidth="1" style="636" min="2947" max="2947"/>
    <col width="5" customWidth="1" style="636" min="2948" max="2948"/>
    <col width="5.44" customWidth="1" style="636" min="2949" max="2949"/>
    <col width="9.66" customWidth="1" style="636" min="2950" max="2950"/>
    <col width="5.44" customWidth="1" style="636" min="2951" max="2951"/>
    <col width="2" customWidth="1" style="636" min="2952" max="2952"/>
    <col width="7.55" customWidth="1" style="636" min="2953" max="2953"/>
    <col width="8.67" customWidth="1" style="636" min="2954" max="2954"/>
    <col width="4.67" customWidth="1" style="636" min="2955" max="2955"/>
    <col width="8.67" customWidth="1" style="636" min="2956" max="2956"/>
    <col width="6" customWidth="1" style="636" min="2957" max="2957"/>
    <col width="6.34" customWidth="1" style="636" min="2958" max="2958"/>
    <col width="8.67" customWidth="1" style="636" min="2959" max="2959"/>
    <col width="3.45" customWidth="1" style="636" min="2960" max="2960"/>
    <col width="3" customWidth="1" style="636" min="2961" max="2961"/>
    <col width="4.33" customWidth="1" style="636" min="2962" max="2962"/>
    <col width="5.56" customWidth="1" style="636" min="2963" max="2963"/>
    <col width="4.67" customWidth="1" style="636" min="2964" max="2964"/>
    <col width="15.45" customWidth="1" style="636" min="2965" max="2965"/>
    <col width="9.109999999999999" customWidth="1" style="636" min="2966" max="2969"/>
    <col width="10.44" customWidth="1" style="636" min="2970" max="2970"/>
    <col width="18" customWidth="1" style="636" min="2971" max="2971"/>
    <col width="9.109999999999999" customWidth="1" style="636" min="2972" max="3202"/>
    <col width="7.33" customWidth="1" style="636" min="3203" max="3203"/>
    <col width="5" customWidth="1" style="636" min="3204" max="3204"/>
    <col width="5.44" customWidth="1" style="636" min="3205" max="3205"/>
    <col width="9.66" customWidth="1" style="636" min="3206" max="3206"/>
    <col width="5.44" customWidth="1" style="636" min="3207" max="3207"/>
    <col width="2" customWidth="1" style="636" min="3208" max="3208"/>
    <col width="7.55" customWidth="1" style="636" min="3209" max="3209"/>
    <col width="8.67" customWidth="1" style="636" min="3210" max="3210"/>
    <col width="4.67" customWidth="1" style="636" min="3211" max="3211"/>
    <col width="8.67" customWidth="1" style="636" min="3212" max="3212"/>
    <col width="6" customWidth="1" style="636" min="3213" max="3213"/>
    <col width="6.34" customWidth="1" style="636" min="3214" max="3214"/>
    <col width="8.67" customWidth="1" style="636" min="3215" max="3215"/>
    <col width="3.45" customWidth="1" style="636" min="3216" max="3216"/>
    <col width="3" customWidth="1" style="636" min="3217" max="3217"/>
    <col width="4.33" customWidth="1" style="636" min="3218" max="3218"/>
    <col width="5.56" customWidth="1" style="636" min="3219" max="3219"/>
    <col width="4.67" customWidth="1" style="636" min="3220" max="3220"/>
    <col width="15.45" customWidth="1" style="636" min="3221" max="3221"/>
    <col width="9.109999999999999" customWidth="1" style="636" min="3222" max="3225"/>
    <col width="10.44" customWidth="1" style="636" min="3226" max="3226"/>
    <col width="18" customWidth="1" style="636" min="3227" max="3227"/>
    <col width="9.109999999999999" customWidth="1" style="636" min="3228" max="3458"/>
    <col width="7.33" customWidth="1" style="636" min="3459" max="3459"/>
    <col width="5" customWidth="1" style="636" min="3460" max="3460"/>
    <col width="5.44" customWidth="1" style="636" min="3461" max="3461"/>
    <col width="9.66" customWidth="1" style="636" min="3462" max="3462"/>
    <col width="5.44" customWidth="1" style="636" min="3463" max="3463"/>
    <col width="2" customWidth="1" style="636" min="3464" max="3464"/>
    <col width="7.55" customWidth="1" style="636" min="3465" max="3465"/>
    <col width="8.67" customWidth="1" style="636" min="3466" max="3466"/>
    <col width="4.67" customWidth="1" style="636" min="3467" max="3467"/>
    <col width="8.67" customWidth="1" style="636" min="3468" max="3468"/>
    <col width="6" customWidth="1" style="636" min="3469" max="3469"/>
    <col width="6.34" customWidth="1" style="636" min="3470" max="3470"/>
    <col width="8.67" customWidth="1" style="636" min="3471" max="3471"/>
    <col width="3.45" customWidth="1" style="636" min="3472" max="3472"/>
    <col width="3" customWidth="1" style="636" min="3473" max="3473"/>
    <col width="4.33" customWidth="1" style="636" min="3474" max="3474"/>
    <col width="5.56" customWidth="1" style="636" min="3475" max="3475"/>
    <col width="4.67" customWidth="1" style="636" min="3476" max="3476"/>
    <col width="15.45" customWidth="1" style="636" min="3477" max="3477"/>
    <col width="9.109999999999999" customWidth="1" style="636" min="3478" max="3481"/>
    <col width="10.44" customWidth="1" style="636" min="3482" max="3482"/>
    <col width="18" customWidth="1" style="636" min="3483" max="3483"/>
    <col width="9.109999999999999" customWidth="1" style="636" min="3484" max="3714"/>
    <col width="7.33" customWidth="1" style="636" min="3715" max="3715"/>
    <col width="5" customWidth="1" style="636" min="3716" max="3716"/>
    <col width="5.44" customWidth="1" style="636" min="3717" max="3717"/>
    <col width="9.66" customWidth="1" style="636" min="3718" max="3718"/>
    <col width="5.44" customWidth="1" style="636" min="3719" max="3719"/>
    <col width="2" customWidth="1" style="636" min="3720" max="3720"/>
    <col width="7.55" customWidth="1" style="636" min="3721" max="3721"/>
    <col width="8.67" customWidth="1" style="636" min="3722" max="3722"/>
    <col width="4.67" customWidth="1" style="636" min="3723" max="3723"/>
    <col width="8.67" customWidth="1" style="636" min="3724" max="3724"/>
    <col width="6" customWidth="1" style="636" min="3725" max="3725"/>
    <col width="6.34" customWidth="1" style="636" min="3726" max="3726"/>
    <col width="8.67" customWidth="1" style="636" min="3727" max="3727"/>
    <col width="3.45" customWidth="1" style="636" min="3728" max="3728"/>
    <col width="3" customWidth="1" style="636" min="3729" max="3729"/>
    <col width="4.33" customWidth="1" style="636" min="3730" max="3730"/>
    <col width="5.56" customWidth="1" style="636" min="3731" max="3731"/>
    <col width="4.67" customWidth="1" style="636" min="3732" max="3732"/>
    <col width="15.45" customWidth="1" style="636" min="3733" max="3733"/>
    <col width="9.109999999999999" customWidth="1" style="636" min="3734" max="3737"/>
    <col width="10.44" customWidth="1" style="636" min="3738" max="3738"/>
    <col width="18" customWidth="1" style="636" min="3739" max="3739"/>
    <col width="9.109999999999999" customWidth="1" style="636" min="3740" max="3970"/>
    <col width="7.33" customWidth="1" style="636" min="3971" max="3971"/>
    <col width="5" customWidth="1" style="636" min="3972" max="3972"/>
    <col width="5.44" customWidth="1" style="636" min="3973" max="3973"/>
    <col width="9.66" customWidth="1" style="636" min="3974" max="3974"/>
    <col width="5.44" customWidth="1" style="636" min="3975" max="3975"/>
    <col width="2" customWidth="1" style="636" min="3976" max="3976"/>
    <col width="7.55" customWidth="1" style="636" min="3977" max="3977"/>
    <col width="8.67" customWidth="1" style="636" min="3978" max="3978"/>
    <col width="4.67" customWidth="1" style="636" min="3979" max="3979"/>
    <col width="8.67" customWidth="1" style="636" min="3980" max="3980"/>
    <col width="6" customWidth="1" style="636" min="3981" max="3981"/>
    <col width="6.34" customWidth="1" style="636" min="3982" max="3982"/>
    <col width="8.67" customWidth="1" style="636" min="3983" max="3983"/>
    <col width="3.45" customWidth="1" style="636" min="3984" max="3984"/>
    <col width="3" customWidth="1" style="636" min="3985" max="3985"/>
    <col width="4.33" customWidth="1" style="636" min="3986" max="3986"/>
    <col width="5.56" customWidth="1" style="636" min="3987" max="3987"/>
    <col width="4.67" customWidth="1" style="636" min="3988" max="3988"/>
    <col width="15.45" customWidth="1" style="636" min="3989" max="3989"/>
    <col width="9.109999999999999" customWidth="1" style="636" min="3990" max="3993"/>
    <col width="10.44" customWidth="1" style="636" min="3994" max="3994"/>
    <col width="18" customWidth="1" style="636" min="3995" max="3995"/>
    <col width="9.109999999999999" customWidth="1" style="636" min="3996" max="4226"/>
    <col width="7.33" customWidth="1" style="636" min="4227" max="4227"/>
    <col width="5" customWidth="1" style="636" min="4228" max="4228"/>
    <col width="5.44" customWidth="1" style="636" min="4229" max="4229"/>
    <col width="9.66" customWidth="1" style="636" min="4230" max="4230"/>
    <col width="5.44" customWidth="1" style="636" min="4231" max="4231"/>
    <col width="2" customWidth="1" style="636" min="4232" max="4232"/>
    <col width="7.55" customWidth="1" style="636" min="4233" max="4233"/>
    <col width="8.67" customWidth="1" style="636" min="4234" max="4234"/>
    <col width="4.67" customWidth="1" style="636" min="4235" max="4235"/>
    <col width="8.67" customWidth="1" style="636" min="4236" max="4236"/>
    <col width="6" customWidth="1" style="636" min="4237" max="4237"/>
    <col width="6.34" customWidth="1" style="636" min="4238" max="4238"/>
    <col width="8.67" customWidth="1" style="636" min="4239" max="4239"/>
    <col width="3.45" customWidth="1" style="636" min="4240" max="4240"/>
    <col width="3" customWidth="1" style="636" min="4241" max="4241"/>
    <col width="4.33" customWidth="1" style="636" min="4242" max="4242"/>
    <col width="5.56" customWidth="1" style="636" min="4243" max="4243"/>
    <col width="4.67" customWidth="1" style="636" min="4244" max="4244"/>
    <col width="15.45" customWidth="1" style="636" min="4245" max="4245"/>
    <col width="9.109999999999999" customWidth="1" style="636" min="4246" max="4249"/>
    <col width="10.44" customWidth="1" style="636" min="4250" max="4250"/>
    <col width="18" customWidth="1" style="636" min="4251" max="4251"/>
    <col width="9.109999999999999" customWidth="1" style="636" min="4252" max="4482"/>
    <col width="7.33" customWidth="1" style="636" min="4483" max="4483"/>
    <col width="5" customWidth="1" style="636" min="4484" max="4484"/>
    <col width="5.44" customWidth="1" style="636" min="4485" max="4485"/>
    <col width="9.66" customWidth="1" style="636" min="4486" max="4486"/>
    <col width="5.44" customWidth="1" style="636" min="4487" max="4487"/>
    <col width="2" customWidth="1" style="636" min="4488" max="4488"/>
    <col width="7.55" customWidth="1" style="636" min="4489" max="4489"/>
    <col width="8.67" customWidth="1" style="636" min="4490" max="4490"/>
    <col width="4.67" customWidth="1" style="636" min="4491" max="4491"/>
    <col width="8.67" customWidth="1" style="636" min="4492" max="4492"/>
    <col width="6" customWidth="1" style="636" min="4493" max="4493"/>
    <col width="6.34" customWidth="1" style="636" min="4494" max="4494"/>
    <col width="8.67" customWidth="1" style="636" min="4495" max="4495"/>
    <col width="3.45" customWidth="1" style="636" min="4496" max="4496"/>
    <col width="3" customWidth="1" style="636" min="4497" max="4497"/>
    <col width="4.33" customWidth="1" style="636" min="4498" max="4498"/>
    <col width="5.56" customWidth="1" style="636" min="4499" max="4499"/>
    <col width="4.67" customWidth="1" style="636" min="4500" max="4500"/>
    <col width="15.45" customWidth="1" style="636" min="4501" max="4501"/>
    <col width="9.109999999999999" customWidth="1" style="636" min="4502" max="4505"/>
    <col width="10.44" customWidth="1" style="636" min="4506" max="4506"/>
    <col width="18" customWidth="1" style="636" min="4507" max="4507"/>
    <col width="9.109999999999999" customWidth="1" style="636" min="4508" max="4738"/>
    <col width="7.33" customWidth="1" style="636" min="4739" max="4739"/>
    <col width="5" customWidth="1" style="636" min="4740" max="4740"/>
    <col width="5.44" customWidth="1" style="636" min="4741" max="4741"/>
    <col width="9.66" customWidth="1" style="636" min="4742" max="4742"/>
    <col width="5.44" customWidth="1" style="636" min="4743" max="4743"/>
    <col width="2" customWidth="1" style="636" min="4744" max="4744"/>
    <col width="7.55" customWidth="1" style="636" min="4745" max="4745"/>
    <col width="8.67" customWidth="1" style="636" min="4746" max="4746"/>
    <col width="4.67" customWidth="1" style="636" min="4747" max="4747"/>
    <col width="8.67" customWidth="1" style="636" min="4748" max="4748"/>
    <col width="6" customWidth="1" style="636" min="4749" max="4749"/>
    <col width="6.34" customWidth="1" style="636" min="4750" max="4750"/>
    <col width="8.67" customWidth="1" style="636" min="4751" max="4751"/>
    <col width="3.45" customWidth="1" style="636" min="4752" max="4752"/>
    <col width="3" customWidth="1" style="636" min="4753" max="4753"/>
    <col width="4.33" customWidth="1" style="636" min="4754" max="4754"/>
    <col width="5.56" customWidth="1" style="636" min="4755" max="4755"/>
    <col width="4.67" customWidth="1" style="636" min="4756" max="4756"/>
    <col width="15.45" customWidth="1" style="636" min="4757" max="4757"/>
    <col width="9.109999999999999" customWidth="1" style="636" min="4758" max="4761"/>
    <col width="10.44" customWidth="1" style="636" min="4762" max="4762"/>
    <col width="18" customWidth="1" style="636" min="4763" max="4763"/>
    <col width="9.109999999999999" customWidth="1" style="636" min="4764" max="4994"/>
    <col width="7.33" customWidth="1" style="636" min="4995" max="4995"/>
    <col width="5" customWidth="1" style="636" min="4996" max="4996"/>
    <col width="5.44" customWidth="1" style="636" min="4997" max="4997"/>
    <col width="9.66" customWidth="1" style="636" min="4998" max="4998"/>
    <col width="5.44" customWidth="1" style="636" min="4999" max="4999"/>
    <col width="2" customWidth="1" style="636" min="5000" max="5000"/>
    <col width="7.55" customWidth="1" style="636" min="5001" max="5001"/>
    <col width="8.67" customWidth="1" style="636" min="5002" max="5002"/>
    <col width="4.67" customWidth="1" style="636" min="5003" max="5003"/>
    <col width="8.67" customWidth="1" style="636" min="5004" max="5004"/>
    <col width="6" customWidth="1" style="636" min="5005" max="5005"/>
    <col width="6.34" customWidth="1" style="636" min="5006" max="5006"/>
    <col width="8.67" customWidth="1" style="636" min="5007" max="5007"/>
    <col width="3.45" customWidth="1" style="636" min="5008" max="5008"/>
    <col width="3" customWidth="1" style="636" min="5009" max="5009"/>
    <col width="4.33" customWidth="1" style="636" min="5010" max="5010"/>
    <col width="5.56" customWidth="1" style="636" min="5011" max="5011"/>
    <col width="4.67" customWidth="1" style="636" min="5012" max="5012"/>
    <col width="15.45" customWidth="1" style="636" min="5013" max="5013"/>
    <col width="9.109999999999999" customWidth="1" style="636" min="5014" max="5017"/>
    <col width="10.44" customWidth="1" style="636" min="5018" max="5018"/>
    <col width="18" customWidth="1" style="636" min="5019" max="5019"/>
    <col width="9.109999999999999" customWidth="1" style="636" min="5020" max="5250"/>
    <col width="7.33" customWidth="1" style="636" min="5251" max="5251"/>
    <col width="5" customWidth="1" style="636" min="5252" max="5252"/>
    <col width="5.44" customWidth="1" style="636" min="5253" max="5253"/>
    <col width="9.66" customWidth="1" style="636" min="5254" max="5254"/>
    <col width="5.44" customWidth="1" style="636" min="5255" max="5255"/>
    <col width="2" customWidth="1" style="636" min="5256" max="5256"/>
    <col width="7.55" customWidth="1" style="636" min="5257" max="5257"/>
    <col width="8.67" customWidth="1" style="636" min="5258" max="5258"/>
    <col width="4.67" customWidth="1" style="636" min="5259" max="5259"/>
    <col width="8.67" customWidth="1" style="636" min="5260" max="5260"/>
    <col width="6" customWidth="1" style="636" min="5261" max="5261"/>
    <col width="6.34" customWidth="1" style="636" min="5262" max="5262"/>
    <col width="8.67" customWidth="1" style="636" min="5263" max="5263"/>
    <col width="3.45" customWidth="1" style="636" min="5264" max="5264"/>
    <col width="3" customWidth="1" style="636" min="5265" max="5265"/>
    <col width="4.33" customWidth="1" style="636" min="5266" max="5266"/>
    <col width="5.56" customWidth="1" style="636" min="5267" max="5267"/>
    <col width="4.67" customWidth="1" style="636" min="5268" max="5268"/>
    <col width="15.45" customWidth="1" style="636" min="5269" max="5269"/>
    <col width="9.109999999999999" customWidth="1" style="636" min="5270" max="5273"/>
    <col width="10.44" customWidth="1" style="636" min="5274" max="5274"/>
    <col width="18" customWidth="1" style="636" min="5275" max="5275"/>
    <col width="9.109999999999999" customWidth="1" style="636" min="5276" max="5506"/>
    <col width="7.33" customWidth="1" style="636" min="5507" max="5507"/>
    <col width="5" customWidth="1" style="636" min="5508" max="5508"/>
    <col width="5.44" customWidth="1" style="636" min="5509" max="5509"/>
    <col width="9.66" customWidth="1" style="636" min="5510" max="5510"/>
    <col width="5.44" customWidth="1" style="636" min="5511" max="5511"/>
    <col width="2" customWidth="1" style="636" min="5512" max="5512"/>
    <col width="7.55" customWidth="1" style="636" min="5513" max="5513"/>
    <col width="8.67" customWidth="1" style="636" min="5514" max="5514"/>
    <col width="4.67" customWidth="1" style="636" min="5515" max="5515"/>
    <col width="8.67" customWidth="1" style="636" min="5516" max="5516"/>
    <col width="6" customWidth="1" style="636" min="5517" max="5517"/>
    <col width="6.34" customWidth="1" style="636" min="5518" max="5518"/>
    <col width="8.67" customWidth="1" style="636" min="5519" max="5519"/>
    <col width="3.45" customWidth="1" style="636" min="5520" max="5520"/>
    <col width="3" customWidth="1" style="636" min="5521" max="5521"/>
    <col width="4.33" customWidth="1" style="636" min="5522" max="5522"/>
    <col width="5.56" customWidth="1" style="636" min="5523" max="5523"/>
    <col width="4.67" customWidth="1" style="636" min="5524" max="5524"/>
    <col width="15.45" customWidth="1" style="636" min="5525" max="5525"/>
    <col width="9.109999999999999" customWidth="1" style="636" min="5526" max="5529"/>
    <col width="10.44" customWidth="1" style="636" min="5530" max="5530"/>
    <col width="18" customWidth="1" style="636" min="5531" max="5531"/>
    <col width="9.109999999999999" customWidth="1" style="636" min="5532" max="5762"/>
    <col width="7.33" customWidth="1" style="636" min="5763" max="5763"/>
    <col width="5" customWidth="1" style="636" min="5764" max="5764"/>
    <col width="5.44" customWidth="1" style="636" min="5765" max="5765"/>
    <col width="9.66" customWidth="1" style="636" min="5766" max="5766"/>
    <col width="5.44" customWidth="1" style="636" min="5767" max="5767"/>
    <col width="2" customWidth="1" style="636" min="5768" max="5768"/>
    <col width="7.55" customWidth="1" style="636" min="5769" max="5769"/>
    <col width="8.67" customWidth="1" style="636" min="5770" max="5770"/>
    <col width="4.67" customWidth="1" style="636" min="5771" max="5771"/>
    <col width="8.67" customWidth="1" style="636" min="5772" max="5772"/>
    <col width="6" customWidth="1" style="636" min="5773" max="5773"/>
    <col width="6.34" customWidth="1" style="636" min="5774" max="5774"/>
    <col width="8.67" customWidth="1" style="636" min="5775" max="5775"/>
    <col width="3.45" customWidth="1" style="636" min="5776" max="5776"/>
    <col width="3" customWidth="1" style="636" min="5777" max="5777"/>
    <col width="4.33" customWidth="1" style="636" min="5778" max="5778"/>
    <col width="5.56" customWidth="1" style="636" min="5779" max="5779"/>
    <col width="4.67" customWidth="1" style="636" min="5780" max="5780"/>
    <col width="15.45" customWidth="1" style="636" min="5781" max="5781"/>
    <col width="9.109999999999999" customWidth="1" style="636" min="5782" max="5785"/>
    <col width="10.44" customWidth="1" style="636" min="5786" max="5786"/>
    <col width="18" customWidth="1" style="636" min="5787" max="5787"/>
    <col width="9.109999999999999" customWidth="1" style="636" min="5788" max="6018"/>
    <col width="7.33" customWidth="1" style="636" min="6019" max="6019"/>
    <col width="5" customWidth="1" style="636" min="6020" max="6020"/>
    <col width="5.44" customWidth="1" style="636" min="6021" max="6021"/>
    <col width="9.66" customWidth="1" style="636" min="6022" max="6022"/>
    <col width="5.44" customWidth="1" style="636" min="6023" max="6023"/>
    <col width="2" customWidth="1" style="636" min="6024" max="6024"/>
    <col width="7.55" customWidth="1" style="636" min="6025" max="6025"/>
    <col width="8.67" customWidth="1" style="636" min="6026" max="6026"/>
    <col width="4.67" customWidth="1" style="636" min="6027" max="6027"/>
    <col width="8.67" customWidth="1" style="636" min="6028" max="6028"/>
    <col width="6" customWidth="1" style="636" min="6029" max="6029"/>
    <col width="6.34" customWidth="1" style="636" min="6030" max="6030"/>
    <col width="8.67" customWidth="1" style="636" min="6031" max="6031"/>
    <col width="3.45" customWidth="1" style="636" min="6032" max="6032"/>
    <col width="3" customWidth="1" style="636" min="6033" max="6033"/>
    <col width="4.33" customWidth="1" style="636" min="6034" max="6034"/>
    <col width="5.56" customWidth="1" style="636" min="6035" max="6035"/>
    <col width="4.67" customWidth="1" style="636" min="6036" max="6036"/>
    <col width="15.45" customWidth="1" style="636" min="6037" max="6037"/>
    <col width="9.109999999999999" customWidth="1" style="636" min="6038" max="6041"/>
    <col width="10.44" customWidth="1" style="636" min="6042" max="6042"/>
    <col width="18" customWidth="1" style="636" min="6043" max="6043"/>
    <col width="9.109999999999999" customWidth="1" style="636" min="6044" max="6274"/>
    <col width="7.33" customWidth="1" style="636" min="6275" max="6275"/>
    <col width="5" customWidth="1" style="636" min="6276" max="6276"/>
    <col width="5.44" customWidth="1" style="636" min="6277" max="6277"/>
    <col width="9.66" customWidth="1" style="636" min="6278" max="6278"/>
    <col width="5.44" customWidth="1" style="636" min="6279" max="6279"/>
    <col width="2" customWidth="1" style="636" min="6280" max="6280"/>
    <col width="7.55" customWidth="1" style="636" min="6281" max="6281"/>
    <col width="8.67" customWidth="1" style="636" min="6282" max="6282"/>
    <col width="4.67" customWidth="1" style="636" min="6283" max="6283"/>
    <col width="8.67" customWidth="1" style="636" min="6284" max="6284"/>
    <col width="6" customWidth="1" style="636" min="6285" max="6285"/>
    <col width="6.34" customWidth="1" style="636" min="6286" max="6286"/>
    <col width="8.67" customWidth="1" style="636" min="6287" max="6287"/>
    <col width="3.45" customWidth="1" style="636" min="6288" max="6288"/>
    <col width="3" customWidth="1" style="636" min="6289" max="6289"/>
    <col width="4.33" customWidth="1" style="636" min="6290" max="6290"/>
    <col width="5.56" customWidth="1" style="636" min="6291" max="6291"/>
    <col width="4.67" customWidth="1" style="636" min="6292" max="6292"/>
    <col width="15.45" customWidth="1" style="636" min="6293" max="6293"/>
    <col width="9.109999999999999" customWidth="1" style="636" min="6294" max="6297"/>
    <col width="10.44" customWidth="1" style="636" min="6298" max="6298"/>
    <col width="18" customWidth="1" style="636" min="6299" max="6299"/>
    <col width="9.109999999999999" customWidth="1" style="636" min="6300" max="6530"/>
    <col width="7.33" customWidth="1" style="636" min="6531" max="6531"/>
    <col width="5" customWidth="1" style="636" min="6532" max="6532"/>
    <col width="5.44" customWidth="1" style="636" min="6533" max="6533"/>
    <col width="9.66" customWidth="1" style="636" min="6534" max="6534"/>
    <col width="5.44" customWidth="1" style="636" min="6535" max="6535"/>
    <col width="2" customWidth="1" style="636" min="6536" max="6536"/>
    <col width="7.55" customWidth="1" style="636" min="6537" max="6537"/>
    <col width="8.67" customWidth="1" style="636" min="6538" max="6538"/>
    <col width="4.67" customWidth="1" style="636" min="6539" max="6539"/>
    <col width="8.67" customWidth="1" style="636" min="6540" max="6540"/>
    <col width="6" customWidth="1" style="636" min="6541" max="6541"/>
    <col width="6.34" customWidth="1" style="636" min="6542" max="6542"/>
    <col width="8.67" customWidth="1" style="636" min="6543" max="6543"/>
    <col width="3.45" customWidth="1" style="636" min="6544" max="6544"/>
    <col width="3" customWidth="1" style="636" min="6545" max="6545"/>
    <col width="4.33" customWidth="1" style="636" min="6546" max="6546"/>
    <col width="5.56" customWidth="1" style="636" min="6547" max="6547"/>
    <col width="4.67" customWidth="1" style="636" min="6548" max="6548"/>
    <col width="15.45" customWidth="1" style="636" min="6549" max="6549"/>
    <col width="9.109999999999999" customWidth="1" style="636" min="6550" max="6553"/>
    <col width="10.44" customWidth="1" style="636" min="6554" max="6554"/>
    <col width="18" customWidth="1" style="636" min="6555" max="6555"/>
    <col width="9.109999999999999" customWidth="1" style="636" min="6556" max="6786"/>
    <col width="7.33" customWidth="1" style="636" min="6787" max="6787"/>
    <col width="5" customWidth="1" style="636" min="6788" max="6788"/>
    <col width="5.44" customWidth="1" style="636" min="6789" max="6789"/>
    <col width="9.66" customWidth="1" style="636" min="6790" max="6790"/>
    <col width="5.44" customWidth="1" style="636" min="6791" max="6791"/>
    <col width="2" customWidth="1" style="636" min="6792" max="6792"/>
    <col width="7.55" customWidth="1" style="636" min="6793" max="6793"/>
    <col width="8.67" customWidth="1" style="636" min="6794" max="6794"/>
    <col width="4.67" customWidth="1" style="636" min="6795" max="6795"/>
    <col width="8.67" customWidth="1" style="636" min="6796" max="6796"/>
    <col width="6" customWidth="1" style="636" min="6797" max="6797"/>
    <col width="6.34" customWidth="1" style="636" min="6798" max="6798"/>
    <col width="8.67" customWidth="1" style="636" min="6799" max="6799"/>
    <col width="3.45" customWidth="1" style="636" min="6800" max="6800"/>
    <col width="3" customWidth="1" style="636" min="6801" max="6801"/>
    <col width="4.33" customWidth="1" style="636" min="6802" max="6802"/>
    <col width="5.56" customWidth="1" style="636" min="6803" max="6803"/>
    <col width="4.67" customWidth="1" style="636" min="6804" max="6804"/>
    <col width="15.45" customWidth="1" style="636" min="6805" max="6805"/>
    <col width="9.109999999999999" customWidth="1" style="636" min="6806" max="6809"/>
    <col width="10.44" customWidth="1" style="636" min="6810" max="6810"/>
    <col width="18" customWidth="1" style="636" min="6811" max="6811"/>
    <col width="9.109999999999999" customWidth="1" style="636" min="6812" max="7042"/>
    <col width="7.33" customWidth="1" style="636" min="7043" max="7043"/>
    <col width="5" customWidth="1" style="636" min="7044" max="7044"/>
    <col width="5.44" customWidth="1" style="636" min="7045" max="7045"/>
    <col width="9.66" customWidth="1" style="636" min="7046" max="7046"/>
    <col width="5.44" customWidth="1" style="636" min="7047" max="7047"/>
    <col width="2" customWidth="1" style="636" min="7048" max="7048"/>
    <col width="7.55" customWidth="1" style="636" min="7049" max="7049"/>
    <col width="8.67" customWidth="1" style="636" min="7050" max="7050"/>
    <col width="4.67" customWidth="1" style="636" min="7051" max="7051"/>
    <col width="8.67" customWidth="1" style="636" min="7052" max="7052"/>
    <col width="6" customWidth="1" style="636" min="7053" max="7053"/>
    <col width="6.34" customWidth="1" style="636" min="7054" max="7054"/>
    <col width="8.67" customWidth="1" style="636" min="7055" max="7055"/>
    <col width="3.45" customWidth="1" style="636" min="7056" max="7056"/>
    <col width="3" customWidth="1" style="636" min="7057" max="7057"/>
    <col width="4.33" customWidth="1" style="636" min="7058" max="7058"/>
    <col width="5.56" customWidth="1" style="636" min="7059" max="7059"/>
    <col width="4.67" customWidth="1" style="636" min="7060" max="7060"/>
    <col width="15.45" customWidth="1" style="636" min="7061" max="7061"/>
    <col width="9.109999999999999" customWidth="1" style="636" min="7062" max="7065"/>
    <col width="10.44" customWidth="1" style="636" min="7066" max="7066"/>
    <col width="18" customWidth="1" style="636" min="7067" max="7067"/>
    <col width="9.109999999999999" customWidth="1" style="636" min="7068" max="7298"/>
    <col width="7.33" customWidth="1" style="636" min="7299" max="7299"/>
    <col width="5" customWidth="1" style="636" min="7300" max="7300"/>
    <col width="5.44" customWidth="1" style="636" min="7301" max="7301"/>
    <col width="9.66" customWidth="1" style="636" min="7302" max="7302"/>
    <col width="5.44" customWidth="1" style="636" min="7303" max="7303"/>
    <col width="2" customWidth="1" style="636" min="7304" max="7304"/>
    <col width="7.55" customWidth="1" style="636" min="7305" max="7305"/>
    <col width="8.67" customWidth="1" style="636" min="7306" max="7306"/>
    <col width="4.67" customWidth="1" style="636" min="7307" max="7307"/>
    <col width="8.67" customWidth="1" style="636" min="7308" max="7308"/>
    <col width="6" customWidth="1" style="636" min="7309" max="7309"/>
    <col width="6.34" customWidth="1" style="636" min="7310" max="7310"/>
    <col width="8.67" customWidth="1" style="636" min="7311" max="7311"/>
    <col width="3.45" customWidth="1" style="636" min="7312" max="7312"/>
    <col width="3" customWidth="1" style="636" min="7313" max="7313"/>
    <col width="4.33" customWidth="1" style="636" min="7314" max="7314"/>
    <col width="5.56" customWidth="1" style="636" min="7315" max="7315"/>
    <col width="4.67" customWidth="1" style="636" min="7316" max="7316"/>
    <col width="15.45" customWidth="1" style="636" min="7317" max="7317"/>
    <col width="9.109999999999999" customWidth="1" style="636" min="7318" max="7321"/>
    <col width="10.44" customWidth="1" style="636" min="7322" max="7322"/>
    <col width="18" customWidth="1" style="636" min="7323" max="7323"/>
    <col width="9.109999999999999" customWidth="1" style="636" min="7324" max="7554"/>
    <col width="7.33" customWidth="1" style="636" min="7555" max="7555"/>
    <col width="5" customWidth="1" style="636" min="7556" max="7556"/>
    <col width="5.44" customWidth="1" style="636" min="7557" max="7557"/>
    <col width="9.66" customWidth="1" style="636" min="7558" max="7558"/>
    <col width="5.44" customWidth="1" style="636" min="7559" max="7559"/>
    <col width="2" customWidth="1" style="636" min="7560" max="7560"/>
    <col width="7.55" customWidth="1" style="636" min="7561" max="7561"/>
    <col width="8.67" customWidth="1" style="636" min="7562" max="7562"/>
    <col width="4.67" customWidth="1" style="636" min="7563" max="7563"/>
    <col width="8.67" customWidth="1" style="636" min="7564" max="7564"/>
    <col width="6" customWidth="1" style="636" min="7565" max="7565"/>
    <col width="6.34" customWidth="1" style="636" min="7566" max="7566"/>
    <col width="8.67" customWidth="1" style="636" min="7567" max="7567"/>
    <col width="3.45" customWidth="1" style="636" min="7568" max="7568"/>
    <col width="3" customWidth="1" style="636" min="7569" max="7569"/>
    <col width="4.33" customWidth="1" style="636" min="7570" max="7570"/>
    <col width="5.56" customWidth="1" style="636" min="7571" max="7571"/>
    <col width="4.67" customWidth="1" style="636" min="7572" max="7572"/>
    <col width="15.45" customWidth="1" style="636" min="7573" max="7573"/>
    <col width="9.109999999999999" customWidth="1" style="636" min="7574" max="7577"/>
    <col width="10.44" customWidth="1" style="636" min="7578" max="7578"/>
    <col width="18" customWidth="1" style="636" min="7579" max="7579"/>
    <col width="9.109999999999999" customWidth="1" style="636" min="7580" max="7810"/>
    <col width="7.33" customWidth="1" style="636" min="7811" max="7811"/>
    <col width="5" customWidth="1" style="636" min="7812" max="7812"/>
    <col width="5.44" customWidth="1" style="636" min="7813" max="7813"/>
    <col width="9.66" customWidth="1" style="636" min="7814" max="7814"/>
    <col width="5.44" customWidth="1" style="636" min="7815" max="7815"/>
    <col width="2" customWidth="1" style="636" min="7816" max="7816"/>
    <col width="7.55" customWidth="1" style="636" min="7817" max="7817"/>
    <col width="8.67" customWidth="1" style="636" min="7818" max="7818"/>
    <col width="4.67" customWidth="1" style="636" min="7819" max="7819"/>
    <col width="8.67" customWidth="1" style="636" min="7820" max="7820"/>
    <col width="6" customWidth="1" style="636" min="7821" max="7821"/>
    <col width="6.34" customWidth="1" style="636" min="7822" max="7822"/>
    <col width="8.67" customWidth="1" style="636" min="7823" max="7823"/>
    <col width="3.45" customWidth="1" style="636" min="7824" max="7824"/>
    <col width="3" customWidth="1" style="636" min="7825" max="7825"/>
    <col width="4.33" customWidth="1" style="636" min="7826" max="7826"/>
    <col width="5.56" customWidth="1" style="636" min="7827" max="7827"/>
    <col width="4.67" customWidth="1" style="636" min="7828" max="7828"/>
    <col width="15.45" customWidth="1" style="636" min="7829" max="7829"/>
    <col width="9.109999999999999" customWidth="1" style="636" min="7830" max="7833"/>
    <col width="10.44" customWidth="1" style="636" min="7834" max="7834"/>
    <col width="18" customWidth="1" style="636" min="7835" max="7835"/>
    <col width="9.109999999999999" customWidth="1" style="636" min="7836" max="8066"/>
    <col width="7.33" customWidth="1" style="636" min="8067" max="8067"/>
    <col width="5" customWidth="1" style="636" min="8068" max="8068"/>
    <col width="5.44" customWidth="1" style="636" min="8069" max="8069"/>
    <col width="9.66" customWidth="1" style="636" min="8070" max="8070"/>
    <col width="5.44" customWidth="1" style="636" min="8071" max="8071"/>
    <col width="2" customWidth="1" style="636" min="8072" max="8072"/>
    <col width="7.55" customWidth="1" style="636" min="8073" max="8073"/>
    <col width="8.67" customWidth="1" style="636" min="8074" max="8074"/>
    <col width="4.67" customWidth="1" style="636" min="8075" max="8075"/>
    <col width="8.67" customWidth="1" style="636" min="8076" max="8076"/>
    <col width="6" customWidth="1" style="636" min="8077" max="8077"/>
    <col width="6.34" customWidth="1" style="636" min="8078" max="8078"/>
    <col width="8.67" customWidth="1" style="636" min="8079" max="8079"/>
    <col width="3.45" customWidth="1" style="636" min="8080" max="8080"/>
    <col width="3" customWidth="1" style="636" min="8081" max="8081"/>
    <col width="4.33" customWidth="1" style="636" min="8082" max="8082"/>
    <col width="5.56" customWidth="1" style="636" min="8083" max="8083"/>
    <col width="4.67" customWidth="1" style="636" min="8084" max="8084"/>
    <col width="15.45" customWidth="1" style="636" min="8085" max="8085"/>
    <col width="9.109999999999999" customWidth="1" style="636" min="8086" max="8089"/>
    <col width="10.44" customWidth="1" style="636" min="8090" max="8090"/>
    <col width="18" customWidth="1" style="636" min="8091" max="8091"/>
    <col width="9.109999999999999" customWidth="1" style="636" min="8092" max="8322"/>
    <col width="7.33" customWidth="1" style="636" min="8323" max="8323"/>
    <col width="5" customWidth="1" style="636" min="8324" max="8324"/>
    <col width="5.44" customWidth="1" style="636" min="8325" max="8325"/>
    <col width="9.66" customWidth="1" style="636" min="8326" max="8326"/>
    <col width="5.44" customWidth="1" style="636" min="8327" max="8327"/>
    <col width="2" customWidth="1" style="636" min="8328" max="8328"/>
    <col width="7.55" customWidth="1" style="636" min="8329" max="8329"/>
    <col width="8.67" customWidth="1" style="636" min="8330" max="8330"/>
    <col width="4.67" customWidth="1" style="636" min="8331" max="8331"/>
    <col width="8.67" customWidth="1" style="636" min="8332" max="8332"/>
    <col width="6" customWidth="1" style="636" min="8333" max="8333"/>
    <col width="6.34" customWidth="1" style="636" min="8334" max="8334"/>
    <col width="8.67" customWidth="1" style="636" min="8335" max="8335"/>
    <col width="3.45" customWidth="1" style="636" min="8336" max="8336"/>
    <col width="3" customWidth="1" style="636" min="8337" max="8337"/>
    <col width="4.33" customWidth="1" style="636" min="8338" max="8338"/>
    <col width="5.56" customWidth="1" style="636" min="8339" max="8339"/>
    <col width="4.67" customWidth="1" style="636" min="8340" max="8340"/>
    <col width="15.45" customWidth="1" style="636" min="8341" max="8341"/>
    <col width="9.109999999999999" customWidth="1" style="636" min="8342" max="8345"/>
    <col width="10.44" customWidth="1" style="636" min="8346" max="8346"/>
    <col width="18" customWidth="1" style="636" min="8347" max="8347"/>
    <col width="9.109999999999999" customWidth="1" style="636" min="8348" max="8578"/>
    <col width="7.33" customWidth="1" style="636" min="8579" max="8579"/>
    <col width="5" customWidth="1" style="636" min="8580" max="8580"/>
    <col width="5.44" customWidth="1" style="636" min="8581" max="8581"/>
    <col width="9.66" customWidth="1" style="636" min="8582" max="8582"/>
    <col width="5.44" customWidth="1" style="636" min="8583" max="8583"/>
    <col width="2" customWidth="1" style="636" min="8584" max="8584"/>
    <col width="7.55" customWidth="1" style="636" min="8585" max="8585"/>
    <col width="8.67" customWidth="1" style="636" min="8586" max="8586"/>
    <col width="4.67" customWidth="1" style="636" min="8587" max="8587"/>
    <col width="8.67" customWidth="1" style="636" min="8588" max="8588"/>
    <col width="6" customWidth="1" style="636" min="8589" max="8589"/>
    <col width="6.34" customWidth="1" style="636" min="8590" max="8590"/>
    <col width="8.67" customWidth="1" style="636" min="8591" max="8591"/>
    <col width="3.45" customWidth="1" style="636" min="8592" max="8592"/>
    <col width="3" customWidth="1" style="636" min="8593" max="8593"/>
    <col width="4.33" customWidth="1" style="636" min="8594" max="8594"/>
    <col width="5.56" customWidth="1" style="636" min="8595" max="8595"/>
    <col width="4.67" customWidth="1" style="636" min="8596" max="8596"/>
    <col width="15.45" customWidth="1" style="636" min="8597" max="8597"/>
    <col width="9.109999999999999" customWidth="1" style="636" min="8598" max="8601"/>
    <col width="10.44" customWidth="1" style="636" min="8602" max="8602"/>
    <col width="18" customWidth="1" style="636" min="8603" max="8603"/>
    <col width="9.109999999999999" customWidth="1" style="636" min="8604" max="8834"/>
    <col width="7.33" customWidth="1" style="636" min="8835" max="8835"/>
    <col width="5" customWidth="1" style="636" min="8836" max="8836"/>
    <col width="5.44" customWidth="1" style="636" min="8837" max="8837"/>
    <col width="9.66" customWidth="1" style="636" min="8838" max="8838"/>
    <col width="5.44" customWidth="1" style="636" min="8839" max="8839"/>
    <col width="2" customWidth="1" style="636" min="8840" max="8840"/>
    <col width="7.55" customWidth="1" style="636" min="8841" max="8841"/>
    <col width="8.67" customWidth="1" style="636" min="8842" max="8842"/>
    <col width="4.67" customWidth="1" style="636" min="8843" max="8843"/>
    <col width="8.67" customWidth="1" style="636" min="8844" max="8844"/>
    <col width="6" customWidth="1" style="636" min="8845" max="8845"/>
    <col width="6.34" customWidth="1" style="636" min="8846" max="8846"/>
    <col width="8.67" customWidth="1" style="636" min="8847" max="8847"/>
    <col width="3.45" customWidth="1" style="636" min="8848" max="8848"/>
    <col width="3" customWidth="1" style="636" min="8849" max="8849"/>
    <col width="4.33" customWidth="1" style="636" min="8850" max="8850"/>
    <col width="5.56" customWidth="1" style="636" min="8851" max="8851"/>
    <col width="4.67" customWidth="1" style="636" min="8852" max="8852"/>
    <col width="15.45" customWidth="1" style="636" min="8853" max="8853"/>
    <col width="9.109999999999999" customWidth="1" style="636" min="8854" max="8857"/>
    <col width="10.44" customWidth="1" style="636" min="8858" max="8858"/>
    <col width="18" customWidth="1" style="636" min="8859" max="8859"/>
    <col width="9.109999999999999" customWidth="1" style="636" min="8860" max="9090"/>
    <col width="7.33" customWidth="1" style="636" min="9091" max="9091"/>
    <col width="5" customWidth="1" style="636" min="9092" max="9092"/>
    <col width="5.44" customWidth="1" style="636" min="9093" max="9093"/>
    <col width="9.66" customWidth="1" style="636" min="9094" max="9094"/>
    <col width="5.44" customWidth="1" style="636" min="9095" max="9095"/>
    <col width="2" customWidth="1" style="636" min="9096" max="9096"/>
    <col width="7.55" customWidth="1" style="636" min="9097" max="9097"/>
    <col width="8.67" customWidth="1" style="636" min="9098" max="9098"/>
    <col width="4.67" customWidth="1" style="636" min="9099" max="9099"/>
    <col width="8.67" customWidth="1" style="636" min="9100" max="9100"/>
    <col width="6" customWidth="1" style="636" min="9101" max="9101"/>
    <col width="6.34" customWidth="1" style="636" min="9102" max="9102"/>
    <col width="8.67" customWidth="1" style="636" min="9103" max="9103"/>
    <col width="3.45" customWidth="1" style="636" min="9104" max="9104"/>
    <col width="3" customWidth="1" style="636" min="9105" max="9105"/>
    <col width="4.33" customWidth="1" style="636" min="9106" max="9106"/>
    <col width="5.56" customWidth="1" style="636" min="9107" max="9107"/>
    <col width="4.67" customWidth="1" style="636" min="9108" max="9108"/>
    <col width="15.45" customWidth="1" style="636" min="9109" max="9109"/>
    <col width="9.109999999999999" customWidth="1" style="636" min="9110" max="9113"/>
    <col width="10.44" customWidth="1" style="636" min="9114" max="9114"/>
    <col width="18" customWidth="1" style="636" min="9115" max="9115"/>
    <col width="9.109999999999999" customWidth="1" style="636" min="9116" max="9346"/>
    <col width="7.33" customWidth="1" style="636" min="9347" max="9347"/>
    <col width="5" customWidth="1" style="636" min="9348" max="9348"/>
    <col width="5.44" customWidth="1" style="636" min="9349" max="9349"/>
    <col width="9.66" customWidth="1" style="636" min="9350" max="9350"/>
    <col width="5.44" customWidth="1" style="636" min="9351" max="9351"/>
    <col width="2" customWidth="1" style="636" min="9352" max="9352"/>
    <col width="7.55" customWidth="1" style="636" min="9353" max="9353"/>
    <col width="8.67" customWidth="1" style="636" min="9354" max="9354"/>
    <col width="4.67" customWidth="1" style="636" min="9355" max="9355"/>
    <col width="8.67" customWidth="1" style="636" min="9356" max="9356"/>
    <col width="6" customWidth="1" style="636" min="9357" max="9357"/>
    <col width="6.34" customWidth="1" style="636" min="9358" max="9358"/>
    <col width="8.67" customWidth="1" style="636" min="9359" max="9359"/>
    <col width="3.45" customWidth="1" style="636" min="9360" max="9360"/>
    <col width="3" customWidth="1" style="636" min="9361" max="9361"/>
    <col width="4.33" customWidth="1" style="636" min="9362" max="9362"/>
    <col width="5.56" customWidth="1" style="636" min="9363" max="9363"/>
    <col width="4.67" customWidth="1" style="636" min="9364" max="9364"/>
    <col width="15.45" customWidth="1" style="636" min="9365" max="9365"/>
    <col width="9.109999999999999" customWidth="1" style="636" min="9366" max="9369"/>
    <col width="10.44" customWidth="1" style="636" min="9370" max="9370"/>
    <col width="18" customWidth="1" style="636" min="9371" max="9371"/>
    <col width="9.109999999999999" customWidth="1" style="636" min="9372" max="9602"/>
    <col width="7.33" customWidth="1" style="636" min="9603" max="9603"/>
    <col width="5" customWidth="1" style="636" min="9604" max="9604"/>
    <col width="5.44" customWidth="1" style="636" min="9605" max="9605"/>
    <col width="9.66" customWidth="1" style="636" min="9606" max="9606"/>
    <col width="5.44" customWidth="1" style="636" min="9607" max="9607"/>
    <col width="2" customWidth="1" style="636" min="9608" max="9608"/>
    <col width="7.55" customWidth="1" style="636" min="9609" max="9609"/>
    <col width="8.67" customWidth="1" style="636" min="9610" max="9610"/>
    <col width="4.67" customWidth="1" style="636" min="9611" max="9611"/>
    <col width="8.67" customWidth="1" style="636" min="9612" max="9612"/>
    <col width="6" customWidth="1" style="636" min="9613" max="9613"/>
    <col width="6.34" customWidth="1" style="636" min="9614" max="9614"/>
    <col width="8.67" customWidth="1" style="636" min="9615" max="9615"/>
    <col width="3.45" customWidth="1" style="636" min="9616" max="9616"/>
    <col width="3" customWidth="1" style="636" min="9617" max="9617"/>
    <col width="4.33" customWidth="1" style="636" min="9618" max="9618"/>
    <col width="5.56" customWidth="1" style="636" min="9619" max="9619"/>
    <col width="4.67" customWidth="1" style="636" min="9620" max="9620"/>
    <col width="15.45" customWidth="1" style="636" min="9621" max="9621"/>
    <col width="9.109999999999999" customWidth="1" style="636" min="9622" max="9625"/>
    <col width="10.44" customWidth="1" style="636" min="9626" max="9626"/>
    <col width="18" customWidth="1" style="636" min="9627" max="9627"/>
    <col width="9.109999999999999" customWidth="1" style="636" min="9628" max="9858"/>
    <col width="7.33" customWidth="1" style="636" min="9859" max="9859"/>
    <col width="5" customWidth="1" style="636" min="9860" max="9860"/>
    <col width="5.44" customWidth="1" style="636" min="9861" max="9861"/>
    <col width="9.66" customWidth="1" style="636" min="9862" max="9862"/>
    <col width="5.44" customWidth="1" style="636" min="9863" max="9863"/>
    <col width="2" customWidth="1" style="636" min="9864" max="9864"/>
    <col width="7.55" customWidth="1" style="636" min="9865" max="9865"/>
    <col width="8.67" customWidth="1" style="636" min="9866" max="9866"/>
    <col width="4.67" customWidth="1" style="636" min="9867" max="9867"/>
    <col width="8.67" customWidth="1" style="636" min="9868" max="9868"/>
    <col width="6" customWidth="1" style="636" min="9869" max="9869"/>
    <col width="6.34" customWidth="1" style="636" min="9870" max="9870"/>
    <col width="8.67" customWidth="1" style="636" min="9871" max="9871"/>
    <col width="3.45" customWidth="1" style="636" min="9872" max="9872"/>
    <col width="3" customWidth="1" style="636" min="9873" max="9873"/>
    <col width="4.33" customWidth="1" style="636" min="9874" max="9874"/>
    <col width="5.56" customWidth="1" style="636" min="9875" max="9875"/>
    <col width="4.67" customWidth="1" style="636" min="9876" max="9876"/>
    <col width="15.45" customWidth="1" style="636" min="9877" max="9877"/>
    <col width="9.109999999999999" customWidth="1" style="636" min="9878" max="9881"/>
    <col width="10.44" customWidth="1" style="636" min="9882" max="9882"/>
    <col width="18" customWidth="1" style="636" min="9883" max="9883"/>
    <col width="9.109999999999999" customWidth="1" style="636" min="9884" max="10114"/>
    <col width="7.33" customWidth="1" style="636" min="10115" max="10115"/>
    <col width="5" customWidth="1" style="636" min="10116" max="10116"/>
    <col width="5.44" customWidth="1" style="636" min="10117" max="10117"/>
    <col width="9.66" customWidth="1" style="636" min="10118" max="10118"/>
    <col width="5.44" customWidth="1" style="636" min="10119" max="10119"/>
    <col width="2" customWidth="1" style="636" min="10120" max="10120"/>
    <col width="7.55" customWidth="1" style="636" min="10121" max="10121"/>
    <col width="8.67" customWidth="1" style="636" min="10122" max="10122"/>
    <col width="4.67" customWidth="1" style="636" min="10123" max="10123"/>
    <col width="8.67" customWidth="1" style="636" min="10124" max="10124"/>
    <col width="6" customWidth="1" style="636" min="10125" max="10125"/>
    <col width="6.34" customWidth="1" style="636" min="10126" max="10126"/>
    <col width="8.67" customWidth="1" style="636" min="10127" max="10127"/>
    <col width="3.45" customWidth="1" style="636" min="10128" max="10128"/>
    <col width="3" customWidth="1" style="636" min="10129" max="10129"/>
    <col width="4.33" customWidth="1" style="636" min="10130" max="10130"/>
    <col width="5.56" customWidth="1" style="636" min="10131" max="10131"/>
    <col width="4.67" customWidth="1" style="636" min="10132" max="10132"/>
    <col width="15.45" customWidth="1" style="636" min="10133" max="10133"/>
    <col width="9.109999999999999" customWidth="1" style="636" min="10134" max="10137"/>
    <col width="10.44" customWidth="1" style="636" min="10138" max="10138"/>
    <col width="18" customWidth="1" style="636" min="10139" max="10139"/>
    <col width="9.109999999999999" customWidth="1" style="636" min="10140" max="10370"/>
    <col width="7.33" customWidth="1" style="636" min="10371" max="10371"/>
    <col width="5" customWidth="1" style="636" min="10372" max="10372"/>
    <col width="5.44" customWidth="1" style="636" min="10373" max="10373"/>
    <col width="9.66" customWidth="1" style="636" min="10374" max="10374"/>
    <col width="5.44" customWidth="1" style="636" min="10375" max="10375"/>
    <col width="2" customWidth="1" style="636" min="10376" max="10376"/>
    <col width="7.55" customWidth="1" style="636" min="10377" max="10377"/>
    <col width="8.67" customWidth="1" style="636" min="10378" max="10378"/>
    <col width="4.67" customWidth="1" style="636" min="10379" max="10379"/>
    <col width="8.67" customWidth="1" style="636" min="10380" max="10380"/>
    <col width="6" customWidth="1" style="636" min="10381" max="10381"/>
    <col width="6.34" customWidth="1" style="636" min="10382" max="10382"/>
    <col width="8.67" customWidth="1" style="636" min="10383" max="10383"/>
    <col width="3.45" customWidth="1" style="636" min="10384" max="10384"/>
    <col width="3" customWidth="1" style="636" min="10385" max="10385"/>
    <col width="4.33" customWidth="1" style="636" min="10386" max="10386"/>
    <col width="5.56" customWidth="1" style="636" min="10387" max="10387"/>
    <col width="4.67" customWidth="1" style="636" min="10388" max="10388"/>
    <col width="15.45" customWidth="1" style="636" min="10389" max="10389"/>
    <col width="9.109999999999999" customWidth="1" style="636" min="10390" max="10393"/>
    <col width="10.44" customWidth="1" style="636" min="10394" max="10394"/>
    <col width="18" customWidth="1" style="636" min="10395" max="10395"/>
    <col width="9.109999999999999" customWidth="1" style="636" min="10396" max="10626"/>
    <col width="7.33" customWidth="1" style="636" min="10627" max="10627"/>
    <col width="5" customWidth="1" style="636" min="10628" max="10628"/>
    <col width="5.44" customWidth="1" style="636" min="10629" max="10629"/>
    <col width="9.66" customWidth="1" style="636" min="10630" max="10630"/>
    <col width="5.44" customWidth="1" style="636" min="10631" max="10631"/>
    <col width="2" customWidth="1" style="636" min="10632" max="10632"/>
    <col width="7.55" customWidth="1" style="636" min="10633" max="10633"/>
    <col width="8.67" customWidth="1" style="636" min="10634" max="10634"/>
    <col width="4.67" customWidth="1" style="636" min="10635" max="10635"/>
    <col width="8.67" customWidth="1" style="636" min="10636" max="10636"/>
    <col width="6" customWidth="1" style="636" min="10637" max="10637"/>
    <col width="6.34" customWidth="1" style="636" min="10638" max="10638"/>
    <col width="8.67" customWidth="1" style="636" min="10639" max="10639"/>
    <col width="3.45" customWidth="1" style="636" min="10640" max="10640"/>
    <col width="3" customWidth="1" style="636" min="10641" max="10641"/>
    <col width="4.33" customWidth="1" style="636" min="10642" max="10642"/>
    <col width="5.56" customWidth="1" style="636" min="10643" max="10643"/>
    <col width="4.67" customWidth="1" style="636" min="10644" max="10644"/>
    <col width="15.45" customWidth="1" style="636" min="10645" max="10645"/>
    <col width="9.109999999999999" customWidth="1" style="636" min="10646" max="10649"/>
    <col width="10.44" customWidth="1" style="636" min="10650" max="10650"/>
    <col width="18" customWidth="1" style="636" min="10651" max="10651"/>
    <col width="9.109999999999999" customWidth="1" style="636" min="10652" max="10882"/>
    <col width="7.33" customWidth="1" style="636" min="10883" max="10883"/>
    <col width="5" customWidth="1" style="636" min="10884" max="10884"/>
    <col width="5.44" customWidth="1" style="636" min="10885" max="10885"/>
    <col width="9.66" customWidth="1" style="636" min="10886" max="10886"/>
    <col width="5.44" customWidth="1" style="636" min="10887" max="10887"/>
    <col width="2" customWidth="1" style="636" min="10888" max="10888"/>
    <col width="7.55" customWidth="1" style="636" min="10889" max="10889"/>
    <col width="8.67" customWidth="1" style="636" min="10890" max="10890"/>
    <col width="4.67" customWidth="1" style="636" min="10891" max="10891"/>
    <col width="8.67" customWidth="1" style="636" min="10892" max="10892"/>
    <col width="6" customWidth="1" style="636" min="10893" max="10893"/>
    <col width="6.34" customWidth="1" style="636" min="10894" max="10894"/>
    <col width="8.67" customWidth="1" style="636" min="10895" max="10895"/>
    <col width="3.45" customWidth="1" style="636" min="10896" max="10896"/>
    <col width="3" customWidth="1" style="636" min="10897" max="10897"/>
    <col width="4.33" customWidth="1" style="636" min="10898" max="10898"/>
    <col width="5.56" customWidth="1" style="636" min="10899" max="10899"/>
    <col width="4.67" customWidth="1" style="636" min="10900" max="10900"/>
    <col width="15.45" customWidth="1" style="636" min="10901" max="10901"/>
    <col width="9.109999999999999" customWidth="1" style="636" min="10902" max="10905"/>
    <col width="10.44" customWidth="1" style="636" min="10906" max="10906"/>
    <col width="18" customWidth="1" style="636" min="10907" max="10907"/>
    <col width="9.109999999999999" customWidth="1" style="636" min="10908" max="11138"/>
    <col width="7.33" customWidth="1" style="636" min="11139" max="11139"/>
    <col width="5" customWidth="1" style="636" min="11140" max="11140"/>
    <col width="5.44" customWidth="1" style="636" min="11141" max="11141"/>
    <col width="9.66" customWidth="1" style="636" min="11142" max="11142"/>
    <col width="5.44" customWidth="1" style="636" min="11143" max="11143"/>
    <col width="2" customWidth="1" style="636" min="11144" max="11144"/>
    <col width="7.55" customWidth="1" style="636" min="11145" max="11145"/>
    <col width="8.67" customWidth="1" style="636" min="11146" max="11146"/>
    <col width="4.67" customWidth="1" style="636" min="11147" max="11147"/>
    <col width="8.67" customWidth="1" style="636" min="11148" max="11148"/>
    <col width="6" customWidth="1" style="636" min="11149" max="11149"/>
    <col width="6.34" customWidth="1" style="636" min="11150" max="11150"/>
    <col width="8.67" customWidth="1" style="636" min="11151" max="11151"/>
    <col width="3.45" customWidth="1" style="636" min="11152" max="11152"/>
    <col width="3" customWidth="1" style="636" min="11153" max="11153"/>
    <col width="4.33" customWidth="1" style="636" min="11154" max="11154"/>
    <col width="5.56" customWidth="1" style="636" min="11155" max="11155"/>
    <col width="4.67" customWidth="1" style="636" min="11156" max="11156"/>
    <col width="15.45" customWidth="1" style="636" min="11157" max="11157"/>
    <col width="9.109999999999999" customWidth="1" style="636" min="11158" max="11161"/>
    <col width="10.44" customWidth="1" style="636" min="11162" max="11162"/>
    <col width="18" customWidth="1" style="636" min="11163" max="11163"/>
    <col width="9.109999999999999" customWidth="1" style="636" min="11164" max="11394"/>
    <col width="7.33" customWidth="1" style="636" min="11395" max="11395"/>
    <col width="5" customWidth="1" style="636" min="11396" max="11396"/>
    <col width="5.44" customWidth="1" style="636" min="11397" max="11397"/>
    <col width="9.66" customWidth="1" style="636" min="11398" max="11398"/>
    <col width="5.44" customWidth="1" style="636" min="11399" max="11399"/>
    <col width="2" customWidth="1" style="636" min="11400" max="11400"/>
    <col width="7.55" customWidth="1" style="636" min="11401" max="11401"/>
    <col width="8.67" customWidth="1" style="636" min="11402" max="11402"/>
    <col width="4.67" customWidth="1" style="636" min="11403" max="11403"/>
    <col width="8.67" customWidth="1" style="636" min="11404" max="11404"/>
    <col width="6" customWidth="1" style="636" min="11405" max="11405"/>
    <col width="6.34" customWidth="1" style="636" min="11406" max="11406"/>
    <col width="8.67" customWidth="1" style="636" min="11407" max="11407"/>
    <col width="3.45" customWidth="1" style="636" min="11408" max="11408"/>
    <col width="3" customWidth="1" style="636" min="11409" max="11409"/>
    <col width="4.33" customWidth="1" style="636" min="11410" max="11410"/>
    <col width="5.56" customWidth="1" style="636" min="11411" max="11411"/>
    <col width="4.67" customWidth="1" style="636" min="11412" max="11412"/>
    <col width="15.45" customWidth="1" style="636" min="11413" max="11413"/>
    <col width="9.109999999999999" customWidth="1" style="636" min="11414" max="11417"/>
    <col width="10.44" customWidth="1" style="636" min="11418" max="11418"/>
    <col width="18" customWidth="1" style="636" min="11419" max="11419"/>
    <col width="9.109999999999999" customWidth="1" style="636" min="11420" max="11650"/>
    <col width="7.33" customWidth="1" style="636" min="11651" max="11651"/>
    <col width="5" customWidth="1" style="636" min="11652" max="11652"/>
    <col width="5.44" customWidth="1" style="636" min="11653" max="11653"/>
    <col width="9.66" customWidth="1" style="636" min="11654" max="11654"/>
    <col width="5.44" customWidth="1" style="636" min="11655" max="11655"/>
    <col width="2" customWidth="1" style="636" min="11656" max="11656"/>
    <col width="7.55" customWidth="1" style="636" min="11657" max="11657"/>
    <col width="8.67" customWidth="1" style="636" min="11658" max="11658"/>
    <col width="4.67" customWidth="1" style="636" min="11659" max="11659"/>
    <col width="8.67" customWidth="1" style="636" min="11660" max="11660"/>
    <col width="6" customWidth="1" style="636" min="11661" max="11661"/>
    <col width="6.34" customWidth="1" style="636" min="11662" max="11662"/>
    <col width="8.67" customWidth="1" style="636" min="11663" max="11663"/>
    <col width="3.45" customWidth="1" style="636" min="11664" max="11664"/>
    <col width="3" customWidth="1" style="636" min="11665" max="11665"/>
    <col width="4.33" customWidth="1" style="636" min="11666" max="11666"/>
    <col width="5.56" customWidth="1" style="636" min="11667" max="11667"/>
    <col width="4.67" customWidth="1" style="636" min="11668" max="11668"/>
    <col width="15.45" customWidth="1" style="636" min="11669" max="11669"/>
    <col width="9.109999999999999" customWidth="1" style="636" min="11670" max="11673"/>
    <col width="10.44" customWidth="1" style="636" min="11674" max="11674"/>
    <col width="18" customWidth="1" style="636" min="11675" max="11675"/>
    <col width="9.109999999999999" customWidth="1" style="636" min="11676" max="11906"/>
    <col width="7.33" customWidth="1" style="636" min="11907" max="11907"/>
    <col width="5" customWidth="1" style="636" min="11908" max="11908"/>
    <col width="5.44" customWidth="1" style="636" min="11909" max="11909"/>
    <col width="9.66" customWidth="1" style="636" min="11910" max="11910"/>
    <col width="5.44" customWidth="1" style="636" min="11911" max="11911"/>
    <col width="2" customWidth="1" style="636" min="11912" max="11912"/>
    <col width="7.55" customWidth="1" style="636" min="11913" max="11913"/>
    <col width="8.67" customWidth="1" style="636" min="11914" max="11914"/>
    <col width="4.67" customWidth="1" style="636" min="11915" max="11915"/>
    <col width="8.67" customWidth="1" style="636" min="11916" max="11916"/>
    <col width="6" customWidth="1" style="636" min="11917" max="11917"/>
    <col width="6.34" customWidth="1" style="636" min="11918" max="11918"/>
    <col width="8.67" customWidth="1" style="636" min="11919" max="11919"/>
    <col width="3.45" customWidth="1" style="636" min="11920" max="11920"/>
    <col width="3" customWidth="1" style="636" min="11921" max="11921"/>
    <col width="4.33" customWidth="1" style="636" min="11922" max="11922"/>
    <col width="5.56" customWidth="1" style="636" min="11923" max="11923"/>
    <col width="4.67" customWidth="1" style="636" min="11924" max="11924"/>
    <col width="15.45" customWidth="1" style="636" min="11925" max="11925"/>
    <col width="9.109999999999999" customWidth="1" style="636" min="11926" max="11929"/>
    <col width="10.44" customWidth="1" style="636" min="11930" max="11930"/>
    <col width="18" customWidth="1" style="636" min="11931" max="11931"/>
    <col width="9.109999999999999" customWidth="1" style="636" min="11932" max="12162"/>
    <col width="7.33" customWidth="1" style="636" min="12163" max="12163"/>
    <col width="5" customWidth="1" style="636" min="12164" max="12164"/>
    <col width="5.44" customWidth="1" style="636" min="12165" max="12165"/>
    <col width="9.66" customWidth="1" style="636" min="12166" max="12166"/>
    <col width="5.44" customWidth="1" style="636" min="12167" max="12167"/>
    <col width="2" customWidth="1" style="636" min="12168" max="12168"/>
    <col width="7.55" customWidth="1" style="636" min="12169" max="12169"/>
    <col width="8.67" customWidth="1" style="636" min="12170" max="12170"/>
    <col width="4.67" customWidth="1" style="636" min="12171" max="12171"/>
    <col width="8.67" customWidth="1" style="636" min="12172" max="12172"/>
    <col width="6" customWidth="1" style="636" min="12173" max="12173"/>
    <col width="6.34" customWidth="1" style="636" min="12174" max="12174"/>
    <col width="8.67" customWidth="1" style="636" min="12175" max="12175"/>
    <col width="3.45" customWidth="1" style="636" min="12176" max="12176"/>
    <col width="3" customWidth="1" style="636" min="12177" max="12177"/>
    <col width="4.33" customWidth="1" style="636" min="12178" max="12178"/>
    <col width="5.56" customWidth="1" style="636" min="12179" max="12179"/>
    <col width="4.67" customWidth="1" style="636" min="12180" max="12180"/>
    <col width="15.45" customWidth="1" style="636" min="12181" max="12181"/>
    <col width="9.109999999999999" customWidth="1" style="636" min="12182" max="12185"/>
    <col width="10.44" customWidth="1" style="636" min="12186" max="12186"/>
    <col width="18" customWidth="1" style="636" min="12187" max="12187"/>
    <col width="9.109999999999999" customWidth="1" style="636" min="12188" max="12418"/>
    <col width="7.33" customWidth="1" style="636" min="12419" max="12419"/>
    <col width="5" customWidth="1" style="636" min="12420" max="12420"/>
    <col width="5.44" customWidth="1" style="636" min="12421" max="12421"/>
    <col width="9.66" customWidth="1" style="636" min="12422" max="12422"/>
    <col width="5.44" customWidth="1" style="636" min="12423" max="12423"/>
    <col width="2" customWidth="1" style="636" min="12424" max="12424"/>
    <col width="7.55" customWidth="1" style="636" min="12425" max="12425"/>
    <col width="8.67" customWidth="1" style="636" min="12426" max="12426"/>
    <col width="4.67" customWidth="1" style="636" min="12427" max="12427"/>
    <col width="8.67" customWidth="1" style="636" min="12428" max="12428"/>
    <col width="6" customWidth="1" style="636" min="12429" max="12429"/>
    <col width="6.34" customWidth="1" style="636" min="12430" max="12430"/>
    <col width="8.67" customWidth="1" style="636" min="12431" max="12431"/>
    <col width="3.45" customWidth="1" style="636" min="12432" max="12432"/>
    <col width="3" customWidth="1" style="636" min="12433" max="12433"/>
    <col width="4.33" customWidth="1" style="636" min="12434" max="12434"/>
    <col width="5.56" customWidth="1" style="636" min="12435" max="12435"/>
    <col width="4.67" customWidth="1" style="636" min="12436" max="12436"/>
    <col width="15.45" customWidth="1" style="636" min="12437" max="12437"/>
    <col width="9.109999999999999" customWidth="1" style="636" min="12438" max="12441"/>
    <col width="10.44" customWidth="1" style="636" min="12442" max="12442"/>
    <col width="18" customWidth="1" style="636" min="12443" max="12443"/>
    <col width="9.109999999999999" customWidth="1" style="636" min="12444" max="12674"/>
    <col width="7.33" customWidth="1" style="636" min="12675" max="12675"/>
    <col width="5" customWidth="1" style="636" min="12676" max="12676"/>
    <col width="5.44" customWidth="1" style="636" min="12677" max="12677"/>
    <col width="9.66" customWidth="1" style="636" min="12678" max="12678"/>
    <col width="5.44" customWidth="1" style="636" min="12679" max="12679"/>
    <col width="2" customWidth="1" style="636" min="12680" max="12680"/>
    <col width="7.55" customWidth="1" style="636" min="12681" max="12681"/>
    <col width="8.67" customWidth="1" style="636" min="12682" max="12682"/>
    <col width="4.67" customWidth="1" style="636" min="12683" max="12683"/>
    <col width="8.67" customWidth="1" style="636" min="12684" max="12684"/>
    <col width="6" customWidth="1" style="636" min="12685" max="12685"/>
    <col width="6.34" customWidth="1" style="636" min="12686" max="12686"/>
    <col width="8.67" customWidth="1" style="636" min="12687" max="12687"/>
    <col width="3.45" customWidth="1" style="636" min="12688" max="12688"/>
    <col width="3" customWidth="1" style="636" min="12689" max="12689"/>
    <col width="4.33" customWidth="1" style="636" min="12690" max="12690"/>
    <col width="5.56" customWidth="1" style="636" min="12691" max="12691"/>
    <col width="4.67" customWidth="1" style="636" min="12692" max="12692"/>
    <col width="15.45" customWidth="1" style="636" min="12693" max="12693"/>
    <col width="9.109999999999999" customWidth="1" style="636" min="12694" max="12697"/>
    <col width="10.44" customWidth="1" style="636" min="12698" max="12698"/>
    <col width="18" customWidth="1" style="636" min="12699" max="12699"/>
    <col width="9.109999999999999" customWidth="1" style="636" min="12700" max="12930"/>
    <col width="7.33" customWidth="1" style="636" min="12931" max="12931"/>
    <col width="5" customWidth="1" style="636" min="12932" max="12932"/>
    <col width="5.44" customWidth="1" style="636" min="12933" max="12933"/>
    <col width="9.66" customWidth="1" style="636" min="12934" max="12934"/>
    <col width="5.44" customWidth="1" style="636" min="12935" max="12935"/>
    <col width="2" customWidth="1" style="636" min="12936" max="12936"/>
    <col width="7.55" customWidth="1" style="636" min="12937" max="12937"/>
    <col width="8.67" customWidth="1" style="636" min="12938" max="12938"/>
    <col width="4.67" customWidth="1" style="636" min="12939" max="12939"/>
    <col width="8.67" customWidth="1" style="636" min="12940" max="12940"/>
    <col width="6" customWidth="1" style="636" min="12941" max="12941"/>
    <col width="6.34" customWidth="1" style="636" min="12942" max="12942"/>
    <col width="8.67" customWidth="1" style="636" min="12943" max="12943"/>
    <col width="3.45" customWidth="1" style="636" min="12944" max="12944"/>
    <col width="3" customWidth="1" style="636" min="12945" max="12945"/>
    <col width="4.33" customWidth="1" style="636" min="12946" max="12946"/>
    <col width="5.56" customWidth="1" style="636" min="12947" max="12947"/>
    <col width="4.67" customWidth="1" style="636" min="12948" max="12948"/>
    <col width="15.45" customWidth="1" style="636" min="12949" max="12949"/>
    <col width="9.109999999999999" customWidth="1" style="636" min="12950" max="12953"/>
    <col width="10.44" customWidth="1" style="636" min="12954" max="12954"/>
    <col width="18" customWidth="1" style="636" min="12955" max="12955"/>
    <col width="9.109999999999999" customWidth="1" style="636" min="12956" max="13186"/>
    <col width="7.33" customWidth="1" style="636" min="13187" max="13187"/>
    <col width="5" customWidth="1" style="636" min="13188" max="13188"/>
    <col width="5.44" customWidth="1" style="636" min="13189" max="13189"/>
    <col width="9.66" customWidth="1" style="636" min="13190" max="13190"/>
    <col width="5.44" customWidth="1" style="636" min="13191" max="13191"/>
    <col width="2" customWidth="1" style="636" min="13192" max="13192"/>
    <col width="7.55" customWidth="1" style="636" min="13193" max="13193"/>
    <col width="8.67" customWidth="1" style="636" min="13194" max="13194"/>
    <col width="4.67" customWidth="1" style="636" min="13195" max="13195"/>
    <col width="8.67" customWidth="1" style="636" min="13196" max="13196"/>
    <col width="6" customWidth="1" style="636" min="13197" max="13197"/>
    <col width="6.34" customWidth="1" style="636" min="13198" max="13198"/>
    <col width="8.67" customWidth="1" style="636" min="13199" max="13199"/>
    <col width="3.45" customWidth="1" style="636" min="13200" max="13200"/>
    <col width="3" customWidth="1" style="636" min="13201" max="13201"/>
    <col width="4.33" customWidth="1" style="636" min="13202" max="13202"/>
    <col width="5.56" customWidth="1" style="636" min="13203" max="13203"/>
    <col width="4.67" customWidth="1" style="636" min="13204" max="13204"/>
    <col width="15.45" customWidth="1" style="636" min="13205" max="13205"/>
    <col width="9.109999999999999" customWidth="1" style="636" min="13206" max="13209"/>
    <col width="10.44" customWidth="1" style="636" min="13210" max="13210"/>
    <col width="18" customWidth="1" style="636" min="13211" max="13211"/>
    <col width="9.109999999999999" customWidth="1" style="636" min="13212" max="13442"/>
    <col width="7.33" customWidth="1" style="636" min="13443" max="13443"/>
    <col width="5" customWidth="1" style="636" min="13444" max="13444"/>
    <col width="5.44" customWidth="1" style="636" min="13445" max="13445"/>
    <col width="9.66" customWidth="1" style="636" min="13446" max="13446"/>
    <col width="5.44" customWidth="1" style="636" min="13447" max="13447"/>
    <col width="2" customWidth="1" style="636" min="13448" max="13448"/>
    <col width="7.55" customWidth="1" style="636" min="13449" max="13449"/>
    <col width="8.67" customWidth="1" style="636" min="13450" max="13450"/>
    <col width="4.67" customWidth="1" style="636" min="13451" max="13451"/>
    <col width="8.67" customWidth="1" style="636" min="13452" max="13452"/>
    <col width="6" customWidth="1" style="636" min="13453" max="13453"/>
    <col width="6.34" customWidth="1" style="636" min="13454" max="13454"/>
    <col width="8.67" customWidth="1" style="636" min="13455" max="13455"/>
    <col width="3.45" customWidth="1" style="636" min="13456" max="13456"/>
    <col width="3" customWidth="1" style="636" min="13457" max="13457"/>
    <col width="4.33" customWidth="1" style="636" min="13458" max="13458"/>
    <col width="5.56" customWidth="1" style="636" min="13459" max="13459"/>
    <col width="4.67" customWidth="1" style="636" min="13460" max="13460"/>
    <col width="15.45" customWidth="1" style="636" min="13461" max="13461"/>
    <col width="9.109999999999999" customWidth="1" style="636" min="13462" max="13465"/>
    <col width="10.44" customWidth="1" style="636" min="13466" max="13466"/>
    <col width="18" customWidth="1" style="636" min="13467" max="13467"/>
    <col width="9.109999999999999" customWidth="1" style="636" min="13468" max="13698"/>
    <col width="7.33" customWidth="1" style="636" min="13699" max="13699"/>
    <col width="5" customWidth="1" style="636" min="13700" max="13700"/>
    <col width="5.44" customWidth="1" style="636" min="13701" max="13701"/>
    <col width="9.66" customWidth="1" style="636" min="13702" max="13702"/>
    <col width="5.44" customWidth="1" style="636" min="13703" max="13703"/>
    <col width="2" customWidth="1" style="636" min="13704" max="13704"/>
    <col width="7.55" customWidth="1" style="636" min="13705" max="13705"/>
    <col width="8.67" customWidth="1" style="636" min="13706" max="13706"/>
    <col width="4.67" customWidth="1" style="636" min="13707" max="13707"/>
    <col width="8.67" customWidth="1" style="636" min="13708" max="13708"/>
    <col width="6" customWidth="1" style="636" min="13709" max="13709"/>
    <col width="6.34" customWidth="1" style="636" min="13710" max="13710"/>
    <col width="8.67" customWidth="1" style="636" min="13711" max="13711"/>
    <col width="3.45" customWidth="1" style="636" min="13712" max="13712"/>
    <col width="3" customWidth="1" style="636" min="13713" max="13713"/>
    <col width="4.33" customWidth="1" style="636" min="13714" max="13714"/>
    <col width="5.56" customWidth="1" style="636" min="13715" max="13715"/>
    <col width="4.67" customWidth="1" style="636" min="13716" max="13716"/>
    <col width="15.45" customWidth="1" style="636" min="13717" max="13717"/>
    <col width="9.109999999999999" customWidth="1" style="636" min="13718" max="13721"/>
    <col width="10.44" customWidth="1" style="636" min="13722" max="13722"/>
    <col width="18" customWidth="1" style="636" min="13723" max="13723"/>
    <col width="9.109999999999999" customWidth="1" style="636" min="13724" max="13954"/>
    <col width="7.33" customWidth="1" style="636" min="13955" max="13955"/>
    <col width="5" customWidth="1" style="636" min="13956" max="13956"/>
    <col width="5.44" customWidth="1" style="636" min="13957" max="13957"/>
    <col width="9.66" customWidth="1" style="636" min="13958" max="13958"/>
    <col width="5.44" customWidth="1" style="636" min="13959" max="13959"/>
    <col width="2" customWidth="1" style="636" min="13960" max="13960"/>
    <col width="7.55" customWidth="1" style="636" min="13961" max="13961"/>
    <col width="8.67" customWidth="1" style="636" min="13962" max="13962"/>
    <col width="4.67" customWidth="1" style="636" min="13963" max="13963"/>
    <col width="8.67" customWidth="1" style="636" min="13964" max="13964"/>
    <col width="6" customWidth="1" style="636" min="13965" max="13965"/>
    <col width="6.34" customWidth="1" style="636" min="13966" max="13966"/>
    <col width="8.67" customWidth="1" style="636" min="13967" max="13967"/>
    <col width="3.45" customWidth="1" style="636" min="13968" max="13968"/>
    <col width="3" customWidth="1" style="636" min="13969" max="13969"/>
    <col width="4.33" customWidth="1" style="636" min="13970" max="13970"/>
    <col width="5.56" customWidth="1" style="636" min="13971" max="13971"/>
    <col width="4.67" customWidth="1" style="636" min="13972" max="13972"/>
    <col width="15.45" customWidth="1" style="636" min="13973" max="13973"/>
    <col width="9.109999999999999" customWidth="1" style="636" min="13974" max="13977"/>
    <col width="10.44" customWidth="1" style="636" min="13978" max="13978"/>
    <col width="18" customWidth="1" style="636" min="13979" max="13979"/>
    <col width="9.109999999999999" customWidth="1" style="636" min="13980" max="14210"/>
    <col width="7.33" customWidth="1" style="636" min="14211" max="14211"/>
    <col width="5" customWidth="1" style="636" min="14212" max="14212"/>
    <col width="5.44" customWidth="1" style="636" min="14213" max="14213"/>
    <col width="9.66" customWidth="1" style="636" min="14214" max="14214"/>
    <col width="5.44" customWidth="1" style="636" min="14215" max="14215"/>
    <col width="2" customWidth="1" style="636" min="14216" max="14216"/>
    <col width="7.55" customWidth="1" style="636" min="14217" max="14217"/>
    <col width="8.67" customWidth="1" style="636" min="14218" max="14218"/>
    <col width="4.67" customWidth="1" style="636" min="14219" max="14219"/>
    <col width="8.67" customWidth="1" style="636" min="14220" max="14220"/>
    <col width="6" customWidth="1" style="636" min="14221" max="14221"/>
    <col width="6.34" customWidth="1" style="636" min="14222" max="14222"/>
    <col width="8.67" customWidth="1" style="636" min="14223" max="14223"/>
    <col width="3.45" customWidth="1" style="636" min="14224" max="14224"/>
    <col width="3" customWidth="1" style="636" min="14225" max="14225"/>
    <col width="4.33" customWidth="1" style="636" min="14226" max="14226"/>
    <col width="5.56" customWidth="1" style="636" min="14227" max="14227"/>
    <col width="4.67" customWidth="1" style="636" min="14228" max="14228"/>
    <col width="15.45" customWidth="1" style="636" min="14229" max="14229"/>
    <col width="9.109999999999999" customWidth="1" style="636" min="14230" max="14233"/>
    <col width="10.44" customWidth="1" style="636" min="14234" max="14234"/>
    <col width="18" customWidth="1" style="636" min="14235" max="14235"/>
    <col width="9.109999999999999" customWidth="1" style="636" min="14236" max="14466"/>
    <col width="7.33" customWidth="1" style="636" min="14467" max="14467"/>
    <col width="5" customWidth="1" style="636" min="14468" max="14468"/>
    <col width="5.44" customWidth="1" style="636" min="14469" max="14469"/>
    <col width="9.66" customWidth="1" style="636" min="14470" max="14470"/>
    <col width="5.44" customWidth="1" style="636" min="14471" max="14471"/>
    <col width="2" customWidth="1" style="636" min="14472" max="14472"/>
    <col width="7.55" customWidth="1" style="636" min="14473" max="14473"/>
    <col width="8.67" customWidth="1" style="636" min="14474" max="14474"/>
    <col width="4.67" customWidth="1" style="636" min="14475" max="14475"/>
    <col width="8.67" customWidth="1" style="636" min="14476" max="14476"/>
    <col width="6" customWidth="1" style="636" min="14477" max="14477"/>
    <col width="6.34" customWidth="1" style="636" min="14478" max="14478"/>
    <col width="8.67" customWidth="1" style="636" min="14479" max="14479"/>
    <col width="3.45" customWidth="1" style="636" min="14480" max="14480"/>
    <col width="3" customWidth="1" style="636" min="14481" max="14481"/>
    <col width="4.33" customWidth="1" style="636" min="14482" max="14482"/>
    <col width="5.56" customWidth="1" style="636" min="14483" max="14483"/>
    <col width="4.67" customWidth="1" style="636" min="14484" max="14484"/>
    <col width="15.45" customWidth="1" style="636" min="14485" max="14485"/>
    <col width="9.109999999999999" customWidth="1" style="636" min="14486" max="14489"/>
    <col width="10.44" customWidth="1" style="636" min="14490" max="14490"/>
    <col width="18" customWidth="1" style="636" min="14491" max="14491"/>
    <col width="9.109999999999999" customWidth="1" style="636" min="14492" max="14722"/>
    <col width="7.33" customWidth="1" style="636" min="14723" max="14723"/>
    <col width="5" customWidth="1" style="636" min="14724" max="14724"/>
    <col width="5.44" customWidth="1" style="636" min="14725" max="14725"/>
    <col width="9.66" customWidth="1" style="636" min="14726" max="14726"/>
    <col width="5.44" customWidth="1" style="636" min="14727" max="14727"/>
    <col width="2" customWidth="1" style="636" min="14728" max="14728"/>
    <col width="7.55" customWidth="1" style="636" min="14729" max="14729"/>
    <col width="8.67" customWidth="1" style="636" min="14730" max="14730"/>
    <col width="4.67" customWidth="1" style="636" min="14731" max="14731"/>
    <col width="8.67" customWidth="1" style="636" min="14732" max="14732"/>
    <col width="6" customWidth="1" style="636" min="14733" max="14733"/>
    <col width="6.34" customWidth="1" style="636" min="14734" max="14734"/>
    <col width="8.67" customWidth="1" style="636" min="14735" max="14735"/>
    <col width="3.45" customWidth="1" style="636" min="14736" max="14736"/>
    <col width="3" customWidth="1" style="636" min="14737" max="14737"/>
    <col width="4.33" customWidth="1" style="636" min="14738" max="14738"/>
    <col width="5.56" customWidth="1" style="636" min="14739" max="14739"/>
    <col width="4.67" customWidth="1" style="636" min="14740" max="14740"/>
    <col width="15.45" customWidth="1" style="636" min="14741" max="14741"/>
    <col width="9.109999999999999" customWidth="1" style="636" min="14742" max="14745"/>
    <col width="10.44" customWidth="1" style="636" min="14746" max="14746"/>
    <col width="18" customWidth="1" style="636" min="14747" max="14747"/>
    <col width="9.109999999999999" customWidth="1" style="636" min="14748" max="14978"/>
    <col width="7.33" customWidth="1" style="636" min="14979" max="14979"/>
    <col width="5" customWidth="1" style="636" min="14980" max="14980"/>
    <col width="5.44" customWidth="1" style="636" min="14981" max="14981"/>
    <col width="9.66" customWidth="1" style="636" min="14982" max="14982"/>
    <col width="5.44" customWidth="1" style="636" min="14983" max="14983"/>
    <col width="2" customWidth="1" style="636" min="14984" max="14984"/>
    <col width="7.55" customWidth="1" style="636" min="14985" max="14985"/>
    <col width="8.67" customWidth="1" style="636" min="14986" max="14986"/>
    <col width="4.67" customWidth="1" style="636" min="14987" max="14987"/>
    <col width="8.67" customWidth="1" style="636" min="14988" max="14988"/>
    <col width="6" customWidth="1" style="636" min="14989" max="14989"/>
    <col width="6.34" customWidth="1" style="636" min="14990" max="14990"/>
    <col width="8.67" customWidth="1" style="636" min="14991" max="14991"/>
    <col width="3.45" customWidth="1" style="636" min="14992" max="14992"/>
    <col width="3" customWidth="1" style="636" min="14993" max="14993"/>
    <col width="4.33" customWidth="1" style="636" min="14994" max="14994"/>
    <col width="5.56" customWidth="1" style="636" min="14995" max="14995"/>
    <col width="4.67" customWidth="1" style="636" min="14996" max="14996"/>
    <col width="15.45" customWidth="1" style="636" min="14997" max="14997"/>
    <col width="9.109999999999999" customWidth="1" style="636" min="14998" max="15001"/>
    <col width="10.44" customWidth="1" style="636" min="15002" max="15002"/>
    <col width="18" customWidth="1" style="636" min="15003" max="15003"/>
    <col width="9.109999999999999" customWidth="1" style="636" min="15004" max="15234"/>
    <col width="7.33" customWidth="1" style="636" min="15235" max="15235"/>
    <col width="5" customWidth="1" style="636" min="15236" max="15236"/>
    <col width="5.44" customWidth="1" style="636" min="15237" max="15237"/>
    <col width="9.66" customWidth="1" style="636" min="15238" max="15238"/>
    <col width="5.44" customWidth="1" style="636" min="15239" max="15239"/>
    <col width="2" customWidth="1" style="636" min="15240" max="15240"/>
    <col width="7.55" customWidth="1" style="636" min="15241" max="15241"/>
    <col width="8.67" customWidth="1" style="636" min="15242" max="15242"/>
    <col width="4.67" customWidth="1" style="636" min="15243" max="15243"/>
    <col width="8.67" customWidth="1" style="636" min="15244" max="15244"/>
    <col width="6" customWidth="1" style="636" min="15245" max="15245"/>
    <col width="6.34" customWidth="1" style="636" min="15246" max="15246"/>
    <col width="8.67" customWidth="1" style="636" min="15247" max="15247"/>
    <col width="3.45" customWidth="1" style="636" min="15248" max="15248"/>
    <col width="3" customWidth="1" style="636" min="15249" max="15249"/>
    <col width="4.33" customWidth="1" style="636" min="15250" max="15250"/>
    <col width="5.56" customWidth="1" style="636" min="15251" max="15251"/>
    <col width="4.67" customWidth="1" style="636" min="15252" max="15252"/>
    <col width="15.45" customWidth="1" style="636" min="15253" max="15253"/>
    <col width="9.109999999999999" customWidth="1" style="636" min="15254" max="15257"/>
    <col width="10.44" customWidth="1" style="636" min="15258" max="15258"/>
    <col width="18" customWidth="1" style="636" min="15259" max="15259"/>
    <col width="9.109999999999999" customWidth="1" style="636" min="15260" max="15490"/>
    <col width="7.33" customWidth="1" style="636" min="15491" max="15491"/>
    <col width="5" customWidth="1" style="636" min="15492" max="15492"/>
    <col width="5.44" customWidth="1" style="636" min="15493" max="15493"/>
    <col width="9.66" customWidth="1" style="636" min="15494" max="15494"/>
    <col width="5.44" customWidth="1" style="636" min="15495" max="15495"/>
    <col width="2" customWidth="1" style="636" min="15496" max="15496"/>
    <col width="7.55" customWidth="1" style="636" min="15497" max="15497"/>
    <col width="8.67" customWidth="1" style="636" min="15498" max="15498"/>
    <col width="4.67" customWidth="1" style="636" min="15499" max="15499"/>
    <col width="8.67" customWidth="1" style="636" min="15500" max="15500"/>
    <col width="6" customWidth="1" style="636" min="15501" max="15501"/>
    <col width="6.34" customWidth="1" style="636" min="15502" max="15502"/>
    <col width="8.67" customWidth="1" style="636" min="15503" max="15503"/>
    <col width="3.45" customWidth="1" style="636" min="15504" max="15504"/>
    <col width="3" customWidth="1" style="636" min="15505" max="15505"/>
    <col width="4.33" customWidth="1" style="636" min="15506" max="15506"/>
    <col width="5.56" customWidth="1" style="636" min="15507" max="15507"/>
    <col width="4.67" customWidth="1" style="636" min="15508" max="15508"/>
    <col width="15.45" customWidth="1" style="636" min="15509" max="15509"/>
    <col width="9.109999999999999" customWidth="1" style="636" min="15510" max="15513"/>
    <col width="10.44" customWidth="1" style="636" min="15514" max="15514"/>
    <col width="18" customWidth="1" style="636" min="15515" max="15515"/>
    <col width="9.109999999999999" customWidth="1" style="636" min="15516" max="15746"/>
    <col width="7.33" customWidth="1" style="636" min="15747" max="15747"/>
    <col width="5" customWidth="1" style="636" min="15748" max="15748"/>
    <col width="5.44" customWidth="1" style="636" min="15749" max="15749"/>
    <col width="9.66" customWidth="1" style="636" min="15750" max="15750"/>
    <col width="5.44" customWidth="1" style="636" min="15751" max="15751"/>
    <col width="2" customWidth="1" style="636" min="15752" max="15752"/>
    <col width="7.55" customWidth="1" style="636" min="15753" max="15753"/>
    <col width="8.67" customWidth="1" style="636" min="15754" max="15754"/>
    <col width="4.67" customWidth="1" style="636" min="15755" max="15755"/>
    <col width="8.67" customWidth="1" style="636" min="15756" max="15756"/>
    <col width="6" customWidth="1" style="636" min="15757" max="15757"/>
    <col width="6.34" customWidth="1" style="636" min="15758" max="15758"/>
    <col width="8.67" customWidth="1" style="636" min="15759" max="15759"/>
    <col width="3.45" customWidth="1" style="636" min="15760" max="15760"/>
    <col width="3" customWidth="1" style="636" min="15761" max="15761"/>
    <col width="4.33" customWidth="1" style="636" min="15762" max="15762"/>
    <col width="5.56" customWidth="1" style="636" min="15763" max="15763"/>
    <col width="4.67" customWidth="1" style="636" min="15764" max="15764"/>
    <col width="15.45" customWidth="1" style="636" min="15765" max="15765"/>
    <col width="9.109999999999999" customWidth="1" style="636" min="15766" max="15769"/>
    <col width="10.44" customWidth="1" style="636" min="15770" max="15770"/>
    <col width="18" customWidth="1" style="636" min="15771" max="15771"/>
    <col width="9.109999999999999" customWidth="1" style="636" min="15772" max="16384"/>
  </cols>
  <sheetData>
    <row r="1" ht="55.5" customFormat="1" customHeight="1" s="638">
      <c r="A1" s="639" t="n"/>
      <c r="B1" s="640" t="n"/>
      <c r="C1" s="565" t="n"/>
      <c r="D1" s="641" t="inlineStr">
        <is>
          <t>Job Sequence of Events</t>
        </is>
      </c>
      <c r="E1" s="640" t="n"/>
      <c r="F1" s="640" t="n"/>
      <c r="G1" s="640" t="n"/>
      <c r="H1" s="640" t="n"/>
      <c r="I1" s="640" t="n"/>
      <c r="J1" s="640" t="n"/>
      <c r="K1" s="640" t="n"/>
      <c r="L1" s="640" t="n"/>
      <c r="M1" s="640" t="n"/>
      <c r="N1" s="640" t="n"/>
      <c r="O1" s="640" t="n"/>
      <c r="P1" s="640" t="n"/>
      <c r="Q1" s="565" t="n"/>
      <c r="R1" s="642" t="n"/>
    </row>
    <row r="2" ht="22.35" customFormat="1" customHeight="1" s="638">
      <c r="A2" s="643" t="inlineStr">
        <is>
          <t>DOCUMENT NUMBER</t>
        </is>
      </c>
      <c r="B2" s="570" t="n"/>
      <c r="C2" s="567" t="n"/>
      <c r="D2" s="644" t="inlineStr">
        <is>
          <t>CLASSIFICATION</t>
        </is>
      </c>
      <c r="E2" s="567" t="n"/>
      <c r="F2" s="644" t="inlineStr">
        <is>
          <t>DOCUMENT LEVEL</t>
        </is>
      </c>
      <c r="G2" s="570" t="n"/>
      <c r="H2" s="567" t="n"/>
      <c r="I2" s="644" t="inlineStr">
        <is>
          <t>REVISION NUMBER</t>
        </is>
      </c>
      <c r="J2" s="570" t="n"/>
      <c r="K2" s="567" t="n"/>
      <c r="L2" s="644" t="inlineStr">
        <is>
          <t>ISSUE DATE</t>
        </is>
      </c>
      <c r="M2" s="567" t="n"/>
      <c r="N2" s="644" t="inlineStr">
        <is>
          <t>PREPARED BY</t>
        </is>
      </c>
      <c r="O2" s="570" t="n"/>
      <c r="P2" s="570" t="n"/>
      <c r="Q2" s="567" t="n"/>
      <c r="R2" s="645" t="inlineStr">
        <is>
          <t>APPROVAL</t>
        </is>
      </c>
    </row>
    <row r="3" ht="23.25" customFormat="1" customHeight="1" s="638">
      <c r="A3" s="646" t="inlineStr">
        <is>
          <t>GL-COMP-OEPS-L4-15.07</t>
        </is>
      </c>
      <c r="B3" s="647" t="n"/>
      <c r="C3" s="648" t="n"/>
      <c r="D3" s="649" t="inlineStr">
        <is>
          <t>CONTROLLED</t>
        </is>
      </c>
      <c r="E3" s="650" t="n"/>
      <c r="F3" s="649" t="inlineStr">
        <is>
          <t>L5</t>
        </is>
      </c>
      <c r="G3" s="651" t="n"/>
      <c r="H3" s="650" t="n"/>
      <c r="I3" s="649" t="n">
        <v>1</v>
      </c>
      <c r="J3" s="651" t="n"/>
      <c r="K3" s="650" t="n"/>
      <c r="L3" s="652" t="n">
        <v>43116</v>
      </c>
      <c r="M3" s="650" t="n"/>
      <c r="N3" s="649" t="inlineStr">
        <is>
          <t>WCT TECHNICAL DOCUMENTATION GROUP</t>
        </is>
      </c>
      <c r="O3" s="651" t="n"/>
      <c r="P3" s="651" t="n"/>
      <c r="Q3" s="650" t="n"/>
      <c r="R3" s="653" t="inlineStr">
        <is>
          <t>WCT TWIC</t>
        </is>
      </c>
    </row>
    <row r="4" ht="12" customFormat="1" customHeight="1" s="638">
      <c r="A4" s="654" t="n"/>
      <c r="B4" s="570" t="n"/>
      <c r="C4" s="570" t="n"/>
      <c r="D4" s="570" t="n"/>
      <c r="E4" s="570" t="n"/>
      <c r="F4" s="570" t="n"/>
      <c r="G4" s="570" t="n"/>
      <c r="H4" s="570" t="n"/>
      <c r="I4" s="570" t="n"/>
      <c r="J4" s="570" t="n"/>
      <c r="K4" s="570" t="n"/>
      <c r="L4" s="570" t="n"/>
      <c r="M4" s="570" t="n"/>
      <c r="N4" s="570" t="n"/>
      <c r="O4" s="570" t="n"/>
      <c r="P4" s="570" t="n"/>
      <c r="Q4" s="570" t="n"/>
      <c r="R4" s="571" t="n"/>
    </row>
    <row r="5" ht="21" customFormat="1" customHeight="1" s="655">
      <c r="A5" s="656" t="inlineStr">
        <is>
          <t xml:space="preserve">Job No.: </t>
        </is>
      </c>
      <c r="B5" s="592" t="n"/>
      <c r="C5" s="593" t="n"/>
      <c r="D5" s="657">
        <f>'Master Data'!B11</f>
        <v/>
      </c>
      <c r="E5" s="592" t="n"/>
      <c r="F5" s="592" t="n"/>
      <c r="G5" s="593" t="n"/>
      <c r="H5" s="658" t="inlineStr">
        <is>
          <t>Well Name:</t>
        </is>
      </c>
      <c r="I5" s="592" t="n"/>
      <c r="J5" s="593" t="n"/>
      <c r="K5" s="657">
        <f>'Master Data'!$E$10</f>
        <v/>
      </c>
      <c r="L5" s="592" t="n"/>
      <c r="M5" s="593" t="n"/>
      <c r="N5" s="658" t="n"/>
      <c r="O5" s="592" t="n"/>
      <c r="P5" s="593" t="n"/>
      <c r="Q5" s="659" t="inlineStr">
        <is>
          <t>AD-52</t>
        </is>
      </c>
      <c r="R5" s="660" t="n"/>
    </row>
    <row r="6" ht="33.75" customFormat="1" customHeight="1" s="638">
      <c r="A6" s="661" t="inlineStr">
        <is>
          <t>Client Ref.:</t>
        </is>
      </c>
      <c r="B6" s="570" t="n"/>
      <c r="C6" s="567" t="n"/>
      <c r="D6" s="662" t="n"/>
      <c r="E6" s="570" t="n"/>
      <c r="F6" s="570" t="n"/>
      <c r="G6" s="567" t="n"/>
      <c r="H6" s="663" t="inlineStr">
        <is>
          <t>Start Date:</t>
        </is>
      </c>
      <c r="I6" s="570" t="n"/>
      <c r="J6" s="567" t="n"/>
      <c r="K6" s="664">
        <f>'Master Data'!E12</f>
        <v/>
      </c>
      <c r="L6" s="570" t="n"/>
      <c r="M6" s="567" t="n"/>
      <c r="N6" s="663" t="n"/>
      <c r="O6" s="570" t="n"/>
      <c r="P6" s="567" t="n"/>
      <c r="Q6" s="665">
        <f>'Master Data'!E3</f>
        <v/>
      </c>
      <c r="R6" s="571" t="n"/>
    </row>
    <row r="7" ht="21" customFormat="1" customHeight="1" s="638">
      <c r="A7" s="661" t="inlineStr">
        <is>
          <t>Client:</t>
        </is>
      </c>
      <c r="B7" s="570" t="n"/>
      <c r="C7" s="567" t="n"/>
      <c r="D7" s="644">
        <f>'Master Data'!B3</f>
        <v/>
      </c>
      <c r="E7" s="570" t="n"/>
      <c r="F7" s="570" t="n"/>
      <c r="G7" s="567" t="n"/>
      <c r="H7" s="663" t="inlineStr">
        <is>
          <t>End Date:</t>
        </is>
      </c>
      <c r="I7" s="570" t="n"/>
      <c r="J7" s="567" t="n"/>
      <c r="K7" s="666">
        <f>'Master Data'!E15</f>
        <v/>
      </c>
      <c r="L7" s="570" t="n"/>
      <c r="M7" s="567" t="n"/>
      <c r="N7" s="663" t="n"/>
      <c r="O7" s="570" t="n"/>
      <c r="P7" s="567" t="n"/>
      <c r="Q7" s="665">
        <f>'Master Data'!B21</f>
        <v/>
      </c>
      <c r="R7" s="571" t="n"/>
    </row>
    <row r="8" ht="26.25" customFormat="1" customHeight="1" s="638">
      <c r="A8" s="667" t="inlineStr">
        <is>
          <t>Total Time:</t>
        </is>
      </c>
      <c r="B8" s="587" t="n"/>
      <c r="C8" s="583" t="n"/>
      <c r="D8" s="668">
        <f>'Master Data'!E16</f>
        <v/>
      </c>
      <c r="E8" s="669" t="inlineStr">
        <is>
          <t>Work Time:</t>
        </is>
      </c>
      <c r="F8" s="587" t="n"/>
      <c r="G8" s="583" t="n"/>
      <c r="H8" s="670">
        <f>'Master Data'!E17</f>
        <v/>
      </c>
      <c r="I8" s="669" t="inlineStr">
        <is>
          <t>Lost Time:</t>
        </is>
      </c>
      <c r="J8" s="583" t="n"/>
      <c r="K8" s="670">
        <f>'Master Data'!E18</f>
        <v/>
      </c>
      <c r="L8" s="583" t="n"/>
      <c r="M8" s="669" t="inlineStr">
        <is>
          <t>Runs:</t>
        </is>
      </c>
      <c r="N8" s="670">
        <f>'Master Data'!E19</f>
        <v/>
      </c>
      <c r="O8" s="583" t="n"/>
      <c r="P8" s="669" t="inlineStr">
        <is>
          <t>Miss Runs:</t>
        </is>
      </c>
      <c r="Q8" s="583" t="n"/>
      <c r="R8" s="671">
        <f>'Master Data'!E20</f>
        <v/>
      </c>
    </row>
    <row r="9" ht="12" customFormat="1" customHeight="1" s="638">
      <c r="A9" s="672" t="n"/>
      <c r="R9" s="673" t="n"/>
    </row>
    <row r="10" ht="12" customFormat="1" customHeight="1" s="638">
      <c r="A10" s="674" t="inlineStr">
        <is>
          <t>Date</t>
        </is>
      </c>
      <c r="B10" s="570" t="n"/>
      <c r="C10" s="567" t="n"/>
      <c r="D10" s="675" t="inlineStr">
        <is>
          <t>Time</t>
        </is>
      </c>
      <c r="E10" s="676" t="inlineStr">
        <is>
          <t>Event</t>
        </is>
      </c>
      <c r="F10" s="570" t="n"/>
      <c r="G10" s="570" t="n"/>
      <c r="H10" s="570" t="n"/>
      <c r="I10" s="570" t="n"/>
      <c r="J10" s="570" t="n"/>
      <c r="K10" s="570" t="n"/>
      <c r="L10" s="570" t="n"/>
      <c r="M10" s="570" t="n"/>
      <c r="N10" s="570" t="n"/>
      <c r="O10" s="570" t="n"/>
      <c r="P10" s="570" t="n"/>
      <c r="Q10" s="570" t="n"/>
      <c r="R10" s="571" t="n"/>
    </row>
    <row r="11" ht="23.25" customHeight="1" s="557">
      <c r="A11" s="677">
        <f>K6</f>
        <v/>
      </c>
      <c r="B11" s="678" t="n"/>
      <c r="C11" s="679" t="n"/>
      <c r="D11" s="680" t="n">
        <v>0.6666666666666666</v>
      </c>
      <c r="E11" s="681" t="inlineStr">
        <is>
          <t>WEATHERFORD COMPLETION ENGINEER ARRIVED AT RIG AD-87 LOCATION.</t>
        </is>
      </c>
      <c r="F11" s="682" t="n"/>
      <c r="G11" s="682" t="n"/>
      <c r="H11" s="682" t="n"/>
      <c r="I11" s="682" t="n"/>
      <c r="J11" s="682" t="n"/>
      <c r="K11" s="682" t="n"/>
      <c r="L11" s="682" t="n"/>
      <c r="M11" s="682" t="n"/>
      <c r="N11" s="682" t="n"/>
      <c r="O11" s="682" t="n"/>
      <c r="P11" s="682" t="n"/>
      <c r="Q11" s="682" t="n"/>
      <c r="R11" s="683" t="n"/>
    </row>
    <row r="12" ht="15.75" customHeight="1" s="557">
      <c r="A12" s="684" t="n">
        <v>46221</v>
      </c>
      <c r="B12" s="570" t="n"/>
      <c r="C12" s="567" t="n"/>
      <c r="D12" s="685" t="inlineStr">
        <is>
          <t>9:30</t>
        </is>
      </c>
      <c r="E12" s="686" t="inlineStr">
        <is>
          <t>Ahmed and crew checked in rig Al Sila and Met DS , discussed current operation</t>
        </is>
      </c>
      <c r="F12" s="570" t="n"/>
      <c r="G12" s="570" t="n"/>
      <c r="H12" s="570" t="n"/>
      <c r="I12" s="570" t="n"/>
      <c r="J12" s="570" t="n"/>
      <c r="K12" s="570" t="n"/>
      <c r="L12" s="570" t="n"/>
      <c r="M12" s="570" t="n"/>
      <c r="N12" s="570" t="n"/>
      <c r="O12" s="567" t="n"/>
      <c r="P12" s="687" t="n"/>
      <c r="Q12" s="687" t="n"/>
      <c r="R12" s="687" t="n"/>
    </row>
    <row r="13" ht="15.75" customHeight="1" s="557">
      <c r="A13" s="688" t="n"/>
      <c r="B13" s="570" t="n"/>
      <c r="C13" s="567" t="n"/>
      <c r="D13" s="685" t="inlineStr">
        <is>
          <t>9:40</t>
        </is>
      </c>
      <c r="E13" s="686" t="inlineStr">
        <is>
          <t>Current Operation: R/U 4 ½'' Al Masaood Completion Running Gears. For Lower
completion</t>
        </is>
      </c>
      <c r="F13" s="570" t="n"/>
      <c r="G13" s="570" t="n"/>
      <c r="H13" s="570" t="n"/>
      <c r="I13" s="570" t="n"/>
      <c r="J13" s="570" t="n"/>
      <c r="K13" s="570" t="n"/>
      <c r="L13" s="570" t="n"/>
      <c r="M13" s="570" t="n"/>
      <c r="N13" s="570" t="n"/>
      <c r="O13" s="567" t="n"/>
      <c r="P13" s="687" t="n"/>
      <c r="Q13" s="687" t="n"/>
      <c r="R13" s="687" t="n"/>
    </row>
    <row r="14" ht="15.75" customHeight="1" s="557">
      <c r="A14" s="688" t="n"/>
      <c r="B14" s="570" t="n"/>
      <c r="C14" s="567" t="n"/>
      <c r="D14" s="689" t="inlineStr">
        <is>
          <t>15:00</t>
        </is>
      </c>
      <c r="E14" s="686" t="inlineStr">
        <is>
          <t>Ahmed Ghuneim checked all the equipment for upper completion and DHG including clamps , Pup joint and assembly</t>
        </is>
      </c>
      <c r="F14" s="570" t="n"/>
      <c r="G14" s="570" t="n"/>
      <c r="H14" s="570" t="n"/>
      <c r="I14" s="570" t="n"/>
      <c r="J14" s="570" t="n"/>
      <c r="K14" s="570" t="n"/>
      <c r="L14" s="570" t="n"/>
      <c r="M14" s="570" t="n"/>
      <c r="N14" s="570" t="n"/>
      <c r="O14" s="567" t="n"/>
      <c r="P14" s="687" t="n"/>
      <c r="Q14" s="687" t="n"/>
      <c r="R14" s="687" t="n"/>
    </row>
    <row r="15" ht="15.75" customHeight="1" s="557">
      <c r="A15" s="690" t="n"/>
      <c r="B15" s="570" t="n"/>
      <c r="C15" s="567" t="n"/>
      <c r="D15" s="689" t="inlineStr">
        <is>
          <t>23:55</t>
        </is>
      </c>
      <c r="E15" s="686" t="inlineStr">
        <is>
          <t>RIH 4 ½" Lower Completion With LEL on 4 ½" CSG (13.50#, L-80, TSH-Blue) As Per Approved
Tally To 4,870 FT. (116 Jts /220 Jts)</t>
        </is>
      </c>
      <c r="F15" s="570" t="n"/>
      <c r="G15" s="570" t="n"/>
      <c r="H15" s="570" t="n"/>
      <c r="I15" s="570" t="n"/>
      <c r="J15" s="570" t="n"/>
      <c r="K15" s="570" t="n"/>
      <c r="L15" s="570" t="n"/>
      <c r="M15" s="570" t="n"/>
      <c r="N15" s="570" t="n"/>
      <c r="O15" s="567" t="n"/>
      <c r="P15" s="687" t="n"/>
      <c r="Q15" s="687" t="n"/>
      <c r="R15" s="687" t="n"/>
    </row>
    <row r="16" ht="15.75" customHeight="1" s="557">
      <c r="A16" s="684" t="n">
        <v>46222</v>
      </c>
      <c r="B16" s="570" t="n"/>
      <c r="C16" s="567" t="n"/>
      <c r="D16" s="689" t="inlineStr">
        <is>
          <t>14:00</t>
        </is>
      </c>
      <c r="E16" s="686" t="inlineStr">
        <is>
          <t>Jamal Checked in to rig Sila , Met with DS , current operation was RIH lower
completion in progress.</t>
        </is>
      </c>
      <c r="F16" s="570" t="n"/>
      <c r="G16" s="570" t="n"/>
      <c r="H16" s="570" t="n"/>
      <c r="I16" s="570" t="n"/>
      <c r="J16" s="570" t="n"/>
      <c r="K16" s="570" t="n"/>
      <c r="L16" s="570" t="n"/>
      <c r="M16" s="570" t="n"/>
      <c r="N16" s="570" t="n"/>
      <c r="O16" s="567" t="n"/>
      <c r="P16" s="687" t="n"/>
      <c r="Q16" s="687" t="n"/>
      <c r="R16" s="687" t="n"/>
    </row>
    <row r="17" ht="15.75" customHeight="1" s="557">
      <c r="A17" s="691" t="n"/>
      <c r="B17" s="570" t="n"/>
      <c r="C17" s="567" t="n"/>
      <c r="D17" s="689" t="inlineStr">
        <is>
          <t>16:00</t>
        </is>
      </c>
      <c r="E17" s="686" t="inlineStr">
        <is>
          <t>Checked all assembly, well control Cross over and pup joint joint and found okay .</t>
        </is>
      </c>
      <c r="F17" s="570" t="n"/>
      <c r="G17" s="570" t="n"/>
      <c r="H17" s="570" t="n"/>
      <c r="I17" s="570" t="n"/>
      <c r="J17" s="570" t="n"/>
      <c r="K17" s="570" t="n"/>
      <c r="L17" s="570" t="n"/>
      <c r="M17" s="570" t="n"/>
      <c r="N17" s="570" t="n"/>
      <c r="O17" s="567" t="n"/>
      <c r="P17" s="687" t="n"/>
      <c r="Q17" s="687" t="n"/>
      <c r="R17" s="687" t="n"/>
    </row>
    <row r="18" ht="15.75" customHeight="1" s="557">
      <c r="A18" s="688" t="n"/>
      <c r="B18" s="570" t="n"/>
      <c r="C18" s="567" t="n"/>
      <c r="D18" s="689" t="inlineStr">
        <is>
          <t>20:00</t>
        </is>
      </c>
      <c r="E18" s="686" t="inlineStr">
        <is>
          <t>RIH WFD 4 ½" x 7" Xpress Drop off Sleeve On (4'' x 5 1/2'' HWDP &amp; DP) To 16,770 FT</t>
        </is>
      </c>
      <c r="F18" s="570" t="n"/>
      <c r="G18" s="570" t="n"/>
      <c r="H18" s="570" t="n"/>
      <c r="I18" s="570" t="n"/>
      <c r="J18" s="570" t="n"/>
      <c r="K18" s="570" t="n"/>
      <c r="L18" s="570" t="n"/>
      <c r="M18" s="570" t="n"/>
      <c r="N18" s="570" t="n"/>
      <c r="O18" s="567" t="n"/>
      <c r="P18" s="687" t="n"/>
      <c r="Q18" s="687" t="n"/>
      <c r="R18" s="687" t="n"/>
    </row>
    <row r="19" ht="15.75" customHeight="1" s="557">
      <c r="A19" s="688" t="n"/>
      <c r="B19" s="570" t="n"/>
      <c r="C19" s="567" t="n"/>
      <c r="D19" s="689" t="inlineStr">
        <is>
          <t>23:55</t>
        </is>
      </c>
      <c r="E19" s="686" t="inlineStr">
        <is>
          <t>Stop Operation For Check and Troubleshooting TDS Hyd Oil Loop Pump &amp; Motor Alarm.</t>
        </is>
      </c>
      <c r="F19" s="570" t="n"/>
      <c r="G19" s="570" t="n"/>
      <c r="H19" s="570" t="n"/>
      <c r="I19" s="570" t="n"/>
      <c r="J19" s="570" t="n"/>
      <c r="K19" s="570" t="n"/>
      <c r="L19" s="570" t="n"/>
      <c r="M19" s="570" t="n"/>
      <c r="N19" s="570" t="n"/>
      <c r="O19" s="567" t="n"/>
      <c r="P19" s="687" t="n"/>
      <c r="Q19" s="687" t="n"/>
      <c r="R19" s="687" t="n"/>
    </row>
    <row r="20" ht="15.75" customHeight="1" s="557">
      <c r="A20" s="692" t="n">
        <v>46214</v>
      </c>
      <c r="B20" s="570" t="n"/>
      <c r="C20" s="567" t="n"/>
      <c r="D20" s="693" t="inlineStr">
        <is>
          <t>0:00</t>
        </is>
      </c>
      <c r="E20" s="694" t="inlineStr">
        <is>
          <t>TIME OUT FOR SAFETY MEETING [R1].</t>
        </is>
      </c>
      <c r="F20" s="570" t="n"/>
      <c r="G20" s="570" t="n"/>
      <c r="H20" s="570" t="n"/>
      <c r="I20" s="570" t="n"/>
      <c r="J20" s="570" t="n"/>
      <c r="K20" s="570" t="n"/>
      <c r="L20" s="570" t="n"/>
      <c r="M20" s="570" t="n"/>
      <c r="N20" s="570" t="n"/>
      <c r="O20" s="570" t="n"/>
      <c r="P20" s="570" t="n"/>
      <c r="Q20" s="570" t="n"/>
      <c r="R20" s="567" t="n"/>
    </row>
    <row r="21" ht="15.75" customHeight="1" s="557">
      <c r="A21" s="695" t="n"/>
      <c r="B21" s="570" t="n"/>
      <c r="C21" s="567" t="n"/>
      <c r="D21" s="693" t="inlineStr">
        <is>
          <t>0:30</t>
        </is>
      </c>
      <c r="E21" s="694" t="inlineStr">
        <is>
          <t>CONT. DRILLING 17 1/2" HOLE W/MOTOR BHA F/ 1140' T/ 2147' SECTION TD.
-WOB:25-35 KLB, 90-100 RPM, 11000 -18000 LB.FT TQ, FR: 850-900 GPM, 1700 PSI
SPP.</t>
        </is>
      </c>
      <c r="F21" s="570" t="n"/>
      <c r="G21" s="570" t="n"/>
      <c r="H21" s="570" t="n"/>
      <c r="I21" s="570" t="n"/>
      <c r="J21" s="570" t="n"/>
      <c r="K21" s="570" t="n"/>
      <c r="L21" s="570" t="n"/>
      <c r="M21" s="570" t="n"/>
      <c r="N21" s="570" t="n"/>
      <c r="O21" s="570" t="n"/>
      <c r="P21" s="570" t="n"/>
      <c r="Q21" s="570" t="n"/>
      <c r="R21" s="567" t="n"/>
    </row>
    <row r="22" ht="15.75" customFormat="1" customHeight="1" s="696">
      <c r="A22" s="695" t="n"/>
      <c r="B22" s="570" t="n"/>
      <c r="C22" s="567" t="n"/>
      <c r="D22" s="693" t="inlineStr">
        <is>
          <t>9:30</t>
        </is>
      </c>
      <c r="E22" s="694" t="inlineStr">
        <is>
          <t>SWEEP HOLE W/ 2 x 50 bbl HI-VIS PILLS AND CIRCULATE HOLE CLEAN MEANWHILE
RECIPROCATE AND ROTATE STRING ALL THE TIME. SPOT 350 BBL OF PHB HI-VIS
PILL.</t>
        </is>
      </c>
      <c r="F22" s="570" t="n"/>
      <c r="G22" s="570" t="n"/>
      <c r="H22" s="570" t="n"/>
      <c r="I22" s="570" t="n"/>
      <c r="J22" s="570" t="n"/>
      <c r="K22" s="570" t="n"/>
      <c r="L22" s="570" t="n"/>
      <c r="M22" s="570" t="n"/>
      <c r="N22" s="570" t="n"/>
      <c r="O22" s="570" t="n"/>
      <c r="P22" s="570" t="n"/>
      <c r="Q22" s="570" t="n"/>
      <c r="R22" s="567" t="n"/>
    </row>
    <row r="23" ht="15.75" customHeight="1" s="557">
      <c r="A23" s="695" t="n"/>
      <c r="B23" s="570" t="n"/>
      <c r="C23" s="567" t="n"/>
      <c r="D23" s="693" t="inlineStr">
        <is>
          <t>11:30</t>
        </is>
      </c>
      <c r="E23" s="694" t="inlineStr">
        <is>
          <t>FLOW CHECK.WELL STATIC LOSS 10 BB/H</t>
        </is>
      </c>
      <c r="F23" s="570" t="n"/>
      <c r="G23" s="570" t="n"/>
      <c r="H23" s="570" t="n"/>
      <c r="I23" s="570" t="n"/>
      <c r="J23" s="570" t="n"/>
      <c r="K23" s="570" t="n"/>
      <c r="L23" s="570" t="n"/>
      <c r="M23" s="570" t="n"/>
      <c r="N23" s="570" t="n"/>
      <c r="O23" s="570" t="n"/>
      <c r="P23" s="570" t="n"/>
      <c r="Q23" s="570" t="n"/>
      <c r="R23" s="567" t="n"/>
    </row>
    <row r="24" ht="15.75" customHeight="1" s="557">
      <c r="A24" s="695" t="n"/>
      <c r="B24" s="570" t="n"/>
      <c r="C24" s="567" t="n"/>
      <c r="D24" s="693" t="inlineStr">
        <is>
          <t>12:00</t>
        </is>
      </c>
      <c r="E24" s="694" t="inlineStr">
        <is>
          <t>TIME OUT FOR SAFETY MEETING [R1].</t>
        </is>
      </c>
      <c r="F24" s="570" t="n"/>
      <c r="G24" s="570" t="n"/>
      <c r="H24" s="570" t="n"/>
      <c r="I24" s="570" t="n"/>
      <c r="J24" s="570" t="n"/>
      <c r="K24" s="570" t="n"/>
      <c r="L24" s="570" t="n"/>
      <c r="M24" s="570" t="n"/>
      <c r="N24" s="570" t="n"/>
      <c r="O24" s="570" t="n"/>
      <c r="P24" s="570" t="n"/>
      <c r="Q24" s="570" t="n"/>
      <c r="R24" s="567" t="n"/>
    </row>
    <row r="25" ht="15.75" customHeight="1" s="557">
      <c r="A25" s="695" t="n"/>
      <c r="B25" s="570" t="n"/>
      <c r="C25" s="567" t="n"/>
      <c r="D25" s="693" t="inlineStr">
        <is>
          <t>12:30</t>
        </is>
      </c>
      <c r="E25" s="694" t="inlineStr">
        <is>
          <t>POOH 17½" MTR BHA F/ 2,147 FT TO TOP OF BHA @ 320 FT.</t>
        </is>
      </c>
      <c r="F25" s="570" t="n"/>
      <c r="G25" s="570" t="n"/>
      <c r="H25" s="570" t="n"/>
      <c r="I25" s="570" t="n"/>
      <c r="J25" s="570" t="n"/>
      <c r="K25" s="570" t="n"/>
      <c r="L25" s="570" t="n"/>
      <c r="M25" s="570" t="n"/>
      <c r="N25" s="570" t="n"/>
      <c r="O25" s="570" t="n"/>
      <c r="P25" s="570" t="n"/>
      <c r="Q25" s="570" t="n"/>
      <c r="R25" s="567" t="n"/>
    </row>
    <row r="26" ht="15.75" customHeight="1" s="557">
      <c r="A26" s="695" t="n"/>
      <c r="B26" s="570" t="n"/>
      <c r="C26" s="567" t="n"/>
      <c r="D26" s="693" t="inlineStr">
        <is>
          <t>15:00</t>
        </is>
      </c>
      <c r="E26" s="694" t="inlineStr">
        <is>
          <t>CONT POOH 17½" MTR BHA F/ 320 FT T/ 100 FT. RACK BACK 6 STDS 5½" HWDP + 1
STD 8¼" DC.</t>
        </is>
      </c>
      <c r="F26" s="570" t="n"/>
      <c r="G26" s="570" t="n"/>
      <c r="H26" s="570" t="n"/>
      <c r="I26" s="570" t="n"/>
      <c r="J26" s="570" t="n"/>
      <c r="K26" s="570" t="n"/>
      <c r="L26" s="570" t="n"/>
      <c r="M26" s="570" t="n"/>
      <c r="N26" s="570" t="n"/>
      <c r="O26" s="570" t="n"/>
      <c r="P26" s="570" t="n"/>
      <c r="Q26" s="570" t="n"/>
      <c r="R26" s="567" t="n"/>
    </row>
    <row r="27" ht="15.75" customHeight="1" s="557">
      <c r="A27" s="695" t="n"/>
      <c r="B27" s="570" t="n"/>
      <c r="C27" s="567" t="n"/>
      <c r="D27" s="693" t="inlineStr">
        <is>
          <t>16:30</t>
        </is>
      </c>
      <c r="E27" s="694" t="inlineStr">
        <is>
          <t>CONT POOH 17½" MTR BHA F/ 100 FT T/ SURFACE. B/OUT BIT, L/D 2 X 17 3/8" STRG
STAB'S AND L/D MTR. RECIPROCATE STRING 3 TIMES IN CONDUCTOR SHOE.</t>
        </is>
      </c>
      <c r="F27" s="570" t="n"/>
      <c r="G27" s="570" t="n"/>
      <c r="H27" s="570" t="n"/>
      <c r="I27" s="570" t="n"/>
      <c r="J27" s="570" t="n"/>
      <c r="K27" s="570" t="n"/>
      <c r="L27" s="570" t="n"/>
      <c r="M27" s="570" t="n"/>
      <c r="N27" s="570" t="n"/>
      <c r="O27" s="570" t="n"/>
      <c r="P27" s="570" t="n"/>
      <c r="Q27" s="570" t="n"/>
      <c r="R27" s="567" t="n"/>
    </row>
    <row r="28" ht="15.75" customHeight="1" s="557">
      <c r="A28" s="695" t="n"/>
      <c r="B28" s="570" t="n"/>
      <c r="C28" s="567" t="n"/>
      <c r="D28" s="693" t="inlineStr">
        <is>
          <t>18:00</t>
        </is>
      </c>
      <c r="E28" s="694" t="inlineStr">
        <is>
          <t>RIG SERVICE.</t>
        </is>
      </c>
      <c r="F28" s="570" t="n"/>
      <c r="G28" s="570" t="n"/>
      <c r="H28" s="570" t="n"/>
      <c r="I28" s="570" t="n"/>
      <c r="J28" s="570" t="n"/>
      <c r="K28" s="570" t="n"/>
      <c r="L28" s="570" t="n"/>
      <c r="M28" s="570" t="n"/>
      <c r="N28" s="570" t="n"/>
      <c r="O28" s="570" t="n"/>
      <c r="P28" s="570" t="n"/>
      <c r="Q28" s="570" t="n"/>
      <c r="R28" s="567" t="n"/>
    </row>
    <row r="29" ht="15.75" customHeight="1" s="557">
      <c r="A29" s="695" t="n"/>
      <c r="B29" s="570" t="n"/>
      <c r="C29" s="567" t="n"/>
      <c r="D29" s="693" t="inlineStr">
        <is>
          <t>18:30</t>
        </is>
      </c>
      <c r="E29" s="694" t="inlineStr">
        <is>
          <t>REMOVE TDS LINKS.</t>
        </is>
      </c>
      <c r="F29" s="570" t="n"/>
      <c r="G29" s="570" t="n"/>
      <c r="H29" s="570" t="n"/>
      <c r="I29" s="570" t="n"/>
      <c r="J29" s="570" t="n"/>
      <c r="K29" s="570" t="n"/>
      <c r="L29" s="570" t="n"/>
      <c r="M29" s="570" t="n"/>
      <c r="N29" s="570" t="n"/>
      <c r="O29" s="570" t="n"/>
      <c r="P29" s="570" t="n"/>
      <c r="Q29" s="570" t="n"/>
      <c r="R29" s="567" t="n"/>
    </row>
    <row r="30" ht="15.75" customHeight="1" s="557">
      <c r="A30" s="695" t="n"/>
      <c r="B30" s="570" t="n"/>
      <c r="C30" s="567" t="n"/>
      <c r="D30" s="693" t="inlineStr">
        <is>
          <t>19:00</t>
        </is>
      </c>
      <c r="E30" s="694" t="inlineStr">
        <is>
          <t>HELD PJSM PRIOR TO R/UP ITS HYD CRT TOOL AND HANDLING EQUIPMENT TO
DISCUSS JOB RISK AND CONTROLS.</t>
        </is>
      </c>
      <c r="F30" s="570" t="n"/>
      <c r="G30" s="570" t="n"/>
      <c r="H30" s="570" t="n"/>
      <c r="I30" s="570" t="n"/>
      <c r="J30" s="570" t="n"/>
      <c r="K30" s="570" t="n"/>
      <c r="L30" s="570" t="n"/>
      <c r="M30" s="570" t="n"/>
      <c r="N30" s="570" t="n"/>
      <c r="O30" s="570" t="n"/>
      <c r="P30" s="570" t="n"/>
      <c r="Q30" s="570" t="n"/>
      <c r="R30" s="567" t="n"/>
    </row>
    <row r="31" ht="15.75" customHeight="1" s="557">
      <c r="A31" s="695" t="n"/>
      <c r="B31" s="570" t="n"/>
      <c r="C31" s="567" t="n"/>
      <c r="D31" s="693" t="inlineStr">
        <is>
          <t>19:30</t>
        </is>
      </c>
      <c r="E31" s="694" t="inlineStr">
        <is>
          <t>R/UP ITS 13 3/8" HYD CRT AND CASING HANDLING EQUIPMENT W/JAM UNIT.</t>
        </is>
      </c>
      <c r="F31" s="570" t="n"/>
      <c r="G31" s="570" t="n"/>
      <c r="H31" s="570" t="n"/>
      <c r="I31" s="570" t="n"/>
      <c r="J31" s="570" t="n"/>
      <c r="K31" s="570" t="n"/>
      <c r="L31" s="570" t="n"/>
      <c r="M31" s="570" t="n"/>
      <c r="N31" s="570" t="n"/>
      <c r="O31" s="570" t="n"/>
      <c r="P31" s="570" t="n"/>
      <c r="Q31" s="570" t="n"/>
      <c r="R31" s="567" t="n"/>
    </row>
    <row r="32" ht="15.75" customHeight="1" s="557">
      <c r="A32" s="697" t="n"/>
      <c r="B32" s="678" t="n"/>
      <c r="C32" s="679" t="n"/>
      <c r="D32" s="698" t="inlineStr">
        <is>
          <t>21:30</t>
        </is>
      </c>
      <c r="E32" s="699" t="inlineStr">
        <is>
          <t>P/U, M/U SHOE TRACK ( F/ SHOE + 2 JTS CSG + F/C + 2 JT CSG ) HYD CHECKED.OK.</t>
        </is>
      </c>
      <c r="F32" s="678" t="n"/>
      <c r="G32" s="678" t="n"/>
      <c r="H32" s="678" t="n"/>
      <c r="I32" s="678" t="n"/>
      <c r="J32" s="678" t="n"/>
      <c r="K32" s="678" t="n"/>
      <c r="L32" s="678" t="n"/>
      <c r="M32" s="678" t="n"/>
      <c r="N32" s="678" t="n"/>
      <c r="O32" s="678" t="n"/>
      <c r="P32" s="678" t="n"/>
      <c r="Q32" s="678" t="n"/>
      <c r="R32" s="679" t="n"/>
    </row>
    <row r="33" ht="15.75" customHeight="1" s="557">
      <c r="A33" s="697" t="n"/>
      <c r="B33" s="678" t="n"/>
      <c r="C33" s="679" t="n"/>
      <c r="D33" s="698" t="inlineStr">
        <is>
          <t>22:30</t>
        </is>
      </c>
      <c r="E33" s="699" t="inlineStr">
        <is>
          <t>CONT RIH 13 3/8" CSG F/ 185 FT T/ 690 FT. ( 16 JTS OUT OF 49 JTS ).</t>
        </is>
      </c>
      <c r="F33" s="678" t="n"/>
      <c r="G33" s="678" t="n"/>
      <c r="H33" s="678" t="n"/>
      <c r="I33" s="678" t="n"/>
      <c r="J33" s="678" t="n"/>
      <c r="K33" s="678" t="n"/>
      <c r="L33" s="678" t="n"/>
      <c r="M33" s="678" t="n"/>
      <c r="N33" s="678" t="n"/>
      <c r="O33" s="678" t="n"/>
      <c r="P33" s="678" t="n"/>
      <c r="Q33" s="678" t="n"/>
      <c r="R33" s="679" t="n"/>
    </row>
    <row r="34" ht="27" customHeight="1" s="557">
      <c r="A34" s="700" t="inlineStr">
        <is>
          <t xml:space="preserve">CUSTOMER REP. </t>
        </is>
      </c>
      <c r="B34" s="678" t="n"/>
      <c r="C34" s="678" t="n"/>
      <c r="D34" s="679" t="n"/>
      <c r="E34" s="701">
        <f>'Master Data'!B4</f>
        <v/>
      </c>
      <c r="F34" s="678" t="n"/>
      <c r="G34" s="678" t="n"/>
      <c r="H34" s="678" t="n"/>
      <c r="I34" s="678" t="n"/>
      <c r="J34" s="678" t="n"/>
      <c r="K34" s="678" t="n"/>
      <c r="L34" s="679" t="n"/>
      <c r="M34" s="702" t="inlineStr">
        <is>
          <t>OPERATIONS REP. NAME:</t>
        </is>
      </c>
      <c r="R34" s="703">
        <f>'Master Data'!B21</f>
        <v/>
      </c>
      <c r="T34" s="704">
        <f>E751</f>
        <v/>
      </c>
      <c r="U34" s="704" t="n"/>
      <c r="V34" s="704" t="n"/>
      <c r="W34" s="704" t="n"/>
      <c r="X34" s="704" t="n"/>
      <c r="Y34" s="704" t="n"/>
      <c r="Z34" s="704" t="n"/>
      <c r="AK34" s="705" t="n"/>
    </row>
    <row r="35" ht="27" customHeight="1" s="557">
      <c r="A35" s="701" t="inlineStr">
        <is>
          <t>SIGNATURE:</t>
        </is>
      </c>
      <c r="B35" s="678" t="n"/>
      <c r="C35" s="678" t="n"/>
      <c r="D35" s="678" t="n"/>
      <c r="E35" s="678" t="n"/>
      <c r="F35" s="678" t="n"/>
      <c r="G35" s="678" t="n"/>
      <c r="H35" s="678" t="n"/>
      <c r="I35" s="678" t="n"/>
      <c r="J35" s="678" t="n"/>
      <c r="K35" s="678" t="n"/>
      <c r="L35" s="679" t="n"/>
      <c r="M35" s="706" t="inlineStr">
        <is>
          <t>SIGNATURE:</t>
        </is>
      </c>
      <c r="T35" s="704" t="n"/>
      <c r="U35" s="704" t="n"/>
      <c r="V35" s="704" t="n"/>
      <c r="W35" s="704" t="n"/>
      <c r="X35" s="704" t="n"/>
      <c r="Y35" s="704" t="n"/>
      <c r="Z35" s="704" t="n"/>
      <c r="AK35" s="705" t="n"/>
    </row>
    <row r="36" ht="15" customHeight="1" s="557">
      <c r="A36" s="707" t="n"/>
      <c r="B36" s="682" t="n"/>
      <c r="C36" s="682" t="n"/>
      <c r="D36" s="708" t="n"/>
      <c r="E36" s="709" t="n"/>
      <c r="F36" s="647" t="n"/>
      <c r="G36" s="647" t="n"/>
      <c r="H36" s="647" t="n"/>
      <c r="I36" s="648" t="n"/>
      <c r="J36" s="710" t="n"/>
      <c r="K36" s="711" t="n"/>
      <c r="O36" s="711" t="n"/>
    </row>
    <row r="37" ht="13.5" customHeight="1" s="557">
      <c r="A37" s="712" t="n"/>
      <c r="B37" s="713" t="n"/>
      <c r="C37" s="713" t="n"/>
      <c r="D37" s="714" t="n"/>
      <c r="E37" s="715" t="n"/>
      <c r="F37" s="592" t="n"/>
      <c r="G37" s="592" t="n"/>
      <c r="H37" s="592" t="n"/>
      <c r="I37" s="593" t="n"/>
    </row>
    <row r="38" ht="12" customHeight="1" s="557">
      <c r="A38" s="707" t="n"/>
      <c r="B38" s="682" t="n"/>
      <c r="C38" s="682" t="n"/>
      <c r="D38" s="682" t="n"/>
      <c r="E38" s="682" t="n"/>
      <c r="F38" s="682" t="n"/>
      <c r="G38" s="682" t="n"/>
      <c r="H38" s="682" t="n"/>
      <c r="I38" s="682" t="n"/>
      <c r="J38" s="682" t="n"/>
      <c r="K38" s="682" t="n"/>
      <c r="L38" s="682" t="n"/>
      <c r="M38" s="682" t="n"/>
      <c r="N38" s="682" t="n"/>
      <c r="O38" s="682" t="n"/>
      <c r="P38" s="682" t="n"/>
      <c r="Q38" s="682" t="n"/>
      <c r="R38" s="708" t="n"/>
    </row>
    <row r="39" ht="12" customHeight="1" s="557">
      <c r="A39" s="716" t="n"/>
      <c r="B39" s="717" t="n"/>
      <c r="C39" s="717" t="n"/>
      <c r="D39" s="717" t="n"/>
      <c r="E39" s="717" t="n"/>
      <c r="F39" s="717" t="n"/>
      <c r="G39" s="717" t="n"/>
      <c r="H39" s="717" t="n"/>
      <c r="I39" s="717" t="n"/>
      <c r="J39" s="717" t="n"/>
      <c r="K39" s="717" t="n"/>
      <c r="L39" s="717" t="n"/>
      <c r="M39" s="717" t="n"/>
      <c r="N39" s="717" t="n"/>
      <c r="O39" s="717" t="n"/>
      <c r="P39" s="717" t="n"/>
      <c r="Q39" s="717" t="n"/>
      <c r="R39" s="718" t="n"/>
    </row>
    <row r="40" ht="12" customHeight="1" s="557">
      <c r="A40" s="716" t="n"/>
      <c r="B40" s="717" t="n"/>
      <c r="C40" s="717" t="n"/>
      <c r="D40" s="717" t="n"/>
      <c r="E40" s="717" t="n"/>
      <c r="F40" s="717" t="n"/>
      <c r="G40" s="717" t="n"/>
      <c r="H40" s="717" t="n"/>
      <c r="I40" s="717" t="n"/>
      <c r="J40" s="717" t="n"/>
      <c r="K40" s="717" t="n"/>
      <c r="L40" s="717" t="n"/>
      <c r="M40" s="717" t="n"/>
      <c r="N40" s="717" t="n"/>
      <c r="O40" s="717" t="n"/>
      <c r="P40" s="717" t="n"/>
      <c r="Q40" s="717" t="n"/>
      <c r="R40" s="718" t="n"/>
    </row>
    <row r="41" ht="12" customHeight="1" s="557">
      <c r="A41" s="716" t="n"/>
      <c r="B41" s="717" t="n"/>
      <c r="C41" s="717" t="n"/>
      <c r="D41" s="717" t="n"/>
      <c r="E41" s="717" t="n"/>
      <c r="F41" s="717" t="n"/>
      <c r="G41" s="717" t="n"/>
      <c r="H41" s="717" t="n"/>
      <c r="I41" s="717" t="n"/>
      <c r="J41" s="717" t="n"/>
      <c r="K41" s="717" t="n"/>
      <c r="L41" s="717" t="n"/>
      <c r="M41" s="717" t="n"/>
      <c r="N41" s="717" t="n"/>
      <c r="O41" s="717" t="n"/>
      <c r="P41" s="717" t="n"/>
      <c r="Q41" s="717" t="n"/>
      <c r="R41" s="718" t="n"/>
    </row>
    <row r="42" ht="12" customHeight="1" s="557">
      <c r="A42" s="712" t="n"/>
      <c r="B42" s="713" t="n"/>
      <c r="C42" s="713" t="n"/>
      <c r="D42" s="713" t="n"/>
      <c r="E42" s="713" t="n"/>
      <c r="F42" s="713" t="n"/>
      <c r="G42" s="713" t="n"/>
      <c r="H42" s="713" t="n"/>
      <c r="I42" s="713" t="n"/>
      <c r="J42" s="713" t="n"/>
      <c r="K42" s="713" t="n"/>
      <c r="L42" s="713" t="n"/>
      <c r="M42" s="713" t="n"/>
      <c r="N42" s="713" t="n"/>
      <c r="O42" s="713" t="n"/>
      <c r="P42" s="713" t="n"/>
      <c r="Q42" s="713" t="n"/>
      <c r="R42" s="714" t="n"/>
    </row>
    <row r="43" ht="15.75" customHeight="1" s="557">
      <c r="A43" s="719" t="n"/>
      <c r="B43" s="678" t="n"/>
      <c r="C43" s="679" t="n"/>
      <c r="D43" s="720" t="n"/>
      <c r="E43" s="721" t="n"/>
      <c r="F43" s="570" t="n"/>
      <c r="G43" s="570" t="n"/>
      <c r="H43" s="570" t="n"/>
      <c r="I43" s="570" t="n"/>
      <c r="J43" s="570" t="n"/>
      <c r="K43" s="570" t="n"/>
      <c r="L43" s="570" t="n"/>
      <c r="M43" s="570" t="n"/>
      <c r="N43" s="570" t="n"/>
      <c r="O43" s="570" t="n"/>
      <c r="P43" s="570" t="n"/>
      <c r="Q43" s="570" t="n"/>
      <c r="R43" s="567" t="n"/>
    </row>
    <row r="44" ht="15.75" customHeight="1" s="557">
      <c r="A44" s="719" t="n"/>
      <c r="B44" s="678" t="n"/>
      <c r="C44" s="679" t="n"/>
      <c r="D44" s="720" t="n"/>
      <c r="E44" s="722" t="n"/>
      <c r="F44" s="570" t="n"/>
      <c r="G44" s="570" t="n"/>
      <c r="H44" s="570" t="n"/>
      <c r="I44" s="570" t="n"/>
      <c r="J44" s="570" t="n"/>
      <c r="K44" s="570" t="n"/>
      <c r="L44" s="570" t="n"/>
      <c r="M44" s="570" t="n"/>
      <c r="N44" s="570" t="n"/>
      <c r="O44" s="570" t="n"/>
      <c r="P44" s="570" t="n"/>
      <c r="Q44" s="570" t="n"/>
      <c r="R44" s="567" t="n"/>
    </row>
    <row r="45" ht="15.75" customHeight="1" s="557">
      <c r="A45" s="719" t="n"/>
      <c r="B45" s="678" t="n"/>
      <c r="C45" s="679" t="n"/>
      <c r="D45" s="720" t="n"/>
      <c r="E45" s="723" t="n"/>
      <c r="F45" s="570" t="n"/>
      <c r="G45" s="570" t="n"/>
      <c r="H45" s="570" t="n"/>
      <c r="I45" s="570" t="n"/>
      <c r="J45" s="570" t="n"/>
      <c r="K45" s="570" t="n"/>
      <c r="L45" s="570" t="n"/>
      <c r="M45" s="570" t="n"/>
      <c r="N45" s="570" t="n"/>
      <c r="O45" s="570" t="n"/>
      <c r="P45" s="570" t="n"/>
      <c r="Q45" s="570" t="n"/>
      <c r="R45" s="567" t="n"/>
    </row>
    <row r="46" ht="15.75" customHeight="1" s="557">
      <c r="A46" s="719" t="n"/>
      <c r="B46" s="678" t="n"/>
      <c r="C46" s="679" t="n"/>
      <c r="D46" s="720" t="n"/>
      <c r="E46" s="723" t="n"/>
      <c r="F46" s="570" t="n"/>
      <c r="G46" s="570" t="n"/>
      <c r="H46" s="570" t="n"/>
      <c r="I46" s="570" t="n"/>
      <c r="J46" s="570" t="n"/>
      <c r="K46" s="570" t="n"/>
      <c r="L46" s="570" t="n"/>
      <c r="M46" s="570" t="n"/>
      <c r="N46" s="570" t="n"/>
      <c r="O46" s="570" t="n"/>
      <c r="P46" s="570" t="n"/>
      <c r="Q46" s="570" t="n"/>
      <c r="R46" s="567" t="n"/>
    </row>
    <row r="47" ht="15.75" customHeight="1" s="557">
      <c r="A47" s="719" t="n"/>
      <c r="B47" s="678" t="n"/>
      <c r="C47" s="679" t="n"/>
      <c r="D47" s="720" t="n"/>
      <c r="E47" s="722" t="n"/>
      <c r="F47" s="570" t="n"/>
      <c r="G47" s="570" t="n"/>
      <c r="H47" s="570" t="n"/>
      <c r="I47" s="570" t="n"/>
      <c r="J47" s="570" t="n"/>
      <c r="K47" s="570" t="n"/>
      <c r="L47" s="570" t="n"/>
      <c r="M47" s="570" t="n"/>
      <c r="N47" s="570" t="n"/>
      <c r="O47" s="570" t="n"/>
      <c r="P47" s="570" t="n"/>
      <c r="Q47" s="570" t="n"/>
      <c r="R47" s="567" t="n"/>
    </row>
    <row r="48" ht="15.75" customHeight="1" s="557">
      <c r="A48" s="719" t="n"/>
      <c r="B48" s="678" t="n"/>
      <c r="C48" s="679" t="n"/>
      <c r="D48" s="720" t="n"/>
      <c r="E48" s="724" t="n"/>
      <c r="F48" s="570" t="n"/>
      <c r="G48" s="570" t="n"/>
      <c r="H48" s="570" t="n"/>
      <c r="I48" s="570" t="n"/>
      <c r="J48" s="570" t="n"/>
      <c r="K48" s="570" t="n"/>
      <c r="L48" s="570" t="n"/>
      <c r="M48" s="570" t="n"/>
      <c r="N48" s="570" t="n"/>
      <c r="O48" s="570" t="n"/>
      <c r="P48" s="570" t="n"/>
      <c r="Q48" s="570" t="n"/>
      <c r="R48" s="567" t="n"/>
    </row>
    <row r="49" ht="15.75" customHeight="1" s="557">
      <c r="A49" s="719" t="n"/>
      <c r="B49" s="678" t="n"/>
      <c r="C49" s="679" t="n"/>
      <c r="D49" s="720" t="n"/>
      <c r="E49" s="722" t="n"/>
      <c r="F49" s="570" t="n"/>
      <c r="G49" s="570" t="n"/>
      <c r="H49" s="570" t="n"/>
      <c r="I49" s="570" t="n"/>
      <c r="J49" s="570" t="n"/>
      <c r="K49" s="570" t="n"/>
      <c r="L49" s="570" t="n"/>
      <c r="M49" s="570" t="n"/>
      <c r="N49" s="570" t="n"/>
      <c r="O49" s="570" t="n"/>
      <c r="P49" s="570" t="n"/>
      <c r="Q49" s="570" t="n"/>
      <c r="R49" s="567" t="n"/>
    </row>
    <row r="50" ht="15.75" customHeight="1" s="557">
      <c r="A50" s="719" t="n"/>
      <c r="B50" s="678" t="n"/>
      <c r="C50" s="679" t="n"/>
      <c r="D50" s="720" t="n"/>
      <c r="E50" s="724" t="n"/>
      <c r="F50" s="570" t="n"/>
      <c r="G50" s="570" t="n"/>
      <c r="H50" s="570" t="n"/>
      <c r="I50" s="570" t="n"/>
      <c r="J50" s="570" t="n"/>
      <c r="K50" s="570" t="n"/>
      <c r="L50" s="570" t="n"/>
      <c r="M50" s="570" t="n"/>
      <c r="N50" s="570" t="n"/>
      <c r="O50" s="570" t="n"/>
      <c r="P50" s="570" t="n"/>
      <c r="Q50" s="570" t="n"/>
      <c r="R50" s="567" t="n"/>
    </row>
    <row r="51" ht="15.75" customHeight="1" s="557">
      <c r="A51" s="719" t="n"/>
      <c r="B51" s="678" t="n"/>
      <c r="C51" s="679" t="n"/>
      <c r="D51" s="720" t="n"/>
      <c r="E51" s="722" t="n"/>
      <c r="F51" s="570" t="n"/>
      <c r="G51" s="570" t="n"/>
      <c r="H51" s="570" t="n"/>
      <c r="I51" s="570" t="n"/>
      <c r="J51" s="570" t="n"/>
      <c r="K51" s="570" t="n"/>
      <c r="L51" s="570" t="n"/>
      <c r="M51" s="570" t="n"/>
      <c r="N51" s="570" t="n"/>
      <c r="O51" s="570" t="n"/>
      <c r="P51" s="570" t="n"/>
      <c r="Q51" s="570" t="n"/>
      <c r="R51" s="567" t="n"/>
    </row>
    <row r="52" ht="15.75" customHeight="1" s="557">
      <c r="A52" s="719" t="n"/>
      <c r="B52" s="678" t="n"/>
      <c r="C52" s="679" t="n"/>
      <c r="D52" s="720" t="n"/>
      <c r="E52" s="725" t="n"/>
      <c r="F52" s="570" t="n"/>
      <c r="G52" s="570" t="n"/>
      <c r="H52" s="570" t="n"/>
      <c r="I52" s="570" t="n"/>
      <c r="J52" s="570" t="n"/>
      <c r="K52" s="570" t="n"/>
      <c r="L52" s="570" t="n"/>
      <c r="M52" s="570" t="n"/>
      <c r="N52" s="570" t="n"/>
      <c r="O52" s="570" t="n"/>
      <c r="P52" s="570" t="n"/>
      <c r="Q52" s="570" t="n"/>
      <c r="R52" s="567" t="n"/>
    </row>
    <row r="53" ht="15.75" customHeight="1" s="557">
      <c r="A53" s="719" t="n"/>
      <c r="B53" s="678" t="n"/>
      <c r="C53" s="679" t="n"/>
      <c r="D53" s="720" t="n"/>
      <c r="E53" s="726" t="n"/>
      <c r="F53" s="570" t="n"/>
      <c r="G53" s="570" t="n"/>
      <c r="H53" s="570" t="n"/>
      <c r="I53" s="570" t="n"/>
      <c r="J53" s="570" t="n"/>
      <c r="K53" s="570" t="n"/>
      <c r="L53" s="570" t="n"/>
      <c r="M53" s="570" t="n"/>
      <c r="N53" s="570" t="n"/>
      <c r="O53" s="570" t="n"/>
      <c r="P53" s="570" t="n"/>
      <c r="Q53" s="570" t="n"/>
      <c r="R53" s="567" t="n"/>
    </row>
    <row r="54" ht="15.75" customHeight="1" s="557">
      <c r="A54" s="719" t="n"/>
      <c r="B54" s="678" t="n"/>
      <c r="C54" s="679" t="n"/>
      <c r="D54" s="720" t="n"/>
      <c r="E54" s="723" t="n"/>
      <c r="F54" s="570" t="n"/>
      <c r="G54" s="570" t="n"/>
      <c r="H54" s="570" t="n"/>
      <c r="I54" s="570" t="n"/>
      <c r="J54" s="570" t="n"/>
      <c r="K54" s="570" t="n"/>
      <c r="L54" s="570" t="n"/>
      <c r="M54" s="570" t="n"/>
      <c r="N54" s="570" t="n"/>
      <c r="O54" s="570" t="n"/>
      <c r="P54" s="570" t="n"/>
      <c r="Q54" s="570" t="n"/>
      <c r="R54" s="567" t="n"/>
    </row>
    <row r="55" ht="15.75" customHeight="1" s="557">
      <c r="A55" s="719" t="n"/>
      <c r="B55" s="678" t="n"/>
      <c r="C55" s="679" t="n"/>
      <c r="D55" s="720" t="n"/>
      <c r="E55" s="724" t="n"/>
      <c r="F55" s="570" t="n"/>
      <c r="G55" s="570" t="n"/>
      <c r="H55" s="570" t="n"/>
      <c r="I55" s="570" t="n"/>
      <c r="J55" s="570" t="n"/>
      <c r="K55" s="570" t="n"/>
      <c r="L55" s="570" t="n"/>
      <c r="M55" s="570" t="n"/>
      <c r="N55" s="570" t="n"/>
      <c r="O55" s="570" t="n"/>
      <c r="P55" s="570" t="n"/>
      <c r="Q55" s="570" t="n"/>
      <c r="R55" s="567" t="n"/>
    </row>
    <row r="56" ht="15.75" customHeight="1" s="557">
      <c r="A56" s="719" t="n"/>
      <c r="B56" s="678" t="n"/>
      <c r="C56" s="679" t="n"/>
      <c r="D56" s="720" t="n"/>
      <c r="E56" s="722" t="n"/>
      <c r="F56" s="570" t="n"/>
      <c r="G56" s="570" t="n"/>
      <c r="H56" s="570" t="n"/>
      <c r="I56" s="570" t="n"/>
      <c r="J56" s="570" t="n"/>
      <c r="K56" s="570" t="n"/>
      <c r="L56" s="570" t="n"/>
      <c r="M56" s="570" t="n"/>
      <c r="N56" s="570" t="n"/>
      <c r="O56" s="570" t="n"/>
      <c r="P56" s="570" t="n"/>
      <c r="Q56" s="570" t="n"/>
      <c r="R56" s="567" t="n"/>
    </row>
    <row r="57" ht="15.75" customHeight="1" s="557">
      <c r="A57" s="719" t="n"/>
      <c r="B57" s="678" t="n"/>
      <c r="C57" s="679" t="n"/>
      <c r="D57" s="720" t="n"/>
      <c r="E57" s="725" t="n"/>
      <c r="F57" s="570" t="n"/>
      <c r="G57" s="570" t="n"/>
      <c r="H57" s="570" t="n"/>
      <c r="I57" s="570" t="n"/>
      <c r="J57" s="570" t="n"/>
      <c r="K57" s="570" t="n"/>
      <c r="L57" s="570" t="n"/>
      <c r="M57" s="570" t="n"/>
      <c r="N57" s="570" t="n"/>
      <c r="O57" s="570" t="n"/>
      <c r="P57" s="570" t="n"/>
      <c r="Q57" s="570" t="n"/>
      <c r="R57" s="567" t="n"/>
    </row>
    <row r="58" ht="15.75" customHeight="1" s="557">
      <c r="A58" s="719" t="n"/>
      <c r="B58" s="678" t="n"/>
      <c r="C58" s="679" t="n"/>
      <c r="D58" s="720" t="n"/>
      <c r="E58" s="722" t="n"/>
      <c r="F58" s="570" t="n"/>
      <c r="G58" s="570" t="n"/>
      <c r="H58" s="570" t="n"/>
      <c r="I58" s="570" t="n"/>
      <c r="J58" s="570" t="n"/>
      <c r="K58" s="570" t="n"/>
      <c r="L58" s="570" t="n"/>
      <c r="M58" s="570" t="n"/>
      <c r="N58" s="570" t="n"/>
      <c r="O58" s="570" t="n"/>
      <c r="P58" s="570" t="n"/>
      <c r="Q58" s="570" t="n"/>
      <c r="R58" s="567" t="n"/>
    </row>
    <row r="59" ht="15.75" customHeight="1" s="557">
      <c r="A59" s="719" t="n"/>
      <c r="B59" s="678" t="n"/>
      <c r="C59" s="679" t="n"/>
      <c r="D59" s="720" t="n"/>
      <c r="E59" s="722" t="n"/>
      <c r="F59" s="570" t="n"/>
      <c r="G59" s="570" t="n"/>
      <c r="H59" s="570" t="n"/>
      <c r="I59" s="570" t="n"/>
      <c r="J59" s="570" t="n"/>
      <c r="K59" s="570" t="n"/>
      <c r="L59" s="570" t="n"/>
      <c r="M59" s="570" t="n"/>
      <c r="N59" s="570" t="n"/>
      <c r="O59" s="570" t="n"/>
      <c r="P59" s="570" t="n"/>
      <c r="Q59" s="570" t="n"/>
      <c r="R59" s="567" t="n"/>
    </row>
    <row r="60" ht="15.75" customHeight="1" s="557">
      <c r="A60" s="719" t="n"/>
      <c r="B60" s="678" t="n"/>
      <c r="C60" s="679" t="n"/>
      <c r="D60" s="720" t="n"/>
      <c r="E60" s="723" t="n"/>
      <c r="F60" s="570" t="n"/>
      <c r="G60" s="570" t="n"/>
      <c r="H60" s="570" t="n"/>
      <c r="I60" s="570" t="n"/>
      <c r="J60" s="570" t="n"/>
      <c r="K60" s="570" t="n"/>
      <c r="L60" s="570" t="n"/>
      <c r="M60" s="570" t="n"/>
      <c r="N60" s="570" t="n"/>
      <c r="O60" s="570" t="n"/>
      <c r="P60" s="570" t="n"/>
      <c r="Q60" s="570" t="n"/>
      <c r="R60" s="567" t="n"/>
    </row>
    <row r="61" ht="15.75" customHeight="1" s="557">
      <c r="A61" s="719" t="n"/>
      <c r="B61" s="678" t="n"/>
      <c r="C61" s="679" t="n"/>
      <c r="D61" s="720" t="n"/>
      <c r="E61" s="727" t="n"/>
      <c r="F61" s="570" t="n"/>
      <c r="G61" s="570" t="n"/>
      <c r="H61" s="570" t="n"/>
      <c r="I61" s="570" t="n"/>
      <c r="J61" s="570" t="n"/>
      <c r="K61" s="570" t="n"/>
      <c r="L61" s="570" t="n"/>
      <c r="M61" s="570" t="n"/>
      <c r="N61" s="570" t="n"/>
      <c r="O61" s="570" t="n"/>
      <c r="P61" s="570" t="n"/>
      <c r="Q61" s="570" t="n"/>
      <c r="R61" s="567" t="n"/>
    </row>
    <row r="62" ht="15.75" customHeight="1" s="557">
      <c r="A62" s="719" t="n"/>
      <c r="B62" s="678" t="n"/>
      <c r="C62" s="679" t="n"/>
      <c r="D62" s="720" t="n"/>
      <c r="E62" s="722" t="n"/>
      <c r="F62" s="570" t="n"/>
      <c r="G62" s="570" t="n"/>
      <c r="H62" s="570" t="n"/>
      <c r="I62" s="570" t="n"/>
      <c r="J62" s="570" t="n"/>
      <c r="K62" s="570" t="n"/>
      <c r="L62" s="570" t="n"/>
      <c r="M62" s="570" t="n"/>
      <c r="N62" s="570" t="n"/>
      <c r="O62" s="570" t="n"/>
      <c r="P62" s="570" t="n"/>
      <c r="Q62" s="570" t="n"/>
      <c r="R62" s="567" t="n"/>
    </row>
    <row r="63" ht="15.75" customHeight="1" s="557">
      <c r="A63" s="719" t="n"/>
      <c r="B63" s="678" t="n"/>
      <c r="C63" s="679" t="n"/>
      <c r="D63" s="720" t="n"/>
      <c r="E63" s="722" t="n"/>
      <c r="F63" s="570" t="n"/>
      <c r="G63" s="570" t="n"/>
      <c r="H63" s="570" t="n"/>
      <c r="I63" s="570" t="n"/>
      <c r="J63" s="570" t="n"/>
      <c r="K63" s="570" t="n"/>
      <c r="L63" s="570" t="n"/>
      <c r="M63" s="570" t="n"/>
      <c r="N63" s="570" t="n"/>
      <c r="O63" s="570" t="n"/>
      <c r="P63" s="570" t="n"/>
      <c r="Q63" s="570" t="n"/>
      <c r="R63" s="567" t="n"/>
    </row>
    <row r="64" ht="15.75" customHeight="1" s="557">
      <c r="A64" s="719" t="n"/>
      <c r="B64" s="678" t="n"/>
      <c r="C64" s="679" t="n"/>
      <c r="D64" s="720" t="n"/>
      <c r="E64" s="722" t="n"/>
      <c r="F64" s="570" t="n"/>
      <c r="G64" s="570" t="n"/>
      <c r="H64" s="570" t="n"/>
      <c r="I64" s="570" t="n"/>
      <c r="J64" s="570" t="n"/>
      <c r="K64" s="570" t="n"/>
      <c r="L64" s="570" t="n"/>
      <c r="M64" s="570" t="n"/>
      <c r="N64" s="570" t="n"/>
      <c r="O64" s="570" t="n"/>
      <c r="P64" s="570" t="n"/>
      <c r="Q64" s="570" t="n"/>
      <c r="R64" s="567" t="n"/>
    </row>
    <row r="65" ht="15.75" customHeight="1" s="557">
      <c r="A65" s="719" t="n"/>
      <c r="B65" s="678" t="n"/>
      <c r="C65" s="679" t="n"/>
      <c r="D65" s="720" t="n"/>
      <c r="E65" s="728" t="n"/>
      <c r="F65" s="678" t="n"/>
      <c r="G65" s="678" t="n"/>
      <c r="H65" s="678" t="n"/>
      <c r="I65" s="678" t="n"/>
      <c r="J65" s="678" t="n"/>
      <c r="K65" s="678" t="n"/>
      <c r="L65" s="678" t="n"/>
      <c r="M65" s="678" t="n"/>
      <c r="N65" s="678" t="n"/>
      <c r="O65" s="678" t="n"/>
      <c r="P65" s="678" t="n"/>
      <c r="Q65" s="678" t="n"/>
      <c r="R65" s="679" t="n"/>
    </row>
    <row r="66" ht="15.75" customHeight="1" s="557">
      <c r="A66" s="719" t="n"/>
      <c r="B66" s="678" t="n"/>
      <c r="C66" s="679" t="n"/>
      <c r="D66" s="720" t="n"/>
      <c r="E66" s="728" t="n"/>
      <c r="F66" s="678" t="n"/>
      <c r="G66" s="678" t="n"/>
      <c r="H66" s="678" t="n"/>
      <c r="I66" s="678" t="n"/>
      <c r="J66" s="678" t="n"/>
      <c r="K66" s="678" t="n"/>
      <c r="L66" s="678" t="n"/>
      <c r="M66" s="678" t="n"/>
      <c r="N66" s="678" t="n"/>
      <c r="O66" s="678" t="n"/>
      <c r="P66" s="678" t="n"/>
      <c r="Q66" s="678" t="n"/>
      <c r="R66" s="679" t="n"/>
    </row>
    <row r="67" ht="15.75" customHeight="1" s="557">
      <c r="A67" s="719" t="n"/>
      <c r="B67" s="678" t="n"/>
      <c r="C67" s="679" t="n"/>
      <c r="D67" s="729" t="n"/>
      <c r="E67" s="728" t="n"/>
      <c r="F67" s="678" t="n"/>
      <c r="G67" s="678" t="n"/>
      <c r="H67" s="678" t="n"/>
      <c r="I67" s="678" t="n"/>
      <c r="J67" s="678" t="n"/>
      <c r="K67" s="678" t="n"/>
      <c r="L67" s="678" t="n"/>
      <c r="M67" s="678" t="n"/>
      <c r="N67" s="678" t="n"/>
      <c r="O67" s="678" t="n"/>
      <c r="P67" s="678" t="n"/>
      <c r="Q67" s="678" t="n"/>
      <c r="R67" s="679" t="n"/>
    </row>
    <row r="68" ht="15.75" customHeight="1" s="557">
      <c r="A68" s="719" t="n"/>
      <c r="B68" s="678" t="n"/>
      <c r="C68" s="679" t="n"/>
      <c r="D68" s="729" t="n"/>
      <c r="E68" s="728" t="n"/>
      <c r="F68" s="678" t="n"/>
      <c r="G68" s="678" t="n"/>
      <c r="H68" s="678" t="n"/>
      <c r="I68" s="678" t="n"/>
      <c r="J68" s="678" t="n"/>
      <c r="K68" s="678" t="n"/>
      <c r="L68" s="678" t="n"/>
      <c r="M68" s="678" t="n"/>
      <c r="N68" s="678" t="n"/>
      <c r="O68" s="678" t="n"/>
      <c r="P68" s="678" t="n"/>
      <c r="Q68" s="678" t="n"/>
      <c r="R68" s="679" t="n"/>
    </row>
    <row r="69" ht="15.75" customHeight="1" s="557">
      <c r="A69" s="684" t="n"/>
      <c r="B69" s="570" t="n"/>
      <c r="C69" s="567" t="n"/>
      <c r="D69" s="689" t="n"/>
      <c r="E69" s="686" t="n"/>
      <c r="F69" s="570" t="n"/>
      <c r="G69" s="570" t="n"/>
      <c r="H69" s="570" t="n"/>
      <c r="I69" s="570" t="n"/>
      <c r="J69" s="570" t="n"/>
      <c r="K69" s="570" t="n"/>
      <c r="L69" s="570" t="n"/>
      <c r="M69" s="570" t="n"/>
      <c r="N69" s="570" t="n"/>
      <c r="O69" s="567" t="n"/>
      <c r="P69" s="687" t="n"/>
      <c r="Q69" s="687" t="n"/>
      <c r="R69" s="687" t="n"/>
    </row>
    <row r="70" ht="15.75" customHeight="1" s="557">
      <c r="A70" s="690" t="n"/>
      <c r="B70" s="570" t="n"/>
      <c r="C70" s="567" t="n"/>
      <c r="D70" s="730" t="n"/>
      <c r="E70" s="686" t="n"/>
      <c r="F70" s="570" t="n"/>
      <c r="G70" s="570" t="n"/>
      <c r="H70" s="570" t="n"/>
      <c r="I70" s="570" t="n"/>
      <c r="J70" s="570" t="n"/>
      <c r="K70" s="570" t="n"/>
      <c r="L70" s="570" t="n"/>
      <c r="M70" s="570" t="n"/>
      <c r="N70" s="570" t="n"/>
      <c r="O70" s="567" t="n"/>
      <c r="P70" s="687" t="n"/>
      <c r="Q70" s="687" t="n"/>
      <c r="R70" s="687" t="n"/>
    </row>
    <row r="71" ht="15.75" customFormat="1" customHeight="1" s="696">
      <c r="A71" s="684" t="n"/>
      <c r="B71" s="570" t="n"/>
      <c r="C71" s="567" t="n"/>
      <c r="D71" s="689" t="n"/>
      <c r="E71" s="686" t="n"/>
      <c r="F71" s="570" t="n"/>
      <c r="G71" s="570" t="n"/>
      <c r="H71" s="570" t="n"/>
      <c r="I71" s="570" t="n"/>
      <c r="J71" s="570" t="n"/>
      <c r="K71" s="570" t="n"/>
      <c r="L71" s="570" t="n"/>
      <c r="M71" s="570" t="n"/>
      <c r="N71" s="570" t="n"/>
      <c r="O71" s="567" t="n"/>
      <c r="P71" s="687" t="n"/>
      <c r="Q71" s="687" t="n"/>
      <c r="R71" s="687" t="n"/>
    </row>
    <row r="72" ht="15.75" customHeight="1" s="557">
      <c r="A72" s="691" t="n"/>
      <c r="B72" s="570" t="n"/>
      <c r="C72" s="567" t="n"/>
      <c r="D72" s="689" t="n"/>
      <c r="E72" s="686" t="n"/>
      <c r="F72" s="570" t="n"/>
      <c r="G72" s="570" t="n"/>
      <c r="H72" s="570" t="n"/>
      <c r="I72" s="570" t="n"/>
      <c r="J72" s="570" t="n"/>
      <c r="K72" s="570" t="n"/>
      <c r="L72" s="570" t="n"/>
      <c r="M72" s="570" t="n"/>
      <c r="N72" s="570" t="n"/>
      <c r="O72" s="567" t="n"/>
      <c r="P72" s="687" t="n"/>
      <c r="Q72" s="687" t="n"/>
      <c r="R72" s="687" t="n"/>
    </row>
    <row r="73" ht="15.75" customHeight="1" s="557">
      <c r="A73" s="691" t="n"/>
      <c r="B73" s="570" t="n"/>
      <c r="C73" s="567" t="n"/>
      <c r="D73" s="689" t="n"/>
      <c r="E73" s="686" t="n"/>
      <c r="F73" s="570" t="n"/>
      <c r="G73" s="570" t="n"/>
      <c r="H73" s="570" t="n"/>
      <c r="I73" s="570" t="n"/>
      <c r="J73" s="570" t="n"/>
      <c r="K73" s="570" t="n"/>
      <c r="L73" s="570" t="n"/>
      <c r="M73" s="570" t="n"/>
      <c r="N73" s="570" t="n"/>
      <c r="O73" s="567" t="n"/>
      <c r="P73" s="687" t="n"/>
      <c r="Q73" s="687" t="n"/>
      <c r="R73" s="687" t="n"/>
    </row>
    <row r="74" ht="15.75" customHeight="1" s="557">
      <c r="A74" s="691" t="n"/>
      <c r="B74" s="570" t="n"/>
      <c r="C74" s="567" t="n"/>
      <c r="D74" s="689" t="n"/>
      <c r="E74" s="686" t="n"/>
      <c r="F74" s="570" t="n"/>
      <c r="G74" s="570" t="n"/>
      <c r="H74" s="570" t="n"/>
      <c r="I74" s="570" t="n"/>
      <c r="J74" s="570" t="n"/>
      <c r="K74" s="570" t="n"/>
      <c r="L74" s="570" t="n"/>
      <c r="M74" s="570" t="n"/>
      <c r="N74" s="570" t="n"/>
      <c r="O74" s="567" t="n"/>
      <c r="P74" s="687" t="n"/>
      <c r="Q74" s="687" t="n"/>
      <c r="R74" s="687" t="n"/>
    </row>
    <row r="75" ht="15.75" customHeight="1" s="557">
      <c r="A75" s="691" t="n"/>
      <c r="B75" s="570" t="n"/>
      <c r="C75" s="567" t="n"/>
      <c r="D75" s="689" t="n"/>
      <c r="E75" s="686" t="n"/>
      <c r="F75" s="570" t="n"/>
      <c r="G75" s="570" t="n"/>
      <c r="H75" s="570" t="n"/>
      <c r="I75" s="570" t="n"/>
      <c r="J75" s="570" t="n"/>
      <c r="K75" s="570" t="n"/>
      <c r="L75" s="570" t="n"/>
      <c r="M75" s="570" t="n"/>
      <c r="N75" s="570" t="n"/>
      <c r="O75" s="567" t="n"/>
      <c r="P75" s="687" t="n"/>
      <c r="Q75" s="687" t="n"/>
      <c r="R75" s="687" t="n"/>
    </row>
    <row r="76" ht="15.75" customHeight="1" s="557">
      <c r="A76" s="691" t="n"/>
      <c r="B76" s="570" t="n"/>
      <c r="C76" s="567" t="n"/>
      <c r="D76" s="689" t="n"/>
      <c r="E76" s="686" t="n"/>
      <c r="F76" s="570" t="n"/>
      <c r="G76" s="570" t="n"/>
      <c r="H76" s="570" t="n"/>
      <c r="I76" s="570" t="n"/>
      <c r="J76" s="570" t="n"/>
      <c r="K76" s="570" t="n"/>
      <c r="L76" s="570" t="n"/>
      <c r="M76" s="570" t="n"/>
      <c r="N76" s="570" t="n"/>
      <c r="O76" s="567" t="n"/>
      <c r="P76" s="687" t="n"/>
      <c r="Q76" s="687" t="n"/>
      <c r="R76" s="687" t="n"/>
    </row>
    <row r="77" ht="15.75" customHeight="1" s="557">
      <c r="A77" s="691" t="n"/>
      <c r="B77" s="570" t="n"/>
      <c r="C77" s="567" t="n"/>
      <c r="D77" s="689" t="n"/>
      <c r="E77" s="686" t="n"/>
      <c r="F77" s="570" t="n"/>
      <c r="G77" s="570" t="n"/>
      <c r="H77" s="570" t="n"/>
      <c r="I77" s="570" t="n"/>
      <c r="J77" s="570" t="n"/>
      <c r="K77" s="570" t="n"/>
      <c r="L77" s="570" t="n"/>
      <c r="M77" s="570" t="n"/>
      <c r="N77" s="570" t="n"/>
      <c r="O77" s="567" t="n"/>
      <c r="P77" s="687" t="n"/>
      <c r="Q77" s="687" t="n"/>
      <c r="R77" s="687" t="n"/>
    </row>
    <row r="78" ht="15.75" customHeight="1" s="557">
      <c r="A78" s="684" t="n"/>
      <c r="B78" s="570" t="n"/>
      <c r="C78" s="567" t="n"/>
      <c r="D78" s="689" t="n"/>
      <c r="E78" s="686" t="n"/>
      <c r="F78" s="570" t="n"/>
      <c r="G78" s="570" t="n"/>
      <c r="H78" s="570" t="n"/>
      <c r="I78" s="570" t="n"/>
      <c r="J78" s="570" t="n"/>
      <c r="K78" s="570" t="n"/>
      <c r="L78" s="570" t="n"/>
      <c r="M78" s="570" t="n"/>
      <c r="N78" s="570" t="n"/>
      <c r="O78" s="567" t="n"/>
      <c r="P78" s="687" t="n"/>
      <c r="Q78" s="687" t="n"/>
      <c r="R78" s="687" t="n"/>
    </row>
    <row r="79" ht="15.75" customHeight="1" s="557">
      <c r="A79" s="731" t="n"/>
      <c r="B79" s="570" t="n"/>
      <c r="C79" s="567" t="n"/>
      <c r="D79" s="689" t="n"/>
      <c r="E79" s="686" t="n"/>
      <c r="F79" s="570" t="n"/>
      <c r="G79" s="570" t="n"/>
      <c r="H79" s="570" t="n"/>
      <c r="I79" s="570" t="n"/>
      <c r="J79" s="570" t="n"/>
      <c r="K79" s="570" t="n"/>
      <c r="L79" s="570" t="n"/>
      <c r="M79" s="570" t="n"/>
      <c r="N79" s="570" t="n"/>
      <c r="O79" s="567" t="n"/>
      <c r="P79" s="687" t="n"/>
      <c r="Q79" s="687" t="n"/>
      <c r="R79" s="687" t="n"/>
    </row>
    <row r="80" ht="15.75" customHeight="1" s="557">
      <c r="A80" s="731" t="n"/>
      <c r="B80" s="570" t="n"/>
      <c r="C80" s="567" t="n"/>
      <c r="D80" s="689" t="n"/>
      <c r="E80" s="686" t="n"/>
      <c r="F80" s="570" t="n"/>
      <c r="G80" s="570" t="n"/>
      <c r="H80" s="570" t="n"/>
      <c r="I80" s="570" t="n"/>
      <c r="J80" s="570" t="n"/>
      <c r="K80" s="570" t="n"/>
      <c r="L80" s="570" t="n"/>
      <c r="M80" s="570" t="n"/>
      <c r="N80" s="570" t="n"/>
      <c r="O80" s="567" t="n"/>
      <c r="P80" s="732" t="n"/>
      <c r="Q80" s="732" t="n"/>
      <c r="R80" s="732" t="n"/>
    </row>
    <row r="81" ht="15.75" customHeight="1" s="557">
      <c r="A81" s="719" t="n"/>
      <c r="B81" s="678" t="n"/>
      <c r="C81" s="679" t="n"/>
      <c r="D81" s="720" t="n"/>
      <c r="E81" s="733" t="n"/>
      <c r="F81" s="678" t="n"/>
      <c r="G81" s="678" t="n"/>
      <c r="H81" s="678" t="n"/>
      <c r="I81" s="678" t="n"/>
      <c r="J81" s="678" t="n"/>
      <c r="K81" s="678" t="n"/>
      <c r="L81" s="678" t="n"/>
      <c r="M81" s="678" t="n"/>
      <c r="N81" s="678" t="n"/>
      <c r="O81" s="678" t="n"/>
      <c r="P81" s="678" t="n"/>
      <c r="Q81" s="678" t="n"/>
      <c r="R81" s="679" t="n"/>
    </row>
    <row r="82" ht="15.75" customHeight="1" s="557">
      <c r="A82" s="719" t="n"/>
      <c r="B82" s="678" t="n"/>
      <c r="C82" s="679" t="n"/>
      <c r="D82" s="720" t="n"/>
      <c r="E82" s="733" t="n"/>
      <c r="F82" s="678" t="n"/>
      <c r="G82" s="678" t="n"/>
      <c r="H82" s="678" t="n"/>
      <c r="I82" s="678" t="n"/>
      <c r="J82" s="678" t="n"/>
      <c r="K82" s="678" t="n"/>
      <c r="L82" s="678" t="n"/>
      <c r="M82" s="678" t="n"/>
      <c r="N82" s="678" t="n"/>
      <c r="O82" s="678" t="n"/>
      <c r="P82" s="678" t="n"/>
      <c r="Q82" s="678" t="n"/>
      <c r="R82" s="679" t="n"/>
    </row>
    <row r="83" ht="15.75" customHeight="1" s="557">
      <c r="A83" s="719" t="n"/>
      <c r="B83" s="678" t="n"/>
      <c r="C83" s="679" t="n"/>
      <c r="D83" s="720" t="n"/>
      <c r="E83" s="733" t="n"/>
      <c r="F83" s="678" t="n"/>
      <c r="G83" s="678" t="n"/>
      <c r="H83" s="678" t="n"/>
      <c r="I83" s="678" t="n"/>
      <c r="J83" s="678" t="n"/>
      <c r="K83" s="678" t="n"/>
      <c r="L83" s="678" t="n"/>
      <c r="M83" s="678" t="n"/>
      <c r="N83" s="678" t="n"/>
      <c r="O83" s="678" t="n"/>
      <c r="P83" s="678" t="n"/>
      <c r="Q83" s="678" t="n"/>
      <c r="R83" s="679" t="n"/>
    </row>
    <row r="84" ht="15.75" customHeight="1" s="557">
      <c r="A84" s="719" t="n"/>
      <c r="B84" s="678" t="n"/>
      <c r="C84" s="679" t="n"/>
      <c r="D84" s="720" t="n"/>
      <c r="E84" s="733" t="n"/>
      <c r="F84" s="678" t="n"/>
      <c r="G84" s="678" t="n"/>
      <c r="H84" s="678" t="n"/>
      <c r="I84" s="678" t="n"/>
      <c r="J84" s="678" t="n"/>
      <c r="K84" s="678" t="n"/>
      <c r="L84" s="678" t="n"/>
      <c r="M84" s="678" t="n"/>
      <c r="N84" s="678" t="n"/>
      <c r="O84" s="678" t="n"/>
      <c r="P84" s="678" t="n"/>
      <c r="Q84" s="678" t="n"/>
      <c r="R84" s="679" t="n"/>
    </row>
    <row r="85" ht="15.75" customHeight="1" s="557">
      <c r="A85" s="719" t="n"/>
      <c r="B85" s="678" t="n"/>
      <c r="C85" s="679" t="n"/>
      <c r="D85" s="720" t="n"/>
      <c r="E85" s="727" t="n"/>
      <c r="F85" s="570" t="n"/>
      <c r="G85" s="570" t="n"/>
      <c r="H85" s="570" t="n"/>
      <c r="I85" s="570" t="n"/>
      <c r="J85" s="570" t="n"/>
      <c r="K85" s="570" t="n"/>
      <c r="L85" s="570" t="n"/>
      <c r="M85" s="570" t="n"/>
      <c r="N85" s="570" t="n"/>
      <c r="O85" s="570" t="n"/>
      <c r="P85" s="570" t="n"/>
      <c r="Q85" s="570" t="n"/>
      <c r="R85" s="567" t="n"/>
    </row>
    <row r="86" ht="15.75" customHeight="1" s="557">
      <c r="A86" s="719" t="n"/>
      <c r="B86" s="678" t="n"/>
      <c r="C86" s="679" t="n"/>
      <c r="D86" s="720" t="n"/>
      <c r="E86" s="723" t="n"/>
      <c r="F86" s="570" t="n"/>
      <c r="G86" s="570" t="n"/>
      <c r="H86" s="570" t="n"/>
      <c r="I86" s="570" t="n"/>
      <c r="J86" s="570" t="n"/>
      <c r="K86" s="570" t="n"/>
      <c r="L86" s="570" t="n"/>
      <c r="M86" s="570" t="n"/>
      <c r="N86" s="570" t="n"/>
      <c r="O86" s="570" t="n"/>
      <c r="P86" s="570" t="n"/>
      <c r="Q86" s="570" t="n"/>
      <c r="R86" s="567" t="n"/>
    </row>
    <row r="87" ht="15.75" customHeight="1" s="557">
      <c r="A87" s="719" t="n"/>
      <c r="B87" s="678" t="n"/>
      <c r="C87" s="679" t="n"/>
      <c r="D87" s="734" t="n"/>
      <c r="E87" s="727" t="n"/>
      <c r="F87" s="570" t="n"/>
      <c r="G87" s="570" t="n"/>
      <c r="H87" s="570" t="n"/>
      <c r="I87" s="570" t="n"/>
      <c r="J87" s="570" t="n"/>
      <c r="K87" s="570" t="n"/>
      <c r="L87" s="570" t="n"/>
      <c r="M87" s="570" t="n"/>
      <c r="N87" s="570" t="n"/>
      <c r="O87" s="570" t="n"/>
      <c r="P87" s="570" t="n"/>
      <c r="Q87" s="570" t="n"/>
      <c r="R87" s="567" t="n"/>
    </row>
    <row r="88" ht="15.75" customHeight="1" s="557">
      <c r="A88" s="719" t="n"/>
      <c r="B88" s="678" t="n"/>
      <c r="C88" s="679" t="n"/>
      <c r="D88" s="720" t="n"/>
      <c r="E88" s="727" t="n"/>
      <c r="F88" s="570" t="n"/>
      <c r="G88" s="570" t="n"/>
      <c r="H88" s="570" t="n"/>
      <c r="I88" s="570" t="n"/>
      <c r="J88" s="570" t="n"/>
      <c r="K88" s="570" t="n"/>
      <c r="L88" s="570" t="n"/>
      <c r="M88" s="570" t="n"/>
      <c r="N88" s="570" t="n"/>
      <c r="O88" s="570" t="n"/>
      <c r="P88" s="570" t="n"/>
      <c r="Q88" s="570" t="n"/>
      <c r="R88" s="567" t="n"/>
    </row>
    <row r="89" ht="15.75" customHeight="1" s="557">
      <c r="A89" s="719" t="n"/>
      <c r="B89" s="678" t="n"/>
      <c r="C89" s="679" t="n"/>
      <c r="D89" s="720" t="n"/>
      <c r="E89" s="727" t="n"/>
      <c r="F89" s="570" t="n"/>
      <c r="G89" s="570" t="n"/>
      <c r="H89" s="570" t="n"/>
      <c r="I89" s="570" t="n"/>
      <c r="J89" s="570" t="n"/>
      <c r="K89" s="570" t="n"/>
      <c r="L89" s="570" t="n"/>
      <c r="M89" s="570" t="n"/>
      <c r="N89" s="570" t="n"/>
      <c r="O89" s="570" t="n"/>
      <c r="P89" s="570" t="n"/>
      <c r="Q89" s="570" t="n"/>
      <c r="R89" s="567" t="n"/>
    </row>
    <row r="90" ht="15.75" customHeight="1" s="557">
      <c r="A90" s="719" t="n"/>
      <c r="B90" s="678" t="n"/>
      <c r="C90" s="679" t="n"/>
      <c r="D90" s="720" t="n"/>
      <c r="E90" s="727" t="n"/>
      <c r="F90" s="570" t="n"/>
      <c r="G90" s="570" t="n"/>
      <c r="H90" s="570" t="n"/>
      <c r="I90" s="570" t="n"/>
      <c r="J90" s="570" t="n"/>
      <c r="K90" s="570" t="n"/>
      <c r="L90" s="570" t="n"/>
      <c r="M90" s="570" t="n"/>
      <c r="N90" s="570" t="n"/>
      <c r="O90" s="570" t="n"/>
      <c r="P90" s="570" t="n"/>
      <c r="Q90" s="570" t="n"/>
      <c r="R90" s="567" t="n"/>
    </row>
    <row r="91" ht="15.75" customHeight="1" s="557">
      <c r="A91" s="719" t="n"/>
      <c r="B91" s="678" t="n"/>
      <c r="C91" s="679" t="n"/>
      <c r="D91" s="720" t="n"/>
      <c r="E91" s="727" t="n"/>
      <c r="F91" s="570" t="n"/>
      <c r="G91" s="570" t="n"/>
      <c r="H91" s="570" t="n"/>
      <c r="I91" s="570" t="n"/>
      <c r="J91" s="570" t="n"/>
      <c r="K91" s="570" t="n"/>
      <c r="L91" s="570" t="n"/>
      <c r="M91" s="570" t="n"/>
      <c r="N91" s="570" t="n"/>
      <c r="O91" s="570" t="n"/>
      <c r="P91" s="570" t="n"/>
      <c r="Q91" s="570" t="n"/>
      <c r="R91" s="567" t="n"/>
    </row>
    <row r="92" ht="15.75" customHeight="1" s="557">
      <c r="A92" s="719" t="n"/>
      <c r="B92" s="678" t="n"/>
      <c r="C92" s="679" t="n"/>
      <c r="D92" s="720" t="n"/>
      <c r="E92" s="721" t="n"/>
      <c r="F92" s="570" t="n"/>
      <c r="G92" s="570" t="n"/>
      <c r="H92" s="570" t="n"/>
      <c r="I92" s="570" t="n"/>
      <c r="J92" s="570" t="n"/>
      <c r="K92" s="570" t="n"/>
      <c r="L92" s="570" t="n"/>
      <c r="M92" s="570" t="n"/>
      <c r="N92" s="570" t="n"/>
      <c r="O92" s="570" t="n"/>
      <c r="P92" s="570" t="n"/>
      <c r="Q92" s="570" t="n"/>
      <c r="R92" s="567" t="n"/>
    </row>
    <row r="93" ht="15.75" customHeight="1" s="557">
      <c r="A93" s="719" t="n"/>
      <c r="B93" s="678" t="n"/>
      <c r="C93" s="679" t="n"/>
      <c r="D93" s="720" t="n"/>
      <c r="E93" s="722" t="n"/>
      <c r="F93" s="570" t="n"/>
      <c r="G93" s="570" t="n"/>
      <c r="H93" s="570" t="n"/>
      <c r="I93" s="570" t="n"/>
      <c r="J93" s="570" t="n"/>
      <c r="K93" s="570" t="n"/>
      <c r="L93" s="570" t="n"/>
      <c r="M93" s="570" t="n"/>
      <c r="N93" s="570" t="n"/>
      <c r="O93" s="570" t="n"/>
      <c r="P93" s="570" t="n"/>
      <c r="Q93" s="570" t="n"/>
      <c r="R93" s="567" t="n"/>
    </row>
    <row r="94" ht="15.75" customHeight="1" s="557">
      <c r="A94" s="719" t="n"/>
      <c r="B94" s="678" t="n"/>
      <c r="C94" s="679" t="n"/>
      <c r="D94" s="720" t="n"/>
      <c r="E94" s="723" t="n"/>
      <c r="F94" s="570" t="n"/>
      <c r="G94" s="570" t="n"/>
      <c r="H94" s="570" t="n"/>
      <c r="I94" s="570" t="n"/>
      <c r="J94" s="570" t="n"/>
      <c r="K94" s="570" t="n"/>
      <c r="L94" s="570" t="n"/>
      <c r="M94" s="570" t="n"/>
      <c r="N94" s="570" t="n"/>
      <c r="O94" s="570" t="n"/>
      <c r="P94" s="570" t="n"/>
      <c r="Q94" s="570" t="n"/>
      <c r="R94" s="567" t="n"/>
    </row>
    <row r="95" ht="15.75" customHeight="1" s="557">
      <c r="A95" s="719" t="n"/>
      <c r="B95" s="678" t="n"/>
      <c r="C95" s="679" t="n"/>
      <c r="D95" s="720" t="n"/>
      <c r="E95" s="723" t="n"/>
      <c r="F95" s="570" t="n"/>
      <c r="G95" s="570" t="n"/>
      <c r="H95" s="570" t="n"/>
      <c r="I95" s="570" t="n"/>
      <c r="J95" s="570" t="n"/>
      <c r="K95" s="570" t="n"/>
      <c r="L95" s="570" t="n"/>
      <c r="M95" s="570" t="n"/>
      <c r="N95" s="570" t="n"/>
      <c r="O95" s="570" t="n"/>
      <c r="P95" s="570" t="n"/>
      <c r="Q95" s="570" t="n"/>
      <c r="R95" s="567" t="n"/>
    </row>
    <row r="96" ht="15.75" customHeight="1" s="557">
      <c r="A96" s="719" t="n"/>
      <c r="B96" s="678" t="n"/>
      <c r="C96" s="679" t="n"/>
      <c r="D96" s="720" t="n"/>
      <c r="E96" s="722" t="n"/>
      <c r="F96" s="570" t="n"/>
      <c r="G96" s="570" t="n"/>
      <c r="H96" s="570" t="n"/>
      <c r="I96" s="570" t="n"/>
      <c r="J96" s="570" t="n"/>
      <c r="K96" s="570" t="n"/>
      <c r="L96" s="570" t="n"/>
      <c r="M96" s="570" t="n"/>
      <c r="N96" s="570" t="n"/>
      <c r="O96" s="570" t="n"/>
      <c r="P96" s="570" t="n"/>
      <c r="Q96" s="570" t="n"/>
      <c r="R96" s="567" t="n"/>
    </row>
    <row r="97" ht="15.75" customHeight="1" s="557">
      <c r="A97" s="719" t="n"/>
      <c r="B97" s="678" t="n"/>
      <c r="C97" s="679" t="n"/>
      <c r="D97" s="720" t="n"/>
      <c r="E97" s="724" t="n"/>
      <c r="F97" s="570" t="n"/>
      <c r="G97" s="570" t="n"/>
      <c r="H97" s="570" t="n"/>
      <c r="I97" s="570" t="n"/>
      <c r="J97" s="570" t="n"/>
      <c r="K97" s="570" t="n"/>
      <c r="L97" s="570" t="n"/>
      <c r="M97" s="570" t="n"/>
      <c r="N97" s="570" t="n"/>
      <c r="O97" s="570" t="n"/>
      <c r="P97" s="570" t="n"/>
      <c r="Q97" s="570" t="n"/>
      <c r="R97" s="567" t="n"/>
    </row>
    <row r="98" ht="15.75" customHeight="1" s="557">
      <c r="A98" s="719" t="n"/>
      <c r="B98" s="678" t="n"/>
      <c r="C98" s="679" t="n"/>
      <c r="D98" s="720" t="n"/>
      <c r="E98" s="722" t="n"/>
      <c r="F98" s="570" t="n"/>
      <c r="G98" s="570" t="n"/>
      <c r="H98" s="570" t="n"/>
      <c r="I98" s="570" t="n"/>
      <c r="J98" s="570" t="n"/>
      <c r="K98" s="570" t="n"/>
      <c r="L98" s="570" t="n"/>
      <c r="M98" s="570" t="n"/>
      <c r="N98" s="570" t="n"/>
      <c r="O98" s="570" t="n"/>
      <c r="P98" s="570" t="n"/>
      <c r="Q98" s="570" t="n"/>
      <c r="R98" s="567" t="n"/>
    </row>
    <row r="99" ht="15.75" customHeight="1" s="557">
      <c r="A99" s="719" t="n"/>
      <c r="B99" s="678" t="n"/>
      <c r="C99" s="679" t="n"/>
      <c r="D99" s="720" t="n"/>
      <c r="E99" s="724" t="n"/>
      <c r="F99" s="570" t="n"/>
      <c r="G99" s="570" t="n"/>
      <c r="H99" s="570" t="n"/>
      <c r="I99" s="570" t="n"/>
      <c r="J99" s="570" t="n"/>
      <c r="K99" s="570" t="n"/>
      <c r="L99" s="570" t="n"/>
      <c r="M99" s="570" t="n"/>
      <c r="N99" s="570" t="n"/>
      <c r="O99" s="570" t="n"/>
      <c r="P99" s="570" t="n"/>
      <c r="Q99" s="570" t="n"/>
      <c r="R99" s="567" t="n"/>
    </row>
    <row r="100" ht="15.75" customHeight="1" s="557">
      <c r="A100" s="719" t="n"/>
      <c r="B100" s="678" t="n"/>
      <c r="C100" s="679" t="n"/>
      <c r="D100" s="720" t="n"/>
      <c r="E100" s="722" t="n"/>
      <c r="F100" s="570" t="n"/>
      <c r="G100" s="570" t="n"/>
      <c r="H100" s="570" t="n"/>
      <c r="I100" s="570" t="n"/>
      <c r="J100" s="570" t="n"/>
      <c r="K100" s="570" t="n"/>
      <c r="L100" s="570" t="n"/>
      <c r="M100" s="570" t="n"/>
      <c r="N100" s="570" t="n"/>
      <c r="O100" s="570" t="n"/>
      <c r="P100" s="570" t="n"/>
      <c r="Q100" s="570" t="n"/>
      <c r="R100" s="567" t="n"/>
    </row>
    <row r="101" ht="15.75" customHeight="1" s="557">
      <c r="A101" s="719" t="n"/>
      <c r="B101" s="678" t="n"/>
      <c r="C101" s="679" t="n"/>
      <c r="D101" s="720" t="n"/>
      <c r="E101" s="725" t="n"/>
      <c r="F101" s="570" t="n"/>
      <c r="G101" s="570" t="n"/>
      <c r="H101" s="570" t="n"/>
      <c r="I101" s="570" t="n"/>
      <c r="J101" s="570" t="n"/>
      <c r="K101" s="570" t="n"/>
      <c r="L101" s="570" t="n"/>
      <c r="M101" s="570" t="n"/>
      <c r="N101" s="570" t="n"/>
      <c r="O101" s="570" t="n"/>
      <c r="P101" s="570" t="n"/>
      <c r="Q101" s="570" t="n"/>
      <c r="R101" s="567" t="n"/>
    </row>
    <row r="102" ht="15.75" customHeight="1" s="557">
      <c r="A102" s="719" t="n"/>
      <c r="B102" s="678" t="n"/>
      <c r="C102" s="679" t="n"/>
      <c r="D102" s="720" t="n"/>
      <c r="E102" s="726" t="n"/>
      <c r="F102" s="570" t="n"/>
      <c r="G102" s="570" t="n"/>
      <c r="H102" s="570" t="n"/>
      <c r="I102" s="570" t="n"/>
      <c r="J102" s="570" t="n"/>
      <c r="K102" s="570" t="n"/>
      <c r="L102" s="570" t="n"/>
      <c r="M102" s="570" t="n"/>
      <c r="N102" s="570" t="n"/>
      <c r="O102" s="570" t="n"/>
      <c r="P102" s="570" t="n"/>
      <c r="Q102" s="570" t="n"/>
      <c r="R102" s="567" t="n"/>
    </row>
    <row r="103" ht="15.75" customHeight="1" s="557">
      <c r="A103" s="719" t="n"/>
      <c r="B103" s="678" t="n"/>
      <c r="C103" s="679" t="n"/>
      <c r="D103" s="720" t="n"/>
      <c r="E103" s="723" t="n"/>
      <c r="F103" s="570" t="n"/>
      <c r="G103" s="570" t="n"/>
      <c r="H103" s="570" t="n"/>
      <c r="I103" s="570" t="n"/>
      <c r="J103" s="570" t="n"/>
      <c r="K103" s="570" t="n"/>
      <c r="L103" s="570" t="n"/>
      <c r="M103" s="570" t="n"/>
      <c r="N103" s="570" t="n"/>
      <c r="O103" s="570" t="n"/>
      <c r="P103" s="570" t="n"/>
      <c r="Q103" s="570" t="n"/>
      <c r="R103" s="567" t="n"/>
    </row>
    <row r="104" ht="15.75" customHeight="1" s="557">
      <c r="A104" s="719" t="n"/>
      <c r="B104" s="678" t="n"/>
      <c r="C104" s="679" t="n"/>
      <c r="D104" s="720" t="n"/>
      <c r="E104" s="724" t="n"/>
      <c r="F104" s="570" t="n"/>
      <c r="G104" s="570" t="n"/>
      <c r="H104" s="570" t="n"/>
      <c r="I104" s="570" t="n"/>
      <c r="J104" s="570" t="n"/>
      <c r="K104" s="570" t="n"/>
      <c r="L104" s="570" t="n"/>
      <c r="M104" s="570" t="n"/>
      <c r="N104" s="570" t="n"/>
      <c r="O104" s="570" t="n"/>
      <c r="P104" s="570" t="n"/>
      <c r="Q104" s="570" t="n"/>
      <c r="R104" s="567" t="n"/>
    </row>
    <row r="105" ht="15.75" customHeight="1" s="557">
      <c r="A105" s="719" t="n"/>
      <c r="B105" s="678" t="n"/>
      <c r="C105" s="679" t="n"/>
      <c r="D105" s="720" t="n"/>
      <c r="E105" s="722" t="n"/>
      <c r="F105" s="570" t="n"/>
      <c r="G105" s="570" t="n"/>
      <c r="H105" s="570" t="n"/>
      <c r="I105" s="570" t="n"/>
      <c r="J105" s="570" t="n"/>
      <c r="K105" s="570" t="n"/>
      <c r="L105" s="570" t="n"/>
      <c r="M105" s="570" t="n"/>
      <c r="N105" s="570" t="n"/>
      <c r="O105" s="570" t="n"/>
      <c r="P105" s="570" t="n"/>
      <c r="Q105" s="570" t="n"/>
      <c r="R105" s="567" t="n"/>
    </row>
    <row r="106" ht="15.75" customHeight="1" s="557">
      <c r="A106" s="719" t="n"/>
      <c r="B106" s="678" t="n"/>
      <c r="C106" s="679" t="n"/>
      <c r="D106" s="720" t="n"/>
      <c r="E106" s="725" t="n"/>
      <c r="F106" s="570" t="n"/>
      <c r="G106" s="570" t="n"/>
      <c r="H106" s="570" t="n"/>
      <c r="I106" s="570" t="n"/>
      <c r="J106" s="570" t="n"/>
      <c r="K106" s="570" t="n"/>
      <c r="L106" s="570" t="n"/>
      <c r="M106" s="570" t="n"/>
      <c r="N106" s="570" t="n"/>
      <c r="O106" s="570" t="n"/>
      <c r="P106" s="570" t="n"/>
      <c r="Q106" s="570" t="n"/>
      <c r="R106" s="567" t="n"/>
    </row>
    <row r="107" ht="15.75" customHeight="1" s="557">
      <c r="A107" s="719" t="n"/>
      <c r="B107" s="678" t="n"/>
      <c r="C107" s="679" t="n"/>
      <c r="D107" s="720" t="n"/>
      <c r="E107" s="722" t="n"/>
      <c r="F107" s="570" t="n"/>
      <c r="G107" s="570" t="n"/>
      <c r="H107" s="570" t="n"/>
      <c r="I107" s="570" t="n"/>
      <c r="J107" s="570" t="n"/>
      <c r="K107" s="570" t="n"/>
      <c r="L107" s="570" t="n"/>
      <c r="M107" s="570" t="n"/>
      <c r="N107" s="570" t="n"/>
      <c r="O107" s="570" t="n"/>
      <c r="P107" s="570" t="n"/>
      <c r="Q107" s="570" t="n"/>
      <c r="R107" s="567" t="n"/>
    </row>
    <row r="108" ht="15.75" customHeight="1" s="557">
      <c r="A108" s="719" t="n"/>
      <c r="B108" s="678" t="n"/>
      <c r="C108" s="679" t="n"/>
      <c r="D108" s="720" t="n"/>
      <c r="E108" s="722" t="n"/>
      <c r="F108" s="570" t="n"/>
      <c r="G108" s="570" t="n"/>
      <c r="H108" s="570" t="n"/>
      <c r="I108" s="570" t="n"/>
      <c r="J108" s="570" t="n"/>
      <c r="K108" s="570" t="n"/>
      <c r="L108" s="570" t="n"/>
      <c r="M108" s="570" t="n"/>
      <c r="N108" s="570" t="n"/>
      <c r="O108" s="570" t="n"/>
      <c r="P108" s="570" t="n"/>
      <c r="Q108" s="570" t="n"/>
      <c r="R108" s="567" t="n"/>
    </row>
    <row r="109" ht="15.75" customHeight="1" s="557">
      <c r="A109" s="719" t="n"/>
      <c r="B109" s="678" t="n"/>
      <c r="C109" s="679" t="n"/>
      <c r="D109" s="720" t="n"/>
      <c r="E109" s="723" t="n"/>
      <c r="F109" s="570" t="n"/>
      <c r="G109" s="570" t="n"/>
      <c r="H109" s="570" t="n"/>
      <c r="I109" s="570" t="n"/>
      <c r="J109" s="570" t="n"/>
      <c r="K109" s="570" t="n"/>
      <c r="L109" s="570" t="n"/>
      <c r="M109" s="570" t="n"/>
      <c r="N109" s="570" t="n"/>
      <c r="O109" s="570" t="n"/>
      <c r="P109" s="570" t="n"/>
      <c r="Q109" s="570" t="n"/>
      <c r="R109" s="567" t="n"/>
    </row>
    <row r="110" ht="15.75" customHeight="1" s="557">
      <c r="A110" s="719" t="n"/>
      <c r="B110" s="678" t="n"/>
      <c r="C110" s="679" t="n"/>
      <c r="D110" s="720" t="n"/>
      <c r="E110" s="727" t="n"/>
      <c r="F110" s="570" t="n"/>
      <c r="G110" s="570" t="n"/>
      <c r="H110" s="570" t="n"/>
      <c r="I110" s="570" t="n"/>
      <c r="J110" s="570" t="n"/>
      <c r="K110" s="570" t="n"/>
      <c r="L110" s="570" t="n"/>
      <c r="M110" s="570" t="n"/>
      <c r="N110" s="570" t="n"/>
      <c r="O110" s="570" t="n"/>
      <c r="P110" s="570" t="n"/>
      <c r="Q110" s="570" t="n"/>
      <c r="R110" s="567" t="n"/>
    </row>
    <row r="111" ht="15.75" customHeight="1" s="557">
      <c r="A111" s="719" t="n"/>
      <c r="B111" s="678" t="n"/>
      <c r="C111" s="679" t="n"/>
      <c r="D111" s="720" t="n"/>
      <c r="E111" s="722" t="n"/>
      <c r="F111" s="570" t="n"/>
      <c r="G111" s="570" t="n"/>
      <c r="H111" s="570" t="n"/>
      <c r="I111" s="570" t="n"/>
      <c r="J111" s="570" t="n"/>
      <c r="K111" s="570" t="n"/>
      <c r="L111" s="570" t="n"/>
      <c r="M111" s="570" t="n"/>
      <c r="N111" s="570" t="n"/>
      <c r="O111" s="570" t="n"/>
      <c r="P111" s="570" t="n"/>
      <c r="Q111" s="570" t="n"/>
      <c r="R111" s="567" t="n"/>
    </row>
    <row r="112" ht="15.75" customHeight="1" s="557">
      <c r="A112" s="719" t="n"/>
      <c r="B112" s="678" t="n"/>
      <c r="C112" s="679" t="n"/>
      <c r="D112" s="720" t="n"/>
      <c r="E112" s="722" t="n"/>
      <c r="F112" s="570" t="n"/>
      <c r="G112" s="570" t="n"/>
      <c r="H112" s="570" t="n"/>
      <c r="I112" s="570" t="n"/>
      <c r="J112" s="570" t="n"/>
      <c r="K112" s="570" t="n"/>
      <c r="L112" s="570" t="n"/>
      <c r="M112" s="570" t="n"/>
      <c r="N112" s="570" t="n"/>
      <c r="O112" s="570" t="n"/>
      <c r="P112" s="570" t="n"/>
      <c r="Q112" s="570" t="n"/>
      <c r="R112" s="567" t="n"/>
    </row>
    <row r="113" ht="15.75" customHeight="1" s="557">
      <c r="A113" s="719" t="n"/>
      <c r="B113" s="678" t="n"/>
      <c r="C113" s="679" t="n"/>
      <c r="D113" s="720" t="n"/>
      <c r="E113" s="722" t="n"/>
      <c r="F113" s="570" t="n"/>
      <c r="G113" s="570" t="n"/>
      <c r="H113" s="570" t="n"/>
      <c r="I113" s="570" t="n"/>
      <c r="J113" s="570" t="n"/>
      <c r="K113" s="570" t="n"/>
      <c r="L113" s="570" t="n"/>
      <c r="M113" s="570" t="n"/>
      <c r="N113" s="570" t="n"/>
      <c r="O113" s="570" t="n"/>
      <c r="P113" s="570" t="n"/>
      <c r="Q113" s="570" t="n"/>
      <c r="R113" s="567" t="n"/>
    </row>
    <row r="114" ht="15.75" customHeight="1" s="557">
      <c r="A114" s="719" t="n"/>
      <c r="B114" s="678" t="n"/>
      <c r="C114" s="679" t="n"/>
      <c r="D114" s="720" t="n"/>
      <c r="E114" s="728" t="n"/>
      <c r="F114" s="678" t="n"/>
      <c r="G114" s="678" t="n"/>
      <c r="H114" s="678" t="n"/>
      <c r="I114" s="678" t="n"/>
      <c r="J114" s="678" t="n"/>
      <c r="K114" s="678" t="n"/>
      <c r="L114" s="678" t="n"/>
      <c r="M114" s="678" t="n"/>
      <c r="N114" s="678" t="n"/>
      <c r="O114" s="678" t="n"/>
      <c r="P114" s="678" t="n"/>
      <c r="Q114" s="678" t="n"/>
      <c r="R114" s="679" t="n"/>
    </row>
    <row r="115" ht="15.75" customHeight="1" s="557">
      <c r="A115" s="719" t="n"/>
      <c r="B115" s="678" t="n"/>
      <c r="C115" s="679" t="n"/>
      <c r="D115" s="720" t="n"/>
      <c r="E115" s="728" t="n"/>
      <c r="F115" s="678" t="n"/>
      <c r="G115" s="678" t="n"/>
      <c r="H115" s="678" t="n"/>
      <c r="I115" s="678" t="n"/>
      <c r="J115" s="678" t="n"/>
      <c r="K115" s="678" t="n"/>
      <c r="L115" s="678" t="n"/>
      <c r="M115" s="678" t="n"/>
      <c r="N115" s="678" t="n"/>
      <c r="O115" s="678" t="n"/>
      <c r="P115" s="678" t="n"/>
      <c r="Q115" s="678" t="n"/>
      <c r="R115" s="679" t="n"/>
    </row>
    <row r="116" ht="15.75" customHeight="1" s="557">
      <c r="A116" s="719" t="n"/>
      <c r="B116" s="678" t="n"/>
      <c r="C116" s="679" t="n"/>
      <c r="D116" s="729" t="n"/>
      <c r="E116" s="728" t="n"/>
      <c r="F116" s="678" t="n"/>
      <c r="G116" s="678" t="n"/>
      <c r="H116" s="678" t="n"/>
      <c r="I116" s="678" t="n"/>
      <c r="J116" s="678" t="n"/>
      <c r="K116" s="678" t="n"/>
      <c r="L116" s="678" t="n"/>
      <c r="M116" s="678" t="n"/>
      <c r="N116" s="678" t="n"/>
      <c r="O116" s="678" t="n"/>
      <c r="P116" s="678" t="n"/>
      <c r="Q116" s="678" t="n"/>
      <c r="R116" s="679" t="n"/>
    </row>
    <row r="117" ht="15.75" customHeight="1" s="557">
      <c r="A117" s="719" t="n"/>
      <c r="B117" s="678" t="n"/>
      <c r="C117" s="679" t="n"/>
      <c r="D117" s="729" t="n"/>
      <c r="E117" s="728" t="n"/>
      <c r="F117" s="678" t="n"/>
      <c r="G117" s="678" t="n"/>
      <c r="H117" s="678" t="n"/>
      <c r="I117" s="678" t="n"/>
      <c r="J117" s="678" t="n"/>
      <c r="K117" s="678" t="n"/>
      <c r="L117" s="678" t="n"/>
      <c r="M117" s="678" t="n"/>
      <c r="N117" s="678" t="n"/>
      <c r="O117" s="678" t="n"/>
      <c r="P117" s="678" t="n"/>
      <c r="Q117" s="678" t="n"/>
      <c r="R117" s="679" t="n"/>
    </row>
    <row r="118" ht="15.75" customHeight="1" s="557">
      <c r="A118" s="719" t="n"/>
      <c r="B118" s="678" t="n"/>
      <c r="C118" s="679" t="n"/>
      <c r="D118" s="720" t="n"/>
      <c r="E118" s="733" t="n"/>
      <c r="F118" s="678" t="n"/>
      <c r="G118" s="678" t="n"/>
      <c r="H118" s="678" t="n"/>
      <c r="I118" s="678" t="n"/>
      <c r="J118" s="678" t="n"/>
      <c r="K118" s="678" t="n"/>
      <c r="L118" s="678" t="n"/>
      <c r="M118" s="678" t="n"/>
      <c r="N118" s="678" t="n"/>
      <c r="O118" s="678" t="n"/>
      <c r="P118" s="678" t="n"/>
      <c r="Q118" s="678" t="n"/>
      <c r="R118" s="679" t="n"/>
    </row>
    <row r="119" ht="15.75" customHeight="1" s="557">
      <c r="A119" s="719" t="n"/>
      <c r="B119" s="678" t="n"/>
      <c r="C119" s="679" t="n"/>
      <c r="D119" s="720" t="n"/>
      <c r="E119" s="733" t="n"/>
      <c r="F119" s="678" t="n"/>
      <c r="G119" s="678" t="n"/>
      <c r="H119" s="678" t="n"/>
      <c r="I119" s="678" t="n"/>
      <c r="J119" s="678" t="n"/>
      <c r="K119" s="678" t="n"/>
      <c r="L119" s="678" t="n"/>
      <c r="M119" s="678" t="n"/>
      <c r="N119" s="678" t="n"/>
      <c r="O119" s="678" t="n"/>
      <c r="P119" s="678" t="n"/>
      <c r="Q119" s="678" t="n"/>
      <c r="R119" s="679" t="n"/>
    </row>
    <row r="120" ht="15.75" customHeight="1" s="557">
      <c r="A120" s="719" t="n"/>
      <c r="B120" s="678" t="n"/>
      <c r="C120" s="679" t="n"/>
      <c r="D120" s="720" t="n"/>
      <c r="E120" s="733" t="n"/>
      <c r="F120" s="678" t="n"/>
      <c r="G120" s="678" t="n"/>
      <c r="H120" s="678" t="n"/>
      <c r="I120" s="678" t="n"/>
      <c r="J120" s="678" t="n"/>
      <c r="K120" s="678" t="n"/>
      <c r="L120" s="678" t="n"/>
      <c r="M120" s="678" t="n"/>
      <c r="N120" s="678" t="n"/>
      <c r="O120" s="678" t="n"/>
      <c r="P120" s="678" t="n"/>
      <c r="Q120" s="678" t="n"/>
      <c r="R120" s="679" t="n"/>
    </row>
    <row r="121" ht="15.75" customHeight="1" s="557">
      <c r="A121" s="719" t="n"/>
      <c r="B121" s="678" t="n"/>
      <c r="C121" s="679" t="n"/>
      <c r="D121" s="720" t="n"/>
      <c r="E121" s="733" t="n"/>
      <c r="F121" s="678" t="n"/>
      <c r="G121" s="678" t="n"/>
      <c r="H121" s="678" t="n"/>
      <c r="I121" s="678" t="n"/>
      <c r="J121" s="678" t="n"/>
      <c r="K121" s="678" t="n"/>
      <c r="L121" s="678" t="n"/>
      <c r="M121" s="678" t="n"/>
      <c r="N121" s="678" t="n"/>
      <c r="O121" s="678" t="n"/>
      <c r="P121" s="678" t="n"/>
      <c r="Q121" s="678" t="n"/>
      <c r="R121" s="679" t="n"/>
    </row>
    <row r="122" ht="15.75" customHeight="1" s="557">
      <c r="A122" s="719" t="n"/>
      <c r="B122" s="678" t="n"/>
      <c r="C122" s="679" t="n"/>
      <c r="D122" s="720" t="n"/>
      <c r="E122" s="727" t="n"/>
      <c r="F122" s="570" t="n"/>
      <c r="G122" s="570" t="n"/>
      <c r="H122" s="570" t="n"/>
      <c r="I122" s="570" t="n"/>
      <c r="J122" s="570" t="n"/>
      <c r="K122" s="570" t="n"/>
      <c r="L122" s="570" t="n"/>
      <c r="M122" s="570" t="n"/>
      <c r="N122" s="570" t="n"/>
      <c r="O122" s="570" t="n"/>
      <c r="P122" s="570" t="n"/>
      <c r="Q122" s="570" t="n"/>
      <c r="R122" s="567" t="n"/>
    </row>
    <row r="123" ht="15.75" customHeight="1" s="557">
      <c r="A123" s="719" t="n"/>
      <c r="B123" s="678" t="n"/>
      <c r="C123" s="679" t="n"/>
      <c r="D123" s="720" t="n"/>
      <c r="E123" s="723" t="n"/>
      <c r="F123" s="570" t="n"/>
      <c r="G123" s="570" t="n"/>
      <c r="H123" s="570" t="n"/>
      <c r="I123" s="570" t="n"/>
      <c r="J123" s="570" t="n"/>
      <c r="K123" s="570" t="n"/>
      <c r="L123" s="570" t="n"/>
      <c r="M123" s="570" t="n"/>
      <c r="N123" s="570" t="n"/>
      <c r="O123" s="570" t="n"/>
      <c r="P123" s="570" t="n"/>
      <c r="Q123" s="570" t="n"/>
      <c r="R123" s="567" t="n"/>
    </row>
    <row r="124" ht="15.75" customHeight="1" s="557">
      <c r="A124" s="719" t="n"/>
      <c r="B124" s="678" t="n"/>
      <c r="C124" s="679" t="n"/>
      <c r="D124" s="734" t="n"/>
      <c r="E124" s="727" t="n"/>
      <c r="F124" s="570" t="n"/>
      <c r="G124" s="570" t="n"/>
      <c r="H124" s="570" t="n"/>
      <c r="I124" s="570" t="n"/>
      <c r="J124" s="570" t="n"/>
      <c r="K124" s="570" t="n"/>
      <c r="L124" s="570" t="n"/>
      <c r="M124" s="570" t="n"/>
      <c r="N124" s="570" t="n"/>
      <c r="O124" s="570" t="n"/>
      <c r="P124" s="570" t="n"/>
      <c r="Q124" s="570" t="n"/>
      <c r="R124" s="567" t="n"/>
    </row>
    <row r="125" ht="15.75" customHeight="1" s="557">
      <c r="A125" s="719" t="n"/>
      <c r="B125" s="678" t="n"/>
      <c r="C125" s="679" t="n"/>
      <c r="D125" s="720" t="n"/>
      <c r="E125" s="727" t="n"/>
      <c r="F125" s="570" t="n"/>
      <c r="G125" s="570" t="n"/>
      <c r="H125" s="570" t="n"/>
      <c r="I125" s="570" t="n"/>
      <c r="J125" s="570" t="n"/>
      <c r="K125" s="570" t="n"/>
      <c r="L125" s="570" t="n"/>
      <c r="M125" s="570" t="n"/>
      <c r="N125" s="570" t="n"/>
      <c r="O125" s="570" t="n"/>
      <c r="P125" s="570" t="n"/>
      <c r="Q125" s="570" t="n"/>
      <c r="R125" s="567" t="n"/>
    </row>
    <row r="126" ht="15.75" customHeight="1" s="557">
      <c r="A126" s="719" t="n"/>
      <c r="B126" s="678" t="n"/>
      <c r="C126" s="679" t="n"/>
      <c r="D126" s="720" t="n"/>
      <c r="E126" s="727" t="n"/>
      <c r="F126" s="570" t="n"/>
      <c r="G126" s="570" t="n"/>
      <c r="H126" s="570" t="n"/>
      <c r="I126" s="570" t="n"/>
      <c r="J126" s="570" t="n"/>
      <c r="K126" s="570" t="n"/>
      <c r="L126" s="570" t="n"/>
      <c r="M126" s="570" t="n"/>
      <c r="N126" s="570" t="n"/>
      <c r="O126" s="570" t="n"/>
      <c r="P126" s="570" t="n"/>
      <c r="Q126" s="570" t="n"/>
      <c r="R126" s="567" t="n"/>
    </row>
    <row r="127" ht="15.75" customHeight="1" s="557">
      <c r="A127" s="719" t="n"/>
      <c r="B127" s="678" t="n"/>
      <c r="C127" s="679" t="n"/>
      <c r="D127" s="720" t="n"/>
      <c r="E127" s="727" t="n"/>
      <c r="F127" s="570" t="n"/>
      <c r="G127" s="570" t="n"/>
      <c r="H127" s="570" t="n"/>
      <c r="I127" s="570" t="n"/>
      <c r="J127" s="570" t="n"/>
      <c r="K127" s="570" t="n"/>
      <c r="L127" s="570" t="n"/>
      <c r="M127" s="570" t="n"/>
      <c r="N127" s="570" t="n"/>
      <c r="O127" s="570" t="n"/>
      <c r="P127" s="570" t="n"/>
      <c r="Q127" s="570" t="n"/>
      <c r="R127" s="567" t="n"/>
    </row>
    <row r="128" ht="15.75" customHeight="1" s="557">
      <c r="A128" s="719" t="n"/>
      <c r="B128" s="678" t="n"/>
      <c r="C128" s="679" t="n"/>
      <c r="D128" s="720" t="n"/>
      <c r="E128" s="727" t="n"/>
      <c r="F128" s="570" t="n"/>
      <c r="G128" s="570" t="n"/>
      <c r="H128" s="570" t="n"/>
      <c r="I128" s="570" t="n"/>
      <c r="J128" s="570" t="n"/>
      <c r="K128" s="570" t="n"/>
      <c r="L128" s="570" t="n"/>
      <c r="M128" s="570" t="n"/>
      <c r="N128" s="570" t="n"/>
      <c r="O128" s="570" t="n"/>
      <c r="P128" s="570" t="n"/>
      <c r="Q128" s="570" t="n"/>
      <c r="R128" s="567" t="n"/>
    </row>
    <row r="129" ht="15.75" customHeight="1" s="557">
      <c r="A129" s="719" t="n"/>
      <c r="B129" s="678" t="n"/>
      <c r="C129" s="679" t="n"/>
      <c r="D129" s="720" t="n"/>
      <c r="E129" s="721" t="n"/>
      <c r="F129" s="570" t="n"/>
      <c r="G129" s="570" t="n"/>
      <c r="H129" s="570" t="n"/>
      <c r="I129" s="570" t="n"/>
      <c r="J129" s="570" t="n"/>
      <c r="K129" s="570" t="n"/>
      <c r="L129" s="570" t="n"/>
      <c r="M129" s="570" t="n"/>
      <c r="N129" s="570" t="n"/>
      <c r="O129" s="570" t="n"/>
      <c r="P129" s="570" t="n"/>
      <c r="Q129" s="570" t="n"/>
      <c r="R129" s="567" t="n"/>
    </row>
    <row r="130" ht="15.75" customHeight="1" s="557">
      <c r="A130" s="719" t="n"/>
      <c r="B130" s="678" t="n"/>
      <c r="C130" s="679" t="n"/>
      <c r="D130" s="720" t="n"/>
      <c r="E130" s="722" t="n"/>
      <c r="F130" s="570" t="n"/>
      <c r="G130" s="570" t="n"/>
      <c r="H130" s="570" t="n"/>
      <c r="I130" s="570" t="n"/>
      <c r="J130" s="570" t="n"/>
      <c r="K130" s="570" t="n"/>
      <c r="L130" s="570" t="n"/>
      <c r="M130" s="570" t="n"/>
      <c r="N130" s="570" t="n"/>
      <c r="O130" s="570" t="n"/>
      <c r="P130" s="570" t="n"/>
      <c r="Q130" s="570" t="n"/>
      <c r="R130" s="567" t="n"/>
    </row>
    <row r="131" ht="15.75" customHeight="1" s="557">
      <c r="A131" s="719" t="n"/>
      <c r="B131" s="678" t="n"/>
      <c r="C131" s="679" t="n"/>
      <c r="D131" s="720" t="n"/>
      <c r="E131" s="723" t="n"/>
      <c r="F131" s="570" t="n"/>
      <c r="G131" s="570" t="n"/>
      <c r="H131" s="570" t="n"/>
      <c r="I131" s="570" t="n"/>
      <c r="J131" s="570" t="n"/>
      <c r="K131" s="570" t="n"/>
      <c r="L131" s="570" t="n"/>
      <c r="M131" s="570" t="n"/>
      <c r="N131" s="570" t="n"/>
      <c r="O131" s="570" t="n"/>
      <c r="P131" s="570" t="n"/>
      <c r="Q131" s="570" t="n"/>
      <c r="R131" s="567" t="n"/>
    </row>
    <row r="132" ht="15.75" customHeight="1" s="557">
      <c r="A132" s="719" t="n"/>
      <c r="B132" s="678" t="n"/>
      <c r="C132" s="679" t="n"/>
      <c r="D132" s="720" t="n"/>
      <c r="E132" s="723" t="n"/>
      <c r="F132" s="570" t="n"/>
      <c r="G132" s="570" t="n"/>
      <c r="H132" s="570" t="n"/>
      <c r="I132" s="570" t="n"/>
      <c r="J132" s="570" t="n"/>
      <c r="K132" s="570" t="n"/>
      <c r="L132" s="570" t="n"/>
      <c r="M132" s="570" t="n"/>
      <c r="N132" s="570" t="n"/>
      <c r="O132" s="570" t="n"/>
      <c r="P132" s="570" t="n"/>
      <c r="Q132" s="570" t="n"/>
      <c r="R132" s="567" t="n"/>
    </row>
    <row r="133" ht="15.75" customHeight="1" s="557">
      <c r="A133" s="719" t="n"/>
      <c r="B133" s="678" t="n"/>
      <c r="C133" s="679" t="n"/>
      <c r="D133" s="720" t="n"/>
      <c r="E133" s="722" t="n"/>
      <c r="F133" s="570" t="n"/>
      <c r="G133" s="570" t="n"/>
      <c r="H133" s="570" t="n"/>
      <c r="I133" s="570" t="n"/>
      <c r="J133" s="570" t="n"/>
      <c r="K133" s="570" t="n"/>
      <c r="L133" s="570" t="n"/>
      <c r="M133" s="570" t="n"/>
      <c r="N133" s="570" t="n"/>
      <c r="O133" s="570" t="n"/>
      <c r="P133" s="570" t="n"/>
      <c r="Q133" s="570" t="n"/>
      <c r="R133" s="567" t="n"/>
    </row>
    <row r="134" ht="15.75" customHeight="1" s="557">
      <c r="A134" s="719" t="n"/>
      <c r="B134" s="678" t="n"/>
      <c r="C134" s="679" t="n"/>
      <c r="D134" s="720" t="n"/>
      <c r="E134" s="724" t="n"/>
      <c r="F134" s="570" t="n"/>
      <c r="G134" s="570" t="n"/>
      <c r="H134" s="570" t="n"/>
      <c r="I134" s="570" t="n"/>
      <c r="J134" s="570" t="n"/>
      <c r="K134" s="570" t="n"/>
      <c r="L134" s="570" t="n"/>
      <c r="M134" s="570" t="n"/>
      <c r="N134" s="570" t="n"/>
      <c r="O134" s="570" t="n"/>
      <c r="P134" s="570" t="n"/>
      <c r="Q134" s="570" t="n"/>
      <c r="R134" s="567" t="n"/>
    </row>
    <row r="135" ht="15.75" customHeight="1" s="557">
      <c r="A135" s="719" t="n"/>
      <c r="B135" s="678" t="n"/>
      <c r="C135" s="679" t="n"/>
      <c r="D135" s="720" t="n"/>
      <c r="E135" s="722" t="n"/>
      <c r="F135" s="570" t="n"/>
      <c r="G135" s="570" t="n"/>
      <c r="H135" s="570" t="n"/>
      <c r="I135" s="570" t="n"/>
      <c r="J135" s="570" t="n"/>
      <c r="K135" s="570" t="n"/>
      <c r="L135" s="570" t="n"/>
      <c r="M135" s="570" t="n"/>
      <c r="N135" s="570" t="n"/>
      <c r="O135" s="570" t="n"/>
      <c r="P135" s="570" t="n"/>
      <c r="Q135" s="570" t="n"/>
      <c r="R135" s="567" t="n"/>
    </row>
    <row r="136" ht="15.75" customHeight="1" s="557">
      <c r="A136" s="719" t="n"/>
      <c r="B136" s="678" t="n"/>
      <c r="C136" s="679" t="n"/>
      <c r="D136" s="720" t="n"/>
      <c r="E136" s="724" t="n"/>
      <c r="F136" s="570" t="n"/>
      <c r="G136" s="570" t="n"/>
      <c r="H136" s="570" t="n"/>
      <c r="I136" s="570" t="n"/>
      <c r="J136" s="570" t="n"/>
      <c r="K136" s="570" t="n"/>
      <c r="L136" s="570" t="n"/>
      <c r="M136" s="570" t="n"/>
      <c r="N136" s="570" t="n"/>
      <c r="O136" s="570" t="n"/>
      <c r="P136" s="570" t="n"/>
      <c r="Q136" s="570" t="n"/>
      <c r="R136" s="567" t="n"/>
    </row>
    <row r="137" ht="15.75" customHeight="1" s="557">
      <c r="A137" s="719" t="n"/>
      <c r="B137" s="678" t="n"/>
      <c r="C137" s="679" t="n"/>
      <c r="D137" s="720" t="n"/>
      <c r="E137" s="722" t="n"/>
      <c r="F137" s="570" t="n"/>
      <c r="G137" s="570" t="n"/>
      <c r="H137" s="570" t="n"/>
      <c r="I137" s="570" t="n"/>
      <c r="J137" s="570" t="n"/>
      <c r="K137" s="570" t="n"/>
      <c r="L137" s="570" t="n"/>
      <c r="M137" s="570" t="n"/>
      <c r="N137" s="570" t="n"/>
      <c r="O137" s="570" t="n"/>
      <c r="P137" s="570" t="n"/>
      <c r="Q137" s="570" t="n"/>
      <c r="R137" s="567" t="n"/>
    </row>
    <row r="138" ht="15.75" customHeight="1" s="557">
      <c r="A138" s="719" t="n"/>
      <c r="B138" s="678" t="n"/>
      <c r="C138" s="679" t="n"/>
      <c r="D138" s="720" t="n"/>
      <c r="E138" s="725" t="n"/>
      <c r="F138" s="570" t="n"/>
      <c r="G138" s="570" t="n"/>
      <c r="H138" s="570" t="n"/>
      <c r="I138" s="570" t="n"/>
      <c r="J138" s="570" t="n"/>
      <c r="K138" s="570" t="n"/>
      <c r="L138" s="570" t="n"/>
      <c r="M138" s="570" t="n"/>
      <c r="N138" s="570" t="n"/>
      <c r="O138" s="570" t="n"/>
      <c r="P138" s="570" t="n"/>
      <c r="Q138" s="570" t="n"/>
      <c r="R138" s="567" t="n"/>
    </row>
    <row r="139" ht="15.75" customHeight="1" s="557">
      <c r="A139" s="719" t="n"/>
      <c r="B139" s="678" t="n"/>
      <c r="C139" s="679" t="n"/>
      <c r="D139" s="720" t="n"/>
      <c r="E139" s="726" t="n"/>
      <c r="F139" s="570" t="n"/>
      <c r="G139" s="570" t="n"/>
      <c r="H139" s="570" t="n"/>
      <c r="I139" s="570" t="n"/>
      <c r="J139" s="570" t="n"/>
      <c r="K139" s="570" t="n"/>
      <c r="L139" s="570" t="n"/>
      <c r="M139" s="570" t="n"/>
      <c r="N139" s="570" t="n"/>
      <c r="O139" s="570" t="n"/>
      <c r="P139" s="570" t="n"/>
      <c r="Q139" s="570" t="n"/>
      <c r="R139" s="567" t="n"/>
    </row>
    <row r="140" ht="15.75" customHeight="1" s="557">
      <c r="A140" s="719" t="n"/>
      <c r="B140" s="678" t="n"/>
      <c r="C140" s="679" t="n"/>
      <c r="D140" s="720" t="n"/>
      <c r="E140" s="723" t="n"/>
      <c r="F140" s="570" t="n"/>
      <c r="G140" s="570" t="n"/>
      <c r="H140" s="570" t="n"/>
      <c r="I140" s="570" t="n"/>
      <c r="J140" s="570" t="n"/>
      <c r="K140" s="570" t="n"/>
      <c r="L140" s="570" t="n"/>
      <c r="M140" s="570" t="n"/>
      <c r="N140" s="570" t="n"/>
      <c r="O140" s="570" t="n"/>
      <c r="P140" s="570" t="n"/>
      <c r="Q140" s="570" t="n"/>
      <c r="R140" s="567" t="n"/>
    </row>
    <row r="141" ht="15.75" customHeight="1" s="557">
      <c r="A141" s="719" t="n"/>
      <c r="B141" s="678" t="n"/>
      <c r="C141" s="679" t="n"/>
      <c r="D141" s="720" t="n"/>
      <c r="E141" s="724" t="n"/>
      <c r="F141" s="570" t="n"/>
      <c r="G141" s="570" t="n"/>
      <c r="H141" s="570" t="n"/>
      <c r="I141" s="570" t="n"/>
      <c r="J141" s="570" t="n"/>
      <c r="K141" s="570" t="n"/>
      <c r="L141" s="570" t="n"/>
      <c r="M141" s="570" t="n"/>
      <c r="N141" s="570" t="n"/>
      <c r="O141" s="570" t="n"/>
      <c r="P141" s="570" t="n"/>
      <c r="Q141" s="570" t="n"/>
      <c r="R141" s="567" t="n"/>
    </row>
    <row r="142" ht="15.75" customHeight="1" s="557">
      <c r="A142" s="719" t="n"/>
      <c r="B142" s="678" t="n"/>
      <c r="C142" s="679" t="n"/>
      <c r="D142" s="720" t="n"/>
      <c r="E142" s="722" t="n"/>
      <c r="F142" s="570" t="n"/>
      <c r="G142" s="570" t="n"/>
      <c r="H142" s="570" t="n"/>
      <c r="I142" s="570" t="n"/>
      <c r="J142" s="570" t="n"/>
      <c r="K142" s="570" t="n"/>
      <c r="L142" s="570" t="n"/>
      <c r="M142" s="570" t="n"/>
      <c r="N142" s="570" t="n"/>
      <c r="O142" s="570" t="n"/>
      <c r="P142" s="570" t="n"/>
      <c r="Q142" s="570" t="n"/>
      <c r="R142" s="567" t="n"/>
    </row>
    <row r="143" ht="15.75" customHeight="1" s="557">
      <c r="A143" s="719" t="n"/>
      <c r="B143" s="678" t="n"/>
      <c r="C143" s="679" t="n"/>
      <c r="D143" s="720" t="n"/>
      <c r="E143" s="725" t="n"/>
      <c r="F143" s="570" t="n"/>
      <c r="G143" s="570" t="n"/>
      <c r="H143" s="570" t="n"/>
      <c r="I143" s="570" t="n"/>
      <c r="J143" s="570" t="n"/>
      <c r="K143" s="570" t="n"/>
      <c r="L143" s="570" t="n"/>
      <c r="M143" s="570" t="n"/>
      <c r="N143" s="570" t="n"/>
      <c r="O143" s="570" t="n"/>
      <c r="P143" s="570" t="n"/>
      <c r="Q143" s="570" t="n"/>
      <c r="R143" s="567" t="n"/>
    </row>
    <row r="144" ht="15.75" customHeight="1" s="557">
      <c r="A144" s="719" t="n"/>
      <c r="B144" s="678" t="n"/>
      <c r="C144" s="679" t="n"/>
      <c r="D144" s="720" t="n"/>
      <c r="E144" s="722" t="n"/>
      <c r="F144" s="570" t="n"/>
      <c r="G144" s="570" t="n"/>
      <c r="H144" s="570" t="n"/>
      <c r="I144" s="570" t="n"/>
      <c r="J144" s="570" t="n"/>
      <c r="K144" s="570" t="n"/>
      <c r="L144" s="570" t="n"/>
      <c r="M144" s="570" t="n"/>
      <c r="N144" s="570" t="n"/>
      <c r="O144" s="570" t="n"/>
      <c r="P144" s="570" t="n"/>
      <c r="Q144" s="570" t="n"/>
      <c r="R144" s="567" t="n"/>
    </row>
    <row r="145" ht="15.75" customHeight="1" s="557">
      <c r="A145" s="719" t="n"/>
      <c r="B145" s="678" t="n"/>
      <c r="C145" s="679" t="n"/>
      <c r="D145" s="720" t="n"/>
      <c r="E145" s="722" t="n"/>
      <c r="F145" s="570" t="n"/>
      <c r="G145" s="570" t="n"/>
      <c r="H145" s="570" t="n"/>
      <c r="I145" s="570" t="n"/>
      <c r="J145" s="570" t="n"/>
      <c r="K145" s="570" t="n"/>
      <c r="L145" s="570" t="n"/>
      <c r="M145" s="570" t="n"/>
      <c r="N145" s="570" t="n"/>
      <c r="O145" s="570" t="n"/>
      <c r="P145" s="570" t="n"/>
      <c r="Q145" s="570" t="n"/>
      <c r="R145" s="567" t="n"/>
    </row>
    <row r="146" ht="15.75" customHeight="1" s="557">
      <c r="A146" s="719" t="n"/>
      <c r="B146" s="678" t="n"/>
      <c r="C146" s="679" t="n"/>
      <c r="D146" s="720" t="n"/>
      <c r="E146" s="723" t="n"/>
      <c r="F146" s="570" t="n"/>
      <c r="G146" s="570" t="n"/>
      <c r="H146" s="570" t="n"/>
      <c r="I146" s="570" t="n"/>
      <c r="J146" s="570" t="n"/>
      <c r="K146" s="570" t="n"/>
      <c r="L146" s="570" t="n"/>
      <c r="M146" s="570" t="n"/>
      <c r="N146" s="570" t="n"/>
      <c r="O146" s="570" t="n"/>
      <c r="P146" s="570" t="n"/>
      <c r="Q146" s="570" t="n"/>
      <c r="R146" s="567" t="n"/>
    </row>
    <row r="147" ht="15.75" customHeight="1" s="557">
      <c r="A147" s="719" t="n"/>
      <c r="B147" s="678" t="n"/>
      <c r="C147" s="679" t="n"/>
      <c r="D147" s="720" t="n"/>
      <c r="E147" s="727" t="n"/>
      <c r="F147" s="570" t="n"/>
      <c r="G147" s="570" t="n"/>
      <c r="H147" s="570" t="n"/>
      <c r="I147" s="570" t="n"/>
      <c r="J147" s="570" t="n"/>
      <c r="K147" s="570" t="n"/>
      <c r="L147" s="570" t="n"/>
      <c r="M147" s="570" t="n"/>
      <c r="N147" s="570" t="n"/>
      <c r="O147" s="570" t="n"/>
      <c r="P147" s="570" t="n"/>
      <c r="Q147" s="570" t="n"/>
      <c r="R147" s="567" t="n"/>
    </row>
    <row r="148" ht="15.75" customHeight="1" s="557">
      <c r="A148" s="719" t="n"/>
      <c r="B148" s="678" t="n"/>
      <c r="C148" s="679" t="n"/>
      <c r="D148" s="720" t="n"/>
      <c r="E148" s="722" t="n"/>
      <c r="F148" s="570" t="n"/>
      <c r="G148" s="570" t="n"/>
      <c r="H148" s="570" t="n"/>
      <c r="I148" s="570" t="n"/>
      <c r="J148" s="570" t="n"/>
      <c r="K148" s="570" t="n"/>
      <c r="L148" s="570" t="n"/>
      <c r="M148" s="570" t="n"/>
      <c r="N148" s="570" t="n"/>
      <c r="O148" s="570" t="n"/>
      <c r="P148" s="570" t="n"/>
      <c r="Q148" s="570" t="n"/>
      <c r="R148" s="567" t="n"/>
    </row>
    <row r="149" ht="15.75" customHeight="1" s="557">
      <c r="A149" s="719" t="n"/>
      <c r="B149" s="678" t="n"/>
      <c r="C149" s="679" t="n"/>
      <c r="D149" s="720" t="n"/>
      <c r="E149" s="722" t="n"/>
      <c r="F149" s="570" t="n"/>
      <c r="G149" s="570" t="n"/>
      <c r="H149" s="570" t="n"/>
      <c r="I149" s="570" t="n"/>
      <c r="J149" s="570" t="n"/>
      <c r="K149" s="570" t="n"/>
      <c r="L149" s="570" t="n"/>
      <c r="M149" s="570" t="n"/>
      <c r="N149" s="570" t="n"/>
      <c r="O149" s="570" t="n"/>
      <c r="P149" s="570" t="n"/>
      <c r="Q149" s="570" t="n"/>
      <c r="R149" s="567" t="n"/>
    </row>
    <row r="150" ht="15.75" customHeight="1" s="557">
      <c r="A150" s="719" t="n"/>
      <c r="B150" s="678" t="n"/>
      <c r="C150" s="679" t="n"/>
      <c r="D150" s="720" t="n"/>
      <c r="E150" s="722" t="n"/>
      <c r="F150" s="570" t="n"/>
      <c r="G150" s="570" t="n"/>
      <c r="H150" s="570" t="n"/>
      <c r="I150" s="570" t="n"/>
      <c r="J150" s="570" t="n"/>
      <c r="K150" s="570" t="n"/>
      <c r="L150" s="570" t="n"/>
      <c r="M150" s="570" t="n"/>
      <c r="N150" s="570" t="n"/>
      <c r="O150" s="570" t="n"/>
      <c r="P150" s="570" t="n"/>
      <c r="Q150" s="570" t="n"/>
      <c r="R150" s="567" t="n"/>
    </row>
    <row r="151" ht="15.75" customHeight="1" s="557">
      <c r="A151" s="719" t="n"/>
      <c r="B151" s="678" t="n"/>
      <c r="C151" s="679" t="n"/>
      <c r="D151" s="720" t="n"/>
      <c r="E151" s="728" t="n"/>
      <c r="F151" s="678" t="n"/>
      <c r="G151" s="678" t="n"/>
      <c r="H151" s="678" t="n"/>
      <c r="I151" s="678" t="n"/>
      <c r="J151" s="678" t="n"/>
      <c r="K151" s="678" t="n"/>
      <c r="L151" s="678" t="n"/>
      <c r="M151" s="678" t="n"/>
      <c r="N151" s="678" t="n"/>
      <c r="O151" s="678" t="n"/>
      <c r="P151" s="678" t="n"/>
      <c r="Q151" s="678" t="n"/>
      <c r="R151" s="679" t="n"/>
    </row>
    <row r="152" ht="15.75" customHeight="1" s="557">
      <c r="A152" s="719" t="n"/>
      <c r="B152" s="678" t="n"/>
      <c r="C152" s="679" t="n"/>
      <c r="D152" s="720" t="n"/>
      <c r="E152" s="728" t="n"/>
      <c r="F152" s="678" t="n"/>
      <c r="G152" s="678" t="n"/>
      <c r="H152" s="678" t="n"/>
      <c r="I152" s="678" t="n"/>
      <c r="J152" s="678" t="n"/>
      <c r="K152" s="678" t="n"/>
      <c r="L152" s="678" t="n"/>
      <c r="M152" s="678" t="n"/>
      <c r="N152" s="678" t="n"/>
      <c r="O152" s="678" t="n"/>
      <c r="P152" s="678" t="n"/>
      <c r="Q152" s="678" t="n"/>
      <c r="R152" s="679" t="n"/>
    </row>
    <row r="153" ht="15.75" customHeight="1" s="557">
      <c r="A153" s="719" t="n"/>
      <c r="B153" s="678" t="n"/>
      <c r="C153" s="679" t="n"/>
      <c r="D153" s="729" t="n"/>
      <c r="E153" s="728" t="n"/>
      <c r="F153" s="678" t="n"/>
      <c r="G153" s="678" t="n"/>
      <c r="H153" s="678" t="n"/>
      <c r="I153" s="678" t="n"/>
      <c r="J153" s="678" t="n"/>
      <c r="K153" s="678" t="n"/>
      <c r="L153" s="678" t="n"/>
      <c r="M153" s="678" t="n"/>
      <c r="N153" s="678" t="n"/>
      <c r="O153" s="678" t="n"/>
      <c r="P153" s="678" t="n"/>
      <c r="Q153" s="678" t="n"/>
      <c r="R153" s="679" t="n"/>
    </row>
    <row r="154" ht="15.75" customHeight="1" s="557">
      <c r="A154" s="719" t="n"/>
      <c r="B154" s="678" t="n"/>
      <c r="C154" s="679" t="n"/>
      <c r="D154" s="729" t="n"/>
      <c r="E154" s="728" t="n"/>
      <c r="F154" s="678" t="n"/>
      <c r="G154" s="678" t="n"/>
      <c r="H154" s="678" t="n"/>
      <c r="I154" s="678" t="n"/>
      <c r="J154" s="678" t="n"/>
      <c r="K154" s="678" t="n"/>
      <c r="L154" s="678" t="n"/>
      <c r="M154" s="678" t="n"/>
      <c r="N154" s="678" t="n"/>
      <c r="O154" s="678" t="n"/>
      <c r="P154" s="678" t="n"/>
      <c r="Q154" s="678" t="n"/>
      <c r="R154" s="679" t="n"/>
    </row>
    <row r="155" ht="15.75" customHeight="1" s="557">
      <c r="A155" s="684" t="n"/>
      <c r="B155" s="570" t="n"/>
      <c r="C155" s="567" t="n"/>
      <c r="D155" s="689" t="n"/>
      <c r="E155" s="686" t="n"/>
      <c r="F155" s="570" t="n"/>
      <c r="G155" s="570" t="n"/>
      <c r="H155" s="570" t="n"/>
      <c r="I155" s="570" t="n"/>
      <c r="J155" s="570" t="n"/>
      <c r="K155" s="570" t="n"/>
      <c r="L155" s="570" t="n"/>
      <c r="M155" s="570" t="n"/>
      <c r="N155" s="570" t="n"/>
      <c r="O155" s="567" t="n"/>
      <c r="P155" s="687" t="n"/>
      <c r="Q155" s="687" t="n"/>
      <c r="R155" s="687" t="n"/>
    </row>
    <row r="156" ht="15.75" customHeight="1" s="557">
      <c r="A156" s="690" t="n"/>
      <c r="B156" s="570" t="n"/>
      <c r="C156" s="567" t="n"/>
      <c r="D156" s="730" t="n"/>
      <c r="E156" s="686" t="n"/>
      <c r="F156" s="570" t="n"/>
      <c r="G156" s="570" t="n"/>
      <c r="H156" s="570" t="n"/>
      <c r="I156" s="570" t="n"/>
      <c r="J156" s="570" t="n"/>
      <c r="K156" s="570" t="n"/>
      <c r="L156" s="570" t="n"/>
      <c r="M156" s="570" t="n"/>
      <c r="N156" s="570" t="n"/>
      <c r="O156" s="567" t="n"/>
      <c r="P156" s="687" t="n"/>
      <c r="Q156" s="687" t="n"/>
      <c r="R156" s="687" t="n"/>
    </row>
    <row r="157" ht="15.75" customFormat="1" customHeight="1" s="696">
      <c r="A157" s="684" t="n"/>
      <c r="B157" s="570" t="n"/>
      <c r="C157" s="567" t="n"/>
      <c r="D157" s="689" t="n"/>
      <c r="E157" s="686" t="n"/>
      <c r="F157" s="570" t="n"/>
      <c r="G157" s="570" t="n"/>
      <c r="H157" s="570" t="n"/>
      <c r="I157" s="570" t="n"/>
      <c r="J157" s="570" t="n"/>
      <c r="K157" s="570" t="n"/>
      <c r="L157" s="570" t="n"/>
      <c r="M157" s="570" t="n"/>
      <c r="N157" s="570" t="n"/>
      <c r="O157" s="567" t="n"/>
      <c r="P157" s="687" t="n"/>
      <c r="Q157" s="687" t="n"/>
      <c r="R157" s="687" t="n"/>
    </row>
    <row r="158" ht="15.75" customHeight="1" s="557">
      <c r="A158" s="691" t="n"/>
      <c r="B158" s="570" t="n"/>
      <c r="C158" s="567" t="n"/>
      <c r="D158" s="689" t="n"/>
      <c r="E158" s="686" t="n"/>
      <c r="F158" s="570" t="n"/>
      <c r="G158" s="570" t="n"/>
      <c r="H158" s="570" t="n"/>
      <c r="I158" s="570" t="n"/>
      <c r="J158" s="570" t="n"/>
      <c r="K158" s="570" t="n"/>
      <c r="L158" s="570" t="n"/>
      <c r="M158" s="570" t="n"/>
      <c r="N158" s="570" t="n"/>
      <c r="O158" s="567" t="n"/>
      <c r="P158" s="687" t="n"/>
      <c r="Q158" s="687" t="n"/>
      <c r="R158" s="687" t="n"/>
    </row>
    <row r="159" ht="15.75" customHeight="1" s="557">
      <c r="A159" s="691" t="n"/>
      <c r="B159" s="570" t="n"/>
      <c r="C159" s="567" t="n"/>
      <c r="D159" s="689" t="n"/>
      <c r="E159" s="686" t="n"/>
      <c r="F159" s="570" t="n"/>
      <c r="G159" s="570" t="n"/>
      <c r="H159" s="570" t="n"/>
      <c r="I159" s="570" t="n"/>
      <c r="J159" s="570" t="n"/>
      <c r="K159" s="570" t="n"/>
      <c r="L159" s="570" t="n"/>
      <c r="M159" s="570" t="n"/>
      <c r="N159" s="570" t="n"/>
      <c r="O159" s="567" t="n"/>
      <c r="P159" s="687" t="n"/>
      <c r="Q159" s="687" t="n"/>
      <c r="R159" s="687" t="n"/>
    </row>
    <row r="160" ht="15.75" customHeight="1" s="557">
      <c r="A160" s="691" t="n"/>
      <c r="B160" s="570" t="n"/>
      <c r="C160" s="567" t="n"/>
      <c r="D160" s="689" t="n"/>
      <c r="E160" s="686" t="n"/>
      <c r="F160" s="570" t="n"/>
      <c r="G160" s="570" t="n"/>
      <c r="H160" s="570" t="n"/>
      <c r="I160" s="570" t="n"/>
      <c r="J160" s="570" t="n"/>
      <c r="K160" s="570" t="n"/>
      <c r="L160" s="570" t="n"/>
      <c r="M160" s="570" t="n"/>
      <c r="N160" s="570" t="n"/>
      <c r="O160" s="567" t="n"/>
      <c r="P160" s="687" t="n"/>
      <c r="Q160" s="687" t="n"/>
      <c r="R160" s="687" t="n"/>
    </row>
    <row r="161" ht="15.75" customHeight="1" s="557">
      <c r="A161" s="691" t="n"/>
      <c r="B161" s="570" t="n"/>
      <c r="C161" s="567" t="n"/>
      <c r="D161" s="689" t="n"/>
      <c r="E161" s="686" t="n"/>
      <c r="F161" s="570" t="n"/>
      <c r="G161" s="570" t="n"/>
      <c r="H161" s="570" t="n"/>
      <c r="I161" s="570" t="n"/>
      <c r="J161" s="570" t="n"/>
      <c r="K161" s="570" t="n"/>
      <c r="L161" s="570" t="n"/>
      <c r="M161" s="570" t="n"/>
      <c r="N161" s="570" t="n"/>
      <c r="O161" s="567" t="n"/>
      <c r="P161" s="687" t="n"/>
      <c r="Q161" s="687" t="n"/>
      <c r="R161" s="687" t="n"/>
    </row>
    <row r="162" ht="15.75" customHeight="1" s="557">
      <c r="A162" s="691" t="n"/>
      <c r="B162" s="570" t="n"/>
      <c r="C162" s="567" t="n"/>
      <c r="D162" s="689" t="n"/>
      <c r="E162" s="686" t="n"/>
      <c r="F162" s="570" t="n"/>
      <c r="G162" s="570" t="n"/>
      <c r="H162" s="570" t="n"/>
      <c r="I162" s="570" t="n"/>
      <c r="J162" s="570" t="n"/>
      <c r="K162" s="570" t="n"/>
      <c r="L162" s="570" t="n"/>
      <c r="M162" s="570" t="n"/>
      <c r="N162" s="570" t="n"/>
      <c r="O162" s="567" t="n"/>
      <c r="P162" s="687" t="n"/>
      <c r="Q162" s="687" t="n"/>
      <c r="R162" s="687" t="n"/>
    </row>
    <row r="163" ht="15.75" customHeight="1" s="557">
      <c r="A163" s="691" t="n"/>
      <c r="B163" s="570" t="n"/>
      <c r="C163" s="567" t="n"/>
      <c r="D163" s="689" t="n"/>
      <c r="E163" s="686" t="n"/>
      <c r="F163" s="570" t="n"/>
      <c r="G163" s="570" t="n"/>
      <c r="H163" s="570" t="n"/>
      <c r="I163" s="570" t="n"/>
      <c r="J163" s="570" t="n"/>
      <c r="K163" s="570" t="n"/>
      <c r="L163" s="570" t="n"/>
      <c r="M163" s="570" t="n"/>
      <c r="N163" s="570" t="n"/>
      <c r="O163" s="567" t="n"/>
      <c r="P163" s="687" t="n"/>
      <c r="Q163" s="687" t="n"/>
      <c r="R163" s="687" t="n"/>
    </row>
    <row r="164" ht="15.75" customHeight="1" s="557">
      <c r="A164" s="684" t="n"/>
      <c r="B164" s="570" t="n"/>
      <c r="C164" s="567" t="n"/>
      <c r="D164" s="689" t="n"/>
      <c r="E164" s="686" t="n"/>
      <c r="F164" s="570" t="n"/>
      <c r="G164" s="570" t="n"/>
      <c r="H164" s="570" t="n"/>
      <c r="I164" s="570" t="n"/>
      <c r="J164" s="570" t="n"/>
      <c r="K164" s="570" t="n"/>
      <c r="L164" s="570" t="n"/>
      <c r="M164" s="570" t="n"/>
      <c r="N164" s="570" t="n"/>
      <c r="O164" s="567" t="n"/>
      <c r="P164" s="687" t="n"/>
      <c r="Q164" s="687" t="n"/>
      <c r="R164" s="687" t="n"/>
    </row>
    <row r="165" ht="15.75" customHeight="1" s="557">
      <c r="A165" s="731" t="n"/>
      <c r="B165" s="570" t="n"/>
      <c r="C165" s="567" t="n"/>
      <c r="D165" s="689" t="n"/>
      <c r="E165" s="686" t="n"/>
      <c r="F165" s="570" t="n"/>
      <c r="G165" s="570" t="n"/>
      <c r="H165" s="570" t="n"/>
      <c r="I165" s="570" t="n"/>
      <c r="J165" s="570" t="n"/>
      <c r="K165" s="570" t="n"/>
      <c r="L165" s="570" t="n"/>
      <c r="M165" s="570" t="n"/>
      <c r="N165" s="570" t="n"/>
      <c r="O165" s="567" t="n"/>
      <c r="P165" s="687" t="n"/>
      <c r="Q165" s="687" t="n"/>
      <c r="R165" s="687" t="n"/>
    </row>
    <row r="166" ht="15.75" customHeight="1" s="557">
      <c r="A166" s="731" t="n"/>
      <c r="B166" s="570" t="n"/>
      <c r="C166" s="567" t="n"/>
      <c r="D166" s="689" t="n"/>
      <c r="E166" s="686" t="n"/>
      <c r="F166" s="570" t="n"/>
      <c r="G166" s="570" t="n"/>
      <c r="H166" s="570" t="n"/>
      <c r="I166" s="570" t="n"/>
      <c r="J166" s="570" t="n"/>
      <c r="K166" s="570" t="n"/>
      <c r="L166" s="570" t="n"/>
      <c r="M166" s="570" t="n"/>
      <c r="N166" s="570" t="n"/>
      <c r="O166" s="567" t="n"/>
      <c r="P166" s="732" t="n"/>
      <c r="Q166" s="732" t="n"/>
      <c r="R166" s="732" t="n"/>
    </row>
    <row r="167" ht="15.75" customHeight="1" s="557">
      <c r="A167" s="719" t="n"/>
      <c r="B167" s="678" t="n"/>
      <c r="C167" s="679" t="n"/>
      <c r="D167" s="720" t="n"/>
      <c r="E167" s="733" t="n"/>
      <c r="F167" s="678" t="n"/>
      <c r="G167" s="678" t="n"/>
      <c r="H167" s="678" t="n"/>
      <c r="I167" s="678" t="n"/>
      <c r="J167" s="678" t="n"/>
      <c r="K167" s="678" t="n"/>
      <c r="L167" s="678" t="n"/>
      <c r="M167" s="678" t="n"/>
      <c r="N167" s="678" t="n"/>
      <c r="O167" s="678" t="n"/>
      <c r="P167" s="678" t="n"/>
      <c r="Q167" s="678" t="n"/>
      <c r="R167" s="679" t="n"/>
    </row>
    <row r="168" ht="15.75" customHeight="1" s="557">
      <c r="A168" s="719" t="n"/>
      <c r="B168" s="678" t="n"/>
      <c r="C168" s="679" t="n"/>
      <c r="D168" s="720" t="n"/>
      <c r="E168" s="733" t="n"/>
      <c r="F168" s="678" t="n"/>
      <c r="G168" s="678" t="n"/>
      <c r="H168" s="678" t="n"/>
      <c r="I168" s="678" t="n"/>
      <c r="J168" s="678" t="n"/>
      <c r="K168" s="678" t="n"/>
      <c r="L168" s="678" t="n"/>
      <c r="M168" s="678" t="n"/>
      <c r="N168" s="678" t="n"/>
      <c r="O168" s="678" t="n"/>
      <c r="P168" s="678" t="n"/>
      <c r="Q168" s="678" t="n"/>
      <c r="R168" s="679" t="n"/>
    </row>
    <row r="169" ht="15.75" customHeight="1" s="557">
      <c r="A169" s="719" t="n"/>
      <c r="B169" s="678" t="n"/>
      <c r="C169" s="679" t="n"/>
      <c r="D169" s="720" t="n"/>
      <c r="E169" s="733" t="n"/>
      <c r="F169" s="678" t="n"/>
      <c r="G169" s="678" t="n"/>
      <c r="H169" s="678" t="n"/>
      <c r="I169" s="678" t="n"/>
      <c r="J169" s="678" t="n"/>
      <c r="K169" s="678" t="n"/>
      <c r="L169" s="678" t="n"/>
      <c r="M169" s="678" t="n"/>
      <c r="N169" s="678" t="n"/>
      <c r="O169" s="678" t="n"/>
      <c r="P169" s="678" t="n"/>
      <c r="Q169" s="678" t="n"/>
      <c r="R169" s="679" t="n"/>
    </row>
    <row r="170" ht="15.75" customHeight="1" s="557">
      <c r="A170" s="719" t="n"/>
      <c r="B170" s="678" t="n"/>
      <c r="C170" s="679" t="n"/>
      <c r="D170" s="720" t="n"/>
      <c r="E170" s="733" t="n"/>
      <c r="F170" s="678" t="n"/>
      <c r="G170" s="678" t="n"/>
      <c r="H170" s="678" t="n"/>
      <c r="I170" s="678" t="n"/>
      <c r="J170" s="678" t="n"/>
      <c r="K170" s="678" t="n"/>
      <c r="L170" s="678" t="n"/>
      <c r="M170" s="678" t="n"/>
      <c r="N170" s="678" t="n"/>
      <c r="O170" s="678" t="n"/>
      <c r="P170" s="678" t="n"/>
      <c r="Q170" s="678" t="n"/>
      <c r="R170" s="679" t="n"/>
    </row>
    <row r="171" ht="15.75" customHeight="1" s="557">
      <c r="A171" s="719" t="n"/>
      <c r="B171" s="678" t="n"/>
      <c r="C171" s="679" t="n"/>
      <c r="D171" s="720" t="n"/>
      <c r="E171" s="727" t="n"/>
      <c r="F171" s="570" t="n"/>
      <c r="G171" s="570" t="n"/>
      <c r="H171" s="570" t="n"/>
      <c r="I171" s="570" t="n"/>
      <c r="J171" s="570" t="n"/>
      <c r="K171" s="570" t="n"/>
      <c r="L171" s="570" t="n"/>
      <c r="M171" s="570" t="n"/>
      <c r="N171" s="570" t="n"/>
      <c r="O171" s="570" t="n"/>
      <c r="P171" s="570" t="n"/>
      <c r="Q171" s="570" t="n"/>
      <c r="R171" s="567" t="n"/>
    </row>
    <row r="172" ht="15.75" customHeight="1" s="557">
      <c r="A172" s="719" t="n"/>
      <c r="B172" s="678" t="n"/>
      <c r="C172" s="679" t="n"/>
      <c r="D172" s="720" t="n"/>
      <c r="E172" s="723" t="n"/>
      <c r="F172" s="570" t="n"/>
      <c r="G172" s="570" t="n"/>
      <c r="H172" s="570" t="n"/>
      <c r="I172" s="570" t="n"/>
      <c r="J172" s="570" t="n"/>
      <c r="K172" s="570" t="n"/>
      <c r="L172" s="570" t="n"/>
      <c r="M172" s="570" t="n"/>
      <c r="N172" s="570" t="n"/>
      <c r="O172" s="570" t="n"/>
      <c r="P172" s="570" t="n"/>
      <c r="Q172" s="570" t="n"/>
      <c r="R172" s="567" t="n"/>
    </row>
    <row r="173" ht="15.75" customHeight="1" s="557">
      <c r="A173" s="719" t="n"/>
      <c r="B173" s="678" t="n"/>
      <c r="C173" s="679" t="n"/>
      <c r="D173" s="734" t="n"/>
      <c r="E173" s="727" t="n"/>
      <c r="F173" s="570" t="n"/>
      <c r="G173" s="570" t="n"/>
      <c r="H173" s="570" t="n"/>
      <c r="I173" s="570" t="n"/>
      <c r="J173" s="570" t="n"/>
      <c r="K173" s="570" t="n"/>
      <c r="L173" s="570" t="n"/>
      <c r="M173" s="570" t="n"/>
      <c r="N173" s="570" t="n"/>
      <c r="O173" s="570" t="n"/>
      <c r="P173" s="570" t="n"/>
      <c r="Q173" s="570" t="n"/>
      <c r="R173" s="567" t="n"/>
    </row>
    <row r="174" ht="15.75" customHeight="1" s="557">
      <c r="A174" s="719" t="n"/>
      <c r="B174" s="678" t="n"/>
      <c r="C174" s="679" t="n"/>
      <c r="D174" s="720" t="n"/>
      <c r="E174" s="727" t="n"/>
      <c r="F174" s="570" t="n"/>
      <c r="G174" s="570" t="n"/>
      <c r="H174" s="570" t="n"/>
      <c r="I174" s="570" t="n"/>
      <c r="J174" s="570" t="n"/>
      <c r="K174" s="570" t="n"/>
      <c r="L174" s="570" t="n"/>
      <c r="M174" s="570" t="n"/>
      <c r="N174" s="570" t="n"/>
      <c r="O174" s="570" t="n"/>
      <c r="P174" s="570" t="n"/>
      <c r="Q174" s="570" t="n"/>
      <c r="R174" s="567" t="n"/>
    </row>
    <row r="175" ht="15.75" customHeight="1" s="557">
      <c r="A175" s="719" t="n"/>
      <c r="B175" s="678" t="n"/>
      <c r="C175" s="679" t="n"/>
      <c r="D175" s="720" t="n"/>
      <c r="E175" s="727" t="n"/>
      <c r="F175" s="570" t="n"/>
      <c r="G175" s="570" t="n"/>
      <c r="H175" s="570" t="n"/>
      <c r="I175" s="570" t="n"/>
      <c r="J175" s="570" t="n"/>
      <c r="K175" s="570" t="n"/>
      <c r="L175" s="570" t="n"/>
      <c r="M175" s="570" t="n"/>
      <c r="N175" s="570" t="n"/>
      <c r="O175" s="570" t="n"/>
      <c r="P175" s="570" t="n"/>
      <c r="Q175" s="570" t="n"/>
      <c r="R175" s="567" t="n"/>
    </row>
    <row r="176" ht="15.75" customHeight="1" s="557">
      <c r="A176" s="719" t="n"/>
      <c r="B176" s="678" t="n"/>
      <c r="C176" s="679" t="n"/>
      <c r="D176" s="720" t="n"/>
      <c r="E176" s="727" t="n"/>
      <c r="F176" s="570" t="n"/>
      <c r="G176" s="570" t="n"/>
      <c r="H176" s="570" t="n"/>
      <c r="I176" s="570" t="n"/>
      <c r="J176" s="570" t="n"/>
      <c r="K176" s="570" t="n"/>
      <c r="L176" s="570" t="n"/>
      <c r="M176" s="570" t="n"/>
      <c r="N176" s="570" t="n"/>
      <c r="O176" s="570" t="n"/>
      <c r="P176" s="570" t="n"/>
      <c r="Q176" s="570" t="n"/>
      <c r="R176" s="567" t="n"/>
    </row>
    <row r="177" ht="15.75" customHeight="1" s="557">
      <c r="A177" s="719" t="n"/>
      <c r="B177" s="678" t="n"/>
      <c r="C177" s="679" t="n"/>
      <c r="D177" s="720" t="n"/>
      <c r="E177" s="727" t="n"/>
      <c r="F177" s="570" t="n"/>
      <c r="G177" s="570" t="n"/>
      <c r="H177" s="570" t="n"/>
      <c r="I177" s="570" t="n"/>
      <c r="J177" s="570" t="n"/>
      <c r="K177" s="570" t="n"/>
      <c r="L177" s="570" t="n"/>
      <c r="M177" s="570" t="n"/>
      <c r="N177" s="570" t="n"/>
      <c r="O177" s="570" t="n"/>
      <c r="P177" s="570" t="n"/>
      <c r="Q177" s="570" t="n"/>
      <c r="R177" s="567" t="n"/>
    </row>
    <row r="178" ht="15.75" customHeight="1" s="557">
      <c r="A178" s="719" t="n"/>
      <c r="B178" s="678" t="n"/>
      <c r="C178" s="679" t="n"/>
      <c r="D178" s="720" t="n"/>
      <c r="E178" s="721" t="n"/>
      <c r="F178" s="570" t="n"/>
      <c r="G178" s="570" t="n"/>
      <c r="H178" s="570" t="n"/>
      <c r="I178" s="570" t="n"/>
      <c r="J178" s="570" t="n"/>
      <c r="K178" s="570" t="n"/>
      <c r="L178" s="570" t="n"/>
      <c r="M178" s="570" t="n"/>
      <c r="N178" s="570" t="n"/>
      <c r="O178" s="570" t="n"/>
      <c r="P178" s="570" t="n"/>
      <c r="Q178" s="570" t="n"/>
      <c r="R178" s="567" t="n"/>
    </row>
    <row r="179" ht="15.75" customHeight="1" s="557">
      <c r="A179" s="719" t="n"/>
      <c r="B179" s="678" t="n"/>
      <c r="C179" s="679" t="n"/>
      <c r="D179" s="720" t="n"/>
      <c r="E179" s="722" t="n"/>
      <c r="F179" s="570" t="n"/>
      <c r="G179" s="570" t="n"/>
      <c r="H179" s="570" t="n"/>
      <c r="I179" s="570" t="n"/>
      <c r="J179" s="570" t="n"/>
      <c r="K179" s="570" t="n"/>
      <c r="L179" s="570" t="n"/>
      <c r="M179" s="570" t="n"/>
      <c r="N179" s="570" t="n"/>
      <c r="O179" s="570" t="n"/>
      <c r="P179" s="570" t="n"/>
      <c r="Q179" s="570" t="n"/>
      <c r="R179" s="567" t="n"/>
    </row>
    <row r="180" ht="15.75" customHeight="1" s="557">
      <c r="A180" s="719" t="n"/>
      <c r="B180" s="678" t="n"/>
      <c r="C180" s="679" t="n"/>
      <c r="D180" s="720" t="n"/>
      <c r="E180" s="723" t="n"/>
      <c r="F180" s="570" t="n"/>
      <c r="G180" s="570" t="n"/>
      <c r="H180" s="570" t="n"/>
      <c r="I180" s="570" t="n"/>
      <c r="J180" s="570" t="n"/>
      <c r="K180" s="570" t="n"/>
      <c r="L180" s="570" t="n"/>
      <c r="M180" s="570" t="n"/>
      <c r="N180" s="570" t="n"/>
      <c r="O180" s="570" t="n"/>
      <c r="P180" s="570" t="n"/>
      <c r="Q180" s="570" t="n"/>
      <c r="R180" s="567" t="n"/>
    </row>
    <row r="181" ht="15.75" customHeight="1" s="557">
      <c r="A181" s="719" t="n"/>
      <c r="B181" s="678" t="n"/>
      <c r="C181" s="679" t="n"/>
      <c r="D181" s="720" t="n"/>
      <c r="E181" s="723" t="n"/>
      <c r="F181" s="570" t="n"/>
      <c r="G181" s="570" t="n"/>
      <c r="H181" s="570" t="n"/>
      <c r="I181" s="570" t="n"/>
      <c r="J181" s="570" t="n"/>
      <c r="K181" s="570" t="n"/>
      <c r="L181" s="570" t="n"/>
      <c r="M181" s="570" t="n"/>
      <c r="N181" s="570" t="n"/>
      <c r="O181" s="570" t="n"/>
      <c r="P181" s="570" t="n"/>
      <c r="Q181" s="570" t="n"/>
      <c r="R181" s="567" t="n"/>
    </row>
    <row r="182" ht="15.75" customHeight="1" s="557">
      <c r="A182" s="719" t="n"/>
      <c r="B182" s="678" t="n"/>
      <c r="C182" s="679" t="n"/>
      <c r="D182" s="720" t="n"/>
      <c r="E182" s="722" t="n"/>
      <c r="F182" s="570" t="n"/>
      <c r="G182" s="570" t="n"/>
      <c r="H182" s="570" t="n"/>
      <c r="I182" s="570" t="n"/>
      <c r="J182" s="570" t="n"/>
      <c r="K182" s="570" t="n"/>
      <c r="L182" s="570" t="n"/>
      <c r="M182" s="570" t="n"/>
      <c r="N182" s="570" t="n"/>
      <c r="O182" s="570" t="n"/>
      <c r="P182" s="570" t="n"/>
      <c r="Q182" s="570" t="n"/>
      <c r="R182" s="567" t="n"/>
    </row>
    <row r="183" ht="15.75" customHeight="1" s="557">
      <c r="A183" s="719" t="n"/>
      <c r="B183" s="678" t="n"/>
      <c r="C183" s="679" t="n"/>
      <c r="D183" s="720" t="n"/>
      <c r="E183" s="724" t="n"/>
      <c r="F183" s="570" t="n"/>
      <c r="G183" s="570" t="n"/>
      <c r="H183" s="570" t="n"/>
      <c r="I183" s="570" t="n"/>
      <c r="J183" s="570" t="n"/>
      <c r="K183" s="570" t="n"/>
      <c r="L183" s="570" t="n"/>
      <c r="M183" s="570" t="n"/>
      <c r="N183" s="570" t="n"/>
      <c r="O183" s="570" t="n"/>
      <c r="P183" s="570" t="n"/>
      <c r="Q183" s="570" t="n"/>
      <c r="R183" s="567" t="n"/>
    </row>
    <row r="184" ht="15.75" customHeight="1" s="557">
      <c r="A184" s="719" t="n"/>
      <c r="B184" s="678" t="n"/>
      <c r="C184" s="679" t="n"/>
      <c r="D184" s="720" t="n"/>
      <c r="E184" s="722" t="n"/>
      <c r="F184" s="570" t="n"/>
      <c r="G184" s="570" t="n"/>
      <c r="H184" s="570" t="n"/>
      <c r="I184" s="570" t="n"/>
      <c r="J184" s="570" t="n"/>
      <c r="K184" s="570" t="n"/>
      <c r="L184" s="570" t="n"/>
      <c r="M184" s="570" t="n"/>
      <c r="N184" s="570" t="n"/>
      <c r="O184" s="570" t="n"/>
      <c r="P184" s="570" t="n"/>
      <c r="Q184" s="570" t="n"/>
      <c r="R184" s="567" t="n"/>
    </row>
    <row r="185" ht="15.75" customHeight="1" s="557">
      <c r="A185" s="719" t="n"/>
      <c r="B185" s="678" t="n"/>
      <c r="C185" s="679" t="n"/>
      <c r="D185" s="720" t="n"/>
      <c r="E185" s="724" t="n"/>
      <c r="F185" s="570" t="n"/>
      <c r="G185" s="570" t="n"/>
      <c r="H185" s="570" t="n"/>
      <c r="I185" s="570" t="n"/>
      <c r="J185" s="570" t="n"/>
      <c r="K185" s="570" t="n"/>
      <c r="L185" s="570" t="n"/>
      <c r="M185" s="570" t="n"/>
      <c r="N185" s="570" t="n"/>
      <c r="O185" s="570" t="n"/>
      <c r="P185" s="570" t="n"/>
      <c r="Q185" s="570" t="n"/>
      <c r="R185" s="567" t="n"/>
    </row>
    <row r="186" ht="15.75" customHeight="1" s="557">
      <c r="A186" s="719" t="n"/>
      <c r="B186" s="678" t="n"/>
      <c r="C186" s="679" t="n"/>
      <c r="D186" s="720" t="n"/>
      <c r="E186" s="722" t="n"/>
      <c r="F186" s="570" t="n"/>
      <c r="G186" s="570" t="n"/>
      <c r="H186" s="570" t="n"/>
      <c r="I186" s="570" t="n"/>
      <c r="J186" s="570" t="n"/>
      <c r="K186" s="570" t="n"/>
      <c r="L186" s="570" t="n"/>
      <c r="M186" s="570" t="n"/>
      <c r="N186" s="570" t="n"/>
      <c r="O186" s="570" t="n"/>
      <c r="P186" s="570" t="n"/>
      <c r="Q186" s="570" t="n"/>
      <c r="R186" s="567" t="n"/>
    </row>
    <row r="187" ht="15.75" customHeight="1" s="557">
      <c r="A187" s="719" t="n"/>
      <c r="B187" s="678" t="n"/>
      <c r="C187" s="679" t="n"/>
      <c r="D187" s="720" t="n"/>
      <c r="E187" s="725" t="n"/>
      <c r="F187" s="570" t="n"/>
      <c r="G187" s="570" t="n"/>
      <c r="H187" s="570" t="n"/>
      <c r="I187" s="570" t="n"/>
      <c r="J187" s="570" t="n"/>
      <c r="K187" s="570" t="n"/>
      <c r="L187" s="570" t="n"/>
      <c r="M187" s="570" t="n"/>
      <c r="N187" s="570" t="n"/>
      <c r="O187" s="570" t="n"/>
      <c r="P187" s="570" t="n"/>
      <c r="Q187" s="570" t="n"/>
      <c r="R187" s="567" t="n"/>
    </row>
    <row r="188" ht="15.75" customHeight="1" s="557">
      <c r="A188" s="719" t="n"/>
      <c r="B188" s="678" t="n"/>
      <c r="C188" s="679" t="n"/>
      <c r="D188" s="720" t="n"/>
      <c r="E188" s="726" t="n"/>
      <c r="F188" s="570" t="n"/>
      <c r="G188" s="570" t="n"/>
      <c r="H188" s="570" t="n"/>
      <c r="I188" s="570" t="n"/>
      <c r="J188" s="570" t="n"/>
      <c r="K188" s="570" t="n"/>
      <c r="L188" s="570" t="n"/>
      <c r="M188" s="570" t="n"/>
      <c r="N188" s="570" t="n"/>
      <c r="O188" s="570" t="n"/>
      <c r="P188" s="570" t="n"/>
      <c r="Q188" s="570" t="n"/>
      <c r="R188" s="567" t="n"/>
    </row>
    <row r="189" ht="15.75" customHeight="1" s="557">
      <c r="A189" s="719" t="n"/>
      <c r="B189" s="678" t="n"/>
      <c r="C189" s="679" t="n"/>
      <c r="D189" s="720" t="n"/>
      <c r="E189" s="723" t="n"/>
      <c r="F189" s="570" t="n"/>
      <c r="G189" s="570" t="n"/>
      <c r="H189" s="570" t="n"/>
      <c r="I189" s="570" t="n"/>
      <c r="J189" s="570" t="n"/>
      <c r="K189" s="570" t="n"/>
      <c r="L189" s="570" t="n"/>
      <c r="M189" s="570" t="n"/>
      <c r="N189" s="570" t="n"/>
      <c r="O189" s="570" t="n"/>
      <c r="P189" s="570" t="n"/>
      <c r="Q189" s="570" t="n"/>
      <c r="R189" s="567" t="n"/>
    </row>
    <row r="190" ht="15.75" customHeight="1" s="557">
      <c r="A190" s="719" t="n"/>
      <c r="B190" s="678" t="n"/>
      <c r="C190" s="679" t="n"/>
      <c r="D190" s="720" t="n"/>
      <c r="E190" s="724" t="n"/>
      <c r="F190" s="570" t="n"/>
      <c r="G190" s="570" t="n"/>
      <c r="H190" s="570" t="n"/>
      <c r="I190" s="570" t="n"/>
      <c r="J190" s="570" t="n"/>
      <c r="K190" s="570" t="n"/>
      <c r="L190" s="570" t="n"/>
      <c r="M190" s="570" t="n"/>
      <c r="N190" s="570" t="n"/>
      <c r="O190" s="570" t="n"/>
      <c r="P190" s="570" t="n"/>
      <c r="Q190" s="570" t="n"/>
      <c r="R190" s="567" t="n"/>
    </row>
    <row r="191" ht="15.75" customHeight="1" s="557">
      <c r="A191" s="719" t="n"/>
      <c r="B191" s="678" t="n"/>
      <c r="C191" s="679" t="n"/>
      <c r="D191" s="720" t="n"/>
      <c r="E191" s="722" t="n"/>
      <c r="F191" s="570" t="n"/>
      <c r="G191" s="570" t="n"/>
      <c r="H191" s="570" t="n"/>
      <c r="I191" s="570" t="n"/>
      <c r="J191" s="570" t="n"/>
      <c r="K191" s="570" t="n"/>
      <c r="L191" s="570" t="n"/>
      <c r="M191" s="570" t="n"/>
      <c r="N191" s="570" t="n"/>
      <c r="O191" s="570" t="n"/>
      <c r="P191" s="570" t="n"/>
      <c r="Q191" s="570" t="n"/>
      <c r="R191" s="567" t="n"/>
    </row>
    <row r="192" ht="15.75" customHeight="1" s="557">
      <c r="A192" s="719" t="n"/>
      <c r="B192" s="678" t="n"/>
      <c r="C192" s="679" t="n"/>
      <c r="D192" s="720" t="n"/>
      <c r="E192" s="725" t="n"/>
      <c r="F192" s="570" t="n"/>
      <c r="G192" s="570" t="n"/>
      <c r="H192" s="570" t="n"/>
      <c r="I192" s="570" t="n"/>
      <c r="J192" s="570" t="n"/>
      <c r="K192" s="570" t="n"/>
      <c r="L192" s="570" t="n"/>
      <c r="M192" s="570" t="n"/>
      <c r="N192" s="570" t="n"/>
      <c r="O192" s="570" t="n"/>
      <c r="P192" s="570" t="n"/>
      <c r="Q192" s="570" t="n"/>
      <c r="R192" s="567" t="n"/>
    </row>
    <row r="193" ht="15.75" customHeight="1" s="557">
      <c r="A193" s="719" t="n"/>
      <c r="B193" s="678" t="n"/>
      <c r="C193" s="679" t="n"/>
      <c r="D193" s="720" t="n"/>
      <c r="E193" s="722" t="n"/>
      <c r="F193" s="570" t="n"/>
      <c r="G193" s="570" t="n"/>
      <c r="H193" s="570" t="n"/>
      <c r="I193" s="570" t="n"/>
      <c r="J193" s="570" t="n"/>
      <c r="K193" s="570" t="n"/>
      <c r="L193" s="570" t="n"/>
      <c r="M193" s="570" t="n"/>
      <c r="N193" s="570" t="n"/>
      <c r="O193" s="570" t="n"/>
      <c r="P193" s="570" t="n"/>
      <c r="Q193" s="570" t="n"/>
      <c r="R193" s="567" t="n"/>
    </row>
    <row r="194" ht="15.75" customHeight="1" s="557">
      <c r="A194" s="719" t="n"/>
      <c r="B194" s="678" t="n"/>
      <c r="C194" s="679" t="n"/>
      <c r="D194" s="720" t="n"/>
      <c r="E194" s="722" t="n"/>
      <c r="F194" s="570" t="n"/>
      <c r="G194" s="570" t="n"/>
      <c r="H194" s="570" t="n"/>
      <c r="I194" s="570" t="n"/>
      <c r="J194" s="570" t="n"/>
      <c r="K194" s="570" t="n"/>
      <c r="L194" s="570" t="n"/>
      <c r="M194" s="570" t="n"/>
      <c r="N194" s="570" t="n"/>
      <c r="O194" s="570" t="n"/>
      <c r="P194" s="570" t="n"/>
      <c r="Q194" s="570" t="n"/>
      <c r="R194" s="567" t="n"/>
    </row>
    <row r="195" ht="15.75" customHeight="1" s="557">
      <c r="A195" s="719" t="n"/>
      <c r="B195" s="678" t="n"/>
      <c r="C195" s="679" t="n"/>
      <c r="D195" s="720" t="n"/>
      <c r="E195" s="723" t="n"/>
      <c r="F195" s="570" t="n"/>
      <c r="G195" s="570" t="n"/>
      <c r="H195" s="570" t="n"/>
      <c r="I195" s="570" t="n"/>
      <c r="J195" s="570" t="n"/>
      <c r="K195" s="570" t="n"/>
      <c r="L195" s="570" t="n"/>
      <c r="M195" s="570" t="n"/>
      <c r="N195" s="570" t="n"/>
      <c r="O195" s="570" t="n"/>
      <c r="P195" s="570" t="n"/>
      <c r="Q195" s="570" t="n"/>
      <c r="R195" s="567" t="n"/>
    </row>
    <row r="196" ht="15.75" customHeight="1" s="557">
      <c r="A196" s="719" t="n"/>
      <c r="B196" s="678" t="n"/>
      <c r="C196" s="679" t="n"/>
      <c r="D196" s="720" t="n"/>
      <c r="E196" s="727" t="n"/>
      <c r="F196" s="570" t="n"/>
      <c r="G196" s="570" t="n"/>
      <c r="H196" s="570" t="n"/>
      <c r="I196" s="570" t="n"/>
      <c r="J196" s="570" t="n"/>
      <c r="K196" s="570" t="n"/>
      <c r="L196" s="570" t="n"/>
      <c r="M196" s="570" t="n"/>
      <c r="N196" s="570" t="n"/>
      <c r="O196" s="570" t="n"/>
      <c r="P196" s="570" t="n"/>
      <c r="Q196" s="570" t="n"/>
      <c r="R196" s="567" t="n"/>
    </row>
    <row r="197" ht="15.75" customHeight="1" s="557">
      <c r="A197" s="719" t="n"/>
      <c r="B197" s="678" t="n"/>
      <c r="C197" s="679" t="n"/>
      <c r="D197" s="720" t="n"/>
      <c r="E197" s="722" t="n"/>
      <c r="F197" s="570" t="n"/>
      <c r="G197" s="570" t="n"/>
      <c r="H197" s="570" t="n"/>
      <c r="I197" s="570" t="n"/>
      <c r="J197" s="570" t="n"/>
      <c r="K197" s="570" t="n"/>
      <c r="L197" s="570" t="n"/>
      <c r="M197" s="570" t="n"/>
      <c r="N197" s="570" t="n"/>
      <c r="O197" s="570" t="n"/>
      <c r="P197" s="570" t="n"/>
      <c r="Q197" s="570" t="n"/>
      <c r="R197" s="567" t="n"/>
    </row>
    <row r="198" ht="15.75" customHeight="1" s="557">
      <c r="A198" s="719" t="n"/>
      <c r="B198" s="678" t="n"/>
      <c r="C198" s="679" t="n"/>
      <c r="D198" s="720" t="n"/>
      <c r="E198" s="722" t="n"/>
      <c r="F198" s="570" t="n"/>
      <c r="G198" s="570" t="n"/>
      <c r="H198" s="570" t="n"/>
      <c r="I198" s="570" t="n"/>
      <c r="J198" s="570" t="n"/>
      <c r="K198" s="570" t="n"/>
      <c r="L198" s="570" t="n"/>
      <c r="M198" s="570" t="n"/>
      <c r="N198" s="570" t="n"/>
      <c r="O198" s="570" t="n"/>
      <c r="P198" s="570" t="n"/>
      <c r="Q198" s="570" t="n"/>
      <c r="R198" s="567" t="n"/>
    </row>
    <row r="199" ht="15.75" customHeight="1" s="557">
      <c r="A199" s="719" t="n"/>
      <c r="B199" s="678" t="n"/>
      <c r="C199" s="679" t="n"/>
      <c r="D199" s="720" t="n"/>
      <c r="E199" s="722" t="n"/>
      <c r="F199" s="570" t="n"/>
      <c r="G199" s="570" t="n"/>
      <c r="H199" s="570" t="n"/>
      <c r="I199" s="570" t="n"/>
      <c r="J199" s="570" t="n"/>
      <c r="K199" s="570" t="n"/>
      <c r="L199" s="570" t="n"/>
      <c r="M199" s="570" t="n"/>
      <c r="N199" s="570" t="n"/>
      <c r="O199" s="570" t="n"/>
      <c r="P199" s="570" t="n"/>
      <c r="Q199" s="570" t="n"/>
      <c r="R199" s="567" t="n"/>
    </row>
    <row r="200" ht="18" customHeight="1" s="557">
      <c r="A200" s="684" t="n"/>
      <c r="B200" s="570" t="n"/>
      <c r="C200" s="567" t="n"/>
      <c r="D200" s="689" t="n"/>
      <c r="E200" s="686" t="n"/>
      <c r="F200" s="570" t="n"/>
      <c r="G200" s="570" t="n"/>
      <c r="H200" s="570" t="n"/>
      <c r="I200" s="570" t="n"/>
      <c r="J200" s="570" t="n"/>
      <c r="K200" s="570" t="n"/>
      <c r="L200" s="570" t="n"/>
      <c r="M200" s="570" t="n"/>
      <c r="N200" s="570" t="n"/>
      <c r="O200" s="567" t="n"/>
      <c r="P200" s="687" t="n"/>
      <c r="Q200" s="687" t="n"/>
      <c r="R200" s="687" t="n"/>
    </row>
    <row r="201" ht="15.75" customHeight="1" s="557">
      <c r="A201" s="690" t="n"/>
      <c r="B201" s="570" t="n"/>
      <c r="C201" s="567" t="n"/>
      <c r="D201" s="730" t="n"/>
      <c r="E201" s="686" t="n"/>
      <c r="F201" s="570" t="n"/>
      <c r="G201" s="570" t="n"/>
      <c r="H201" s="570" t="n"/>
      <c r="I201" s="570" t="n"/>
      <c r="J201" s="570" t="n"/>
      <c r="K201" s="570" t="n"/>
      <c r="L201" s="570" t="n"/>
      <c r="M201" s="570" t="n"/>
      <c r="N201" s="570" t="n"/>
      <c r="O201" s="567" t="n"/>
      <c r="P201" s="687" t="n"/>
      <c r="Q201" s="687" t="n"/>
      <c r="R201" s="687" t="n"/>
    </row>
    <row r="202" ht="15.75" customFormat="1" customHeight="1" s="696">
      <c r="A202" s="684" t="n"/>
      <c r="B202" s="570" t="n"/>
      <c r="C202" s="567" t="n"/>
      <c r="D202" s="689" t="n"/>
      <c r="E202" s="686" t="n"/>
      <c r="F202" s="570" t="n"/>
      <c r="G202" s="570" t="n"/>
      <c r="H202" s="570" t="n"/>
      <c r="I202" s="570" t="n"/>
      <c r="J202" s="570" t="n"/>
      <c r="K202" s="570" t="n"/>
      <c r="L202" s="570" t="n"/>
      <c r="M202" s="570" t="n"/>
      <c r="N202" s="570" t="n"/>
      <c r="O202" s="567" t="n"/>
      <c r="P202" s="687" t="n"/>
      <c r="Q202" s="687" t="n"/>
      <c r="R202" s="687" t="n"/>
    </row>
    <row r="203" ht="15.75" customHeight="1" s="557">
      <c r="A203" s="691" t="n"/>
      <c r="B203" s="570" t="n"/>
      <c r="C203" s="567" t="n"/>
      <c r="D203" s="689" t="n"/>
      <c r="E203" s="686" t="n"/>
      <c r="F203" s="570" t="n"/>
      <c r="G203" s="570" t="n"/>
      <c r="H203" s="570" t="n"/>
      <c r="I203" s="570" t="n"/>
      <c r="J203" s="570" t="n"/>
      <c r="K203" s="570" t="n"/>
      <c r="L203" s="570" t="n"/>
      <c r="M203" s="570" t="n"/>
      <c r="N203" s="570" t="n"/>
      <c r="O203" s="567" t="n"/>
      <c r="P203" s="687" t="n"/>
      <c r="Q203" s="687" t="n"/>
      <c r="R203" s="687" t="n"/>
    </row>
    <row r="204" ht="15.75" customHeight="1" s="557">
      <c r="A204" s="691" t="n"/>
      <c r="B204" s="570" t="n"/>
      <c r="C204" s="567" t="n"/>
      <c r="D204" s="689" t="n"/>
      <c r="E204" s="686" t="n"/>
      <c r="F204" s="570" t="n"/>
      <c r="G204" s="570" t="n"/>
      <c r="H204" s="570" t="n"/>
      <c r="I204" s="570" t="n"/>
      <c r="J204" s="570" t="n"/>
      <c r="K204" s="570" t="n"/>
      <c r="L204" s="570" t="n"/>
      <c r="M204" s="570" t="n"/>
      <c r="N204" s="570" t="n"/>
      <c r="O204" s="567" t="n"/>
      <c r="P204" s="687" t="n"/>
      <c r="Q204" s="687" t="n"/>
      <c r="R204" s="687" t="n"/>
    </row>
    <row r="205" ht="15.75" customHeight="1" s="557">
      <c r="A205" s="691" t="n"/>
      <c r="B205" s="570" t="n"/>
      <c r="C205" s="567" t="n"/>
      <c r="D205" s="689" t="n"/>
      <c r="E205" s="686" t="n"/>
      <c r="F205" s="570" t="n"/>
      <c r="G205" s="570" t="n"/>
      <c r="H205" s="570" t="n"/>
      <c r="I205" s="570" t="n"/>
      <c r="J205" s="570" t="n"/>
      <c r="K205" s="570" t="n"/>
      <c r="L205" s="570" t="n"/>
      <c r="M205" s="570" t="n"/>
      <c r="N205" s="570" t="n"/>
      <c r="O205" s="567" t="n"/>
      <c r="P205" s="687" t="n"/>
      <c r="Q205" s="687" t="n"/>
      <c r="R205" s="687" t="n"/>
    </row>
    <row r="206" ht="15.75" customHeight="1" s="557">
      <c r="A206" s="691" t="n"/>
      <c r="B206" s="570" t="n"/>
      <c r="C206" s="567" t="n"/>
      <c r="D206" s="689" t="n"/>
      <c r="E206" s="686" t="n"/>
      <c r="F206" s="570" t="n"/>
      <c r="G206" s="570" t="n"/>
      <c r="H206" s="570" t="n"/>
      <c r="I206" s="570" t="n"/>
      <c r="J206" s="570" t="n"/>
      <c r="K206" s="570" t="n"/>
      <c r="L206" s="570" t="n"/>
      <c r="M206" s="570" t="n"/>
      <c r="N206" s="570" t="n"/>
      <c r="O206" s="567" t="n"/>
      <c r="P206" s="687" t="n"/>
      <c r="Q206" s="687" t="n"/>
      <c r="R206" s="687" t="n"/>
    </row>
    <row r="207" ht="15.75" customHeight="1" s="557">
      <c r="A207" s="691" t="n"/>
      <c r="B207" s="570" t="n"/>
      <c r="C207" s="567" t="n"/>
      <c r="D207" s="689" t="n"/>
      <c r="E207" s="686" t="n"/>
      <c r="F207" s="570" t="n"/>
      <c r="G207" s="570" t="n"/>
      <c r="H207" s="570" t="n"/>
      <c r="I207" s="570" t="n"/>
      <c r="J207" s="570" t="n"/>
      <c r="K207" s="570" t="n"/>
      <c r="L207" s="570" t="n"/>
      <c r="M207" s="570" t="n"/>
      <c r="N207" s="570" t="n"/>
      <c r="O207" s="567" t="n"/>
      <c r="P207" s="687" t="n"/>
      <c r="Q207" s="687" t="n"/>
      <c r="R207" s="687" t="n"/>
    </row>
    <row r="208" ht="15.75" customHeight="1" s="557">
      <c r="A208" s="691" t="n"/>
      <c r="B208" s="570" t="n"/>
      <c r="C208" s="567" t="n"/>
      <c r="D208" s="689" t="n"/>
      <c r="E208" s="686" t="n"/>
      <c r="F208" s="570" t="n"/>
      <c r="G208" s="570" t="n"/>
      <c r="H208" s="570" t="n"/>
      <c r="I208" s="570" t="n"/>
      <c r="J208" s="570" t="n"/>
      <c r="K208" s="570" t="n"/>
      <c r="L208" s="570" t="n"/>
      <c r="M208" s="570" t="n"/>
      <c r="N208" s="570" t="n"/>
      <c r="O208" s="567" t="n"/>
      <c r="P208" s="687" t="n"/>
      <c r="Q208" s="687" t="n"/>
      <c r="R208" s="687" t="n"/>
    </row>
    <row r="209" ht="15.75" customHeight="1" s="557">
      <c r="A209" s="684" t="n"/>
      <c r="B209" s="570" t="n"/>
      <c r="C209" s="567" t="n"/>
      <c r="D209" s="689" t="n"/>
      <c r="E209" s="686" t="n"/>
      <c r="F209" s="570" t="n"/>
      <c r="G209" s="570" t="n"/>
      <c r="H209" s="570" t="n"/>
      <c r="I209" s="570" t="n"/>
      <c r="J209" s="570" t="n"/>
      <c r="K209" s="570" t="n"/>
      <c r="L209" s="570" t="n"/>
      <c r="M209" s="570" t="n"/>
      <c r="N209" s="570" t="n"/>
      <c r="O209" s="567" t="n"/>
      <c r="P209" s="687" t="n"/>
      <c r="Q209" s="687" t="n"/>
      <c r="R209" s="687" t="n"/>
    </row>
    <row r="210" ht="15.75" customHeight="1" s="557">
      <c r="A210" s="731" t="n"/>
      <c r="B210" s="570" t="n"/>
      <c r="C210" s="567" t="n"/>
      <c r="D210" s="689" t="n"/>
      <c r="E210" s="686" t="n"/>
      <c r="F210" s="570" t="n"/>
      <c r="G210" s="570" t="n"/>
      <c r="H210" s="570" t="n"/>
      <c r="I210" s="570" t="n"/>
      <c r="J210" s="570" t="n"/>
      <c r="K210" s="570" t="n"/>
      <c r="L210" s="570" t="n"/>
      <c r="M210" s="570" t="n"/>
      <c r="N210" s="570" t="n"/>
      <c r="O210" s="567" t="n"/>
      <c r="P210" s="687" t="n"/>
      <c r="Q210" s="687" t="n"/>
      <c r="R210" s="687" t="n"/>
    </row>
    <row r="211" ht="15.75" customHeight="1" s="557">
      <c r="A211" s="731" t="n"/>
      <c r="B211" s="570" t="n"/>
      <c r="C211" s="567" t="n"/>
      <c r="D211" s="689" t="n"/>
      <c r="E211" s="686" t="n"/>
      <c r="F211" s="570" t="n"/>
      <c r="G211" s="570" t="n"/>
      <c r="H211" s="570" t="n"/>
      <c r="I211" s="570" t="n"/>
      <c r="J211" s="570" t="n"/>
      <c r="K211" s="570" t="n"/>
      <c r="L211" s="570" t="n"/>
      <c r="M211" s="570" t="n"/>
      <c r="N211" s="570" t="n"/>
      <c r="O211" s="567" t="n"/>
      <c r="P211" s="732" t="n"/>
      <c r="Q211" s="732" t="n"/>
      <c r="R211" s="732" t="n"/>
    </row>
    <row r="212" ht="15.75" customHeight="1" s="557">
      <c r="A212" s="719" t="n"/>
      <c r="B212" s="678" t="n"/>
      <c r="C212" s="679" t="n"/>
      <c r="D212" s="720" t="n"/>
      <c r="E212" s="733" t="n"/>
      <c r="F212" s="678" t="n"/>
      <c r="G212" s="678" t="n"/>
      <c r="H212" s="678" t="n"/>
      <c r="I212" s="678" t="n"/>
      <c r="J212" s="678" t="n"/>
      <c r="K212" s="678" t="n"/>
      <c r="L212" s="678" t="n"/>
      <c r="M212" s="678" t="n"/>
      <c r="N212" s="678" t="n"/>
      <c r="O212" s="678" t="n"/>
      <c r="P212" s="678" t="n"/>
      <c r="Q212" s="678" t="n"/>
      <c r="R212" s="679" t="n"/>
    </row>
    <row r="213" ht="15.75" customHeight="1" s="557">
      <c r="A213" s="719" t="n"/>
      <c r="B213" s="678" t="n"/>
      <c r="C213" s="679" t="n"/>
      <c r="D213" s="720" t="n"/>
      <c r="E213" s="733" t="n"/>
      <c r="F213" s="678" t="n"/>
      <c r="G213" s="678" t="n"/>
      <c r="H213" s="678" t="n"/>
      <c r="I213" s="678" t="n"/>
      <c r="J213" s="678" t="n"/>
      <c r="K213" s="678" t="n"/>
      <c r="L213" s="678" t="n"/>
      <c r="M213" s="678" t="n"/>
      <c r="N213" s="678" t="n"/>
      <c r="O213" s="678" t="n"/>
      <c r="P213" s="678" t="n"/>
      <c r="Q213" s="678" t="n"/>
      <c r="R213" s="679" t="n"/>
    </row>
    <row r="214" ht="15.75" customHeight="1" s="557">
      <c r="A214" s="719" t="n"/>
      <c r="B214" s="678" t="n"/>
      <c r="C214" s="679" t="n"/>
      <c r="D214" s="720" t="n"/>
      <c r="E214" s="733" t="n"/>
      <c r="F214" s="678" t="n"/>
      <c r="G214" s="678" t="n"/>
      <c r="H214" s="678" t="n"/>
      <c r="I214" s="678" t="n"/>
      <c r="J214" s="678" t="n"/>
      <c r="K214" s="678" t="n"/>
      <c r="L214" s="678" t="n"/>
      <c r="M214" s="678" t="n"/>
      <c r="N214" s="678" t="n"/>
      <c r="O214" s="678" t="n"/>
      <c r="P214" s="678" t="n"/>
      <c r="Q214" s="678" t="n"/>
      <c r="R214" s="679" t="n"/>
    </row>
    <row r="215" ht="15.75" customHeight="1" s="557">
      <c r="A215" s="719" t="n"/>
      <c r="B215" s="678" t="n"/>
      <c r="C215" s="679" t="n"/>
      <c r="D215" s="720" t="n"/>
      <c r="E215" s="733" t="n"/>
      <c r="F215" s="678" t="n"/>
      <c r="G215" s="678" t="n"/>
      <c r="H215" s="678" t="n"/>
      <c r="I215" s="678" t="n"/>
      <c r="J215" s="678" t="n"/>
      <c r="K215" s="678" t="n"/>
      <c r="L215" s="678" t="n"/>
      <c r="M215" s="678" t="n"/>
      <c r="N215" s="678" t="n"/>
      <c r="O215" s="678" t="n"/>
      <c r="P215" s="678" t="n"/>
      <c r="Q215" s="678" t="n"/>
      <c r="R215" s="679" t="n"/>
    </row>
    <row r="216" ht="15.75" customHeight="1" s="557">
      <c r="A216" s="719" t="n"/>
      <c r="B216" s="678" t="n"/>
      <c r="C216" s="679" t="n"/>
      <c r="D216" s="720" t="n"/>
      <c r="E216" s="727" t="n"/>
      <c r="F216" s="570" t="n"/>
      <c r="G216" s="570" t="n"/>
      <c r="H216" s="570" t="n"/>
      <c r="I216" s="570" t="n"/>
      <c r="J216" s="570" t="n"/>
      <c r="K216" s="570" t="n"/>
      <c r="L216" s="570" t="n"/>
      <c r="M216" s="570" t="n"/>
      <c r="N216" s="570" t="n"/>
      <c r="O216" s="570" t="n"/>
      <c r="P216" s="570" t="n"/>
      <c r="Q216" s="570" t="n"/>
      <c r="R216" s="567" t="n"/>
    </row>
    <row r="217" ht="15.75" customHeight="1" s="557">
      <c r="A217" s="719" t="n"/>
      <c r="B217" s="678" t="n"/>
      <c r="C217" s="679" t="n"/>
      <c r="D217" s="720" t="n"/>
      <c r="E217" s="723" t="n"/>
      <c r="F217" s="570" t="n"/>
      <c r="G217" s="570" t="n"/>
      <c r="H217" s="570" t="n"/>
      <c r="I217" s="570" t="n"/>
      <c r="J217" s="570" t="n"/>
      <c r="K217" s="570" t="n"/>
      <c r="L217" s="570" t="n"/>
      <c r="M217" s="570" t="n"/>
      <c r="N217" s="570" t="n"/>
      <c r="O217" s="570" t="n"/>
      <c r="P217" s="570" t="n"/>
      <c r="Q217" s="570" t="n"/>
      <c r="R217" s="567" t="n"/>
    </row>
    <row r="218" ht="15.75" customHeight="1" s="557">
      <c r="A218" s="719" t="n"/>
      <c r="B218" s="678" t="n"/>
      <c r="C218" s="679" t="n"/>
      <c r="D218" s="734" t="n"/>
      <c r="E218" s="727" t="n"/>
      <c r="F218" s="570" t="n"/>
      <c r="G218" s="570" t="n"/>
      <c r="H218" s="570" t="n"/>
      <c r="I218" s="570" t="n"/>
      <c r="J218" s="570" t="n"/>
      <c r="K218" s="570" t="n"/>
      <c r="L218" s="570" t="n"/>
      <c r="M218" s="570" t="n"/>
      <c r="N218" s="570" t="n"/>
      <c r="O218" s="570" t="n"/>
      <c r="P218" s="570" t="n"/>
      <c r="Q218" s="570" t="n"/>
      <c r="R218" s="567" t="n"/>
    </row>
    <row r="219" ht="15.75" customHeight="1" s="557">
      <c r="A219" s="719" t="n"/>
      <c r="B219" s="678" t="n"/>
      <c r="C219" s="679" t="n"/>
      <c r="D219" s="720" t="n"/>
      <c r="E219" s="727" t="n"/>
      <c r="F219" s="570" t="n"/>
      <c r="G219" s="570" t="n"/>
      <c r="H219" s="570" t="n"/>
      <c r="I219" s="570" t="n"/>
      <c r="J219" s="570" t="n"/>
      <c r="K219" s="570" t="n"/>
      <c r="L219" s="570" t="n"/>
      <c r="M219" s="570" t="n"/>
      <c r="N219" s="570" t="n"/>
      <c r="O219" s="570" t="n"/>
      <c r="P219" s="570" t="n"/>
      <c r="Q219" s="570" t="n"/>
      <c r="R219" s="567" t="n"/>
    </row>
    <row r="220" ht="15.75" customHeight="1" s="557">
      <c r="A220" s="719" t="n"/>
      <c r="B220" s="678" t="n"/>
      <c r="C220" s="679" t="n"/>
      <c r="D220" s="720" t="n"/>
      <c r="E220" s="727" t="n"/>
      <c r="F220" s="570" t="n"/>
      <c r="G220" s="570" t="n"/>
      <c r="H220" s="570" t="n"/>
      <c r="I220" s="570" t="n"/>
      <c r="J220" s="570" t="n"/>
      <c r="K220" s="570" t="n"/>
      <c r="L220" s="570" t="n"/>
      <c r="M220" s="570" t="n"/>
      <c r="N220" s="570" t="n"/>
      <c r="O220" s="570" t="n"/>
      <c r="P220" s="570" t="n"/>
      <c r="Q220" s="570" t="n"/>
      <c r="R220" s="567" t="n"/>
    </row>
    <row r="221" ht="15.75" customHeight="1" s="557">
      <c r="A221" s="719" t="n"/>
      <c r="B221" s="678" t="n"/>
      <c r="C221" s="679" t="n"/>
      <c r="D221" s="720" t="n"/>
      <c r="E221" s="727" t="n"/>
      <c r="F221" s="570" t="n"/>
      <c r="G221" s="570" t="n"/>
      <c r="H221" s="570" t="n"/>
      <c r="I221" s="570" t="n"/>
      <c r="J221" s="570" t="n"/>
      <c r="K221" s="570" t="n"/>
      <c r="L221" s="570" t="n"/>
      <c r="M221" s="570" t="n"/>
      <c r="N221" s="570" t="n"/>
      <c r="O221" s="570" t="n"/>
      <c r="P221" s="570" t="n"/>
      <c r="Q221" s="570" t="n"/>
      <c r="R221" s="567" t="n"/>
    </row>
    <row r="222" ht="15.75" customHeight="1" s="557">
      <c r="A222" s="719" t="n"/>
      <c r="B222" s="678" t="n"/>
      <c r="C222" s="679" t="n"/>
      <c r="D222" s="720" t="n"/>
      <c r="E222" s="727" t="n"/>
      <c r="F222" s="570" t="n"/>
      <c r="G222" s="570" t="n"/>
      <c r="H222" s="570" t="n"/>
      <c r="I222" s="570" t="n"/>
      <c r="J222" s="570" t="n"/>
      <c r="K222" s="570" t="n"/>
      <c r="L222" s="570" t="n"/>
      <c r="M222" s="570" t="n"/>
      <c r="N222" s="570" t="n"/>
      <c r="O222" s="570" t="n"/>
      <c r="P222" s="570" t="n"/>
      <c r="Q222" s="570" t="n"/>
      <c r="R222" s="567" t="n"/>
    </row>
    <row r="223" ht="15.75" customHeight="1" s="557">
      <c r="A223" s="719" t="n"/>
      <c r="B223" s="678" t="n"/>
      <c r="C223" s="679" t="n"/>
      <c r="D223" s="720" t="n"/>
      <c r="E223" s="721" t="n"/>
      <c r="F223" s="570" t="n"/>
      <c r="G223" s="570" t="n"/>
      <c r="H223" s="570" t="n"/>
      <c r="I223" s="570" t="n"/>
      <c r="J223" s="570" t="n"/>
      <c r="K223" s="570" t="n"/>
      <c r="L223" s="570" t="n"/>
      <c r="M223" s="570" t="n"/>
      <c r="N223" s="570" t="n"/>
      <c r="O223" s="570" t="n"/>
      <c r="P223" s="570" t="n"/>
      <c r="Q223" s="570" t="n"/>
      <c r="R223" s="567" t="n"/>
    </row>
    <row r="224" ht="15.75" customHeight="1" s="557">
      <c r="A224" s="719" t="n"/>
      <c r="B224" s="678" t="n"/>
      <c r="C224" s="679" t="n"/>
      <c r="D224" s="720" t="n"/>
      <c r="E224" s="722" t="n"/>
      <c r="F224" s="570" t="n"/>
      <c r="G224" s="570" t="n"/>
      <c r="H224" s="570" t="n"/>
      <c r="I224" s="570" t="n"/>
      <c r="J224" s="570" t="n"/>
      <c r="K224" s="570" t="n"/>
      <c r="L224" s="570" t="n"/>
      <c r="M224" s="570" t="n"/>
      <c r="N224" s="570" t="n"/>
      <c r="O224" s="570" t="n"/>
      <c r="P224" s="570" t="n"/>
      <c r="Q224" s="570" t="n"/>
      <c r="R224" s="567" t="n"/>
    </row>
    <row r="225" ht="15.75" customHeight="1" s="557">
      <c r="A225" s="719" t="n"/>
      <c r="B225" s="678" t="n"/>
      <c r="C225" s="679" t="n"/>
      <c r="D225" s="720" t="n"/>
      <c r="E225" s="723" t="n"/>
      <c r="F225" s="570" t="n"/>
      <c r="G225" s="570" t="n"/>
      <c r="H225" s="570" t="n"/>
      <c r="I225" s="570" t="n"/>
      <c r="J225" s="570" t="n"/>
      <c r="K225" s="570" t="n"/>
      <c r="L225" s="570" t="n"/>
      <c r="M225" s="570" t="n"/>
      <c r="N225" s="570" t="n"/>
      <c r="O225" s="570" t="n"/>
      <c r="P225" s="570" t="n"/>
      <c r="Q225" s="570" t="n"/>
      <c r="R225" s="567" t="n"/>
    </row>
    <row r="226" ht="15.75" customHeight="1" s="557">
      <c r="A226" s="719" t="n"/>
      <c r="B226" s="678" t="n"/>
      <c r="C226" s="679" t="n"/>
      <c r="D226" s="720" t="n"/>
      <c r="E226" s="723" t="n"/>
      <c r="F226" s="570" t="n"/>
      <c r="G226" s="570" t="n"/>
      <c r="H226" s="570" t="n"/>
      <c r="I226" s="570" t="n"/>
      <c r="J226" s="570" t="n"/>
      <c r="K226" s="570" t="n"/>
      <c r="L226" s="570" t="n"/>
      <c r="M226" s="570" t="n"/>
      <c r="N226" s="570" t="n"/>
      <c r="O226" s="570" t="n"/>
      <c r="P226" s="570" t="n"/>
      <c r="Q226" s="570" t="n"/>
      <c r="R226" s="567" t="n"/>
    </row>
    <row r="227" ht="15.75" customHeight="1" s="557">
      <c r="A227" s="719" t="n"/>
      <c r="B227" s="678" t="n"/>
      <c r="C227" s="679" t="n"/>
      <c r="D227" s="720" t="n"/>
      <c r="E227" s="722" t="n"/>
      <c r="F227" s="570" t="n"/>
      <c r="G227" s="570" t="n"/>
      <c r="H227" s="570" t="n"/>
      <c r="I227" s="570" t="n"/>
      <c r="J227" s="570" t="n"/>
      <c r="K227" s="570" t="n"/>
      <c r="L227" s="570" t="n"/>
      <c r="M227" s="570" t="n"/>
      <c r="N227" s="570" t="n"/>
      <c r="O227" s="570" t="n"/>
      <c r="P227" s="570" t="n"/>
      <c r="Q227" s="570" t="n"/>
      <c r="R227" s="567" t="n"/>
    </row>
    <row r="228" ht="15.75" customHeight="1" s="557">
      <c r="A228" s="719" t="n"/>
      <c r="B228" s="678" t="n"/>
      <c r="C228" s="679" t="n"/>
      <c r="D228" s="720" t="n"/>
      <c r="E228" s="724" t="n"/>
      <c r="F228" s="570" t="n"/>
      <c r="G228" s="570" t="n"/>
      <c r="H228" s="570" t="n"/>
      <c r="I228" s="570" t="n"/>
      <c r="J228" s="570" t="n"/>
      <c r="K228" s="570" t="n"/>
      <c r="L228" s="570" t="n"/>
      <c r="M228" s="570" t="n"/>
      <c r="N228" s="570" t="n"/>
      <c r="O228" s="570" t="n"/>
      <c r="P228" s="570" t="n"/>
      <c r="Q228" s="570" t="n"/>
      <c r="R228" s="567" t="n"/>
    </row>
    <row r="229" ht="15.75" customHeight="1" s="557">
      <c r="A229" s="719" t="n"/>
      <c r="B229" s="678" t="n"/>
      <c r="C229" s="679" t="n"/>
      <c r="D229" s="720" t="n"/>
      <c r="E229" s="722" t="n"/>
      <c r="F229" s="570" t="n"/>
      <c r="G229" s="570" t="n"/>
      <c r="H229" s="570" t="n"/>
      <c r="I229" s="570" t="n"/>
      <c r="J229" s="570" t="n"/>
      <c r="K229" s="570" t="n"/>
      <c r="L229" s="570" t="n"/>
      <c r="M229" s="570" t="n"/>
      <c r="N229" s="570" t="n"/>
      <c r="O229" s="570" t="n"/>
      <c r="P229" s="570" t="n"/>
      <c r="Q229" s="570" t="n"/>
      <c r="R229" s="567" t="n"/>
    </row>
    <row r="230" ht="15.75" customHeight="1" s="557">
      <c r="A230" s="719" t="n"/>
      <c r="B230" s="678" t="n"/>
      <c r="C230" s="679" t="n"/>
      <c r="D230" s="720" t="n"/>
      <c r="E230" s="724" t="n"/>
      <c r="F230" s="570" t="n"/>
      <c r="G230" s="570" t="n"/>
      <c r="H230" s="570" t="n"/>
      <c r="I230" s="570" t="n"/>
      <c r="J230" s="570" t="n"/>
      <c r="K230" s="570" t="n"/>
      <c r="L230" s="570" t="n"/>
      <c r="M230" s="570" t="n"/>
      <c r="N230" s="570" t="n"/>
      <c r="O230" s="570" t="n"/>
      <c r="P230" s="570" t="n"/>
      <c r="Q230" s="570" t="n"/>
      <c r="R230" s="567" t="n"/>
    </row>
    <row r="231" ht="15.75" customHeight="1" s="557">
      <c r="A231" s="719" t="n"/>
      <c r="B231" s="678" t="n"/>
      <c r="C231" s="679" t="n"/>
      <c r="D231" s="720" t="n"/>
      <c r="E231" s="722" t="n"/>
      <c r="F231" s="570" t="n"/>
      <c r="G231" s="570" t="n"/>
      <c r="H231" s="570" t="n"/>
      <c r="I231" s="570" t="n"/>
      <c r="J231" s="570" t="n"/>
      <c r="K231" s="570" t="n"/>
      <c r="L231" s="570" t="n"/>
      <c r="M231" s="570" t="n"/>
      <c r="N231" s="570" t="n"/>
      <c r="O231" s="570" t="n"/>
      <c r="P231" s="570" t="n"/>
      <c r="Q231" s="570" t="n"/>
      <c r="R231" s="567" t="n"/>
    </row>
    <row r="232" ht="15.75" customHeight="1" s="557">
      <c r="A232" s="719" t="n"/>
      <c r="B232" s="678" t="n"/>
      <c r="C232" s="679" t="n"/>
      <c r="D232" s="720" t="n"/>
      <c r="E232" s="725" t="n"/>
      <c r="F232" s="570" t="n"/>
      <c r="G232" s="570" t="n"/>
      <c r="H232" s="570" t="n"/>
      <c r="I232" s="570" t="n"/>
      <c r="J232" s="570" t="n"/>
      <c r="K232" s="570" t="n"/>
      <c r="L232" s="570" t="n"/>
      <c r="M232" s="570" t="n"/>
      <c r="N232" s="570" t="n"/>
      <c r="O232" s="570" t="n"/>
      <c r="P232" s="570" t="n"/>
      <c r="Q232" s="570" t="n"/>
      <c r="R232" s="567" t="n"/>
    </row>
    <row r="233" ht="15.75" customHeight="1" s="557">
      <c r="A233" s="719" t="n"/>
      <c r="B233" s="678" t="n"/>
      <c r="C233" s="679" t="n"/>
      <c r="D233" s="720" t="n"/>
      <c r="E233" s="726" t="n"/>
      <c r="F233" s="570" t="n"/>
      <c r="G233" s="570" t="n"/>
      <c r="H233" s="570" t="n"/>
      <c r="I233" s="570" t="n"/>
      <c r="J233" s="570" t="n"/>
      <c r="K233" s="570" t="n"/>
      <c r="L233" s="570" t="n"/>
      <c r="M233" s="570" t="n"/>
      <c r="N233" s="570" t="n"/>
      <c r="O233" s="570" t="n"/>
      <c r="P233" s="570" t="n"/>
      <c r="Q233" s="570" t="n"/>
      <c r="R233" s="567" t="n"/>
    </row>
    <row r="234" ht="15.75" customHeight="1" s="557">
      <c r="A234" s="719" t="n"/>
      <c r="B234" s="678" t="n"/>
      <c r="C234" s="679" t="n"/>
      <c r="D234" s="720" t="n"/>
      <c r="E234" s="723" t="n"/>
      <c r="F234" s="570" t="n"/>
      <c r="G234" s="570" t="n"/>
      <c r="H234" s="570" t="n"/>
      <c r="I234" s="570" t="n"/>
      <c r="J234" s="570" t="n"/>
      <c r="K234" s="570" t="n"/>
      <c r="L234" s="570" t="n"/>
      <c r="M234" s="570" t="n"/>
      <c r="N234" s="570" t="n"/>
      <c r="O234" s="570" t="n"/>
      <c r="P234" s="570" t="n"/>
      <c r="Q234" s="570" t="n"/>
      <c r="R234" s="567" t="n"/>
    </row>
    <row r="235" ht="15.75" customHeight="1" s="557">
      <c r="A235" s="719" t="n"/>
      <c r="B235" s="678" t="n"/>
      <c r="C235" s="679" t="n"/>
      <c r="D235" s="720" t="n"/>
      <c r="E235" s="724" t="n"/>
      <c r="F235" s="570" t="n"/>
      <c r="G235" s="570" t="n"/>
      <c r="H235" s="570" t="n"/>
      <c r="I235" s="570" t="n"/>
      <c r="J235" s="570" t="n"/>
      <c r="K235" s="570" t="n"/>
      <c r="L235" s="570" t="n"/>
      <c r="M235" s="570" t="n"/>
      <c r="N235" s="570" t="n"/>
      <c r="O235" s="570" t="n"/>
      <c r="P235" s="570" t="n"/>
      <c r="Q235" s="570" t="n"/>
      <c r="R235" s="567" t="n"/>
    </row>
    <row r="236" ht="15.75" customHeight="1" s="557">
      <c r="A236" s="719" t="n"/>
      <c r="B236" s="678" t="n"/>
      <c r="C236" s="679" t="n"/>
      <c r="D236" s="720" t="n"/>
      <c r="E236" s="722" t="n"/>
      <c r="F236" s="570" t="n"/>
      <c r="G236" s="570" t="n"/>
      <c r="H236" s="570" t="n"/>
      <c r="I236" s="570" t="n"/>
      <c r="J236" s="570" t="n"/>
      <c r="K236" s="570" t="n"/>
      <c r="L236" s="570" t="n"/>
      <c r="M236" s="570" t="n"/>
      <c r="N236" s="570" t="n"/>
      <c r="O236" s="570" t="n"/>
      <c r="P236" s="570" t="n"/>
      <c r="Q236" s="570" t="n"/>
      <c r="R236" s="567" t="n"/>
    </row>
    <row r="237" ht="15.75" customHeight="1" s="557">
      <c r="A237" s="719" t="n"/>
      <c r="B237" s="678" t="n"/>
      <c r="C237" s="679" t="n"/>
      <c r="D237" s="720" t="n"/>
      <c r="E237" s="725" t="n"/>
      <c r="F237" s="570" t="n"/>
      <c r="G237" s="570" t="n"/>
      <c r="H237" s="570" t="n"/>
      <c r="I237" s="570" t="n"/>
      <c r="J237" s="570" t="n"/>
      <c r="K237" s="570" t="n"/>
      <c r="L237" s="570" t="n"/>
      <c r="M237" s="570" t="n"/>
      <c r="N237" s="570" t="n"/>
      <c r="O237" s="570" t="n"/>
      <c r="P237" s="570" t="n"/>
      <c r="Q237" s="570" t="n"/>
      <c r="R237" s="567" t="n"/>
    </row>
    <row r="238" ht="15.75" customHeight="1" s="557">
      <c r="A238" s="719" t="n"/>
      <c r="B238" s="678" t="n"/>
      <c r="C238" s="679" t="n"/>
      <c r="D238" s="720" t="n"/>
      <c r="E238" s="722" t="n"/>
      <c r="F238" s="570" t="n"/>
      <c r="G238" s="570" t="n"/>
      <c r="H238" s="570" t="n"/>
      <c r="I238" s="570" t="n"/>
      <c r="J238" s="570" t="n"/>
      <c r="K238" s="570" t="n"/>
      <c r="L238" s="570" t="n"/>
      <c r="M238" s="570" t="n"/>
      <c r="N238" s="570" t="n"/>
      <c r="O238" s="570" t="n"/>
      <c r="P238" s="570" t="n"/>
      <c r="Q238" s="570" t="n"/>
      <c r="R238" s="567" t="n"/>
    </row>
    <row r="239" ht="15.75" customHeight="1" s="557">
      <c r="A239" s="719" t="n"/>
      <c r="B239" s="678" t="n"/>
      <c r="C239" s="679" t="n"/>
      <c r="D239" s="720" t="n"/>
      <c r="E239" s="722" t="n"/>
      <c r="F239" s="570" t="n"/>
      <c r="G239" s="570" t="n"/>
      <c r="H239" s="570" t="n"/>
      <c r="I239" s="570" t="n"/>
      <c r="J239" s="570" t="n"/>
      <c r="K239" s="570" t="n"/>
      <c r="L239" s="570" t="n"/>
      <c r="M239" s="570" t="n"/>
      <c r="N239" s="570" t="n"/>
      <c r="O239" s="570" t="n"/>
      <c r="P239" s="570" t="n"/>
      <c r="Q239" s="570" t="n"/>
      <c r="R239" s="567" t="n"/>
    </row>
    <row r="240" ht="15.75" customHeight="1" s="557">
      <c r="A240" s="719" t="n"/>
      <c r="B240" s="678" t="n"/>
      <c r="C240" s="679" t="n"/>
      <c r="D240" s="720" t="n"/>
      <c r="E240" s="723" t="n"/>
      <c r="F240" s="570" t="n"/>
      <c r="G240" s="570" t="n"/>
      <c r="H240" s="570" t="n"/>
      <c r="I240" s="570" t="n"/>
      <c r="J240" s="570" t="n"/>
      <c r="K240" s="570" t="n"/>
      <c r="L240" s="570" t="n"/>
      <c r="M240" s="570" t="n"/>
      <c r="N240" s="570" t="n"/>
      <c r="O240" s="570" t="n"/>
      <c r="P240" s="570" t="n"/>
      <c r="Q240" s="570" t="n"/>
      <c r="R240" s="567" t="n"/>
    </row>
    <row r="241" ht="15.75" customHeight="1" s="557">
      <c r="A241" s="719" t="n"/>
      <c r="B241" s="678" t="n"/>
      <c r="C241" s="679" t="n"/>
      <c r="D241" s="720" t="n"/>
      <c r="E241" s="727" t="n"/>
      <c r="F241" s="570" t="n"/>
      <c r="G241" s="570" t="n"/>
      <c r="H241" s="570" t="n"/>
      <c r="I241" s="570" t="n"/>
      <c r="J241" s="570" t="n"/>
      <c r="K241" s="570" t="n"/>
      <c r="L241" s="570" t="n"/>
      <c r="M241" s="570" t="n"/>
      <c r="N241" s="570" t="n"/>
      <c r="O241" s="570" t="n"/>
      <c r="P241" s="570" t="n"/>
      <c r="Q241" s="570" t="n"/>
      <c r="R241" s="567" t="n"/>
    </row>
    <row r="242" ht="15.75" customHeight="1" s="557">
      <c r="A242" s="719" t="n"/>
      <c r="B242" s="678" t="n"/>
      <c r="C242" s="679" t="n"/>
      <c r="D242" s="720" t="n"/>
      <c r="E242" s="722" t="n"/>
      <c r="F242" s="570" t="n"/>
      <c r="G242" s="570" t="n"/>
      <c r="H242" s="570" t="n"/>
      <c r="I242" s="570" t="n"/>
      <c r="J242" s="570" t="n"/>
      <c r="K242" s="570" t="n"/>
      <c r="L242" s="570" t="n"/>
      <c r="M242" s="570" t="n"/>
      <c r="N242" s="570" t="n"/>
      <c r="O242" s="570" t="n"/>
      <c r="P242" s="570" t="n"/>
      <c r="Q242" s="570" t="n"/>
      <c r="R242" s="567" t="n"/>
    </row>
    <row r="243" ht="15.75" customHeight="1" s="557">
      <c r="A243" s="719" t="n"/>
      <c r="B243" s="678" t="n"/>
      <c r="C243" s="679" t="n"/>
      <c r="D243" s="720" t="n"/>
      <c r="E243" s="722" t="n"/>
      <c r="F243" s="570" t="n"/>
      <c r="G243" s="570" t="n"/>
      <c r="H243" s="570" t="n"/>
      <c r="I243" s="570" t="n"/>
      <c r="J243" s="570" t="n"/>
      <c r="K243" s="570" t="n"/>
      <c r="L243" s="570" t="n"/>
      <c r="M243" s="570" t="n"/>
      <c r="N243" s="570" t="n"/>
      <c r="O243" s="570" t="n"/>
      <c r="P243" s="570" t="n"/>
      <c r="Q243" s="570" t="n"/>
      <c r="R243" s="567" t="n"/>
    </row>
    <row r="244" ht="15.75" customHeight="1" s="557">
      <c r="A244" s="719" t="n"/>
      <c r="B244" s="678" t="n"/>
      <c r="C244" s="679" t="n"/>
      <c r="D244" s="720" t="n"/>
      <c r="E244" s="722" t="n"/>
      <c r="F244" s="570" t="n"/>
      <c r="G244" s="570" t="n"/>
      <c r="H244" s="570" t="n"/>
      <c r="I244" s="570" t="n"/>
      <c r="J244" s="570" t="n"/>
      <c r="K244" s="570" t="n"/>
      <c r="L244" s="570" t="n"/>
      <c r="M244" s="570" t="n"/>
      <c r="N244" s="570" t="n"/>
      <c r="O244" s="570" t="n"/>
      <c r="P244" s="570" t="n"/>
      <c r="Q244" s="570" t="n"/>
      <c r="R244" s="567" t="n"/>
    </row>
    <row r="245" ht="15.75" customHeight="1" s="557">
      <c r="A245" s="719" t="n"/>
      <c r="B245" s="678" t="n"/>
      <c r="C245" s="679" t="n"/>
      <c r="D245" s="720" t="n"/>
      <c r="E245" s="728" t="n"/>
      <c r="F245" s="678" t="n"/>
      <c r="G245" s="678" t="n"/>
      <c r="H245" s="678" t="n"/>
      <c r="I245" s="678" t="n"/>
      <c r="J245" s="678" t="n"/>
      <c r="K245" s="678" t="n"/>
      <c r="L245" s="678" t="n"/>
      <c r="M245" s="678" t="n"/>
      <c r="N245" s="678" t="n"/>
      <c r="O245" s="678" t="n"/>
      <c r="P245" s="678" t="n"/>
      <c r="Q245" s="678" t="n"/>
      <c r="R245" s="679" t="n"/>
    </row>
    <row r="246" ht="15.75" customHeight="1" s="557">
      <c r="A246" s="719" t="n"/>
      <c r="B246" s="678" t="n"/>
      <c r="C246" s="679" t="n"/>
      <c r="D246" s="720" t="n"/>
      <c r="E246" s="728" t="n"/>
      <c r="F246" s="678" t="n"/>
      <c r="G246" s="678" t="n"/>
      <c r="H246" s="678" t="n"/>
      <c r="I246" s="678" t="n"/>
      <c r="J246" s="678" t="n"/>
      <c r="K246" s="678" t="n"/>
      <c r="L246" s="678" t="n"/>
      <c r="M246" s="678" t="n"/>
      <c r="N246" s="678" t="n"/>
      <c r="O246" s="678" t="n"/>
      <c r="P246" s="678" t="n"/>
      <c r="Q246" s="678" t="n"/>
      <c r="R246" s="679" t="n"/>
    </row>
    <row r="247" ht="15.75" customHeight="1" s="557">
      <c r="A247" s="719" t="n"/>
      <c r="B247" s="678" t="n"/>
      <c r="C247" s="679" t="n"/>
      <c r="D247" s="729" t="n"/>
      <c r="E247" s="728" t="n"/>
      <c r="F247" s="678" t="n"/>
      <c r="G247" s="678" t="n"/>
      <c r="H247" s="678" t="n"/>
      <c r="I247" s="678" t="n"/>
      <c r="J247" s="678" t="n"/>
      <c r="K247" s="678" t="n"/>
      <c r="L247" s="678" t="n"/>
      <c r="M247" s="678" t="n"/>
      <c r="N247" s="678" t="n"/>
      <c r="O247" s="678" t="n"/>
      <c r="P247" s="678" t="n"/>
      <c r="Q247" s="678" t="n"/>
      <c r="R247" s="679" t="n"/>
    </row>
    <row r="248" ht="15.75" customHeight="1" s="557">
      <c r="A248" s="719" t="n"/>
      <c r="B248" s="678" t="n"/>
      <c r="C248" s="679" t="n"/>
      <c r="D248" s="729" t="n"/>
      <c r="E248" s="728" t="n"/>
      <c r="F248" s="678" t="n"/>
      <c r="G248" s="678" t="n"/>
      <c r="H248" s="678" t="n"/>
      <c r="I248" s="678" t="n"/>
      <c r="J248" s="678" t="n"/>
      <c r="K248" s="678" t="n"/>
      <c r="L248" s="678" t="n"/>
      <c r="M248" s="678" t="n"/>
      <c r="N248" s="678" t="n"/>
      <c r="O248" s="678" t="n"/>
      <c r="P248" s="678" t="n"/>
      <c r="Q248" s="678" t="n"/>
      <c r="R248" s="679" t="n"/>
    </row>
    <row r="249" ht="15.75" customHeight="1" s="557">
      <c r="A249" s="684" t="n"/>
      <c r="B249" s="570" t="n"/>
      <c r="C249" s="567" t="n"/>
      <c r="D249" s="689" t="n"/>
      <c r="E249" s="686" t="n"/>
      <c r="F249" s="570" t="n"/>
      <c r="G249" s="570" t="n"/>
      <c r="H249" s="570" t="n"/>
      <c r="I249" s="570" t="n"/>
      <c r="J249" s="570" t="n"/>
      <c r="K249" s="570" t="n"/>
      <c r="L249" s="570" t="n"/>
      <c r="M249" s="570" t="n"/>
      <c r="N249" s="570" t="n"/>
      <c r="O249" s="567" t="n"/>
      <c r="P249" s="687" t="n"/>
      <c r="Q249" s="687" t="n"/>
      <c r="R249" s="687" t="n"/>
    </row>
    <row r="250" ht="15.75" customHeight="1" s="557">
      <c r="A250" s="690" t="n"/>
      <c r="B250" s="570" t="n"/>
      <c r="C250" s="567" t="n"/>
      <c r="D250" s="730" t="n"/>
      <c r="E250" s="686" t="n"/>
      <c r="F250" s="570" t="n"/>
      <c r="G250" s="570" t="n"/>
      <c r="H250" s="570" t="n"/>
      <c r="I250" s="570" t="n"/>
      <c r="J250" s="570" t="n"/>
      <c r="K250" s="570" t="n"/>
      <c r="L250" s="570" t="n"/>
      <c r="M250" s="570" t="n"/>
      <c r="N250" s="570" t="n"/>
      <c r="O250" s="567" t="n"/>
      <c r="P250" s="687" t="n"/>
      <c r="Q250" s="687" t="n"/>
      <c r="R250" s="687" t="n"/>
    </row>
    <row r="251" ht="15.75" customFormat="1" customHeight="1" s="696">
      <c r="A251" s="684" t="n"/>
      <c r="B251" s="570" t="n"/>
      <c r="C251" s="567" t="n"/>
      <c r="D251" s="689" t="n"/>
      <c r="E251" s="686" t="n"/>
      <c r="F251" s="570" t="n"/>
      <c r="G251" s="570" t="n"/>
      <c r="H251" s="570" t="n"/>
      <c r="I251" s="570" t="n"/>
      <c r="J251" s="570" t="n"/>
      <c r="K251" s="570" t="n"/>
      <c r="L251" s="570" t="n"/>
      <c r="M251" s="570" t="n"/>
      <c r="N251" s="570" t="n"/>
      <c r="O251" s="567" t="n"/>
      <c r="P251" s="687" t="n"/>
      <c r="Q251" s="687" t="n"/>
      <c r="R251" s="687" t="n"/>
    </row>
    <row r="252" ht="15.75" customHeight="1" s="557">
      <c r="A252" s="691" t="n"/>
      <c r="B252" s="570" t="n"/>
      <c r="C252" s="567" t="n"/>
      <c r="D252" s="689" t="n"/>
      <c r="E252" s="686" t="n"/>
      <c r="F252" s="570" t="n"/>
      <c r="G252" s="570" t="n"/>
      <c r="H252" s="570" t="n"/>
      <c r="I252" s="570" t="n"/>
      <c r="J252" s="570" t="n"/>
      <c r="K252" s="570" t="n"/>
      <c r="L252" s="570" t="n"/>
      <c r="M252" s="570" t="n"/>
      <c r="N252" s="570" t="n"/>
      <c r="O252" s="567" t="n"/>
      <c r="P252" s="687" t="n"/>
      <c r="Q252" s="687" t="n"/>
      <c r="R252" s="687" t="n"/>
    </row>
    <row r="253" ht="15.75" customHeight="1" s="557">
      <c r="A253" s="691" t="n"/>
      <c r="B253" s="570" t="n"/>
      <c r="C253" s="567" t="n"/>
      <c r="D253" s="689" t="n"/>
      <c r="E253" s="686" t="n"/>
      <c r="F253" s="570" t="n"/>
      <c r="G253" s="570" t="n"/>
      <c r="H253" s="570" t="n"/>
      <c r="I253" s="570" t="n"/>
      <c r="J253" s="570" t="n"/>
      <c r="K253" s="570" t="n"/>
      <c r="L253" s="570" t="n"/>
      <c r="M253" s="570" t="n"/>
      <c r="N253" s="570" t="n"/>
      <c r="O253" s="567" t="n"/>
      <c r="P253" s="687" t="n"/>
      <c r="Q253" s="687" t="n"/>
      <c r="R253" s="687" t="n"/>
    </row>
    <row r="254" ht="15.75" customHeight="1" s="557">
      <c r="A254" s="691" t="n"/>
      <c r="B254" s="570" t="n"/>
      <c r="C254" s="567" t="n"/>
      <c r="D254" s="689" t="n"/>
      <c r="E254" s="686" t="n"/>
      <c r="F254" s="570" t="n"/>
      <c r="G254" s="570" t="n"/>
      <c r="H254" s="570" t="n"/>
      <c r="I254" s="570" t="n"/>
      <c r="J254" s="570" t="n"/>
      <c r="K254" s="570" t="n"/>
      <c r="L254" s="570" t="n"/>
      <c r="M254" s="570" t="n"/>
      <c r="N254" s="570" t="n"/>
      <c r="O254" s="567" t="n"/>
      <c r="P254" s="687" t="n"/>
      <c r="Q254" s="687" t="n"/>
      <c r="R254" s="687" t="n"/>
    </row>
    <row r="255" ht="15.75" customHeight="1" s="557">
      <c r="A255" s="691" t="n"/>
      <c r="B255" s="570" t="n"/>
      <c r="C255" s="567" t="n"/>
      <c r="D255" s="689" t="n"/>
      <c r="E255" s="686" t="n"/>
      <c r="F255" s="570" t="n"/>
      <c r="G255" s="570" t="n"/>
      <c r="H255" s="570" t="n"/>
      <c r="I255" s="570" t="n"/>
      <c r="J255" s="570" t="n"/>
      <c r="K255" s="570" t="n"/>
      <c r="L255" s="570" t="n"/>
      <c r="M255" s="570" t="n"/>
      <c r="N255" s="570" t="n"/>
      <c r="O255" s="567" t="n"/>
      <c r="P255" s="687" t="n"/>
      <c r="Q255" s="687" t="n"/>
      <c r="R255" s="687" t="n"/>
    </row>
    <row r="256" ht="15.75" customHeight="1" s="557">
      <c r="A256" s="691" t="n"/>
      <c r="B256" s="570" t="n"/>
      <c r="C256" s="567" t="n"/>
      <c r="D256" s="689" t="n"/>
      <c r="E256" s="686" t="n"/>
      <c r="F256" s="570" t="n"/>
      <c r="G256" s="570" t="n"/>
      <c r="H256" s="570" t="n"/>
      <c r="I256" s="570" t="n"/>
      <c r="J256" s="570" t="n"/>
      <c r="K256" s="570" t="n"/>
      <c r="L256" s="570" t="n"/>
      <c r="M256" s="570" t="n"/>
      <c r="N256" s="570" t="n"/>
      <c r="O256" s="567" t="n"/>
      <c r="P256" s="687" t="n"/>
      <c r="Q256" s="687" t="n"/>
      <c r="R256" s="687" t="n"/>
    </row>
    <row r="257" ht="15.75" customHeight="1" s="557">
      <c r="A257" s="691" t="n"/>
      <c r="B257" s="570" t="n"/>
      <c r="C257" s="567" t="n"/>
      <c r="D257" s="689" t="n"/>
      <c r="E257" s="686" t="n"/>
      <c r="F257" s="570" t="n"/>
      <c r="G257" s="570" t="n"/>
      <c r="H257" s="570" t="n"/>
      <c r="I257" s="570" t="n"/>
      <c r="J257" s="570" t="n"/>
      <c r="K257" s="570" t="n"/>
      <c r="L257" s="570" t="n"/>
      <c r="M257" s="570" t="n"/>
      <c r="N257" s="570" t="n"/>
      <c r="O257" s="567" t="n"/>
      <c r="P257" s="687" t="n"/>
      <c r="Q257" s="687" t="n"/>
      <c r="R257" s="687" t="n"/>
    </row>
    <row r="258" ht="15.75" customHeight="1" s="557">
      <c r="A258" s="684" t="n"/>
      <c r="B258" s="570" t="n"/>
      <c r="C258" s="567" t="n"/>
      <c r="D258" s="689" t="n"/>
      <c r="E258" s="686" t="n"/>
      <c r="F258" s="570" t="n"/>
      <c r="G258" s="570" t="n"/>
      <c r="H258" s="570" t="n"/>
      <c r="I258" s="570" t="n"/>
      <c r="J258" s="570" t="n"/>
      <c r="K258" s="570" t="n"/>
      <c r="L258" s="570" t="n"/>
      <c r="M258" s="570" t="n"/>
      <c r="N258" s="570" t="n"/>
      <c r="O258" s="567" t="n"/>
      <c r="P258" s="687" t="n"/>
      <c r="Q258" s="687" t="n"/>
      <c r="R258" s="687" t="n"/>
    </row>
    <row r="259" ht="15.75" customHeight="1" s="557">
      <c r="A259" s="731" t="n"/>
      <c r="B259" s="570" t="n"/>
      <c r="C259" s="567" t="n"/>
      <c r="D259" s="689" t="n"/>
      <c r="E259" s="686" t="n"/>
      <c r="F259" s="570" t="n"/>
      <c r="G259" s="570" t="n"/>
      <c r="H259" s="570" t="n"/>
      <c r="I259" s="570" t="n"/>
      <c r="J259" s="570" t="n"/>
      <c r="K259" s="570" t="n"/>
      <c r="L259" s="570" t="n"/>
      <c r="M259" s="570" t="n"/>
      <c r="N259" s="570" t="n"/>
      <c r="O259" s="567" t="n"/>
      <c r="P259" s="687" t="n"/>
      <c r="Q259" s="687" t="n"/>
      <c r="R259" s="687" t="n"/>
    </row>
    <row r="260" ht="15.75" customHeight="1" s="557">
      <c r="A260" s="731" t="n"/>
      <c r="B260" s="570" t="n"/>
      <c r="C260" s="567" t="n"/>
      <c r="D260" s="689" t="n"/>
      <c r="E260" s="686" t="n"/>
      <c r="F260" s="570" t="n"/>
      <c r="G260" s="570" t="n"/>
      <c r="H260" s="570" t="n"/>
      <c r="I260" s="570" t="n"/>
      <c r="J260" s="570" t="n"/>
      <c r="K260" s="570" t="n"/>
      <c r="L260" s="570" t="n"/>
      <c r="M260" s="570" t="n"/>
      <c r="N260" s="570" t="n"/>
      <c r="O260" s="567" t="n"/>
      <c r="P260" s="732" t="n"/>
      <c r="Q260" s="732" t="n"/>
      <c r="R260" s="732" t="n"/>
    </row>
    <row r="261" ht="15.75" customHeight="1" s="557">
      <c r="A261" s="719" t="n"/>
      <c r="B261" s="678" t="n"/>
      <c r="C261" s="679" t="n"/>
      <c r="D261" s="720" t="n"/>
      <c r="E261" s="733" t="n"/>
      <c r="F261" s="678" t="n"/>
      <c r="G261" s="678" t="n"/>
      <c r="H261" s="678" t="n"/>
      <c r="I261" s="678" t="n"/>
      <c r="J261" s="678" t="n"/>
      <c r="K261" s="678" t="n"/>
      <c r="L261" s="678" t="n"/>
      <c r="M261" s="678" t="n"/>
      <c r="N261" s="678" t="n"/>
      <c r="O261" s="678" t="n"/>
      <c r="P261" s="678" t="n"/>
      <c r="Q261" s="678" t="n"/>
      <c r="R261" s="679" t="n"/>
    </row>
    <row r="262" ht="15.75" customHeight="1" s="557">
      <c r="A262" s="719" t="n"/>
      <c r="B262" s="678" t="n"/>
      <c r="C262" s="679" t="n"/>
      <c r="D262" s="720" t="n"/>
      <c r="E262" s="733" t="n"/>
      <c r="F262" s="678" t="n"/>
      <c r="G262" s="678" t="n"/>
      <c r="H262" s="678" t="n"/>
      <c r="I262" s="678" t="n"/>
      <c r="J262" s="678" t="n"/>
      <c r="K262" s="678" t="n"/>
      <c r="L262" s="678" t="n"/>
      <c r="M262" s="678" t="n"/>
      <c r="N262" s="678" t="n"/>
      <c r="O262" s="678" t="n"/>
      <c r="P262" s="678" t="n"/>
      <c r="Q262" s="678" t="n"/>
      <c r="R262" s="679" t="n"/>
    </row>
    <row r="263" ht="15.75" customHeight="1" s="557">
      <c r="A263" s="719" t="n"/>
      <c r="B263" s="678" t="n"/>
      <c r="C263" s="679" t="n"/>
      <c r="D263" s="720" t="n"/>
      <c r="E263" s="733" t="n"/>
      <c r="F263" s="678" t="n"/>
      <c r="G263" s="678" t="n"/>
      <c r="H263" s="678" t="n"/>
      <c r="I263" s="678" t="n"/>
      <c r="J263" s="678" t="n"/>
      <c r="K263" s="678" t="n"/>
      <c r="L263" s="678" t="n"/>
      <c r="M263" s="678" t="n"/>
      <c r="N263" s="678" t="n"/>
      <c r="O263" s="678" t="n"/>
      <c r="P263" s="678" t="n"/>
      <c r="Q263" s="678" t="n"/>
      <c r="R263" s="679" t="n"/>
    </row>
    <row r="264" ht="15.75" customHeight="1" s="557">
      <c r="A264" s="719" t="n"/>
      <c r="B264" s="678" t="n"/>
      <c r="C264" s="679" t="n"/>
      <c r="D264" s="720" t="n"/>
      <c r="E264" s="733" t="n"/>
      <c r="F264" s="678" t="n"/>
      <c r="G264" s="678" t="n"/>
      <c r="H264" s="678" t="n"/>
      <c r="I264" s="678" t="n"/>
      <c r="J264" s="678" t="n"/>
      <c r="K264" s="678" t="n"/>
      <c r="L264" s="678" t="n"/>
      <c r="M264" s="678" t="n"/>
      <c r="N264" s="678" t="n"/>
      <c r="O264" s="678" t="n"/>
      <c r="P264" s="678" t="n"/>
      <c r="Q264" s="678" t="n"/>
      <c r="R264" s="679" t="n"/>
    </row>
    <row r="265" ht="15.75" customHeight="1" s="557">
      <c r="A265" s="719" t="n"/>
      <c r="B265" s="678" t="n"/>
      <c r="C265" s="679" t="n"/>
      <c r="D265" s="720" t="n"/>
      <c r="E265" s="727" t="n"/>
      <c r="F265" s="570" t="n"/>
      <c r="G265" s="570" t="n"/>
      <c r="H265" s="570" t="n"/>
      <c r="I265" s="570" t="n"/>
      <c r="J265" s="570" t="n"/>
      <c r="K265" s="570" t="n"/>
      <c r="L265" s="570" t="n"/>
      <c r="M265" s="570" t="n"/>
      <c r="N265" s="570" t="n"/>
      <c r="O265" s="570" t="n"/>
      <c r="P265" s="570" t="n"/>
      <c r="Q265" s="570" t="n"/>
      <c r="R265" s="567" t="n"/>
    </row>
    <row r="266" ht="15.75" customHeight="1" s="557">
      <c r="A266" s="719" t="n"/>
      <c r="B266" s="678" t="n"/>
      <c r="C266" s="679" t="n"/>
      <c r="D266" s="720" t="n"/>
      <c r="E266" s="723" t="n"/>
      <c r="F266" s="570" t="n"/>
      <c r="G266" s="570" t="n"/>
      <c r="H266" s="570" t="n"/>
      <c r="I266" s="570" t="n"/>
      <c r="J266" s="570" t="n"/>
      <c r="K266" s="570" t="n"/>
      <c r="L266" s="570" t="n"/>
      <c r="M266" s="570" t="n"/>
      <c r="N266" s="570" t="n"/>
      <c r="O266" s="570" t="n"/>
      <c r="P266" s="570" t="n"/>
      <c r="Q266" s="570" t="n"/>
      <c r="R266" s="567" t="n"/>
    </row>
    <row r="267" ht="15.75" customHeight="1" s="557">
      <c r="A267" s="719" t="n"/>
      <c r="B267" s="678" t="n"/>
      <c r="C267" s="679" t="n"/>
      <c r="D267" s="734" t="n"/>
      <c r="E267" s="727" t="n"/>
      <c r="F267" s="570" t="n"/>
      <c r="G267" s="570" t="n"/>
      <c r="H267" s="570" t="n"/>
      <c r="I267" s="570" t="n"/>
      <c r="J267" s="570" t="n"/>
      <c r="K267" s="570" t="n"/>
      <c r="L267" s="570" t="n"/>
      <c r="M267" s="570" t="n"/>
      <c r="N267" s="570" t="n"/>
      <c r="O267" s="570" t="n"/>
      <c r="P267" s="570" t="n"/>
      <c r="Q267" s="570" t="n"/>
      <c r="R267" s="567" t="n"/>
    </row>
    <row r="268" ht="15.75" customHeight="1" s="557">
      <c r="A268" s="719" t="n"/>
      <c r="B268" s="678" t="n"/>
      <c r="C268" s="679" t="n"/>
      <c r="D268" s="720" t="n"/>
      <c r="E268" s="727" t="n"/>
      <c r="F268" s="570" t="n"/>
      <c r="G268" s="570" t="n"/>
      <c r="H268" s="570" t="n"/>
      <c r="I268" s="570" t="n"/>
      <c r="J268" s="570" t="n"/>
      <c r="K268" s="570" t="n"/>
      <c r="L268" s="570" t="n"/>
      <c r="M268" s="570" t="n"/>
      <c r="N268" s="570" t="n"/>
      <c r="O268" s="570" t="n"/>
      <c r="P268" s="570" t="n"/>
      <c r="Q268" s="570" t="n"/>
      <c r="R268" s="567" t="n"/>
    </row>
    <row r="269" ht="15.75" customHeight="1" s="557">
      <c r="A269" s="719" t="n"/>
      <c r="B269" s="678" t="n"/>
      <c r="C269" s="679" t="n"/>
      <c r="D269" s="720" t="n"/>
      <c r="E269" s="727" t="n"/>
      <c r="F269" s="570" t="n"/>
      <c r="G269" s="570" t="n"/>
      <c r="H269" s="570" t="n"/>
      <c r="I269" s="570" t="n"/>
      <c r="J269" s="570" t="n"/>
      <c r="K269" s="570" t="n"/>
      <c r="L269" s="570" t="n"/>
      <c r="M269" s="570" t="n"/>
      <c r="N269" s="570" t="n"/>
      <c r="O269" s="570" t="n"/>
      <c r="P269" s="570" t="n"/>
      <c r="Q269" s="570" t="n"/>
      <c r="R269" s="567" t="n"/>
    </row>
    <row r="270" ht="15.75" customHeight="1" s="557">
      <c r="A270" s="719" t="n"/>
      <c r="B270" s="678" t="n"/>
      <c r="C270" s="679" t="n"/>
      <c r="D270" s="720" t="n"/>
      <c r="E270" s="727" t="n"/>
      <c r="F270" s="570" t="n"/>
      <c r="G270" s="570" t="n"/>
      <c r="H270" s="570" t="n"/>
      <c r="I270" s="570" t="n"/>
      <c r="J270" s="570" t="n"/>
      <c r="K270" s="570" t="n"/>
      <c r="L270" s="570" t="n"/>
      <c r="M270" s="570" t="n"/>
      <c r="N270" s="570" t="n"/>
      <c r="O270" s="570" t="n"/>
      <c r="P270" s="570" t="n"/>
      <c r="Q270" s="570" t="n"/>
      <c r="R270" s="567" t="n"/>
    </row>
    <row r="271" ht="15.75" customHeight="1" s="557">
      <c r="A271" s="719" t="n"/>
      <c r="B271" s="678" t="n"/>
      <c r="C271" s="679" t="n"/>
      <c r="D271" s="720" t="n"/>
      <c r="E271" s="727" t="n"/>
      <c r="F271" s="570" t="n"/>
      <c r="G271" s="570" t="n"/>
      <c r="H271" s="570" t="n"/>
      <c r="I271" s="570" t="n"/>
      <c r="J271" s="570" t="n"/>
      <c r="K271" s="570" t="n"/>
      <c r="L271" s="570" t="n"/>
      <c r="M271" s="570" t="n"/>
      <c r="N271" s="570" t="n"/>
      <c r="O271" s="570" t="n"/>
      <c r="P271" s="570" t="n"/>
      <c r="Q271" s="570" t="n"/>
      <c r="R271" s="567" t="n"/>
    </row>
    <row r="272" ht="15.75" customHeight="1" s="557">
      <c r="A272" s="719" t="n"/>
      <c r="B272" s="678" t="n"/>
      <c r="C272" s="679" t="n"/>
      <c r="D272" s="720" t="n"/>
      <c r="E272" s="721" t="n"/>
      <c r="F272" s="570" t="n"/>
      <c r="G272" s="570" t="n"/>
      <c r="H272" s="570" t="n"/>
      <c r="I272" s="570" t="n"/>
      <c r="J272" s="570" t="n"/>
      <c r="K272" s="570" t="n"/>
      <c r="L272" s="570" t="n"/>
      <c r="M272" s="570" t="n"/>
      <c r="N272" s="570" t="n"/>
      <c r="O272" s="570" t="n"/>
      <c r="P272" s="570" t="n"/>
      <c r="Q272" s="570" t="n"/>
      <c r="R272" s="567" t="n"/>
    </row>
    <row r="273" ht="15.75" customHeight="1" s="557">
      <c r="A273" s="719" t="n"/>
      <c r="B273" s="678" t="n"/>
      <c r="C273" s="679" t="n"/>
      <c r="D273" s="720" t="n"/>
      <c r="E273" s="722" t="n"/>
      <c r="F273" s="570" t="n"/>
      <c r="G273" s="570" t="n"/>
      <c r="H273" s="570" t="n"/>
      <c r="I273" s="570" t="n"/>
      <c r="J273" s="570" t="n"/>
      <c r="K273" s="570" t="n"/>
      <c r="L273" s="570" t="n"/>
      <c r="M273" s="570" t="n"/>
      <c r="N273" s="570" t="n"/>
      <c r="O273" s="570" t="n"/>
      <c r="P273" s="570" t="n"/>
      <c r="Q273" s="570" t="n"/>
      <c r="R273" s="567" t="n"/>
    </row>
    <row r="274" ht="15.75" customHeight="1" s="557">
      <c r="A274" s="719" t="n"/>
      <c r="B274" s="678" t="n"/>
      <c r="C274" s="679" t="n"/>
      <c r="D274" s="720" t="n"/>
      <c r="E274" s="723" t="n"/>
      <c r="F274" s="570" t="n"/>
      <c r="G274" s="570" t="n"/>
      <c r="H274" s="570" t="n"/>
      <c r="I274" s="570" t="n"/>
      <c r="J274" s="570" t="n"/>
      <c r="K274" s="570" t="n"/>
      <c r="L274" s="570" t="n"/>
      <c r="M274" s="570" t="n"/>
      <c r="N274" s="570" t="n"/>
      <c r="O274" s="570" t="n"/>
      <c r="P274" s="570" t="n"/>
      <c r="Q274" s="570" t="n"/>
      <c r="R274" s="567" t="n"/>
    </row>
    <row r="275" ht="15.75" customHeight="1" s="557">
      <c r="A275" s="719" t="n"/>
      <c r="B275" s="678" t="n"/>
      <c r="C275" s="679" t="n"/>
      <c r="D275" s="720" t="n"/>
      <c r="E275" s="723" t="n"/>
      <c r="F275" s="570" t="n"/>
      <c r="G275" s="570" t="n"/>
      <c r="H275" s="570" t="n"/>
      <c r="I275" s="570" t="n"/>
      <c r="J275" s="570" t="n"/>
      <c r="K275" s="570" t="n"/>
      <c r="L275" s="570" t="n"/>
      <c r="M275" s="570" t="n"/>
      <c r="N275" s="570" t="n"/>
      <c r="O275" s="570" t="n"/>
      <c r="P275" s="570" t="n"/>
      <c r="Q275" s="570" t="n"/>
      <c r="R275" s="567" t="n"/>
    </row>
    <row r="276" ht="15.75" customHeight="1" s="557">
      <c r="A276" s="719" t="n"/>
      <c r="B276" s="678" t="n"/>
      <c r="C276" s="679" t="n"/>
      <c r="D276" s="720" t="n"/>
      <c r="E276" s="722" t="n"/>
      <c r="F276" s="570" t="n"/>
      <c r="G276" s="570" t="n"/>
      <c r="H276" s="570" t="n"/>
      <c r="I276" s="570" t="n"/>
      <c r="J276" s="570" t="n"/>
      <c r="K276" s="570" t="n"/>
      <c r="L276" s="570" t="n"/>
      <c r="M276" s="570" t="n"/>
      <c r="N276" s="570" t="n"/>
      <c r="O276" s="570" t="n"/>
      <c r="P276" s="570" t="n"/>
      <c r="Q276" s="570" t="n"/>
      <c r="R276" s="567" t="n"/>
    </row>
    <row r="277" ht="15.75" customHeight="1" s="557">
      <c r="A277" s="719" t="n"/>
      <c r="B277" s="678" t="n"/>
      <c r="C277" s="679" t="n"/>
      <c r="D277" s="720" t="n"/>
      <c r="E277" s="724" t="n"/>
      <c r="F277" s="570" t="n"/>
      <c r="G277" s="570" t="n"/>
      <c r="H277" s="570" t="n"/>
      <c r="I277" s="570" t="n"/>
      <c r="J277" s="570" t="n"/>
      <c r="K277" s="570" t="n"/>
      <c r="L277" s="570" t="n"/>
      <c r="M277" s="570" t="n"/>
      <c r="N277" s="570" t="n"/>
      <c r="O277" s="570" t="n"/>
      <c r="P277" s="570" t="n"/>
      <c r="Q277" s="570" t="n"/>
      <c r="R277" s="567" t="n"/>
    </row>
    <row r="278" ht="15.75" customHeight="1" s="557">
      <c r="A278" s="719" t="n"/>
      <c r="B278" s="678" t="n"/>
      <c r="C278" s="679" t="n"/>
      <c r="D278" s="720" t="n"/>
      <c r="E278" s="722" t="n"/>
      <c r="F278" s="570" t="n"/>
      <c r="G278" s="570" t="n"/>
      <c r="H278" s="570" t="n"/>
      <c r="I278" s="570" t="n"/>
      <c r="J278" s="570" t="n"/>
      <c r="K278" s="570" t="n"/>
      <c r="L278" s="570" t="n"/>
      <c r="M278" s="570" t="n"/>
      <c r="N278" s="570" t="n"/>
      <c r="O278" s="570" t="n"/>
      <c r="P278" s="570" t="n"/>
      <c r="Q278" s="570" t="n"/>
      <c r="R278" s="567" t="n"/>
    </row>
    <row r="279" ht="15.75" customHeight="1" s="557">
      <c r="A279" s="719" t="n"/>
      <c r="B279" s="678" t="n"/>
      <c r="C279" s="679" t="n"/>
      <c r="D279" s="720" t="n"/>
      <c r="E279" s="724" t="n"/>
      <c r="F279" s="570" t="n"/>
      <c r="G279" s="570" t="n"/>
      <c r="H279" s="570" t="n"/>
      <c r="I279" s="570" t="n"/>
      <c r="J279" s="570" t="n"/>
      <c r="K279" s="570" t="n"/>
      <c r="L279" s="570" t="n"/>
      <c r="M279" s="570" t="n"/>
      <c r="N279" s="570" t="n"/>
      <c r="O279" s="570" t="n"/>
      <c r="P279" s="570" t="n"/>
      <c r="Q279" s="570" t="n"/>
      <c r="R279" s="567" t="n"/>
    </row>
    <row r="280" ht="15.75" customHeight="1" s="557">
      <c r="A280" s="719" t="n"/>
      <c r="B280" s="678" t="n"/>
      <c r="C280" s="679" t="n"/>
      <c r="D280" s="720" t="n"/>
      <c r="E280" s="722" t="n"/>
      <c r="F280" s="570" t="n"/>
      <c r="G280" s="570" t="n"/>
      <c r="H280" s="570" t="n"/>
      <c r="I280" s="570" t="n"/>
      <c r="J280" s="570" t="n"/>
      <c r="K280" s="570" t="n"/>
      <c r="L280" s="570" t="n"/>
      <c r="M280" s="570" t="n"/>
      <c r="N280" s="570" t="n"/>
      <c r="O280" s="570" t="n"/>
      <c r="P280" s="570" t="n"/>
      <c r="Q280" s="570" t="n"/>
      <c r="R280" s="567" t="n"/>
    </row>
    <row r="281" ht="15.75" customHeight="1" s="557">
      <c r="A281" s="719" t="n"/>
      <c r="B281" s="678" t="n"/>
      <c r="C281" s="679" t="n"/>
      <c r="D281" s="720" t="n"/>
      <c r="E281" s="725" t="n"/>
      <c r="F281" s="570" t="n"/>
      <c r="G281" s="570" t="n"/>
      <c r="H281" s="570" t="n"/>
      <c r="I281" s="570" t="n"/>
      <c r="J281" s="570" t="n"/>
      <c r="K281" s="570" t="n"/>
      <c r="L281" s="570" t="n"/>
      <c r="M281" s="570" t="n"/>
      <c r="N281" s="570" t="n"/>
      <c r="O281" s="570" t="n"/>
      <c r="P281" s="570" t="n"/>
      <c r="Q281" s="570" t="n"/>
      <c r="R281" s="567" t="n"/>
    </row>
    <row r="282" ht="15.75" customHeight="1" s="557">
      <c r="A282" s="719" t="n"/>
      <c r="B282" s="678" t="n"/>
      <c r="C282" s="679" t="n"/>
      <c r="D282" s="720" t="n"/>
      <c r="E282" s="726" t="n"/>
      <c r="F282" s="570" t="n"/>
      <c r="G282" s="570" t="n"/>
      <c r="H282" s="570" t="n"/>
      <c r="I282" s="570" t="n"/>
      <c r="J282" s="570" t="n"/>
      <c r="K282" s="570" t="n"/>
      <c r="L282" s="570" t="n"/>
      <c r="M282" s="570" t="n"/>
      <c r="N282" s="570" t="n"/>
      <c r="O282" s="570" t="n"/>
      <c r="P282" s="570" t="n"/>
      <c r="Q282" s="570" t="n"/>
      <c r="R282" s="567" t="n"/>
    </row>
    <row r="283" ht="15.75" customHeight="1" s="557">
      <c r="A283" s="719" t="n"/>
      <c r="B283" s="678" t="n"/>
      <c r="C283" s="679" t="n"/>
      <c r="D283" s="720" t="n"/>
      <c r="E283" s="723" t="n"/>
      <c r="F283" s="570" t="n"/>
      <c r="G283" s="570" t="n"/>
      <c r="H283" s="570" t="n"/>
      <c r="I283" s="570" t="n"/>
      <c r="J283" s="570" t="n"/>
      <c r="K283" s="570" t="n"/>
      <c r="L283" s="570" t="n"/>
      <c r="M283" s="570" t="n"/>
      <c r="N283" s="570" t="n"/>
      <c r="O283" s="570" t="n"/>
      <c r="P283" s="570" t="n"/>
      <c r="Q283" s="570" t="n"/>
      <c r="R283" s="567" t="n"/>
    </row>
    <row r="284" ht="15.75" customHeight="1" s="557">
      <c r="A284" s="719" t="n"/>
      <c r="B284" s="678" t="n"/>
      <c r="C284" s="679" t="n"/>
      <c r="D284" s="720" t="n"/>
      <c r="E284" s="724" t="n"/>
      <c r="F284" s="570" t="n"/>
      <c r="G284" s="570" t="n"/>
      <c r="H284" s="570" t="n"/>
      <c r="I284" s="570" t="n"/>
      <c r="J284" s="570" t="n"/>
      <c r="K284" s="570" t="n"/>
      <c r="L284" s="570" t="n"/>
      <c r="M284" s="570" t="n"/>
      <c r="N284" s="570" t="n"/>
      <c r="O284" s="570" t="n"/>
      <c r="P284" s="570" t="n"/>
      <c r="Q284" s="570" t="n"/>
      <c r="R284" s="567" t="n"/>
    </row>
    <row r="285" ht="15.75" customHeight="1" s="557">
      <c r="A285" s="719" t="n"/>
      <c r="B285" s="678" t="n"/>
      <c r="C285" s="679" t="n"/>
      <c r="D285" s="720" t="n"/>
      <c r="E285" s="722" t="n"/>
      <c r="F285" s="570" t="n"/>
      <c r="G285" s="570" t="n"/>
      <c r="H285" s="570" t="n"/>
      <c r="I285" s="570" t="n"/>
      <c r="J285" s="570" t="n"/>
      <c r="K285" s="570" t="n"/>
      <c r="L285" s="570" t="n"/>
      <c r="M285" s="570" t="n"/>
      <c r="N285" s="570" t="n"/>
      <c r="O285" s="570" t="n"/>
      <c r="P285" s="570" t="n"/>
      <c r="Q285" s="570" t="n"/>
      <c r="R285" s="567" t="n"/>
    </row>
    <row r="286" ht="15.75" customHeight="1" s="557">
      <c r="A286" s="719" t="n"/>
      <c r="B286" s="678" t="n"/>
      <c r="C286" s="679" t="n"/>
      <c r="D286" s="720" t="n"/>
      <c r="E286" s="725" t="n"/>
      <c r="F286" s="570" t="n"/>
      <c r="G286" s="570" t="n"/>
      <c r="H286" s="570" t="n"/>
      <c r="I286" s="570" t="n"/>
      <c r="J286" s="570" t="n"/>
      <c r="K286" s="570" t="n"/>
      <c r="L286" s="570" t="n"/>
      <c r="M286" s="570" t="n"/>
      <c r="N286" s="570" t="n"/>
      <c r="O286" s="570" t="n"/>
      <c r="P286" s="570" t="n"/>
      <c r="Q286" s="570" t="n"/>
      <c r="R286" s="567" t="n"/>
    </row>
    <row r="287" ht="15.75" customHeight="1" s="557">
      <c r="A287" s="719" t="n"/>
      <c r="B287" s="678" t="n"/>
      <c r="C287" s="679" t="n"/>
      <c r="D287" s="720" t="n"/>
      <c r="E287" s="722" t="n"/>
      <c r="F287" s="570" t="n"/>
      <c r="G287" s="570" t="n"/>
      <c r="H287" s="570" t="n"/>
      <c r="I287" s="570" t="n"/>
      <c r="J287" s="570" t="n"/>
      <c r="K287" s="570" t="n"/>
      <c r="L287" s="570" t="n"/>
      <c r="M287" s="570" t="n"/>
      <c r="N287" s="570" t="n"/>
      <c r="O287" s="570" t="n"/>
      <c r="P287" s="570" t="n"/>
      <c r="Q287" s="570" t="n"/>
      <c r="R287" s="567" t="n"/>
    </row>
    <row r="288" ht="15.75" customHeight="1" s="557">
      <c r="A288" s="719" t="n"/>
      <c r="B288" s="678" t="n"/>
      <c r="C288" s="679" t="n"/>
      <c r="D288" s="720" t="n"/>
      <c r="E288" s="722" t="n"/>
      <c r="F288" s="570" t="n"/>
      <c r="G288" s="570" t="n"/>
      <c r="H288" s="570" t="n"/>
      <c r="I288" s="570" t="n"/>
      <c r="J288" s="570" t="n"/>
      <c r="K288" s="570" t="n"/>
      <c r="L288" s="570" t="n"/>
      <c r="M288" s="570" t="n"/>
      <c r="N288" s="570" t="n"/>
      <c r="O288" s="570" t="n"/>
      <c r="P288" s="570" t="n"/>
      <c r="Q288" s="570" t="n"/>
      <c r="R288" s="567" t="n"/>
    </row>
    <row r="289" ht="15.75" customHeight="1" s="557">
      <c r="A289" s="719" t="n"/>
      <c r="B289" s="678" t="n"/>
      <c r="C289" s="679" t="n"/>
      <c r="D289" s="720" t="n"/>
      <c r="E289" s="723" t="n"/>
      <c r="F289" s="570" t="n"/>
      <c r="G289" s="570" t="n"/>
      <c r="H289" s="570" t="n"/>
      <c r="I289" s="570" t="n"/>
      <c r="J289" s="570" t="n"/>
      <c r="K289" s="570" t="n"/>
      <c r="L289" s="570" t="n"/>
      <c r="M289" s="570" t="n"/>
      <c r="N289" s="570" t="n"/>
      <c r="O289" s="570" t="n"/>
      <c r="P289" s="570" t="n"/>
      <c r="Q289" s="570" t="n"/>
      <c r="R289" s="567" t="n"/>
    </row>
    <row r="290" ht="15.75" customHeight="1" s="557">
      <c r="A290" s="719" t="n"/>
      <c r="B290" s="678" t="n"/>
      <c r="C290" s="679" t="n"/>
      <c r="D290" s="720" t="n"/>
      <c r="E290" s="727" t="n"/>
      <c r="F290" s="570" t="n"/>
      <c r="G290" s="570" t="n"/>
      <c r="H290" s="570" t="n"/>
      <c r="I290" s="570" t="n"/>
      <c r="J290" s="570" t="n"/>
      <c r="K290" s="570" t="n"/>
      <c r="L290" s="570" t="n"/>
      <c r="M290" s="570" t="n"/>
      <c r="N290" s="570" t="n"/>
      <c r="O290" s="570" t="n"/>
      <c r="P290" s="570" t="n"/>
      <c r="Q290" s="570" t="n"/>
      <c r="R290" s="567" t="n"/>
    </row>
    <row r="291" ht="15.75" customHeight="1" s="557">
      <c r="A291" s="719" t="n"/>
      <c r="B291" s="678" t="n"/>
      <c r="C291" s="679" t="n"/>
      <c r="D291" s="720" t="n"/>
      <c r="E291" s="722" t="n"/>
      <c r="F291" s="570" t="n"/>
      <c r="G291" s="570" t="n"/>
      <c r="H291" s="570" t="n"/>
      <c r="I291" s="570" t="n"/>
      <c r="J291" s="570" t="n"/>
      <c r="K291" s="570" t="n"/>
      <c r="L291" s="570" t="n"/>
      <c r="M291" s="570" t="n"/>
      <c r="N291" s="570" t="n"/>
      <c r="O291" s="570" t="n"/>
      <c r="P291" s="570" t="n"/>
      <c r="Q291" s="570" t="n"/>
      <c r="R291" s="567" t="n"/>
    </row>
    <row r="292" ht="15.75" customHeight="1" s="557">
      <c r="A292" s="719" t="n"/>
      <c r="B292" s="678" t="n"/>
      <c r="C292" s="679" t="n"/>
      <c r="D292" s="720" t="n"/>
      <c r="E292" s="722" t="n"/>
      <c r="F292" s="570" t="n"/>
      <c r="G292" s="570" t="n"/>
      <c r="H292" s="570" t="n"/>
      <c r="I292" s="570" t="n"/>
      <c r="J292" s="570" t="n"/>
      <c r="K292" s="570" t="n"/>
      <c r="L292" s="570" t="n"/>
      <c r="M292" s="570" t="n"/>
      <c r="N292" s="570" t="n"/>
      <c r="O292" s="570" t="n"/>
      <c r="P292" s="570" t="n"/>
      <c r="Q292" s="570" t="n"/>
      <c r="R292" s="567" t="n"/>
    </row>
    <row r="293" ht="15.75" customHeight="1" s="557">
      <c r="A293" s="719" t="n"/>
      <c r="B293" s="678" t="n"/>
      <c r="C293" s="679" t="n"/>
      <c r="D293" s="720" t="n"/>
      <c r="E293" s="722" t="n"/>
      <c r="F293" s="570" t="n"/>
      <c r="G293" s="570" t="n"/>
      <c r="H293" s="570" t="n"/>
      <c r="I293" s="570" t="n"/>
      <c r="J293" s="570" t="n"/>
      <c r="K293" s="570" t="n"/>
      <c r="L293" s="570" t="n"/>
      <c r="M293" s="570" t="n"/>
      <c r="N293" s="570" t="n"/>
      <c r="O293" s="570" t="n"/>
      <c r="P293" s="570" t="n"/>
      <c r="Q293" s="570" t="n"/>
      <c r="R293" s="567" t="n"/>
    </row>
    <row r="294" ht="15.75" customHeight="1" s="557">
      <c r="A294" s="719" t="n"/>
      <c r="B294" s="678" t="n"/>
      <c r="C294" s="679" t="n"/>
      <c r="D294" s="720" t="n"/>
      <c r="E294" s="728" t="n"/>
      <c r="F294" s="678" t="n"/>
      <c r="G294" s="678" t="n"/>
      <c r="H294" s="678" t="n"/>
      <c r="I294" s="678" t="n"/>
      <c r="J294" s="678" t="n"/>
      <c r="K294" s="678" t="n"/>
      <c r="L294" s="678" t="n"/>
      <c r="M294" s="678" t="n"/>
      <c r="N294" s="678" t="n"/>
      <c r="O294" s="678" t="n"/>
      <c r="P294" s="678" t="n"/>
      <c r="Q294" s="678" t="n"/>
      <c r="R294" s="679" t="n"/>
    </row>
    <row r="295" ht="15.75" customHeight="1" s="557">
      <c r="A295" s="719" t="n"/>
      <c r="B295" s="678" t="n"/>
      <c r="C295" s="679" t="n"/>
      <c r="D295" s="720" t="n"/>
      <c r="E295" s="728" t="n"/>
      <c r="F295" s="678" t="n"/>
      <c r="G295" s="678" t="n"/>
      <c r="H295" s="678" t="n"/>
      <c r="I295" s="678" t="n"/>
      <c r="J295" s="678" t="n"/>
      <c r="K295" s="678" t="n"/>
      <c r="L295" s="678" t="n"/>
      <c r="M295" s="678" t="n"/>
      <c r="N295" s="678" t="n"/>
      <c r="O295" s="678" t="n"/>
      <c r="P295" s="678" t="n"/>
      <c r="Q295" s="678" t="n"/>
      <c r="R295" s="679" t="n"/>
    </row>
    <row r="296" ht="15.75" customHeight="1" s="557">
      <c r="A296" s="719" t="n"/>
      <c r="B296" s="678" t="n"/>
      <c r="C296" s="679" t="n"/>
      <c r="D296" s="729" t="n"/>
      <c r="E296" s="728" t="n"/>
      <c r="F296" s="678" t="n"/>
      <c r="G296" s="678" t="n"/>
      <c r="H296" s="678" t="n"/>
      <c r="I296" s="678" t="n"/>
      <c r="J296" s="678" t="n"/>
      <c r="K296" s="678" t="n"/>
      <c r="L296" s="678" t="n"/>
      <c r="M296" s="678" t="n"/>
      <c r="N296" s="678" t="n"/>
      <c r="O296" s="678" t="n"/>
      <c r="P296" s="678" t="n"/>
      <c r="Q296" s="678" t="n"/>
      <c r="R296" s="679" t="n"/>
    </row>
    <row r="297" ht="15.75" customHeight="1" s="557">
      <c r="A297" s="719" t="n"/>
      <c r="B297" s="678" t="n"/>
      <c r="C297" s="679" t="n"/>
      <c r="D297" s="729" t="n"/>
      <c r="E297" s="728" t="n"/>
      <c r="F297" s="678" t="n"/>
      <c r="G297" s="678" t="n"/>
      <c r="H297" s="678" t="n"/>
      <c r="I297" s="678" t="n"/>
      <c r="J297" s="678" t="n"/>
      <c r="K297" s="678" t="n"/>
      <c r="L297" s="678" t="n"/>
      <c r="M297" s="678" t="n"/>
      <c r="N297" s="678" t="n"/>
      <c r="O297" s="678" t="n"/>
      <c r="P297" s="678" t="n"/>
      <c r="Q297" s="678" t="n"/>
      <c r="R297" s="679" t="n"/>
    </row>
    <row r="298" ht="15.75" customHeight="1" s="557">
      <c r="A298" s="719" t="n"/>
      <c r="B298" s="678" t="n"/>
      <c r="C298" s="679" t="n"/>
      <c r="D298" s="720" t="n"/>
      <c r="E298" s="733" t="n"/>
      <c r="F298" s="678" t="n"/>
      <c r="G298" s="678" t="n"/>
      <c r="H298" s="678" t="n"/>
      <c r="I298" s="678" t="n"/>
      <c r="J298" s="678" t="n"/>
      <c r="K298" s="678" t="n"/>
      <c r="L298" s="678" t="n"/>
      <c r="M298" s="678" t="n"/>
      <c r="N298" s="678" t="n"/>
      <c r="O298" s="678" t="n"/>
      <c r="P298" s="678" t="n"/>
      <c r="Q298" s="678" t="n"/>
      <c r="R298" s="679" t="n"/>
    </row>
    <row r="299" ht="15.75" customHeight="1" s="557">
      <c r="A299" s="719" t="n"/>
      <c r="B299" s="678" t="n"/>
      <c r="C299" s="679" t="n"/>
      <c r="D299" s="720" t="n"/>
      <c r="E299" s="733" t="n"/>
      <c r="F299" s="678" t="n"/>
      <c r="G299" s="678" t="n"/>
      <c r="H299" s="678" t="n"/>
      <c r="I299" s="678" t="n"/>
      <c r="J299" s="678" t="n"/>
      <c r="K299" s="678" t="n"/>
      <c r="L299" s="678" t="n"/>
      <c r="M299" s="678" t="n"/>
      <c r="N299" s="678" t="n"/>
      <c r="O299" s="678" t="n"/>
      <c r="P299" s="678" t="n"/>
      <c r="Q299" s="678" t="n"/>
      <c r="R299" s="679" t="n"/>
    </row>
    <row r="300" ht="15.75" customHeight="1" s="557">
      <c r="A300" s="719" t="n"/>
      <c r="B300" s="678" t="n"/>
      <c r="C300" s="679" t="n"/>
      <c r="D300" s="720" t="n"/>
      <c r="E300" s="733" t="n"/>
      <c r="F300" s="678" t="n"/>
      <c r="G300" s="678" t="n"/>
      <c r="H300" s="678" t="n"/>
      <c r="I300" s="678" t="n"/>
      <c r="J300" s="678" t="n"/>
      <c r="K300" s="678" t="n"/>
      <c r="L300" s="678" t="n"/>
      <c r="M300" s="678" t="n"/>
      <c r="N300" s="678" t="n"/>
      <c r="O300" s="678" t="n"/>
      <c r="P300" s="678" t="n"/>
      <c r="Q300" s="678" t="n"/>
      <c r="R300" s="679" t="n"/>
    </row>
    <row r="301" ht="15.75" customHeight="1" s="557">
      <c r="A301" s="719" t="n"/>
      <c r="B301" s="678" t="n"/>
      <c r="C301" s="679" t="n"/>
      <c r="D301" s="720" t="n"/>
      <c r="E301" s="733" t="n"/>
      <c r="F301" s="678" t="n"/>
      <c r="G301" s="678" t="n"/>
      <c r="H301" s="678" t="n"/>
      <c r="I301" s="678" t="n"/>
      <c r="J301" s="678" t="n"/>
      <c r="K301" s="678" t="n"/>
      <c r="L301" s="678" t="n"/>
      <c r="M301" s="678" t="n"/>
      <c r="N301" s="678" t="n"/>
      <c r="O301" s="678" t="n"/>
      <c r="P301" s="678" t="n"/>
      <c r="Q301" s="678" t="n"/>
      <c r="R301" s="679" t="n"/>
    </row>
    <row r="302" ht="15.75" customHeight="1" s="557">
      <c r="A302" s="719" t="n"/>
      <c r="B302" s="678" t="n"/>
      <c r="C302" s="679" t="n"/>
      <c r="D302" s="720" t="n"/>
      <c r="E302" s="727" t="n"/>
      <c r="F302" s="570" t="n"/>
      <c r="G302" s="570" t="n"/>
      <c r="H302" s="570" t="n"/>
      <c r="I302" s="570" t="n"/>
      <c r="J302" s="570" t="n"/>
      <c r="K302" s="570" t="n"/>
      <c r="L302" s="570" t="n"/>
      <c r="M302" s="570" t="n"/>
      <c r="N302" s="570" t="n"/>
      <c r="O302" s="570" t="n"/>
      <c r="P302" s="570" t="n"/>
      <c r="Q302" s="570" t="n"/>
      <c r="R302" s="567" t="n"/>
    </row>
    <row r="303" ht="15.75" customHeight="1" s="557">
      <c r="A303" s="719" t="n"/>
      <c r="B303" s="678" t="n"/>
      <c r="C303" s="679" t="n"/>
      <c r="D303" s="720" t="n"/>
      <c r="E303" s="723" t="n"/>
      <c r="F303" s="570" t="n"/>
      <c r="G303" s="570" t="n"/>
      <c r="H303" s="570" t="n"/>
      <c r="I303" s="570" t="n"/>
      <c r="J303" s="570" t="n"/>
      <c r="K303" s="570" t="n"/>
      <c r="L303" s="570" t="n"/>
      <c r="M303" s="570" t="n"/>
      <c r="N303" s="570" t="n"/>
      <c r="O303" s="570" t="n"/>
      <c r="P303" s="570" t="n"/>
      <c r="Q303" s="570" t="n"/>
      <c r="R303" s="567" t="n"/>
    </row>
    <row r="304" ht="15.75" customHeight="1" s="557">
      <c r="A304" s="719" t="n"/>
      <c r="B304" s="678" t="n"/>
      <c r="C304" s="679" t="n"/>
      <c r="D304" s="734" t="n"/>
      <c r="E304" s="727" t="n"/>
      <c r="F304" s="570" t="n"/>
      <c r="G304" s="570" t="n"/>
      <c r="H304" s="570" t="n"/>
      <c r="I304" s="570" t="n"/>
      <c r="J304" s="570" t="n"/>
      <c r="K304" s="570" t="n"/>
      <c r="L304" s="570" t="n"/>
      <c r="M304" s="570" t="n"/>
      <c r="N304" s="570" t="n"/>
      <c r="O304" s="570" t="n"/>
      <c r="P304" s="570" t="n"/>
      <c r="Q304" s="570" t="n"/>
      <c r="R304" s="567" t="n"/>
    </row>
    <row r="305" ht="15.75" customHeight="1" s="557">
      <c r="A305" s="719" t="n"/>
      <c r="B305" s="678" t="n"/>
      <c r="C305" s="679" t="n"/>
      <c r="D305" s="720" t="n"/>
      <c r="E305" s="727" t="n"/>
      <c r="F305" s="570" t="n"/>
      <c r="G305" s="570" t="n"/>
      <c r="H305" s="570" t="n"/>
      <c r="I305" s="570" t="n"/>
      <c r="J305" s="570" t="n"/>
      <c r="K305" s="570" t="n"/>
      <c r="L305" s="570" t="n"/>
      <c r="M305" s="570" t="n"/>
      <c r="N305" s="570" t="n"/>
      <c r="O305" s="570" t="n"/>
      <c r="P305" s="570" t="n"/>
      <c r="Q305" s="570" t="n"/>
      <c r="R305" s="567" t="n"/>
    </row>
    <row r="306" ht="15.75" customHeight="1" s="557">
      <c r="A306" s="719" t="n"/>
      <c r="B306" s="678" t="n"/>
      <c r="C306" s="679" t="n"/>
      <c r="D306" s="720" t="n"/>
      <c r="E306" s="727" t="n"/>
      <c r="F306" s="570" t="n"/>
      <c r="G306" s="570" t="n"/>
      <c r="H306" s="570" t="n"/>
      <c r="I306" s="570" t="n"/>
      <c r="J306" s="570" t="n"/>
      <c r="K306" s="570" t="n"/>
      <c r="L306" s="570" t="n"/>
      <c r="M306" s="570" t="n"/>
      <c r="N306" s="570" t="n"/>
      <c r="O306" s="570" t="n"/>
      <c r="P306" s="570" t="n"/>
      <c r="Q306" s="570" t="n"/>
      <c r="R306" s="567" t="n"/>
    </row>
    <row r="307" ht="15.75" customHeight="1" s="557">
      <c r="A307" s="719" t="n"/>
      <c r="B307" s="678" t="n"/>
      <c r="C307" s="679" t="n"/>
      <c r="D307" s="720" t="n"/>
      <c r="E307" s="727" t="n"/>
      <c r="F307" s="570" t="n"/>
      <c r="G307" s="570" t="n"/>
      <c r="H307" s="570" t="n"/>
      <c r="I307" s="570" t="n"/>
      <c r="J307" s="570" t="n"/>
      <c r="K307" s="570" t="n"/>
      <c r="L307" s="570" t="n"/>
      <c r="M307" s="570" t="n"/>
      <c r="N307" s="570" t="n"/>
      <c r="O307" s="570" t="n"/>
      <c r="P307" s="570" t="n"/>
      <c r="Q307" s="570" t="n"/>
      <c r="R307" s="567" t="n"/>
    </row>
    <row r="308" ht="15.75" customHeight="1" s="557">
      <c r="A308" s="719" t="n"/>
      <c r="B308" s="678" t="n"/>
      <c r="C308" s="679" t="n"/>
      <c r="D308" s="720" t="n"/>
      <c r="E308" s="727" t="n"/>
      <c r="F308" s="570" t="n"/>
      <c r="G308" s="570" t="n"/>
      <c r="H308" s="570" t="n"/>
      <c r="I308" s="570" t="n"/>
      <c r="J308" s="570" t="n"/>
      <c r="K308" s="570" t="n"/>
      <c r="L308" s="570" t="n"/>
      <c r="M308" s="570" t="n"/>
      <c r="N308" s="570" t="n"/>
      <c r="O308" s="570" t="n"/>
      <c r="P308" s="570" t="n"/>
      <c r="Q308" s="570" t="n"/>
      <c r="R308" s="567" t="n"/>
    </row>
    <row r="309" ht="15.75" customHeight="1" s="557">
      <c r="A309" s="719" t="n"/>
      <c r="B309" s="678" t="n"/>
      <c r="C309" s="679" t="n"/>
      <c r="D309" s="720" t="n"/>
      <c r="E309" s="721" t="n"/>
      <c r="F309" s="570" t="n"/>
      <c r="G309" s="570" t="n"/>
      <c r="H309" s="570" t="n"/>
      <c r="I309" s="570" t="n"/>
      <c r="J309" s="570" t="n"/>
      <c r="K309" s="570" t="n"/>
      <c r="L309" s="570" t="n"/>
      <c r="M309" s="570" t="n"/>
      <c r="N309" s="570" t="n"/>
      <c r="O309" s="570" t="n"/>
      <c r="P309" s="570" t="n"/>
      <c r="Q309" s="570" t="n"/>
      <c r="R309" s="567" t="n"/>
    </row>
    <row r="310" ht="15.75" customHeight="1" s="557">
      <c r="A310" s="719" t="n"/>
      <c r="B310" s="678" t="n"/>
      <c r="C310" s="679" t="n"/>
      <c r="D310" s="720" t="n"/>
      <c r="E310" s="722" t="n"/>
      <c r="F310" s="570" t="n"/>
      <c r="G310" s="570" t="n"/>
      <c r="H310" s="570" t="n"/>
      <c r="I310" s="570" t="n"/>
      <c r="J310" s="570" t="n"/>
      <c r="K310" s="570" t="n"/>
      <c r="L310" s="570" t="n"/>
      <c r="M310" s="570" t="n"/>
      <c r="N310" s="570" t="n"/>
      <c r="O310" s="570" t="n"/>
      <c r="P310" s="570" t="n"/>
      <c r="Q310" s="570" t="n"/>
      <c r="R310" s="567" t="n"/>
    </row>
    <row r="311" ht="15.75" customHeight="1" s="557">
      <c r="A311" s="719" t="n"/>
      <c r="B311" s="678" t="n"/>
      <c r="C311" s="679" t="n"/>
      <c r="D311" s="720" t="n"/>
      <c r="E311" s="723" t="n"/>
      <c r="F311" s="570" t="n"/>
      <c r="G311" s="570" t="n"/>
      <c r="H311" s="570" t="n"/>
      <c r="I311" s="570" t="n"/>
      <c r="J311" s="570" t="n"/>
      <c r="K311" s="570" t="n"/>
      <c r="L311" s="570" t="n"/>
      <c r="M311" s="570" t="n"/>
      <c r="N311" s="570" t="n"/>
      <c r="O311" s="570" t="n"/>
      <c r="P311" s="570" t="n"/>
      <c r="Q311" s="570" t="n"/>
      <c r="R311" s="567" t="n"/>
    </row>
    <row r="312" ht="15.75" customHeight="1" s="557">
      <c r="A312" s="719" t="n"/>
      <c r="B312" s="678" t="n"/>
      <c r="C312" s="679" t="n"/>
      <c r="D312" s="720" t="n"/>
      <c r="E312" s="723" t="n"/>
      <c r="F312" s="570" t="n"/>
      <c r="G312" s="570" t="n"/>
      <c r="H312" s="570" t="n"/>
      <c r="I312" s="570" t="n"/>
      <c r="J312" s="570" t="n"/>
      <c r="K312" s="570" t="n"/>
      <c r="L312" s="570" t="n"/>
      <c r="M312" s="570" t="n"/>
      <c r="N312" s="570" t="n"/>
      <c r="O312" s="570" t="n"/>
      <c r="P312" s="570" t="n"/>
      <c r="Q312" s="570" t="n"/>
      <c r="R312" s="567" t="n"/>
    </row>
    <row r="313" ht="15.75" customHeight="1" s="557">
      <c r="A313" s="719" t="n"/>
      <c r="B313" s="678" t="n"/>
      <c r="C313" s="679" t="n"/>
      <c r="D313" s="720" t="n"/>
      <c r="E313" s="722" t="n"/>
      <c r="F313" s="570" t="n"/>
      <c r="G313" s="570" t="n"/>
      <c r="H313" s="570" t="n"/>
      <c r="I313" s="570" t="n"/>
      <c r="J313" s="570" t="n"/>
      <c r="K313" s="570" t="n"/>
      <c r="L313" s="570" t="n"/>
      <c r="M313" s="570" t="n"/>
      <c r="N313" s="570" t="n"/>
      <c r="O313" s="570" t="n"/>
      <c r="P313" s="570" t="n"/>
      <c r="Q313" s="570" t="n"/>
      <c r="R313" s="567" t="n"/>
    </row>
    <row r="314" ht="15.75" customHeight="1" s="557">
      <c r="A314" s="719" t="n"/>
      <c r="B314" s="678" t="n"/>
      <c r="C314" s="679" t="n"/>
      <c r="D314" s="720" t="n"/>
      <c r="E314" s="724" t="n"/>
      <c r="F314" s="570" t="n"/>
      <c r="G314" s="570" t="n"/>
      <c r="H314" s="570" t="n"/>
      <c r="I314" s="570" t="n"/>
      <c r="J314" s="570" t="n"/>
      <c r="K314" s="570" t="n"/>
      <c r="L314" s="570" t="n"/>
      <c r="M314" s="570" t="n"/>
      <c r="N314" s="570" t="n"/>
      <c r="O314" s="570" t="n"/>
      <c r="P314" s="570" t="n"/>
      <c r="Q314" s="570" t="n"/>
      <c r="R314" s="567" t="n"/>
    </row>
    <row r="315" ht="15.75" customHeight="1" s="557">
      <c r="A315" s="719" t="n"/>
      <c r="B315" s="678" t="n"/>
      <c r="C315" s="679" t="n"/>
      <c r="D315" s="720" t="n"/>
      <c r="E315" s="722" t="n"/>
      <c r="F315" s="570" t="n"/>
      <c r="G315" s="570" t="n"/>
      <c r="H315" s="570" t="n"/>
      <c r="I315" s="570" t="n"/>
      <c r="J315" s="570" t="n"/>
      <c r="K315" s="570" t="n"/>
      <c r="L315" s="570" t="n"/>
      <c r="M315" s="570" t="n"/>
      <c r="N315" s="570" t="n"/>
      <c r="O315" s="570" t="n"/>
      <c r="P315" s="570" t="n"/>
      <c r="Q315" s="570" t="n"/>
      <c r="R315" s="567" t="n"/>
    </row>
    <row r="316" ht="15.75" customHeight="1" s="557">
      <c r="A316" s="719" t="n"/>
      <c r="B316" s="678" t="n"/>
      <c r="C316" s="679" t="n"/>
      <c r="D316" s="720" t="n"/>
      <c r="E316" s="724" t="n"/>
      <c r="F316" s="570" t="n"/>
      <c r="G316" s="570" t="n"/>
      <c r="H316" s="570" t="n"/>
      <c r="I316" s="570" t="n"/>
      <c r="J316" s="570" t="n"/>
      <c r="K316" s="570" t="n"/>
      <c r="L316" s="570" t="n"/>
      <c r="M316" s="570" t="n"/>
      <c r="N316" s="570" t="n"/>
      <c r="O316" s="570" t="n"/>
      <c r="P316" s="570" t="n"/>
      <c r="Q316" s="570" t="n"/>
      <c r="R316" s="567" t="n"/>
    </row>
    <row r="317" ht="15.75" customHeight="1" s="557">
      <c r="A317" s="719" t="n"/>
      <c r="B317" s="678" t="n"/>
      <c r="C317" s="679" t="n"/>
      <c r="D317" s="720" t="n"/>
      <c r="E317" s="722" t="n"/>
      <c r="F317" s="570" t="n"/>
      <c r="G317" s="570" t="n"/>
      <c r="H317" s="570" t="n"/>
      <c r="I317" s="570" t="n"/>
      <c r="J317" s="570" t="n"/>
      <c r="K317" s="570" t="n"/>
      <c r="L317" s="570" t="n"/>
      <c r="M317" s="570" t="n"/>
      <c r="N317" s="570" t="n"/>
      <c r="O317" s="570" t="n"/>
      <c r="P317" s="570" t="n"/>
      <c r="Q317" s="570" t="n"/>
      <c r="R317" s="567" t="n"/>
    </row>
    <row r="318" ht="15.75" customHeight="1" s="557">
      <c r="A318" s="719" t="n"/>
      <c r="B318" s="678" t="n"/>
      <c r="C318" s="679" t="n"/>
      <c r="D318" s="720" t="n"/>
      <c r="E318" s="725" t="n"/>
      <c r="F318" s="570" t="n"/>
      <c r="G318" s="570" t="n"/>
      <c r="H318" s="570" t="n"/>
      <c r="I318" s="570" t="n"/>
      <c r="J318" s="570" t="n"/>
      <c r="K318" s="570" t="n"/>
      <c r="L318" s="570" t="n"/>
      <c r="M318" s="570" t="n"/>
      <c r="N318" s="570" t="n"/>
      <c r="O318" s="570" t="n"/>
      <c r="P318" s="570" t="n"/>
      <c r="Q318" s="570" t="n"/>
      <c r="R318" s="567" t="n"/>
    </row>
    <row r="319" ht="15.75" customHeight="1" s="557">
      <c r="A319" s="719" t="n"/>
      <c r="B319" s="678" t="n"/>
      <c r="C319" s="679" t="n"/>
      <c r="D319" s="720" t="n"/>
      <c r="E319" s="726" t="n"/>
      <c r="F319" s="570" t="n"/>
      <c r="G319" s="570" t="n"/>
      <c r="H319" s="570" t="n"/>
      <c r="I319" s="570" t="n"/>
      <c r="J319" s="570" t="n"/>
      <c r="K319" s="570" t="n"/>
      <c r="L319" s="570" t="n"/>
      <c r="M319" s="570" t="n"/>
      <c r="N319" s="570" t="n"/>
      <c r="O319" s="570" t="n"/>
      <c r="P319" s="570" t="n"/>
      <c r="Q319" s="570" t="n"/>
      <c r="R319" s="567" t="n"/>
    </row>
    <row r="320" ht="15.75" customHeight="1" s="557">
      <c r="A320" s="719" t="n"/>
      <c r="B320" s="678" t="n"/>
      <c r="C320" s="679" t="n"/>
      <c r="D320" s="720" t="n"/>
      <c r="E320" s="723" t="n"/>
      <c r="F320" s="570" t="n"/>
      <c r="G320" s="570" t="n"/>
      <c r="H320" s="570" t="n"/>
      <c r="I320" s="570" t="n"/>
      <c r="J320" s="570" t="n"/>
      <c r="K320" s="570" t="n"/>
      <c r="L320" s="570" t="n"/>
      <c r="M320" s="570" t="n"/>
      <c r="N320" s="570" t="n"/>
      <c r="O320" s="570" t="n"/>
      <c r="P320" s="570" t="n"/>
      <c r="Q320" s="570" t="n"/>
      <c r="R320" s="567" t="n"/>
    </row>
    <row r="321" ht="15.75" customHeight="1" s="557">
      <c r="A321" s="719" t="n"/>
      <c r="B321" s="678" t="n"/>
      <c r="C321" s="679" t="n"/>
      <c r="D321" s="720" t="n"/>
      <c r="E321" s="724" t="n"/>
      <c r="F321" s="570" t="n"/>
      <c r="G321" s="570" t="n"/>
      <c r="H321" s="570" t="n"/>
      <c r="I321" s="570" t="n"/>
      <c r="J321" s="570" t="n"/>
      <c r="K321" s="570" t="n"/>
      <c r="L321" s="570" t="n"/>
      <c r="M321" s="570" t="n"/>
      <c r="N321" s="570" t="n"/>
      <c r="O321" s="570" t="n"/>
      <c r="P321" s="570" t="n"/>
      <c r="Q321" s="570" t="n"/>
      <c r="R321" s="567" t="n"/>
    </row>
    <row r="322" ht="15.75" customHeight="1" s="557">
      <c r="A322" s="719" t="n"/>
      <c r="B322" s="678" t="n"/>
      <c r="C322" s="679" t="n"/>
      <c r="D322" s="720" t="n"/>
      <c r="E322" s="722" t="n"/>
      <c r="F322" s="570" t="n"/>
      <c r="G322" s="570" t="n"/>
      <c r="H322" s="570" t="n"/>
      <c r="I322" s="570" t="n"/>
      <c r="J322" s="570" t="n"/>
      <c r="K322" s="570" t="n"/>
      <c r="L322" s="570" t="n"/>
      <c r="M322" s="570" t="n"/>
      <c r="N322" s="570" t="n"/>
      <c r="O322" s="570" t="n"/>
      <c r="P322" s="570" t="n"/>
      <c r="Q322" s="570" t="n"/>
      <c r="R322" s="567" t="n"/>
    </row>
    <row r="323" ht="15.75" customHeight="1" s="557">
      <c r="A323" s="719" t="n"/>
      <c r="B323" s="678" t="n"/>
      <c r="C323" s="679" t="n"/>
      <c r="D323" s="720" t="n"/>
      <c r="E323" s="725" t="n"/>
      <c r="F323" s="570" t="n"/>
      <c r="G323" s="570" t="n"/>
      <c r="H323" s="570" t="n"/>
      <c r="I323" s="570" t="n"/>
      <c r="J323" s="570" t="n"/>
      <c r="K323" s="570" t="n"/>
      <c r="L323" s="570" t="n"/>
      <c r="M323" s="570" t="n"/>
      <c r="N323" s="570" t="n"/>
      <c r="O323" s="570" t="n"/>
      <c r="P323" s="570" t="n"/>
      <c r="Q323" s="570" t="n"/>
      <c r="R323" s="567" t="n"/>
    </row>
    <row r="324" ht="15.75" customHeight="1" s="557">
      <c r="A324" s="719" t="n"/>
      <c r="B324" s="678" t="n"/>
      <c r="C324" s="679" t="n"/>
      <c r="D324" s="720" t="n"/>
      <c r="E324" s="722" t="n"/>
      <c r="F324" s="570" t="n"/>
      <c r="G324" s="570" t="n"/>
      <c r="H324" s="570" t="n"/>
      <c r="I324" s="570" t="n"/>
      <c r="J324" s="570" t="n"/>
      <c r="K324" s="570" t="n"/>
      <c r="L324" s="570" t="n"/>
      <c r="M324" s="570" t="n"/>
      <c r="N324" s="570" t="n"/>
      <c r="O324" s="570" t="n"/>
      <c r="P324" s="570" t="n"/>
      <c r="Q324" s="570" t="n"/>
      <c r="R324" s="567" t="n"/>
    </row>
    <row r="325" ht="15.75" customHeight="1" s="557">
      <c r="A325" s="719" t="n"/>
      <c r="B325" s="678" t="n"/>
      <c r="C325" s="679" t="n"/>
      <c r="D325" s="720" t="n"/>
      <c r="E325" s="722" t="n"/>
      <c r="F325" s="570" t="n"/>
      <c r="G325" s="570" t="n"/>
      <c r="H325" s="570" t="n"/>
      <c r="I325" s="570" t="n"/>
      <c r="J325" s="570" t="n"/>
      <c r="K325" s="570" t="n"/>
      <c r="L325" s="570" t="n"/>
      <c r="M325" s="570" t="n"/>
      <c r="N325" s="570" t="n"/>
      <c r="O325" s="570" t="n"/>
      <c r="P325" s="570" t="n"/>
      <c r="Q325" s="570" t="n"/>
      <c r="R325" s="567" t="n"/>
    </row>
    <row r="326" ht="15.75" customHeight="1" s="557">
      <c r="A326" s="719" t="n"/>
      <c r="B326" s="678" t="n"/>
      <c r="C326" s="679" t="n"/>
      <c r="D326" s="720" t="n"/>
      <c r="E326" s="723" t="n"/>
      <c r="F326" s="570" t="n"/>
      <c r="G326" s="570" t="n"/>
      <c r="H326" s="570" t="n"/>
      <c r="I326" s="570" t="n"/>
      <c r="J326" s="570" t="n"/>
      <c r="K326" s="570" t="n"/>
      <c r="L326" s="570" t="n"/>
      <c r="M326" s="570" t="n"/>
      <c r="N326" s="570" t="n"/>
      <c r="O326" s="570" t="n"/>
      <c r="P326" s="570" t="n"/>
      <c r="Q326" s="570" t="n"/>
      <c r="R326" s="567" t="n"/>
    </row>
    <row r="327" ht="15.75" customHeight="1" s="557">
      <c r="A327" s="719" t="n"/>
      <c r="B327" s="678" t="n"/>
      <c r="C327" s="679" t="n"/>
      <c r="D327" s="720" t="n"/>
      <c r="E327" s="727" t="n"/>
      <c r="F327" s="570" t="n"/>
      <c r="G327" s="570" t="n"/>
      <c r="H327" s="570" t="n"/>
      <c r="I327" s="570" t="n"/>
      <c r="J327" s="570" t="n"/>
      <c r="K327" s="570" t="n"/>
      <c r="L327" s="570" t="n"/>
      <c r="M327" s="570" t="n"/>
      <c r="N327" s="570" t="n"/>
      <c r="O327" s="570" t="n"/>
      <c r="P327" s="570" t="n"/>
      <c r="Q327" s="570" t="n"/>
      <c r="R327" s="567" t="n"/>
    </row>
    <row r="328" ht="15.75" customHeight="1" s="557">
      <c r="A328" s="719" t="n"/>
      <c r="B328" s="678" t="n"/>
      <c r="C328" s="679" t="n"/>
      <c r="D328" s="720" t="n"/>
      <c r="E328" s="722" t="n"/>
      <c r="F328" s="570" t="n"/>
      <c r="G328" s="570" t="n"/>
      <c r="H328" s="570" t="n"/>
      <c r="I328" s="570" t="n"/>
      <c r="J328" s="570" t="n"/>
      <c r="K328" s="570" t="n"/>
      <c r="L328" s="570" t="n"/>
      <c r="M328" s="570" t="n"/>
      <c r="N328" s="570" t="n"/>
      <c r="O328" s="570" t="n"/>
      <c r="P328" s="570" t="n"/>
      <c r="Q328" s="570" t="n"/>
      <c r="R328" s="567" t="n"/>
    </row>
    <row r="329" ht="15.75" customHeight="1" s="557">
      <c r="A329" s="719" t="n"/>
      <c r="B329" s="678" t="n"/>
      <c r="C329" s="679" t="n"/>
      <c r="D329" s="720" t="n"/>
      <c r="E329" s="722" t="n"/>
      <c r="F329" s="570" t="n"/>
      <c r="G329" s="570" t="n"/>
      <c r="H329" s="570" t="n"/>
      <c r="I329" s="570" t="n"/>
      <c r="J329" s="570" t="n"/>
      <c r="K329" s="570" t="n"/>
      <c r="L329" s="570" t="n"/>
      <c r="M329" s="570" t="n"/>
      <c r="N329" s="570" t="n"/>
      <c r="O329" s="570" t="n"/>
      <c r="P329" s="570" t="n"/>
      <c r="Q329" s="570" t="n"/>
      <c r="R329" s="567" t="n"/>
    </row>
    <row r="330" ht="15.75" customHeight="1" s="557">
      <c r="A330" s="719" t="n"/>
      <c r="B330" s="678" t="n"/>
      <c r="C330" s="679" t="n"/>
      <c r="D330" s="720" t="n"/>
      <c r="E330" s="722" t="n"/>
      <c r="F330" s="570" t="n"/>
      <c r="G330" s="570" t="n"/>
      <c r="H330" s="570" t="n"/>
      <c r="I330" s="570" t="n"/>
      <c r="J330" s="570" t="n"/>
      <c r="K330" s="570" t="n"/>
      <c r="L330" s="570" t="n"/>
      <c r="M330" s="570" t="n"/>
      <c r="N330" s="570" t="n"/>
      <c r="O330" s="570" t="n"/>
      <c r="P330" s="570" t="n"/>
      <c r="Q330" s="570" t="n"/>
      <c r="R330" s="567" t="n"/>
    </row>
    <row r="331" ht="15.75" customHeight="1" s="557">
      <c r="A331" s="719" t="n"/>
      <c r="B331" s="678" t="n"/>
      <c r="C331" s="679" t="n"/>
      <c r="D331" s="720" t="n"/>
      <c r="E331" s="728" t="n"/>
      <c r="F331" s="678" t="n"/>
      <c r="G331" s="678" t="n"/>
      <c r="H331" s="678" t="n"/>
      <c r="I331" s="678" t="n"/>
      <c r="J331" s="678" t="n"/>
      <c r="K331" s="678" t="n"/>
      <c r="L331" s="678" t="n"/>
      <c r="M331" s="678" t="n"/>
      <c r="N331" s="678" t="n"/>
      <c r="O331" s="678" t="n"/>
      <c r="P331" s="678" t="n"/>
      <c r="Q331" s="678" t="n"/>
      <c r="R331" s="679" t="n"/>
    </row>
    <row r="332" ht="15.75" customHeight="1" s="557">
      <c r="A332" s="719" t="n"/>
      <c r="B332" s="678" t="n"/>
      <c r="C332" s="679" t="n"/>
      <c r="D332" s="720" t="n"/>
      <c r="E332" s="728" t="n"/>
      <c r="F332" s="678" t="n"/>
      <c r="G332" s="678" t="n"/>
      <c r="H332" s="678" t="n"/>
      <c r="I332" s="678" t="n"/>
      <c r="J332" s="678" t="n"/>
      <c r="K332" s="678" t="n"/>
      <c r="L332" s="678" t="n"/>
      <c r="M332" s="678" t="n"/>
      <c r="N332" s="678" t="n"/>
      <c r="O332" s="678" t="n"/>
      <c r="P332" s="678" t="n"/>
      <c r="Q332" s="678" t="n"/>
      <c r="R332" s="679" t="n"/>
    </row>
    <row r="333" ht="15.75" customHeight="1" s="557">
      <c r="A333" s="719" t="n"/>
      <c r="B333" s="678" t="n"/>
      <c r="C333" s="679" t="n"/>
      <c r="D333" s="729" t="n"/>
      <c r="E333" s="728" t="n"/>
      <c r="F333" s="678" t="n"/>
      <c r="G333" s="678" t="n"/>
      <c r="H333" s="678" t="n"/>
      <c r="I333" s="678" t="n"/>
      <c r="J333" s="678" t="n"/>
      <c r="K333" s="678" t="n"/>
      <c r="L333" s="678" t="n"/>
      <c r="M333" s="678" t="n"/>
      <c r="N333" s="678" t="n"/>
      <c r="O333" s="678" t="n"/>
      <c r="P333" s="678" t="n"/>
      <c r="Q333" s="678" t="n"/>
      <c r="R333" s="679" t="n"/>
    </row>
    <row r="334" ht="15.75" customHeight="1" s="557">
      <c r="A334" s="719" t="n"/>
      <c r="B334" s="678" t="n"/>
      <c r="C334" s="679" t="n"/>
      <c r="D334" s="729" t="n"/>
      <c r="E334" s="728" t="n"/>
      <c r="F334" s="678" t="n"/>
      <c r="G334" s="678" t="n"/>
      <c r="H334" s="678" t="n"/>
      <c r="I334" s="678" t="n"/>
      <c r="J334" s="678" t="n"/>
      <c r="K334" s="678" t="n"/>
      <c r="L334" s="678" t="n"/>
      <c r="M334" s="678" t="n"/>
      <c r="N334" s="678" t="n"/>
      <c r="O334" s="678" t="n"/>
      <c r="P334" s="678" t="n"/>
      <c r="Q334" s="678" t="n"/>
      <c r="R334" s="679" t="n"/>
    </row>
    <row r="335" ht="15.75" customHeight="1" s="557">
      <c r="A335" s="684" t="n"/>
      <c r="B335" s="570" t="n"/>
      <c r="C335" s="567" t="n"/>
      <c r="D335" s="689" t="n"/>
      <c r="E335" s="686" t="n"/>
      <c r="F335" s="570" t="n"/>
      <c r="G335" s="570" t="n"/>
      <c r="H335" s="570" t="n"/>
      <c r="I335" s="570" t="n"/>
      <c r="J335" s="570" t="n"/>
      <c r="K335" s="570" t="n"/>
      <c r="L335" s="570" t="n"/>
      <c r="M335" s="570" t="n"/>
      <c r="N335" s="570" t="n"/>
      <c r="O335" s="567" t="n"/>
      <c r="P335" s="687" t="n"/>
      <c r="Q335" s="687" t="n"/>
      <c r="R335" s="687" t="n"/>
    </row>
    <row r="336" ht="15.75" customHeight="1" s="557">
      <c r="A336" s="690" t="n"/>
      <c r="B336" s="570" t="n"/>
      <c r="C336" s="567" t="n"/>
      <c r="D336" s="730" t="n"/>
      <c r="E336" s="686" t="n"/>
      <c r="F336" s="570" t="n"/>
      <c r="G336" s="570" t="n"/>
      <c r="H336" s="570" t="n"/>
      <c r="I336" s="570" t="n"/>
      <c r="J336" s="570" t="n"/>
      <c r="K336" s="570" t="n"/>
      <c r="L336" s="570" t="n"/>
      <c r="M336" s="570" t="n"/>
      <c r="N336" s="570" t="n"/>
      <c r="O336" s="567" t="n"/>
      <c r="P336" s="687" t="n"/>
      <c r="Q336" s="687" t="n"/>
      <c r="R336" s="687" t="n"/>
    </row>
    <row r="337" ht="15.75" customFormat="1" customHeight="1" s="696">
      <c r="A337" s="684" t="n"/>
      <c r="B337" s="570" t="n"/>
      <c r="C337" s="567" t="n"/>
      <c r="D337" s="689" t="n"/>
      <c r="E337" s="686" t="n"/>
      <c r="F337" s="570" t="n"/>
      <c r="G337" s="570" t="n"/>
      <c r="H337" s="570" t="n"/>
      <c r="I337" s="570" t="n"/>
      <c r="J337" s="570" t="n"/>
      <c r="K337" s="570" t="n"/>
      <c r="L337" s="570" t="n"/>
      <c r="M337" s="570" t="n"/>
      <c r="N337" s="570" t="n"/>
      <c r="O337" s="567" t="n"/>
      <c r="P337" s="687" t="n"/>
      <c r="Q337" s="687" t="n"/>
      <c r="R337" s="687" t="n"/>
    </row>
    <row r="338" ht="15.75" customHeight="1" s="557">
      <c r="A338" s="691" t="n"/>
      <c r="B338" s="570" t="n"/>
      <c r="C338" s="567" t="n"/>
      <c r="D338" s="689" t="n"/>
      <c r="E338" s="686" t="n"/>
      <c r="F338" s="570" t="n"/>
      <c r="G338" s="570" t="n"/>
      <c r="H338" s="570" t="n"/>
      <c r="I338" s="570" t="n"/>
      <c r="J338" s="570" t="n"/>
      <c r="K338" s="570" t="n"/>
      <c r="L338" s="570" t="n"/>
      <c r="M338" s="570" t="n"/>
      <c r="N338" s="570" t="n"/>
      <c r="O338" s="567" t="n"/>
      <c r="P338" s="687" t="n"/>
      <c r="Q338" s="687" t="n"/>
      <c r="R338" s="687" t="n"/>
    </row>
    <row r="339" ht="15.75" customHeight="1" s="557">
      <c r="A339" s="691" t="n"/>
      <c r="B339" s="570" t="n"/>
      <c r="C339" s="567" t="n"/>
      <c r="D339" s="689" t="n"/>
      <c r="E339" s="686" t="n"/>
      <c r="F339" s="570" t="n"/>
      <c r="G339" s="570" t="n"/>
      <c r="H339" s="570" t="n"/>
      <c r="I339" s="570" t="n"/>
      <c r="J339" s="570" t="n"/>
      <c r="K339" s="570" t="n"/>
      <c r="L339" s="570" t="n"/>
      <c r="M339" s="570" t="n"/>
      <c r="N339" s="570" t="n"/>
      <c r="O339" s="567" t="n"/>
      <c r="P339" s="687" t="n"/>
      <c r="Q339" s="687" t="n"/>
      <c r="R339" s="687" t="n"/>
    </row>
    <row r="340" ht="15.75" customHeight="1" s="557">
      <c r="A340" s="691" t="n"/>
      <c r="B340" s="570" t="n"/>
      <c r="C340" s="567" t="n"/>
      <c r="D340" s="689" t="n"/>
      <c r="E340" s="686" t="n"/>
      <c r="F340" s="570" t="n"/>
      <c r="G340" s="570" t="n"/>
      <c r="H340" s="570" t="n"/>
      <c r="I340" s="570" t="n"/>
      <c r="J340" s="570" t="n"/>
      <c r="K340" s="570" t="n"/>
      <c r="L340" s="570" t="n"/>
      <c r="M340" s="570" t="n"/>
      <c r="N340" s="570" t="n"/>
      <c r="O340" s="567" t="n"/>
      <c r="P340" s="687" t="n"/>
      <c r="Q340" s="687" t="n"/>
      <c r="R340" s="687" t="n"/>
    </row>
    <row r="341" ht="15.75" customHeight="1" s="557">
      <c r="A341" s="691" t="n"/>
      <c r="B341" s="570" t="n"/>
      <c r="C341" s="567" t="n"/>
      <c r="D341" s="689" t="n"/>
      <c r="E341" s="686" t="n"/>
      <c r="F341" s="570" t="n"/>
      <c r="G341" s="570" t="n"/>
      <c r="H341" s="570" t="n"/>
      <c r="I341" s="570" t="n"/>
      <c r="J341" s="570" t="n"/>
      <c r="K341" s="570" t="n"/>
      <c r="L341" s="570" t="n"/>
      <c r="M341" s="570" t="n"/>
      <c r="N341" s="570" t="n"/>
      <c r="O341" s="567" t="n"/>
      <c r="P341" s="687" t="n"/>
      <c r="Q341" s="687" t="n"/>
      <c r="R341" s="687" t="n"/>
    </row>
    <row r="342" ht="15.75" customHeight="1" s="557">
      <c r="A342" s="691" t="n"/>
      <c r="B342" s="570" t="n"/>
      <c r="C342" s="567" t="n"/>
      <c r="D342" s="689" t="n"/>
      <c r="E342" s="686" t="n"/>
      <c r="F342" s="570" t="n"/>
      <c r="G342" s="570" t="n"/>
      <c r="H342" s="570" t="n"/>
      <c r="I342" s="570" t="n"/>
      <c r="J342" s="570" t="n"/>
      <c r="K342" s="570" t="n"/>
      <c r="L342" s="570" t="n"/>
      <c r="M342" s="570" t="n"/>
      <c r="N342" s="570" t="n"/>
      <c r="O342" s="567" t="n"/>
      <c r="P342" s="687" t="n"/>
      <c r="Q342" s="687" t="n"/>
      <c r="R342" s="687" t="n"/>
    </row>
    <row r="343" ht="15.75" customHeight="1" s="557">
      <c r="A343" s="691" t="n"/>
      <c r="B343" s="570" t="n"/>
      <c r="C343" s="567" t="n"/>
      <c r="D343" s="689" t="n"/>
      <c r="E343" s="686" t="n"/>
      <c r="F343" s="570" t="n"/>
      <c r="G343" s="570" t="n"/>
      <c r="H343" s="570" t="n"/>
      <c r="I343" s="570" t="n"/>
      <c r="J343" s="570" t="n"/>
      <c r="K343" s="570" t="n"/>
      <c r="L343" s="570" t="n"/>
      <c r="M343" s="570" t="n"/>
      <c r="N343" s="570" t="n"/>
      <c r="O343" s="567" t="n"/>
      <c r="P343" s="687" t="n"/>
      <c r="Q343" s="687" t="n"/>
      <c r="R343" s="687" t="n"/>
    </row>
    <row r="344" ht="15.75" customHeight="1" s="557">
      <c r="A344" s="684" t="n"/>
      <c r="B344" s="570" t="n"/>
      <c r="C344" s="567" t="n"/>
      <c r="D344" s="689" t="n"/>
      <c r="E344" s="686" t="n"/>
      <c r="F344" s="570" t="n"/>
      <c r="G344" s="570" t="n"/>
      <c r="H344" s="570" t="n"/>
      <c r="I344" s="570" t="n"/>
      <c r="J344" s="570" t="n"/>
      <c r="K344" s="570" t="n"/>
      <c r="L344" s="570" t="n"/>
      <c r="M344" s="570" t="n"/>
      <c r="N344" s="570" t="n"/>
      <c r="O344" s="567" t="n"/>
      <c r="P344" s="687" t="n"/>
      <c r="Q344" s="687" t="n"/>
      <c r="R344" s="687" t="n"/>
    </row>
    <row r="345" ht="15.75" customHeight="1" s="557">
      <c r="A345" s="731" t="n"/>
      <c r="B345" s="570" t="n"/>
      <c r="C345" s="567" t="n"/>
      <c r="D345" s="689" t="n"/>
      <c r="E345" s="686" t="n"/>
      <c r="F345" s="570" t="n"/>
      <c r="G345" s="570" t="n"/>
      <c r="H345" s="570" t="n"/>
      <c r="I345" s="570" t="n"/>
      <c r="J345" s="570" t="n"/>
      <c r="K345" s="570" t="n"/>
      <c r="L345" s="570" t="n"/>
      <c r="M345" s="570" t="n"/>
      <c r="N345" s="570" t="n"/>
      <c r="O345" s="567" t="n"/>
      <c r="P345" s="687" t="n"/>
      <c r="Q345" s="687" t="n"/>
      <c r="R345" s="687" t="n"/>
    </row>
    <row r="346" ht="15.75" customHeight="1" s="557">
      <c r="A346" s="731" t="n"/>
      <c r="B346" s="570" t="n"/>
      <c r="C346" s="567" t="n"/>
      <c r="D346" s="689" t="n"/>
      <c r="E346" s="686" t="n"/>
      <c r="F346" s="570" t="n"/>
      <c r="G346" s="570" t="n"/>
      <c r="H346" s="570" t="n"/>
      <c r="I346" s="570" t="n"/>
      <c r="J346" s="570" t="n"/>
      <c r="K346" s="570" t="n"/>
      <c r="L346" s="570" t="n"/>
      <c r="M346" s="570" t="n"/>
      <c r="N346" s="570" t="n"/>
      <c r="O346" s="567" t="n"/>
      <c r="P346" s="732" t="n"/>
      <c r="Q346" s="732" t="n"/>
      <c r="R346" s="732" t="n"/>
    </row>
    <row r="347" ht="15.75" customHeight="1" s="557">
      <c r="A347" s="719" t="n"/>
      <c r="B347" s="678" t="n"/>
      <c r="C347" s="679" t="n"/>
      <c r="D347" s="720" t="n"/>
      <c r="E347" s="733" t="n"/>
      <c r="F347" s="678" t="n"/>
      <c r="G347" s="678" t="n"/>
      <c r="H347" s="678" t="n"/>
      <c r="I347" s="678" t="n"/>
      <c r="J347" s="678" t="n"/>
      <c r="K347" s="678" t="n"/>
      <c r="L347" s="678" t="n"/>
      <c r="M347" s="678" t="n"/>
      <c r="N347" s="678" t="n"/>
      <c r="O347" s="678" t="n"/>
      <c r="P347" s="678" t="n"/>
      <c r="Q347" s="678" t="n"/>
      <c r="R347" s="679" t="n"/>
    </row>
    <row r="348" ht="15.75" customHeight="1" s="557">
      <c r="A348" s="719" t="n"/>
      <c r="B348" s="678" t="n"/>
      <c r="C348" s="679" t="n"/>
      <c r="D348" s="720" t="n"/>
      <c r="E348" s="733" t="n"/>
      <c r="F348" s="678" t="n"/>
      <c r="G348" s="678" t="n"/>
      <c r="H348" s="678" t="n"/>
      <c r="I348" s="678" t="n"/>
      <c r="J348" s="678" t="n"/>
      <c r="K348" s="678" t="n"/>
      <c r="L348" s="678" t="n"/>
      <c r="M348" s="678" t="n"/>
      <c r="N348" s="678" t="n"/>
      <c r="O348" s="678" t="n"/>
      <c r="P348" s="678" t="n"/>
      <c r="Q348" s="678" t="n"/>
      <c r="R348" s="679" t="n"/>
    </row>
    <row r="349" ht="15.75" customHeight="1" s="557">
      <c r="A349" s="719" t="n"/>
      <c r="B349" s="678" t="n"/>
      <c r="C349" s="679" t="n"/>
      <c r="D349" s="720" t="n"/>
      <c r="E349" s="733" t="n"/>
      <c r="F349" s="678" t="n"/>
      <c r="G349" s="678" t="n"/>
      <c r="H349" s="678" t="n"/>
      <c r="I349" s="678" t="n"/>
      <c r="J349" s="678" t="n"/>
      <c r="K349" s="678" t="n"/>
      <c r="L349" s="678" t="n"/>
      <c r="M349" s="678" t="n"/>
      <c r="N349" s="678" t="n"/>
      <c r="O349" s="678" t="n"/>
      <c r="P349" s="678" t="n"/>
      <c r="Q349" s="678" t="n"/>
      <c r="R349" s="679" t="n"/>
    </row>
    <row r="350" ht="15.75" customHeight="1" s="557">
      <c r="A350" s="719" t="n"/>
      <c r="B350" s="678" t="n"/>
      <c r="C350" s="679" t="n"/>
      <c r="D350" s="720" t="n"/>
      <c r="E350" s="733" t="n"/>
      <c r="F350" s="678" t="n"/>
      <c r="G350" s="678" t="n"/>
      <c r="H350" s="678" t="n"/>
      <c r="I350" s="678" t="n"/>
      <c r="J350" s="678" t="n"/>
      <c r="K350" s="678" t="n"/>
      <c r="L350" s="678" t="n"/>
      <c r="M350" s="678" t="n"/>
      <c r="N350" s="678" t="n"/>
      <c r="O350" s="678" t="n"/>
      <c r="P350" s="678" t="n"/>
      <c r="Q350" s="678" t="n"/>
      <c r="R350" s="679" t="n"/>
    </row>
    <row r="351" ht="15.75" customHeight="1" s="557">
      <c r="A351" s="719" t="n"/>
      <c r="B351" s="678" t="n"/>
      <c r="C351" s="679" t="n"/>
      <c r="D351" s="720" t="n"/>
      <c r="E351" s="727" t="n"/>
      <c r="F351" s="570" t="n"/>
      <c r="G351" s="570" t="n"/>
      <c r="H351" s="570" t="n"/>
      <c r="I351" s="570" t="n"/>
      <c r="J351" s="570" t="n"/>
      <c r="K351" s="570" t="n"/>
      <c r="L351" s="570" t="n"/>
      <c r="M351" s="570" t="n"/>
      <c r="N351" s="570" t="n"/>
      <c r="O351" s="570" t="n"/>
      <c r="P351" s="570" t="n"/>
      <c r="Q351" s="570" t="n"/>
      <c r="R351" s="567" t="n"/>
    </row>
    <row r="352" ht="15.75" customHeight="1" s="557">
      <c r="A352" s="719" t="n"/>
      <c r="B352" s="678" t="n"/>
      <c r="C352" s="679" t="n"/>
      <c r="D352" s="720" t="n"/>
      <c r="E352" s="723" t="n"/>
      <c r="F352" s="570" t="n"/>
      <c r="G352" s="570" t="n"/>
      <c r="H352" s="570" t="n"/>
      <c r="I352" s="570" t="n"/>
      <c r="J352" s="570" t="n"/>
      <c r="K352" s="570" t="n"/>
      <c r="L352" s="570" t="n"/>
      <c r="M352" s="570" t="n"/>
      <c r="N352" s="570" t="n"/>
      <c r="O352" s="570" t="n"/>
      <c r="P352" s="570" t="n"/>
      <c r="Q352" s="570" t="n"/>
      <c r="R352" s="567" t="n"/>
    </row>
    <row r="353" ht="15.75" customHeight="1" s="557">
      <c r="A353" s="719" t="n"/>
      <c r="B353" s="678" t="n"/>
      <c r="C353" s="679" t="n"/>
      <c r="D353" s="734" t="n"/>
      <c r="E353" s="727" t="n"/>
      <c r="F353" s="570" t="n"/>
      <c r="G353" s="570" t="n"/>
      <c r="H353" s="570" t="n"/>
      <c r="I353" s="570" t="n"/>
      <c r="J353" s="570" t="n"/>
      <c r="K353" s="570" t="n"/>
      <c r="L353" s="570" t="n"/>
      <c r="M353" s="570" t="n"/>
      <c r="N353" s="570" t="n"/>
      <c r="O353" s="570" t="n"/>
      <c r="P353" s="570" t="n"/>
      <c r="Q353" s="570" t="n"/>
      <c r="R353" s="567" t="n"/>
    </row>
    <row r="354" ht="15.75" customHeight="1" s="557">
      <c r="A354" s="719" t="n"/>
      <c r="B354" s="678" t="n"/>
      <c r="C354" s="679" t="n"/>
      <c r="D354" s="720" t="n"/>
      <c r="E354" s="727" t="n"/>
      <c r="F354" s="570" t="n"/>
      <c r="G354" s="570" t="n"/>
      <c r="H354" s="570" t="n"/>
      <c r="I354" s="570" t="n"/>
      <c r="J354" s="570" t="n"/>
      <c r="K354" s="570" t="n"/>
      <c r="L354" s="570" t="n"/>
      <c r="M354" s="570" t="n"/>
      <c r="N354" s="570" t="n"/>
      <c r="O354" s="570" t="n"/>
      <c r="P354" s="570" t="n"/>
      <c r="Q354" s="570" t="n"/>
      <c r="R354" s="567" t="n"/>
    </row>
    <row r="355" ht="15.75" customHeight="1" s="557">
      <c r="A355" s="719" t="n"/>
      <c r="B355" s="678" t="n"/>
      <c r="C355" s="679" t="n"/>
      <c r="D355" s="720" t="n"/>
      <c r="E355" s="727" t="n"/>
      <c r="F355" s="570" t="n"/>
      <c r="G355" s="570" t="n"/>
      <c r="H355" s="570" t="n"/>
      <c r="I355" s="570" t="n"/>
      <c r="J355" s="570" t="n"/>
      <c r="K355" s="570" t="n"/>
      <c r="L355" s="570" t="n"/>
      <c r="M355" s="570" t="n"/>
      <c r="N355" s="570" t="n"/>
      <c r="O355" s="570" t="n"/>
      <c r="P355" s="570" t="n"/>
      <c r="Q355" s="570" t="n"/>
      <c r="R355" s="567" t="n"/>
    </row>
    <row r="356" ht="15.75" customHeight="1" s="557">
      <c r="A356" s="719" t="n"/>
      <c r="B356" s="678" t="n"/>
      <c r="C356" s="679" t="n"/>
      <c r="D356" s="720" t="n"/>
      <c r="E356" s="727" t="n"/>
      <c r="F356" s="570" t="n"/>
      <c r="G356" s="570" t="n"/>
      <c r="H356" s="570" t="n"/>
      <c r="I356" s="570" t="n"/>
      <c r="J356" s="570" t="n"/>
      <c r="K356" s="570" t="n"/>
      <c r="L356" s="570" t="n"/>
      <c r="M356" s="570" t="n"/>
      <c r="N356" s="570" t="n"/>
      <c r="O356" s="570" t="n"/>
      <c r="P356" s="570" t="n"/>
      <c r="Q356" s="570" t="n"/>
      <c r="R356" s="567" t="n"/>
    </row>
    <row r="357" ht="15.75" customHeight="1" s="557">
      <c r="A357" s="719" t="n"/>
      <c r="B357" s="678" t="n"/>
      <c r="C357" s="679" t="n"/>
      <c r="D357" s="720" t="n"/>
      <c r="E357" s="727" t="n"/>
      <c r="F357" s="570" t="n"/>
      <c r="G357" s="570" t="n"/>
      <c r="H357" s="570" t="n"/>
      <c r="I357" s="570" t="n"/>
      <c r="J357" s="570" t="n"/>
      <c r="K357" s="570" t="n"/>
      <c r="L357" s="570" t="n"/>
      <c r="M357" s="570" t="n"/>
      <c r="N357" s="570" t="n"/>
      <c r="O357" s="570" t="n"/>
      <c r="P357" s="570" t="n"/>
      <c r="Q357" s="570" t="n"/>
      <c r="R357" s="567" t="n"/>
    </row>
    <row r="358" ht="15.75" customHeight="1" s="557">
      <c r="A358" s="719" t="n"/>
      <c r="B358" s="678" t="n"/>
      <c r="C358" s="679" t="n"/>
      <c r="D358" s="720" t="n"/>
      <c r="E358" s="721" t="n"/>
      <c r="F358" s="570" t="n"/>
      <c r="G358" s="570" t="n"/>
      <c r="H358" s="570" t="n"/>
      <c r="I358" s="570" t="n"/>
      <c r="J358" s="570" t="n"/>
      <c r="K358" s="570" t="n"/>
      <c r="L358" s="570" t="n"/>
      <c r="M358" s="570" t="n"/>
      <c r="N358" s="570" t="n"/>
      <c r="O358" s="570" t="n"/>
      <c r="P358" s="570" t="n"/>
      <c r="Q358" s="570" t="n"/>
      <c r="R358" s="567" t="n"/>
    </row>
    <row r="359" ht="15.75" customHeight="1" s="557">
      <c r="A359" s="719" t="n"/>
      <c r="B359" s="678" t="n"/>
      <c r="C359" s="679" t="n"/>
      <c r="D359" s="720" t="n"/>
      <c r="E359" s="722" t="n"/>
      <c r="F359" s="570" t="n"/>
      <c r="G359" s="570" t="n"/>
      <c r="H359" s="570" t="n"/>
      <c r="I359" s="570" t="n"/>
      <c r="J359" s="570" t="n"/>
      <c r="K359" s="570" t="n"/>
      <c r="L359" s="570" t="n"/>
      <c r="M359" s="570" t="n"/>
      <c r="N359" s="570" t="n"/>
      <c r="O359" s="570" t="n"/>
      <c r="P359" s="570" t="n"/>
      <c r="Q359" s="570" t="n"/>
      <c r="R359" s="567" t="n"/>
    </row>
    <row r="360" ht="15.75" customHeight="1" s="557">
      <c r="A360" s="719" t="n"/>
      <c r="B360" s="678" t="n"/>
      <c r="C360" s="679" t="n"/>
      <c r="D360" s="720" t="n"/>
      <c r="E360" s="723" t="n"/>
      <c r="F360" s="570" t="n"/>
      <c r="G360" s="570" t="n"/>
      <c r="H360" s="570" t="n"/>
      <c r="I360" s="570" t="n"/>
      <c r="J360" s="570" t="n"/>
      <c r="K360" s="570" t="n"/>
      <c r="L360" s="570" t="n"/>
      <c r="M360" s="570" t="n"/>
      <c r="N360" s="570" t="n"/>
      <c r="O360" s="570" t="n"/>
      <c r="P360" s="570" t="n"/>
      <c r="Q360" s="570" t="n"/>
      <c r="R360" s="567" t="n"/>
    </row>
    <row r="361" ht="15.75" customHeight="1" s="557">
      <c r="A361" s="719" t="n"/>
      <c r="B361" s="678" t="n"/>
      <c r="C361" s="679" t="n"/>
      <c r="D361" s="720" t="n"/>
      <c r="E361" s="723" t="n"/>
      <c r="F361" s="570" t="n"/>
      <c r="G361" s="570" t="n"/>
      <c r="H361" s="570" t="n"/>
      <c r="I361" s="570" t="n"/>
      <c r="J361" s="570" t="n"/>
      <c r="K361" s="570" t="n"/>
      <c r="L361" s="570" t="n"/>
      <c r="M361" s="570" t="n"/>
      <c r="N361" s="570" t="n"/>
      <c r="O361" s="570" t="n"/>
      <c r="P361" s="570" t="n"/>
      <c r="Q361" s="570" t="n"/>
      <c r="R361" s="567" t="n"/>
    </row>
    <row r="362" ht="15.75" customHeight="1" s="557">
      <c r="A362" s="719" t="n"/>
      <c r="B362" s="678" t="n"/>
      <c r="C362" s="679" t="n"/>
      <c r="D362" s="720" t="n"/>
      <c r="E362" s="722" t="n"/>
      <c r="F362" s="570" t="n"/>
      <c r="G362" s="570" t="n"/>
      <c r="H362" s="570" t="n"/>
      <c r="I362" s="570" t="n"/>
      <c r="J362" s="570" t="n"/>
      <c r="K362" s="570" t="n"/>
      <c r="L362" s="570" t="n"/>
      <c r="M362" s="570" t="n"/>
      <c r="N362" s="570" t="n"/>
      <c r="O362" s="570" t="n"/>
      <c r="P362" s="570" t="n"/>
      <c r="Q362" s="570" t="n"/>
      <c r="R362" s="567" t="n"/>
    </row>
    <row r="363" ht="15.75" customHeight="1" s="557">
      <c r="A363" s="719" t="n"/>
      <c r="B363" s="678" t="n"/>
      <c r="C363" s="679" t="n"/>
      <c r="D363" s="720" t="n"/>
      <c r="E363" s="724" t="n"/>
      <c r="F363" s="570" t="n"/>
      <c r="G363" s="570" t="n"/>
      <c r="H363" s="570" t="n"/>
      <c r="I363" s="570" t="n"/>
      <c r="J363" s="570" t="n"/>
      <c r="K363" s="570" t="n"/>
      <c r="L363" s="570" t="n"/>
      <c r="M363" s="570" t="n"/>
      <c r="N363" s="570" t="n"/>
      <c r="O363" s="570" t="n"/>
      <c r="P363" s="570" t="n"/>
      <c r="Q363" s="570" t="n"/>
      <c r="R363" s="567" t="n"/>
    </row>
    <row r="364" ht="15.75" customHeight="1" s="557">
      <c r="A364" s="719" t="n"/>
      <c r="B364" s="678" t="n"/>
      <c r="C364" s="679" t="n"/>
      <c r="D364" s="720" t="n"/>
      <c r="E364" s="722" t="n"/>
      <c r="F364" s="570" t="n"/>
      <c r="G364" s="570" t="n"/>
      <c r="H364" s="570" t="n"/>
      <c r="I364" s="570" t="n"/>
      <c r="J364" s="570" t="n"/>
      <c r="K364" s="570" t="n"/>
      <c r="L364" s="570" t="n"/>
      <c r="M364" s="570" t="n"/>
      <c r="N364" s="570" t="n"/>
      <c r="O364" s="570" t="n"/>
      <c r="P364" s="570" t="n"/>
      <c r="Q364" s="570" t="n"/>
      <c r="R364" s="567" t="n"/>
    </row>
    <row r="365" ht="15.75" customHeight="1" s="557">
      <c r="A365" s="719" t="n"/>
      <c r="B365" s="678" t="n"/>
      <c r="C365" s="679" t="n"/>
      <c r="D365" s="720" t="n"/>
      <c r="E365" s="724" t="n"/>
      <c r="F365" s="570" t="n"/>
      <c r="G365" s="570" t="n"/>
      <c r="H365" s="570" t="n"/>
      <c r="I365" s="570" t="n"/>
      <c r="J365" s="570" t="n"/>
      <c r="K365" s="570" t="n"/>
      <c r="L365" s="570" t="n"/>
      <c r="M365" s="570" t="n"/>
      <c r="N365" s="570" t="n"/>
      <c r="O365" s="570" t="n"/>
      <c r="P365" s="570" t="n"/>
      <c r="Q365" s="570" t="n"/>
      <c r="R365" s="567" t="n"/>
    </row>
    <row r="366" ht="15.75" customHeight="1" s="557">
      <c r="A366" s="719" t="n"/>
      <c r="B366" s="678" t="n"/>
      <c r="C366" s="679" t="n"/>
      <c r="D366" s="720" t="n"/>
      <c r="E366" s="722" t="n"/>
      <c r="F366" s="570" t="n"/>
      <c r="G366" s="570" t="n"/>
      <c r="H366" s="570" t="n"/>
      <c r="I366" s="570" t="n"/>
      <c r="J366" s="570" t="n"/>
      <c r="K366" s="570" t="n"/>
      <c r="L366" s="570" t="n"/>
      <c r="M366" s="570" t="n"/>
      <c r="N366" s="570" t="n"/>
      <c r="O366" s="570" t="n"/>
      <c r="P366" s="570" t="n"/>
      <c r="Q366" s="570" t="n"/>
      <c r="R366" s="567" t="n"/>
    </row>
    <row r="367" ht="15.75" customHeight="1" s="557">
      <c r="A367" s="719" t="n"/>
      <c r="B367" s="678" t="n"/>
      <c r="C367" s="679" t="n"/>
      <c r="D367" s="720" t="n"/>
      <c r="E367" s="725" t="n"/>
      <c r="F367" s="570" t="n"/>
      <c r="G367" s="570" t="n"/>
      <c r="H367" s="570" t="n"/>
      <c r="I367" s="570" t="n"/>
      <c r="J367" s="570" t="n"/>
      <c r="K367" s="570" t="n"/>
      <c r="L367" s="570" t="n"/>
      <c r="M367" s="570" t="n"/>
      <c r="N367" s="570" t="n"/>
      <c r="O367" s="570" t="n"/>
      <c r="P367" s="570" t="n"/>
      <c r="Q367" s="570" t="n"/>
      <c r="R367" s="567" t="n"/>
    </row>
    <row r="368" ht="15.75" customHeight="1" s="557">
      <c r="A368" s="719" t="n"/>
      <c r="B368" s="678" t="n"/>
      <c r="C368" s="679" t="n"/>
      <c r="D368" s="720" t="n"/>
      <c r="E368" s="726" t="n"/>
      <c r="F368" s="570" t="n"/>
      <c r="G368" s="570" t="n"/>
      <c r="H368" s="570" t="n"/>
      <c r="I368" s="570" t="n"/>
      <c r="J368" s="570" t="n"/>
      <c r="K368" s="570" t="n"/>
      <c r="L368" s="570" t="n"/>
      <c r="M368" s="570" t="n"/>
      <c r="N368" s="570" t="n"/>
      <c r="O368" s="570" t="n"/>
      <c r="P368" s="570" t="n"/>
      <c r="Q368" s="570" t="n"/>
      <c r="R368" s="567" t="n"/>
    </row>
    <row r="369" ht="15.75" customHeight="1" s="557">
      <c r="A369" s="719" t="n"/>
      <c r="B369" s="678" t="n"/>
      <c r="C369" s="679" t="n"/>
      <c r="D369" s="720" t="n"/>
      <c r="E369" s="723" t="n"/>
      <c r="F369" s="570" t="n"/>
      <c r="G369" s="570" t="n"/>
      <c r="H369" s="570" t="n"/>
      <c r="I369" s="570" t="n"/>
      <c r="J369" s="570" t="n"/>
      <c r="K369" s="570" t="n"/>
      <c r="L369" s="570" t="n"/>
      <c r="M369" s="570" t="n"/>
      <c r="N369" s="570" t="n"/>
      <c r="O369" s="570" t="n"/>
      <c r="P369" s="570" t="n"/>
      <c r="Q369" s="570" t="n"/>
      <c r="R369" s="567" t="n"/>
    </row>
    <row r="370" ht="15.75" customHeight="1" s="557">
      <c r="A370" s="719" t="n"/>
      <c r="B370" s="678" t="n"/>
      <c r="C370" s="679" t="n"/>
      <c r="D370" s="720" t="n"/>
      <c r="E370" s="724" t="n"/>
      <c r="F370" s="570" t="n"/>
      <c r="G370" s="570" t="n"/>
      <c r="H370" s="570" t="n"/>
      <c r="I370" s="570" t="n"/>
      <c r="J370" s="570" t="n"/>
      <c r="K370" s="570" t="n"/>
      <c r="L370" s="570" t="n"/>
      <c r="M370" s="570" t="n"/>
      <c r="N370" s="570" t="n"/>
      <c r="O370" s="570" t="n"/>
      <c r="P370" s="570" t="n"/>
      <c r="Q370" s="570" t="n"/>
      <c r="R370" s="567" t="n"/>
    </row>
    <row r="371" ht="15.75" customHeight="1" s="557">
      <c r="A371" s="719" t="n"/>
      <c r="B371" s="678" t="n"/>
      <c r="C371" s="679" t="n"/>
      <c r="D371" s="720" t="n"/>
      <c r="E371" s="722" t="n"/>
      <c r="F371" s="570" t="n"/>
      <c r="G371" s="570" t="n"/>
      <c r="H371" s="570" t="n"/>
      <c r="I371" s="570" t="n"/>
      <c r="J371" s="570" t="n"/>
      <c r="K371" s="570" t="n"/>
      <c r="L371" s="570" t="n"/>
      <c r="M371" s="570" t="n"/>
      <c r="N371" s="570" t="n"/>
      <c r="O371" s="570" t="n"/>
      <c r="P371" s="570" t="n"/>
      <c r="Q371" s="570" t="n"/>
      <c r="R371" s="567" t="n"/>
    </row>
    <row r="372" ht="15.75" customHeight="1" s="557">
      <c r="A372" s="719" t="n"/>
      <c r="B372" s="678" t="n"/>
      <c r="C372" s="679" t="n"/>
      <c r="D372" s="720" t="n"/>
      <c r="E372" s="725" t="n"/>
      <c r="F372" s="570" t="n"/>
      <c r="G372" s="570" t="n"/>
      <c r="H372" s="570" t="n"/>
      <c r="I372" s="570" t="n"/>
      <c r="J372" s="570" t="n"/>
      <c r="K372" s="570" t="n"/>
      <c r="L372" s="570" t="n"/>
      <c r="M372" s="570" t="n"/>
      <c r="N372" s="570" t="n"/>
      <c r="O372" s="570" t="n"/>
      <c r="P372" s="570" t="n"/>
      <c r="Q372" s="570" t="n"/>
      <c r="R372" s="567" t="n"/>
    </row>
    <row r="373" ht="15.75" customHeight="1" s="557">
      <c r="A373" s="719" t="n"/>
      <c r="B373" s="678" t="n"/>
      <c r="C373" s="679" t="n"/>
      <c r="D373" s="720" t="n"/>
      <c r="E373" s="722" t="n"/>
      <c r="F373" s="570" t="n"/>
      <c r="G373" s="570" t="n"/>
      <c r="H373" s="570" t="n"/>
      <c r="I373" s="570" t="n"/>
      <c r="J373" s="570" t="n"/>
      <c r="K373" s="570" t="n"/>
      <c r="L373" s="570" t="n"/>
      <c r="M373" s="570" t="n"/>
      <c r="N373" s="570" t="n"/>
      <c r="O373" s="570" t="n"/>
      <c r="P373" s="570" t="n"/>
      <c r="Q373" s="570" t="n"/>
      <c r="R373" s="567" t="n"/>
    </row>
    <row r="374" ht="15.75" customHeight="1" s="557">
      <c r="A374" s="719" t="n"/>
      <c r="B374" s="678" t="n"/>
      <c r="C374" s="679" t="n"/>
      <c r="D374" s="720" t="n"/>
      <c r="E374" s="722" t="n"/>
      <c r="F374" s="570" t="n"/>
      <c r="G374" s="570" t="n"/>
      <c r="H374" s="570" t="n"/>
      <c r="I374" s="570" t="n"/>
      <c r="J374" s="570" t="n"/>
      <c r="K374" s="570" t="n"/>
      <c r="L374" s="570" t="n"/>
      <c r="M374" s="570" t="n"/>
      <c r="N374" s="570" t="n"/>
      <c r="O374" s="570" t="n"/>
      <c r="P374" s="570" t="n"/>
      <c r="Q374" s="570" t="n"/>
      <c r="R374" s="567" t="n"/>
    </row>
    <row r="375" ht="15.75" customHeight="1" s="557">
      <c r="A375" s="719" t="n"/>
      <c r="B375" s="678" t="n"/>
      <c r="C375" s="679" t="n"/>
      <c r="D375" s="720" t="n"/>
      <c r="E375" s="723" t="n"/>
      <c r="F375" s="570" t="n"/>
      <c r="G375" s="570" t="n"/>
      <c r="H375" s="570" t="n"/>
      <c r="I375" s="570" t="n"/>
      <c r="J375" s="570" t="n"/>
      <c r="K375" s="570" t="n"/>
      <c r="L375" s="570" t="n"/>
      <c r="M375" s="570" t="n"/>
      <c r="N375" s="570" t="n"/>
      <c r="O375" s="570" t="n"/>
      <c r="P375" s="570" t="n"/>
      <c r="Q375" s="570" t="n"/>
      <c r="R375" s="567" t="n"/>
    </row>
    <row r="376" ht="15.75" customHeight="1" s="557">
      <c r="A376" s="719" t="n"/>
      <c r="B376" s="678" t="n"/>
      <c r="C376" s="679" t="n"/>
      <c r="D376" s="720" t="n"/>
      <c r="E376" s="727" t="n"/>
      <c r="F376" s="570" t="n"/>
      <c r="G376" s="570" t="n"/>
      <c r="H376" s="570" t="n"/>
      <c r="I376" s="570" t="n"/>
      <c r="J376" s="570" t="n"/>
      <c r="K376" s="570" t="n"/>
      <c r="L376" s="570" t="n"/>
      <c r="M376" s="570" t="n"/>
      <c r="N376" s="570" t="n"/>
      <c r="O376" s="570" t="n"/>
      <c r="P376" s="570" t="n"/>
      <c r="Q376" s="570" t="n"/>
      <c r="R376" s="567" t="n"/>
    </row>
    <row r="377" ht="15.75" customHeight="1" s="557">
      <c r="A377" s="719" t="n"/>
      <c r="B377" s="678" t="n"/>
      <c r="C377" s="679" t="n"/>
      <c r="D377" s="720" t="n"/>
      <c r="E377" s="722" t="n"/>
      <c r="F377" s="570" t="n"/>
      <c r="G377" s="570" t="n"/>
      <c r="H377" s="570" t="n"/>
      <c r="I377" s="570" t="n"/>
      <c r="J377" s="570" t="n"/>
      <c r="K377" s="570" t="n"/>
      <c r="L377" s="570" t="n"/>
      <c r="M377" s="570" t="n"/>
      <c r="N377" s="570" t="n"/>
      <c r="O377" s="570" t="n"/>
      <c r="P377" s="570" t="n"/>
      <c r="Q377" s="570" t="n"/>
      <c r="R377" s="567" t="n"/>
    </row>
    <row r="378" ht="15.75" customHeight="1" s="557">
      <c r="A378" s="719" t="n"/>
      <c r="B378" s="678" t="n"/>
      <c r="C378" s="679" t="n"/>
      <c r="D378" s="720" t="n"/>
      <c r="E378" s="722" t="n"/>
      <c r="F378" s="570" t="n"/>
      <c r="G378" s="570" t="n"/>
      <c r="H378" s="570" t="n"/>
      <c r="I378" s="570" t="n"/>
      <c r="J378" s="570" t="n"/>
      <c r="K378" s="570" t="n"/>
      <c r="L378" s="570" t="n"/>
      <c r="M378" s="570" t="n"/>
      <c r="N378" s="570" t="n"/>
      <c r="O378" s="570" t="n"/>
      <c r="P378" s="570" t="n"/>
      <c r="Q378" s="570" t="n"/>
      <c r="R378" s="567" t="n"/>
    </row>
    <row r="379" ht="15.75" customHeight="1" s="557">
      <c r="A379" s="719" t="n"/>
      <c r="B379" s="678" t="n"/>
      <c r="C379" s="679" t="n"/>
      <c r="D379" s="720" t="n"/>
      <c r="E379" s="722" t="n"/>
      <c r="F379" s="570" t="n"/>
      <c r="G379" s="570" t="n"/>
      <c r="H379" s="570" t="n"/>
      <c r="I379" s="570" t="n"/>
      <c r="J379" s="570" t="n"/>
      <c r="K379" s="570" t="n"/>
      <c r="L379" s="570" t="n"/>
      <c r="M379" s="570" t="n"/>
      <c r="N379" s="570" t="n"/>
      <c r="O379" s="570" t="n"/>
      <c r="P379" s="570" t="n"/>
      <c r="Q379" s="570" t="n"/>
      <c r="R379" s="567" t="n"/>
    </row>
    <row r="380" ht="15.75" customHeight="1" s="557">
      <c r="A380" s="719" t="n"/>
      <c r="B380" s="678" t="n"/>
      <c r="C380" s="679" t="n"/>
      <c r="D380" s="720" t="n"/>
      <c r="E380" s="728" t="n"/>
      <c r="F380" s="678" t="n"/>
      <c r="G380" s="678" t="n"/>
      <c r="H380" s="678" t="n"/>
      <c r="I380" s="678" t="n"/>
      <c r="J380" s="678" t="n"/>
      <c r="K380" s="678" t="n"/>
      <c r="L380" s="678" t="n"/>
      <c r="M380" s="678" t="n"/>
      <c r="N380" s="678" t="n"/>
      <c r="O380" s="678" t="n"/>
      <c r="P380" s="678" t="n"/>
      <c r="Q380" s="678" t="n"/>
      <c r="R380" s="679" t="n"/>
    </row>
    <row r="381" ht="15.75" customHeight="1" s="557">
      <c r="A381" s="719" t="n"/>
      <c r="B381" s="678" t="n"/>
      <c r="C381" s="679" t="n"/>
      <c r="D381" s="720" t="n"/>
      <c r="E381" s="728" t="n"/>
      <c r="F381" s="678" t="n"/>
      <c r="G381" s="678" t="n"/>
      <c r="H381" s="678" t="n"/>
      <c r="I381" s="678" t="n"/>
      <c r="J381" s="678" t="n"/>
      <c r="K381" s="678" t="n"/>
      <c r="L381" s="678" t="n"/>
      <c r="M381" s="678" t="n"/>
      <c r="N381" s="678" t="n"/>
      <c r="O381" s="678" t="n"/>
      <c r="P381" s="678" t="n"/>
      <c r="Q381" s="678" t="n"/>
      <c r="R381" s="679" t="n"/>
    </row>
    <row r="382" ht="15.75" customHeight="1" s="557">
      <c r="A382" s="719" t="n"/>
      <c r="B382" s="678" t="n"/>
      <c r="C382" s="679" t="n"/>
      <c r="D382" s="729" t="n"/>
      <c r="E382" s="728" t="n"/>
      <c r="F382" s="678" t="n"/>
      <c r="G382" s="678" t="n"/>
      <c r="H382" s="678" t="n"/>
      <c r="I382" s="678" t="n"/>
      <c r="J382" s="678" t="n"/>
      <c r="K382" s="678" t="n"/>
      <c r="L382" s="678" t="n"/>
      <c r="M382" s="678" t="n"/>
      <c r="N382" s="678" t="n"/>
      <c r="O382" s="678" t="n"/>
      <c r="P382" s="678" t="n"/>
      <c r="Q382" s="678" t="n"/>
      <c r="R382" s="679" t="n"/>
    </row>
    <row r="383" ht="15.75" customHeight="1" s="557">
      <c r="A383" s="719" t="n"/>
      <c r="B383" s="678" t="n"/>
      <c r="C383" s="679" t="n"/>
      <c r="D383" s="729" t="n"/>
      <c r="E383" s="728" t="n"/>
      <c r="F383" s="678" t="n"/>
      <c r="G383" s="678" t="n"/>
      <c r="H383" s="678" t="n"/>
      <c r="I383" s="678" t="n"/>
      <c r="J383" s="678" t="n"/>
      <c r="K383" s="678" t="n"/>
      <c r="L383" s="678" t="n"/>
      <c r="M383" s="678" t="n"/>
      <c r="N383" s="678" t="n"/>
      <c r="O383" s="678" t="n"/>
      <c r="P383" s="678" t="n"/>
      <c r="Q383" s="678" t="n"/>
      <c r="R383" s="679" t="n"/>
    </row>
    <row r="384" ht="15.75" customHeight="1" s="557">
      <c r="A384" s="719" t="n"/>
      <c r="B384" s="678" t="n"/>
      <c r="C384" s="679" t="n"/>
      <c r="D384" s="729" t="n"/>
      <c r="E384" s="728" t="n"/>
      <c r="F384" s="678" t="n"/>
      <c r="G384" s="678" t="n"/>
      <c r="H384" s="678" t="n"/>
      <c r="I384" s="678" t="n"/>
      <c r="J384" s="678" t="n"/>
      <c r="K384" s="678" t="n"/>
      <c r="L384" s="678" t="n"/>
      <c r="M384" s="678" t="n"/>
      <c r="N384" s="678" t="n"/>
      <c r="O384" s="678" t="n"/>
      <c r="P384" s="678" t="n"/>
      <c r="Q384" s="678" t="n"/>
      <c r="R384" s="679" t="n"/>
    </row>
    <row r="385" ht="18" customHeight="1" s="557">
      <c r="A385" s="684" t="n"/>
      <c r="B385" s="570" t="n"/>
      <c r="C385" s="567" t="n"/>
      <c r="D385" s="689" t="n"/>
      <c r="E385" s="686" t="n"/>
      <c r="F385" s="570" t="n"/>
      <c r="G385" s="570" t="n"/>
      <c r="H385" s="570" t="n"/>
      <c r="I385" s="570" t="n"/>
      <c r="J385" s="570" t="n"/>
      <c r="K385" s="570" t="n"/>
      <c r="L385" s="570" t="n"/>
      <c r="M385" s="570" t="n"/>
      <c r="N385" s="570" t="n"/>
      <c r="O385" s="567" t="n"/>
      <c r="P385" s="687" t="n"/>
      <c r="Q385" s="687" t="n"/>
      <c r="R385" s="687" t="n"/>
    </row>
    <row r="386" ht="15.75" customHeight="1" s="557">
      <c r="A386" s="690" t="n"/>
      <c r="B386" s="570" t="n"/>
      <c r="C386" s="567" t="n"/>
      <c r="D386" s="730" t="n"/>
      <c r="E386" s="686" t="n"/>
      <c r="F386" s="570" t="n"/>
      <c r="G386" s="570" t="n"/>
      <c r="H386" s="570" t="n"/>
      <c r="I386" s="570" t="n"/>
      <c r="J386" s="570" t="n"/>
      <c r="K386" s="570" t="n"/>
      <c r="L386" s="570" t="n"/>
      <c r="M386" s="570" t="n"/>
      <c r="N386" s="570" t="n"/>
      <c r="O386" s="567" t="n"/>
      <c r="P386" s="687" t="n"/>
      <c r="Q386" s="687" t="n"/>
      <c r="R386" s="687" t="n"/>
    </row>
    <row r="387" ht="15.75" customFormat="1" customHeight="1" s="696">
      <c r="A387" s="684" t="n"/>
      <c r="B387" s="570" t="n"/>
      <c r="C387" s="567" t="n"/>
      <c r="D387" s="689" t="n"/>
      <c r="E387" s="686" t="n"/>
      <c r="F387" s="570" t="n"/>
      <c r="G387" s="570" t="n"/>
      <c r="H387" s="570" t="n"/>
      <c r="I387" s="570" t="n"/>
      <c r="J387" s="570" t="n"/>
      <c r="K387" s="570" t="n"/>
      <c r="L387" s="570" t="n"/>
      <c r="M387" s="570" t="n"/>
      <c r="N387" s="570" t="n"/>
      <c r="O387" s="567" t="n"/>
      <c r="P387" s="687" t="n"/>
      <c r="Q387" s="687" t="n"/>
      <c r="R387" s="687" t="n"/>
    </row>
    <row r="388" ht="15.75" customHeight="1" s="557">
      <c r="A388" s="691" t="n"/>
      <c r="B388" s="570" t="n"/>
      <c r="C388" s="567" t="n"/>
      <c r="D388" s="689" t="n"/>
      <c r="E388" s="686" t="n"/>
      <c r="F388" s="570" t="n"/>
      <c r="G388" s="570" t="n"/>
      <c r="H388" s="570" t="n"/>
      <c r="I388" s="570" t="n"/>
      <c r="J388" s="570" t="n"/>
      <c r="K388" s="570" t="n"/>
      <c r="L388" s="570" t="n"/>
      <c r="M388" s="570" t="n"/>
      <c r="N388" s="570" t="n"/>
      <c r="O388" s="567" t="n"/>
      <c r="P388" s="687" t="n"/>
      <c r="Q388" s="687" t="n"/>
      <c r="R388" s="687" t="n"/>
    </row>
    <row r="389" ht="15.75" customHeight="1" s="557">
      <c r="A389" s="691" t="n"/>
      <c r="B389" s="570" t="n"/>
      <c r="C389" s="567" t="n"/>
      <c r="D389" s="689" t="n"/>
      <c r="E389" s="686" t="n"/>
      <c r="F389" s="570" t="n"/>
      <c r="G389" s="570" t="n"/>
      <c r="H389" s="570" t="n"/>
      <c r="I389" s="570" t="n"/>
      <c r="J389" s="570" t="n"/>
      <c r="K389" s="570" t="n"/>
      <c r="L389" s="570" t="n"/>
      <c r="M389" s="570" t="n"/>
      <c r="N389" s="570" t="n"/>
      <c r="O389" s="567" t="n"/>
      <c r="P389" s="687" t="n"/>
      <c r="Q389" s="687" t="n"/>
      <c r="R389" s="687" t="n"/>
    </row>
    <row r="390" ht="15.75" customHeight="1" s="557">
      <c r="A390" s="691" t="n"/>
      <c r="B390" s="570" t="n"/>
      <c r="C390" s="567" t="n"/>
      <c r="D390" s="689" t="n"/>
      <c r="E390" s="686" t="n"/>
      <c r="F390" s="570" t="n"/>
      <c r="G390" s="570" t="n"/>
      <c r="H390" s="570" t="n"/>
      <c r="I390" s="570" t="n"/>
      <c r="J390" s="570" t="n"/>
      <c r="K390" s="570" t="n"/>
      <c r="L390" s="570" t="n"/>
      <c r="M390" s="570" t="n"/>
      <c r="N390" s="570" t="n"/>
      <c r="O390" s="567" t="n"/>
      <c r="P390" s="687" t="n"/>
      <c r="Q390" s="687" t="n"/>
      <c r="R390" s="687" t="n"/>
    </row>
    <row r="391" ht="15.75" customHeight="1" s="557">
      <c r="A391" s="691" t="n"/>
      <c r="B391" s="570" t="n"/>
      <c r="C391" s="567" t="n"/>
      <c r="D391" s="689" t="n"/>
      <c r="E391" s="686" t="n"/>
      <c r="F391" s="570" t="n"/>
      <c r="G391" s="570" t="n"/>
      <c r="H391" s="570" t="n"/>
      <c r="I391" s="570" t="n"/>
      <c r="J391" s="570" t="n"/>
      <c r="K391" s="570" t="n"/>
      <c r="L391" s="570" t="n"/>
      <c r="M391" s="570" t="n"/>
      <c r="N391" s="570" t="n"/>
      <c r="O391" s="567" t="n"/>
      <c r="P391" s="687" t="n"/>
      <c r="Q391" s="687" t="n"/>
      <c r="R391" s="687" t="n"/>
    </row>
    <row r="392" ht="15.75" customHeight="1" s="557">
      <c r="A392" s="691" t="n"/>
      <c r="B392" s="570" t="n"/>
      <c r="C392" s="567" t="n"/>
      <c r="D392" s="689" t="n"/>
      <c r="E392" s="686" t="n"/>
      <c r="F392" s="570" t="n"/>
      <c r="G392" s="570" t="n"/>
      <c r="H392" s="570" t="n"/>
      <c r="I392" s="570" t="n"/>
      <c r="J392" s="570" t="n"/>
      <c r="K392" s="570" t="n"/>
      <c r="L392" s="570" t="n"/>
      <c r="M392" s="570" t="n"/>
      <c r="N392" s="570" t="n"/>
      <c r="O392" s="567" t="n"/>
      <c r="P392" s="687" t="n"/>
      <c r="Q392" s="687" t="n"/>
      <c r="R392" s="687" t="n"/>
    </row>
    <row r="393" ht="15.75" customHeight="1" s="557">
      <c r="A393" s="691" t="n"/>
      <c r="B393" s="570" t="n"/>
      <c r="C393" s="567" t="n"/>
      <c r="D393" s="689" t="n"/>
      <c r="E393" s="686" t="n"/>
      <c r="F393" s="570" t="n"/>
      <c r="G393" s="570" t="n"/>
      <c r="H393" s="570" t="n"/>
      <c r="I393" s="570" t="n"/>
      <c r="J393" s="570" t="n"/>
      <c r="K393" s="570" t="n"/>
      <c r="L393" s="570" t="n"/>
      <c r="M393" s="570" t="n"/>
      <c r="N393" s="570" t="n"/>
      <c r="O393" s="567" t="n"/>
      <c r="P393" s="687" t="n"/>
      <c r="Q393" s="687" t="n"/>
      <c r="R393" s="687" t="n"/>
    </row>
    <row r="394" ht="15.75" customHeight="1" s="557">
      <c r="A394" s="684" t="n"/>
      <c r="B394" s="570" t="n"/>
      <c r="C394" s="567" t="n"/>
      <c r="D394" s="689" t="n"/>
      <c r="E394" s="686" t="n"/>
      <c r="F394" s="570" t="n"/>
      <c r="G394" s="570" t="n"/>
      <c r="H394" s="570" t="n"/>
      <c r="I394" s="570" t="n"/>
      <c r="J394" s="570" t="n"/>
      <c r="K394" s="570" t="n"/>
      <c r="L394" s="570" t="n"/>
      <c r="M394" s="570" t="n"/>
      <c r="N394" s="570" t="n"/>
      <c r="O394" s="567" t="n"/>
      <c r="P394" s="687" t="n"/>
      <c r="Q394" s="687" t="n"/>
      <c r="R394" s="687" t="n"/>
    </row>
    <row r="395" ht="15.75" customHeight="1" s="557">
      <c r="A395" s="731" t="n"/>
      <c r="B395" s="570" t="n"/>
      <c r="C395" s="567" t="n"/>
      <c r="D395" s="689" t="n"/>
      <c r="E395" s="686" t="n"/>
      <c r="F395" s="570" t="n"/>
      <c r="G395" s="570" t="n"/>
      <c r="H395" s="570" t="n"/>
      <c r="I395" s="570" t="n"/>
      <c r="J395" s="570" t="n"/>
      <c r="K395" s="570" t="n"/>
      <c r="L395" s="570" t="n"/>
      <c r="M395" s="570" t="n"/>
      <c r="N395" s="570" t="n"/>
      <c r="O395" s="567" t="n"/>
      <c r="P395" s="687" t="n"/>
      <c r="Q395" s="687" t="n"/>
      <c r="R395" s="687" t="n"/>
    </row>
    <row r="396" ht="15.75" customHeight="1" s="557">
      <c r="A396" s="731" t="n"/>
      <c r="B396" s="570" t="n"/>
      <c r="C396" s="567" t="n"/>
      <c r="D396" s="689" t="n"/>
      <c r="E396" s="686" t="n"/>
      <c r="F396" s="570" t="n"/>
      <c r="G396" s="570" t="n"/>
      <c r="H396" s="570" t="n"/>
      <c r="I396" s="570" t="n"/>
      <c r="J396" s="570" t="n"/>
      <c r="K396" s="570" t="n"/>
      <c r="L396" s="570" t="n"/>
      <c r="M396" s="570" t="n"/>
      <c r="N396" s="570" t="n"/>
      <c r="O396" s="567" t="n"/>
      <c r="P396" s="732" t="n"/>
      <c r="Q396" s="732" t="n"/>
      <c r="R396" s="732" t="n"/>
    </row>
    <row r="397" ht="15.75" customHeight="1" s="557">
      <c r="A397" s="719" t="n"/>
      <c r="B397" s="678" t="n"/>
      <c r="C397" s="679" t="n"/>
      <c r="D397" s="720" t="n"/>
      <c r="E397" s="733" t="n"/>
      <c r="F397" s="678" t="n"/>
      <c r="G397" s="678" t="n"/>
      <c r="H397" s="678" t="n"/>
      <c r="I397" s="678" t="n"/>
      <c r="J397" s="678" t="n"/>
      <c r="K397" s="678" t="n"/>
      <c r="L397" s="678" t="n"/>
      <c r="M397" s="678" t="n"/>
      <c r="N397" s="678" t="n"/>
      <c r="O397" s="678" t="n"/>
      <c r="P397" s="678" t="n"/>
      <c r="Q397" s="678" t="n"/>
      <c r="R397" s="679" t="n"/>
    </row>
    <row r="398" ht="15.75" customHeight="1" s="557">
      <c r="A398" s="719" t="n"/>
      <c r="B398" s="678" t="n"/>
      <c r="C398" s="679" t="n"/>
      <c r="D398" s="720" t="n"/>
      <c r="E398" s="733" t="n"/>
      <c r="F398" s="678" t="n"/>
      <c r="G398" s="678" t="n"/>
      <c r="H398" s="678" t="n"/>
      <c r="I398" s="678" t="n"/>
      <c r="J398" s="678" t="n"/>
      <c r="K398" s="678" t="n"/>
      <c r="L398" s="678" t="n"/>
      <c r="M398" s="678" t="n"/>
      <c r="N398" s="678" t="n"/>
      <c r="O398" s="678" t="n"/>
      <c r="P398" s="678" t="n"/>
      <c r="Q398" s="678" t="n"/>
      <c r="R398" s="679" t="n"/>
    </row>
    <row r="399" ht="15.75" customHeight="1" s="557">
      <c r="A399" s="719" t="n"/>
      <c r="B399" s="678" t="n"/>
      <c r="C399" s="679" t="n"/>
      <c r="D399" s="720" t="n"/>
      <c r="E399" s="733" t="n"/>
      <c r="F399" s="678" t="n"/>
      <c r="G399" s="678" t="n"/>
      <c r="H399" s="678" t="n"/>
      <c r="I399" s="678" t="n"/>
      <c r="J399" s="678" t="n"/>
      <c r="K399" s="678" t="n"/>
      <c r="L399" s="678" t="n"/>
      <c r="M399" s="678" t="n"/>
      <c r="N399" s="678" t="n"/>
      <c r="O399" s="678" t="n"/>
      <c r="P399" s="678" t="n"/>
      <c r="Q399" s="678" t="n"/>
      <c r="R399" s="679" t="n"/>
    </row>
    <row r="400" ht="15.75" customHeight="1" s="557">
      <c r="A400" s="719" t="n"/>
      <c r="B400" s="678" t="n"/>
      <c r="C400" s="679" t="n"/>
      <c r="D400" s="720" t="n"/>
      <c r="E400" s="733" t="n"/>
      <c r="F400" s="678" t="n"/>
      <c r="G400" s="678" t="n"/>
      <c r="H400" s="678" t="n"/>
      <c r="I400" s="678" t="n"/>
      <c r="J400" s="678" t="n"/>
      <c r="K400" s="678" t="n"/>
      <c r="L400" s="678" t="n"/>
      <c r="M400" s="678" t="n"/>
      <c r="N400" s="678" t="n"/>
      <c r="O400" s="678" t="n"/>
      <c r="P400" s="678" t="n"/>
      <c r="Q400" s="678" t="n"/>
      <c r="R400" s="679" t="n"/>
    </row>
    <row r="401" ht="15.75" customHeight="1" s="557">
      <c r="A401" s="719" t="n"/>
      <c r="B401" s="678" t="n"/>
      <c r="C401" s="679" t="n"/>
      <c r="D401" s="720" t="n"/>
      <c r="E401" s="727" t="n"/>
      <c r="F401" s="570" t="n"/>
      <c r="G401" s="570" t="n"/>
      <c r="H401" s="570" t="n"/>
      <c r="I401" s="570" t="n"/>
      <c r="J401" s="570" t="n"/>
      <c r="K401" s="570" t="n"/>
      <c r="L401" s="570" t="n"/>
      <c r="M401" s="570" t="n"/>
      <c r="N401" s="570" t="n"/>
      <c r="O401" s="570" t="n"/>
      <c r="P401" s="570" t="n"/>
      <c r="Q401" s="570" t="n"/>
      <c r="R401" s="567" t="n"/>
    </row>
    <row r="402" ht="15.75" customHeight="1" s="557">
      <c r="A402" s="719" t="n"/>
      <c r="B402" s="678" t="n"/>
      <c r="C402" s="679" t="n"/>
      <c r="D402" s="720" t="n"/>
      <c r="E402" s="723" t="n"/>
      <c r="F402" s="570" t="n"/>
      <c r="G402" s="570" t="n"/>
      <c r="H402" s="570" t="n"/>
      <c r="I402" s="570" t="n"/>
      <c r="J402" s="570" t="n"/>
      <c r="K402" s="570" t="n"/>
      <c r="L402" s="570" t="n"/>
      <c r="M402" s="570" t="n"/>
      <c r="N402" s="570" t="n"/>
      <c r="O402" s="570" t="n"/>
      <c r="P402" s="570" t="n"/>
      <c r="Q402" s="570" t="n"/>
      <c r="R402" s="567" t="n"/>
    </row>
    <row r="403" ht="15.75" customHeight="1" s="557">
      <c r="A403" s="719" t="n"/>
      <c r="B403" s="678" t="n"/>
      <c r="C403" s="679" t="n"/>
      <c r="D403" s="734" t="n"/>
      <c r="E403" s="727" t="n"/>
      <c r="F403" s="570" t="n"/>
      <c r="G403" s="570" t="n"/>
      <c r="H403" s="570" t="n"/>
      <c r="I403" s="570" t="n"/>
      <c r="J403" s="570" t="n"/>
      <c r="K403" s="570" t="n"/>
      <c r="L403" s="570" t="n"/>
      <c r="M403" s="570" t="n"/>
      <c r="N403" s="570" t="n"/>
      <c r="O403" s="570" t="n"/>
      <c r="P403" s="570" t="n"/>
      <c r="Q403" s="570" t="n"/>
      <c r="R403" s="567" t="n"/>
    </row>
    <row r="404" ht="15.75" customHeight="1" s="557">
      <c r="A404" s="719" t="n"/>
      <c r="B404" s="678" t="n"/>
      <c r="C404" s="679" t="n"/>
      <c r="D404" s="720" t="n"/>
      <c r="E404" s="727" t="n"/>
      <c r="F404" s="570" t="n"/>
      <c r="G404" s="570" t="n"/>
      <c r="H404" s="570" t="n"/>
      <c r="I404" s="570" t="n"/>
      <c r="J404" s="570" t="n"/>
      <c r="K404" s="570" t="n"/>
      <c r="L404" s="570" t="n"/>
      <c r="M404" s="570" t="n"/>
      <c r="N404" s="570" t="n"/>
      <c r="O404" s="570" t="n"/>
      <c r="P404" s="570" t="n"/>
      <c r="Q404" s="570" t="n"/>
      <c r="R404" s="567" t="n"/>
    </row>
    <row r="405" ht="15.75" customHeight="1" s="557">
      <c r="A405" s="719" t="n"/>
      <c r="B405" s="678" t="n"/>
      <c r="C405" s="679" t="n"/>
      <c r="D405" s="720" t="n"/>
      <c r="E405" s="727" t="n"/>
      <c r="F405" s="570" t="n"/>
      <c r="G405" s="570" t="n"/>
      <c r="H405" s="570" t="n"/>
      <c r="I405" s="570" t="n"/>
      <c r="J405" s="570" t="n"/>
      <c r="K405" s="570" t="n"/>
      <c r="L405" s="570" t="n"/>
      <c r="M405" s="570" t="n"/>
      <c r="N405" s="570" t="n"/>
      <c r="O405" s="570" t="n"/>
      <c r="P405" s="570" t="n"/>
      <c r="Q405" s="570" t="n"/>
      <c r="R405" s="567" t="n"/>
    </row>
    <row r="406" ht="15.75" customHeight="1" s="557">
      <c r="A406" s="719" t="n"/>
      <c r="B406" s="678" t="n"/>
      <c r="C406" s="679" t="n"/>
      <c r="D406" s="720" t="n"/>
      <c r="E406" s="727" t="n"/>
      <c r="F406" s="570" t="n"/>
      <c r="G406" s="570" t="n"/>
      <c r="H406" s="570" t="n"/>
      <c r="I406" s="570" t="n"/>
      <c r="J406" s="570" t="n"/>
      <c r="K406" s="570" t="n"/>
      <c r="L406" s="570" t="n"/>
      <c r="M406" s="570" t="n"/>
      <c r="N406" s="570" t="n"/>
      <c r="O406" s="570" t="n"/>
      <c r="P406" s="570" t="n"/>
      <c r="Q406" s="570" t="n"/>
      <c r="R406" s="567" t="n"/>
    </row>
    <row r="407" ht="15.75" customHeight="1" s="557">
      <c r="A407" s="719" t="n"/>
      <c r="B407" s="678" t="n"/>
      <c r="C407" s="679" t="n"/>
      <c r="D407" s="720" t="n"/>
      <c r="E407" s="727" t="n"/>
      <c r="F407" s="570" t="n"/>
      <c r="G407" s="570" t="n"/>
      <c r="H407" s="570" t="n"/>
      <c r="I407" s="570" t="n"/>
      <c r="J407" s="570" t="n"/>
      <c r="K407" s="570" t="n"/>
      <c r="L407" s="570" t="n"/>
      <c r="M407" s="570" t="n"/>
      <c r="N407" s="570" t="n"/>
      <c r="O407" s="570" t="n"/>
      <c r="P407" s="570" t="n"/>
      <c r="Q407" s="570" t="n"/>
      <c r="R407" s="567" t="n"/>
    </row>
    <row r="408" ht="15.75" customHeight="1" s="557">
      <c r="A408" s="719" t="n"/>
      <c r="B408" s="678" t="n"/>
      <c r="C408" s="679" t="n"/>
      <c r="D408" s="720" t="n"/>
      <c r="E408" s="721" t="n"/>
      <c r="F408" s="570" t="n"/>
      <c r="G408" s="570" t="n"/>
      <c r="H408" s="570" t="n"/>
      <c r="I408" s="570" t="n"/>
      <c r="J408" s="570" t="n"/>
      <c r="K408" s="570" t="n"/>
      <c r="L408" s="570" t="n"/>
      <c r="M408" s="570" t="n"/>
      <c r="N408" s="570" t="n"/>
      <c r="O408" s="570" t="n"/>
      <c r="P408" s="570" t="n"/>
      <c r="Q408" s="570" t="n"/>
      <c r="R408" s="567" t="n"/>
    </row>
    <row r="409" ht="15.75" customHeight="1" s="557">
      <c r="A409" s="719" t="n"/>
      <c r="B409" s="678" t="n"/>
      <c r="C409" s="679" t="n"/>
      <c r="D409" s="720" t="n"/>
      <c r="E409" s="722" t="n"/>
      <c r="F409" s="570" t="n"/>
      <c r="G409" s="570" t="n"/>
      <c r="H409" s="570" t="n"/>
      <c r="I409" s="570" t="n"/>
      <c r="J409" s="570" t="n"/>
      <c r="K409" s="570" t="n"/>
      <c r="L409" s="570" t="n"/>
      <c r="M409" s="570" t="n"/>
      <c r="N409" s="570" t="n"/>
      <c r="O409" s="570" t="n"/>
      <c r="P409" s="570" t="n"/>
      <c r="Q409" s="570" t="n"/>
      <c r="R409" s="567" t="n"/>
    </row>
    <row r="410" ht="15.75" customHeight="1" s="557">
      <c r="A410" s="719" t="n"/>
      <c r="B410" s="678" t="n"/>
      <c r="C410" s="679" t="n"/>
      <c r="D410" s="720" t="n"/>
      <c r="E410" s="723" t="n"/>
      <c r="F410" s="570" t="n"/>
      <c r="G410" s="570" t="n"/>
      <c r="H410" s="570" t="n"/>
      <c r="I410" s="570" t="n"/>
      <c r="J410" s="570" t="n"/>
      <c r="K410" s="570" t="n"/>
      <c r="L410" s="570" t="n"/>
      <c r="M410" s="570" t="n"/>
      <c r="N410" s="570" t="n"/>
      <c r="O410" s="570" t="n"/>
      <c r="P410" s="570" t="n"/>
      <c r="Q410" s="570" t="n"/>
      <c r="R410" s="567" t="n"/>
    </row>
    <row r="411" ht="15.75" customHeight="1" s="557">
      <c r="A411" s="719" t="n"/>
      <c r="B411" s="678" t="n"/>
      <c r="C411" s="679" t="n"/>
      <c r="D411" s="720" t="n"/>
      <c r="E411" s="723" t="n"/>
      <c r="F411" s="570" t="n"/>
      <c r="G411" s="570" t="n"/>
      <c r="H411" s="570" t="n"/>
      <c r="I411" s="570" t="n"/>
      <c r="J411" s="570" t="n"/>
      <c r="K411" s="570" t="n"/>
      <c r="L411" s="570" t="n"/>
      <c r="M411" s="570" t="n"/>
      <c r="N411" s="570" t="n"/>
      <c r="O411" s="570" t="n"/>
      <c r="P411" s="570" t="n"/>
      <c r="Q411" s="570" t="n"/>
      <c r="R411" s="567" t="n"/>
    </row>
    <row r="412" ht="15.75" customHeight="1" s="557">
      <c r="A412" s="719" t="n"/>
      <c r="B412" s="678" t="n"/>
      <c r="C412" s="679" t="n"/>
      <c r="D412" s="720" t="n"/>
      <c r="E412" s="722" t="n"/>
      <c r="F412" s="570" t="n"/>
      <c r="G412" s="570" t="n"/>
      <c r="H412" s="570" t="n"/>
      <c r="I412" s="570" t="n"/>
      <c r="J412" s="570" t="n"/>
      <c r="K412" s="570" t="n"/>
      <c r="L412" s="570" t="n"/>
      <c r="M412" s="570" t="n"/>
      <c r="N412" s="570" t="n"/>
      <c r="O412" s="570" t="n"/>
      <c r="P412" s="570" t="n"/>
      <c r="Q412" s="570" t="n"/>
      <c r="R412" s="567" t="n"/>
    </row>
    <row r="413" ht="15.75" customHeight="1" s="557">
      <c r="A413" s="719" t="n"/>
      <c r="B413" s="678" t="n"/>
      <c r="C413" s="679" t="n"/>
      <c r="D413" s="720" t="n"/>
      <c r="E413" s="724" t="n"/>
      <c r="F413" s="570" t="n"/>
      <c r="G413" s="570" t="n"/>
      <c r="H413" s="570" t="n"/>
      <c r="I413" s="570" t="n"/>
      <c r="J413" s="570" t="n"/>
      <c r="K413" s="570" t="n"/>
      <c r="L413" s="570" t="n"/>
      <c r="M413" s="570" t="n"/>
      <c r="N413" s="570" t="n"/>
      <c r="O413" s="570" t="n"/>
      <c r="P413" s="570" t="n"/>
      <c r="Q413" s="570" t="n"/>
      <c r="R413" s="567" t="n"/>
    </row>
    <row r="414" ht="15.75" customHeight="1" s="557">
      <c r="A414" s="719" t="n"/>
      <c r="B414" s="678" t="n"/>
      <c r="C414" s="679" t="n"/>
      <c r="D414" s="720" t="n"/>
      <c r="E414" s="722" t="n"/>
      <c r="F414" s="570" t="n"/>
      <c r="G414" s="570" t="n"/>
      <c r="H414" s="570" t="n"/>
      <c r="I414" s="570" t="n"/>
      <c r="J414" s="570" t="n"/>
      <c r="K414" s="570" t="n"/>
      <c r="L414" s="570" t="n"/>
      <c r="M414" s="570" t="n"/>
      <c r="N414" s="570" t="n"/>
      <c r="O414" s="570" t="n"/>
      <c r="P414" s="570" t="n"/>
      <c r="Q414" s="570" t="n"/>
      <c r="R414" s="567" t="n"/>
    </row>
    <row r="415" ht="15.75" customHeight="1" s="557">
      <c r="A415" s="719" t="n"/>
      <c r="B415" s="678" t="n"/>
      <c r="C415" s="679" t="n"/>
      <c r="D415" s="720" t="n"/>
      <c r="E415" s="724" t="n"/>
      <c r="F415" s="570" t="n"/>
      <c r="G415" s="570" t="n"/>
      <c r="H415" s="570" t="n"/>
      <c r="I415" s="570" t="n"/>
      <c r="J415" s="570" t="n"/>
      <c r="K415" s="570" t="n"/>
      <c r="L415" s="570" t="n"/>
      <c r="M415" s="570" t="n"/>
      <c r="N415" s="570" t="n"/>
      <c r="O415" s="570" t="n"/>
      <c r="P415" s="570" t="n"/>
      <c r="Q415" s="570" t="n"/>
      <c r="R415" s="567" t="n"/>
    </row>
    <row r="416" ht="15.75" customHeight="1" s="557">
      <c r="A416" s="719" t="n"/>
      <c r="B416" s="678" t="n"/>
      <c r="C416" s="679" t="n"/>
      <c r="D416" s="720" t="n"/>
      <c r="E416" s="722" t="n"/>
      <c r="F416" s="570" t="n"/>
      <c r="G416" s="570" t="n"/>
      <c r="H416" s="570" t="n"/>
      <c r="I416" s="570" t="n"/>
      <c r="J416" s="570" t="n"/>
      <c r="K416" s="570" t="n"/>
      <c r="L416" s="570" t="n"/>
      <c r="M416" s="570" t="n"/>
      <c r="N416" s="570" t="n"/>
      <c r="O416" s="570" t="n"/>
      <c r="P416" s="570" t="n"/>
      <c r="Q416" s="570" t="n"/>
      <c r="R416" s="567" t="n"/>
    </row>
    <row r="417" ht="15.75" customHeight="1" s="557">
      <c r="A417" s="719" t="n"/>
      <c r="B417" s="678" t="n"/>
      <c r="C417" s="679" t="n"/>
      <c r="D417" s="720" t="n"/>
      <c r="E417" s="725" t="n"/>
      <c r="F417" s="570" t="n"/>
      <c r="G417" s="570" t="n"/>
      <c r="H417" s="570" t="n"/>
      <c r="I417" s="570" t="n"/>
      <c r="J417" s="570" t="n"/>
      <c r="K417" s="570" t="n"/>
      <c r="L417" s="570" t="n"/>
      <c r="M417" s="570" t="n"/>
      <c r="N417" s="570" t="n"/>
      <c r="O417" s="570" t="n"/>
      <c r="P417" s="570" t="n"/>
      <c r="Q417" s="570" t="n"/>
      <c r="R417" s="567" t="n"/>
    </row>
    <row r="418" ht="15.75" customHeight="1" s="557">
      <c r="A418" s="719" t="n"/>
      <c r="B418" s="678" t="n"/>
      <c r="C418" s="679" t="n"/>
      <c r="D418" s="720" t="n"/>
      <c r="E418" s="726" t="n"/>
      <c r="F418" s="570" t="n"/>
      <c r="G418" s="570" t="n"/>
      <c r="H418" s="570" t="n"/>
      <c r="I418" s="570" t="n"/>
      <c r="J418" s="570" t="n"/>
      <c r="K418" s="570" t="n"/>
      <c r="L418" s="570" t="n"/>
      <c r="M418" s="570" t="n"/>
      <c r="N418" s="570" t="n"/>
      <c r="O418" s="570" t="n"/>
      <c r="P418" s="570" t="n"/>
      <c r="Q418" s="570" t="n"/>
      <c r="R418" s="567" t="n"/>
    </row>
    <row r="419" ht="15.75" customHeight="1" s="557">
      <c r="A419" s="719" t="n"/>
      <c r="B419" s="678" t="n"/>
      <c r="C419" s="679" t="n"/>
      <c r="D419" s="720" t="n"/>
      <c r="E419" s="723" t="n"/>
      <c r="F419" s="570" t="n"/>
      <c r="G419" s="570" t="n"/>
      <c r="H419" s="570" t="n"/>
      <c r="I419" s="570" t="n"/>
      <c r="J419" s="570" t="n"/>
      <c r="K419" s="570" t="n"/>
      <c r="L419" s="570" t="n"/>
      <c r="M419" s="570" t="n"/>
      <c r="N419" s="570" t="n"/>
      <c r="O419" s="570" t="n"/>
      <c r="P419" s="570" t="n"/>
      <c r="Q419" s="570" t="n"/>
      <c r="R419" s="567" t="n"/>
    </row>
    <row r="420" ht="15.75" customHeight="1" s="557">
      <c r="A420" s="719" t="n"/>
      <c r="B420" s="678" t="n"/>
      <c r="C420" s="679" t="n"/>
      <c r="D420" s="720" t="n"/>
      <c r="E420" s="724" t="n"/>
      <c r="F420" s="570" t="n"/>
      <c r="G420" s="570" t="n"/>
      <c r="H420" s="570" t="n"/>
      <c r="I420" s="570" t="n"/>
      <c r="J420" s="570" t="n"/>
      <c r="K420" s="570" t="n"/>
      <c r="L420" s="570" t="n"/>
      <c r="M420" s="570" t="n"/>
      <c r="N420" s="570" t="n"/>
      <c r="O420" s="570" t="n"/>
      <c r="P420" s="570" t="n"/>
      <c r="Q420" s="570" t="n"/>
      <c r="R420" s="567" t="n"/>
    </row>
    <row r="421" ht="15.75" customHeight="1" s="557">
      <c r="A421" s="719" t="n"/>
      <c r="B421" s="678" t="n"/>
      <c r="C421" s="679" t="n"/>
      <c r="D421" s="720" t="n"/>
      <c r="E421" s="722" t="n"/>
      <c r="F421" s="570" t="n"/>
      <c r="G421" s="570" t="n"/>
      <c r="H421" s="570" t="n"/>
      <c r="I421" s="570" t="n"/>
      <c r="J421" s="570" t="n"/>
      <c r="K421" s="570" t="n"/>
      <c r="L421" s="570" t="n"/>
      <c r="M421" s="570" t="n"/>
      <c r="N421" s="570" t="n"/>
      <c r="O421" s="570" t="n"/>
      <c r="P421" s="570" t="n"/>
      <c r="Q421" s="570" t="n"/>
      <c r="R421" s="567" t="n"/>
    </row>
    <row r="422" ht="15.75" customHeight="1" s="557">
      <c r="A422" s="719" t="n"/>
      <c r="B422" s="678" t="n"/>
      <c r="C422" s="679" t="n"/>
      <c r="D422" s="720" t="n"/>
      <c r="E422" s="725" t="n"/>
      <c r="F422" s="570" t="n"/>
      <c r="G422" s="570" t="n"/>
      <c r="H422" s="570" t="n"/>
      <c r="I422" s="570" t="n"/>
      <c r="J422" s="570" t="n"/>
      <c r="K422" s="570" t="n"/>
      <c r="L422" s="570" t="n"/>
      <c r="M422" s="570" t="n"/>
      <c r="N422" s="570" t="n"/>
      <c r="O422" s="570" t="n"/>
      <c r="P422" s="570" t="n"/>
      <c r="Q422" s="570" t="n"/>
      <c r="R422" s="567" t="n"/>
    </row>
    <row r="423" ht="15.75" customHeight="1" s="557">
      <c r="A423" s="719" t="n"/>
      <c r="B423" s="678" t="n"/>
      <c r="C423" s="679" t="n"/>
      <c r="D423" s="720" t="n"/>
      <c r="E423" s="722" t="n"/>
      <c r="F423" s="570" t="n"/>
      <c r="G423" s="570" t="n"/>
      <c r="H423" s="570" t="n"/>
      <c r="I423" s="570" t="n"/>
      <c r="J423" s="570" t="n"/>
      <c r="K423" s="570" t="n"/>
      <c r="L423" s="570" t="n"/>
      <c r="M423" s="570" t="n"/>
      <c r="N423" s="570" t="n"/>
      <c r="O423" s="570" t="n"/>
      <c r="P423" s="570" t="n"/>
      <c r="Q423" s="570" t="n"/>
      <c r="R423" s="567" t="n"/>
    </row>
    <row r="424" ht="15.75" customHeight="1" s="557">
      <c r="A424" s="719" t="n"/>
      <c r="B424" s="678" t="n"/>
      <c r="C424" s="679" t="n"/>
      <c r="D424" s="720" t="n"/>
      <c r="E424" s="722" t="n"/>
      <c r="F424" s="570" t="n"/>
      <c r="G424" s="570" t="n"/>
      <c r="H424" s="570" t="n"/>
      <c r="I424" s="570" t="n"/>
      <c r="J424" s="570" t="n"/>
      <c r="K424" s="570" t="n"/>
      <c r="L424" s="570" t="n"/>
      <c r="M424" s="570" t="n"/>
      <c r="N424" s="570" t="n"/>
      <c r="O424" s="570" t="n"/>
      <c r="P424" s="570" t="n"/>
      <c r="Q424" s="570" t="n"/>
      <c r="R424" s="567" t="n"/>
    </row>
    <row r="425" ht="15.75" customHeight="1" s="557">
      <c r="A425" s="719" t="n"/>
      <c r="B425" s="678" t="n"/>
      <c r="C425" s="679" t="n"/>
      <c r="D425" s="720" t="n"/>
      <c r="E425" s="723" t="n"/>
      <c r="F425" s="570" t="n"/>
      <c r="G425" s="570" t="n"/>
      <c r="H425" s="570" t="n"/>
      <c r="I425" s="570" t="n"/>
      <c r="J425" s="570" t="n"/>
      <c r="K425" s="570" t="n"/>
      <c r="L425" s="570" t="n"/>
      <c r="M425" s="570" t="n"/>
      <c r="N425" s="570" t="n"/>
      <c r="O425" s="570" t="n"/>
      <c r="P425" s="570" t="n"/>
      <c r="Q425" s="570" t="n"/>
      <c r="R425" s="567" t="n"/>
    </row>
    <row r="426" ht="15.75" customHeight="1" s="557">
      <c r="A426" s="719" t="n"/>
      <c r="B426" s="678" t="n"/>
      <c r="C426" s="679" t="n"/>
      <c r="D426" s="720" t="n"/>
      <c r="E426" s="727" t="n"/>
      <c r="F426" s="570" t="n"/>
      <c r="G426" s="570" t="n"/>
      <c r="H426" s="570" t="n"/>
      <c r="I426" s="570" t="n"/>
      <c r="J426" s="570" t="n"/>
      <c r="K426" s="570" t="n"/>
      <c r="L426" s="570" t="n"/>
      <c r="M426" s="570" t="n"/>
      <c r="N426" s="570" t="n"/>
      <c r="O426" s="570" t="n"/>
      <c r="P426" s="570" t="n"/>
      <c r="Q426" s="570" t="n"/>
      <c r="R426" s="567" t="n"/>
    </row>
    <row r="427" ht="15.75" customHeight="1" s="557">
      <c r="A427" s="719" t="n"/>
      <c r="B427" s="678" t="n"/>
      <c r="C427" s="679" t="n"/>
      <c r="D427" s="720" t="n"/>
      <c r="E427" s="722" t="n"/>
      <c r="F427" s="570" t="n"/>
      <c r="G427" s="570" t="n"/>
      <c r="H427" s="570" t="n"/>
      <c r="I427" s="570" t="n"/>
      <c r="J427" s="570" t="n"/>
      <c r="K427" s="570" t="n"/>
      <c r="L427" s="570" t="n"/>
      <c r="M427" s="570" t="n"/>
      <c r="N427" s="570" t="n"/>
      <c r="O427" s="570" t="n"/>
      <c r="P427" s="570" t="n"/>
      <c r="Q427" s="570" t="n"/>
      <c r="R427" s="567" t="n"/>
    </row>
    <row r="428" ht="15.75" customHeight="1" s="557">
      <c r="A428" s="719" t="n"/>
      <c r="B428" s="678" t="n"/>
      <c r="C428" s="679" t="n"/>
      <c r="D428" s="720" t="n"/>
      <c r="E428" s="722" t="n"/>
      <c r="F428" s="570" t="n"/>
      <c r="G428" s="570" t="n"/>
      <c r="H428" s="570" t="n"/>
      <c r="I428" s="570" t="n"/>
      <c r="J428" s="570" t="n"/>
      <c r="K428" s="570" t="n"/>
      <c r="L428" s="570" t="n"/>
      <c r="M428" s="570" t="n"/>
      <c r="N428" s="570" t="n"/>
      <c r="O428" s="570" t="n"/>
      <c r="P428" s="570" t="n"/>
      <c r="Q428" s="570" t="n"/>
      <c r="R428" s="567" t="n"/>
    </row>
    <row r="429" ht="15.75" customHeight="1" s="557">
      <c r="A429" s="719" t="n"/>
      <c r="B429" s="678" t="n"/>
      <c r="C429" s="679" t="n"/>
      <c r="D429" s="720" t="n"/>
      <c r="E429" s="722" t="n"/>
      <c r="F429" s="570" t="n"/>
      <c r="G429" s="570" t="n"/>
      <c r="H429" s="570" t="n"/>
      <c r="I429" s="570" t="n"/>
      <c r="J429" s="570" t="n"/>
      <c r="K429" s="570" t="n"/>
      <c r="L429" s="570" t="n"/>
      <c r="M429" s="570" t="n"/>
      <c r="N429" s="570" t="n"/>
      <c r="O429" s="570" t="n"/>
      <c r="P429" s="570" t="n"/>
      <c r="Q429" s="570" t="n"/>
      <c r="R429" s="567" t="n"/>
    </row>
    <row r="430" ht="15.75" customHeight="1" s="557">
      <c r="A430" s="719" t="n"/>
      <c r="B430" s="678" t="n"/>
      <c r="C430" s="679" t="n"/>
      <c r="D430" s="720" t="n"/>
      <c r="E430" s="728" t="n"/>
      <c r="F430" s="678" t="n"/>
      <c r="G430" s="678" t="n"/>
      <c r="H430" s="678" t="n"/>
      <c r="I430" s="678" t="n"/>
      <c r="J430" s="678" t="n"/>
      <c r="K430" s="678" t="n"/>
      <c r="L430" s="678" t="n"/>
      <c r="M430" s="678" t="n"/>
      <c r="N430" s="678" t="n"/>
      <c r="O430" s="678" t="n"/>
      <c r="P430" s="678" t="n"/>
      <c r="Q430" s="678" t="n"/>
      <c r="R430" s="679" t="n"/>
    </row>
    <row r="431" ht="15.75" customHeight="1" s="557">
      <c r="A431" s="719" t="n"/>
      <c r="B431" s="678" t="n"/>
      <c r="C431" s="679" t="n"/>
      <c r="D431" s="720" t="n"/>
      <c r="E431" s="728" t="n"/>
      <c r="F431" s="678" t="n"/>
      <c r="G431" s="678" t="n"/>
      <c r="H431" s="678" t="n"/>
      <c r="I431" s="678" t="n"/>
      <c r="J431" s="678" t="n"/>
      <c r="K431" s="678" t="n"/>
      <c r="L431" s="678" t="n"/>
      <c r="M431" s="678" t="n"/>
      <c r="N431" s="678" t="n"/>
      <c r="O431" s="678" t="n"/>
      <c r="P431" s="678" t="n"/>
      <c r="Q431" s="678" t="n"/>
      <c r="R431" s="679" t="n"/>
    </row>
    <row r="432" ht="15.75" customHeight="1" s="557">
      <c r="A432" s="719" t="n"/>
      <c r="B432" s="678" t="n"/>
      <c r="C432" s="679" t="n"/>
      <c r="D432" s="729" t="n"/>
      <c r="E432" s="728" t="n"/>
      <c r="F432" s="678" t="n"/>
      <c r="G432" s="678" t="n"/>
      <c r="H432" s="678" t="n"/>
      <c r="I432" s="678" t="n"/>
      <c r="J432" s="678" t="n"/>
      <c r="K432" s="678" t="n"/>
      <c r="L432" s="678" t="n"/>
      <c r="M432" s="678" t="n"/>
      <c r="N432" s="678" t="n"/>
      <c r="O432" s="678" t="n"/>
      <c r="P432" s="678" t="n"/>
      <c r="Q432" s="678" t="n"/>
      <c r="R432" s="679" t="n"/>
    </row>
    <row r="433" ht="15.75" customHeight="1" s="557">
      <c r="A433" s="719" t="n"/>
      <c r="B433" s="678" t="n"/>
      <c r="C433" s="679" t="n"/>
      <c r="D433" s="729" t="n"/>
      <c r="E433" s="728" t="n"/>
      <c r="F433" s="678" t="n"/>
      <c r="G433" s="678" t="n"/>
      <c r="H433" s="678" t="n"/>
      <c r="I433" s="678" t="n"/>
      <c r="J433" s="678" t="n"/>
      <c r="K433" s="678" t="n"/>
      <c r="L433" s="678" t="n"/>
      <c r="M433" s="678" t="n"/>
      <c r="N433" s="678" t="n"/>
      <c r="O433" s="678" t="n"/>
      <c r="P433" s="678" t="n"/>
      <c r="Q433" s="678" t="n"/>
      <c r="R433" s="679" t="n"/>
    </row>
    <row r="434" ht="15.75" customHeight="1" s="557">
      <c r="A434" s="684" t="n"/>
      <c r="B434" s="570" t="n"/>
      <c r="C434" s="567" t="n"/>
      <c r="D434" s="689" t="n"/>
      <c r="E434" s="686" t="n"/>
      <c r="F434" s="570" t="n"/>
      <c r="G434" s="570" t="n"/>
      <c r="H434" s="570" t="n"/>
      <c r="I434" s="570" t="n"/>
      <c r="J434" s="570" t="n"/>
      <c r="K434" s="570" t="n"/>
      <c r="L434" s="570" t="n"/>
      <c r="M434" s="570" t="n"/>
      <c r="N434" s="570" t="n"/>
      <c r="O434" s="567" t="n"/>
      <c r="P434" s="687" t="n"/>
      <c r="Q434" s="687" t="n"/>
      <c r="R434" s="687" t="n"/>
    </row>
    <row r="435" ht="15.75" customHeight="1" s="557">
      <c r="A435" s="690" t="n"/>
      <c r="B435" s="570" t="n"/>
      <c r="C435" s="567" t="n"/>
      <c r="D435" s="730" t="n"/>
      <c r="E435" s="686" t="n"/>
      <c r="F435" s="570" t="n"/>
      <c r="G435" s="570" t="n"/>
      <c r="H435" s="570" t="n"/>
      <c r="I435" s="570" t="n"/>
      <c r="J435" s="570" t="n"/>
      <c r="K435" s="570" t="n"/>
      <c r="L435" s="570" t="n"/>
      <c r="M435" s="570" t="n"/>
      <c r="N435" s="570" t="n"/>
      <c r="O435" s="567" t="n"/>
      <c r="P435" s="687" t="n"/>
      <c r="Q435" s="687" t="n"/>
      <c r="R435" s="687" t="n"/>
    </row>
    <row r="436" ht="15.75" customFormat="1" customHeight="1" s="696">
      <c r="A436" s="684" t="n"/>
      <c r="B436" s="570" t="n"/>
      <c r="C436" s="567" t="n"/>
      <c r="D436" s="689" t="n"/>
      <c r="E436" s="686" t="n"/>
      <c r="F436" s="570" t="n"/>
      <c r="G436" s="570" t="n"/>
      <c r="H436" s="570" t="n"/>
      <c r="I436" s="570" t="n"/>
      <c r="J436" s="570" t="n"/>
      <c r="K436" s="570" t="n"/>
      <c r="L436" s="570" t="n"/>
      <c r="M436" s="570" t="n"/>
      <c r="N436" s="570" t="n"/>
      <c r="O436" s="567" t="n"/>
      <c r="P436" s="687" t="n"/>
      <c r="Q436" s="687" t="n"/>
      <c r="R436" s="687" t="n"/>
    </row>
    <row r="437" ht="15.75" customHeight="1" s="557">
      <c r="A437" s="691" t="n"/>
      <c r="B437" s="570" t="n"/>
      <c r="C437" s="567" t="n"/>
      <c r="D437" s="689" t="n"/>
      <c r="E437" s="686" t="n"/>
      <c r="F437" s="570" t="n"/>
      <c r="G437" s="570" t="n"/>
      <c r="H437" s="570" t="n"/>
      <c r="I437" s="570" t="n"/>
      <c r="J437" s="570" t="n"/>
      <c r="K437" s="570" t="n"/>
      <c r="L437" s="570" t="n"/>
      <c r="M437" s="570" t="n"/>
      <c r="N437" s="570" t="n"/>
      <c r="O437" s="567" t="n"/>
      <c r="P437" s="687" t="n"/>
      <c r="Q437" s="687" t="n"/>
      <c r="R437" s="687" t="n"/>
    </row>
    <row r="438" ht="15.75" customHeight="1" s="557">
      <c r="A438" s="691" t="n"/>
      <c r="B438" s="570" t="n"/>
      <c r="C438" s="567" t="n"/>
      <c r="D438" s="689" t="n"/>
      <c r="E438" s="686" t="n"/>
      <c r="F438" s="570" t="n"/>
      <c r="G438" s="570" t="n"/>
      <c r="H438" s="570" t="n"/>
      <c r="I438" s="570" t="n"/>
      <c r="J438" s="570" t="n"/>
      <c r="K438" s="570" t="n"/>
      <c r="L438" s="570" t="n"/>
      <c r="M438" s="570" t="n"/>
      <c r="N438" s="570" t="n"/>
      <c r="O438" s="567" t="n"/>
      <c r="P438" s="687" t="n"/>
      <c r="Q438" s="687" t="n"/>
      <c r="R438" s="687" t="n"/>
    </row>
    <row r="439" ht="15.75" customHeight="1" s="557">
      <c r="A439" s="691" t="n"/>
      <c r="B439" s="570" t="n"/>
      <c r="C439" s="567" t="n"/>
      <c r="D439" s="689" t="n"/>
      <c r="E439" s="686" t="n"/>
      <c r="F439" s="570" t="n"/>
      <c r="G439" s="570" t="n"/>
      <c r="H439" s="570" t="n"/>
      <c r="I439" s="570" t="n"/>
      <c r="J439" s="570" t="n"/>
      <c r="K439" s="570" t="n"/>
      <c r="L439" s="570" t="n"/>
      <c r="M439" s="570" t="n"/>
      <c r="N439" s="570" t="n"/>
      <c r="O439" s="567" t="n"/>
      <c r="P439" s="687" t="n"/>
      <c r="Q439" s="687" t="n"/>
      <c r="R439" s="687" t="n"/>
    </row>
    <row r="440" ht="15.75" customHeight="1" s="557">
      <c r="A440" s="691" t="n"/>
      <c r="B440" s="570" t="n"/>
      <c r="C440" s="567" t="n"/>
      <c r="D440" s="689" t="n"/>
      <c r="E440" s="686" t="n"/>
      <c r="F440" s="570" t="n"/>
      <c r="G440" s="570" t="n"/>
      <c r="H440" s="570" t="n"/>
      <c r="I440" s="570" t="n"/>
      <c r="J440" s="570" t="n"/>
      <c r="K440" s="570" t="n"/>
      <c r="L440" s="570" t="n"/>
      <c r="M440" s="570" t="n"/>
      <c r="N440" s="570" t="n"/>
      <c r="O440" s="567" t="n"/>
      <c r="P440" s="687" t="n"/>
      <c r="Q440" s="687" t="n"/>
      <c r="R440" s="687" t="n"/>
    </row>
    <row r="441" ht="15.75" customHeight="1" s="557">
      <c r="A441" s="691" t="n"/>
      <c r="B441" s="570" t="n"/>
      <c r="C441" s="567" t="n"/>
      <c r="D441" s="689" t="n"/>
      <c r="E441" s="686" t="n"/>
      <c r="F441" s="570" t="n"/>
      <c r="G441" s="570" t="n"/>
      <c r="H441" s="570" t="n"/>
      <c r="I441" s="570" t="n"/>
      <c r="J441" s="570" t="n"/>
      <c r="K441" s="570" t="n"/>
      <c r="L441" s="570" t="n"/>
      <c r="M441" s="570" t="n"/>
      <c r="N441" s="570" t="n"/>
      <c r="O441" s="567" t="n"/>
      <c r="P441" s="687" t="n"/>
      <c r="Q441" s="687" t="n"/>
      <c r="R441" s="687" t="n"/>
    </row>
    <row r="442" ht="15.75" customHeight="1" s="557">
      <c r="A442" s="691" t="n"/>
      <c r="B442" s="570" t="n"/>
      <c r="C442" s="567" t="n"/>
      <c r="D442" s="689" t="n"/>
      <c r="E442" s="686" t="n"/>
      <c r="F442" s="570" t="n"/>
      <c r="G442" s="570" t="n"/>
      <c r="H442" s="570" t="n"/>
      <c r="I442" s="570" t="n"/>
      <c r="J442" s="570" t="n"/>
      <c r="K442" s="570" t="n"/>
      <c r="L442" s="570" t="n"/>
      <c r="M442" s="570" t="n"/>
      <c r="N442" s="570" t="n"/>
      <c r="O442" s="567" t="n"/>
      <c r="P442" s="687" t="n"/>
      <c r="Q442" s="687" t="n"/>
      <c r="R442" s="687" t="n"/>
    </row>
    <row r="443" ht="15.75" customHeight="1" s="557">
      <c r="A443" s="684" t="n"/>
      <c r="B443" s="570" t="n"/>
      <c r="C443" s="567" t="n"/>
      <c r="D443" s="689" t="n"/>
      <c r="E443" s="686" t="n"/>
      <c r="F443" s="570" t="n"/>
      <c r="G443" s="570" t="n"/>
      <c r="H443" s="570" t="n"/>
      <c r="I443" s="570" t="n"/>
      <c r="J443" s="570" t="n"/>
      <c r="K443" s="570" t="n"/>
      <c r="L443" s="570" t="n"/>
      <c r="M443" s="570" t="n"/>
      <c r="N443" s="570" t="n"/>
      <c r="O443" s="567" t="n"/>
      <c r="P443" s="687" t="n"/>
      <c r="Q443" s="687" t="n"/>
      <c r="R443" s="687" t="n"/>
    </row>
    <row r="444" ht="15.75" customHeight="1" s="557">
      <c r="A444" s="731" t="n"/>
      <c r="B444" s="570" t="n"/>
      <c r="C444" s="567" t="n"/>
      <c r="D444" s="689" t="n"/>
      <c r="E444" s="686" t="n"/>
      <c r="F444" s="570" t="n"/>
      <c r="G444" s="570" t="n"/>
      <c r="H444" s="570" t="n"/>
      <c r="I444" s="570" t="n"/>
      <c r="J444" s="570" t="n"/>
      <c r="K444" s="570" t="n"/>
      <c r="L444" s="570" t="n"/>
      <c r="M444" s="570" t="n"/>
      <c r="N444" s="570" t="n"/>
      <c r="O444" s="567" t="n"/>
      <c r="P444" s="687" t="n"/>
      <c r="Q444" s="687" t="n"/>
      <c r="R444" s="687" t="n"/>
    </row>
    <row r="445" ht="15.75" customHeight="1" s="557">
      <c r="A445" s="731" t="n"/>
      <c r="B445" s="570" t="n"/>
      <c r="C445" s="567" t="n"/>
      <c r="D445" s="689" t="n"/>
      <c r="E445" s="686" t="n"/>
      <c r="F445" s="570" t="n"/>
      <c r="G445" s="570" t="n"/>
      <c r="H445" s="570" t="n"/>
      <c r="I445" s="570" t="n"/>
      <c r="J445" s="570" t="n"/>
      <c r="K445" s="570" t="n"/>
      <c r="L445" s="570" t="n"/>
      <c r="M445" s="570" t="n"/>
      <c r="N445" s="570" t="n"/>
      <c r="O445" s="567" t="n"/>
      <c r="P445" s="732" t="n"/>
      <c r="Q445" s="732" t="n"/>
      <c r="R445" s="732" t="n"/>
    </row>
    <row r="446" ht="15.75" customHeight="1" s="557">
      <c r="A446" s="719" t="n"/>
      <c r="B446" s="678" t="n"/>
      <c r="C446" s="679" t="n"/>
      <c r="D446" s="720" t="n"/>
      <c r="E446" s="733" t="n"/>
      <c r="F446" s="678" t="n"/>
      <c r="G446" s="678" t="n"/>
      <c r="H446" s="678" t="n"/>
      <c r="I446" s="678" t="n"/>
      <c r="J446" s="678" t="n"/>
      <c r="K446" s="678" t="n"/>
      <c r="L446" s="678" t="n"/>
      <c r="M446" s="678" t="n"/>
      <c r="N446" s="678" t="n"/>
      <c r="O446" s="678" t="n"/>
      <c r="P446" s="678" t="n"/>
      <c r="Q446" s="678" t="n"/>
      <c r="R446" s="679" t="n"/>
    </row>
    <row r="447" ht="15.75" customHeight="1" s="557">
      <c r="A447" s="719" t="n"/>
      <c r="B447" s="678" t="n"/>
      <c r="C447" s="679" t="n"/>
      <c r="D447" s="720" t="n"/>
      <c r="E447" s="733" t="n"/>
      <c r="F447" s="678" t="n"/>
      <c r="G447" s="678" t="n"/>
      <c r="H447" s="678" t="n"/>
      <c r="I447" s="678" t="n"/>
      <c r="J447" s="678" t="n"/>
      <c r="K447" s="678" t="n"/>
      <c r="L447" s="678" t="n"/>
      <c r="M447" s="678" t="n"/>
      <c r="N447" s="678" t="n"/>
      <c r="O447" s="678" t="n"/>
      <c r="P447" s="678" t="n"/>
      <c r="Q447" s="678" t="n"/>
      <c r="R447" s="679" t="n"/>
    </row>
    <row r="448" ht="15.75" customHeight="1" s="557">
      <c r="A448" s="719" t="n"/>
      <c r="B448" s="678" t="n"/>
      <c r="C448" s="679" t="n"/>
      <c r="D448" s="720" t="n"/>
      <c r="E448" s="733" t="n"/>
      <c r="F448" s="678" t="n"/>
      <c r="G448" s="678" t="n"/>
      <c r="H448" s="678" t="n"/>
      <c r="I448" s="678" t="n"/>
      <c r="J448" s="678" t="n"/>
      <c r="K448" s="678" t="n"/>
      <c r="L448" s="678" t="n"/>
      <c r="M448" s="678" t="n"/>
      <c r="N448" s="678" t="n"/>
      <c r="O448" s="678" t="n"/>
      <c r="P448" s="678" t="n"/>
      <c r="Q448" s="678" t="n"/>
      <c r="R448" s="679" t="n"/>
    </row>
    <row r="449" ht="15.75" customHeight="1" s="557">
      <c r="A449" s="719" t="n"/>
      <c r="B449" s="678" t="n"/>
      <c r="C449" s="679" t="n"/>
      <c r="D449" s="720" t="n"/>
      <c r="E449" s="733" t="n"/>
      <c r="F449" s="678" t="n"/>
      <c r="G449" s="678" t="n"/>
      <c r="H449" s="678" t="n"/>
      <c r="I449" s="678" t="n"/>
      <c r="J449" s="678" t="n"/>
      <c r="K449" s="678" t="n"/>
      <c r="L449" s="678" t="n"/>
      <c r="M449" s="678" t="n"/>
      <c r="N449" s="678" t="n"/>
      <c r="O449" s="678" t="n"/>
      <c r="P449" s="678" t="n"/>
      <c r="Q449" s="678" t="n"/>
      <c r="R449" s="679" t="n"/>
    </row>
    <row r="450" ht="15.75" customHeight="1" s="557">
      <c r="A450" s="719" t="n"/>
      <c r="B450" s="678" t="n"/>
      <c r="C450" s="679" t="n"/>
      <c r="D450" s="720" t="n"/>
      <c r="E450" s="727" t="n"/>
      <c r="F450" s="570" t="n"/>
      <c r="G450" s="570" t="n"/>
      <c r="H450" s="570" t="n"/>
      <c r="I450" s="570" t="n"/>
      <c r="J450" s="570" t="n"/>
      <c r="K450" s="570" t="n"/>
      <c r="L450" s="570" t="n"/>
      <c r="M450" s="570" t="n"/>
      <c r="N450" s="570" t="n"/>
      <c r="O450" s="570" t="n"/>
      <c r="P450" s="570" t="n"/>
      <c r="Q450" s="570" t="n"/>
      <c r="R450" s="567" t="n"/>
    </row>
    <row r="451" ht="15.75" customHeight="1" s="557">
      <c r="A451" s="719" t="n"/>
      <c r="B451" s="678" t="n"/>
      <c r="C451" s="679" t="n"/>
      <c r="D451" s="720" t="n"/>
      <c r="E451" s="723" t="n"/>
      <c r="F451" s="570" t="n"/>
      <c r="G451" s="570" t="n"/>
      <c r="H451" s="570" t="n"/>
      <c r="I451" s="570" t="n"/>
      <c r="J451" s="570" t="n"/>
      <c r="K451" s="570" t="n"/>
      <c r="L451" s="570" t="n"/>
      <c r="M451" s="570" t="n"/>
      <c r="N451" s="570" t="n"/>
      <c r="O451" s="570" t="n"/>
      <c r="P451" s="570" t="n"/>
      <c r="Q451" s="570" t="n"/>
      <c r="R451" s="567" t="n"/>
    </row>
    <row r="452" ht="15.75" customHeight="1" s="557">
      <c r="A452" s="719" t="n"/>
      <c r="B452" s="678" t="n"/>
      <c r="C452" s="679" t="n"/>
      <c r="D452" s="734" t="n"/>
      <c r="E452" s="727" t="n"/>
      <c r="F452" s="570" t="n"/>
      <c r="G452" s="570" t="n"/>
      <c r="H452" s="570" t="n"/>
      <c r="I452" s="570" t="n"/>
      <c r="J452" s="570" t="n"/>
      <c r="K452" s="570" t="n"/>
      <c r="L452" s="570" t="n"/>
      <c r="M452" s="570" t="n"/>
      <c r="N452" s="570" t="n"/>
      <c r="O452" s="570" t="n"/>
      <c r="P452" s="570" t="n"/>
      <c r="Q452" s="570" t="n"/>
      <c r="R452" s="567" t="n"/>
    </row>
    <row r="453" ht="15.75" customHeight="1" s="557">
      <c r="A453" s="719" t="n"/>
      <c r="B453" s="678" t="n"/>
      <c r="C453" s="679" t="n"/>
      <c r="D453" s="720" t="n"/>
      <c r="E453" s="727" t="n"/>
      <c r="F453" s="570" t="n"/>
      <c r="G453" s="570" t="n"/>
      <c r="H453" s="570" t="n"/>
      <c r="I453" s="570" t="n"/>
      <c r="J453" s="570" t="n"/>
      <c r="K453" s="570" t="n"/>
      <c r="L453" s="570" t="n"/>
      <c r="M453" s="570" t="n"/>
      <c r="N453" s="570" t="n"/>
      <c r="O453" s="570" t="n"/>
      <c r="P453" s="570" t="n"/>
      <c r="Q453" s="570" t="n"/>
      <c r="R453" s="567" t="n"/>
    </row>
    <row r="454" ht="15.75" customHeight="1" s="557">
      <c r="A454" s="719" t="n"/>
      <c r="B454" s="678" t="n"/>
      <c r="C454" s="679" t="n"/>
      <c r="D454" s="720" t="n"/>
      <c r="E454" s="727" t="n"/>
      <c r="F454" s="570" t="n"/>
      <c r="G454" s="570" t="n"/>
      <c r="H454" s="570" t="n"/>
      <c r="I454" s="570" t="n"/>
      <c r="J454" s="570" t="n"/>
      <c r="K454" s="570" t="n"/>
      <c r="L454" s="570" t="n"/>
      <c r="M454" s="570" t="n"/>
      <c r="N454" s="570" t="n"/>
      <c r="O454" s="570" t="n"/>
      <c r="P454" s="570" t="n"/>
      <c r="Q454" s="570" t="n"/>
      <c r="R454" s="567" t="n"/>
    </row>
    <row r="455" ht="15.75" customHeight="1" s="557">
      <c r="A455" s="719" t="n"/>
      <c r="B455" s="678" t="n"/>
      <c r="C455" s="679" t="n"/>
      <c r="D455" s="720" t="n"/>
      <c r="E455" s="727" t="n"/>
      <c r="F455" s="570" t="n"/>
      <c r="G455" s="570" t="n"/>
      <c r="H455" s="570" t="n"/>
      <c r="I455" s="570" t="n"/>
      <c r="J455" s="570" t="n"/>
      <c r="K455" s="570" t="n"/>
      <c r="L455" s="570" t="n"/>
      <c r="M455" s="570" t="n"/>
      <c r="N455" s="570" t="n"/>
      <c r="O455" s="570" t="n"/>
      <c r="P455" s="570" t="n"/>
      <c r="Q455" s="570" t="n"/>
      <c r="R455" s="567" t="n"/>
    </row>
    <row r="456" ht="15.75" customHeight="1" s="557">
      <c r="A456" s="719" t="n"/>
      <c r="B456" s="678" t="n"/>
      <c r="C456" s="679" t="n"/>
      <c r="D456" s="720" t="n"/>
      <c r="E456" s="727" t="n"/>
      <c r="F456" s="570" t="n"/>
      <c r="G456" s="570" t="n"/>
      <c r="H456" s="570" t="n"/>
      <c r="I456" s="570" t="n"/>
      <c r="J456" s="570" t="n"/>
      <c r="K456" s="570" t="n"/>
      <c r="L456" s="570" t="n"/>
      <c r="M456" s="570" t="n"/>
      <c r="N456" s="570" t="n"/>
      <c r="O456" s="570" t="n"/>
      <c r="P456" s="570" t="n"/>
      <c r="Q456" s="570" t="n"/>
      <c r="R456" s="567" t="n"/>
    </row>
    <row r="457" ht="15.75" customHeight="1" s="557">
      <c r="A457" s="719" t="n"/>
      <c r="B457" s="678" t="n"/>
      <c r="C457" s="679" t="n"/>
      <c r="D457" s="720" t="n"/>
      <c r="E457" s="721" t="n"/>
      <c r="F457" s="570" t="n"/>
      <c r="G457" s="570" t="n"/>
      <c r="H457" s="570" t="n"/>
      <c r="I457" s="570" t="n"/>
      <c r="J457" s="570" t="n"/>
      <c r="K457" s="570" t="n"/>
      <c r="L457" s="570" t="n"/>
      <c r="M457" s="570" t="n"/>
      <c r="N457" s="570" t="n"/>
      <c r="O457" s="570" t="n"/>
      <c r="P457" s="570" t="n"/>
      <c r="Q457" s="570" t="n"/>
      <c r="R457" s="567" t="n"/>
    </row>
    <row r="458" ht="15.75" customHeight="1" s="557">
      <c r="A458" s="719" t="n"/>
      <c r="B458" s="678" t="n"/>
      <c r="C458" s="679" t="n"/>
      <c r="D458" s="720" t="n"/>
      <c r="E458" s="722" t="n"/>
      <c r="F458" s="570" t="n"/>
      <c r="G458" s="570" t="n"/>
      <c r="H458" s="570" t="n"/>
      <c r="I458" s="570" t="n"/>
      <c r="J458" s="570" t="n"/>
      <c r="K458" s="570" t="n"/>
      <c r="L458" s="570" t="n"/>
      <c r="M458" s="570" t="n"/>
      <c r="N458" s="570" t="n"/>
      <c r="O458" s="570" t="n"/>
      <c r="P458" s="570" t="n"/>
      <c r="Q458" s="570" t="n"/>
      <c r="R458" s="567" t="n"/>
    </row>
    <row r="459" ht="15.75" customHeight="1" s="557">
      <c r="A459" s="719" t="n"/>
      <c r="B459" s="678" t="n"/>
      <c r="C459" s="679" t="n"/>
      <c r="D459" s="720" t="n"/>
      <c r="E459" s="723" t="n"/>
      <c r="F459" s="570" t="n"/>
      <c r="G459" s="570" t="n"/>
      <c r="H459" s="570" t="n"/>
      <c r="I459" s="570" t="n"/>
      <c r="J459" s="570" t="n"/>
      <c r="K459" s="570" t="n"/>
      <c r="L459" s="570" t="n"/>
      <c r="M459" s="570" t="n"/>
      <c r="N459" s="570" t="n"/>
      <c r="O459" s="570" t="n"/>
      <c r="P459" s="570" t="n"/>
      <c r="Q459" s="570" t="n"/>
      <c r="R459" s="567" t="n"/>
    </row>
    <row r="460" ht="15.75" customHeight="1" s="557">
      <c r="A460" s="719" t="n"/>
      <c r="B460" s="678" t="n"/>
      <c r="C460" s="679" t="n"/>
      <c r="D460" s="720" t="n"/>
      <c r="E460" s="723" t="n"/>
      <c r="F460" s="570" t="n"/>
      <c r="G460" s="570" t="n"/>
      <c r="H460" s="570" t="n"/>
      <c r="I460" s="570" t="n"/>
      <c r="J460" s="570" t="n"/>
      <c r="K460" s="570" t="n"/>
      <c r="L460" s="570" t="n"/>
      <c r="M460" s="570" t="n"/>
      <c r="N460" s="570" t="n"/>
      <c r="O460" s="570" t="n"/>
      <c r="P460" s="570" t="n"/>
      <c r="Q460" s="570" t="n"/>
      <c r="R460" s="567" t="n"/>
    </row>
    <row r="461" ht="15.75" customHeight="1" s="557">
      <c r="A461" s="719" t="n"/>
      <c r="B461" s="678" t="n"/>
      <c r="C461" s="679" t="n"/>
      <c r="D461" s="720" t="n"/>
      <c r="E461" s="722" t="n"/>
      <c r="F461" s="570" t="n"/>
      <c r="G461" s="570" t="n"/>
      <c r="H461" s="570" t="n"/>
      <c r="I461" s="570" t="n"/>
      <c r="J461" s="570" t="n"/>
      <c r="K461" s="570" t="n"/>
      <c r="L461" s="570" t="n"/>
      <c r="M461" s="570" t="n"/>
      <c r="N461" s="570" t="n"/>
      <c r="O461" s="570" t="n"/>
      <c r="P461" s="570" t="n"/>
      <c r="Q461" s="570" t="n"/>
      <c r="R461" s="567" t="n"/>
    </row>
    <row r="462" ht="15.75" customHeight="1" s="557">
      <c r="A462" s="719" t="n"/>
      <c r="B462" s="678" t="n"/>
      <c r="C462" s="679" t="n"/>
      <c r="D462" s="720" t="n"/>
      <c r="E462" s="724" t="n"/>
      <c r="F462" s="570" t="n"/>
      <c r="G462" s="570" t="n"/>
      <c r="H462" s="570" t="n"/>
      <c r="I462" s="570" t="n"/>
      <c r="J462" s="570" t="n"/>
      <c r="K462" s="570" t="n"/>
      <c r="L462" s="570" t="n"/>
      <c r="M462" s="570" t="n"/>
      <c r="N462" s="570" t="n"/>
      <c r="O462" s="570" t="n"/>
      <c r="P462" s="570" t="n"/>
      <c r="Q462" s="570" t="n"/>
      <c r="R462" s="567" t="n"/>
    </row>
    <row r="463" ht="15.75" customHeight="1" s="557">
      <c r="A463" s="719" t="n"/>
      <c r="B463" s="678" t="n"/>
      <c r="C463" s="679" t="n"/>
      <c r="D463" s="720" t="n"/>
      <c r="E463" s="722" t="n"/>
      <c r="F463" s="570" t="n"/>
      <c r="G463" s="570" t="n"/>
      <c r="H463" s="570" t="n"/>
      <c r="I463" s="570" t="n"/>
      <c r="J463" s="570" t="n"/>
      <c r="K463" s="570" t="n"/>
      <c r="L463" s="570" t="n"/>
      <c r="M463" s="570" t="n"/>
      <c r="N463" s="570" t="n"/>
      <c r="O463" s="570" t="n"/>
      <c r="P463" s="570" t="n"/>
      <c r="Q463" s="570" t="n"/>
      <c r="R463" s="567" t="n"/>
    </row>
    <row r="464" ht="15.75" customHeight="1" s="557">
      <c r="A464" s="719" t="n"/>
      <c r="B464" s="678" t="n"/>
      <c r="C464" s="679" t="n"/>
      <c r="D464" s="720" t="n"/>
      <c r="E464" s="724" t="n"/>
      <c r="F464" s="570" t="n"/>
      <c r="G464" s="570" t="n"/>
      <c r="H464" s="570" t="n"/>
      <c r="I464" s="570" t="n"/>
      <c r="J464" s="570" t="n"/>
      <c r="K464" s="570" t="n"/>
      <c r="L464" s="570" t="n"/>
      <c r="M464" s="570" t="n"/>
      <c r="N464" s="570" t="n"/>
      <c r="O464" s="570" t="n"/>
      <c r="P464" s="570" t="n"/>
      <c r="Q464" s="570" t="n"/>
      <c r="R464" s="567" t="n"/>
    </row>
    <row r="465" ht="15.75" customHeight="1" s="557">
      <c r="A465" s="719" t="n"/>
      <c r="B465" s="678" t="n"/>
      <c r="C465" s="679" t="n"/>
      <c r="D465" s="720" t="n"/>
      <c r="E465" s="722" t="n"/>
      <c r="F465" s="570" t="n"/>
      <c r="G465" s="570" t="n"/>
      <c r="H465" s="570" t="n"/>
      <c r="I465" s="570" t="n"/>
      <c r="J465" s="570" t="n"/>
      <c r="K465" s="570" t="n"/>
      <c r="L465" s="570" t="n"/>
      <c r="M465" s="570" t="n"/>
      <c r="N465" s="570" t="n"/>
      <c r="O465" s="570" t="n"/>
      <c r="P465" s="570" t="n"/>
      <c r="Q465" s="570" t="n"/>
      <c r="R465" s="567" t="n"/>
    </row>
    <row r="466" ht="15.75" customHeight="1" s="557">
      <c r="A466" s="719" t="n"/>
      <c r="B466" s="678" t="n"/>
      <c r="C466" s="679" t="n"/>
      <c r="D466" s="720" t="n"/>
      <c r="E466" s="725" t="n"/>
      <c r="F466" s="570" t="n"/>
      <c r="G466" s="570" t="n"/>
      <c r="H466" s="570" t="n"/>
      <c r="I466" s="570" t="n"/>
      <c r="J466" s="570" t="n"/>
      <c r="K466" s="570" t="n"/>
      <c r="L466" s="570" t="n"/>
      <c r="M466" s="570" t="n"/>
      <c r="N466" s="570" t="n"/>
      <c r="O466" s="570" t="n"/>
      <c r="P466" s="570" t="n"/>
      <c r="Q466" s="570" t="n"/>
      <c r="R466" s="567" t="n"/>
    </row>
    <row r="467" ht="15.75" customHeight="1" s="557">
      <c r="A467" s="719" t="n"/>
      <c r="B467" s="678" t="n"/>
      <c r="C467" s="679" t="n"/>
      <c r="D467" s="720" t="n"/>
      <c r="E467" s="726" t="n"/>
      <c r="F467" s="570" t="n"/>
      <c r="G467" s="570" t="n"/>
      <c r="H467" s="570" t="n"/>
      <c r="I467" s="570" t="n"/>
      <c r="J467" s="570" t="n"/>
      <c r="K467" s="570" t="n"/>
      <c r="L467" s="570" t="n"/>
      <c r="M467" s="570" t="n"/>
      <c r="N467" s="570" t="n"/>
      <c r="O467" s="570" t="n"/>
      <c r="P467" s="570" t="n"/>
      <c r="Q467" s="570" t="n"/>
      <c r="R467" s="567" t="n"/>
    </row>
    <row r="468" ht="15.75" customHeight="1" s="557">
      <c r="A468" s="719" t="n"/>
      <c r="B468" s="678" t="n"/>
      <c r="C468" s="679" t="n"/>
      <c r="D468" s="720" t="n"/>
      <c r="E468" s="723" t="n"/>
      <c r="F468" s="570" t="n"/>
      <c r="G468" s="570" t="n"/>
      <c r="H468" s="570" t="n"/>
      <c r="I468" s="570" t="n"/>
      <c r="J468" s="570" t="n"/>
      <c r="K468" s="570" t="n"/>
      <c r="L468" s="570" t="n"/>
      <c r="M468" s="570" t="n"/>
      <c r="N468" s="570" t="n"/>
      <c r="O468" s="570" t="n"/>
      <c r="P468" s="570" t="n"/>
      <c r="Q468" s="570" t="n"/>
      <c r="R468" s="567" t="n"/>
    </row>
    <row r="469" ht="15.75" customHeight="1" s="557">
      <c r="A469" s="719" t="n"/>
      <c r="B469" s="678" t="n"/>
      <c r="C469" s="679" t="n"/>
      <c r="D469" s="720" t="n"/>
      <c r="E469" s="724" t="n"/>
      <c r="F469" s="570" t="n"/>
      <c r="G469" s="570" t="n"/>
      <c r="H469" s="570" t="n"/>
      <c r="I469" s="570" t="n"/>
      <c r="J469" s="570" t="n"/>
      <c r="K469" s="570" t="n"/>
      <c r="L469" s="570" t="n"/>
      <c r="M469" s="570" t="n"/>
      <c r="N469" s="570" t="n"/>
      <c r="O469" s="570" t="n"/>
      <c r="P469" s="570" t="n"/>
      <c r="Q469" s="570" t="n"/>
      <c r="R469" s="567" t="n"/>
    </row>
    <row r="470" ht="15.75" customHeight="1" s="557">
      <c r="A470" s="719" t="n"/>
      <c r="B470" s="678" t="n"/>
      <c r="C470" s="679" t="n"/>
      <c r="D470" s="720" t="n"/>
      <c r="E470" s="722" t="n"/>
      <c r="F470" s="570" t="n"/>
      <c r="G470" s="570" t="n"/>
      <c r="H470" s="570" t="n"/>
      <c r="I470" s="570" t="n"/>
      <c r="J470" s="570" t="n"/>
      <c r="K470" s="570" t="n"/>
      <c r="L470" s="570" t="n"/>
      <c r="M470" s="570" t="n"/>
      <c r="N470" s="570" t="n"/>
      <c r="O470" s="570" t="n"/>
      <c r="P470" s="570" t="n"/>
      <c r="Q470" s="570" t="n"/>
      <c r="R470" s="567" t="n"/>
    </row>
    <row r="471" ht="15.75" customHeight="1" s="557">
      <c r="A471" s="719" t="n"/>
      <c r="B471" s="678" t="n"/>
      <c r="C471" s="679" t="n"/>
      <c r="D471" s="720" t="n"/>
      <c r="E471" s="725" t="n"/>
      <c r="F471" s="570" t="n"/>
      <c r="G471" s="570" t="n"/>
      <c r="H471" s="570" t="n"/>
      <c r="I471" s="570" t="n"/>
      <c r="J471" s="570" t="n"/>
      <c r="K471" s="570" t="n"/>
      <c r="L471" s="570" t="n"/>
      <c r="M471" s="570" t="n"/>
      <c r="N471" s="570" t="n"/>
      <c r="O471" s="570" t="n"/>
      <c r="P471" s="570" t="n"/>
      <c r="Q471" s="570" t="n"/>
      <c r="R471" s="567" t="n"/>
    </row>
    <row r="472" ht="15.75" customHeight="1" s="557">
      <c r="A472" s="719" t="n"/>
      <c r="B472" s="678" t="n"/>
      <c r="C472" s="679" t="n"/>
      <c r="D472" s="720" t="n"/>
      <c r="E472" s="722" t="n"/>
      <c r="F472" s="570" t="n"/>
      <c r="G472" s="570" t="n"/>
      <c r="H472" s="570" t="n"/>
      <c r="I472" s="570" t="n"/>
      <c r="J472" s="570" t="n"/>
      <c r="K472" s="570" t="n"/>
      <c r="L472" s="570" t="n"/>
      <c r="M472" s="570" t="n"/>
      <c r="N472" s="570" t="n"/>
      <c r="O472" s="570" t="n"/>
      <c r="P472" s="570" t="n"/>
      <c r="Q472" s="570" t="n"/>
      <c r="R472" s="567" t="n"/>
    </row>
    <row r="473" ht="15.75" customHeight="1" s="557">
      <c r="A473" s="719" t="n"/>
      <c r="B473" s="678" t="n"/>
      <c r="C473" s="679" t="n"/>
      <c r="D473" s="720" t="n"/>
      <c r="E473" s="722" t="n"/>
      <c r="F473" s="570" t="n"/>
      <c r="G473" s="570" t="n"/>
      <c r="H473" s="570" t="n"/>
      <c r="I473" s="570" t="n"/>
      <c r="J473" s="570" t="n"/>
      <c r="K473" s="570" t="n"/>
      <c r="L473" s="570" t="n"/>
      <c r="M473" s="570" t="n"/>
      <c r="N473" s="570" t="n"/>
      <c r="O473" s="570" t="n"/>
      <c r="P473" s="570" t="n"/>
      <c r="Q473" s="570" t="n"/>
      <c r="R473" s="567" t="n"/>
    </row>
    <row r="474" ht="15.75" customHeight="1" s="557">
      <c r="A474" s="719" t="n"/>
      <c r="B474" s="678" t="n"/>
      <c r="C474" s="679" t="n"/>
      <c r="D474" s="720" t="n"/>
      <c r="E474" s="723" t="n"/>
      <c r="F474" s="570" t="n"/>
      <c r="G474" s="570" t="n"/>
      <c r="H474" s="570" t="n"/>
      <c r="I474" s="570" t="n"/>
      <c r="J474" s="570" t="n"/>
      <c r="K474" s="570" t="n"/>
      <c r="L474" s="570" t="n"/>
      <c r="M474" s="570" t="n"/>
      <c r="N474" s="570" t="n"/>
      <c r="O474" s="570" t="n"/>
      <c r="P474" s="570" t="n"/>
      <c r="Q474" s="570" t="n"/>
      <c r="R474" s="567" t="n"/>
    </row>
    <row r="475" ht="15.75" customHeight="1" s="557">
      <c r="A475" s="719" t="n"/>
      <c r="B475" s="678" t="n"/>
      <c r="C475" s="679" t="n"/>
      <c r="D475" s="720" t="n"/>
      <c r="E475" s="727" t="n"/>
      <c r="F475" s="570" t="n"/>
      <c r="G475" s="570" t="n"/>
      <c r="H475" s="570" t="n"/>
      <c r="I475" s="570" t="n"/>
      <c r="J475" s="570" t="n"/>
      <c r="K475" s="570" t="n"/>
      <c r="L475" s="570" t="n"/>
      <c r="M475" s="570" t="n"/>
      <c r="N475" s="570" t="n"/>
      <c r="O475" s="570" t="n"/>
      <c r="P475" s="570" t="n"/>
      <c r="Q475" s="570" t="n"/>
      <c r="R475" s="567" t="n"/>
    </row>
    <row r="476" ht="15.75" customHeight="1" s="557">
      <c r="A476" s="719" t="n"/>
      <c r="B476" s="678" t="n"/>
      <c r="C476" s="679" t="n"/>
      <c r="D476" s="720" t="n"/>
      <c r="E476" s="722" t="n"/>
      <c r="F476" s="570" t="n"/>
      <c r="G476" s="570" t="n"/>
      <c r="H476" s="570" t="n"/>
      <c r="I476" s="570" t="n"/>
      <c r="J476" s="570" t="n"/>
      <c r="K476" s="570" t="n"/>
      <c r="L476" s="570" t="n"/>
      <c r="M476" s="570" t="n"/>
      <c r="N476" s="570" t="n"/>
      <c r="O476" s="570" t="n"/>
      <c r="P476" s="570" t="n"/>
      <c r="Q476" s="570" t="n"/>
      <c r="R476" s="567" t="n"/>
    </row>
    <row r="477" ht="15.75" customHeight="1" s="557">
      <c r="A477" s="719" t="n"/>
      <c r="B477" s="678" t="n"/>
      <c r="C477" s="679" t="n"/>
      <c r="D477" s="720" t="n"/>
      <c r="E477" s="722" t="n"/>
      <c r="F477" s="570" t="n"/>
      <c r="G477" s="570" t="n"/>
      <c r="H477" s="570" t="n"/>
      <c r="I477" s="570" t="n"/>
      <c r="J477" s="570" t="n"/>
      <c r="K477" s="570" t="n"/>
      <c r="L477" s="570" t="n"/>
      <c r="M477" s="570" t="n"/>
      <c r="N477" s="570" t="n"/>
      <c r="O477" s="570" t="n"/>
      <c r="P477" s="570" t="n"/>
      <c r="Q477" s="570" t="n"/>
      <c r="R477" s="567" t="n"/>
    </row>
    <row r="478" ht="15.75" customHeight="1" s="557">
      <c r="A478" s="719" t="n"/>
      <c r="B478" s="678" t="n"/>
      <c r="C478" s="679" t="n"/>
      <c r="D478" s="720" t="n"/>
      <c r="E478" s="722" t="n"/>
      <c r="F478" s="570" t="n"/>
      <c r="G478" s="570" t="n"/>
      <c r="H478" s="570" t="n"/>
      <c r="I478" s="570" t="n"/>
      <c r="J478" s="570" t="n"/>
      <c r="K478" s="570" t="n"/>
      <c r="L478" s="570" t="n"/>
      <c r="M478" s="570" t="n"/>
      <c r="N478" s="570" t="n"/>
      <c r="O478" s="570" t="n"/>
      <c r="P478" s="570" t="n"/>
      <c r="Q478" s="570" t="n"/>
      <c r="R478" s="567" t="n"/>
    </row>
    <row r="479" ht="15.75" customHeight="1" s="557">
      <c r="A479" s="719" t="n"/>
      <c r="B479" s="678" t="n"/>
      <c r="C479" s="679" t="n"/>
      <c r="D479" s="720" t="n"/>
      <c r="E479" s="728" t="n"/>
      <c r="F479" s="678" t="n"/>
      <c r="G479" s="678" t="n"/>
      <c r="H479" s="678" t="n"/>
      <c r="I479" s="678" t="n"/>
      <c r="J479" s="678" t="n"/>
      <c r="K479" s="678" t="n"/>
      <c r="L479" s="678" t="n"/>
      <c r="M479" s="678" t="n"/>
      <c r="N479" s="678" t="n"/>
      <c r="O479" s="678" t="n"/>
      <c r="P479" s="678" t="n"/>
      <c r="Q479" s="678" t="n"/>
      <c r="R479" s="679" t="n"/>
    </row>
    <row r="480" ht="15.75" customHeight="1" s="557">
      <c r="A480" s="719" t="n"/>
      <c r="B480" s="678" t="n"/>
      <c r="C480" s="679" t="n"/>
      <c r="D480" s="720" t="n"/>
      <c r="E480" s="728" t="n"/>
      <c r="F480" s="678" t="n"/>
      <c r="G480" s="678" t="n"/>
      <c r="H480" s="678" t="n"/>
      <c r="I480" s="678" t="n"/>
      <c r="J480" s="678" t="n"/>
      <c r="K480" s="678" t="n"/>
      <c r="L480" s="678" t="n"/>
      <c r="M480" s="678" t="n"/>
      <c r="N480" s="678" t="n"/>
      <c r="O480" s="678" t="n"/>
      <c r="P480" s="678" t="n"/>
      <c r="Q480" s="678" t="n"/>
      <c r="R480" s="679" t="n"/>
    </row>
    <row r="481" ht="15.75" customHeight="1" s="557">
      <c r="A481" s="719" t="n"/>
      <c r="B481" s="678" t="n"/>
      <c r="C481" s="679" t="n"/>
      <c r="D481" s="729" t="n"/>
      <c r="E481" s="728" t="n"/>
      <c r="F481" s="678" t="n"/>
      <c r="G481" s="678" t="n"/>
      <c r="H481" s="678" t="n"/>
      <c r="I481" s="678" t="n"/>
      <c r="J481" s="678" t="n"/>
      <c r="K481" s="678" t="n"/>
      <c r="L481" s="678" t="n"/>
      <c r="M481" s="678" t="n"/>
      <c r="N481" s="678" t="n"/>
      <c r="O481" s="678" t="n"/>
      <c r="P481" s="678" t="n"/>
      <c r="Q481" s="678" t="n"/>
      <c r="R481" s="679" t="n"/>
    </row>
    <row r="482" ht="15.75" customHeight="1" s="557">
      <c r="A482" s="719" t="n"/>
      <c r="B482" s="678" t="n"/>
      <c r="C482" s="679" t="n"/>
      <c r="D482" s="729" t="n"/>
      <c r="E482" s="728" t="n"/>
      <c r="F482" s="678" t="n"/>
      <c r="G482" s="678" t="n"/>
      <c r="H482" s="678" t="n"/>
      <c r="I482" s="678" t="n"/>
      <c r="J482" s="678" t="n"/>
      <c r="K482" s="678" t="n"/>
      <c r="L482" s="678" t="n"/>
      <c r="M482" s="678" t="n"/>
      <c r="N482" s="678" t="n"/>
      <c r="O482" s="678" t="n"/>
      <c r="P482" s="678" t="n"/>
      <c r="Q482" s="678" t="n"/>
      <c r="R482" s="679" t="n"/>
    </row>
    <row r="483" ht="15.75" customHeight="1" s="557">
      <c r="A483" s="719" t="n"/>
      <c r="B483" s="678" t="n"/>
      <c r="C483" s="679" t="n"/>
      <c r="D483" s="720" t="n"/>
      <c r="E483" s="733" t="n"/>
      <c r="F483" s="678" t="n"/>
      <c r="G483" s="678" t="n"/>
      <c r="H483" s="678" t="n"/>
      <c r="I483" s="678" t="n"/>
      <c r="J483" s="678" t="n"/>
      <c r="K483" s="678" t="n"/>
      <c r="L483" s="678" t="n"/>
      <c r="M483" s="678" t="n"/>
      <c r="N483" s="678" t="n"/>
      <c r="O483" s="678" t="n"/>
      <c r="P483" s="678" t="n"/>
      <c r="Q483" s="678" t="n"/>
      <c r="R483" s="679" t="n"/>
    </row>
    <row r="484" ht="15.75" customHeight="1" s="557">
      <c r="A484" s="719" t="n"/>
      <c r="B484" s="678" t="n"/>
      <c r="C484" s="679" t="n"/>
      <c r="D484" s="720" t="n"/>
      <c r="E484" s="733" t="n"/>
      <c r="F484" s="678" t="n"/>
      <c r="G484" s="678" t="n"/>
      <c r="H484" s="678" t="n"/>
      <c r="I484" s="678" t="n"/>
      <c r="J484" s="678" t="n"/>
      <c r="K484" s="678" t="n"/>
      <c r="L484" s="678" t="n"/>
      <c r="M484" s="678" t="n"/>
      <c r="N484" s="678" t="n"/>
      <c r="O484" s="678" t="n"/>
      <c r="P484" s="678" t="n"/>
      <c r="Q484" s="678" t="n"/>
      <c r="R484" s="679" t="n"/>
    </row>
    <row r="485" ht="15.75" customHeight="1" s="557">
      <c r="A485" s="719" t="n"/>
      <c r="B485" s="678" t="n"/>
      <c r="C485" s="679" t="n"/>
      <c r="D485" s="720" t="n"/>
      <c r="E485" s="733" t="n"/>
      <c r="F485" s="678" t="n"/>
      <c r="G485" s="678" t="n"/>
      <c r="H485" s="678" t="n"/>
      <c r="I485" s="678" t="n"/>
      <c r="J485" s="678" t="n"/>
      <c r="K485" s="678" t="n"/>
      <c r="L485" s="678" t="n"/>
      <c r="M485" s="678" t="n"/>
      <c r="N485" s="678" t="n"/>
      <c r="O485" s="678" t="n"/>
      <c r="P485" s="678" t="n"/>
      <c r="Q485" s="678" t="n"/>
      <c r="R485" s="679" t="n"/>
    </row>
    <row r="486" ht="15.75" customHeight="1" s="557">
      <c r="A486" s="719" t="n"/>
      <c r="B486" s="678" t="n"/>
      <c r="C486" s="679" t="n"/>
      <c r="D486" s="720" t="n"/>
      <c r="E486" s="733" t="n"/>
      <c r="F486" s="678" t="n"/>
      <c r="G486" s="678" t="n"/>
      <c r="H486" s="678" t="n"/>
      <c r="I486" s="678" t="n"/>
      <c r="J486" s="678" t="n"/>
      <c r="K486" s="678" t="n"/>
      <c r="L486" s="678" t="n"/>
      <c r="M486" s="678" t="n"/>
      <c r="N486" s="678" t="n"/>
      <c r="O486" s="678" t="n"/>
      <c r="P486" s="678" t="n"/>
      <c r="Q486" s="678" t="n"/>
      <c r="R486" s="679" t="n"/>
    </row>
    <row r="487" ht="15.75" customHeight="1" s="557">
      <c r="A487" s="719" t="n"/>
      <c r="B487" s="678" t="n"/>
      <c r="C487" s="679" t="n"/>
      <c r="D487" s="720" t="n"/>
      <c r="E487" s="727" t="n"/>
      <c r="F487" s="570" t="n"/>
      <c r="G487" s="570" t="n"/>
      <c r="H487" s="570" t="n"/>
      <c r="I487" s="570" t="n"/>
      <c r="J487" s="570" t="n"/>
      <c r="K487" s="570" t="n"/>
      <c r="L487" s="570" t="n"/>
      <c r="M487" s="570" t="n"/>
      <c r="N487" s="570" t="n"/>
      <c r="O487" s="570" t="n"/>
      <c r="P487" s="570" t="n"/>
      <c r="Q487" s="570" t="n"/>
      <c r="R487" s="567" t="n"/>
    </row>
    <row r="488" ht="15.75" customHeight="1" s="557">
      <c r="A488" s="719" t="n"/>
      <c r="B488" s="678" t="n"/>
      <c r="C488" s="679" t="n"/>
      <c r="D488" s="720" t="n"/>
      <c r="E488" s="723" t="n"/>
      <c r="F488" s="570" t="n"/>
      <c r="G488" s="570" t="n"/>
      <c r="H488" s="570" t="n"/>
      <c r="I488" s="570" t="n"/>
      <c r="J488" s="570" t="n"/>
      <c r="K488" s="570" t="n"/>
      <c r="L488" s="570" t="n"/>
      <c r="M488" s="570" t="n"/>
      <c r="N488" s="570" t="n"/>
      <c r="O488" s="570" t="n"/>
      <c r="P488" s="570" t="n"/>
      <c r="Q488" s="570" t="n"/>
      <c r="R488" s="567" t="n"/>
    </row>
    <row r="489" ht="15.75" customHeight="1" s="557">
      <c r="A489" s="719" t="n"/>
      <c r="B489" s="678" t="n"/>
      <c r="C489" s="679" t="n"/>
      <c r="D489" s="734" t="n"/>
      <c r="E489" s="727" t="n"/>
      <c r="F489" s="570" t="n"/>
      <c r="G489" s="570" t="n"/>
      <c r="H489" s="570" t="n"/>
      <c r="I489" s="570" t="n"/>
      <c r="J489" s="570" t="n"/>
      <c r="K489" s="570" t="n"/>
      <c r="L489" s="570" t="n"/>
      <c r="M489" s="570" t="n"/>
      <c r="N489" s="570" t="n"/>
      <c r="O489" s="570" t="n"/>
      <c r="P489" s="570" t="n"/>
      <c r="Q489" s="570" t="n"/>
      <c r="R489" s="567" t="n"/>
    </row>
    <row r="490" ht="15.75" customHeight="1" s="557">
      <c r="A490" s="719" t="n"/>
      <c r="B490" s="678" t="n"/>
      <c r="C490" s="679" t="n"/>
      <c r="D490" s="720" t="n"/>
      <c r="E490" s="727" t="n"/>
      <c r="F490" s="570" t="n"/>
      <c r="G490" s="570" t="n"/>
      <c r="H490" s="570" t="n"/>
      <c r="I490" s="570" t="n"/>
      <c r="J490" s="570" t="n"/>
      <c r="K490" s="570" t="n"/>
      <c r="L490" s="570" t="n"/>
      <c r="M490" s="570" t="n"/>
      <c r="N490" s="570" t="n"/>
      <c r="O490" s="570" t="n"/>
      <c r="P490" s="570" t="n"/>
      <c r="Q490" s="570" t="n"/>
      <c r="R490" s="567" t="n"/>
    </row>
    <row r="491" ht="15.75" customHeight="1" s="557">
      <c r="A491" s="719" t="n"/>
      <c r="B491" s="678" t="n"/>
      <c r="C491" s="679" t="n"/>
      <c r="D491" s="720" t="n"/>
      <c r="E491" s="727" t="n"/>
      <c r="F491" s="570" t="n"/>
      <c r="G491" s="570" t="n"/>
      <c r="H491" s="570" t="n"/>
      <c r="I491" s="570" t="n"/>
      <c r="J491" s="570" t="n"/>
      <c r="K491" s="570" t="n"/>
      <c r="L491" s="570" t="n"/>
      <c r="M491" s="570" t="n"/>
      <c r="N491" s="570" t="n"/>
      <c r="O491" s="570" t="n"/>
      <c r="P491" s="570" t="n"/>
      <c r="Q491" s="570" t="n"/>
      <c r="R491" s="567" t="n"/>
    </row>
    <row r="492" ht="15.75" customHeight="1" s="557">
      <c r="A492" s="719" t="n"/>
      <c r="B492" s="678" t="n"/>
      <c r="C492" s="679" t="n"/>
      <c r="D492" s="720" t="n"/>
      <c r="E492" s="727" t="n"/>
      <c r="F492" s="570" t="n"/>
      <c r="G492" s="570" t="n"/>
      <c r="H492" s="570" t="n"/>
      <c r="I492" s="570" t="n"/>
      <c r="J492" s="570" t="n"/>
      <c r="K492" s="570" t="n"/>
      <c r="L492" s="570" t="n"/>
      <c r="M492" s="570" t="n"/>
      <c r="N492" s="570" t="n"/>
      <c r="O492" s="570" t="n"/>
      <c r="P492" s="570" t="n"/>
      <c r="Q492" s="570" t="n"/>
      <c r="R492" s="567" t="n"/>
    </row>
    <row r="493" ht="15.75" customHeight="1" s="557">
      <c r="A493" s="719" t="n"/>
      <c r="B493" s="678" t="n"/>
      <c r="C493" s="679" t="n"/>
      <c r="D493" s="720" t="n"/>
      <c r="E493" s="727" t="n"/>
      <c r="F493" s="570" t="n"/>
      <c r="G493" s="570" t="n"/>
      <c r="H493" s="570" t="n"/>
      <c r="I493" s="570" t="n"/>
      <c r="J493" s="570" t="n"/>
      <c r="K493" s="570" t="n"/>
      <c r="L493" s="570" t="n"/>
      <c r="M493" s="570" t="n"/>
      <c r="N493" s="570" t="n"/>
      <c r="O493" s="570" t="n"/>
      <c r="P493" s="570" t="n"/>
      <c r="Q493" s="570" t="n"/>
      <c r="R493" s="567" t="n"/>
    </row>
    <row r="494" ht="15.75" customHeight="1" s="557">
      <c r="A494" s="719" t="n"/>
      <c r="B494" s="678" t="n"/>
      <c r="C494" s="679" t="n"/>
      <c r="D494" s="720" t="n"/>
      <c r="E494" s="721" t="n"/>
      <c r="F494" s="570" t="n"/>
      <c r="G494" s="570" t="n"/>
      <c r="H494" s="570" t="n"/>
      <c r="I494" s="570" t="n"/>
      <c r="J494" s="570" t="n"/>
      <c r="K494" s="570" t="n"/>
      <c r="L494" s="570" t="n"/>
      <c r="M494" s="570" t="n"/>
      <c r="N494" s="570" t="n"/>
      <c r="O494" s="570" t="n"/>
      <c r="P494" s="570" t="n"/>
      <c r="Q494" s="570" t="n"/>
      <c r="R494" s="567" t="n"/>
    </row>
    <row r="495" ht="15.75" customHeight="1" s="557">
      <c r="A495" s="719" t="n"/>
      <c r="B495" s="678" t="n"/>
      <c r="C495" s="679" t="n"/>
      <c r="D495" s="720" t="n"/>
      <c r="E495" s="722" t="n"/>
      <c r="F495" s="570" t="n"/>
      <c r="G495" s="570" t="n"/>
      <c r="H495" s="570" t="n"/>
      <c r="I495" s="570" t="n"/>
      <c r="J495" s="570" t="n"/>
      <c r="K495" s="570" t="n"/>
      <c r="L495" s="570" t="n"/>
      <c r="M495" s="570" t="n"/>
      <c r="N495" s="570" t="n"/>
      <c r="O495" s="570" t="n"/>
      <c r="P495" s="570" t="n"/>
      <c r="Q495" s="570" t="n"/>
      <c r="R495" s="567" t="n"/>
    </row>
    <row r="496" ht="15.75" customHeight="1" s="557">
      <c r="A496" s="719" t="n"/>
      <c r="B496" s="678" t="n"/>
      <c r="C496" s="679" t="n"/>
      <c r="D496" s="720" t="n"/>
      <c r="E496" s="723" t="n"/>
      <c r="F496" s="570" t="n"/>
      <c r="G496" s="570" t="n"/>
      <c r="H496" s="570" t="n"/>
      <c r="I496" s="570" t="n"/>
      <c r="J496" s="570" t="n"/>
      <c r="K496" s="570" t="n"/>
      <c r="L496" s="570" t="n"/>
      <c r="M496" s="570" t="n"/>
      <c r="N496" s="570" t="n"/>
      <c r="O496" s="570" t="n"/>
      <c r="P496" s="570" t="n"/>
      <c r="Q496" s="570" t="n"/>
      <c r="R496" s="567" t="n"/>
    </row>
    <row r="497" ht="15.75" customHeight="1" s="557">
      <c r="A497" s="719" t="n"/>
      <c r="B497" s="678" t="n"/>
      <c r="C497" s="679" t="n"/>
      <c r="D497" s="720" t="n"/>
      <c r="E497" s="723" t="n"/>
      <c r="F497" s="570" t="n"/>
      <c r="G497" s="570" t="n"/>
      <c r="H497" s="570" t="n"/>
      <c r="I497" s="570" t="n"/>
      <c r="J497" s="570" t="n"/>
      <c r="K497" s="570" t="n"/>
      <c r="L497" s="570" t="n"/>
      <c r="M497" s="570" t="n"/>
      <c r="N497" s="570" t="n"/>
      <c r="O497" s="570" t="n"/>
      <c r="P497" s="570" t="n"/>
      <c r="Q497" s="570" t="n"/>
      <c r="R497" s="567" t="n"/>
    </row>
    <row r="498" ht="15.75" customHeight="1" s="557">
      <c r="A498" s="719" t="n"/>
      <c r="B498" s="678" t="n"/>
      <c r="C498" s="679" t="n"/>
      <c r="D498" s="720" t="n"/>
      <c r="E498" s="722" t="n"/>
      <c r="F498" s="570" t="n"/>
      <c r="G498" s="570" t="n"/>
      <c r="H498" s="570" t="n"/>
      <c r="I498" s="570" t="n"/>
      <c r="J498" s="570" t="n"/>
      <c r="K498" s="570" t="n"/>
      <c r="L498" s="570" t="n"/>
      <c r="M498" s="570" t="n"/>
      <c r="N498" s="570" t="n"/>
      <c r="O498" s="570" t="n"/>
      <c r="P498" s="570" t="n"/>
      <c r="Q498" s="570" t="n"/>
      <c r="R498" s="567" t="n"/>
    </row>
    <row r="499" ht="15.75" customHeight="1" s="557">
      <c r="A499" s="719" t="n"/>
      <c r="B499" s="678" t="n"/>
      <c r="C499" s="679" t="n"/>
      <c r="D499" s="720" t="n"/>
      <c r="E499" s="724" t="n"/>
      <c r="F499" s="570" t="n"/>
      <c r="G499" s="570" t="n"/>
      <c r="H499" s="570" t="n"/>
      <c r="I499" s="570" t="n"/>
      <c r="J499" s="570" t="n"/>
      <c r="K499" s="570" t="n"/>
      <c r="L499" s="570" t="n"/>
      <c r="M499" s="570" t="n"/>
      <c r="N499" s="570" t="n"/>
      <c r="O499" s="570" t="n"/>
      <c r="P499" s="570" t="n"/>
      <c r="Q499" s="570" t="n"/>
      <c r="R499" s="567" t="n"/>
    </row>
    <row r="500" ht="15.75" customHeight="1" s="557">
      <c r="A500" s="719" t="n"/>
      <c r="B500" s="678" t="n"/>
      <c r="C500" s="679" t="n"/>
      <c r="D500" s="720" t="n"/>
      <c r="E500" s="722" t="n"/>
      <c r="F500" s="570" t="n"/>
      <c r="G500" s="570" t="n"/>
      <c r="H500" s="570" t="n"/>
      <c r="I500" s="570" t="n"/>
      <c r="J500" s="570" t="n"/>
      <c r="K500" s="570" t="n"/>
      <c r="L500" s="570" t="n"/>
      <c r="M500" s="570" t="n"/>
      <c r="N500" s="570" t="n"/>
      <c r="O500" s="570" t="n"/>
      <c r="P500" s="570" t="n"/>
      <c r="Q500" s="570" t="n"/>
      <c r="R500" s="567" t="n"/>
    </row>
    <row r="501" ht="15.75" customHeight="1" s="557">
      <c r="A501" s="719" t="n"/>
      <c r="B501" s="678" t="n"/>
      <c r="C501" s="679" t="n"/>
      <c r="D501" s="720" t="n"/>
      <c r="E501" s="724" t="n"/>
      <c r="F501" s="570" t="n"/>
      <c r="G501" s="570" t="n"/>
      <c r="H501" s="570" t="n"/>
      <c r="I501" s="570" t="n"/>
      <c r="J501" s="570" t="n"/>
      <c r="K501" s="570" t="n"/>
      <c r="L501" s="570" t="n"/>
      <c r="M501" s="570" t="n"/>
      <c r="N501" s="570" t="n"/>
      <c r="O501" s="570" t="n"/>
      <c r="P501" s="570" t="n"/>
      <c r="Q501" s="570" t="n"/>
      <c r="R501" s="567" t="n"/>
    </row>
    <row r="502" ht="15.75" customHeight="1" s="557">
      <c r="A502" s="719" t="n"/>
      <c r="B502" s="678" t="n"/>
      <c r="C502" s="679" t="n"/>
      <c r="D502" s="720" t="n"/>
      <c r="E502" s="722" t="n"/>
      <c r="F502" s="570" t="n"/>
      <c r="G502" s="570" t="n"/>
      <c r="H502" s="570" t="n"/>
      <c r="I502" s="570" t="n"/>
      <c r="J502" s="570" t="n"/>
      <c r="K502" s="570" t="n"/>
      <c r="L502" s="570" t="n"/>
      <c r="M502" s="570" t="n"/>
      <c r="N502" s="570" t="n"/>
      <c r="O502" s="570" t="n"/>
      <c r="P502" s="570" t="n"/>
      <c r="Q502" s="570" t="n"/>
      <c r="R502" s="567" t="n"/>
    </row>
    <row r="503" ht="15.75" customHeight="1" s="557">
      <c r="A503" s="719" t="n"/>
      <c r="B503" s="678" t="n"/>
      <c r="C503" s="679" t="n"/>
      <c r="D503" s="720" t="n"/>
      <c r="E503" s="725" t="n"/>
      <c r="F503" s="570" t="n"/>
      <c r="G503" s="570" t="n"/>
      <c r="H503" s="570" t="n"/>
      <c r="I503" s="570" t="n"/>
      <c r="J503" s="570" t="n"/>
      <c r="K503" s="570" t="n"/>
      <c r="L503" s="570" t="n"/>
      <c r="M503" s="570" t="n"/>
      <c r="N503" s="570" t="n"/>
      <c r="O503" s="570" t="n"/>
      <c r="P503" s="570" t="n"/>
      <c r="Q503" s="570" t="n"/>
      <c r="R503" s="567" t="n"/>
    </row>
    <row r="504" ht="15.75" customHeight="1" s="557">
      <c r="A504" s="719" t="n"/>
      <c r="B504" s="678" t="n"/>
      <c r="C504" s="679" t="n"/>
      <c r="D504" s="720" t="n"/>
      <c r="E504" s="726" t="n"/>
      <c r="F504" s="570" t="n"/>
      <c r="G504" s="570" t="n"/>
      <c r="H504" s="570" t="n"/>
      <c r="I504" s="570" t="n"/>
      <c r="J504" s="570" t="n"/>
      <c r="K504" s="570" t="n"/>
      <c r="L504" s="570" t="n"/>
      <c r="M504" s="570" t="n"/>
      <c r="N504" s="570" t="n"/>
      <c r="O504" s="570" t="n"/>
      <c r="P504" s="570" t="n"/>
      <c r="Q504" s="570" t="n"/>
      <c r="R504" s="567" t="n"/>
    </row>
    <row r="505" ht="15.75" customHeight="1" s="557">
      <c r="A505" s="719" t="n"/>
      <c r="B505" s="678" t="n"/>
      <c r="C505" s="679" t="n"/>
      <c r="D505" s="720" t="n"/>
      <c r="E505" s="723" t="n"/>
      <c r="F505" s="570" t="n"/>
      <c r="G505" s="570" t="n"/>
      <c r="H505" s="570" t="n"/>
      <c r="I505" s="570" t="n"/>
      <c r="J505" s="570" t="n"/>
      <c r="K505" s="570" t="n"/>
      <c r="L505" s="570" t="n"/>
      <c r="M505" s="570" t="n"/>
      <c r="N505" s="570" t="n"/>
      <c r="O505" s="570" t="n"/>
      <c r="P505" s="570" t="n"/>
      <c r="Q505" s="570" t="n"/>
      <c r="R505" s="567" t="n"/>
    </row>
    <row r="506" ht="15.75" customHeight="1" s="557">
      <c r="A506" s="719" t="n"/>
      <c r="B506" s="678" t="n"/>
      <c r="C506" s="679" t="n"/>
      <c r="D506" s="720" t="n"/>
      <c r="E506" s="724" t="n"/>
      <c r="F506" s="570" t="n"/>
      <c r="G506" s="570" t="n"/>
      <c r="H506" s="570" t="n"/>
      <c r="I506" s="570" t="n"/>
      <c r="J506" s="570" t="n"/>
      <c r="K506" s="570" t="n"/>
      <c r="L506" s="570" t="n"/>
      <c r="M506" s="570" t="n"/>
      <c r="N506" s="570" t="n"/>
      <c r="O506" s="570" t="n"/>
      <c r="P506" s="570" t="n"/>
      <c r="Q506" s="570" t="n"/>
      <c r="R506" s="567" t="n"/>
    </row>
    <row r="507" ht="15.75" customHeight="1" s="557">
      <c r="A507" s="719" t="n"/>
      <c r="B507" s="678" t="n"/>
      <c r="C507" s="679" t="n"/>
      <c r="D507" s="720" t="n"/>
      <c r="E507" s="722" t="n"/>
      <c r="F507" s="570" t="n"/>
      <c r="G507" s="570" t="n"/>
      <c r="H507" s="570" t="n"/>
      <c r="I507" s="570" t="n"/>
      <c r="J507" s="570" t="n"/>
      <c r="K507" s="570" t="n"/>
      <c r="L507" s="570" t="n"/>
      <c r="M507" s="570" t="n"/>
      <c r="N507" s="570" t="n"/>
      <c r="O507" s="570" t="n"/>
      <c r="P507" s="570" t="n"/>
      <c r="Q507" s="570" t="n"/>
      <c r="R507" s="567" t="n"/>
    </row>
    <row r="508" ht="15.75" customHeight="1" s="557">
      <c r="A508" s="719" t="n"/>
      <c r="B508" s="678" t="n"/>
      <c r="C508" s="679" t="n"/>
      <c r="D508" s="720" t="n"/>
      <c r="E508" s="725" t="n"/>
      <c r="F508" s="570" t="n"/>
      <c r="G508" s="570" t="n"/>
      <c r="H508" s="570" t="n"/>
      <c r="I508" s="570" t="n"/>
      <c r="J508" s="570" t="n"/>
      <c r="K508" s="570" t="n"/>
      <c r="L508" s="570" t="n"/>
      <c r="M508" s="570" t="n"/>
      <c r="N508" s="570" t="n"/>
      <c r="O508" s="570" t="n"/>
      <c r="P508" s="570" t="n"/>
      <c r="Q508" s="570" t="n"/>
      <c r="R508" s="567" t="n"/>
    </row>
    <row r="509" ht="15.75" customHeight="1" s="557">
      <c r="A509" s="719" t="n"/>
      <c r="B509" s="678" t="n"/>
      <c r="C509" s="679" t="n"/>
      <c r="D509" s="720" t="n"/>
      <c r="E509" s="722" t="n"/>
      <c r="F509" s="570" t="n"/>
      <c r="G509" s="570" t="n"/>
      <c r="H509" s="570" t="n"/>
      <c r="I509" s="570" t="n"/>
      <c r="J509" s="570" t="n"/>
      <c r="K509" s="570" t="n"/>
      <c r="L509" s="570" t="n"/>
      <c r="M509" s="570" t="n"/>
      <c r="N509" s="570" t="n"/>
      <c r="O509" s="570" t="n"/>
      <c r="P509" s="570" t="n"/>
      <c r="Q509" s="570" t="n"/>
      <c r="R509" s="567" t="n"/>
    </row>
    <row r="510" ht="15.75" customHeight="1" s="557">
      <c r="A510" s="719" t="n"/>
      <c r="B510" s="678" t="n"/>
      <c r="C510" s="679" t="n"/>
      <c r="D510" s="720" t="n"/>
      <c r="E510" s="722" t="n"/>
      <c r="F510" s="570" t="n"/>
      <c r="G510" s="570" t="n"/>
      <c r="H510" s="570" t="n"/>
      <c r="I510" s="570" t="n"/>
      <c r="J510" s="570" t="n"/>
      <c r="K510" s="570" t="n"/>
      <c r="L510" s="570" t="n"/>
      <c r="M510" s="570" t="n"/>
      <c r="N510" s="570" t="n"/>
      <c r="O510" s="570" t="n"/>
      <c r="P510" s="570" t="n"/>
      <c r="Q510" s="570" t="n"/>
      <c r="R510" s="567" t="n"/>
    </row>
    <row r="511" ht="15.75" customHeight="1" s="557">
      <c r="A511" s="719" t="n"/>
      <c r="B511" s="678" t="n"/>
      <c r="C511" s="679" t="n"/>
      <c r="D511" s="720" t="n"/>
      <c r="E511" s="723" t="n"/>
      <c r="F511" s="570" t="n"/>
      <c r="G511" s="570" t="n"/>
      <c r="H511" s="570" t="n"/>
      <c r="I511" s="570" t="n"/>
      <c r="J511" s="570" t="n"/>
      <c r="K511" s="570" t="n"/>
      <c r="L511" s="570" t="n"/>
      <c r="M511" s="570" t="n"/>
      <c r="N511" s="570" t="n"/>
      <c r="O511" s="570" t="n"/>
      <c r="P511" s="570" t="n"/>
      <c r="Q511" s="570" t="n"/>
      <c r="R511" s="567" t="n"/>
    </row>
    <row r="512" ht="15.75" customHeight="1" s="557">
      <c r="A512" s="719" t="n"/>
      <c r="B512" s="678" t="n"/>
      <c r="C512" s="679" t="n"/>
      <c r="D512" s="720" t="n"/>
      <c r="E512" s="727" t="n"/>
      <c r="F512" s="570" t="n"/>
      <c r="G512" s="570" t="n"/>
      <c r="H512" s="570" t="n"/>
      <c r="I512" s="570" t="n"/>
      <c r="J512" s="570" t="n"/>
      <c r="K512" s="570" t="n"/>
      <c r="L512" s="570" t="n"/>
      <c r="M512" s="570" t="n"/>
      <c r="N512" s="570" t="n"/>
      <c r="O512" s="570" t="n"/>
      <c r="P512" s="570" t="n"/>
      <c r="Q512" s="570" t="n"/>
      <c r="R512" s="567" t="n"/>
    </row>
    <row r="513" ht="15.75" customHeight="1" s="557">
      <c r="A513" s="719" t="n"/>
      <c r="B513" s="678" t="n"/>
      <c r="C513" s="679" t="n"/>
      <c r="D513" s="720" t="n"/>
      <c r="E513" s="722" t="n"/>
      <c r="F513" s="570" t="n"/>
      <c r="G513" s="570" t="n"/>
      <c r="H513" s="570" t="n"/>
      <c r="I513" s="570" t="n"/>
      <c r="J513" s="570" t="n"/>
      <c r="K513" s="570" t="n"/>
      <c r="L513" s="570" t="n"/>
      <c r="M513" s="570" t="n"/>
      <c r="N513" s="570" t="n"/>
      <c r="O513" s="570" t="n"/>
      <c r="P513" s="570" t="n"/>
      <c r="Q513" s="570" t="n"/>
      <c r="R513" s="567" t="n"/>
    </row>
    <row r="514" ht="15.75" customHeight="1" s="557">
      <c r="A514" s="719" t="n"/>
      <c r="B514" s="678" t="n"/>
      <c r="C514" s="679" t="n"/>
      <c r="D514" s="720" t="n"/>
      <c r="E514" s="722" t="n"/>
      <c r="F514" s="570" t="n"/>
      <c r="G514" s="570" t="n"/>
      <c r="H514" s="570" t="n"/>
      <c r="I514" s="570" t="n"/>
      <c r="J514" s="570" t="n"/>
      <c r="K514" s="570" t="n"/>
      <c r="L514" s="570" t="n"/>
      <c r="M514" s="570" t="n"/>
      <c r="N514" s="570" t="n"/>
      <c r="O514" s="570" t="n"/>
      <c r="P514" s="570" t="n"/>
      <c r="Q514" s="570" t="n"/>
      <c r="R514" s="567" t="n"/>
    </row>
    <row r="515" ht="15.75" customHeight="1" s="557">
      <c r="A515" s="719" t="n"/>
      <c r="B515" s="678" t="n"/>
      <c r="C515" s="679" t="n"/>
      <c r="D515" s="720" t="n"/>
      <c r="E515" s="722" t="n"/>
      <c r="F515" s="570" t="n"/>
      <c r="G515" s="570" t="n"/>
      <c r="H515" s="570" t="n"/>
      <c r="I515" s="570" t="n"/>
      <c r="J515" s="570" t="n"/>
      <c r="K515" s="570" t="n"/>
      <c r="L515" s="570" t="n"/>
      <c r="M515" s="570" t="n"/>
      <c r="N515" s="570" t="n"/>
      <c r="O515" s="570" t="n"/>
      <c r="P515" s="570" t="n"/>
      <c r="Q515" s="570" t="n"/>
      <c r="R515" s="567" t="n"/>
    </row>
    <row r="516" ht="15.75" customHeight="1" s="557">
      <c r="A516" s="719" t="n"/>
      <c r="B516" s="678" t="n"/>
      <c r="C516" s="679" t="n"/>
      <c r="D516" s="720" t="n"/>
      <c r="E516" s="728" t="n"/>
      <c r="F516" s="678" t="n"/>
      <c r="G516" s="678" t="n"/>
      <c r="H516" s="678" t="n"/>
      <c r="I516" s="678" t="n"/>
      <c r="J516" s="678" t="n"/>
      <c r="K516" s="678" t="n"/>
      <c r="L516" s="678" t="n"/>
      <c r="M516" s="678" t="n"/>
      <c r="N516" s="678" t="n"/>
      <c r="O516" s="678" t="n"/>
      <c r="P516" s="678" t="n"/>
      <c r="Q516" s="678" t="n"/>
      <c r="R516" s="679" t="n"/>
    </row>
    <row r="517" ht="15.75" customHeight="1" s="557">
      <c r="A517" s="719" t="n"/>
      <c r="B517" s="678" t="n"/>
      <c r="C517" s="679" t="n"/>
      <c r="D517" s="720" t="n"/>
      <c r="E517" s="728" t="n"/>
      <c r="F517" s="678" t="n"/>
      <c r="G517" s="678" t="n"/>
      <c r="H517" s="678" t="n"/>
      <c r="I517" s="678" t="n"/>
      <c r="J517" s="678" t="n"/>
      <c r="K517" s="678" t="n"/>
      <c r="L517" s="678" t="n"/>
      <c r="M517" s="678" t="n"/>
      <c r="N517" s="678" t="n"/>
      <c r="O517" s="678" t="n"/>
      <c r="P517" s="678" t="n"/>
      <c r="Q517" s="678" t="n"/>
      <c r="R517" s="679" t="n"/>
    </row>
    <row r="518" ht="15.75" customHeight="1" s="557">
      <c r="A518" s="719" t="n"/>
      <c r="B518" s="678" t="n"/>
      <c r="C518" s="679" t="n"/>
      <c r="D518" s="729" t="n"/>
      <c r="E518" s="728" t="n"/>
      <c r="F518" s="678" t="n"/>
      <c r="G518" s="678" t="n"/>
      <c r="H518" s="678" t="n"/>
      <c r="I518" s="678" t="n"/>
      <c r="J518" s="678" t="n"/>
      <c r="K518" s="678" t="n"/>
      <c r="L518" s="678" t="n"/>
      <c r="M518" s="678" t="n"/>
      <c r="N518" s="678" t="n"/>
      <c r="O518" s="678" t="n"/>
      <c r="P518" s="678" t="n"/>
      <c r="Q518" s="678" t="n"/>
      <c r="R518" s="679" t="n"/>
    </row>
    <row r="519" ht="15.75" customHeight="1" s="557">
      <c r="A519" s="719" t="n"/>
      <c r="B519" s="678" t="n"/>
      <c r="C519" s="679" t="n"/>
      <c r="D519" s="729" t="n"/>
      <c r="E519" s="728" t="n"/>
      <c r="F519" s="678" t="n"/>
      <c r="G519" s="678" t="n"/>
      <c r="H519" s="678" t="n"/>
      <c r="I519" s="678" t="n"/>
      <c r="J519" s="678" t="n"/>
      <c r="K519" s="678" t="n"/>
      <c r="L519" s="678" t="n"/>
      <c r="M519" s="678" t="n"/>
      <c r="N519" s="678" t="n"/>
      <c r="O519" s="678" t="n"/>
      <c r="P519" s="678" t="n"/>
      <c r="Q519" s="678" t="n"/>
      <c r="R519" s="679" t="n"/>
    </row>
    <row r="520" ht="15.75" customHeight="1" s="557">
      <c r="A520" s="684" t="n"/>
      <c r="B520" s="570" t="n"/>
      <c r="C520" s="567" t="n"/>
      <c r="D520" s="689" t="n"/>
      <c r="E520" s="686" t="n"/>
      <c r="F520" s="570" t="n"/>
      <c r="G520" s="570" t="n"/>
      <c r="H520" s="570" t="n"/>
      <c r="I520" s="570" t="n"/>
      <c r="J520" s="570" t="n"/>
      <c r="K520" s="570" t="n"/>
      <c r="L520" s="570" t="n"/>
      <c r="M520" s="570" t="n"/>
      <c r="N520" s="570" t="n"/>
      <c r="O520" s="567" t="n"/>
      <c r="P520" s="687" t="n"/>
      <c r="Q520" s="687" t="n"/>
      <c r="R520" s="687" t="n"/>
    </row>
    <row r="521" ht="15.75" customHeight="1" s="557">
      <c r="A521" s="690" t="n"/>
      <c r="B521" s="570" t="n"/>
      <c r="C521" s="567" t="n"/>
      <c r="D521" s="730" t="n"/>
      <c r="E521" s="686" t="n"/>
      <c r="F521" s="570" t="n"/>
      <c r="G521" s="570" t="n"/>
      <c r="H521" s="570" t="n"/>
      <c r="I521" s="570" t="n"/>
      <c r="J521" s="570" t="n"/>
      <c r="K521" s="570" t="n"/>
      <c r="L521" s="570" t="n"/>
      <c r="M521" s="570" t="n"/>
      <c r="N521" s="570" t="n"/>
      <c r="O521" s="567" t="n"/>
      <c r="P521" s="687" t="n"/>
      <c r="Q521" s="687" t="n"/>
      <c r="R521" s="687" t="n"/>
    </row>
    <row r="522" ht="15.75" customFormat="1" customHeight="1" s="696">
      <c r="A522" s="684" t="n"/>
      <c r="B522" s="570" t="n"/>
      <c r="C522" s="567" t="n"/>
      <c r="D522" s="689" t="n"/>
      <c r="E522" s="686" t="n"/>
      <c r="F522" s="570" t="n"/>
      <c r="G522" s="570" t="n"/>
      <c r="H522" s="570" t="n"/>
      <c r="I522" s="570" t="n"/>
      <c r="J522" s="570" t="n"/>
      <c r="K522" s="570" t="n"/>
      <c r="L522" s="570" t="n"/>
      <c r="M522" s="570" t="n"/>
      <c r="N522" s="570" t="n"/>
      <c r="O522" s="567" t="n"/>
      <c r="P522" s="687" t="n"/>
      <c r="Q522" s="687" t="n"/>
      <c r="R522" s="687" t="n"/>
    </row>
    <row r="523" ht="15.75" customHeight="1" s="557">
      <c r="A523" s="691" t="n"/>
      <c r="B523" s="570" t="n"/>
      <c r="C523" s="567" t="n"/>
      <c r="D523" s="689" t="n"/>
      <c r="E523" s="686" t="n"/>
      <c r="F523" s="570" t="n"/>
      <c r="G523" s="570" t="n"/>
      <c r="H523" s="570" t="n"/>
      <c r="I523" s="570" t="n"/>
      <c r="J523" s="570" t="n"/>
      <c r="K523" s="570" t="n"/>
      <c r="L523" s="570" t="n"/>
      <c r="M523" s="570" t="n"/>
      <c r="N523" s="570" t="n"/>
      <c r="O523" s="567" t="n"/>
      <c r="P523" s="687" t="n"/>
      <c r="Q523" s="687" t="n"/>
      <c r="R523" s="687" t="n"/>
    </row>
    <row r="524" ht="15.75" customHeight="1" s="557">
      <c r="A524" s="691" t="n"/>
      <c r="B524" s="570" t="n"/>
      <c r="C524" s="567" t="n"/>
      <c r="D524" s="689" t="n"/>
      <c r="E524" s="686" t="n"/>
      <c r="F524" s="570" t="n"/>
      <c r="G524" s="570" t="n"/>
      <c r="H524" s="570" t="n"/>
      <c r="I524" s="570" t="n"/>
      <c r="J524" s="570" t="n"/>
      <c r="K524" s="570" t="n"/>
      <c r="L524" s="570" t="n"/>
      <c r="M524" s="570" t="n"/>
      <c r="N524" s="570" t="n"/>
      <c r="O524" s="567" t="n"/>
      <c r="P524" s="687" t="n"/>
      <c r="Q524" s="687" t="n"/>
      <c r="R524" s="687" t="n"/>
    </row>
    <row r="525" ht="15.75" customHeight="1" s="557">
      <c r="A525" s="691" t="n"/>
      <c r="B525" s="570" t="n"/>
      <c r="C525" s="567" t="n"/>
      <c r="D525" s="689" t="n"/>
      <c r="E525" s="686" t="n"/>
      <c r="F525" s="570" t="n"/>
      <c r="G525" s="570" t="n"/>
      <c r="H525" s="570" t="n"/>
      <c r="I525" s="570" t="n"/>
      <c r="J525" s="570" t="n"/>
      <c r="K525" s="570" t="n"/>
      <c r="L525" s="570" t="n"/>
      <c r="M525" s="570" t="n"/>
      <c r="N525" s="570" t="n"/>
      <c r="O525" s="567" t="n"/>
      <c r="P525" s="687" t="n"/>
      <c r="Q525" s="687" t="n"/>
      <c r="R525" s="687" t="n"/>
    </row>
    <row r="526" ht="15.75" customHeight="1" s="557">
      <c r="A526" s="691" t="n"/>
      <c r="B526" s="570" t="n"/>
      <c r="C526" s="567" t="n"/>
      <c r="D526" s="689" t="n"/>
      <c r="E526" s="686" t="n"/>
      <c r="F526" s="570" t="n"/>
      <c r="G526" s="570" t="n"/>
      <c r="H526" s="570" t="n"/>
      <c r="I526" s="570" t="n"/>
      <c r="J526" s="570" t="n"/>
      <c r="K526" s="570" t="n"/>
      <c r="L526" s="570" t="n"/>
      <c r="M526" s="570" t="n"/>
      <c r="N526" s="570" t="n"/>
      <c r="O526" s="567" t="n"/>
      <c r="P526" s="687" t="n"/>
      <c r="Q526" s="687" t="n"/>
      <c r="R526" s="687" t="n"/>
    </row>
    <row r="527" ht="15.75" customHeight="1" s="557">
      <c r="A527" s="691" t="n"/>
      <c r="B527" s="570" t="n"/>
      <c r="C527" s="567" t="n"/>
      <c r="D527" s="689" t="n"/>
      <c r="E527" s="686" t="n"/>
      <c r="F527" s="570" t="n"/>
      <c r="G527" s="570" t="n"/>
      <c r="H527" s="570" t="n"/>
      <c r="I527" s="570" t="n"/>
      <c r="J527" s="570" t="n"/>
      <c r="K527" s="570" t="n"/>
      <c r="L527" s="570" t="n"/>
      <c r="M527" s="570" t="n"/>
      <c r="N527" s="570" t="n"/>
      <c r="O527" s="567" t="n"/>
      <c r="P527" s="687" t="n"/>
      <c r="Q527" s="687" t="n"/>
      <c r="R527" s="687" t="n"/>
    </row>
    <row r="528" ht="15.75" customHeight="1" s="557">
      <c r="A528" s="691" t="n"/>
      <c r="B528" s="570" t="n"/>
      <c r="C528" s="567" t="n"/>
      <c r="D528" s="689" t="n"/>
      <c r="E528" s="686" t="n"/>
      <c r="F528" s="570" t="n"/>
      <c r="G528" s="570" t="n"/>
      <c r="H528" s="570" t="n"/>
      <c r="I528" s="570" t="n"/>
      <c r="J528" s="570" t="n"/>
      <c r="K528" s="570" t="n"/>
      <c r="L528" s="570" t="n"/>
      <c r="M528" s="570" t="n"/>
      <c r="N528" s="570" t="n"/>
      <c r="O528" s="567" t="n"/>
      <c r="P528" s="687" t="n"/>
      <c r="Q528" s="687" t="n"/>
      <c r="R528" s="687" t="n"/>
    </row>
    <row r="529" ht="15.75" customHeight="1" s="557">
      <c r="A529" s="684" t="n"/>
      <c r="B529" s="570" t="n"/>
      <c r="C529" s="567" t="n"/>
      <c r="D529" s="689" t="n"/>
      <c r="E529" s="686" t="n"/>
      <c r="F529" s="570" t="n"/>
      <c r="G529" s="570" t="n"/>
      <c r="H529" s="570" t="n"/>
      <c r="I529" s="570" t="n"/>
      <c r="J529" s="570" t="n"/>
      <c r="K529" s="570" t="n"/>
      <c r="L529" s="570" t="n"/>
      <c r="M529" s="570" t="n"/>
      <c r="N529" s="570" t="n"/>
      <c r="O529" s="567" t="n"/>
      <c r="P529" s="687" t="n"/>
      <c r="Q529" s="687" t="n"/>
      <c r="R529" s="687" t="n"/>
    </row>
    <row r="530" ht="15.75" customHeight="1" s="557">
      <c r="A530" s="731" t="n"/>
      <c r="B530" s="570" t="n"/>
      <c r="C530" s="567" t="n"/>
      <c r="D530" s="689" t="n"/>
      <c r="E530" s="686" t="n"/>
      <c r="F530" s="570" t="n"/>
      <c r="G530" s="570" t="n"/>
      <c r="H530" s="570" t="n"/>
      <c r="I530" s="570" t="n"/>
      <c r="J530" s="570" t="n"/>
      <c r="K530" s="570" t="n"/>
      <c r="L530" s="570" t="n"/>
      <c r="M530" s="570" t="n"/>
      <c r="N530" s="570" t="n"/>
      <c r="O530" s="567" t="n"/>
      <c r="P530" s="687" t="n"/>
      <c r="Q530" s="687" t="n"/>
      <c r="R530" s="687" t="n"/>
    </row>
    <row r="531" ht="15.75" customHeight="1" s="557">
      <c r="A531" s="731" t="n"/>
      <c r="B531" s="570" t="n"/>
      <c r="C531" s="567" t="n"/>
      <c r="D531" s="689" t="n"/>
      <c r="E531" s="686" t="n"/>
      <c r="F531" s="570" t="n"/>
      <c r="G531" s="570" t="n"/>
      <c r="H531" s="570" t="n"/>
      <c r="I531" s="570" t="n"/>
      <c r="J531" s="570" t="n"/>
      <c r="K531" s="570" t="n"/>
      <c r="L531" s="570" t="n"/>
      <c r="M531" s="570" t="n"/>
      <c r="N531" s="570" t="n"/>
      <c r="O531" s="567" t="n"/>
      <c r="P531" s="732" t="n"/>
      <c r="Q531" s="732" t="n"/>
      <c r="R531" s="732" t="n"/>
    </row>
    <row r="532" ht="15.75" customHeight="1" s="557">
      <c r="A532" s="719" t="n"/>
      <c r="B532" s="678" t="n"/>
      <c r="C532" s="679" t="n"/>
      <c r="D532" s="720" t="n"/>
      <c r="E532" s="733" t="n"/>
      <c r="F532" s="678" t="n"/>
      <c r="G532" s="678" t="n"/>
      <c r="H532" s="678" t="n"/>
      <c r="I532" s="678" t="n"/>
      <c r="J532" s="678" t="n"/>
      <c r="K532" s="678" t="n"/>
      <c r="L532" s="678" t="n"/>
      <c r="M532" s="678" t="n"/>
      <c r="N532" s="678" t="n"/>
      <c r="O532" s="678" t="n"/>
      <c r="P532" s="678" t="n"/>
      <c r="Q532" s="678" t="n"/>
      <c r="R532" s="679" t="n"/>
    </row>
    <row r="533" ht="15.75" customHeight="1" s="557">
      <c r="A533" s="719" t="n"/>
      <c r="B533" s="678" t="n"/>
      <c r="C533" s="679" t="n"/>
      <c r="D533" s="720" t="n"/>
      <c r="E533" s="733" t="n"/>
      <c r="F533" s="678" t="n"/>
      <c r="G533" s="678" t="n"/>
      <c r="H533" s="678" t="n"/>
      <c r="I533" s="678" t="n"/>
      <c r="J533" s="678" t="n"/>
      <c r="K533" s="678" t="n"/>
      <c r="L533" s="678" t="n"/>
      <c r="M533" s="678" t="n"/>
      <c r="N533" s="678" t="n"/>
      <c r="O533" s="678" t="n"/>
      <c r="P533" s="678" t="n"/>
      <c r="Q533" s="678" t="n"/>
      <c r="R533" s="679" t="n"/>
    </row>
    <row r="534" ht="15.75" customHeight="1" s="557">
      <c r="A534" s="719" t="n"/>
      <c r="B534" s="678" t="n"/>
      <c r="C534" s="679" t="n"/>
      <c r="D534" s="720" t="n"/>
      <c r="E534" s="733" t="n"/>
      <c r="F534" s="678" t="n"/>
      <c r="G534" s="678" t="n"/>
      <c r="H534" s="678" t="n"/>
      <c r="I534" s="678" t="n"/>
      <c r="J534" s="678" t="n"/>
      <c r="K534" s="678" t="n"/>
      <c r="L534" s="678" t="n"/>
      <c r="M534" s="678" t="n"/>
      <c r="N534" s="678" t="n"/>
      <c r="O534" s="678" t="n"/>
      <c r="P534" s="678" t="n"/>
      <c r="Q534" s="678" t="n"/>
      <c r="R534" s="679" t="n"/>
    </row>
    <row r="535" ht="15.75" customHeight="1" s="557">
      <c r="A535" s="719" t="n"/>
      <c r="B535" s="678" t="n"/>
      <c r="C535" s="679" t="n"/>
      <c r="D535" s="720" t="n"/>
      <c r="E535" s="733" t="n"/>
      <c r="F535" s="678" t="n"/>
      <c r="G535" s="678" t="n"/>
      <c r="H535" s="678" t="n"/>
      <c r="I535" s="678" t="n"/>
      <c r="J535" s="678" t="n"/>
      <c r="K535" s="678" t="n"/>
      <c r="L535" s="678" t="n"/>
      <c r="M535" s="678" t="n"/>
      <c r="N535" s="678" t="n"/>
      <c r="O535" s="678" t="n"/>
      <c r="P535" s="678" t="n"/>
      <c r="Q535" s="678" t="n"/>
      <c r="R535" s="679" t="n"/>
    </row>
    <row r="536" ht="15.75" customHeight="1" s="557">
      <c r="A536" s="719" t="n"/>
      <c r="B536" s="678" t="n"/>
      <c r="C536" s="679" t="n"/>
      <c r="D536" s="720" t="n"/>
      <c r="E536" s="727" t="n"/>
      <c r="F536" s="570" t="n"/>
      <c r="G536" s="570" t="n"/>
      <c r="H536" s="570" t="n"/>
      <c r="I536" s="570" t="n"/>
      <c r="J536" s="570" t="n"/>
      <c r="K536" s="570" t="n"/>
      <c r="L536" s="570" t="n"/>
      <c r="M536" s="570" t="n"/>
      <c r="N536" s="570" t="n"/>
      <c r="O536" s="570" t="n"/>
      <c r="P536" s="570" t="n"/>
      <c r="Q536" s="570" t="n"/>
      <c r="R536" s="567" t="n"/>
    </row>
    <row r="537" ht="15.75" customHeight="1" s="557">
      <c r="A537" s="719" t="n"/>
      <c r="B537" s="678" t="n"/>
      <c r="C537" s="679" t="n"/>
      <c r="D537" s="720" t="n"/>
      <c r="E537" s="723" t="n"/>
      <c r="F537" s="570" t="n"/>
      <c r="G537" s="570" t="n"/>
      <c r="H537" s="570" t="n"/>
      <c r="I537" s="570" t="n"/>
      <c r="J537" s="570" t="n"/>
      <c r="K537" s="570" t="n"/>
      <c r="L537" s="570" t="n"/>
      <c r="M537" s="570" t="n"/>
      <c r="N537" s="570" t="n"/>
      <c r="O537" s="570" t="n"/>
      <c r="P537" s="570" t="n"/>
      <c r="Q537" s="570" t="n"/>
      <c r="R537" s="567" t="n"/>
    </row>
    <row r="538" ht="15.75" customHeight="1" s="557">
      <c r="A538" s="719" t="n"/>
      <c r="B538" s="678" t="n"/>
      <c r="C538" s="679" t="n"/>
      <c r="D538" s="734" t="n"/>
      <c r="E538" s="727" t="n"/>
      <c r="F538" s="570" t="n"/>
      <c r="G538" s="570" t="n"/>
      <c r="H538" s="570" t="n"/>
      <c r="I538" s="570" t="n"/>
      <c r="J538" s="570" t="n"/>
      <c r="K538" s="570" t="n"/>
      <c r="L538" s="570" t="n"/>
      <c r="M538" s="570" t="n"/>
      <c r="N538" s="570" t="n"/>
      <c r="O538" s="570" t="n"/>
      <c r="P538" s="570" t="n"/>
      <c r="Q538" s="570" t="n"/>
      <c r="R538" s="567" t="n"/>
    </row>
    <row r="539" ht="15.75" customHeight="1" s="557">
      <c r="A539" s="719" t="n"/>
      <c r="B539" s="678" t="n"/>
      <c r="C539" s="679" t="n"/>
      <c r="D539" s="720" t="n"/>
      <c r="E539" s="727" t="n"/>
      <c r="F539" s="570" t="n"/>
      <c r="G539" s="570" t="n"/>
      <c r="H539" s="570" t="n"/>
      <c r="I539" s="570" t="n"/>
      <c r="J539" s="570" t="n"/>
      <c r="K539" s="570" t="n"/>
      <c r="L539" s="570" t="n"/>
      <c r="M539" s="570" t="n"/>
      <c r="N539" s="570" t="n"/>
      <c r="O539" s="570" t="n"/>
      <c r="P539" s="570" t="n"/>
      <c r="Q539" s="570" t="n"/>
      <c r="R539" s="567" t="n"/>
    </row>
    <row r="540" ht="15.75" customHeight="1" s="557">
      <c r="A540" s="719" t="n"/>
      <c r="B540" s="678" t="n"/>
      <c r="C540" s="679" t="n"/>
      <c r="D540" s="720" t="n"/>
      <c r="E540" s="727" t="n"/>
      <c r="F540" s="570" t="n"/>
      <c r="G540" s="570" t="n"/>
      <c r="H540" s="570" t="n"/>
      <c r="I540" s="570" t="n"/>
      <c r="J540" s="570" t="n"/>
      <c r="K540" s="570" t="n"/>
      <c r="L540" s="570" t="n"/>
      <c r="M540" s="570" t="n"/>
      <c r="N540" s="570" t="n"/>
      <c r="O540" s="570" t="n"/>
      <c r="P540" s="570" t="n"/>
      <c r="Q540" s="570" t="n"/>
      <c r="R540" s="567" t="n"/>
    </row>
    <row r="541" ht="15.75" customHeight="1" s="557">
      <c r="A541" s="719" t="n"/>
      <c r="B541" s="678" t="n"/>
      <c r="C541" s="679" t="n"/>
      <c r="D541" s="720" t="n"/>
      <c r="E541" s="727" t="n"/>
      <c r="F541" s="570" t="n"/>
      <c r="G541" s="570" t="n"/>
      <c r="H541" s="570" t="n"/>
      <c r="I541" s="570" t="n"/>
      <c r="J541" s="570" t="n"/>
      <c r="K541" s="570" t="n"/>
      <c r="L541" s="570" t="n"/>
      <c r="M541" s="570" t="n"/>
      <c r="N541" s="570" t="n"/>
      <c r="O541" s="570" t="n"/>
      <c r="P541" s="570" t="n"/>
      <c r="Q541" s="570" t="n"/>
      <c r="R541" s="567" t="n"/>
    </row>
    <row r="542" ht="15.75" customHeight="1" s="557">
      <c r="A542" s="719" t="n"/>
      <c r="B542" s="678" t="n"/>
      <c r="C542" s="679" t="n"/>
      <c r="D542" s="720" t="n"/>
      <c r="E542" s="727" t="n"/>
      <c r="F542" s="570" t="n"/>
      <c r="G542" s="570" t="n"/>
      <c r="H542" s="570" t="n"/>
      <c r="I542" s="570" t="n"/>
      <c r="J542" s="570" t="n"/>
      <c r="K542" s="570" t="n"/>
      <c r="L542" s="570" t="n"/>
      <c r="M542" s="570" t="n"/>
      <c r="N542" s="570" t="n"/>
      <c r="O542" s="570" t="n"/>
      <c r="P542" s="570" t="n"/>
      <c r="Q542" s="570" t="n"/>
      <c r="R542" s="567" t="n"/>
    </row>
    <row r="543" ht="15.75" customHeight="1" s="557">
      <c r="A543" s="719" t="n"/>
      <c r="B543" s="678" t="n"/>
      <c r="C543" s="679" t="n"/>
      <c r="D543" s="720" t="n"/>
      <c r="E543" s="721" t="n"/>
      <c r="F543" s="570" t="n"/>
      <c r="G543" s="570" t="n"/>
      <c r="H543" s="570" t="n"/>
      <c r="I543" s="570" t="n"/>
      <c r="J543" s="570" t="n"/>
      <c r="K543" s="570" t="n"/>
      <c r="L543" s="570" t="n"/>
      <c r="M543" s="570" t="n"/>
      <c r="N543" s="570" t="n"/>
      <c r="O543" s="570" t="n"/>
      <c r="P543" s="570" t="n"/>
      <c r="Q543" s="570" t="n"/>
      <c r="R543" s="567" t="n"/>
    </row>
    <row r="544" ht="15.75" customHeight="1" s="557">
      <c r="A544" s="719" t="n"/>
      <c r="B544" s="678" t="n"/>
      <c r="C544" s="679" t="n"/>
      <c r="D544" s="720" t="n"/>
      <c r="E544" s="722" t="n"/>
      <c r="F544" s="570" t="n"/>
      <c r="G544" s="570" t="n"/>
      <c r="H544" s="570" t="n"/>
      <c r="I544" s="570" t="n"/>
      <c r="J544" s="570" t="n"/>
      <c r="K544" s="570" t="n"/>
      <c r="L544" s="570" t="n"/>
      <c r="M544" s="570" t="n"/>
      <c r="N544" s="570" t="n"/>
      <c r="O544" s="570" t="n"/>
      <c r="P544" s="570" t="n"/>
      <c r="Q544" s="570" t="n"/>
      <c r="R544" s="567" t="n"/>
    </row>
    <row r="545" ht="15.75" customHeight="1" s="557">
      <c r="A545" s="719" t="n"/>
      <c r="B545" s="678" t="n"/>
      <c r="C545" s="679" t="n"/>
      <c r="D545" s="720" t="n"/>
      <c r="E545" s="723" t="n"/>
      <c r="F545" s="570" t="n"/>
      <c r="G545" s="570" t="n"/>
      <c r="H545" s="570" t="n"/>
      <c r="I545" s="570" t="n"/>
      <c r="J545" s="570" t="n"/>
      <c r="K545" s="570" t="n"/>
      <c r="L545" s="570" t="n"/>
      <c r="M545" s="570" t="n"/>
      <c r="N545" s="570" t="n"/>
      <c r="O545" s="570" t="n"/>
      <c r="P545" s="570" t="n"/>
      <c r="Q545" s="570" t="n"/>
      <c r="R545" s="567" t="n"/>
    </row>
    <row r="546" ht="15.75" customHeight="1" s="557">
      <c r="A546" s="719" t="n"/>
      <c r="B546" s="678" t="n"/>
      <c r="C546" s="679" t="n"/>
      <c r="D546" s="720" t="n"/>
      <c r="E546" s="723" t="n"/>
      <c r="F546" s="570" t="n"/>
      <c r="G546" s="570" t="n"/>
      <c r="H546" s="570" t="n"/>
      <c r="I546" s="570" t="n"/>
      <c r="J546" s="570" t="n"/>
      <c r="K546" s="570" t="n"/>
      <c r="L546" s="570" t="n"/>
      <c r="M546" s="570" t="n"/>
      <c r="N546" s="570" t="n"/>
      <c r="O546" s="570" t="n"/>
      <c r="P546" s="570" t="n"/>
      <c r="Q546" s="570" t="n"/>
      <c r="R546" s="567" t="n"/>
    </row>
    <row r="547" ht="15.75" customHeight="1" s="557">
      <c r="A547" s="719" t="n"/>
      <c r="B547" s="678" t="n"/>
      <c r="C547" s="679" t="n"/>
      <c r="D547" s="720" t="n"/>
      <c r="E547" s="722" t="n"/>
      <c r="F547" s="570" t="n"/>
      <c r="G547" s="570" t="n"/>
      <c r="H547" s="570" t="n"/>
      <c r="I547" s="570" t="n"/>
      <c r="J547" s="570" t="n"/>
      <c r="K547" s="570" t="n"/>
      <c r="L547" s="570" t="n"/>
      <c r="M547" s="570" t="n"/>
      <c r="N547" s="570" t="n"/>
      <c r="O547" s="570" t="n"/>
      <c r="P547" s="570" t="n"/>
      <c r="Q547" s="570" t="n"/>
      <c r="R547" s="567" t="n"/>
    </row>
    <row r="548" ht="15.75" customHeight="1" s="557">
      <c r="A548" s="719" t="n"/>
      <c r="B548" s="678" t="n"/>
      <c r="C548" s="679" t="n"/>
      <c r="D548" s="720" t="n"/>
      <c r="E548" s="724" t="n"/>
      <c r="F548" s="570" t="n"/>
      <c r="G548" s="570" t="n"/>
      <c r="H548" s="570" t="n"/>
      <c r="I548" s="570" t="n"/>
      <c r="J548" s="570" t="n"/>
      <c r="K548" s="570" t="n"/>
      <c r="L548" s="570" t="n"/>
      <c r="M548" s="570" t="n"/>
      <c r="N548" s="570" t="n"/>
      <c r="O548" s="570" t="n"/>
      <c r="P548" s="570" t="n"/>
      <c r="Q548" s="570" t="n"/>
      <c r="R548" s="567" t="n"/>
    </row>
    <row r="549" ht="15.75" customHeight="1" s="557">
      <c r="A549" s="719" t="n"/>
      <c r="B549" s="678" t="n"/>
      <c r="C549" s="679" t="n"/>
      <c r="D549" s="720" t="n"/>
      <c r="E549" s="722" t="n"/>
      <c r="F549" s="570" t="n"/>
      <c r="G549" s="570" t="n"/>
      <c r="H549" s="570" t="n"/>
      <c r="I549" s="570" t="n"/>
      <c r="J549" s="570" t="n"/>
      <c r="K549" s="570" t="n"/>
      <c r="L549" s="570" t="n"/>
      <c r="M549" s="570" t="n"/>
      <c r="N549" s="570" t="n"/>
      <c r="O549" s="570" t="n"/>
      <c r="P549" s="570" t="n"/>
      <c r="Q549" s="570" t="n"/>
      <c r="R549" s="567" t="n"/>
    </row>
    <row r="550" ht="15.75" customHeight="1" s="557">
      <c r="A550" s="719" t="n"/>
      <c r="B550" s="678" t="n"/>
      <c r="C550" s="679" t="n"/>
      <c r="D550" s="720" t="n"/>
      <c r="E550" s="724" t="n"/>
      <c r="F550" s="570" t="n"/>
      <c r="G550" s="570" t="n"/>
      <c r="H550" s="570" t="n"/>
      <c r="I550" s="570" t="n"/>
      <c r="J550" s="570" t="n"/>
      <c r="K550" s="570" t="n"/>
      <c r="L550" s="570" t="n"/>
      <c r="M550" s="570" t="n"/>
      <c r="N550" s="570" t="n"/>
      <c r="O550" s="570" t="n"/>
      <c r="P550" s="570" t="n"/>
      <c r="Q550" s="570" t="n"/>
      <c r="R550" s="567" t="n"/>
    </row>
    <row r="551" ht="15.75" customHeight="1" s="557">
      <c r="A551" s="719" t="n"/>
      <c r="B551" s="678" t="n"/>
      <c r="C551" s="679" t="n"/>
      <c r="D551" s="720" t="n"/>
      <c r="E551" s="722" t="n"/>
      <c r="F551" s="570" t="n"/>
      <c r="G551" s="570" t="n"/>
      <c r="H551" s="570" t="n"/>
      <c r="I551" s="570" t="n"/>
      <c r="J551" s="570" t="n"/>
      <c r="K551" s="570" t="n"/>
      <c r="L551" s="570" t="n"/>
      <c r="M551" s="570" t="n"/>
      <c r="N551" s="570" t="n"/>
      <c r="O551" s="570" t="n"/>
      <c r="P551" s="570" t="n"/>
      <c r="Q551" s="570" t="n"/>
      <c r="R551" s="567" t="n"/>
    </row>
    <row r="552" ht="15.75" customHeight="1" s="557">
      <c r="A552" s="719" t="n"/>
      <c r="B552" s="678" t="n"/>
      <c r="C552" s="679" t="n"/>
      <c r="D552" s="720" t="n"/>
      <c r="E552" s="725" t="n"/>
      <c r="F552" s="570" t="n"/>
      <c r="G552" s="570" t="n"/>
      <c r="H552" s="570" t="n"/>
      <c r="I552" s="570" t="n"/>
      <c r="J552" s="570" t="n"/>
      <c r="K552" s="570" t="n"/>
      <c r="L552" s="570" t="n"/>
      <c r="M552" s="570" t="n"/>
      <c r="N552" s="570" t="n"/>
      <c r="O552" s="570" t="n"/>
      <c r="P552" s="570" t="n"/>
      <c r="Q552" s="570" t="n"/>
      <c r="R552" s="567" t="n"/>
    </row>
    <row r="553" ht="15.75" customHeight="1" s="557">
      <c r="A553" s="719" t="n"/>
      <c r="B553" s="678" t="n"/>
      <c r="C553" s="679" t="n"/>
      <c r="D553" s="720" t="n"/>
      <c r="E553" s="726" t="n"/>
      <c r="F553" s="570" t="n"/>
      <c r="G553" s="570" t="n"/>
      <c r="H553" s="570" t="n"/>
      <c r="I553" s="570" t="n"/>
      <c r="J553" s="570" t="n"/>
      <c r="K553" s="570" t="n"/>
      <c r="L553" s="570" t="n"/>
      <c r="M553" s="570" t="n"/>
      <c r="N553" s="570" t="n"/>
      <c r="O553" s="570" t="n"/>
      <c r="P553" s="570" t="n"/>
      <c r="Q553" s="570" t="n"/>
      <c r="R553" s="567" t="n"/>
    </row>
    <row r="554" ht="15.75" customHeight="1" s="557">
      <c r="A554" s="719" t="n"/>
      <c r="B554" s="678" t="n"/>
      <c r="C554" s="679" t="n"/>
      <c r="D554" s="720" t="n"/>
      <c r="E554" s="723" t="n"/>
      <c r="F554" s="570" t="n"/>
      <c r="G554" s="570" t="n"/>
      <c r="H554" s="570" t="n"/>
      <c r="I554" s="570" t="n"/>
      <c r="J554" s="570" t="n"/>
      <c r="K554" s="570" t="n"/>
      <c r="L554" s="570" t="n"/>
      <c r="M554" s="570" t="n"/>
      <c r="N554" s="570" t="n"/>
      <c r="O554" s="570" t="n"/>
      <c r="P554" s="570" t="n"/>
      <c r="Q554" s="570" t="n"/>
      <c r="R554" s="567" t="n"/>
    </row>
    <row r="555" ht="15.75" customHeight="1" s="557">
      <c r="A555" s="719" t="n"/>
      <c r="B555" s="678" t="n"/>
      <c r="C555" s="679" t="n"/>
      <c r="D555" s="720" t="n"/>
      <c r="E555" s="724" t="n"/>
      <c r="F555" s="570" t="n"/>
      <c r="G555" s="570" t="n"/>
      <c r="H555" s="570" t="n"/>
      <c r="I555" s="570" t="n"/>
      <c r="J555" s="570" t="n"/>
      <c r="K555" s="570" t="n"/>
      <c r="L555" s="570" t="n"/>
      <c r="M555" s="570" t="n"/>
      <c r="N555" s="570" t="n"/>
      <c r="O555" s="570" t="n"/>
      <c r="P555" s="570" t="n"/>
      <c r="Q555" s="570" t="n"/>
      <c r="R555" s="567" t="n"/>
    </row>
    <row r="556" ht="15.75" customHeight="1" s="557">
      <c r="A556" s="719" t="n"/>
      <c r="B556" s="678" t="n"/>
      <c r="C556" s="679" t="n"/>
      <c r="D556" s="720" t="n"/>
      <c r="E556" s="722" t="n"/>
      <c r="F556" s="570" t="n"/>
      <c r="G556" s="570" t="n"/>
      <c r="H556" s="570" t="n"/>
      <c r="I556" s="570" t="n"/>
      <c r="J556" s="570" t="n"/>
      <c r="K556" s="570" t="n"/>
      <c r="L556" s="570" t="n"/>
      <c r="M556" s="570" t="n"/>
      <c r="N556" s="570" t="n"/>
      <c r="O556" s="570" t="n"/>
      <c r="P556" s="570" t="n"/>
      <c r="Q556" s="570" t="n"/>
      <c r="R556" s="567" t="n"/>
    </row>
    <row r="557" ht="15.75" customHeight="1" s="557">
      <c r="A557" s="719" t="n"/>
      <c r="B557" s="678" t="n"/>
      <c r="C557" s="679" t="n"/>
      <c r="D557" s="720" t="n"/>
      <c r="E557" s="725" t="n"/>
      <c r="F557" s="570" t="n"/>
      <c r="G557" s="570" t="n"/>
      <c r="H557" s="570" t="n"/>
      <c r="I557" s="570" t="n"/>
      <c r="J557" s="570" t="n"/>
      <c r="K557" s="570" t="n"/>
      <c r="L557" s="570" t="n"/>
      <c r="M557" s="570" t="n"/>
      <c r="N557" s="570" t="n"/>
      <c r="O557" s="570" t="n"/>
      <c r="P557" s="570" t="n"/>
      <c r="Q557" s="570" t="n"/>
      <c r="R557" s="567" t="n"/>
    </row>
    <row r="558" ht="15.75" customHeight="1" s="557">
      <c r="A558" s="719" t="n"/>
      <c r="B558" s="678" t="n"/>
      <c r="C558" s="679" t="n"/>
      <c r="D558" s="720" t="n"/>
      <c r="E558" s="722" t="n"/>
      <c r="F558" s="570" t="n"/>
      <c r="G558" s="570" t="n"/>
      <c r="H558" s="570" t="n"/>
      <c r="I558" s="570" t="n"/>
      <c r="J558" s="570" t="n"/>
      <c r="K558" s="570" t="n"/>
      <c r="L558" s="570" t="n"/>
      <c r="M558" s="570" t="n"/>
      <c r="N558" s="570" t="n"/>
      <c r="O558" s="570" t="n"/>
      <c r="P558" s="570" t="n"/>
      <c r="Q558" s="570" t="n"/>
      <c r="R558" s="567" t="n"/>
    </row>
    <row r="559" ht="15.75" customHeight="1" s="557">
      <c r="A559" s="719" t="n"/>
      <c r="B559" s="678" t="n"/>
      <c r="C559" s="679" t="n"/>
      <c r="D559" s="720" t="n"/>
      <c r="E559" s="722" t="n"/>
      <c r="F559" s="570" t="n"/>
      <c r="G559" s="570" t="n"/>
      <c r="H559" s="570" t="n"/>
      <c r="I559" s="570" t="n"/>
      <c r="J559" s="570" t="n"/>
      <c r="K559" s="570" t="n"/>
      <c r="L559" s="570" t="n"/>
      <c r="M559" s="570" t="n"/>
      <c r="N559" s="570" t="n"/>
      <c r="O559" s="570" t="n"/>
      <c r="P559" s="570" t="n"/>
      <c r="Q559" s="570" t="n"/>
      <c r="R559" s="567" t="n"/>
    </row>
    <row r="560" ht="15.75" customHeight="1" s="557">
      <c r="A560" s="719" t="n"/>
      <c r="B560" s="678" t="n"/>
      <c r="C560" s="679" t="n"/>
      <c r="D560" s="720" t="n"/>
      <c r="E560" s="723" t="n"/>
      <c r="F560" s="570" t="n"/>
      <c r="G560" s="570" t="n"/>
      <c r="H560" s="570" t="n"/>
      <c r="I560" s="570" t="n"/>
      <c r="J560" s="570" t="n"/>
      <c r="K560" s="570" t="n"/>
      <c r="L560" s="570" t="n"/>
      <c r="M560" s="570" t="n"/>
      <c r="N560" s="570" t="n"/>
      <c r="O560" s="570" t="n"/>
      <c r="P560" s="570" t="n"/>
      <c r="Q560" s="570" t="n"/>
      <c r="R560" s="567" t="n"/>
    </row>
    <row r="561" ht="15.75" customHeight="1" s="557">
      <c r="A561" s="719" t="n"/>
      <c r="B561" s="678" t="n"/>
      <c r="C561" s="679" t="n"/>
      <c r="D561" s="720" t="n"/>
      <c r="E561" s="727" t="n"/>
      <c r="F561" s="570" t="n"/>
      <c r="G561" s="570" t="n"/>
      <c r="H561" s="570" t="n"/>
      <c r="I561" s="570" t="n"/>
      <c r="J561" s="570" t="n"/>
      <c r="K561" s="570" t="n"/>
      <c r="L561" s="570" t="n"/>
      <c r="M561" s="570" t="n"/>
      <c r="N561" s="570" t="n"/>
      <c r="O561" s="570" t="n"/>
      <c r="P561" s="570" t="n"/>
      <c r="Q561" s="570" t="n"/>
      <c r="R561" s="567" t="n"/>
    </row>
    <row r="562" ht="15.75" customHeight="1" s="557">
      <c r="A562" s="719" t="n"/>
      <c r="B562" s="678" t="n"/>
      <c r="C562" s="679" t="n"/>
      <c r="D562" s="720" t="n"/>
      <c r="E562" s="722" t="n"/>
      <c r="F562" s="570" t="n"/>
      <c r="G562" s="570" t="n"/>
      <c r="H562" s="570" t="n"/>
      <c r="I562" s="570" t="n"/>
      <c r="J562" s="570" t="n"/>
      <c r="K562" s="570" t="n"/>
      <c r="L562" s="570" t="n"/>
      <c r="M562" s="570" t="n"/>
      <c r="N562" s="570" t="n"/>
      <c r="O562" s="570" t="n"/>
      <c r="P562" s="570" t="n"/>
      <c r="Q562" s="570" t="n"/>
      <c r="R562" s="567" t="n"/>
    </row>
    <row r="563" ht="15.75" customHeight="1" s="557">
      <c r="A563" s="719" t="n"/>
      <c r="B563" s="678" t="n"/>
      <c r="C563" s="679" t="n"/>
      <c r="D563" s="720" t="n"/>
      <c r="E563" s="722" t="n"/>
      <c r="F563" s="570" t="n"/>
      <c r="G563" s="570" t="n"/>
      <c r="H563" s="570" t="n"/>
      <c r="I563" s="570" t="n"/>
      <c r="J563" s="570" t="n"/>
      <c r="K563" s="570" t="n"/>
      <c r="L563" s="570" t="n"/>
      <c r="M563" s="570" t="n"/>
      <c r="N563" s="570" t="n"/>
      <c r="O563" s="570" t="n"/>
      <c r="P563" s="570" t="n"/>
      <c r="Q563" s="570" t="n"/>
      <c r="R563" s="567" t="n"/>
    </row>
    <row r="564" ht="15.75" customHeight="1" s="557">
      <c r="A564" s="719" t="n"/>
      <c r="B564" s="678" t="n"/>
      <c r="C564" s="679" t="n"/>
      <c r="D564" s="720" t="n"/>
      <c r="E564" s="722" t="n"/>
      <c r="F564" s="570" t="n"/>
      <c r="G564" s="570" t="n"/>
      <c r="H564" s="570" t="n"/>
      <c r="I564" s="570" t="n"/>
      <c r="J564" s="570" t="n"/>
      <c r="K564" s="570" t="n"/>
      <c r="L564" s="570" t="n"/>
      <c r="M564" s="570" t="n"/>
      <c r="N564" s="570" t="n"/>
      <c r="O564" s="570" t="n"/>
      <c r="P564" s="570" t="n"/>
      <c r="Q564" s="570" t="n"/>
      <c r="R564" s="567" t="n"/>
    </row>
    <row r="565" ht="18" customHeight="1" s="557">
      <c r="A565" s="684" t="n"/>
      <c r="B565" s="570" t="n"/>
      <c r="C565" s="567" t="n"/>
      <c r="D565" s="689" t="n"/>
      <c r="E565" s="686" t="n"/>
      <c r="F565" s="570" t="n"/>
      <c r="G565" s="570" t="n"/>
      <c r="H565" s="570" t="n"/>
      <c r="I565" s="570" t="n"/>
      <c r="J565" s="570" t="n"/>
      <c r="K565" s="570" t="n"/>
      <c r="L565" s="570" t="n"/>
      <c r="M565" s="570" t="n"/>
      <c r="N565" s="570" t="n"/>
      <c r="O565" s="567" t="n"/>
      <c r="P565" s="687" t="n"/>
      <c r="Q565" s="687" t="n"/>
      <c r="R565" s="687" t="n"/>
    </row>
    <row r="566" ht="15.75" customHeight="1" s="557">
      <c r="A566" s="690" t="n"/>
      <c r="B566" s="570" t="n"/>
      <c r="C566" s="567" t="n"/>
      <c r="D566" s="730" t="n"/>
      <c r="E566" s="686" t="n"/>
      <c r="F566" s="570" t="n"/>
      <c r="G566" s="570" t="n"/>
      <c r="H566" s="570" t="n"/>
      <c r="I566" s="570" t="n"/>
      <c r="J566" s="570" t="n"/>
      <c r="K566" s="570" t="n"/>
      <c r="L566" s="570" t="n"/>
      <c r="M566" s="570" t="n"/>
      <c r="N566" s="570" t="n"/>
      <c r="O566" s="567" t="n"/>
      <c r="P566" s="687" t="n"/>
      <c r="Q566" s="687" t="n"/>
      <c r="R566" s="687" t="n"/>
    </row>
    <row r="567" ht="15.75" customFormat="1" customHeight="1" s="696">
      <c r="A567" s="684" t="n"/>
      <c r="B567" s="570" t="n"/>
      <c r="C567" s="567" t="n"/>
      <c r="D567" s="689" t="n"/>
      <c r="E567" s="686" t="n"/>
      <c r="F567" s="570" t="n"/>
      <c r="G567" s="570" t="n"/>
      <c r="H567" s="570" t="n"/>
      <c r="I567" s="570" t="n"/>
      <c r="J567" s="570" t="n"/>
      <c r="K567" s="570" t="n"/>
      <c r="L567" s="570" t="n"/>
      <c r="M567" s="570" t="n"/>
      <c r="N567" s="570" t="n"/>
      <c r="O567" s="567" t="n"/>
      <c r="P567" s="687" t="n"/>
      <c r="Q567" s="687" t="n"/>
      <c r="R567" s="687" t="n"/>
    </row>
    <row r="568" ht="15.75" customHeight="1" s="557">
      <c r="A568" s="691" t="n"/>
      <c r="B568" s="570" t="n"/>
      <c r="C568" s="567" t="n"/>
      <c r="D568" s="689" t="n"/>
      <c r="E568" s="686" t="n"/>
      <c r="F568" s="570" t="n"/>
      <c r="G568" s="570" t="n"/>
      <c r="H568" s="570" t="n"/>
      <c r="I568" s="570" t="n"/>
      <c r="J568" s="570" t="n"/>
      <c r="K568" s="570" t="n"/>
      <c r="L568" s="570" t="n"/>
      <c r="M568" s="570" t="n"/>
      <c r="N568" s="570" t="n"/>
      <c r="O568" s="567" t="n"/>
      <c r="P568" s="687" t="n"/>
      <c r="Q568" s="687" t="n"/>
      <c r="R568" s="687" t="n"/>
    </row>
    <row r="569" ht="15.75" customHeight="1" s="557">
      <c r="A569" s="691" t="n"/>
      <c r="B569" s="570" t="n"/>
      <c r="C569" s="567" t="n"/>
      <c r="D569" s="689" t="n"/>
      <c r="E569" s="686" t="n"/>
      <c r="F569" s="570" t="n"/>
      <c r="G569" s="570" t="n"/>
      <c r="H569" s="570" t="n"/>
      <c r="I569" s="570" t="n"/>
      <c r="J569" s="570" t="n"/>
      <c r="K569" s="570" t="n"/>
      <c r="L569" s="570" t="n"/>
      <c r="M569" s="570" t="n"/>
      <c r="N569" s="570" t="n"/>
      <c r="O569" s="567" t="n"/>
      <c r="P569" s="687" t="n"/>
      <c r="Q569" s="687" t="n"/>
      <c r="R569" s="687" t="n"/>
    </row>
    <row r="570" ht="15.75" customHeight="1" s="557">
      <c r="A570" s="691" t="n"/>
      <c r="B570" s="570" t="n"/>
      <c r="C570" s="567" t="n"/>
      <c r="D570" s="689" t="n"/>
      <c r="E570" s="686" t="n"/>
      <c r="F570" s="570" t="n"/>
      <c r="G570" s="570" t="n"/>
      <c r="H570" s="570" t="n"/>
      <c r="I570" s="570" t="n"/>
      <c r="J570" s="570" t="n"/>
      <c r="K570" s="570" t="n"/>
      <c r="L570" s="570" t="n"/>
      <c r="M570" s="570" t="n"/>
      <c r="N570" s="570" t="n"/>
      <c r="O570" s="567" t="n"/>
      <c r="P570" s="687" t="n"/>
      <c r="Q570" s="687" t="n"/>
      <c r="R570" s="687" t="n"/>
    </row>
    <row r="571" ht="15.75" customHeight="1" s="557">
      <c r="A571" s="691" t="n"/>
      <c r="B571" s="570" t="n"/>
      <c r="C571" s="567" t="n"/>
      <c r="D571" s="689" t="n"/>
      <c r="E571" s="686" t="n"/>
      <c r="F571" s="570" t="n"/>
      <c r="G571" s="570" t="n"/>
      <c r="H571" s="570" t="n"/>
      <c r="I571" s="570" t="n"/>
      <c r="J571" s="570" t="n"/>
      <c r="K571" s="570" t="n"/>
      <c r="L571" s="570" t="n"/>
      <c r="M571" s="570" t="n"/>
      <c r="N571" s="570" t="n"/>
      <c r="O571" s="567" t="n"/>
      <c r="P571" s="687" t="n"/>
      <c r="Q571" s="687" t="n"/>
      <c r="R571" s="687" t="n"/>
    </row>
    <row r="572" ht="15.75" customHeight="1" s="557">
      <c r="A572" s="691" t="n"/>
      <c r="B572" s="570" t="n"/>
      <c r="C572" s="567" t="n"/>
      <c r="D572" s="689" t="n"/>
      <c r="E572" s="686" t="n"/>
      <c r="F572" s="570" t="n"/>
      <c r="G572" s="570" t="n"/>
      <c r="H572" s="570" t="n"/>
      <c r="I572" s="570" t="n"/>
      <c r="J572" s="570" t="n"/>
      <c r="K572" s="570" t="n"/>
      <c r="L572" s="570" t="n"/>
      <c r="M572" s="570" t="n"/>
      <c r="N572" s="570" t="n"/>
      <c r="O572" s="567" t="n"/>
      <c r="P572" s="687" t="n"/>
      <c r="Q572" s="687" t="n"/>
      <c r="R572" s="687" t="n"/>
    </row>
    <row r="573" ht="15.75" customHeight="1" s="557">
      <c r="A573" s="691" t="n"/>
      <c r="B573" s="570" t="n"/>
      <c r="C573" s="567" t="n"/>
      <c r="D573" s="689" t="n"/>
      <c r="E573" s="686" t="n"/>
      <c r="F573" s="570" t="n"/>
      <c r="G573" s="570" t="n"/>
      <c r="H573" s="570" t="n"/>
      <c r="I573" s="570" t="n"/>
      <c r="J573" s="570" t="n"/>
      <c r="K573" s="570" t="n"/>
      <c r="L573" s="570" t="n"/>
      <c r="M573" s="570" t="n"/>
      <c r="N573" s="570" t="n"/>
      <c r="O573" s="567" t="n"/>
      <c r="P573" s="687" t="n"/>
      <c r="Q573" s="687" t="n"/>
      <c r="R573" s="687" t="n"/>
    </row>
    <row r="574" ht="15.75" customHeight="1" s="557">
      <c r="A574" s="684" t="n"/>
      <c r="B574" s="570" t="n"/>
      <c r="C574" s="567" t="n"/>
      <c r="D574" s="689" t="n"/>
      <c r="E574" s="686" t="n"/>
      <c r="F574" s="570" t="n"/>
      <c r="G574" s="570" t="n"/>
      <c r="H574" s="570" t="n"/>
      <c r="I574" s="570" t="n"/>
      <c r="J574" s="570" t="n"/>
      <c r="K574" s="570" t="n"/>
      <c r="L574" s="570" t="n"/>
      <c r="M574" s="570" t="n"/>
      <c r="N574" s="570" t="n"/>
      <c r="O574" s="567" t="n"/>
      <c r="P574" s="687" t="n"/>
      <c r="Q574" s="687" t="n"/>
      <c r="R574" s="687" t="n"/>
    </row>
    <row r="575" ht="15.75" customHeight="1" s="557">
      <c r="A575" s="731" t="n"/>
      <c r="B575" s="570" t="n"/>
      <c r="C575" s="567" t="n"/>
      <c r="D575" s="689" t="n"/>
      <c r="E575" s="686" t="n"/>
      <c r="F575" s="570" t="n"/>
      <c r="G575" s="570" t="n"/>
      <c r="H575" s="570" t="n"/>
      <c r="I575" s="570" t="n"/>
      <c r="J575" s="570" t="n"/>
      <c r="K575" s="570" t="n"/>
      <c r="L575" s="570" t="n"/>
      <c r="M575" s="570" t="n"/>
      <c r="N575" s="570" t="n"/>
      <c r="O575" s="567" t="n"/>
      <c r="P575" s="687" t="n"/>
      <c r="Q575" s="687" t="n"/>
      <c r="R575" s="687" t="n"/>
    </row>
    <row r="576" ht="15.75" customHeight="1" s="557">
      <c r="A576" s="731" t="n"/>
      <c r="B576" s="570" t="n"/>
      <c r="C576" s="567" t="n"/>
      <c r="D576" s="689" t="n"/>
      <c r="E576" s="686" t="n"/>
      <c r="F576" s="570" t="n"/>
      <c r="G576" s="570" t="n"/>
      <c r="H576" s="570" t="n"/>
      <c r="I576" s="570" t="n"/>
      <c r="J576" s="570" t="n"/>
      <c r="K576" s="570" t="n"/>
      <c r="L576" s="570" t="n"/>
      <c r="M576" s="570" t="n"/>
      <c r="N576" s="570" t="n"/>
      <c r="O576" s="567" t="n"/>
      <c r="P576" s="732" t="n"/>
      <c r="Q576" s="732" t="n"/>
      <c r="R576" s="732" t="n"/>
    </row>
    <row r="577" ht="15.75" customHeight="1" s="557">
      <c r="A577" s="719" t="n"/>
      <c r="B577" s="678" t="n"/>
      <c r="C577" s="679" t="n"/>
      <c r="D577" s="720" t="n"/>
      <c r="E577" s="733" t="n"/>
      <c r="F577" s="678" t="n"/>
      <c r="G577" s="678" t="n"/>
      <c r="H577" s="678" t="n"/>
      <c r="I577" s="678" t="n"/>
      <c r="J577" s="678" t="n"/>
      <c r="K577" s="678" t="n"/>
      <c r="L577" s="678" t="n"/>
      <c r="M577" s="678" t="n"/>
      <c r="N577" s="678" t="n"/>
      <c r="O577" s="678" t="n"/>
      <c r="P577" s="678" t="n"/>
      <c r="Q577" s="678" t="n"/>
      <c r="R577" s="679" t="n"/>
    </row>
    <row r="578" ht="15.75" customHeight="1" s="557">
      <c r="A578" s="719" t="n"/>
      <c r="B578" s="678" t="n"/>
      <c r="C578" s="679" t="n"/>
      <c r="D578" s="720" t="n"/>
      <c r="E578" s="733" t="n"/>
      <c r="F578" s="678" t="n"/>
      <c r="G578" s="678" t="n"/>
      <c r="H578" s="678" t="n"/>
      <c r="I578" s="678" t="n"/>
      <c r="J578" s="678" t="n"/>
      <c r="K578" s="678" t="n"/>
      <c r="L578" s="678" t="n"/>
      <c r="M578" s="678" t="n"/>
      <c r="N578" s="678" t="n"/>
      <c r="O578" s="678" t="n"/>
      <c r="P578" s="678" t="n"/>
      <c r="Q578" s="678" t="n"/>
      <c r="R578" s="679" t="n"/>
    </row>
    <row r="579" ht="15.75" customHeight="1" s="557">
      <c r="A579" s="719" t="n"/>
      <c r="B579" s="678" t="n"/>
      <c r="C579" s="679" t="n"/>
      <c r="D579" s="720" t="n"/>
      <c r="E579" s="733" t="n"/>
      <c r="F579" s="678" t="n"/>
      <c r="G579" s="678" t="n"/>
      <c r="H579" s="678" t="n"/>
      <c r="I579" s="678" t="n"/>
      <c r="J579" s="678" t="n"/>
      <c r="K579" s="678" t="n"/>
      <c r="L579" s="678" t="n"/>
      <c r="M579" s="678" t="n"/>
      <c r="N579" s="678" t="n"/>
      <c r="O579" s="678" t="n"/>
      <c r="P579" s="678" t="n"/>
      <c r="Q579" s="678" t="n"/>
      <c r="R579" s="679" t="n"/>
    </row>
    <row r="580" ht="15.75" customHeight="1" s="557">
      <c r="A580" s="719" t="n"/>
      <c r="B580" s="678" t="n"/>
      <c r="C580" s="679" t="n"/>
      <c r="D580" s="720" t="n"/>
      <c r="E580" s="733" t="n"/>
      <c r="F580" s="678" t="n"/>
      <c r="G580" s="678" t="n"/>
      <c r="H580" s="678" t="n"/>
      <c r="I580" s="678" t="n"/>
      <c r="J580" s="678" t="n"/>
      <c r="K580" s="678" t="n"/>
      <c r="L580" s="678" t="n"/>
      <c r="M580" s="678" t="n"/>
      <c r="N580" s="678" t="n"/>
      <c r="O580" s="678" t="n"/>
      <c r="P580" s="678" t="n"/>
      <c r="Q580" s="678" t="n"/>
      <c r="R580" s="679" t="n"/>
    </row>
    <row r="581" ht="15.75" customHeight="1" s="557">
      <c r="A581" s="719" t="n"/>
      <c r="B581" s="678" t="n"/>
      <c r="C581" s="679" t="n"/>
      <c r="D581" s="720" t="n"/>
      <c r="E581" s="727" t="n"/>
      <c r="F581" s="570" t="n"/>
      <c r="G581" s="570" t="n"/>
      <c r="H581" s="570" t="n"/>
      <c r="I581" s="570" t="n"/>
      <c r="J581" s="570" t="n"/>
      <c r="K581" s="570" t="n"/>
      <c r="L581" s="570" t="n"/>
      <c r="M581" s="570" t="n"/>
      <c r="N581" s="570" t="n"/>
      <c r="O581" s="570" t="n"/>
      <c r="P581" s="570" t="n"/>
      <c r="Q581" s="570" t="n"/>
      <c r="R581" s="567" t="n"/>
    </row>
    <row r="582" ht="15.75" customHeight="1" s="557">
      <c r="A582" s="719" t="n"/>
      <c r="B582" s="678" t="n"/>
      <c r="C582" s="679" t="n"/>
      <c r="D582" s="720" t="n"/>
      <c r="E582" s="723" t="n"/>
      <c r="F582" s="570" t="n"/>
      <c r="G582" s="570" t="n"/>
      <c r="H582" s="570" t="n"/>
      <c r="I582" s="570" t="n"/>
      <c r="J582" s="570" t="n"/>
      <c r="K582" s="570" t="n"/>
      <c r="L582" s="570" t="n"/>
      <c r="M582" s="570" t="n"/>
      <c r="N582" s="570" t="n"/>
      <c r="O582" s="570" t="n"/>
      <c r="P582" s="570" t="n"/>
      <c r="Q582" s="570" t="n"/>
      <c r="R582" s="567" t="n"/>
    </row>
    <row r="583" ht="15.75" customHeight="1" s="557">
      <c r="A583" s="719" t="n"/>
      <c r="B583" s="678" t="n"/>
      <c r="C583" s="679" t="n"/>
      <c r="D583" s="734" t="n"/>
      <c r="E583" s="727" t="n"/>
      <c r="F583" s="570" t="n"/>
      <c r="G583" s="570" t="n"/>
      <c r="H583" s="570" t="n"/>
      <c r="I583" s="570" t="n"/>
      <c r="J583" s="570" t="n"/>
      <c r="K583" s="570" t="n"/>
      <c r="L583" s="570" t="n"/>
      <c r="M583" s="570" t="n"/>
      <c r="N583" s="570" t="n"/>
      <c r="O583" s="570" t="n"/>
      <c r="P583" s="570" t="n"/>
      <c r="Q583" s="570" t="n"/>
      <c r="R583" s="567" t="n"/>
    </row>
    <row r="584" ht="15.75" customHeight="1" s="557">
      <c r="A584" s="719" t="n"/>
      <c r="B584" s="678" t="n"/>
      <c r="C584" s="679" t="n"/>
      <c r="D584" s="720" t="n"/>
      <c r="E584" s="727" t="n"/>
      <c r="F584" s="570" t="n"/>
      <c r="G584" s="570" t="n"/>
      <c r="H584" s="570" t="n"/>
      <c r="I584" s="570" t="n"/>
      <c r="J584" s="570" t="n"/>
      <c r="K584" s="570" t="n"/>
      <c r="L584" s="570" t="n"/>
      <c r="M584" s="570" t="n"/>
      <c r="N584" s="570" t="n"/>
      <c r="O584" s="570" t="n"/>
      <c r="P584" s="570" t="n"/>
      <c r="Q584" s="570" t="n"/>
      <c r="R584" s="567" t="n"/>
    </row>
    <row r="585" ht="15.75" customHeight="1" s="557">
      <c r="A585" s="719" t="n"/>
      <c r="B585" s="678" t="n"/>
      <c r="C585" s="679" t="n"/>
      <c r="D585" s="720" t="n"/>
      <c r="E585" s="727" t="n"/>
      <c r="F585" s="570" t="n"/>
      <c r="G585" s="570" t="n"/>
      <c r="H585" s="570" t="n"/>
      <c r="I585" s="570" t="n"/>
      <c r="J585" s="570" t="n"/>
      <c r="K585" s="570" t="n"/>
      <c r="L585" s="570" t="n"/>
      <c r="M585" s="570" t="n"/>
      <c r="N585" s="570" t="n"/>
      <c r="O585" s="570" t="n"/>
      <c r="P585" s="570" t="n"/>
      <c r="Q585" s="570" t="n"/>
      <c r="R585" s="567" t="n"/>
    </row>
    <row r="586" ht="15.75" customHeight="1" s="557">
      <c r="A586" s="719" t="n"/>
      <c r="B586" s="678" t="n"/>
      <c r="C586" s="679" t="n"/>
      <c r="D586" s="720" t="n"/>
      <c r="E586" s="727" t="n"/>
      <c r="F586" s="570" t="n"/>
      <c r="G586" s="570" t="n"/>
      <c r="H586" s="570" t="n"/>
      <c r="I586" s="570" t="n"/>
      <c r="J586" s="570" t="n"/>
      <c r="K586" s="570" t="n"/>
      <c r="L586" s="570" t="n"/>
      <c r="M586" s="570" t="n"/>
      <c r="N586" s="570" t="n"/>
      <c r="O586" s="570" t="n"/>
      <c r="P586" s="570" t="n"/>
      <c r="Q586" s="570" t="n"/>
      <c r="R586" s="567" t="n"/>
    </row>
    <row r="587" ht="15.75" customHeight="1" s="557">
      <c r="A587" s="719" t="n"/>
      <c r="B587" s="678" t="n"/>
      <c r="C587" s="679" t="n"/>
      <c r="D587" s="720" t="n"/>
      <c r="E587" s="727" t="n"/>
      <c r="F587" s="570" t="n"/>
      <c r="G587" s="570" t="n"/>
      <c r="H587" s="570" t="n"/>
      <c r="I587" s="570" t="n"/>
      <c r="J587" s="570" t="n"/>
      <c r="K587" s="570" t="n"/>
      <c r="L587" s="570" t="n"/>
      <c r="M587" s="570" t="n"/>
      <c r="N587" s="570" t="n"/>
      <c r="O587" s="570" t="n"/>
      <c r="P587" s="570" t="n"/>
      <c r="Q587" s="570" t="n"/>
      <c r="R587" s="567" t="n"/>
    </row>
    <row r="588" ht="15.75" customHeight="1" s="557">
      <c r="A588" s="719" t="n"/>
      <c r="B588" s="678" t="n"/>
      <c r="C588" s="679" t="n"/>
      <c r="D588" s="720" t="n"/>
      <c r="E588" s="721" t="n"/>
      <c r="F588" s="570" t="n"/>
      <c r="G588" s="570" t="n"/>
      <c r="H588" s="570" t="n"/>
      <c r="I588" s="570" t="n"/>
      <c r="J588" s="570" t="n"/>
      <c r="K588" s="570" t="n"/>
      <c r="L588" s="570" t="n"/>
      <c r="M588" s="570" t="n"/>
      <c r="N588" s="570" t="n"/>
      <c r="O588" s="570" t="n"/>
      <c r="P588" s="570" t="n"/>
      <c r="Q588" s="570" t="n"/>
      <c r="R588" s="567" t="n"/>
    </row>
    <row r="589" ht="15.75" customHeight="1" s="557">
      <c r="A589" s="719" t="n"/>
      <c r="B589" s="678" t="n"/>
      <c r="C589" s="679" t="n"/>
      <c r="D589" s="720" t="n"/>
      <c r="E589" s="722" t="n"/>
      <c r="F589" s="570" t="n"/>
      <c r="G589" s="570" t="n"/>
      <c r="H589" s="570" t="n"/>
      <c r="I589" s="570" t="n"/>
      <c r="J589" s="570" t="n"/>
      <c r="K589" s="570" t="n"/>
      <c r="L589" s="570" t="n"/>
      <c r="M589" s="570" t="n"/>
      <c r="N589" s="570" t="n"/>
      <c r="O589" s="570" t="n"/>
      <c r="P589" s="570" t="n"/>
      <c r="Q589" s="570" t="n"/>
      <c r="R589" s="567" t="n"/>
    </row>
    <row r="590" ht="15.75" customHeight="1" s="557">
      <c r="A590" s="719" t="n"/>
      <c r="B590" s="678" t="n"/>
      <c r="C590" s="679" t="n"/>
      <c r="D590" s="720" t="n"/>
      <c r="E590" s="723" t="n"/>
      <c r="F590" s="570" t="n"/>
      <c r="G590" s="570" t="n"/>
      <c r="H590" s="570" t="n"/>
      <c r="I590" s="570" t="n"/>
      <c r="J590" s="570" t="n"/>
      <c r="K590" s="570" t="n"/>
      <c r="L590" s="570" t="n"/>
      <c r="M590" s="570" t="n"/>
      <c r="N590" s="570" t="n"/>
      <c r="O590" s="570" t="n"/>
      <c r="P590" s="570" t="n"/>
      <c r="Q590" s="570" t="n"/>
      <c r="R590" s="567" t="n"/>
    </row>
    <row r="591" ht="15.75" customHeight="1" s="557">
      <c r="A591" s="719" t="n"/>
      <c r="B591" s="678" t="n"/>
      <c r="C591" s="679" t="n"/>
      <c r="D591" s="720" t="n"/>
      <c r="E591" s="723" t="n"/>
      <c r="F591" s="570" t="n"/>
      <c r="G591" s="570" t="n"/>
      <c r="H591" s="570" t="n"/>
      <c r="I591" s="570" t="n"/>
      <c r="J591" s="570" t="n"/>
      <c r="K591" s="570" t="n"/>
      <c r="L591" s="570" t="n"/>
      <c r="M591" s="570" t="n"/>
      <c r="N591" s="570" t="n"/>
      <c r="O591" s="570" t="n"/>
      <c r="P591" s="570" t="n"/>
      <c r="Q591" s="570" t="n"/>
      <c r="R591" s="567" t="n"/>
    </row>
    <row r="592" ht="15.75" customHeight="1" s="557">
      <c r="A592" s="719" t="n"/>
      <c r="B592" s="678" t="n"/>
      <c r="C592" s="679" t="n"/>
      <c r="D592" s="720" t="n"/>
      <c r="E592" s="722" t="n"/>
      <c r="F592" s="570" t="n"/>
      <c r="G592" s="570" t="n"/>
      <c r="H592" s="570" t="n"/>
      <c r="I592" s="570" t="n"/>
      <c r="J592" s="570" t="n"/>
      <c r="K592" s="570" t="n"/>
      <c r="L592" s="570" t="n"/>
      <c r="M592" s="570" t="n"/>
      <c r="N592" s="570" t="n"/>
      <c r="O592" s="570" t="n"/>
      <c r="P592" s="570" t="n"/>
      <c r="Q592" s="570" t="n"/>
      <c r="R592" s="567" t="n"/>
    </row>
    <row r="593" ht="15.75" customHeight="1" s="557">
      <c r="A593" s="719" t="n"/>
      <c r="B593" s="678" t="n"/>
      <c r="C593" s="679" t="n"/>
      <c r="D593" s="720" t="n"/>
      <c r="E593" s="724" t="n"/>
      <c r="F593" s="570" t="n"/>
      <c r="G593" s="570" t="n"/>
      <c r="H593" s="570" t="n"/>
      <c r="I593" s="570" t="n"/>
      <c r="J593" s="570" t="n"/>
      <c r="K593" s="570" t="n"/>
      <c r="L593" s="570" t="n"/>
      <c r="M593" s="570" t="n"/>
      <c r="N593" s="570" t="n"/>
      <c r="O593" s="570" t="n"/>
      <c r="P593" s="570" t="n"/>
      <c r="Q593" s="570" t="n"/>
      <c r="R593" s="567" t="n"/>
    </row>
    <row r="594" ht="15.75" customHeight="1" s="557">
      <c r="A594" s="719" t="n"/>
      <c r="B594" s="678" t="n"/>
      <c r="C594" s="679" t="n"/>
      <c r="D594" s="720" t="n"/>
      <c r="E594" s="722" t="n"/>
      <c r="F594" s="570" t="n"/>
      <c r="G594" s="570" t="n"/>
      <c r="H594" s="570" t="n"/>
      <c r="I594" s="570" t="n"/>
      <c r="J594" s="570" t="n"/>
      <c r="K594" s="570" t="n"/>
      <c r="L594" s="570" t="n"/>
      <c r="M594" s="570" t="n"/>
      <c r="N594" s="570" t="n"/>
      <c r="O594" s="570" t="n"/>
      <c r="P594" s="570" t="n"/>
      <c r="Q594" s="570" t="n"/>
      <c r="R594" s="567" t="n"/>
    </row>
    <row r="595" ht="15.75" customHeight="1" s="557">
      <c r="A595" s="719" t="n"/>
      <c r="B595" s="678" t="n"/>
      <c r="C595" s="679" t="n"/>
      <c r="D595" s="720" t="n"/>
      <c r="E595" s="724" t="n"/>
      <c r="F595" s="570" t="n"/>
      <c r="G595" s="570" t="n"/>
      <c r="H595" s="570" t="n"/>
      <c r="I595" s="570" t="n"/>
      <c r="J595" s="570" t="n"/>
      <c r="K595" s="570" t="n"/>
      <c r="L595" s="570" t="n"/>
      <c r="M595" s="570" t="n"/>
      <c r="N595" s="570" t="n"/>
      <c r="O595" s="570" t="n"/>
      <c r="P595" s="570" t="n"/>
      <c r="Q595" s="570" t="n"/>
      <c r="R595" s="567" t="n"/>
    </row>
    <row r="596" ht="15.75" customHeight="1" s="557">
      <c r="A596" s="719" t="n"/>
      <c r="B596" s="678" t="n"/>
      <c r="C596" s="679" t="n"/>
      <c r="D596" s="720" t="n"/>
      <c r="E596" s="722" t="n"/>
      <c r="F596" s="570" t="n"/>
      <c r="G596" s="570" t="n"/>
      <c r="H596" s="570" t="n"/>
      <c r="I596" s="570" t="n"/>
      <c r="J596" s="570" t="n"/>
      <c r="K596" s="570" t="n"/>
      <c r="L596" s="570" t="n"/>
      <c r="M596" s="570" t="n"/>
      <c r="N596" s="570" t="n"/>
      <c r="O596" s="570" t="n"/>
      <c r="P596" s="570" t="n"/>
      <c r="Q596" s="570" t="n"/>
      <c r="R596" s="567" t="n"/>
    </row>
    <row r="597" ht="15.75" customHeight="1" s="557">
      <c r="A597" s="719" t="n"/>
      <c r="B597" s="678" t="n"/>
      <c r="C597" s="679" t="n"/>
      <c r="D597" s="720" t="n"/>
      <c r="E597" s="725" t="n"/>
      <c r="F597" s="570" t="n"/>
      <c r="G597" s="570" t="n"/>
      <c r="H597" s="570" t="n"/>
      <c r="I597" s="570" t="n"/>
      <c r="J597" s="570" t="n"/>
      <c r="K597" s="570" t="n"/>
      <c r="L597" s="570" t="n"/>
      <c r="M597" s="570" t="n"/>
      <c r="N597" s="570" t="n"/>
      <c r="O597" s="570" t="n"/>
      <c r="P597" s="570" t="n"/>
      <c r="Q597" s="570" t="n"/>
      <c r="R597" s="567" t="n"/>
    </row>
    <row r="598" ht="15.75" customHeight="1" s="557">
      <c r="A598" s="719" t="n"/>
      <c r="B598" s="678" t="n"/>
      <c r="C598" s="679" t="n"/>
      <c r="D598" s="720" t="n"/>
      <c r="E598" s="726" t="n"/>
      <c r="F598" s="570" t="n"/>
      <c r="G598" s="570" t="n"/>
      <c r="H598" s="570" t="n"/>
      <c r="I598" s="570" t="n"/>
      <c r="J598" s="570" t="n"/>
      <c r="K598" s="570" t="n"/>
      <c r="L598" s="570" t="n"/>
      <c r="M598" s="570" t="n"/>
      <c r="N598" s="570" t="n"/>
      <c r="O598" s="570" t="n"/>
      <c r="P598" s="570" t="n"/>
      <c r="Q598" s="570" t="n"/>
      <c r="R598" s="567" t="n"/>
    </row>
    <row r="599" ht="15.75" customHeight="1" s="557">
      <c r="A599" s="719" t="n"/>
      <c r="B599" s="678" t="n"/>
      <c r="C599" s="679" t="n"/>
      <c r="D599" s="720" t="n"/>
      <c r="E599" s="723" t="n"/>
      <c r="F599" s="570" t="n"/>
      <c r="G599" s="570" t="n"/>
      <c r="H599" s="570" t="n"/>
      <c r="I599" s="570" t="n"/>
      <c r="J599" s="570" t="n"/>
      <c r="K599" s="570" t="n"/>
      <c r="L599" s="570" t="n"/>
      <c r="M599" s="570" t="n"/>
      <c r="N599" s="570" t="n"/>
      <c r="O599" s="570" t="n"/>
      <c r="P599" s="570" t="n"/>
      <c r="Q599" s="570" t="n"/>
      <c r="R599" s="567" t="n"/>
    </row>
    <row r="600" ht="15.75" customHeight="1" s="557">
      <c r="A600" s="719" t="n"/>
      <c r="B600" s="678" t="n"/>
      <c r="C600" s="679" t="n"/>
      <c r="D600" s="720" t="n"/>
      <c r="E600" s="724" t="n"/>
      <c r="F600" s="570" t="n"/>
      <c r="G600" s="570" t="n"/>
      <c r="H600" s="570" t="n"/>
      <c r="I600" s="570" t="n"/>
      <c r="J600" s="570" t="n"/>
      <c r="K600" s="570" t="n"/>
      <c r="L600" s="570" t="n"/>
      <c r="M600" s="570" t="n"/>
      <c r="N600" s="570" t="n"/>
      <c r="O600" s="570" t="n"/>
      <c r="P600" s="570" t="n"/>
      <c r="Q600" s="570" t="n"/>
      <c r="R600" s="567" t="n"/>
    </row>
    <row r="601" ht="15.75" customHeight="1" s="557">
      <c r="A601" s="719" t="n"/>
      <c r="B601" s="678" t="n"/>
      <c r="C601" s="679" t="n"/>
      <c r="D601" s="720" t="n"/>
      <c r="E601" s="722" t="n"/>
      <c r="F601" s="570" t="n"/>
      <c r="G601" s="570" t="n"/>
      <c r="H601" s="570" t="n"/>
      <c r="I601" s="570" t="n"/>
      <c r="J601" s="570" t="n"/>
      <c r="K601" s="570" t="n"/>
      <c r="L601" s="570" t="n"/>
      <c r="M601" s="570" t="n"/>
      <c r="N601" s="570" t="n"/>
      <c r="O601" s="570" t="n"/>
      <c r="P601" s="570" t="n"/>
      <c r="Q601" s="570" t="n"/>
      <c r="R601" s="567" t="n"/>
    </row>
    <row r="602" ht="15.75" customHeight="1" s="557">
      <c r="A602" s="719" t="n"/>
      <c r="B602" s="678" t="n"/>
      <c r="C602" s="679" t="n"/>
      <c r="D602" s="720" t="n"/>
      <c r="E602" s="725" t="n"/>
      <c r="F602" s="570" t="n"/>
      <c r="G602" s="570" t="n"/>
      <c r="H602" s="570" t="n"/>
      <c r="I602" s="570" t="n"/>
      <c r="J602" s="570" t="n"/>
      <c r="K602" s="570" t="n"/>
      <c r="L602" s="570" t="n"/>
      <c r="M602" s="570" t="n"/>
      <c r="N602" s="570" t="n"/>
      <c r="O602" s="570" t="n"/>
      <c r="P602" s="570" t="n"/>
      <c r="Q602" s="570" t="n"/>
      <c r="R602" s="567" t="n"/>
    </row>
    <row r="603" ht="15.75" customHeight="1" s="557">
      <c r="A603" s="719" t="n"/>
      <c r="B603" s="678" t="n"/>
      <c r="C603" s="679" t="n"/>
      <c r="D603" s="720" t="n"/>
      <c r="E603" s="722" t="n"/>
      <c r="F603" s="570" t="n"/>
      <c r="G603" s="570" t="n"/>
      <c r="H603" s="570" t="n"/>
      <c r="I603" s="570" t="n"/>
      <c r="J603" s="570" t="n"/>
      <c r="K603" s="570" t="n"/>
      <c r="L603" s="570" t="n"/>
      <c r="M603" s="570" t="n"/>
      <c r="N603" s="570" t="n"/>
      <c r="O603" s="570" t="n"/>
      <c r="P603" s="570" t="n"/>
      <c r="Q603" s="570" t="n"/>
      <c r="R603" s="567" t="n"/>
    </row>
    <row r="604" ht="15.75" customHeight="1" s="557">
      <c r="A604" s="719" t="n"/>
      <c r="B604" s="678" t="n"/>
      <c r="C604" s="679" t="n"/>
      <c r="D604" s="720" t="n"/>
      <c r="E604" s="722" t="n"/>
      <c r="F604" s="570" t="n"/>
      <c r="G604" s="570" t="n"/>
      <c r="H604" s="570" t="n"/>
      <c r="I604" s="570" t="n"/>
      <c r="J604" s="570" t="n"/>
      <c r="K604" s="570" t="n"/>
      <c r="L604" s="570" t="n"/>
      <c r="M604" s="570" t="n"/>
      <c r="N604" s="570" t="n"/>
      <c r="O604" s="570" t="n"/>
      <c r="P604" s="570" t="n"/>
      <c r="Q604" s="570" t="n"/>
      <c r="R604" s="567" t="n"/>
    </row>
    <row r="605" ht="15.75" customHeight="1" s="557">
      <c r="A605" s="719" t="n"/>
      <c r="B605" s="678" t="n"/>
      <c r="C605" s="679" t="n"/>
      <c r="D605" s="720" t="n"/>
      <c r="E605" s="723" t="n"/>
      <c r="F605" s="570" t="n"/>
      <c r="G605" s="570" t="n"/>
      <c r="H605" s="570" t="n"/>
      <c r="I605" s="570" t="n"/>
      <c r="J605" s="570" t="n"/>
      <c r="K605" s="570" t="n"/>
      <c r="L605" s="570" t="n"/>
      <c r="M605" s="570" t="n"/>
      <c r="N605" s="570" t="n"/>
      <c r="O605" s="570" t="n"/>
      <c r="P605" s="570" t="n"/>
      <c r="Q605" s="570" t="n"/>
      <c r="R605" s="567" t="n"/>
    </row>
    <row r="606" ht="15.75" customHeight="1" s="557">
      <c r="A606" s="719" t="n"/>
      <c r="B606" s="678" t="n"/>
      <c r="C606" s="679" t="n"/>
      <c r="D606" s="720" t="n"/>
      <c r="E606" s="727" t="n"/>
      <c r="F606" s="570" t="n"/>
      <c r="G606" s="570" t="n"/>
      <c r="H606" s="570" t="n"/>
      <c r="I606" s="570" t="n"/>
      <c r="J606" s="570" t="n"/>
      <c r="K606" s="570" t="n"/>
      <c r="L606" s="570" t="n"/>
      <c r="M606" s="570" t="n"/>
      <c r="N606" s="570" t="n"/>
      <c r="O606" s="570" t="n"/>
      <c r="P606" s="570" t="n"/>
      <c r="Q606" s="570" t="n"/>
      <c r="R606" s="567" t="n"/>
    </row>
    <row r="607" ht="15.75" customHeight="1" s="557">
      <c r="A607" s="719" t="n"/>
      <c r="B607" s="678" t="n"/>
      <c r="C607" s="679" t="n"/>
      <c r="D607" s="720" t="n"/>
      <c r="E607" s="722" t="n"/>
      <c r="F607" s="570" t="n"/>
      <c r="G607" s="570" t="n"/>
      <c r="H607" s="570" t="n"/>
      <c r="I607" s="570" t="n"/>
      <c r="J607" s="570" t="n"/>
      <c r="K607" s="570" t="n"/>
      <c r="L607" s="570" t="n"/>
      <c r="M607" s="570" t="n"/>
      <c r="N607" s="570" t="n"/>
      <c r="O607" s="570" t="n"/>
      <c r="P607" s="570" t="n"/>
      <c r="Q607" s="570" t="n"/>
      <c r="R607" s="567" t="n"/>
    </row>
    <row r="608" ht="15.75" customHeight="1" s="557">
      <c r="A608" s="719" t="n"/>
      <c r="B608" s="678" t="n"/>
      <c r="C608" s="679" t="n"/>
      <c r="D608" s="720" t="n"/>
      <c r="E608" s="722" t="n"/>
      <c r="F608" s="570" t="n"/>
      <c r="G608" s="570" t="n"/>
      <c r="H608" s="570" t="n"/>
      <c r="I608" s="570" t="n"/>
      <c r="J608" s="570" t="n"/>
      <c r="K608" s="570" t="n"/>
      <c r="L608" s="570" t="n"/>
      <c r="M608" s="570" t="n"/>
      <c r="N608" s="570" t="n"/>
      <c r="O608" s="570" t="n"/>
      <c r="P608" s="570" t="n"/>
      <c r="Q608" s="570" t="n"/>
      <c r="R608" s="567" t="n"/>
    </row>
    <row r="609" ht="15.75" customHeight="1" s="557">
      <c r="A609" s="719" t="n"/>
      <c r="B609" s="678" t="n"/>
      <c r="C609" s="679" t="n"/>
      <c r="D609" s="720" t="n"/>
      <c r="E609" s="722" t="n"/>
      <c r="F609" s="570" t="n"/>
      <c r="G609" s="570" t="n"/>
      <c r="H609" s="570" t="n"/>
      <c r="I609" s="570" t="n"/>
      <c r="J609" s="570" t="n"/>
      <c r="K609" s="570" t="n"/>
      <c r="L609" s="570" t="n"/>
      <c r="M609" s="570" t="n"/>
      <c r="N609" s="570" t="n"/>
      <c r="O609" s="570" t="n"/>
      <c r="P609" s="570" t="n"/>
      <c r="Q609" s="570" t="n"/>
      <c r="R609" s="567" t="n"/>
    </row>
    <row r="610" ht="15.75" customHeight="1" s="557">
      <c r="A610" s="719" t="n"/>
      <c r="B610" s="678" t="n"/>
      <c r="C610" s="679" t="n"/>
      <c r="D610" s="720" t="n"/>
      <c r="E610" s="728" t="n"/>
      <c r="F610" s="678" t="n"/>
      <c r="G610" s="678" t="n"/>
      <c r="H610" s="678" t="n"/>
      <c r="I610" s="678" t="n"/>
      <c r="J610" s="678" t="n"/>
      <c r="K610" s="678" t="n"/>
      <c r="L610" s="678" t="n"/>
      <c r="M610" s="678" t="n"/>
      <c r="N610" s="678" t="n"/>
      <c r="O610" s="678" t="n"/>
      <c r="P610" s="678" t="n"/>
      <c r="Q610" s="678" t="n"/>
      <c r="R610" s="679" t="n"/>
    </row>
    <row r="611" ht="15.75" customHeight="1" s="557">
      <c r="A611" s="719" t="n"/>
      <c r="B611" s="678" t="n"/>
      <c r="C611" s="679" t="n"/>
      <c r="D611" s="720" t="n"/>
      <c r="E611" s="728" t="n"/>
      <c r="F611" s="678" t="n"/>
      <c r="G611" s="678" t="n"/>
      <c r="H611" s="678" t="n"/>
      <c r="I611" s="678" t="n"/>
      <c r="J611" s="678" t="n"/>
      <c r="K611" s="678" t="n"/>
      <c r="L611" s="678" t="n"/>
      <c r="M611" s="678" t="n"/>
      <c r="N611" s="678" t="n"/>
      <c r="O611" s="678" t="n"/>
      <c r="P611" s="678" t="n"/>
      <c r="Q611" s="678" t="n"/>
      <c r="R611" s="679" t="n"/>
    </row>
    <row r="612" ht="15.75" customHeight="1" s="557">
      <c r="A612" s="719" t="n"/>
      <c r="B612" s="678" t="n"/>
      <c r="C612" s="679" t="n"/>
      <c r="D612" s="729" t="n"/>
      <c r="E612" s="728" t="n"/>
      <c r="F612" s="678" t="n"/>
      <c r="G612" s="678" t="n"/>
      <c r="H612" s="678" t="n"/>
      <c r="I612" s="678" t="n"/>
      <c r="J612" s="678" t="n"/>
      <c r="K612" s="678" t="n"/>
      <c r="L612" s="678" t="n"/>
      <c r="M612" s="678" t="n"/>
      <c r="N612" s="678" t="n"/>
      <c r="O612" s="678" t="n"/>
      <c r="P612" s="678" t="n"/>
      <c r="Q612" s="678" t="n"/>
      <c r="R612" s="679" t="n"/>
    </row>
    <row r="613" ht="15.75" customHeight="1" s="557">
      <c r="A613" s="719" t="n"/>
      <c r="B613" s="678" t="n"/>
      <c r="C613" s="679" t="n"/>
      <c r="D613" s="729" t="n"/>
      <c r="E613" s="728" t="n"/>
      <c r="F613" s="678" t="n"/>
      <c r="G613" s="678" t="n"/>
      <c r="H613" s="678" t="n"/>
      <c r="I613" s="678" t="n"/>
      <c r="J613" s="678" t="n"/>
      <c r="K613" s="678" t="n"/>
      <c r="L613" s="678" t="n"/>
      <c r="M613" s="678" t="n"/>
      <c r="N613" s="678" t="n"/>
      <c r="O613" s="678" t="n"/>
      <c r="P613" s="678" t="n"/>
      <c r="Q613" s="678" t="n"/>
      <c r="R613" s="679" t="n"/>
    </row>
    <row r="614" ht="15.75" customHeight="1" s="557">
      <c r="A614" s="684" t="n"/>
      <c r="B614" s="570" t="n"/>
      <c r="C614" s="567" t="n"/>
      <c r="D614" s="689" t="n"/>
      <c r="E614" s="686" t="n"/>
      <c r="F614" s="570" t="n"/>
      <c r="G614" s="570" t="n"/>
      <c r="H614" s="570" t="n"/>
      <c r="I614" s="570" t="n"/>
      <c r="J614" s="570" t="n"/>
      <c r="K614" s="570" t="n"/>
      <c r="L614" s="570" t="n"/>
      <c r="M614" s="570" t="n"/>
      <c r="N614" s="570" t="n"/>
      <c r="O614" s="567" t="n"/>
      <c r="P614" s="687" t="n"/>
      <c r="Q614" s="687" t="n"/>
      <c r="R614" s="687" t="n"/>
    </row>
    <row r="615" ht="15.75" customHeight="1" s="557">
      <c r="A615" s="690" t="n"/>
      <c r="B615" s="570" t="n"/>
      <c r="C615" s="567" t="n"/>
      <c r="D615" s="730" t="n"/>
      <c r="E615" s="686" t="n"/>
      <c r="F615" s="570" t="n"/>
      <c r="G615" s="570" t="n"/>
      <c r="H615" s="570" t="n"/>
      <c r="I615" s="570" t="n"/>
      <c r="J615" s="570" t="n"/>
      <c r="K615" s="570" t="n"/>
      <c r="L615" s="570" t="n"/>
      <c r="M615" s="570" t="n"/>
      <c r="N615" s="570" t="n"/>
      <c r="O615" s="567" t="n"/>
      <c r="P615" s="687" t="n"/>
      <c r="Q615" s="687" t="n"/>
      <c r="R615" s="687" t="n"/>
    </row>
    <row r="616" ht="15.75" customFormat="1" customHeight="1" s="696">
      <c r="A616" s="684" t="n"/>
      <c r="B616" s="570" t="n"/>
      <c r="C616" s="567" t="n"/>
      <c r="D616" s="689" t="n"/>
      <c r="E616" s="686" t="n"/>
      <c r="F616" s="570" t="n"/>
      <c r="G616" s="570" t="n"/>
      <c r="H616" s="570" t="n"/>
      <c r="I616" s="570" t="n"/>
      <c r="J616" s="570" t="n"/>
      <c r="K616" s="570" t="n"/>
      <c r="L616" s="570" t="n"/>
      <c r="M616" s="570" t="n"/>
      <c r="N616" s="570" t="n"/>
      <c r="O616" s="567" t="n"/>
      <c r="P616" s="687" t="n"/>
      <c r="Q616" s="687" t="n"/>
      <c r="R616" s="687" t="n"/>
    </row>
    <row r="617" ht="15.75" customHeight="1" s="557">
      <c r="A617" s="691" t="n"/>
      <c r="B617" s="570" t="n"/>
      <c r="C617" s="567" t="n"/>
      <c r="D617" s="689" t="n"/>
      <c r="E617" s="686" t="n"/>
      <c r="F617" s="570" t="n"/>
      <c r="G617" s="570" t="n"/>
      <c r="H617" s="570" t="n"/>
      <c r="I617" s="570" t="n"/>
      <c r="J617" s="570" t="n"/>
      <c r="K617" s="570" t="n"/>
      <c r="L617" s="570" t="n"/>
      <c r="M617" s="570" t="n"/>
      <c r="N617" s="570" t="n"/>
      <c r="O617" s="567" t="n"/>
      <c r="P617" s="687" t="n"/>
      <c r="Q617" s="687" t="n"/>
      <c r="R617" s="687" t="n"/>
    </row>
    <row r="618" ht="15.75" customHeight="1" s="557">
      <c r="A618" s="691" t="n"/>
      <c r="B618" s="570" t="n"/>
      <c r="C618" s="567" t="n"/>
      <c r="D618" s="689" t="n"/>
      <c r="E618" s="686" t="n"/>
      <c r="F618" s="570" t="n"/>
      <c r="G618" s="570" t="n"/>
      <c r="H618" s="570" t="n"/>
      <c r="I618" s="570" t="n"/>
      <c r="J618" s="570" t="n"/>
      <c r="K618" s="570" t="n"/>
      <c r="L618" s="570" t="n"/>
      <c r="M618" s="570" t="n"/>
      <c r="N618" s="570" t="n"/>
      <c r="O618" s="567" t="n"/>
      <c r="P618" s="687" t="n"/>
      <c r="Q618" s="687" t="n"/>
      <c r="R618" s="687" t="n"/>
    </row>
    <row r="619" ht="15.75" customHeight="1" s="557">
      <c r="A619" s="691" t="n"/>
      <c r="B619" s="570" t="n"/>
      <c r="C619" s="567" t="n"/>
      <c r="D619" s="689" t="n"/>
      <c r="E619" s="686" t="n"/>
      <c r="F619" s="570" t="n"/>
      <c r="G619" s="570" t="n"/>
      <c r="H619" s="570" t="n"/>
      <c r="I619" s="570" t="n"/>
      <c r="J619" s="570" t="n"/>
      <c r="K619" s="570" t="n"/>
      <c r="L619" s="570" t="n"/>
      <c r="M619" s="570" t="n"/>
      <c r="N619" s="570" t="n"/>
      <c r="O619" s="567" t="n"/>
      <c r="P619" s="687" t="n"/>
      <c r="Q619" s="687" t="n"/>
      <c r="R619" s="687" t="n"/>
    </row>
    <row r="620" ht="15.75" customHeight="1" s="557">
      <c r="A620" s="691" t="n"/>
      <c r="B620" s="570" t="n"/>
      <c r="C620" s="567" t="n"/>
      <c r="D620" s="689" t="n"/>
      <c r="E620" s="686" t="n"/>
      <c r="F620" s="570" t="n"/>
      <c r="G620" s="570" t="n"/>
      <c r="H620" s="570" t="n"/>
      <c r="I620" s="570" t="n"/>
      <c r="J620" s="570" t="n"/>
      <c r="K620" s="570" t="n"/>
      <c r="L620" s="570" t="n"/>
      <c r="M620" s="570" t="n"/>
      <c r="N620" s="570" t="n"/>
      <c r="O620" s="567" t="n"/>
      <c r="P620" s="687" t="n"/>
      <c r="Q620" s="687" t="n"/>
      <c r="R620" s="687" t="n"/>
    </row>
    <row r="621" ht="15.75" customHeight="1" s="557">
      <c r="A621" s="691" t="n"/>
      <c r="B621" s="570" t="n"/>
      <c r="C621" s="567" t="n"/>
      <c r="D621" s="689" t="n"/>
      <c r="E621" s="686" t="n"/>
      <c r="F621" s="570" t="n"/>
      <c r="G621" s="570" t="n"/>
      <c r="H621" s="570" t="n"/>
      <c r="I621" s="570" t="n"/>
      <c r="J621" s="570" t="n"/>
      <c r="K621" s="570" t="n"/>
      <c r="L621" s="570" t="n"/>
      <c r="M621" s="570" t="n"/>
      <c r="N621" s="570" t="n"/>
      <c r="O621" s="567" t="n"/>
      <c r="P621" s="687" t="n"/>
      <c r="Q621" s="687" t="n"/>
      <c r="R621" s="687" t="n"/>
    </row>
    <row r="622" ht="15.75" customHeight="1" s="557">
      <c r="A622" s="691" t="n"/>
      <c r="B622" s="570" t="n"/>
      <c r="C622" s="567" t="n"/>
      <c r="D622" s="689" t="n"/>
      <c r="E622" s="686" t="n"/>
      <c r="F622" s="570" t="n"/>
      <c r="G622" s="570" t="n"/>
      <c r="H622" s="570" t="n"/>
      <c r="I622" s="570" t="n"/>
      <c r="J622" s="570" t="n"/>
      <c r="K622" s="570" t="n"/>
      <c r="L622" s="570" t="n"/>
      <c r="M622" s="570" t="n"/>
      <c r="N622" s="570" t="n"/>
      <c r="O622" s="567" t="n"/>
      <c r="P622" s="687" t="n"/>
      <c r="Q622" s="687" t="n"/>
      <c r="R622" s="687" t="n"/>
    </row>
    <row r="623" ht="15.75" customHeight="1" s="557">
      <c r="A623" s="684" t="n"/>
      <c r="B623" s="570" t="n"/>
      <c r="C623" s="567" t="n"/>
      <c r="D623" s="689" t="n"/>
      <c r="E623" s="686" t="n"/>
      <c r="F623" s="570" t="n"/>
      <c r="G623" s="570" t="n"/>
      <c r="H623" s="570" t="n"/>
      <c r="I623" s="570" t="n"/>
      <c r="J623" s="570" t="n"/>
      <c r="K623" s="570" t="n"/>
      <c r="L623" s="570" t="n"/>
      <c r="M623" s="570" t="n"/>
      <c r="N623" s="570" t="n"/>
      <c r="O623" s="567" t="n"/>
      <c r="P623" s="687" t="n"/>
      <c r="Q623" s="687" t="n"/>
      <c r="R623" s="687" t="n"/>
    </row>
    <row r="624" ht="15.75" customHeight="1" s="557">
      <c r="A624" s="731" t="n"/>
      <c r="B624" s="570" t="n"/>
      <c r="C624" s="567" t="n"/>
      <c r="D624" s="689" t="n"/>
      <c r="E624" s="686" t="n"/>
      <c r="F624" s="570" t="n"/>
      <c r="G624" s="570" t="n"/>
      <c r="H624" s="570" t="n"/>
      <c r="I624" s="570" t="n"/>
      <c r="J624" s="570" t="n"/>
      <c r="K624" s="570" t="n"/>
      <c r="L624" s="570" t="n"/>
      <c r="M624" s="570" t="n"/>
      <c r="N624" s="570" t="n"/>
      <c r="O624" s="567" t="n"/>
      <c r="P624" s="687" t="n"/>
      <c r="Q624" s="687" t="n"/>
      <c r="R624" s="687" t="n"/>
    </row>
    <row r="625" ht="15.75" customHeight="1" s="557">
      <c r="A625" s="731" t="n"/>
      <c r="B625" s="570" t="n"/>
      <c r="C625" s="567" t="n"/>
      <c r="D625" s="689" t="n"/>
      <c r="E625" s="686" t="n"/>
      <c r="F625" s="570" t="n"/>
      <c r="G625" s="570" t="n"/>
      <c r="H625" s="570" t="n"/>
      <c r="I625" s="570" t="n"/>
      <c r="J625" s="570" t="n"/>
      <c r="K625" s="570" t="n"/>
      <c r="L625" s="570" t="n"/>
      <c r="M625" s="570" t="n"/>
      <c r="N625" s="570" t="n"/>
      <c r="O625" s="567" t="n"/>
      <c r="P625" s="732" t="n"/>
      <c r="Q625" s="732" t="n"/>
      <c r="R625" s="732" t="n"/>
    </row>
    <row r="626" ht="15.75" customHeight="1" s="557">
      <c r="A626" s="719" t="n"/>
      <c r="B626" s="678" t="n"/>
      <c r="C626" s="679" t="n"/>
      <c r="D626" s="720" t="n"/>
      <c r="E626" s="733" t="n"/>
      <c r="F626" s="678" t="n"/>
      <c r="G626" s="678" t="n"/>
      <c r="H626" s="678" t="n"/>
      <c r="I626" s="678" t="n"/>
      <c r="J626" s="678" t="n"/>
      <c r="K626" s="678" t="n"/>
      <c r="L626" s="678" t="n"/>
      <c r="M626" s="678" t="n"/>
      <c r="N626" s="678" t="n"/>
      <c r="O626" s="678" t="n"/>
      <c r="P626" s="678" t="n"/>
      <c r="Q626" s="678" t="n"/>
      <c r="R626" s="679" t="n"/>
    </row>
    <row r="627" ht="15.75" customHeight="1" s="557">
      <c r="A627" s="719" t="n"/>
      <c r="B627" s="678" t="n"/>
      <c r="C627" s="679" t="n"/>
      <c r="D627" s="720" t="n"/>
      <c r="E627" s="733" t="n"/>
      <c r="F627" s="678" t="n"/>
      <c r="G627" s="678" t="n"/>
      <c r="H627" s="678" t="n"/>
      <c r="I627" s="678" t="n"/>
      <c r="J627" s="678" t="n"/>
      <c r="K627" s="678" t="n"/>
      <c r="L627" s="678" t="n"/>
      <c r="M627" s="678" t="n"/>
      <c r="N627" s="678" t="n"/>
      <c r="O627" s="678" t="n"/>
      <c r="P627" s="678" t="n"/>
      <c r="Q627" s="678" t="n"/>
      <c r="R627" s="679" t="n"/>
    </row>
    <row r="628" ht="15.75" customHeight="1" s="557">
      <c r="A628" s="719" t="n"/>
      <c r="B628" s="678" t="n"/>
      <c r="C628" s="679" t="n"/>
      <c r="D628" s="720" t="n"/>
      <c r="E628" s="733" t="n"/>
      <c r="F628" s="678" t="n"/>
      <c r="G628" s="678" t="n"/>
      <c r="H628" s="678" t="n"/>
      <c r="I628" s="678" t="n"/>
      <c r="J628" s="678" t="n"/>
      <c r="K628" s="678" t="n"/>
      <c r="L628" s="678" t="n"/>
      <c r="M628" s="678" t="n"/>
      <c r="N628" s="678" t="n"/>
      <c r="O628" s="678" t="n"/>
      <c r="P628" s="678" t="n"/>
      <c r="Q628" s="678" t="n"/>
      <c r="R628" s="679" t="n"/>
    </row>
    <row r="629" ht="15.75" customHeight="1" s="557">
      <c r="A629" s="719" t="n"/>
      <c r="B629" s="678" t="n"/>
      <c r="C629" s="679" t="n"/>
      <c r="D629" s="720" t="n"/>
      <c r="E629" s="733" t="n"/>
      <c r="F629" s="678" t="n"/>
      <c r="G629" s="678" t="n"/>
      <c r="H629" s="678" t="n"/>
      <c r="I629" s="678" t="n"/>
      <c r="J629" s="678" t="n"/>
      <c r="K629" s="678" t="n"/>
      <c r="L629" s="678" t="n"/>
      <c r="M629" s="678" t="n"/>
      <c r="N629" s="678" t="n"/>
      <c r="O629" s="678" t="n"/>
      <c r="P629" s="678" t="n"/>
      <c r="Q629" s="678" t="n"/>
      <c r="R629" s="679" t="n"/>
    </row>
    <row r="630" ht="15.75" customHeight="1" s="557">
      <c r="A630" s="719" t="n"/>
      <c r="B630" s="678" t="n"/>
      <c r="C630" s="679" t="n"/>
      <c r="D630" s="720" t="n"/>
      <c r="E630" s="727" t="n"/>
      <c r="F630" s="570" t="n"/>
      <c r="G630" s="570" t="n"/>
      <c r="H630" s="570" t="n"/>
      <c r="I630" s="570" t="n"/>
      <c r="J630" s="570" t="n"/>
      <c r="K630" s="570" t="n"/>
      <c r="L630" s="570" t="n"/>
      <c r="M630" s="570" t="n"/>
      <c r="N630" s="570" t="n"/>
      <c r="O630" s="570" t="n"/>
      <c r="P630" s="570" t="n"/>
      <c r="Q630" s="570" t="n"/>
      <c r="R630" s="567" t="n"/>
    </row>
    <row r="631" ht="15.75" customHeight="1" s="557">
      <c r="A631" s="719" t="n"/>
      <c r="B631" s="678" t="n"/>
      <c r="C631" s="679" t="n"/>
      <c r="D631" s="720" t="n"/>
      <c r="E631" s="723" t="n"/>
      <c r="F631" s="570" t="n"/>
      <c r="G631" s="570" t="n"/>
      <c r="H631" s="570" t="n"/>
      <c r="I631" s="570" t="n"/>
      <c r="J631" s="570" t="n"/>
      <c r="K631" s="570" t="n"/>
      <c r="L631" s="570" t="n"/>
      <c r="M631" s="570" t="n"/>
      <c r="N631" s="570" t="n"/>
      <c r="O631" s="570" t="n"/>
      <c r="P631" s="570" t="n"/>
      <c r="Q631" s="570" t="n"/>
      <c r="R631" s="567" t="n"/>
    </row>
    <row r="632" ht="15.75" customHeight="1" s="557">
      <c r="A632" s="719" t="n"/>
      <c r="B632" s="678" t="n"/>
      <c r="C632" s="679" t="n"/>
      <c r="D632" s="734" t="n"/>
      <c r="E632" s="727" t="n"/>
      <c r="F632" s="570" t="n"/>
      <c r="G632" s="570" t="n"/>
      <c r="H632" s="570" t="n"/>
      <c r="I632" s="570" t="n"/>
      <c r="J632" s="570" t="n"/>
      <c r="K632" s="570" t="n"/>
      <c r="L632" s="570" t="n"/>
      <c r="M632" s="570" t="n"/>
      <c r="N632" s="570" t="n"/>
      <c r="O632" s="570" t="n"/>
      <c r="P632" s="570" t="n"/>
      <c r="Q632" s="570" t="n"/>
      <c r="R632" s="567" t="n"/>
    </row>
    <row r="633" ht="15.75" customHeight="1" s="557">
      <c r="A633" s="719" t="n"/>
      <c r="B633" s="678" t="n"/>
      <c r="C633" s="679" t="n"/>
      <c r="D633" s="720" t="n"/>
      <c r="E633" s="727" t="n"/>
      <c r="F633" s="570" t="n"/>
      <c r="G633" s="570" t="n"/>
      <c r="H633" s="570" t="n"/>
      <c r="I633" s="570" t="n"/>
      <c r="J633" s="570" t="n"/>
      <c r="K633" s="570" t="n"/>
      <c r="L633" s="570" t="n"/>
      <c r="M633" s="570" t="n"/>
      <c r="N633" s="570" t="n"/>
      <c r="O633" s="570" t="n"/>
      <c r="P633" s="570" t="n"/>
      <c r="Q633" s="570" t="n"/>
      <c r="R633" s="567" t="n"/>
    </row>
    <row r="634" ht="15.75" customHeight="1" s="557">
      <c r="A634" s="719" t="n"/>
      <c r="B634" s="678" t="n"/>
      <c r="C634" s="679" t="n"/>
      <c r="D634" s="720" t="n"/>
      <c r="E634" s="727" t="n"/>
      <c r="F634" s="570" t="n"/>
      <c r="G634" s="570" t="n"/>
      <c r="H634" s="570" t="n"/>
      <c r="I634" s="570" t="n"/>
      <c r="J634" s="570" t="n"/>
      <c r="K634" s="570" t="n"/>
      <c r="L634" s="570" t="n"/>
      <c r="M634" s="570" t="n"/>
      <c r="N634" s="570" t="n"/>
      <c r="O634" s="570" t="n"/>
      <c r="P634" s="570" t="n"/>
      <c r="Q634" s="570" t="n"/>
      <c r="R634" s="567" t="n"/>
    </row>
    <row r="635" ht="15.75" customHeight="1" s="557">
      <c r="A635" s="719" t="n"/>
      <c r="B635" s="678" t="n"/>
      <c r="C635" s="679" t="n"/>
      <c r="D635" s="720" t="n"/>
      <c r="E635" s="727" t="n"/>
      <c r="F635" s="570" t="n"/>
      <c r="G635" s="570" t="n"/>
      <c r="H635" s="570" t="n"/>
      <c r="I635" s="570" t="n"/>
      <c r="J635" s="570" t="n"/>
      <c r="K635" s="570" t="n"/>
      <c r="L635" s="570" t="n"/>
      <c r="M635" s="570" t="n"/>
      <c r="N635" s="570" t="n"/>
      <c r="O635" s="570" t="n"/>
      <c r="P635" s="570" t="n"/>
      <c r="Q635" s="570" t="n"/>
      <c r="R635" s="567" t="n"/>
    </row>
    <row r="636" ht="15.75" customHeight="1" s="557">
      <c r="A636" s="719" t="n"/>
      <c r="B636" s="678" t="n"/>
      <c r="C636" s="679" t="n"/>
      <c r="D636" s="720" t="n"/>
      <c r="E636" s="727" t="n"/>
      <c r="F636" s="570" t="n"/>
      <c r="G636" s="570" t="n"/>
      <c r="H636" s="570" t="n"/>
      <c r="I636" s="570" t="n"/>
      <c r="J636" s="570" t="n"/>
      <c r="K636" s="570" t="n"/>
      <c r="L636" s="570" t="n"/>
      <c r="M636" s="570" t="n"/>
      <c r="N636" s="570" t="n"/>
      <c r="O636" s="570" t="n"/>
      <c r="P636" s="570" t="n"/>
      <c r="Q636" s="570" t="n"/>
      <c r="R636" s="567" t="n"/>
    </row>
    <row r="637" ht="15.75" customHeight="1" s="557">
      <c r="A637" s="719" t="n"/>
      <c r="B637" s="678" t="n"/>
      <c r="C637" s="679" t="n"/>
      <c r="D637" s="720" t="n"/>
      <c r="E637" s="721" t="n"/>
      <c r="F637" s="570" t="n"/>
      <c r="G637" s="570" t="n"/>
      <c r="H637" s="570" t="n"/>
      <c r="I637" s="570" t="n"/>
      <c r="J637" s="570" t="n"/>
      <c r="K637" s="570" t="n"/>
      <c r="L637" s="570" t="n"/>
      <c r="M637" s="570" t="n"/>
      <c r="N637" s="570" t="n"/>
      <c r="O637" s="570" t="n"/>
      <c r="P637" s="570" t="n"/>
      <c r="Q637" s="570" t="n"/>
      <c r="R637" s="567" t="n"/>
    </row>
    <row r="638" ht="15.75" customHeight="1" s="557">
      <c r="A638" s="719" t="n"/>
      <c r="B638" s="678" t="n"/>
      <c r="C638" s="679" t="n"/>
      <c r="D638" s="720" t="n"/>
      <c r="E638" s="722" t="n"/>
      <c r="F638" s="570" t="n"/>
      <c r="G638" s="570" t="n"/>
      <c r="H638" s="570" t="n"/>
      <c r="I638" s="570" t="n"/>
      <c r="J638" s="570" t="n"/>
      <c r="K638" s="570" t="n"/>
      <c r="L638" s="570" t="n"/>
      <c r="M638" s="570" t="n"/>
      <c r="N638" s="570" t="n"/>
      <c r="O638" s="570" t="n"/>
      <c r="P638" s="570" t="n"/>
      <c r="Q638" s="570" t="n"/>
      <c r="R638" s="567" t="n"/>
    </row>
    <row r="639" ht="15.75" customHeight="1" s="557">
      <c r="A639" s="719" t="n"/>
      <c r="B639" s="678" t="n"/>
      <c r="C639" s="679" t="n"/>
      <c r="D639" s="720" t="n"/>
      <c r="E639" s="723" t="n"/>
      <c r="F639" s="570" t="n"/>
      <c r="G639" s="570" t="n"/>
      <c r="H639" s="570" t="n"/>
      <c r="I639" s="570" t="n"/>
      <c r="J639" s="570" t="n"/>
      <c r="K639" s="570" t="n"/>
      <c r="L639" s="570" t="n"/>
      <c r="M639" s="570" t="n"/>
      <c r="N639" s="570" t="n"/>
      <c r="O639" s="570" t="n"/>
      <c r="P639" s="570" t="n"/>
      <c r="Q639" s="570" t="n"/>
      <c r="R639" s="567" t="n"/>
    </row>
    <row r="640" ht="15.75" customHeight="1" s="557">
      <c r="A640" s="719" t="n"/>
      <c r="B640" s="678" t="n"/>
      <c r="C640" s="679" t="n"/>
      <c r="D640" s="720" t="n"/>
      <c r="E640" s="723" t="n"/>
      <c r="F640" s="570" t="n"/>
      <c r="G640" s="570" t="n"/>
      <c r="H640" s="570" t="n"/>
      <c r="I640" s="570" t="n"/>
      <c r="J640" s="570" t="n"/>
      <c r="K640" s="570" t="n"/>
      <c r="L640" s="570" t="n"/>
      <c r="M640" s="570" t="n"/>
      <c r="N640" s="570" t="n"/>
      <c r="O640" s="570" t="n"/>
      <c r="P640" s="570" t="n"/>
      <c r="Q640" s="570" t="n"/>
      <c r="R640" s="567" t="n"/>
    </row>
    <row r="641" ht="15.75" customHeight="1" s="557">
      <c r="A641" s="719" t="n"/>
      <c r="B641" s="678" t="n"/>
      <c r="C641" s="679" t="n"/>
      <c r="D641" s="720" t="n"/>
      <c r="E641" s="722" t="n"/>
      <c r="F641" s="570" t="n"/>
      <c r="G641" s="570" t="n"/>
      <c r="H641" s="570" t="n"/>
      <c r="I641" s="570" t="n"/>
      <c r="J641" s="570" t="n"/>
      <c r="K641" s="570" t="n"/>
      <c r="L641" s="570" t="n"/>
      <c r="M641" s="570" t="n"/>
      <c r="N641" s="570" t="n"/>
      <c r="O641" s="570" t="n"/>
      <c r="P641" s="570" t="n"/>
      <c r="Q641" s="570" t="n"/>
      <c r="R641" s="567" t="n"/>
    </row>
    <row r="642" ht="15.75" customHeight="1" s="557">
      <c r="A642" s="719" t="n"/>
      <c r="B642" s="678" t="n"/>
      <c r="C642" s="679" t="n"/>
      <c r="D642" s="720" t="n"/>
      <c r="E642" s="724" t="n"/>
      <c r="F642" s="570" t="n"/>
      <c r="G642" s="570" t="n"/>
      <c r="H642" s="570" t="n"/>
      <c r="I642" s="570" t="n"/>
      <c r="J642" s="570" t="n"/>
      <c r="K642" s="570" t="n"/>
      <c r="L642" s="570" t="n"/>
      <c r="M642" s="570" t="n"/>
      <c r="N642" s="570" t="n"/>
      <c r="O642" s="570" t="n"/>
      <c r="P642" s="570" t="n"/>
      <c r="Q642" s="570" t="n"/>
      <c r="R642" s="567" t="n"/>
    </row>
    <row r="643" ht="15.75" customHeight="1" s="557">
      <c r="A643" s="719" t="n"/>
      <c r="B643" s="678" t="n"/>
      <c r="C643" s="679" t="n"/>
      <c r="D643" s="720" t="n"/>
      <c r="E643" s="722" t="n"/>
      <c r="F643" s="570" t="n"/>
      <c r="G643" s="570" t="n"/>
      <c r="H643" s="570" t="n"/>
      <c r="I643" s="570" t="n"/>
      <c r="J643" s="570" t="n"/>
      <c r="K643" s="570" t="n"/>
      <c r="L643" s="570" t="n"/>
      <c r="M643" s="570" t="n"/>
      <c r="N643" s="570" t="n"/>
      <c r="O643" s="570" t="n"/>
      <c r="P643" s="570" t="n"/>
      <c r="Q643" s="570" t="n"/>
      <c r="R643" s="567" t="n"/>
    </row>
    <row r="644" ht="15.75" customHeight="1" s="557">
      <c r="A644" s="719" t="n"/>
      <c r="B644" s="678" t="n"/>
      <c r="C644" s="679" t="n"/>
      <c r="D644" s="720" t="n"/>
      <c r="E644" s="724" t="n"/>
      <c r="F644" s="570" t="n"/>
      <c r="G644" s="570" t="n"/>
      <c r="H644" s="570" t="n"/>
      <c r="I644" s="570" t="n"/>
      <c r="J644" s="570" t="n"/>
      <c r="K644" s="570" t="n"/>
      <c r="L644" s="570" t="n"/>
      <c r="M644" s="570" t="n"/>
      <c r="N644" s="570" t="n"/>
      <c r="O644" s="570" t="n"/>
      <c r="P644" s="570" t="n"/>
      <c r="Q644" s="570" t="n"/>
      <c r="R644" s="567" t="n"/>
    </row>
    <row r="645" ht="15.75" customHeight="1" s="557">
      <c r="A645" s="719" t="n"/>
      <c r="B645" s="678" t="n"/>
      <c r="C645" s="679" t="n"/>
      <c r="D645" s="720" t="n"/>
      <c r="E645" s="722" t="n"/>
      <c r="F645" s="570" t="n"/>
      <c r="G645" s="570" t="n"/>
      <c r="H645" s="570" t="n"/>
      <c r="I645" s="570" t="n"/>
      <c r="J645" s="570" t="n"/>
      <c r="K645" s="570" t="n"/>
      <c r="L645" s="570" t="n"/>
      <c r="M645" s="570" t="n"/>
      <c r="N645" s="570" t="n"/>
      <c r="O645" s="570" t="n"/>
      <c r="P645" s="570" t="n"/>
      <c r="Q645" s="570" t="n"/>
      <c r="R645" s="567" t="n"/>
    </row>
    <row r="646" ht="15.75" customHeight="1" s="557">
      <c r="A646" s="719" t="n"/>
      <c r="B646" s="678" t="n"/>
      <c r="C646" s="679" t="n"/>
      <c r="D646" s="720" t="n"/>
      <c r="E646" s="725" t="n"/>
      <c r="F646" s="570" t="n"/>
      <c r="G646" s="570" t="n"/>
      <c r="H646" s="570" t="n"/>
      <c r="I646" s="570" t="n"/>
      <c r="J646" s="570" t="n"/>
      <c r="K646" s="570" t="n"/>
      <c r="L646" s="570" t="n"/>
      <c r="M646" s="570" t="n"/>
      <c r="N646" s="570" t="n"/>
      <c r="O646" s="570" t="n"/>
      <c r="P646" s="570" t="n"/>
      <c r="Q646" s="570" t="n"/>
      <c r="R646" s="567" t="n"/>
    </row>
    <row r="647" ht="15.75" customHeight="1" s="557">
      <c r="A647" s="719" t="n"/>
      <c r="B647" s="678" t="n"/>
      <c r="C647" s="679" t="n"/>
      <c r="D647" s="720" t="n"/>
      <c r="E647" s="726" t="n"/>
      <c r="F647" s="570" t="n"/>
      <c r="G647" s="570" t="n"/>
      <c r="H647" s="570" t="n"/>
      <c r="I647" s="570" t="n"/>
      <c r="J647" s="570" t="n"/>
      <c r="K647" s="570" t="n"/>
      <c r="L647" s="570" t="n"/>
      <c r="M647" s="570" t="n"/>
      <c r="N647" s="570" t="n"/>
      <c r="O647" s="570" t="n"/>
      <c r="P647" s="570" t="n"/>
      <c r="Q647" s="570" t="n"/>
      <c r="R647" s="567" t="n"/>
    </row>
    <row r="648" ht="15.75" customHeight="1" s="557">
      <c r="A648" s="719" t="n"/>
      <c r="B648" s="678" t="n"/>
      <c r="C648" s="679" t="n"/>
      <c r="D648" s="720" t="n"/>
      <c r="E648" s="723" t="n"/>
      <c r="F648" s="570" t="n"/>
      <c r="G648" s="570" t="n"/>
      <c r="H648" s="570" t="n"/>
      <c r="I648" s="570" t="n"/>
      <c r="J648" s="570" t="n"/>
      <c r="K648" s="570" t="n"/>
      <c r="L648" s="570" t="n"/>
      <c r="M648" s="570" t="n"/>
      <c r="N648" s="570" t="n"/>
      <c r="O648" s="570" t="n"/>
      <c r="P648" s="570" t="n"/>
      <c r="Q648" s="570" t="n"/>
      <c r="R648" s="567" t="n"/>
    </row>
    <row r="649" ht="15.75" customHeight="1" s="557">
      <c r="A649" s="719" t="n"/>
      <c r="B649" s="678" t="n"/>
      <c r="C649" s="679" t="n"/>
      <c r="D649" s="720" t="n"/>
      <c r="E649" s="724" t="n"/>
      <c r="F649" s="570" t="n"/>
      <c r="G649" s="570" t="n"/>
      <c r="H649" s="570" t="n"/>
      <c r="I649" s="570" t="n"/>
      <c r="J649" s="570" t="n"/>
      <c r="K649" s="570" t="n"/>
      <c r="L649" s="570" t="n"/>
      <c r="M649" s="570" t="n"/>
      <c r="N649" s="570" t="n"/>
      <c r="O649" s="570" t="n"/>
      <c r="P649" s="570" t="n"/>
      <c r="Q649" s="570" t="n"/>
      <c r="R649" s="567" t="n"/>
    </row>
    <row r="650" ht="15.75" customHeight="1" s="557">
      <c r="A650" s="719" t="n"/>
      <c r="B650" s="678" t="n"/>
      <c r="C650" s="679" t="n"/>
      <c r="D650" s="720" t="n"/>
      <c r="E650" s="722" t="n"/>
      <c r="F650" s="570" t="n"/>
      <c r="G650" s="570" t="n"/>
      <c r="H650" s="570" t="n"/>
      <c r="I650" s="570" t="n"/>
      <c r="J650" s="570" t="n"/>
      <c r="K650" s="570" t="n"/>
      <c r="L650" s="570" t="n"/>
      <c r="M650" s="570" t="n"/>
      <c r="N650" s="570" t="n"/>
      <c r="O650" s="570" t="n"/>
      <c r="P650" s="570" t="n"/>
      <c r="Q650" s="570" t="n"/>
      <c r="R650" s="567" t="n"/>
    </row>
    <row r="651" ht="15.75" customHeight="1" s="557">
      <c r="A651" s="719" t="n"/>
      <c r="B651" s="678" t="n"/>
      <c r="C651" s="679" t="n"/>
      <c r="D651" s="720" t="n"/>
      <c r="E651" s="725" t="n"/>
      <c r="F651" s="570" t="n"/>
      <c r="G651" s="570" t="n"/>
      <c r="H651" s="570" t="n"/>
      <c r="I651" s="570" t="n"/>
      <c r="J651" s="570" t="n"/>
      <c r="K651" s="570" t="n"/>
      <c r="L651" s="570" t="n"/>
      <c r="M651" s="570" t="n"/>
      <c r="N651" s="570" t="n"/>
      <c r="O651" s="570" t="n"/>
      <c r="P651" s="570" t="n"/>
      <c r="Q651" s="570" t="n"/>
      <c r="R651" s="567" t="n"/>
    </row>
    <row r="652" ht="15.75" customHeight="1" s="557">
      <c r="A652" s="719" t="n"/>
      <c r="B652" s="678" t="n"/>
      <c r="C652" s="679" t="n"/>
      <c r="D652" s="720" t="n"/>
      <c r="E652" s="722" t="n"/>
      <c r="F652" s="570" t="n"/>
      <c r="G652" s="570" t="n"/>
      <c r="H652" s="570" t="n"/>
      <c r="I652" s="570" t="n"/>
      <c r="J652" s="570" t="n"/>
      <c r="K652" s="570" t="n"/>
      <c r="L652" s="570" t="n"/>
      <c r="M652" s="570" t="n"/>
      <c r="N652" s="570" t="n"/>
      <c r="O652" s="570" t="n"/>
      <c r="P652" s="570" t="n"/>
      <c r="Q652" s="570" t="n"/>
      <c r="R652" s="567" t="n"/>
    </row>
    <row r="653" ht="15.75" customHeight="1" s="557">
      <c r="A653" s="719" t="n"/>
      <c r="B653" s="678" t="n"/>
      <c r="C653" s="679" t="n"/>
      <c r="D653" s="720" t="n"/>
      <c r="E653" s="722" t="n"/>
      <c r="F653" s="570" t="n"/>
      <c r="G653" s="570" t="n"/>
      <c r="H653" s="570" t="n"/>
      <c r="I653" s="570" t="n"/>
      <c r="J653" s="570" t="n"/>
      <c r="K653" s="570" t="n"/>
      <c r="L653" s="570" t="n"/>
      <c r="M653" s="570" t="n"/>
      <c r="N653" s="570" t="n"/>
      <c r="O653" s="570" t="n"/>
      <c r="P653" s="570" t="n"/>
      <c r="Q653" s="570" t="n"/>
      <c r="R653" s="567" t="n"/>
    </row>
    <row r="654" ht="15.75" customHeight="1" s="557">
      <c r="A654" s="719" t="n"/>
      <c r="B654" s="678" t="n"/>
      <c r="C654" s="679" t="n"/>
      <c r="D654" s="720" t="n"/>
      <c r="E654" s="723" t="n"/>
      <c r="F654" s="570" t="n"/>
      <c r="G654" s="570" t="n"/>
      <c r="H654" s="570" t="n"/>
      <c r="I654" s="570" t="n"/>
      <c r="J654" s="570" t="n"/>
      <c r="K654" s="570" t="n"/>
      <c r="L654" s="570" t="n"/>
      <c r="M654" s="570" t="n"/>
      <c r="N654" s="570" t="n"/>
      <c r="O654" s="570" t="n"/>
      <c r="P654" s="570" t="n"/>
      <c r="Q654" s="570" t="n"/>
      <c r="R654" s="567" t="n"/>
    </row>
    <row r="655" ht="15.75" customHeight="1" s="557">
      <c r="A655" s="719" t="n"/>
      <c r="B655" s="678" t="n"/>
      <c r="C655" s="679" t="n"/>
      <c r="D655" s="720" t="n"/>
      <c r="E655" s="727" t="n"/>
      <c r="F655" s="570" t="n"/>
      <c r="G655" s="570" t="n"/>
      <c r="H655" s="570" t="n"/>
      <c r="I655" s="570" t="n"/>
      <c r="J655" s="570" t="n"/>
      <c r="K655" s="570" t="n"/>
      <c r="L655" s="570" t="n"/>
      <c r="M655" s="570" t="n"/>
      <c r="N655" s="570" t="n"/>
      <c r="O655" s="570" t="n"/>
      <c r="P655" s="570" t="n"/>
      <c r="Q655" s="570" t="n"/>
      <c r="R655" s="567" t="n"/>
    </row>
    <row r="656" ht="15.75" customHeight="1" s="557">
      <c r="A656" s="719" t="n"/>
      <c r="B656" s="678" t="n"/>
      <c r="C656" s="679" t="n"/>
      <c r="D656" s="720" t="n"/>
      <c r="E656" s="722" t="n"/>
      <c r="F656" s="570" t="n"/>
      <c r="G656" s="570" t="n"/>
      <c r="H656" s="570" t="n"/>
      <c r="I656" s="570" t="n"/>
      <c r="J656" s="570" t="n"/>
      <c r="K656" s="570" t="n"/>
      <c r="L656" s="570" t="n"/>
      <c r="M656" s="570" t="n"/>
      <c r="N656" s="570" t="n"/>
      <c r="O656" s="570" t="n"/>
      <c r="P656" s="570" t="n"/>
      <c r="Q656" s="570" t="n"/>
      <c r="R656" s="567" t="n"/>
    </row>
    <row r="657" ht="15.75" customHeight="1" s="557">
      <c r="A657" s="719" t="n"/>
      <c r="B657" s="678" t="n"/>
      <c r="C657" s="679" t="n"/>
      <c r="D657" s="720" t="n"/>
      <c r="E657" s="722" t="n"/>
      <c r="F657" s="570" t="n"/>
      <c r="G657" s="570" t="n"/>
      <c r="H657" s="570" t="n"/>
      <c r="I657" s="570" t="n"/>
      <c r="J657" s="570" t="n"/>
      <c r="K657" s="570" t="n"/>
      <c r="L657" s="570" t="n"/>
      <c r="M657" s="570" t="n"/>
      <c r="N657" s="570" t="n"/>
      <c r="O657" s="570" t="n"/>
      <c r="P657" s="570" t="n"/>
      <c r="Q657" s="570" t="n"/>
      <c r="R657" s="567" t="n"/>
    </row>
    <row r="658" ht="15.75" customHeight="1" s="557">
      <c r="A658" s="719" t="n"/>
      <c r="B658" s="678" t="n"/>
      <c r="C658" s="679" t="n"/>
      <c r="D658" s="720" t="n"/>
      <c r="E658" s="722" t="n"/>
      <c r="F658" s="570" t="n"/>
      <c r="G658" s="570" t="n"/>
      <c r="H658" s="570" t="n"/>
      <c r="I658" s="570" t="n"/>
      <c r="J658" s="570" t="n"/>
      <c r="K658" s="570" t="n"/>
      <c r="L658" s="570" t="n"/>
      <c r="M658" s="570" t="n"/>
      <c r="N658" s="570" t="n"/>
      <c r="O658" s="570" t="n"/>
      <c r="P658" s="570" t="n"/>
      <c r="Q658" s="570" t="n"/>
      <c r="R658" s="567" t="n"/>
    </row>
    <row r="659" ht="15.75" customHeight="1" s="557">
      <c r="A659" s="719" t="n"/>
      <c r="B659" s="678" t="n"/>
      <c r="C659" s="679" t="n"/>
      <c r="D659" s="720" t="n"/>
      <c r="E659" s="728" t="n"/>
      <c r="F659" s="678" t="n"/>
      <c r="G659" s="678" t="n"/>
      <c r="H659" s="678" t="n"/>
      <c r="I659" s="678" t="n"/>
      <c r="J659" s="678" t="n"/>
      <c r="K659" s="678" t="n"/>
      <c r="L659" s="678" t="n"/>
      <c r="M659" s="678" t="n"/>
      <c r="N659" s="678" t="n"/>
      <c r="O659" s="678" t="n"/>
      <c r="P659" s="678" t="n"/>
      <c r="Q659" s="678" t="n"/>
      <c r="R659" s="679" t="n"/>
    </row>
    <row r="660" ht="15.75" customHeight="1" s="557">
      <c r="A660" s="719" t="n"/>
      <c r="B660" s="678" t="n"/>
      <c r="C660" s="679" t="n"/>
      <c r="D660" s="720" t="n"/>
      <c r="E660" s="728" t="n"/>
      <c r="F660" s="678" t="n"/>
      <c r="G660" s="678" t="n"/>
      <c r="H660" s="678" t="n"/>
      <c r="I660" s="678" t="n"/>
      <c r="J660" s="678" t="n"/>
      <c r="K660" s="678" t="n"/>
      <c r="L660" s="678" t="n"/>
      <c r="M660" s="678" t="n"/>
      <c r="N660" s="678" t="n"/>
      <c r="O660" s="678" t="n"/>
      <c r="P660" s="678" t="n"/>
      <c r="Q660" s="678" t="n"/>
      <c r="R660" s="679" t="n"/>
    </row>
    <row r="661" ht="15.75" customHeight="1" s="557">
      <c r="A661" s="719" t="n"/>
      <c r="B661" s="678" t="n"/>
      <c r="C661" s="679" t="n"/>
      <c r="D661" s="729" t="n"/>
      <c r="E661" s="728" t="n"/>
      <c r="F661" s="678" t="n"/>
      <c r="G661" s="678" t="n"/>
      <c r="H661" s="678" t="n"/>
      <c r="I661" s="678" t="n"/>
      <c r="J661" s="678" t="n"/>
      <c r="K661" s="678" t="n"/>
      <c r="L661" s="678" t="n"/>
      <c r="M661" s="678" t="n"/>
      <c r="N661" s="678" t="n"/>
      <c r="O661" s="678" t="n"/>
      <c r="P661" s="678" t="n"/>
      <c r="Q661" s="678" t="n"/>
      <c r="R661" s="679" t="n"/>
    </row>
    <row r="662" ht="15.75" customHeight="1" s="557">
      <c r="A662" s="719" t="n"/>
      <c r="B662" s="678" t="n"/>
      <c r="C662" s="679" t="n"/>
      <c r="D662" s="729" t="n"/>
      <c r="E662" s="728" t="n"/>
      <c r="F662" s="678" t="n"/>
      <c r="G662" s="678" t="n"/>
      <c r="H662" s="678" t="n"/>
      <c r="I662" s="678" t="n"/>
      <c r="J662" s="678" t="n"/>
      <c r="K662" s="678" t="n"/>
      <c r="L662" s="678" t="n"/>
      <c r="M662" s="678" t="n"/>
      <c r="N662" s="678" t="n"/>
      <c r="O662" s="678" t="n"/>
      <c r="P662" s="678" t="n"/>
      <c r="Q662" s="678" t="n"/>
      <c r="R662" s="679" t="n"/>
    </row>
    <row r="663" ht="15.75" customHeight="1" s="557">
      <c r="A663" s="719" t="n"/>
      <c r="B663" s="678" t="n"/>
      <c r="C663" s="679" t="n"/>
      <c r="D663" s="720" t="n"/>
      <c r="E663" s="733" t="n"/>
      <c r="F663" s="678" t="n"/>
      <c r="G663" s="678" t="n"/>
      <c r="H663" s="678" t="n"/>
      <c r="I663" s="678" t="n"/>
      <c r="J663" s="678" t="n"/>
      <c r="K663" s="678" t="n"/>
      <c r="L663" s="678" t="n"/>
      <c r="M663" s="678" t="n"/>
      <c r="N663" s="678" t="n"/>
      <c r="O663" s="678" t="n"/>
      <c r="P663" s="678" t="n"/>
      <c r="Q663" s="678" t="n"/>
      <c r="R663" s="679" t="n"/>
    </row>
    <row r="664" ht="15.75" customHeight="1" s="557">
      <c r="A664" s="719" t="n"/>
      <c r="B664" s="678" t="n"/>
      <c r="C664" s="679" t="n"/>
      <c r="D664" s="720" t="n"/>
      <c r="E664" s="733" t="n"/>
      <c r="F664" s="678" t="n"/>
      <c r="G664" s="678" t="n"/>
      <c r="H664" s="678" t="n"/>
      <c r="I664" s="678" t="n"/>
      <c r="J664" s="678" t="n"/>
      <c r="K664" s="678" t="n"/>
      <c r="L664" s="678" t="n"/>
      <c r="M664" s="678" t="n"/>
      <c r="N664" s="678" t="n"/>
      <c r="O664" s="678" t="n"/>
      <c r="P664" s="678" t="n"/>
      <c r="Q664" s="678" t="n"/>
      <c r="R664" s="679" t="n"/>
    </row>
    <row r="665" ht="15.75" customHeight="1" s="557">
      <c r="A665" s="719" t="n"/>
      <c r="B665" s="678" t="n"/>
      <c r="C665" s="679" t="n"/>
      <c r="D665" s="720" t="n"/>
      <c r="E665" s="733" t="n"/>
      <c r="F665" s="678" t="n"/>
      <c r="G665" s="678" t="n"/>
      <c r="H665" s="678" t="n"/>
      <c r="I665" s="678" t="n"/>
      <c r="J665" s="678" t="n"/>
      <c r="K665" s="678" t="n"/>
      <c r="L665" s="678" t="n"/>
      <c r="M665" s="678" t="n"/>
      <c r="N665" s="678" t="n"/>
      <c r="O665" s="678" t="n"/>
      <c r="P665" s="678" t="n"/>
      <c r="Q665" s="678" t="n"/>
      <c r="R665" s="679" t="n"/>
    </row>
    <row r="666" ht="15.75" customHeight="1" s="557">
      <c r="A666" s="719" t="n"/>
      <c r="B666" s="678" t="n"/>
      <c r="C666" s="679" t="n"/>
      <c r="D666" s="720" t="n"/>
      <c r="E666" s="733" t="n"/>
      <c r="F666" s="678" t="n"/>
      <c r="G666" s="678" t="n"/>
      <c r="H666" s="678" t="n"/>
      <c r="I666" s="678" t="n"/>
      <c r="J666" s="678" t="n"/>
      <c r="K666" s="678" t="n"/>
      <c r="L666" s="678" t="n"/>
      <c r="M666" s="678" t="n"/>
      <c r="N666" s="678" t="n"/>
      <c r="O666" s="678" t="n"/>
      <c r="P666" s="678" t="n"/>
      <c r="Q666" s="678" t="n"/>
      <c r="R666" s="679" t="n"/>
    </row>
    <row r="667" ht="15.75" customHeight="1" s="557">
      <c r="A667" s="719" t="n"/>
      <c r="B667" s="678" t="n"/>
      <c r="C667" s="679" t="n"/>
      <c r="D667" s="720" t="n"/>
      <c r="E667" s="727" t="n"/>
      <c r="F667" s="570" t="n"/>
      <c r="G667" s="570" t="n"/>
      <c r="H667" s="570" t="n"/>
      <c r="I667" s="570" t="n"/>
      <c r="J667" s="570" t="n"/>
      <c r="K667" s="570" t="n"/>
      <c r="L667" s="570" t="n"/>
      <c r="M667" s="570" t="n"/>
      <c r="N667" s="570" t="n"/>
      <c r="O667" s="570" t="n"/>
      <c r="P667" s="570" t="n"/>
      <c r="Q667" s="570" t="n"/>
      <c r="R667" s="567" t="n"/>
    </row>
    <row r="668" ht="15.75" customHeight="1" s="557">
      <c r="A668" s="719" t="n"/>
      <c r="B668" s="678" t="n"/>
      <c r="C668" s="679" t="n"/>
      <c r="D668" s="720" t="n"/>
      <c r="E668" s="723" t="n"/>
      <c r="F668" s="570" t="n"/>
      <c r="G668" s="570" t="n"/>
      <c r="H668" s="570" t="n"/>
      <c r="I668" s="570" t="n"/>
      <c r="J668" s="570" t="n"/>
      <c r="K668" s="570" t="n"/>
      <c r="L668" s="570" t="n"/>
      <c r="M668" s="570" t="n"/>
      <c r="N668" s="570" t="n"/>
      <c r="O668" s="570" t="n"/>
      <c r="P668" s="570" t="n"/>
      <c r="Q668" s="570" t="n"/>
      <c r="R668" s="567" t="n"/>
    </row>
    <row r="669" ht="15.75" customHeight="1" s="557">
      <c r="A669" s="719" t="n"/>
      <c r="B669" s="678" t="n"/>
      <c r="C669" s="679" t="n"/>
      <c r="D669" s="734" t="n"/>
      <c r="E669" s="727" t="n"/>
      <c r="F669" s="570" t="n"/>
      <c r="G669" s="570" t="n"/>
      <c r="H669" s="570" t="n"/>
      <c r="I669" s="570" t="n"/>
      <c r="J669" s="570" t="n"/>
      <c r="K669" s="570" t="n"/>
      <c r="L669" s="570" t="n"/>
      <c r="M669" s="570" t="n"/>
      <c r="N669" s="570" t="n"/>
      <c r="O669" s="570" t="n"/>
      <c r="P669" s="570" t="n"/>
      <c r="Q669" s="570" t="n"/>
      <c r="R669" s="567" t="n"/>
    </row>
    <row r="670" ht="15.75" customHeight="1" s="557">
      <c r="A670" s="719" t="n"/>
      <c r="B670" s="678" t="n"/>
      <c r="C670" s="679" t="n"/>
      <c r="D670" s="720" t="n"/>
      <c r="E670" s="727" t="n"/>
      <c r="F670" s="570" t="n"/>
      <c r="G670" s="570" t="n"/>
      <c r="H670" s="570" t="n"/>
      <c r="I670" s="570" t="n"/>
      <c r="J670" s="570" t="n"/>
      <c r="K670" s="570" t="n"/>
      <c r="L670" s="570" t="n"/>
      <c r="M670" s="570" t="n"/>
      <c r="N670" s="570" t="n"/>
      <c r="O670" s="570" t="n"/>
      <c r="P670" s="570" t="n"/>
      <c r="Q670" s="570" t="n"/>
      <c r="R670" s="567" t="n"/>
    </row>
    <row r="671" ht="15.75" customHeight="1" s="557">
      <c r="A671" s="719" t="n"/>
      <c r="B671" s="678" t="n"/>
      <c r="C671" s="679" t="n"/>
      <c r="D671" s="720" t="n"/>
      <c r="E671" s="727" t="n"/>
      <c r="F671" s="570" t="n"/>
      <c r="G671" s="570" t="n"/>
      <c r="H671" s="570" t="n"/>
      <c r="I671" s="570" t="n"/>
      <c r="J671" s="570" t="n"/>
      <c r="K671" s="570" t="n"/>
      <c r="L671" s="570" t="n"/>
      <c r="M671" s="570" t="n"/>
      <c r="N671" s="570" t="n"/>
      <c r="O671" s="570" t="n"/>
      <c r="P671" s="570" t="n"/>
      <c r="Q671" s="570" t="n"/>
      <c r="R671" s="567" t="n"/>
    </row>
    <row r="672" ht="15.75" customHeight="1" s="557">
      <c r="A672" s="719" t="n"/>
      <c r="B672" s="678" t="n"/>
      <c r="C672" s="679" t="n"/>
      <c r="D672" s="720" t="n"/>
      <c r="E672" s="727" t="n"/>
      <c r="F672" s="570" t="n"/>
      <c r="G672" s="570" t="n"/>
      <c r="H672" s="570" t="n"/>
      <c r="I672" s="570" t="n"/>
      <c r="J672" s="570" t="n"/>
      <c r="K672" s="570" t="n"/>
      <c r="L672" s="570" t="n"/>
      <c r="M672" s="570" t="n"/>
      <c r="N672" s="570" t="n"/>
      <c r="O672" s="570" t="n"/>
      <c r="P672" s="570" t="n"/>
      <c r="Q672" s="570" t="n"/>
      <c r="R672" s="567" t="n"/>
    </row>
    <row r="673" ht="15.75" customHeight="1" s="557">
      <c r="A673" s="719" t="n"/>
      <c r="B673" s="678" t="n"/>
      <c r="C673" s="679" t="n"/>
      <c r="D673" s="720" t="n"/>
      <c r="E673" s="727" t="n"/>
      <c r="F673" s="570" t="n"/>
      <c r="G673" s="570" t="n"/>
      <c r="H673" s="570" t="n"/>
      <c r="I673" s="570" t="n"/>
      <c r="J673" s="570" t="n"/>
      <c r="K673" s="570" t="n"/>
      <c r="L673" s="570" t="n"/>
      <c r="M673" s="570" t="n"/>
      <c r="N673" s="570" t="n"/>
      <c r="O673" s="570" t="n"/>
      <c r="P673" s="570" t="n"/>
      <c r="Q673" s="570" t="n"/>
      <c r="R673" s="567" t="n"/>
    </row>
    <row r="674" ht="15.75" customHeight="1" s="557">
      <c r="A674" s="719" t="n"/>
      <c r="B674" s="678" t="n"/>
      <c r="C674" s="679" t="n"/>
      <c r="D674" s="720" t="n"/>
      <c r="E674" s="721" t="n"/>
      <c r="F674" s="570" t="n"/>
      <c r="G674" s="570" t="n"/>
      <c r="H674" s="570" t="n"/>
      <c r="I674" s="570" t="n"/>
      <c r="J674" s="570" t="n"/>
      <c r="K674" s="570" t="n"/>
      <c r="L674" s="570" t="n"/>
      <c r="M674" s="570" t="n"/>
      <c r="N674" s="570" t="n"/>
      <c r="O674" s="570" t="n"/>
      <c r="P674" s="570" t="n"/>
      <c r="Q674" s="570" t="n"/>
      <c r="R674" s="567" t="n"/>
    </row>
    <row r="675" ht="15.75" customHeight="1" s="557">
      <c r="A675" s="719" t="n"/>
      <c r="B675" s="678" t="n"/>
      <c r="C675" s="679" t="n"/>
      <c r="D675" s="720" t="n"/>
      <c r="E675" s="722" t="n"/>
      <c r="F675" s="570" t="n"/>
      <c r="G675" s="570" t="n"/>
      <c r="H675" s="570" t="n"/>
      <c r="I675" s="570" t="n"/>
      <c r="J675" s="570" t="n"/>
      <c r="K675" s="570" t="n"/>
      <c r="L675" s="570" t="n"/>
      <c r="M675" s="570" t="n"/>
      <c r="N675" s="570" t="n"/>
      <c r="O675" s="570" t="n"/>
      <c r="P675" s="570" t="n"/>
      <c r="Q675" s="570" t="n"/>
      <c r="R675" s="567" t="n"/>
    </row>
    <row r="676" ht="15.75" customHeight="1" s="557">
      <c r="A676" s="719" t="n"/>
      <c r="B676" s="678" t="n"/>
      <c r="C676" s="679" t="n"/>
      <c r="D676" s="720" t="n"/>
      <c r="E676" s="723" t="n"/>
      <c r="F676" s="570" t="n"/>
      <c r="G676" s="570" t="n"/>
      <c r="H676" s="570" t="n"/>
      <c r="I676" s="570" t="n"/>
      <c r="J676" s="570" t="n"/>
      <c r="K676" s="570" t="n"/>
      <c r="L676" s="570" t="n"/>
      <c r="M676" s="570" t="n"/>
      <c r="N676" s="570" t="n"/>
      <c r="O676" s="570" t="n"/>
      <c r="P676" s="570" t="n"/>
      <c r="Q676" s="570" t="n"/>
      <c r="R676" s="567" t="n"/>
    </row>
    <row r="677" ht="15.75" customHeight="1" s="557">
      <c r="A677" s="719" t="n"/>
      <c r="B677" s="678" t="n"/>
      <c r="C677" s="679" t="n"/>
      <c r="D677" s="720" t="n"/>
      <c r="E677" s="723" t="n"/>
      <c r="F677" s="570" t="n"/>
      <c r="G677" s="570" t="n"/>
      <c r="H677" s="570" t="n"/>
      <c r="I677" s="570" t="n"/>
      <c r="J677" s="570" t="n"/>
      <c r="K677" s="570" t="n"/>
      <c r="L677" s="570" t="n"/>
      <c r="M677" s="570" t="n"/>
      <c r="N677" s="570" t="n"/>
      <c r="O677" s="570" t="n"/>
      <c r="P677" s="570" t="n"/>
      <c r="Q677" s="570" t="n"/>
      <c r="R677" s="567" t="n"/>
    </row>
    <row r="678" ht="15.75" customHeight="1" s="557">
      <c r="A678" s="719" t="n"/>
      <c r="B678" s="678" t="n"/>
      <c r="C678" s="679" t="n"/>
      <c r="D678" s="720" t="n"/>
      <c r="E678" s="722" t="n"/>
      <c r="F678" s="570" t="n"/>
      <c r="G678" s="570" t="n"/>
      <c r="H678" s="570" t="n"/>
      <c r="I678" s="570" t="n"/>
      <c r="J678" s="570" t="n"/>
      <c r="K678" s="570" t="n"/>
      <c r="L678" s="570" t="n"/>
      <c r="M678" s="570" t="n"/>
      <c r="N678" s="570" t="n"/>
      <c r="O678" s="570" t="n"/>
      <c r="P678" s="570" t="n"/>
      <c r="Q678" s="570" t="n"/>
      <c r="R678" s="567" t="n"/>
    </row>
    <row r="679" ht="15.75" customHeight="1" s="557">
      <c r="A679" s="719" t="n"/>
      <c r="B679" s="678" t="n"/>
      <c r="C679" s="679" t="n"/>
      <c r="D679" s="720" t="n"/>
      <c r="E679" s="724" t="n"/>
      <c r="F679" s="570" t="n"/>
      <c r="G679" s="570" t="n"/>
      <c r="H679" s="570" t="n"/>
      <c r="I679" s="570" t="n"/>
      <c r="J679" s="570" t="n"/>
      <c r="K679" s="570" t="n"/>
      <c r="L679" s="570" t="n"/>
      <c r="M679" s="570" t="n"/>
      <c r="N679" s="570" t="n"/>
      <c r="O679" s="570" t="n"/>
      <c r="P679" s="570" t="n"/>
      <c r="Q679" s="570" t="n"/>
      <c r="R679" s="567" t="n"/>
    </row>
    <row r="680" ht="15.75" customHeight="1" s="557">
      <c r="A680" s="719" t="n"/>
      <c r="B680" s="678" t="n"/>
      <c r="C680" s="679" t="n"/>
      <c r="D680" s="720" t="n"/>
      <c r="E680" s="722" t="n"/>
      <c r="F680" s="570" t="n"/>
      <c r="G680" s="570" t="n"/>
      <c r="H680" s="570" t="n"/>
      <c r="I680" s="570" t="n"/>
      <c r="J680" s="570" t="n"/>
      <c r="K680" s="570" t="n"/>
      <c r="L680" s="570" t="n"/>
      <c r="M680" s="570" t="n"/>
      <c r="N680" s="570" t="n"/>
      <c r="O680" s="570" t="n"/>
      <c r="P680" s="570" t="n"/>
      <c r="Q680" s="570" t="n"/>
      <c r="R680" s="567" t="n"/>
    </row>
    <row r="681" ht="15.75" customHeight="1" s="557">
      <c r="A681" s="719" t="n"/>
      <c r="B681" s="678" t="n"/>
      <c r="C681" s="679" t="n"/>
      <c r="D681" s="720" t="n"/>
      <c r="E681" s="724" t="n"/>
      <c r="F681" s="570" t="n"/>
      <c r="G681" s="570" t="n"/>
      <c r="H681" s="570" t="n"/>
      <c r="I681" s="570" t="n"/>
      <c r="J681" s="570" t="n"/>
      <c r="K681" s="570" t="n"/>
      <c r="L681" s="570" t="n"/>
      <c r="M681" s="570" t="n"/>
      <c r="N681" s="570" t="n"/>
      <c r="O681" s="570" t="n"/>
      <c r="P681" s="570" t="n"/>
      <c r="Q681" s="570" t="n"/>
      <c r="R681" s="567" t="n"/>
    </row>
    <row r="682" ht="15.75" customHeight="1" s="557">
      <c r="A682" s="719" t="n"/>
      <c r="B682" s="678" t="n"/>
      <c r="C682" s="679" t="n"/>
      <c r="D682" s="720" t="n"/>
      <c r="E682" s="722" t="n"/>
      <c r="F682" s="570" t="n"/>
      <c r="G682" s="570" t="n"/>
      <c r="H682" s="570" t="n"/>
      <c r="I682" s="570" t="n"/>
      <c r="J682" s="570" t="n"/>
      <c r="K682" s="570" t="n"/>
      <c r="L682" s="570" t="n"/>
      <c r="M682" s="570" t="n"/>
      <c r="N682" s="570" t="n"/>
      <c r="O682" s="570" t="n"/>
      <c r="P682" s="570" t="n"/>
      <c r="Q682" s="570" t="n"/>
      <c r="R682" s="567" t="n"/>
    </row>
    <row r="683" ht="15.75" customHeight="1" s="557">
      <c r="A683" s="719" t="n"/>
      <c r="B683" s="678" t="n"/>
      <c r="C683" s="679" t="n"/>
      <c r="D683" s="720" t="n"/>
      <c r="E683" s="725" t="n"/>
      <c r="F683" s="570" t="n"/>
      <c r="G683" s="570" t="n"/>
      <c r="H683" s="570" t="n"/>
      <c r="I683" s="570" t="n"/>
      <c r="J683" s="570" t="n"/>
      <c r="K683" s="570" t="n"/>
      <c r="L683" s="570" t="n"/>
      <c r="M683" s="570" t="n"/>
      <c r="N683" s="570" t="n"/>
      <c r="O683" s="570" t="n"/>
      <c r="P683" s="570" t="n"/>
      <c r="Q683" s="570" t="n"/>
      <c r="R683" s="567" t="n"/>
    </row>
    <row r="684" ht="15.75" customHeight="1" s="557">
      <c r="A684" s="719" t="n"/>
      <c r="B684" s="678" t="n"/>
      <c r="C684" s="679" t="n"/>
      <c r="D684" s="720" t="n"/>
      <c r="E684" s="726" t="n"/>
      <c r="F684" s="570" t="n"/>
      <c r="G684" s="570" t="n"/>
      <c r="H684" s="570" t="n"/>
      <c r="I684" s="570" t="n"/>
      <c r="J684" s="570" t="n"/>
      <c r="K684" s="570" t="n"/>
      <c r="L684" s="570" t="n"/>
      <c r="M684" s="570" t="n"/>
      <c r="N684" s="570" t="n"/>
      <c r="O684" s="570" t="n"/>
      <c r="P684" s="570" t="n"/>
      <c r="Q684" s="570" t="n"/>
      <c r="R684" s="567" t="n"/>
    </row>
    <row r="685" ht="15.75" customHeight="1" s="557">
      <c r="A685" s="719" t="n"/>
      <c r="B685" s="678" t="n"/>
      <c r="C685" s="679" t="n"/>
      <c r="D685" s="720" t="n"/>
      <c r="E685" s="723" t="n"/>
      <c r="F685" s="570" t="n"/>
      <c r="G685" s="570" t="n"/>
      <c r="H685" s="570" t="n"/>
      <c r="I685" s="570" t="n"/>
      <c r="J685" s="570" t="n"/>
      <c r="K685" s="570" t="n"/>
      <c r="L685" s="570" t="n"/>
      <c r="M685" s="570" t="n"/>
      <c r="N685" s="570" t="n"/>
      <c r="O685" s="570" t="n"/>
      <c r="P685" s="570" t="n"/>
      <c r="Q685" s="570" t="n"/>
      <c r="R685" s="567" t="n"/>
    </row>
    <row r="686" ht="15.75" customHeight="1" s="557">
      <c r="A686" s="719" t="n"/>
      <c r="B686" s="678" t="n"/>
      <c r="C686" s="679" t="n"/>
      <c r="D686" s="720" t="n"/>
      <c r="E686" s="724" t="n"/>
      <c r="F686" s="570" t="n"/>
      <c r="G686" s="570" t="n"/>
      <c r="H686" s="570" t="n"/>
      <c r="I686" s="570" t="n"/>
      <c r="J686" s="570" t="n"/>
      <c r="K686" s="570" t="n"/>
      <c r="L686" s="570" t="n"/>
      <c r="M686" s="570" t="n"/>
      <c r="N686" s="570" t="n"/>
      <c r="O686" s="570" t="n"/>
      <c r="P686" s="570" t="n"/>
      <c r="Q686" s="570" t="n"/>
      <c r="R686" s="567" t="n"/>
    </row>
    <row r="687" ht="15.75" customHeight="1" s="557">
      <c r="A687" s="719" t="n"/>
      <c r="B687" s="678" t="n"/>
      <c r="C687" s="679" t="n"/>
      <c r="D687" s="720" t="n"/>
      <c r="E687" s="722" t="n"/>
      <c r="F687" s="570" t="n"/>
      <c r="G687" s="570" t="n"/>
      <c r="H687" s="570" t="n"/>
      <c r="I687" s="570" t="n"/>
      <c r="J687" s="570" t="n"/>
      <c r="K687" s="570" t="n"/>
      <c r="L687" s="570" t="n"/>
      <c r="M687" s="570" t="n"/>
      <c r="N687" s="570" t="n"/>
      <c r="O687" s="570" t="n"/>
      <c r="P687" s="570" t="n"/>
      <c r="Q687" s="570" t="n"/>
      <c r="R687" s="567" t="n"/>
    </row>
    <row r="688" ht="15.75" customHeight="1" s="557">
      <c r="A688" s="719" t="n"/>
      <c r="B688" s="678" t="n"/>
      <c r="C688" s="679" t="n"/>
      <c r="D688" s="720" t="n"/>
      <c r="E688" s="725" t="n"/>
      <c r="F688" s="570" t="n"/>
      <c r="G688" s="570" t="n"/>
      <c r="H688" s="570" t="n"/>
      <c r="I688" s="570" t="n"/>
      <c r="J688" s="570" t="n"/>
      <c r="K688" s="570" t="n"/>
      <c r="L688" s="570" t="n"/>
      <c r="M688" s="570" t="n"/>
      <c r="N688" s="570" t="n"/>
      <c r="O688" s="570" t="n"/>
      <c r="P688" s="570" t="n"/>
      <c r="Q688" s="570" t="n"/>
      <c r="R688" s="567" t="n"/>
    </row>
    <row r="689" ht="15.75" customHeight="1" s="557">
      <c r="A689" s="719" t="n"/>
      <c r="B689" s="678" t="n"/>
      <c r="C689" s="679" t="n"/>
      <c r="D689" s="720" t="n"/>
      <c r="E689" s="722" t="n"/>
      <c r="F689" s="570" t="n"/>
      <c r="G689" s="570" t="n"/>
      <c r="H689" s="570" t="n"/>
      <c r="I689" s="570" t="n"/>
      <c r="J689" s="570" t="n"/>
      <c r="K689" s="570" t="n"/>
      <c r="L689" s="570" t="n"/>
      <c r="M689" s="570" t="n"/>
      <c r="N689" s="570" t="n"/>
      <c r="O689" s="570" t="n"/>
      <c r="P689" s="570" t="n"/>
      <c r="Q689" s="570" t="n"/>
      <c r="R689" s="567" t="n"/>
    </row>
    <row r="690" ht="15.75" customHeight="1" s="557">
      <c r="A690" s="719" t="n"/>
      <c r="B690" s="678" t="n"/>
      <c r="C690" s="679" t="n"/>
      <c r="D690" s="720" t="n"/>
      <c r="E690" s="722" t="n"/>
      <c r="F690" s="570" t="n"/>
      <c r="G690" s="570" t="n"/>
      <c r="H690" s="570" t="n"/>
      <c r="I690" s="570" t="n"/>
      <c r="J690" s="570" t="n"/>
      <c r="K690" s="570" t="n"/>
      <c r="L690" s="570" t="n"/>
      <c r="M690" s="570" t="n"/>
      <c r="N690" s="570" t="n"/>
      <c r="O690" s="570" t="n"/>
      <c r="P690" s="570" t="n"/>
      <c r="Q690" s="570" t="n"/>
      <c r="R690" s="567" t="n"/>
    </row>
    <row r="691" ht="15.75" customHeight="1" s="557">
      <c r="A691" s="719" t="n"/>
      <c r="B691" s="678" t="n"/>
      <c r="C691" s="679" t="n"/>
      <c r="D691" s="720" t="n"/>
      <c r="E691" s="723" t="n"/>
      <c r="F691" s="570" t="n"/>
      <c r="G691" s="570" t="n"/>
      <c r="H691" s="570" t="n"/>
      <c r="I691" s="570" t="n"/>
      <c r="J691" s="570" t="n"/>
      <c r="K691" s="570" t="n"/>
      <c r="L691" s="570" t="n"/>
      <c r="M691" s="570" t="n"/>
      <c r="N691" s="570" t="n"/>
      <c r="O691" s="570" t="n"/>
      <c r="P691" s="570" t="n"/>
      <c r="Q691" s="570" t="n"/>
      <c r="R691" s="567" t="n"/>
    </row>
    <row r="692" ht="15.75" customHeight="1" s="557">
      <c r="A692" s="719" t="n"/>
      <c r="B692" s="678" t="n"/>
      <c r="C692" s="679" t="n"/>
      <c r="D692" s="720" t="n"/>
      <c r="E692" s="727" t="n"/>
      <c r="F692" s="570" t="n"/>
      <c r="G692" s="570" t="n"/>
      <c r="H692" s="570" t="n"/>
      <c r="I692" s="570" t="n"/>
      <c r="J692" s="570" t="n"/>
      <c r="K692" s="570" t="n"/>
      <c r="L692" s="570" t="n"/>
      <c r="M692" s="570" t="n"/>
      <c r="N692" s="570" t="n"/>
      <c r="O692" s="570" t="n"/>
      <c r="P692" s="570" t="n"/>
      <c r="Q692" s="570" t="n"/>
      <c r="R692" s="567" t="n"/>
    </row>
    <row r="693" ht="15.75" customHeight="1" s="557">
      <c r="A693" s="719" t="n"/>
      <c r="B693" s="678" t="n"/>
      <c r="C693" s="679" t="n"/>
      <c r="D693" s="720" t="n"/>
      <c r="E693" s="722" t="n"/>
      <c r="F693" s="570" t="n"/>
      <c r="G693" s="570" t="n"/>
      <c r="H693" s="570" t="n"/>
      <c r="I693" s="570" t="n"/>
      <c r="J693" s="570" t="n"/>
      <c r="K693" s="570" t="n"/>
      <c r="L693" s="570" t="n"/>
      <c r="M693" s="570" t="n"/>
      <c r="N693" s="570" t="n"/>
      <c r="O693" s="570" t="n"/>
      <c r="P693" s="570" t="n"/>
      <c r="Q693" s="570" t="n"/>
      <c r="R693" s="567" t="n"/>
    </row>
    <row r="694" ht="15.75" customHeight="1" s="557">
      <c r="A694" s="719" t="n"/>
      <c r="B694" s="678" t="n"/>
      <c r="C694" s="679" t="n"/>
      <c r="D694" s="720" t="n"/>
      <c r="E694" s="722" t="n"/>
      <c r="F694" s="570" t="n"/>
      <c r="G694" s="570" t="n"/>
      <c r="H694" s="570" t="n"/>
      <c r="I694" s="570" t="n"/>
      <c r="J694" s="570" t="n"/>
      <c r="K694" s="570" t="n"/>
      <c r="L694" s="570" t="n"/>
      <c r="M694" s="570" t="n"/>
      <c r="N694" s="570" t="n"/>
      <c r="O694" s="570" t="n"/>
      <c r="P694" s="570" t="n"/>
      <c r="Q694" s="570" t="n"/>
      <c r="R694" s="567" t="n"/>
    </row>
    <row r="695" ht="15.75" customHeight="1" s="557">
      <c r="A695" s="719" t="n"/>
      <c r="B695" s="678" t="n"/>
      <c r="C695" s="679" t="n"/>
      <c r="D695" s="720" t="n"/>
      <c r="E695" s="722" t="n"/>
      <c r="F695" s="570" t="n"/>
      <c r="G695" s="570" t="n"/>
      <c r="H695" s="570" t="n"/>
      <c r="I695" s="570" t="n"/>
      <c r="J695" s="570" t="n"/>
      <c r="K695" s="570" t="n"/>
      <c r="L695" s="570" t="n"/>
      <c r="M695" s="570" t="n"/>
      <c r="N695" s="570" t="n"/>
      <c r="O695" s="570" t="n"/>
      <c r="P695" s="570" t="n"/>
      <c r="Q695" s="570" t="n"/>
      <c r="R695" s="567" t="n"/>
    </row>
    <row r="696" ht="15.75" customHeight="1" s="557">
      <c r="A696" s="719" t="n"/>
      <c r="B696" s="678" t="n"/>
      <c r="C696" s="679" t="n"/>
      <c r="D696" s="720" t="n"/>
      <c r="E696" s="728" t="n"/>
      <c r="F696" s="678" t="n"/>
      <c r="G696" s="678" t="n"/>
      <c r="H696" s="678" t="n"/>
      <c r="I696" s="678" t="n"/>
      <c r="J696" s="678" t="n"/>
      <c r="K696" s="678" t="n"/>
      <c r="L696" s="678" t="n"/>
      <c r="M696" s="678" t="n"/>
      <c r="N696" s="678" t="n"/>
      <c r="O696" s="678" t="n"/>
      <c r="P696" s="678" t="n"/>
      <c r="Q696" s="678" t="n"/>
      <c r="R696" s="679" t="n"/>
    </row>
    <row r="697" ht="15.75" customHeight="1" s="557">
      <c r="A697" s="719" t="n"/>
      <c r="B697" s="678" t="n"/>
      <c r="C697" s="679" t="n"/>
      <c r="D697" s="720" t="n"/>
      <c r="E697" s="728" t="n"/>
      <c r="F697" s="678" t="n"/>
      <c r="G697" s="678" t="n"/>
      <c r="H697" s="678" t="n"/>
      <c r="I697" s="678" t="n"/>
      <c r="J697" s="678" t="n"/>
      <c r="K697" s="678" t="n"/>
      <c r="L697" s="678" t="n"/>
      <c r="M697" s="678" t="n"/>
      <c r="N697" s="678" t="n"/>
      <c r="O697" s="678" t="n"/>
      <c r="P697" s="678" t="n"/>
      <c r="Q697" s="678" t="n"/>
      <c r="R697" s="679" t="n"/>
    </row>
    <row r="698" ht="15.75" customHeight="1" s="557">
      <c r="A698" s="719" t="n"/>
      <c r="B698" s="678" t="n"/>
      <c r="C698" s="679" t="n"/>
      <c r="D698" s="729" t="n"/>
      <c r="E698" s="728" t="n"/>
      <c r="F698" s="678" t="n"/>
      <c r="G698" s="678" t="n"/>
      <c r="H698" s="678" t="n"/>
      <c r="I698" s="678" t="n"/>
      <c r="J698" s="678" t="n"/>
      <c r="K698" s="678" t="n"/>
      <c r="L698" s="678" t="n"/>
      <c r="M698" s="678" t="n"/>
      <c r="N698" s="678" t="n"/>
      <c r="O698" s="678" t="n"/>
      <c r="P698" s="678" t="n"/>
      <c r="Q698" s="678" t="n"/>
      <c r="R698" s="679" t="n"/>
    </row>
    <row r="699" ht="15.75" customHeight="1" s="557">
      <c r="A699" s="719" t="n"/>
      <c r="B699" s="678" t="n"/>
      <c r="C699" s="679" t="n"/>
      <c r="D699" s="729" t="n"/>
      <c r="E699" s="728" t="n"/>
      <c r="F699" s="678" t="n"/>
      <c r="G699" s="678" t="n"/>
      <c r="H699" s="678" t="n"/>
      <c r="I699" s="678" t="n"/>
      <c r="J699" s="678" t="n"/>
      <c r="K699" s="678" t="n"/>
      <c r="L699" s="678" t="n"/>
      <c r="M699" s="678" t="n"/>
      <c r="N699" s="678" t="n"/>
      <c r="O699" s="678" t="n"/>
      <c r="P699" s="678" t="n"/>
      <c r="Q699" s="678" t="n"/>
      <c r="R699" s="679" t="n"/>
    </row>
    <row r="700" ht="15.75" customHeight="1" s="557">
      <c r="A700" s="684" t="n"/>
      <c r="B700" s="570" t="n"/>
      <c r="C700" s="567" t="n"/>
      <c r="D700" s="689" t="n"/>
      <c r="E700" s="686" t="n"/>
      <c r="F700" s="570" t="n"/>
      <c r="G700" s="570" t="n"/>
      <c r="H700" s="570" t="n"/>
      <c r="I700" s="570" t="n"/>
      <c r="J700" s="570" t="n"/>
      <c r="K700" s="570" t="n"/>
      <c r="L700" s="570" t="n"/>
      <c r="M700" s="570" t="n"/>
      <c r="N700" s="570" t="n"/>
      <c r="O700" s="567" t="n"/>
      <c r="P700" s="687" t="n"/>
      <c r="Q700" s="687" t="n"/>
      <c r="R700" s="687" t="n"/>
    </row>
    <row r="701" ht="15.75" customHeight="1" s="557">
      <c r="A701" s="690" t="n"/>
      <c r="B701" s="570" t="n"/>
      <c r="C701" s="567" t="n"/>
      <c r="D701" s="730" t="n"/>
      <c r="E701" s="686" t="n"/>
      <c r="F701" s="570" t="n"/>
      <c r="G701" s="570" t="n"/>
      <c r="H701" s="570" t="n"/>
      <c r="I701" s="570" t="n"/>
      <c r="J701" s="570" t="n"/>
      <c r="K701" s="570" t="n"/>
      <c r="L701" s="570" t="n"/>
      <c r="M701" s="570" t="n"/>
      <c r="N701" s="570" t="n"/>
      <c r="O701" s="567" t="n"/>
      <c r="P701" s="687" t="n"/>
      <c r="Q701" s="687" t="n"/>
      <c r="R701" s="687" t="n"/>
    </row>
    <row r="702" ht="15.75" customFormat="1" customHeight="1" s="696">
      <c r="A702" s="684" t="n"/>
      <c r="B702" s="570" t="n"/>
      <c r="C702" s="567" t="n"/>
      <c r="D702" s="689" t="n"/>
      <c r="E702" s="686" t="n"/>
      <c r="F702" s="570" t="n"/>
      <c r="G702" s="570" t="n"/>
      <c r="H702" s="570" t="n"/>
      <c r="I702" s="570" t="n"/>
      <c r="J702" s="570" t="n"/>
      <c r="K702" s="570" t="n"/>
      <c r="L702" s="570" t="n"/>
      <c r="M702" s="570" t="n"/>
      <c r="N702" s="570" t="n"/>
      <c r="O702" s="567" t="n"/>
      <c r="P702" s="687" t="n"/>
      <c r="Q702" s="687" t="n"/>
      <c r="R702" s="687" t="n"/>
    </row>
    <row r="703" ht="15.75" customHeight="1" s="557">
      <c r="A703" s="691" t="n"/>
      <c r="B703" s="570" t="n"/>
      <c r="C703" s="567" t="n"/>
      <c r="D703" s="689" t="n"/>
      <c r="E703" s="686" t="n"/>
      <c r="F703" s="570" t="n"/>
      <c r="G703" s="570" t="n"/>
      <c r="H703" s="570" t="n"/>
      <c r="I703" s="570" t="n"/>
      <c r="J703" s="570" t="n"/>
      <c r="K703" s="570" t="n"/>
      <c r="L703" s="570" t="n"/>
      <c r="M703" s="570" t="n"/>
      <c r="N703" s="570" t="n"/>
      <c r="O703" s="567" t="n"/>
      <c r="P703" s="687" t="n"/>
      <c r="Q703" s="687" t="n"/>
      <c r="R703" s="687" t="n"/>
    </row>
    <row r="704" ht="15.75" customHeight="1" s="557">
      <c r="A704" s="691" t="n"/>
      <c r="B704" s="570" t="n"/>
      <c r="C704" s="567" t="n"/>
      <c r="D704" s="689" t="n"/>
      <c r="E704" s="686" t="n"/>
      <c r="F704" s="570" t="n"/>
      <c r="G704" s="570" t="n"/>
      <c r="H704" s="570" t="n"/>
      <c r="I704" s="570" t="n"/>
      <c r="J704" s="570" t="n"/>
      <c r="K704" s="570" t="n"/>
      <c r="L704" s="570" t="n"/>
      <c r="M704" s="570" t="n"/>
      <c r="N704" s="570" t="n"/>
      <c r="O704" s="567" t="n"/>
      <c r="P704" s="687" t="n"/>
      <c r="Q704" s="687" t="n"/>
      <c r="R704" s="687" t="n"/>
    </row>
    <row r="705" ht="15.75" customHeight="1" s="557">
      <c r="A705" s="691" t="n"/>
      <c r="B705" s="570" t="n"/>
      <c r="C705" s="567" t="n"/>
      <c r="D705" s="689" t="n"/>
      <c r="E705" s="686" t="n"/>
      <c r="F705" s="570" t="n"/>
      <c r="G705" s="570" t="n"/>
      <c r="H705" s="570" t="n"/>
      <c r="I705" s="570" t="n"/>
      <c r="J705" s="570" t="n"/>
      <c r="K705" s="570" t="n"/>
      <c r="L705" s="570" t="n"/>
      <c r="M705" s="570" t="n"/>
      <c r="N705" s="570" t="n"/>
      <c r="O705" s="567" t="n"/>
      <c r="P705" s="687" t="n"/>
      <c r="Q705" s="687" t="n"/>
      <c r="R705" s="687" t="n"/>
    </row>
    <row r="706" ht="15.75" customHeight="1" s="557">
      <c r="A706" s="691" t="n"/>
      <c r="B706" s="570" t="n"/>
      <c r="C706" s="567" t="n"/>
      <c r="D706" s="689" t="n"/>
      <c r="E706" s="686" t="n"/>
      <c r="F706" s="570" t="n"/>
      <c r="G706" s="570" t="n"/>
      <c r="H706" s="570" t="n"/>
      <c r="I706" s="570" t="n"/>
      <c r="J706" s="570" t="n"/>
      <c r="K706" s="570" t="n"/>
      <c r="L706" s="570" t="n"/>
      <c r="M706" s="570" t="n"/>
      <c r="N706" s="570" t="n"/>
      <c r="O706" s="567" t="n"/>
      <c r="P706" s="687" t="n"/>
      <c r="Q706" s="687" t="n"/>
      <c r="R706" s="687" t="n"/>
    </row>
    <row r="707" ht="15.75" customHeight="1" s="557">
      <c r="A707" s="691" t="n"/>
      <c r="B707" s="570" t="n"/>
      <c r="C707" s="567" t="n"/>
      <c r="D707" s="689" t="n"/>
      <c r="E707" s="686" t="n"/>
      <c r="F707" s="570" t="n"/>
      <c r="G707" s="570" t="n"/>
      <c r="H707" s="570" t="n"/>
      <c r="I707" s="570" t="n"/>
      <c r="J707" s="570" t="n"/>
      <c r="K707" s="570" t="n"/>
      <c r="L707" s="570" t="n"/>
      <c r="M707" s="570" t="n"/>
      <c r="N707" s="570" t="n"/>
      <c r="O707" s="567" t="n"/>
      <c r="P707" s="687" t="n"/>
      <c r="Q707" s="687" t="n"/>
      <c r="R707" s="687" t="n"/>
    </row>
    <row r="708" ht="15.75" customHeight="1" s="557">
      <c r="A708" s="691" t="n"/>
      <c r="B708" s="570" t="n"/>
      <c r="C708" s="567" t="n"/>
      <c r="D708" s="689" t="n"/>
      <c r="E708" s="686" t="n"/>
      <c r="F708" s="570" t="n"/>
      <c r="G708" s="570" t="n"/>
      <c r="H708" s="570" t="n"/>
      <c r="I708" s="570" t="n"/>
      <c r="J708" s="570" t="n"/>
      <c r="K708" s="570" t="n"/>
      <c r="L708" s="570" t="n"/>
      <c r="M708" s="570" t="n"/>
      <c r="N708" s="570" t="n"/>
      <c r="O708" s="567" t="n"/>
      <c r="P708" s="687" t="n"/>
      <c r="Q708" s="687" t="n"/>
      <c r="R708" s="687" t="n"/>
    </row>
    <row r="709" ht="15.75" customHeight="1" s="557">
      <c r="A709" s="684" t="n"/>
      <c r="B709" s="570" t="n"/>
      <c r="C709" s="567" t="n"/>
      <c r="D709" s="689" t="n"/>
      <c r="E709" s="686" t="n"/>
      <c r="F709" s="570" t="n"/>
      <c r="G709" s="570" t="n"/>
      <c r="H709" s="570" t="n"/>
      <c r="I709" s="570" t="n"/>
      <c r="J709" s="570" t="n"/>
      <c r="K709" s="570" t="n"/>
      <c r="L709" s="570" t="n"/>
      <c r="M709" s="570" t="n"/>
      <c r="N709" s="570" t="n"/>
      <c r="O709" s="567" t="n"/>
      <c r="P709" s="687" t="n"/>
      <c r="Q709" s="687" t="n"/>
      <c r="R709" s="687" t="n"/>
    </row>
    <row r="710" ht="15.75" customHeight="1" s="557">
      <c r="A710" s="731" t="n"/>
      <c r="B710" s="570" t="n"/>
      <c r="C710" s="567" t="n"/>
      <c r="D710" s="689" t="n"/>
      <c r="E710" s="686" t="n"/>
      <c r="F710" s="570" t="n"/>
      <c r="G710" s="570" t="n"/>
      <c r="H710" s="570" t="n"/>
      <c r="I710" s="570" t="n"/>
      <c r="J710" s="570" t="n"/>
      <c r="K710" s="570" t="n"/>
      <c r="L710" s="570" t="n"/>
      <c r="M710" s="570" t="n"/>
      <c r="N710" s="570" t="n"/>
      <c r="O710" s="567" t="n"/>
      <c r="P710" s="687" t="n"/>
      <c r="Q710" s="687" t="n"/>
      <c r="R710" s="687" t="n"/>
    </row>
    <row r="711" ht="15.75" customHeight="1" s="557">
      <c r="A711" s="731" t="n"/>
      <c r="B711" s="570" t="n"/>
      <c r="C711" s="567" t="n"/>
      <c r="D711" s="689" t="n"/>
      <c r="E711" s="686" t="n"/>
      <c r="F711" s="570" t="n"/>
      <c r="G711" s="570" t="n"/>
      <c r="H711" s="570" t="n"/>
      <c r="I711" s="570" t="n"/>
      <c r="J711" s="570" t="n"/>
      <c r="K711" s="570" t="n"/>
      <c r="L711" s="570" t="n"/>
      <c r="M711" s="570" t="n"/>
      <c r="N711" s="570" t="n"/>
      <c r="O711" s="567" t="n"/>
      <c r="P711" s="732" t="n"/>
      <c r="Q711" s="732" t="n"/>
      <c r="R711" s="732" t="n"/>
    </row>
    <row r="712" ht="15.75" customHeight="1" s="557">
      <c r="A712" s="719" t="n"/>
      <c r="B712" s="678" t="n"/>
      <c r="C712" s="679" t="n"/>
      <c r="D712" s="720" t="n"/>
      <c r="E712" s="733" t="n"/>
      <c r="F712" s="678" t="n"/>
      <c r="G712" s="678" t="n"/>
      <c r="H712" s="678" t="n"/>
      <c r="I712" s="678" t="n"/>
      <c r="J712" s="678" t="n"/>
      <c r="K712" s="678" t="n"/>
      <c r="L712" s="678" t="n"/>
      <c r="M712" s="678" t="n"/>
      <c r="N712" s="678" t="n"/>
      <c r="O712" s="678" t="n"/>
      <c r="P712" s="678" t="n"/>
      <c r="Q712" s="678" t="n"/>
      <c r="R712" s="679" t="n"/>
    </row>
    <row r="713" ht="15.75" customHeight="1" s="557">
      <c r="A713" s="719" t="n"/>
      <c r="B713" s="678" t="n"/>
      <c r="C713" s="679" t="n"/>
      <c r="D713" s="720" t="n"/>
      <c r="E713" s="733" t="n"/>
      <c r="F713" s="678" t="n"/>
      <c r="G713" s="678" t="n"/>
      <c r="H713" s="678" t="n"/>
      <c r="I713" s="678" t="n"/>
      <c r="J713" s="678" t="n"/>
      <c r="K713" s="678" t="n"/>
      <c r="L713" s="678" t="n"/>
      <c r="M713" s="678" t="n"/>
      <c r="N713" s="678" t="n"/>
      <c r="O713" s="678" t="n"/>
      <c r="P713" s="678" t="n"/>
      <c r="Q713" s="678" t="n"/>
      <c r="R713" s="679" t="n"/>
    </row>
    <row r="714" ht="15.75" customHeight="1" s="557">
      <c r="A714" s="719" t="n"/>
      <c r="B714" s="678" t="n"/>
      <c r="C714" s="679" t="n"/>
      <c r="D714" s="720" t="n"/>
      <c r="E714" s="733" t="n"/>
      <c r="F714" s="678" t="n"/>
      <c r="G714" s="678" t="n"/>
      <c r="H714" s="678" t="n"/>
      <c r="I714" s="678" t="n"/>
      <c r="J714" s="678" t="n"/>
      <c r="K714" s="678" t="n"/>
      <c r="L714" s="678" t="n"/>
      <c r="M714" s="678" t="n"/>
      <c r="N714" s="678" t="n"/>
      <c r="O714" s="678" t="n"/>
      <c r="P714" s="678" t="n"/>
      <c r="Q714" s="678" t="n"/>
      <c r="R714" s="679" t="n"/>
    </row>
    <row r="715" ht="15.75" customHeight="1" s="557">
      <c r="A715" s="719" t="n"/>
      <c r="B715" s="678" t="n"/>
      <c r="C715" s="679" t="n"/>
      <c r="D715" s="720" t="n"/>
      <c r="E715" s="733" t="n"/>
      <c r="F715" s="678" t="n"/>
      <c r="G715" s="678" t="n"/>
      <c r="H715" s="678" t="n"/>
      <c r="I715" s="678" t="n"/>
      <c r="J715" s="678" t="n"/>
      <c r="K715" s="678" t="n"/>
      <c r="L715" s="678" t="n"/>
      <c r="M715" s="678" t="n"/>
      <c r="N715" s="678" t="n"/>
      <c r="O715" s="678" t="n"/>
      <c r="P715" s="678" t="n"/>
      <c r="Q715" s="678" t="n"/>
      <c r="R715" s="679" t="n"/>
    </row>
    <row r="716" ht="15.75" customHeight="1" s="557">
      <c r="A716" s="719" t="n"/>
      <c r="B716" s="678" t="n"/>
      <c r="C716" s="679" t="n"/>
      <c r="D716" s="720" t="n"/>
      <c r="E716" s="727" t="n"/>
      <c r="F716" s="570" t="n"/>
      <c r="G716" s="570" t="n"/>
      <c r="H716" s="570" t="n"/>
      <c r="I716" s="570" t="n"/>
      <c r="J716" s="570" t="n"/>
      <c r="K716" s="570" t="n"/>
      <c r="L716" s="570" t="n"/>
      <c r="M716" s="570" t="n"/>
      <c r="N716" s="570" t="n"/>
      <c r="O716" s="570" t="n"/>
      <c r="P716" s="570" t="n"/>
      <c r="Q716" s="570" t="n"/>
      <c r="R716" s="567" t="n"/>
    </row>
    <row r="717" ht="15.75" customHeight="1" s="557">
      <c r="A717" s="719" t="n"/>
      <c r="B717" s="678" t="n"/>
      <c r="C717" s="679" t="n"/>
      <c r="D717" s="720" t="n"/>
      <c r="E717" s="723" t="n"/>
      <c r="F717" s="570" t="n"/>
      <c r="G717" s="570" t="n"/>
      <c r="H717" s="570" t="n"/>
      <c r="I717" s="570" t="n"/>
      <c r="J717" s="570" t="n"/>
      <c r="K717" s="570" t="n"/>
      <c r="L717" s="570" t="n"/>
      <c r="M717" s="570" t="n"/>
      <c r="N717" s="570" t="n"/>
      <c r="O717" s="570" t="n"/>
      <c r="P717" s="570" t="n"/>
      <c r="Q717" s="570" t="n"/>
      <c r="R717" s="567" t="n"/>
    </row>
    <row r="718" ht="15.75" customHeight="1" s="557">
      <c r="A718" s="719" t="n"/>
      <c r="B718" s="678" t="n"/>
      <c r="C718" s="679" t="n"/>
      <c r="D718" s="734" t="n"/>
      <c r="E718" s="727" t="n"/>
      <c r="F718" s="570" t="n"/>
      <c r="G718" s="570" t="n"/>
      <c r="H718" s="570" t="n"/>
      <c r="I718" s="570" t="n"/>
      <c r="J718" s="570" t="n"/>
      <c r="K718" s="570" t="n"/>
      <c r="L718" s="570" t="n"/>
      <c r="M718" s="570" t="n"/>
      <c r="N718" s="570" t="n"/>
      <c r="O718" s="570" t="n"/>
      <c r="P718" s="570" t="n"/>
      <c r="Q718" s="570" t="n"/>
      <c r="R718" s="567" t="n"/>
    </row>
    <row r="719" ht="15.75" customHeight="1" s="557">
      <c r="A719" s="719" t="n"/>
      <c r="B719" s="678" t="n"/>
      <c r="C719" s="679" t="n"/>
      <c r="D719" s="720" t="n"/>
      <c r="E719" s="727" t="n"/>
      <c r="F719" s="570" t="n"/>
      <c r="G719" s="570" t="n"/>
      <c r="H719" s="570" t="n"/>
      <c r="I719" s="570" t="n"/>
      <c r="J719" s="570" t="n"/>
      <c r="K719" s="570" t="n"/>
      <c r="L719" s="570" t="n"/>
      <c r="M719" s="570" t="n"/>
      <c r="N719" s="570" t="n"/>
      <c r="O719" s="570" t="n"/>
      <c r="P719" s="570" t="n"/>
      <c r="Q719" s="570" t="n"/>
      <c r="R719" s="567" t="n"/>
    </row>
    <row r="720" ht="15.75" customHeight="1" s="557">
      <c r="A720" s="719" t="n"/>
      <c r="B720" s="678" t="n"/>
      <c r="C720" s="679" t="n"/>
      <c r="D720" s="720" t="n"/>
      <c r="E720" s="727" t="n"/>
      <c r="F720" s="570" t="n"/>
      <c r="G720" s="570" t="n"/>
      <c r="H720" s="570" t="n"/>
      <c r="I720" s="570" t="n"/>
      <c r="J720" s="570" t="n"/>
      <c r="K720" s="570" t="n"/>
      <c r="L720" s="570" t="n"/>
      <c r="M720" s="570" t="n"/>
      <c r="N720" s="570" t="n"/>
      <c r="O720" s="570" t="n"/>
      <c r="P720" s="570" t="n"/>
      <c r="Q720" s="570" t="n"/>
      <c r="R720" s="567" t="n"/>
    </row>
    <row r="721" ht="15.75" customHeight="1" s="557">
      <c r="A721" s="719" t="n"/>
      <c r="B721" s="678" t="n"/>
      <c r="C721" s="679" t="n"/>
      <c r="D721" s="720" t="n"/>
      <c r="E721" s="727" t="n"/>
      <c r="F721" s="570" t="n"/>
      <c r="G721" s="570" t="n"/>
      <c r="H721" s="570" t="n"/>
      <c r="I721" s="570" t="n"/>
      <c r="J721" s="570" t="n"/>
      <c r="K721" s="570" t="n"/>
      <c r="L721" s="570" t="n"/>
      <c r="M721" s="570" t="n"/>
      <c r="N721" s="570" t="n"/>
      <c r="O721" s="570" t="n"/>
      <c r="P721" s="570" t="n"/>
      <c r="Q721" s="570" t="n"/>
      <c r="R721" s="567" t="n"/>
    </row>
    <row r="722" ht="15.75" customHeight="1" s="557">
      <c r="A722" s="719" t="n"/>
      <c r="B722" s="678" t="n"/>
      <c r="C722" s="679" t="n"/>
      <c r="D722" s="720" t="n"/>
      <c r="E722" s="727" t="n"/>
      <c r="F722" s="570" t="n"/>
      <c r="G722" s="570" t="n"/>
      <c r="H722" s="570" t="n"/>
      <c r="I722" s="570" t="n"/>
      <c r="J722" s="570" t="n"/>
      <c r="K722" s="570" t="n"/>
      <c r="L722" s="570" t="n"/>
      <c r="M722" s="570" t="n"/>
      <c r="N722" s="570" t="n"/>
      <c r="O722" s="570" t="n"/>
      <c r="P722" s="570" t="n"/>
      <c r="Q722" s="570" t="n"/>
      <c r="R722" s="567" t="n"/>
    </row>
    <row r="723" ht="15.75" customHeight="1" s="557">
      <c r="A723" s="719" t="n"/>
      <c r="B723" s="678" t="n"/>
      <c r="C723" s="679" t="n"/>
      <c r="D723" s="720" t="n"/>
      <c r="E723" s="721" t="n"/>
      <c r="F723" s="570" t="n"/>
      <c r="G723" s="570" t="n"/>
      <c r="H723" s="570" t="n"/>
      <c r="I723" s="570" t="n"/>
      <c r="J723" s="570" t="n"/>
      <c r="K723" s="570" t="n"/>
      <c r="L723" s="570" t="n"/>
      <c r="M723" s="570" t="n"/>
      <c r="N723" s="570" t="n"/>
      <c r="O723" s="570" t="n"/>
      <c r="P723" s="570" t="n"/>
      <c r="Q723" s="570" t="n"/>
      <c r="R723" s="567" t="n"/>
    </row>
    <row r="724" ht="15.75" customHeight="1" s="557">
      <c r="A724" s="719" t="n"/>
      <c r="B724" s="678" t="n"/>
      <c r="C724" s="679" t="n"/>
      <c r="D724" s="720" t="n"/>
      <c r="E724" s="722" t="n"/>
      <c r="F724" s="570" t="n"/>
      <c r="G724" s="570" t="n"/>
      <c r="H724" s="570" t="n"/>
      <c r="I724" s="570" t="n"/>
      <c r="J724" s="570" t="n"/>
      <c r="K724" s="570" t="n"/>
      <c r="L724" s="570" t="n"/>
      <c r="M724" s="570" t="n"/>
      <c r="N724" s="570" t="n"/>
      <c r="O724" s="570" t="n"/>
      <c r="P724" s="570" t="n"/>
      <c r="Q724" s="570" t="n"/>
      <c r="R724" s="567" t="n"/>
    </row>
    <row r="725" ht="15.75" customHeight="1" s="557">
      <c r="A725" s="719" t="n"/>
      <c r="B725" s="678" t="n"/>
      <c r="C725" s="679" t="n"/>
      <c r="D725" s="720" t="n"/>
      <c r="E725" s="723" t="n"/>
      <c r="F725" s="570" t="n"/>
      <c r="G725" s="570" t="n"/>
      <c r="H725" s="570" t="n"/>
      <c r="I725" s="570" t="n"/>
      <c r="J725" s="570" t="n"/>
      <c r="K725" s="570" t="n"/>
      <c r="L725" s="570" t="n"/>
      <c r="M725" s="570" t="n"/>
      <c r="N725" s="570" t="n"/>
      <c r="O725" s="570" t="n"/>
      <c r="P725" s="570" t="n"/>
      <c r="Q725" s="570" t="n"/>
      <c r="R725" s="567" t="n"/>
    </row>
    <row r="726" ht="15.75" customHeight="1" s="557">
      <c r="A726" s="719" t="n"/>
      <c r="B726" s="678" t="n"/>
      <c r="C726" s="679" t="n"/>
      <c r="D726" s="720" t="n"/>
      <c r="E726" s="723" t="n"/>
      <c r="F726" s="570" t="n"/>
      <c r="G726" s="570" t="n"/>
      <c r="H726" s="570" t="n"/>
      <c r="I726" s="570" t="n"/>
      <c r="J726" s="570" t="n"/>
      <c r="K726" s="570" t="n"/>
      <c r="L726" s="570" t="n"/>
      <c r="M726" s="570" t="n"/>
      <c r="N726" s="570" t="n"/>
      <c r="O726" s="570" t="n"/>
      <c r="P726" s="570" t="n"/>
      <c r="Q726" s="570" t="n"/>
      <c r="R726" s="567" t="n"/>
    </row>
    <row r="727" ht="15.75" customHeight="1" s="557">
      <c r="A727" s="719" t="n"/>
      <c r="B727" s="678" t="n"/>
      <c r="C727" s="679" t="n"/>
      <c r="D727" s="720" t="n"/>
      <c r="E727" s="722" t="n"/>
      <c r="F727" s="570" t="n"/>
      <c r="G727" s="570" t="n"/>
      <c r="H727" s="570" t="n"/>
      <c r="I727" s="570" t="n"/>
      <c r="J727" s="570" t="n"/>
      <c r="K727" s="570" t="n"/>
      <c r="L727" s="570" t="n"/>
      <c r="M727" s="570" t="n"/>
      <c r="N727" s="570" t="n"/>
      <c r="O727" s="570" t="n"/>
      <c r="P727" s="570" t="n"/>
      <c r="Q727" s="570" t="n"/>
      <c r="R727" s="567" t="n"/>
    </row>
    <row r="728" ht="15.75" customHeight="1" s="557">
      <c r="A728" s="719" t="n"/>
      <c r="B728" s="678" t="n"/>
      <c r="C728" s="679" t="n"/>
      <c r="D728" s="720" t="n"/>
      <c r="E728" s="724" t="n"/>
      <c r="F728" s="570" t="n"/>
      <c r="G728" s="570" t="n"/>
      <c r="H728" s="570" t="n"/>
      <c r="I728" s="570" t="n"/>
      <c r="J728" s="570" t="n"/>
      <c r="K728" s="570" t="n"/>
      <c r="L728" s="570" t="n"/>
      <c r="M728" s="570" t="n"/>
      <c r="N728" s="570" t="n"/>
      <c r="O728" s="570" t="n"/>
      <c r="P728" s="570" t="n"/>
      <c r="Q728" s="570" t="n"/>
      <c r="R728" s="567" t="n"/>
    </row>
    <row r="729" ht="15.75" customHeight="1" s="557">
      <c r="A729" s="719" t="n"/>
      <c r="B729" s="678" t="n"/>
      <c r="C729" s="679" t="n"/>
      <c r="D729" s="720" t="n"/>
      <c r="E729" s="722" t="n"/>
      <c r="F729" s="570" t="n"/>
      <c r="G729" s="570" t="n"/>
      <c r="H729" s="570" t="n"/>
      <c r="I729" s="570" t="n"/>
      <c r="J729" s="570" t="n"/>
      <c r="K729" s="570" t="n"/>
      <c r="L729" s="570" t="n"/>
      <c r="M729" s="570" t="n"/>
      <c r="N729" s="570" t="n"/>
      <c r="O729" s="570" t="n"/>
      <c r="P729" s="570" t="n"/>
      <c r="Q729" s="570" t="n"/>
      <c r="R729" s="567" t="n"/>
    </row>
    <row r="730" ht="15.75" customHeight="1" s="557">
      <c r="A730" s="719" t="n"/>
      <c r="B730" s="678" t="n"/>
      <c r="C730" s="679" t="n"/>
      <c r="D730" s="720" t="n"/>
      <c r="E730" s="724" t="n"/>
      <c r="F730" s="570" t="n"/>
      <c r="G730" s="570" t="n"/>
      <c r="H730" s="570" t="n"/>
      <c r="I730" s="570" t="n"/>
      <c r="J730" s="570" t="n"/>
      <c r="K730" s="570" t="n"/>
      <c r="L730" s="570" t="n"/>
      <c r="M730" s="570" t="n"/>
      <c r="N730" s="570" t="n"/>
      <c r="O730" s="570" t="n"/>
      <c r="P730" s="570" t="n"/>
      <c r="Q730" s="570" t="n"/>
      <c r="R730" s="567" t="n"/>
    </row>
    <row r="731" ht="15.75" customHeight="1" s="557">
      <c r="A731" s="719" t="n"/>
      <c r="B731" s="678" t="n"/>
      <c r="C731" s="679" t="n"/>
      <c r="D731" s="720" t="n"/>
      <c r="E731" s="722" t="n"/>
      <c r="F731" s="570" t="n"/>
      <c r="G731" s="570" t="n"/>
      <c r="H731" s="570" t="n"/>
      <c r="I731" s="570" t="n"/>
      <c r="J731" s="570" t="n"/>
      <c r="K731" s="570" t="n"/>
      <c r="L731" s="570" t="n"/>
      <c r="M731" s="570" t="n"/>
      <c r="N731" s="570" t="n"/>
      <c r="O731" s="570" t="n"/>
      <c r="P731" s="570" t="n"/>
      <c r="Q731" s="570" t="n"/>
      <c r="R731" s="567" t="n"/>
    </row>
    <row r="732" ht="15.75" customHeight="1" s="557">
      <c r="A732" s="719" t="n"/>
      <c r="B732" s="678" t="n"/>
      <c r="C732" s="679" t="n"/>
      <c r="D732" s="720" t="n"/>
      <c r="E732" s="725" t="n"/>
      <c r="F732" s="570" t="n"/>
      <c r="G732" s="570" t="n"/>
      <c r="H732" s="570" t="n"/>
      <c r="I732" s="570" t="n"/>
      <c r="J732" s="570" t="n"/>
      <c r="K732" s="570" t="n"/>
      <c r="L732" s="570" t="n"/>
      <c r="M732" s="570" t="n"/>
      <c r="N732" s="570" t="n"/>
      <c r="O732" s="570" t="n"/>
      <c r="P732" s="570" t="n"/>
      <c r="Q732" s="570" t="n"/>
      <c r="R732" s="567" t="n"/>
    </row>
    <row r="733" ht="15.75" customHeight="1" s="557">
      <c r="A733" s="719" t="n"/>
      <c r="B733" s="678" t="n"/>
      <c r="C733" s="679" t="n"/>
      <c r="D733" s="720" t="n"/>
      <c r="E733" s="726" t="n"/>
      <c r="F733" s="570" t="n"/>
      <c r="G733" s="570" t="n"/>
      <c r="H733" s="570" t="n"/>
      <c r="I733" s="570" t="n"/>
      <c r="J733" s="570" t="n"/>
      <c r="K733" s="570" t="n"/>
      <c r="L733" s="570" t="n"/>
      <c r="M733" s="570" t="n"/>
      <c r="N733" s="570" t="n"/>
      <c r="O733" s="570" t="n"/>
      <c r="P733" s="570" t="n"/>
      <c r="Q733" s="570" t="n"/>
      <c r="R733" s="567" t="n"/>
    </row>
    <row r="734" ht="15.75" customHeight="1" s="557">
      <c r="A734" s="719" t="n"/>
      <c r="B734" s="678" t="n"/>
      <c r="C734" s="679" t="n"/>
      <c r="D734" s="720" t="n"/>
      <c r="E734" s="723" t="n"/>
      <c r="F734" s="570" t="n"/>
      <c r="G734" s="570" t="n"/>
      <c r="H734" s="570" t="n"/>
      <c r="I734" s="570" t="n"/>
      <c r="J734" s="570" t="n"/>
      <c r="K734" s="570" t="n"/>
      <c r="L734" s="570" t="n"/>
      <c r="M734" s="570" t="n"/>
      <c r="N734" s="570" t="n"/>
      <c r="O734" s="570" t="n"/>
      <c r="P734" s="570" t="n"/>
      <c r="Q734" s="570" t="n"/>
      <c r="R734" s="567" t="n"/>
    </row>
    <row r="735" ht="15.75" customHeight="1" s="557">
      <c r="A735" s="719" t="n"/>
      <c r="B735" s="678" t="n"/>
      <c r="C735" s="679" t="n"/>
      <c r="D735" s="720" t="n"/>
      <c r="E735" s="724" t="n"/>
      <c r="F735" s="570" t="n"/>
      <c r="G735" s="570" t="n"/>
      <c r="H735" s="570" t="n"/>
      <c r="I735" s="570" t="n"/>
      <c r="J735" s="570" t="n"/>
      <c r="K735" s="570" t="n"/>
      <c r="L735" s="570" t="n"/>
      <c r="M735" s="570" t="n"/>
      <c r="N735" s="570" t="n"/>
      <c r="O735" s="570" t="n"/>
      <c r="P735" s="570" t="n"/>
      <c r="Q735" s="570" t="n"/>
      <c r="R735" s="567" t="n"/>
    </row>
    <row r="736" ht="15.75" customHeight="1" s="557">
      <c r="A736" s="719" t="n"/>
      <c r="B736" s="678" t="n"/>
      <c r="C736" s="679" t="n"/>
      <c r="D736" s="720" t="n"/>
      <c r="E736" s="722" t="n"/>
      <c r="F736" s="570" t="n"/>
      <c r="G736" s="570" t="n"/>
      <c r="H736" s="570" t="n"/>
      <c r="I736" s="570" t="n"/>
      <c r="J736" s="570" t="n"/>
      <c r="K736" s="570" t="n"/>
      <c r="L736" s="570" t="n"/>
      <c r="M736" s="570" t="n"/>
      <c r="N736" s="570" t="n"/>
      <c r="O736" s="570" t="n"/>
      <c r="P736" s="570" t="n"/>
      <c r="Q736" s="570" t="n"/>
      <c r="R736" s="567" t="n"/>
    </row>
    <row r="737" ht="15.75" customHeight="1" s="557">
      <c r="A737" s="719" t="n"/>
      <c r="B737" s="678" t="n"/>
      <c r="C737" s="679" t="n"/>
      <c r="D737" s="720" t="n"/>
      <c r="E737" s="725" t="n"/>
      <c r="F737" s="570" t="n"/>
      <c r="G737" s="570" t="n"/>
      <c r="H737" s="570" t="n"/>
      <c r="I737" s="570" t="n"/>
      <c r="J737" s="570" t="n"/>
      <c r="K737" s="570" t="n"/>
      <c r="L737" s="570" t="n"/>
      <c r="M737" s="570" t="n"/>
      <c r="N737" s="570" t="n"/>
      <c r="O737" s="570" t="n"/>
      <c r="P737" s="570" t="n"/>
      <c r="Q737" s="570" t="n"/>
      <c r="R737" s="567" t="n"/>
    </row>
    <row r="738" ht="15.75" customHeight="1" s="557">
      <c r="A738" s="719" t="n"/>
      <c r="B738" s="678" t="n"/>
      <c r="C738" s="679" t="n"/>
      <c r="D738" s="720" t="n"/>
      <c r="E738" s="722" t="n"/>
      <c r="F738" s="570" t="n"/>
      <c r="G738" s="570" t="n"/>
      <c r="H738" s="570" t="n"/>
      <c r="I738" s="570" t="n"/>
      <c r="J738" s="570" t="n"/>
      <c r="K738" s="570" t="n"/>
      <c r="L738" s="570" t="n"/>
      <c r="M738" s="570" t="n"/>
      <c r="N738" s="570" t="n"/>
      <c r="O738" s="570" t="n"/>
      <c r="P738" s="570" t="n"/>
      <c r="Q738" s="570" t="n"/>
      <c r="R738" s="567" t="n"/>
    </row>
    <row r="739" ht="15.75" customHeight="1" s="557">
      <c r="A739" s="719" t="n"/>
      <c r="B739" s="678" t="n"/>
      <c r="C739" s="679" t="n"/>
      <c r="D739" s="720" t="n"/>
      <c r="E739" s="722" t="n"/>
      <c r="F739" s="570" t="n"/>
      <c r="G739" s="570" t="n"/>
      <c r="H739" s="570" t="n"/>
      <c r="I739" s="570" t="n"/>
      <c r="J739" s="570" t="n"/>
      <c r="K739" s="570" t="n"/>
      <c r="L739" s="570" t="n"/>
      <c r="M739" s="570" t="n"/>
      <c r="N739" s="570" t="n"/>
      <c r="O739" s="570" t="n"/>
      <c r="P739" s="570" t="n"/>
      <c r="Q739" s="570" t="n"/>
      <c r="R739" s="567" t="n"/>
    </row>
    <row r="740" ht="15.75" customHeight="1" s="557">
      <c r="A740" s="719" t="n"/>
      <c r="B740" s="678" t="n"/>
      <c r="C740" s="679" t="n"/>
      <c r="D740" s="720" t="n"/>
      <c r="E740" s="723" t="n"/>
      <c r="F740" s="570" t="n"/>
      <c r="G740" s="570" t="n"/>
      <c r="H740" s="570" t="n"/>
      <c r="I740" s="570" t="n"/>
      <c r="J740" s="570" t="n"/>
      <c r="K740" s="570" t="n"/>
      <c r="L740" s="570" t="n"/>
      <c r="M740" s="570" t="n"/>
      <c r="N740" s="570" t="n"/>
      <c r="O740" s="570" t="n"/>
      <c r="P740" s="570" t="n"/>
      <c r="Q740" s="570" t="n"/>
      <c r="R740" s="567" t="n"/>
    </row>
    <row r="741" ht="15.75" customHeight="1" s="557">
      <c r="A741" s="719" t="n"/>
      <c r="B741" s="678" t="n"/>
      <c r="C741" s="679" t="n"/>
      <c r="D741" s="720" t="n"/>
      <c r="E741" s="727" t="n"/>
      <c r="F741" s="570" t="n"/>
      <c r="G741" s="570" t="n"/>
      <c r="H741" s="570" t="n"/>
      <c r="I741" s="570" t="n"/>
      <c r="J741" s="570" t="n"/>
      <c r="K741" s="570" t="n"/>
      <c r="L741" s="570" t="n"/>
      <c r="M741" s="570" t="n"/>
      <c r="N741" s="570" t="n"/>
      <c r="O741" s="570" t="n"/>
      <c r="P741" s="570" t="n"/>
      <c r="Q741" s="570" t="n"/>
      <c r="R741" s="567" t="n"/>
    </row>
    <row r="742" ht="15.75" customHeight="1" s="557">
      <c r="A742" s="719" t="n"/>
      <c r="B742" s="678" t="n"/>
      <c r="C742" s="679" t="n"/>
      <c r="D742" s="720" t="n"/>
      <c r="E742" s="722" t="n"/>
      <c r="F742" s="570" t="n"/>
      <c r="G742" s="570" t="n"/>
      <c r="H742" s="570" t="n"/>
      <c r="I742" s="570" t="n"/>
      <c r="J742" s="570" t="n"/>
      <c r="K742" s="570" t="n"/>
      <c r="L742" s="570" t="n"/>
      <c r="M742" s="570" t="n"/>
      <c r="N742" s="570" t="n"/>
      <c r="O742" s="570" t="n"/>
      <c r="P742" s="570" t="n"/>
      <c r="Q742" s="570" t="n"/>
      <c r="R742" s="567" t="n"/>
    </row>
    <row r="743" ht="15.75" customHeight="1" s="557">
      <c r="A743" s="719" t="n"/>
      <c r="B743" s="678" t="n"/>
      <c r="C743" s="679" t="n"/>
      <c r="D743" s="720" t="n"/>
      <c r="E743" s="722" t="n"/>
      <c r="F743" s="570" t="n"/>
      <c r="G743" s="570" t="n"/>
      <c r="H743" s="570" t="n"/>
      <c r="I743" s="570" t="n"/>
      <c r="J743" s="570" t="n"/>
      <c r="K743" s="570" t="n"/>
      <c r="L743" s="570" t="n"/>
      <c r="M743" s="570" t="n"/>
      <c r="N743" s="570" t="n"/>
      <c r="O743" s="570" t="n"/>
      <c r="P743" s="570" t="n"/>
      <c r="Q743" s="570" t="n"/>
      <c r="R743" s="567" t="n"/>
    </row>
    <row r="744" ht="15.75" customHeight="1" s="557">
      <c r="A744" s="719" t="n"/>
      <c r="B744" s="678" t="n"/>
      <c r="C744" s="679" t="n"/>
      <c r="D744" s="720" t="n"/>
      <c r="E744" s="722" t="n"/>
      <c r="F744" s="570" t="n"/>
      <c r="G744" s="570" t="n"/>
      <c r="H744" s="570" t="n"/>
      <c r="I744" s="570" t="n"/>
      <c r="J744" s="570" t="n"/>
      <c r="K744" s="570" t="n"/>
      <c r="L744" s="570" t="n"/>
      <c r="M744" s="570" t="n"/>
      <c r="N744" s="570" t="n"/>
      <c r="O744" s="570" t="n"/>
      <c r="P744" s="570" t="n"/>
      <c r="Q744" s="570" t="n"/>
      <c r="R744" s="567" t="n"/>
    </row>
    <row r="745" ht="15.75" customHeight="1" s="557">
      <c r="A745" s="719" t="n"/>
      <c r="B745" s="678" t="n"/>
      <c r="C745" s="679" t="n"/>
      <c r="D745" s="720" t="n"/>
      <c r="E745" s="728" t="n"/>
      <c r="F745" s="678" t="n"/>
      <c r="G745" s="678" t="n"/>
      <c r="H745" s="678" t="n"/>
      <c r="I745" s="678" t="n"/>
      <c r="J745" s="678" t="n"/>
      <c r="K745" s="678" t="n"/>
      <c r="L745" s="678" t="n"/>
      <c r="M745" s="678" t="n"/>
      <c r="N745" s="678" t="n"/>
      <c r="O745" s="678" t="n"/>
      <c r="P745" s="678" t="n"/>
      <c r="Q745" s="678" t="n"/>
      <c r="R745" s="679" t="n"/>
    </row>
    <row r="746" ht="15.75" customHeight="1" s="557">
      <c r="A746" s="719" t="n"/>
      <c r="B746" s="678" t="n"/>
      <c r="C746" s="679" t="n"/>
      <c r="D746" s="720" t="n"/>
      <c r="E746" s="728" t="n"/>
      <c r="F746" s="678" t="n"/>
      <c r="G746" s="678" t="n"/>
      <c r="H746" s="678" t="n"/>
      <c r="I746" s="678" t="n"/>
      <c r="J746" s="678" t="n"/>
      <c r="K746" s="678" t="n"/>
      <c r="L746" s="678" t="n"/>
      <c r="M746" s="678" t="n"/>
      <c r="N746" s="678" t="n"/>
      <c r="O746" s="678" t="n"/>
      <c r="P746" s="678" t="n"/>
      <c r="Q746" s="678" t="n"/>
      <c r="R746" s="679" t="n"/>
    </row>
    <row r="747" ht="15.75" customHeight="1" s="557">
      <c r="A747" s="719" t="n"/>
      <c r="B747" s="678" t="n"/>
      <c r="C747" s="679" t="n"/>
      <c r="D747" s="729" t="n"/>
      <c r="E747" s="728" t="n"/>
      <c r="F747" s="678" t="n"/>
      <c r="G747" s="678" t="n"/>
      <c r="H747" s="678" t="n"/>
      <c r="I747" s="678" t="n"/>
      <c r="J747" s="678" t="n"/>
      <c r="K747" s="678" t="n"/>
      <c r="L747" s="678" t="n"/>
      <c r="M747" s="678" t="n"/>
      <c r="N747" s="678" t="n"/>
      <c r="O747" s="678" t="n"/>
      <c r="P747" s="678" t="n"/>
      <c r="Q747" s="678" t="n"/>
      <c r="R747" s="679" t="n"/>
    </row>
    <row r="748" ht="15.75" customHeight="1" s="557">
      <c r="A748" s="719" t="n"/>
      <c r="B748" s="678" t="n"/>
      <c r="C748" s="679" t="n"/>
      <c r="D748" s="729" t="n"/>
      <c r="E748" s="728" t="n"/>
      <c r="F748" s="678" t="n"/>
      <c r="G748" s="678" t="n"/>
      <c r="H748" s="678" t="n"/>
      <c r="I748" s="678" t="n"/>
      <c r="J748" s="678" t="n"/>
      <c r="K748" s="678" t="n"/>
      <c r="L748" s="678" t="n"/>
      <c r="M748" s="678" t="n"/>
      <c r="N748" s="678" t="n"/>
      <c r="O748" s="678" t="n"/>
      <c r="P748" s="678" t="n"/>
      <c r="Q748" s="678" t="n"/>
      <c r="R748" s="679" t="n"/>
    </row>
    <row r="749" ht="15.75" customHeight="1" s="557">
      <c r="A749" s="719" t="n"/>
      <c r="B749" s="678" t="n"/>
      <c r="C749" s="679" t="n"/>
      <c r="D749" s="729" t="n"/>
      <c r="E749" s="728" t="n"/>
      <c r="F749" s="678" t="n"/>
      <c r="G749" s="678" t="n"/>
      <c r="H749" s="678" t="n"/>
      <c r="I749" s="678" t="n"/>
      <c r="J749" s="678" t="n"/>
      <c r="K749" s="678" t="n"/>
      <c r="L749" s="678" t="n"/>
      <c r="M749" s="678" t="n"/>
      <c r="N749" s="678" t="n"/>
      <c r="O749" s="678" t="n"/>
      <c r="P749" s="678" t="n"/>
      <c r="Q749" s="678" t="n"/>
      <c r="R749" s="679" t="n"/>
    </row>
    <row r="750" ht="14.25" customHeight="1" s="557">
      <c r="A750" s="735" t="n"/>
      <c r="B750" s="647" t="n"/>
      <c r="C750" s="647" t="n"/>
      <c r="D750" s="647" t="n"/>
      <c r="E750" s="647" t="n"/>
      <c r="F750" s="647" t="n"/>
      <c r="G750" s="647" t="n"/>
      <c r="H750" s="647" t="n"/>
      <c r="I750" s="647" t="n"/>
      <c r="J750" s="647" t="n"/>
      <c r="K750" s="647" t="n"/>
      <c r="L750" s="647" t="n"/>
      <c r="M750" s="647" t="n"/>
      <c r="N750" s="647" t="n"/>
      <c r="O750" s="647" t="n"/>
      <c r="P750" s="647" t="n"/>
      <c r="Q750" s="647" t="n"/>
      <c r="R750" s="736" t="n"/>
      <c r="S750" s="737" t="n"/>
      <c r="T750" s="737" t="n"/>
      <c r="U750" s="737" t="n"/>
      <c r="V750" s="737" t="n"/>
      <c r="W750" s="737" t="n"/>
      <c r="X750" s="737" t="n"/>
      <c r="Y750" s="737" t="n"/>
      <c r="Z750" s="737" t="n"/>
      <c r="AA750" s="737" t="n"/>
      <c r="AB750" s="737" t="n"/>
      <c r="AC750" s="737" t="n"/>
      <c r="AD750" s="737" t="n"/>
      <c r="AE750" s="737" t="n"/>
      <c r="AF750" s="737" t="n"/>
      <c r="AG750" s="737" t="n"/>
      <c r="AH750" s="737" t="n"/>
      <c r="AI750" s="737" t="n"/>
      <c r="AJ750" s="737" t="n"/>
      <c r="AK750" s="738" t="n"/>
    </row>
    <row r="751" ht="27" customHeight="1" s="557">
      <c r="A751" s="739" t="n"/>
      <c r="E751" s="740" t="n"/>
      <c r="M751" s="739" t="n"/>
      <c r="R751" s="741" t="n"/>
      <c r="T751" s="742" t="n"/>
      <c r="U751" s="742" t="n"/>
      <c r="V751" s="742" t="n"/>
      <c r="W751" s="742" t="n"/>
      <c r="X751" s="742" t="n"/>
      <c r="Y751" s="742" t="n"/>
      <c r="Z751" s="742" t="n"/>
      <c r="AD751" s="743" t="n"/>
      <c r="AK751" s="744" t="n"/>
    </row>
    <row r="752" ht="27" customHeight="1" s="557">
      <c r="A752" s="740" t="n"/>
      <c r="M752" s="745" t="n"/>
      <c r="T752" s="742" t="n"/>
      <c r="U752" s="742" t="n"/>
      <c r="V752" s="742" t="n"/>
      <c r="W752" s="742" t="n"/>
      <c r="X752" s="742" t="n"/>
      <c r="Y752" s="742" t="n"/>
      <c r="Z752" s="742" t="n"/>
      <c r="AK752" s="744" t="n"/>
    </row>
    <row r="753" ht="15" customHeight="1" s="557">
      <c r="A753" s="746" t="n"/>
      <c r="E753" s="747" t="n"/>
      <c r="J753" s="748" t="n"/>
      <c r="K753" s="746" t="n"/>
      <c r="O753" s="749" t="n"/>
    </row>
    <row r="754" ht="13.5" customHeight="1" s="557"/>
    <row r="755" ht="12" customHeight="1" s="557">
      <c r="A755" s="750" t="n"/>
    </row>
    <row r="756" ht="12" customHeight="1" s="557"/>
    <row r="757" ht="12" customHeight="1" s="557"/>
    <row r="758" ht="12" customHeight="1" s="557"/>
    <row r="759" ht="12" customHeight="1" s="557"/>
    <row r="760" ht="12" customHeight="1" s="557">
      <c r="A760" s="751" t="n"/>
      <c r="B760" s="751" t="n"/>
      <c r="C760" s="751" t="n"/>
      <c r="D760" s="751" t="n"/>
      <c r="E760" s="751" t="n"/>
      <c r="F760" s="751" t="n"/>
      <c r="G760" s="751" t="n"/>
      <c r="H760" s="751" t="n"/>
      <c r="I760" s="751" t="n"/>
      <c r="J760" s="751" t="n"/>
      <c r="K760" s="751" t="n"/>
      <c r="L760" s="751" t="n"/>
      <c r="M760" s="751" t="n"/>
      <c r="N760" s="751" t="n"/>
      <c r="O760" s="752" t="n"/>
      <c r="P760" s="751" t="n"/>
      <c r="Q760" s="751" t="n"/>
      <c r="R760" s="751" t="n"/>
    </row>
    <row r="761" ht="12" customHeight="1" s="557">
      <c r="A761" s="751" t="n"/>
      <c r="B761" s="751" t="n"/>
      <c r="C761" s="751" t="n"/>
      <c r="D761" s="751" t="n"/>
      <c r="E761" s="751" t="n"/>
      <c r="F761" s="751" t="n"/>
      <c r="G761" s="751" t="n"/>
      <c r="H761" s="751" t="n"/>
      <c r="I761" s="751" t="n"/>
      <c r="J761" s="751" t="n"/>
      <c r="K761" s="751" t="n"/>
      <c r="L761" s="751" t="n"/>
      <c r="M761" s="751" t="n"/>
      <c r="N761" s="751" t="n"/>
      <c r="O761" s="752" t="n"/>
      <c r="P761" s="751" t="n"/>
      <c r="Q761" s="751" t="n"/>
      <c r="R761" s="751" t="n"/>
    </row>
    <row r="762" ht="12" customHeight="1" s="557">
      <c r="A762" s="751" t="n"/>
      <c r="B762" s="751" t="n"/>
      <c r="C762" s="751" t="n"/>
      <c r="D762" s="751" t="n"/>
      <c r="E762" s="751" t="n"/>
      <c r="F762" s="751" t="n"/>
      <c r="G762" s="751" t="n"/>
      <c r="H762" s="751" t="n"/>
      <c r="I762" s="751" t="n"/>
      <c r="J762" s="751" t="n"/>
      <c r="K762" s="751" t="n"/>
      <c r="L762" s="751" t="n"/>
      <c r="M762" s="751" t="n"/>
      <c r="N762" s="751" t="n"/>
      <c r="O762" s="752" t="n"/>
      <c r="P762" s="751" t="n"/>
      <c r="Q762" s="751" t="n"/>
      <c r="R762" s="751" t="n"/>
    </row>
    <row r="763" ht="12" customHeight="1" s="557">
      <c r="A763" s="751" t="n"/>
      <c r="B763" s="751" t="n"/>
      <c r="C763" s="751" t="n"/>
      <c r="D763" s="751" t="n"/>
      <c r="E763" s="751" t="n"/>
      <c r="F763" s="751" t="n"/>
      <c r="G763" s="751" t="n"/>
      <c r="H763" s="751" t="n"/>
      <c r="I763" s="751" t="n"/>
      <c r="J763" s="751" t="n"/>
      <c r="K763" s="751" t="n"/>
      <c r="L763" s="751" t="n"/>
      <c r="M763" s="751" t="n"/>
      <c r="N763" s="751" t="n"/>
      <c r="O763" s="752" t="n"/>
      <c r="P763" s="751" t="n"/>
      <c r="Q763" s="751" t="n"/>
      <c r="R763" s="751" t="n"/>
    </row>
    <row r="764" ht="12" customHeight="1" s="557">
      <c r="A764" s="751" t="n"/>
      <c r="B764" s="751" t="n"/>
      <c r="C764" s="751" t="n"/>
      <c r="D764" s="751" t="n"/>
      <c r="E764" s="751" t="n"/>
      <c r="F764" s="751" t="n"/>
      <c r="G764" s="751" t="n"/>
      <c r="H764" s="751" t="n"/>
      <c r="I764" s="751" t="n"/>
      <c r="J764" s="751" t="n"/>
      <c r="K764" s="751" t="n"/>
      <c r="L764" s="751" t="n"/>
      <c r="M764" s="751" t="n"/>
      <c r="N764" s="751" t="n"/>
      <c r="O764" s="752" t="n"/>
      <c r="P764" s="751" t="n"/>
      <c r="Q764" s="751" t="n"/>
      <c r="R764" s="751" t="n"/>
    </row>
    <row r="765" ht="12" customHeight="1" s="557">
      <c r="A765" s="751" t="n"/>
      <c r="B765" s="751" t="n"/>
      <c r="C765" s="751" t="n"/>
      <c r="D765" s="751" t="n"/>
      <c r="E765" s="751" t="n"/>
      <c r="F765" s="751" t="n"/>
      <c r="G765" s="751" t="n"/>
      <c r="H765" s="751" t="n"/>
      <c r="I765" s="751" t="n"/>
      <c r="J765" s="751" t="n"/>
      <c r="K765" s="751" t="n"/>
      <c r="L765" s="751" t="n"/>
      <c r="M765" s="751" t="n"/>
      <c r="N765" s="751" t="n"/>
      <c r="O765" s="752" t="n"/>
      <c r="P765" s="751" t="n"/>
      <c r="Q765" s="751" t="n"/>
      <c r="R765" s="751" t="n"/>
    </row>
    <row r="766" ht="12" customHeight="1" s="557">
      <c r="A766" s="751" t="n"/>
      <c r="B766" s="751" t="n"/>
      <c r="C766" s="751" t="n"/>
      <c r="D766" s="751" t="n"/>
      <c r="E766" s="751" t="n"/>
      <c r="F766" s="751" t="n"/>
      <c r="G766" s="751" t="n"/>
      <c r="H766" s="751" t="n"/>
      <c r="I766" s="751" t="n"/>
      <c r="J766" s="751" t="n"/>
      <c r="K766" s="751" t="n"/>
      <c r="L766" s="751" t="n"/>
      <c r="M766" s="751" t="n"/>
      <c r="N766" s="751" t="n"/>
      <c r="O766" s="752" t="n"/>
      <c r="P766" s="751" t="n"/>
      <c r="Q766" s="751" t="n"/>
      <c r="R766" s="751" t="n"/>
    </row>
    <row r="767" ht="12" customHeight="1" s="557">
      <c r="A767" s="751" t="n"/>
      <c r="B767" s="751" t="n"/>
      <c r="C767" s="751" t="n"/>
      <c r="D767" s="751" t="n"/>
      <c r="E767" s="751" t="n"/>
      <c r="F767" s="751" t="n"/>
      <c r="G767" s="751" t="n"/>
      <c r="H767" s="751" t="n"/>
      <c r="I767" s="751" t="n"/>
      <c r="J767" s="751" t="n"/>
      <c r="K767" s="751" t="n"/>
      <c r="L767" s="751" t="n"/>
      <c r="M767" s="751" t="n"/>
      <c r="N767" s="751" t="n"/>
      <c r="O767" s="752" t="n"/>
      <c r="P767" s="751" t="n"/>
      <c r="Q767" s="751" t="n"/>
      <c r="R767" s="751" t="n"/>
    </row>
    <row r="768" ht="12" customHeight="1" s="557">
      <c r="A768" s="751" t="n"/>
      <c r="B768" s="751" t="n"/>
      <c r="C768" s="751" t="n"/>
      <c r="D768" s="751" t="n"/>
      <c r="E768" s="751" t="n"/>
      <c r="F768" s="751" t="n"/>
      <c r="G768" s="751" t="n"/>
      <c r="H768" s="751" t="n"/>
      <c r="I768" s="751" t="n"/>
      <c r="J768" s="751" t="n"/>
      <c r="K768" s="751" t="n"/>
      <c r="L768" s="751" t="n"/>
      <c r="M768" s="751" t="n"/>
      <c r="N768" s="751" t="n"/>
      <c r="O768" s="752" t="n"/>
      <c r="P768" s="751" t="n"/>
      <c r="Q768" s="751" t="n"/>
      <c r="R768" s="751" t="n"/>
    </row>
    <row r="769" ht="12" customHeight="1" s="557">
      <c r="A769" s="751" t="n"/>
      <c r="B769" s="751" t="n"/>
      <c r="C769" s="751" t="n"/>
      <c r="D769" s="751" t="n"/>
      <c r="E769" s="751" t="n"/>
      <c r="F769" s="751" t="n"/>
      <c r="G769" s="751" t="n"/>
      <c r="H769" s="751" t="n"/>
      <c r="I769" s="751" t="n"/>
      <c r="J769" s="751" t="n"/>
      <c r="K769" s="751" t="n"/>
      <c r="L769" s="751" t="n"/>
      <c r="M769" s="751" t="n"/>
      <c r="N769" s="751" t="n"/>
      <c r="O769" s="752" t="n"/>
      <c r="P769" s="751" t="n"/>
      <c r="Q769" s="751" t="n"/>
      <c r="R769" s="751" t="n"/>
    </row>
    <row r="770" ht="12" customHeight="1" s="557">
      <c r="A770" s="751" t="n"/>
      <c r="B770" s="751" t="n"/>
      <c r="C770" s="751" t="n"/>
      <c r="D770" s="751" t="n"/>
      <c r="E770" s="751" t="n"/>
      <c r="F770" s="751" t="n"/>
      <c r="G770" s="751" t="n"/>
      <c r="H770" s="751" t="n"/>
      <c r="I770" s="751" t="n"/>
      <c r="J770" s="751" t="n"/>
      <c r="K770" s="751" t="n"/>
      <c r="L770" s="751" t="n"/>
      <c r="M770" s="751" t="n"/>
      <c r="N770" s="751" t="n"/>
      <c r="O770" s="752" t="n"/>
      <c r="P770" s="751" t="n"/>
      <c r="Q770" s="751" t="n"/>
      <c r="R770" s="751" t="n"/>
    </row>
    <row r="771" ht="12" customHeight="1" s="557">
      <c r="A771" s="751" t="n"/>
      <c r="B771" s="751" t="n"/>
      <c r="C771" s="751" t="n"/>
      <c r="D771" s="751" t="n"/>
      <c r="E771" s="751" t="n"/>
      <c r="F771" s="751" t="n"/>
      <c r="G771" s="751" t="n"/>
      <c r="H771" s="751" t="n"/>
      <c r="I771" s="751" t="n"/>
      <c r="J771" s="751" t="n"/>
      <c r="K771" s="751" t="n"/>
      <c r="L771" s="751" t="n"/>
      <c r="M771" s="751" t="n"/>
      <c r="N771" s="751" t="n"/>
      <c r="O771" s="752" t="n"/>
      <c r="P771" s="751" t="n"/>
      <c r="Q771" s="751" t="n"/>
      <c r="R771" s="751" t="n"/>
    </row>
    <row r="772" ht="12" customHeight="1" s="557">
      <c r="A772" s="751" t="n"/>
      <c r="B772" s="751" t="n"/>
      <c r="C772" s="751" t="n"/>
      <c r="D772" s="751" t="n"/>
      <c r="E772" s="751" t="n"/>
      <c r="F772" s="751" t="n"/>
      <c r="G772" s="751" t="n"/>
      <c r="H772" s="751" t="n"/>
      <c r="I772" s="751" t="n"/>
      <c r="J772" s="751" t="n"/>
      <c r="K772" s="751" t="n"/>
      <c r="L772" s="751" t="n"/>
      <c r="M772" s="751" t="n"/>
      <c r="N772" s="751" t="n"/>
      <c r="O772" s="752" t="n"/>
      <c r="P772" s="751" t="n"/>
      <c r="Q772" s="751" t="n"/>
      <c r="R772" s="751" t="n"/>
    </row>
    <row r="773" ht="12" customHeight="1" s="557">
      <c r="A773" s="751" t="n"/>
      <c r="B773" s="751" t="n"/>
      <c r="C773" s="751" t="n"/>
      <c r="D773" s="751" t="n"/>
      <c r="E773" s="751" t="n"/>
      <c r="F773" s="751" t="n"/>
      <c r="G773" s="751" t="n"/>
      <c r="H773" s="751" t="n"/>
      <c r="I773" s="751" t="n"/>
      <c r="J773" s="751" t="n"/>
      <c r="K773" s="751" t="n"/>
      <c r="L773" s="751" t="n"/>
      <c r="M773" s="751" t="n"/>
      <c r="N773" s="751" t="n"/>
      <c r="O773" s="752" t="n"/>
      <c r="P773" s="751" t="n"/>
      <c r="Q773" s="751" t="n"/>
      <c r="R773" s="751" t="n"/>
    </row>
    <row r="774" ht="12" customHeight="1" s="557">
      <c r="A774" s="751" t="n"/>
      <c r="B774" s="751" t="n"/>
      <c r="C774" s="751" t="n"/>
      <c r="D774" s="751" t="n"/>
      <c r="E774" s="751" t="n"/>
      <c r="F774" s="751" t="n"/>
      <c r="G774" s="751" t="n"/>
      <c r="H774" s="751" t="n"/>
      <c r="I774" s="751" t="n"/>
      <c r="J774" s="751" t="n"/>
      <c r="K774" s="751" t="n"/>
      <c r="L774" s="751" t="n"/>
      <c r="M774" s="751" t="n"/>
      <c r="N774" s="751" t="n"/>
      <c r="O774" s="752" t="n"/>
      <c r="P774" s="751" t="n"/>
      <c r="Q774" s="751" t="n"/>
      <c r="R774" s="751" t="n"/>
    </row>
    <row r="775" ht="12" customHeight="1" s="557">
      <c r="A775" s="751" t="n"/>
      <c r="B775" s="751" t="n"/>
      <c r="C775" s="751" t="n"/>
      <c r="D775" s="751" t="n"/>
      <c r="E775" s="751" t="n"/>
      <c r="F775" s="751" t="n"/>
      <c r="G775" s="751" t="n"/>
      <c r="H775" s="751" t="n"/>
      <c r="I775" s="751" t="n"/>
      <c r="J775" s="751" t="n"/>
      <c r="K775" s="751" t="n"/>
      <c r="L775" s="751" t="n"/>
      <c r="M775" s="751" t="n"/>
      <c r="N775" s="751" t="n"/>
      <c r="O775" s="752" t="n"/>
      <c r="P775" s="751" t="n"/>
      <c r="Q775" s="751" t="n"/>
      <c r="R775" s="751" t="n"/>
    </row>
    <row r="776" ht="12" customHeight="1" s="557">
      <c r="A776" s="751" t="n"/>
      <c r="B776" s="751" t="n"/>
      <c r="C776" s="751" t="n"/>
      <c r="D776" s="751" t="n"/>
      <c r="E776" s="751" t="n"/>
      <c r="F776" s="751" t="n"/>
      <c r="G776" s="751" t="n"/>
      <c r="H776" s="751" t="n"/>
      <c r="I776" s="751" t="n"/>
      <c r="J776" s="751" t="n"/>
      <c r="K776" s="751" t="n"/>
      <c r="L776" s="751" t="n"/>
      <c r="M776" s="751" t="n"/>
      <c r="N776" s="751" t="n"/>
      <c r="O776" s="752" t="n"/>
      <c r="P776" s="751" t="n"/>
      <c r="Q776" s="751" t="n"/>
      <c r="R776" s="751" t="n"/>
    </row>
    <row r="777" ht="12" customHeight="1" s="557">
      <c r="A777" s="751" t="n"/>
      <c r="B777" s="751" t="n"/>
      <c r="C777" s="751" t="n"/>
      <c r="D777" s="751" t="n"/>
      <c r="E777" s="751" t="n"/>
      <c r="F777" s="751" t="n"/>
      <c r="G777" s="751" t="n"/>
      <c r="H777" s="751" t="n"/>
      <c r="I777" s="751" t="n"/>
      <c r="J777" s="751" t="n"/>
      <c r="K777" s="751" t="n"/>
      <c r="L777" s="751" t="n"/>
      <c r="M777" s="751" t="n"/>
      <c r="N777" s="751" t="n"/>
      <c r="O777" s="752" t="n"/>
      <c r="P777" s="751" t="n"/>
      <c r="Q777" s="751" t="n"/>
      <c r="R777" s="751" t="n"/>
    </row>
    <row r="778" ht="12" customHeight="1" s="557">
      <c r="A778" s="751" t="n"/>
      <c r="B778" s="751" t="n"/>
      <c r="C778" s="751" t="n"/>
      <c r="D778" s="751" t="n"/>
      <c r="E778" s="751" t="n"/>
      <c r="F778" s="751" t="n"/>
      <c r="G778" s="751" t="n"/>
      <c r="H778" s="751" t="n"/>
      <c r="I778" s="751" t="n"/>
      <c r="J778" s="751" t="n"/>
      <c r="K778" s="751" t="n"/>
      <c r="L778" s="751" t="n"/>
      <c r="M778" s="751" t="n"/>
      <c r="N778" s="751" t="n"/>
      <c r="O778" s="752" t="n"/>
      <c r="P778" s="751" t="n"/>
      <c r="Q778" s="751" t="n"/>
      <c r="R778" s="751" t="n"/>
    </row>
    <row r="779" ht="12" customHeight="1" s="557">
      <c r="A779" s="751" t="n"/>
      <c r="B779" s="751" t="n"/>
      <c r="C779" s="751" t="n"/>
      <c r="D779" s="751" t="n"/>
      <c r="E779" s="751" t="n"/>
      <c r="F779" s="751" t="n"/>
      <c r="G779" s="751" t="n"/>
      <c r="H779" s="751" t="n"/>
      <c r="I779" s="751" t="n"/>
      <c r="J779" s="751" t="n"/>
      <c r="K779" s="751" t="n"/>
      <c r="L779" s="751" t="n"/>
      <c r="M779" s="751" t="n"/>
      <c r="N779" s="751" t="n"/>
      <c r="O779" s="752" t="n"/>
      <c r="P779" s="751" t="n"/>
      <c r="Q779" s="751" t="n"/>
      <c r="R779" s="751" t="n"/>
    </row>
    <row r="780" ht="12" customHeight="1" s="557">
      <c r="A780" s="751" t="n"/>
      <c r="B780" s="751" t="n"/>
      <c r="C780" s="751" t="n"/>
      <c r="D780" s="751" t="n"/>
      <c r="E780" s="751" t="n"/>
      <c r="F780" s="751" t="n"/>
      <c r="G780" s="751" t="n"/>
      <c r="H780" s="751" t="n"/>
      <c r="I780" s="751" t="n"/>
      <c r="J780" s="751" t="n"/>
      <c r="K780" s="751" t="n"/>
      <c r="L780" s="751" t="n"/>
      <c r="M780" s="751" t="n"/>
      <c r="N780" s="751" t="n"/>
      <c r="O780" s="752" t="n"/>
      <c r="P780" s="751" t="n"/>
      <c r="Q780" s="751" t="n"/>
      <c r="R780" s="751" t="n"/>
    </row>
    <row r="781" ht="12" customHeight="1" s="557">
      <c r="A781" s="751" t="n"/>
      <c r="B781" s="751" t="n"/>
      <c r="C781" s="751" t="n"/>
      <c r="D781" s="751" t="n"/>
      <c r="E781" s="751" t="n"/>
      <c r="F781" s="751" t="n"/>
      <c r="G781" s="751" t="n"/>
      <c r="H781" s="751" t="n"/>
      <c r="I781" s="751" t="n"/>
      <c r="J781" s="751" t="n"/>
      <c r="K781" s="751" t="n"/>
      <c r="L781" s="751" t="n"/>
      <c r="M781" s="751" t="n"/>
      <c r="N781" s="751" t="n"/>
      <c r="O781" s="752" t="n"/>
      <c r="P781" s="751" t="n"/>
      <c r="Q781" s="751" t="n"/>
      <c r="R781" s="751" t="n"/>
    </row>
    <row r="782" ht="12" customHeight="1" s="557">
      <c r="A782" s="751" t="n"/>
      <c r="B782" s="751" t="n"/>
      <c r="C782" s="751" t="n"/>
      <c r="D782" s="751" t="n"/>
      <c r="E782" s="751" t="n"/>
      <c r="F782" s="751" t="n"/>
      <c r="G782" s="751" t="n"/>
      <c r="H782" s="751" t="n"/>
      <c r="I782" s="751" t="n"/>
      <c r="J782" s="751" t="n"/>
      <c r="K782" s="751" t="n"/>
      <c r="L782" s="751" t="n"/>
      <c r="M782" s="751" t="n"/>
      <c r="N782" s="751" t="n"/>
      <c r="O782" s="752" t="n"/>
      <c r="P782" s="751" t="n"/>
      <c r="Q782" s="751" t="n"/>
      <c r="R782" s="751" t="n"/>
    </row>
    <row r="783" ht="12" customHeight="1" s="557">
      <c r="A783" s="751" t="n"/>
      <c r="B783" s="751" t="n"/>
      <c r="C783" s="751" t="n"/>
      <c r="D783" s="751" t="n"/>
      <c r="E783" s="751" t="n"/>
      <c r="F783" s="751" t="n"/>
      <c r="G783" s="751" t="n"/>
      <c r="H783" s="751" t="n"/>
      <c r="I783" s="751" t="n"/>
      <c r="J783" s="751" t="n"/>
      <c r="K783" s="751" t="n"/>
      <c r="L783" s="751" t="n"/>
      <c r="M783" s="751" t="n"/>
      <c r="N783" s="751" t="n"/>
      <c r="O783" s="752" t="n"/>
      <c r="P783" s="751" t="n"/>
      <c r="Q783" s="751" t="n"/>
      <c r="R783" s="751" t="n"/>
    </row>
    <row r="784" ht="12" customHeight="1" s="557">
      <c r="A784" s="751" t="n"/>
      <c r="B784" s="751" t="n"/>
      <c r="C784" s="751" t="n"/>
      <c r="D784" s="751" t="n"/>
      <c r="E784" s="751" t="n"/>
      <c r="F784" s="751" t="n"/>
      <c r="G784" s="751" t="n"/>
      <c r="H784" s="751" t="n"/>
      <c r="I784" s="751" t="n"/>
      <c r="J784" s="751" t="n"/>
      <c r="K784" s="751" t="n"/>
      <c r="L784" s="751" t="n"/>
      <c r="M784" s="751" t="n"/>
      <c r="N784" s="751" t="n"/>
      <c r="O784" s="752" t="n"/>
      <c r="P784" s="751" t="n"/>
      <c r="Q784" s="751" t="n"/>
      <c r="R784" s="751" t="n"/>
    </row>
    <row r="785" ht="12" customHeight="1" s="557">
      <c r="A785" s="751" t="n"/>
      <c r="B785" s="751" t="n"/>
      <c r="C785" s="751" t="n"/>
      <c r="D785" s="751" t="n"/>
      <c r="E785" s="751" t="n"/>
      <c r="F785" s="751" t="n"/>
      <c r="G785" s="751" t="n"/>
      <c r="H785" s="751" t="n"/>
      <c r="I785" s="751" t="n"/>
      <c r="J785" s="751" t="n"/>
      <c r="K785" s="751" t="n"/>
      <c r="L785" s="751" t="n"/>
      <c r="M785" s="751" t="n"/>
      <c r="N785" s="751" t="n"/>
      <c r="O785" s="752" t="n"/>
      <c r="P785" s="751" t="n"/>
      <c r="Q785" s="751" t="n"/>
      <c r="R785" s="751" t="n"/>
    </row>
    <row r="786" ht="12" customHeight="1" s="557">
      <c r="A786" s="751" t="n"/>
      <c r="B786" s="751" t="n"/>
      <c r="C786" s="751" t="n"/>
      <c r="D786" s="751" t="n"/>
      <c r="E786" s="751" t="n"/>
      <c r="F786" s="751" t="n"/>
      <c r="G786" s="751" t="n"/>
      <c r="H786" s="751" t="n"/>
      <c r="I786" s="751" t="n"/>
      <c r="J786" s="751" t="n"/>
      <c r="K786" s="751" t="n"/>
      <c r="L786" s="751" t="n"/>
      <c r="M786" s="751" t="n"/>
      <c r="N786" s="751" t="n"/>
      <c r="O786" s="752" t="n"/>
      <c r="P786" s="751" t="n"/>
      <c r="Q786" s="751" t="n"/>
      <c r="R786" s="751" t="n"/>
    </row>
    <row r="787" ht="12" customHeight="1" s="557">
      <c r="A787" s="751" t="n"/>
      <c r="B787" s="751" t="n"/>
      <c r="C787" s="751" t="n"/>
      <c r="D787" s="751" t="n"/>
      <c r="E787" s="751" t="n"/>
      <c r="F787" s="751" t="n"/>
      <c r="G787" s="751" t="n"/>
      <c r="H787" s="751" t="n"/>
      <c r="I787" s="751" t="n"/>
      <c r="J787" s="751" t="n"/>
      <c r="K787" s="751" t="n"/>
      <c r="L787" s="751" t="n"/>
      <c r="M787" s="751" t="n"/>
      <c r="N787" s="751" t="n"/>
      <c r="O787" s="752" t="n"/>
      <c r="P787" s="751" t="n"/>
      <c r="Q787" s="751" t="n"/>
      <c r="R787" s="751" t="n"/>
    </row>
    <row r="788" ht="12" customHeight="1" s="557">
      <c r="A788" s="751" t="n"/>
      <c r="B788" s="751" t="n"/>
      <c r="C788" s="751" t="n"/>
      <c r="D788" s="751" t="n"/>
      <c r="E788" s="751" t="n"/>
      <c r="F788" s="751" t="n"/>
      <c r="G788" s="751" t="n"/>
      <c r="H788" s="751" t="n"/>
      <c r="I788" s="751" t="n"/>
      <c r="J788" s="751" t="n"/>
      <c r="K788" s="751" t="n"/>
      <c r="L788" s="751" t="n"/>
      <c r="M788" s="751" t="n"/>
      <c r="N788" s="751" t="n"/>
      <c r="O788" s="752" t="n"/>
      <c r="P788" s="751" t="n"/>
      <c r="Q788" s="751" t="n"/>
      <c r="R788" s="751" t="n"/>
    </row>
    <row r="789" ht="12" customHeight="1" s="557">
      <c r="A789" s="751" t="n"/>
      <c r="B789" s="751" t="n"/>
      <c r="C789" s="751" t="n"/>
      <c r="D789" s="751" t="n"/>
      <c r="E789" s="751" t="n"/>
      <c r="F789" s="751" t="n"/>
      <c r="G789" s="751" t="n"/>
      <c r="H789" s="751" t="n"/>
      <c r="I789" s="751" t="n"/>
      <c r="J789" s="751" t="n"/>
      <c r="K789" s="751" t="n"/>
      <c r="L789" s="751" t="n"/>
      <c r="M789" s="751" t="n"/>
      <c r="N789" s="751" t="n"/>
      <c r="O789" s="752" t="n"/>
      <c r="P789" s="751" t="n"/>
      <c r="Q789" s="751" t="n"/>
      <c r="R789" s="751" t="n"/>
    </row>
    <row r="790" ht="12" customHeight="1" s="557">
      <c r="A790" s="751" t="n"/>
      <c r="B790" s="751" t="n"/>
      <c r="C790" s="751" t="n"/>
      <c r="D790" s="751" t="n"/>
      <c r="E790" s="751" t="n"/>
      <c r="F790" s="751" t="n"/>
      <c r="G790" s="751" t="n"/>
      <c r="H790" s="751" t="n"/>
      <c r="I790" s="751" t="n"/>
      <c r="J790" s="751" t="n"/>
      <c r="K790" s="751" t="n"/>
      <c r="L790" s="751" t="n"/>
      <c r="M790" s="751" t="n"/>
      <c r="N790" s="751" t="n"/>
      <c r="O790" s="752" t="n"/>
      <c r="P790" s="751" t="n"/>
      <c r="Q790" s="751" t="n"/>
      <c r="R790" s="751" t="n"/>
    </row>
    <row r="791" ht="12" customHeight="1" s="557">
      <c r="A791" s="751" t="n"/>
      <c r="B791" s="751" t="n"/>
      <c r="C791" s="751" t="n"/>
      <c r="D791" s="751" t="n"/>
      <c r="E791" s="751" t="n"/>
      <c r="F791" s="751" t="n"/>
      <c r="G791" s="751" t="n"/>
      <c r="H791" s="751" t="n"/>
      <c r="I791" s="751" t="n"/>
      <c r="J791" s="751" t="n"/>
      <c r="K791" s="751" t="n"/>
      <c r="L791" s="751" t="n"/>
      <c r="M791" s="751" t="n"/>
      <c r="N791" s="751" t="n"/>
      <c r="O791" s="752" t="n"/>
      <c r="P791" s="751" t="n"/>
      <c r="Q791" s="751" t="n"/>
      <c r="R791" s="751" t="n"/>
    </row>
    <row r="792" ht="12" customHeight="1" s="557">
      <c r="A792" s="751" t="n"/>
      <c r="B792" s="751" t="n"/>
      <c r="C792" s="751" t="n"/>
      <c r="D792" s="751" t="n"/>
      <c r="E792" s="751" t="n"/>
      <c r="F792" s="751" t="n"/>
      <c r="G792" s="751" t="n"/>
      <c r="H792" s="751" t="n"/>
      <c r="I792" s="751" t="n"/>
      <c r="J792" s="751" t="n"/>
      <c r="K792" s="751" t="n"/>
      <c r="L792" s="751" t="n"/>
      <c r="M792" s="751" t="n"/>
      <c r="N792" s="751" t="n"/>
      <c r="O792" s="752" t="n"/>
      <c r="P792" s="751" t="n"/>
      <c r="Q792" s="751" t="n"/>
      <c r="R792" s="751" t="n"/>
    </row>
    <row r="793" ht="12" customHeight="1" s="557">
      <c r="A793" s="751" t="n"/>
      <c r="B793" s="751" t="n"/>
      <c r="C793" s="751" t="n"/>
      <c r="D793" s="751" t="n"/>
      <c r="E793" s="751" t="n"/>
      <c r="F793" s="751" t="n"/>
      <c r="G793" s="751" t="n"/>
      <c r="H793" s="751" t="n"/>
      <c r="I793" s="751" t="n"/>
      <c r="J793" s="751" t="n"/>
      <c r="K793" s="751" t="n"/>
      <c r="L793" s="751" t="n"/>
      <c r="M793" s="751" t="n"/>
      <c r="N793" s="751" t="n"/>
      <c r="O793" s="752" t="n"/>
      <c r="P793" s="751" t="n"/>
      <c r="Q793" s="751" t="n"/>
      <c r="R793" s="751" t="n"/>
    </row>
    <row r="794" ht="12" customHeight="1" s="557">
      <c r="A794" s="751" t="n"/>
      <c r="B794" s="751" t="n"/>
      <c r="C794" s="751" t="n"/>
      <c r="D794" s="751" t="n"/>
      <c r="E794" s="751" t="n"/>
      <c r="F794" s="751" t="n"/>
      <c r="G794" s="751" t="n"/>
      <c r="H794" s="751" t="n"/>
      <c r="I794" s="751" t="n"/>
      <c r="J794" s="751" t="n"/>
      <c r="K794" s="751" t="n"/>
      <c r="L794" s="751" t="n"/>
      <c r="M794" s="751" t="n"/>
      <c r="N794" s="751" t="n"/>
      <c r="O794" s="752" t="n"/>
      <c r="P794" s="751" t="n"/>
      <c r="Q794" s="751" t="n"/>
      <c r="R794" s="751" t="n"/>
    </row>
    <row r="795" ht="12" customHeight="1" s="557">
      <c r="A795" s="751" t="n"/>
      <c r="B795" s="751" t="n"/>
      <c r="C795" s="751" t="n"/>
      <c r="D795" s="751" t="n"/>
      <c r="E795" s="751" t="n"/>
      <c r="F795" s="751" t="n"/>
      <c r="G795" s="751" t="n"/>
      <c r="H795" s="751" t="n"/>
      <c r="I795" s="751" t="n"/>
      <c r="J795" s="751" t="n"/>
      <c r="K795" s="751" t="n"/>
      <c r="L795" s="751" t="n"/>
      <c r="M795" s="751" t="n"/>
      <c r="N795" s="751" t="n"/>
      <c r="O795" s="752" t="n"/>
      <c r="P795" s="751" t="n"/>
      <c r="Q795" s="751" t="n"/>
      <c r="R795" s="751" t="n"/>
    </row>
    <row r="796" ht="12" customHeight="1" s="557">
      <c r="A796" s="751" t="n"/>
      <c r="B796" s="751" t="n"/>
      <c r="C796" s="751" t="n"/>
      <c r="D796" s="751" t="n"/>
      <c r="E796" s="751" t="n"/>
      <c r="F796" s="751" t="n"/>
      <c r="G796" s="751" t="n"/>
      <c r="H796" s="751" t="n"/>
      <c r="I796" s="751" t="n"/>
      <c r="J796" s="751" t="n"/>
      <c r="K796" s="751" t="n"/>
      <c r="L796" s="751" t="n"/>
      <c r="M796" s="751" t="n"/>
      <c r="N796" s="751" t="n"/>
      <c r="O796" s="752" t="n"/>
      <c r="P796" s="751" t="n"/>
      <c r="Q796" s="751" t="n"/>
      <c r="R796" s="751" t="n"/>
    </row>
    <row r="797" ht="12" customHeight="1" s="557">
      <c r="A797" s="751" t="n"/>
      <c r="B797" s="751" t="n"/>
      <c r="C797" s="751" t="n"/>
      <c r="D797" s="751" t="n"/>
      <c r="E797" s="751" t="n"/>
      <c r="F797" s="751" t="n"/>
      <c r="G797" s="751" t="n"/>
      <c r="H797" s="751" t="n"/>
      <c r="I797" s="751" t="n"/>
      <c r="J797" s="751" t="n"/>
      <c r="K797" s="751" t="n"/>
      <c r="L797" s="751" t="n"/>
      <c r="M797" s="751" t="n"/>
      <c r="N797" s="751" t="n"/>
      <c r="O797" s="752" t="n"/>
      <c r="P797" s="751" t="n"/>
      <c r="Q797" s="751" t="n"/>
      <c r="R797" s="751" t="n"/>
    </row>
    <row r="798" ht="12" customHeight="1" s="557">
      <c r="A798" s="751" t="n"/>
      <c r="B798" s="751" t="n"/>
      <c r="C798" s="751" t="n"/>
      <c r="D798" s="751" t="n"/>
      <c r="E798" s="751" t="n"/>
      <c r="F798" s="751" t="n"/>
      <c r="G798" s="751" t="n"/>
      <c r="H798" s="751" t="n"/>
      <c r="I798" s="751" t="n"/>
      <c r="J798" s="751" t="n"/>
      <c r="K798" s="751" t="n"/>
      <c r="L798" s="751" t="n"/>
      <c r="M798" s="751" t="n"/>
      <c r="N798" s="751" t="n"/>
      <c r="O798" s="752" t="n"/>
      <c r="P798" s="751" t="n"/>
      <c r="Q798" s="751" t="n"/>
      <c r="R798" s="751" t="n"/>
    </row>
  </sheetData>
  <mergeCells count="1515">
    <mergeCell ref="A128:C128"/>
    <mergeCell ref="M34:Q34"/>
    <mergeCell ref="E602:R602"/>
    <mergeCell ref="E298:R298"/>
    <mergeCell ref="A426:C426"/>
    <mergeCell ref="E596:R596"/>
    <mergeCell ref="A557:C557"/>
    <mergeCell ref="E175:R175"/>
    <mergeCell ref="A136:C136"/>
    <mergeCell ref="E297:R297"/>
    <mergeCell ref="E604:R604"/>
    <mergeCell ref="A428:C428"/>
    <mergeCell ref="A113:C113"/>
    <mergeCell ref="E299:R299"/>
    <mergeCell ref="E597:R597"/>
    <mergeCell ref="E442:O442"/>
    <mergeCell ref="E170:R170"/>
    <mergeCell ref="E599:R599"/>
    <mergeCell ref="E166:O166"/>
    <mergeCell ref="E226:R226"/>
    <mergeCell ref="E655:R655"/>
    <mergeCell ref="A270:C270"/>
    <mergeCell ref="A568:C568"/>
    <mergeCell ref="E228:R228"/>
    <mergeCell ref="E657:R657"/>
    <mergeCell ref="A570:C570"/>
    <mergeCell ref="E650:R650"/>
    <mergeCell ref="E522:O522"/>
    <mergeCell ref="A174:C174"/>
    <mergeCell ref="A472:C472"/>
    <mergeCell ref="E223:R223"/>
    <mergeCell ref="E524:O524"/>
    <mergeCell ref="A474:C474"/>
    <mergeCell ref="A55:C55"/>
    <mergeCell ref="H7:J7"/>
    <mergeCell ref="E554:R554"/>
    <mergeCell ref="A200:C200"/>
    <mergeCell ref="E668:R668"/>
    <mergeCell ref="A44:C44"/>
    <mergeCell ref="E252:O252"/>
    <mergeCell ref="E241:R241"/>
    <mergeCell ref="A202:C202"/>
    <mergeCell ref="E539:R539"/>
    <mergeCell ref="A500:C500"/>
    <mergeCell ref="E555:R555"/>
    <mergeCell ref="E549:R549"/>
    <mergeCell ref="A73:C73"/>
    <mergeCell ref="A502:C502"/>
    <mergeCell ref="A197:C197"/>
    <mergeCell ref="E267:R267"/>
    <mergeCell ref="E696:R696"/>
    <mergeCell ref="E269:R269"/>
    <mergeCell ref="A553:C553"/>
    <mergeCell ref="A213:C213"/>
    <mergeCell ref="A126:C126"/>
    <mergeCell ref="E262:R262"/>
    <mergeCell ref="A424:C424"/>
    <mergeCell ref="A215:C215"/>
    <mergeCell ref="A513:C513"/>
    <mergeCell ref="A724:C724"/>
    <mergeCell ref="E565:O565"/>
    <mergeCell ref="E595:R595"/>
    <mergeCell ref="D3:E3"/>
    <mergeCell ref="E168:R168"/>
    <mergeCell ref="E409:R409"/>
    <mergeCell ref="E162:O162"/>
    <mergeCell ref="E626:R626"/>
    <mergeCell ref="E164:O164"/>
    <mergeCell ref="E321:R321"/>
    <mergeCell ref="E199:R199"/>
    <mergeCell ref="E497:R497"/>
    <mergeCell ref="A355:C355"/>
    <mergeCell ref="A137:C137"/>
    <mergeCell ref="A268:C268"/>
    <mergeCell ref="A572:C572"/>
    <mergeCell ref="E192:R192"/>
    <mergeCell ref="A566:C566"/>
    <mergeCell ref="E323:R323"/>
    <mergeCell ref="E499:R499"/>
    <mergeCell ref="N5:P5"/>
    <mergeCell ref="A145:C145"/>
    <mergeCell ref="A139:C139"/>
    <mergeCell ref="A443:C443"/>
    <mergeCell ref="E194:R194"/>
    <mergeCell ref="E617:O617"/>
    <mergeCell ref="E494:R494"/>
    <mergeCell ref="A140:C140"/>
    <mergeCell ref="E619:O619"/>
    <mergeCell ref="A584:C584"/>
    <mergeCell ref="A742:C742"/>
    <mergeCell ref="E639:R639"/>
    <mergeCell ref="A279:C279"/>
    <mergeCell ref="E334:R334"/>
    <mergeCell ref="E641:R641"/>
    <mergeCell ref="A287:C287"/>
    <mergeCell ref="A281:C281"/>
    <mergeCell ref="A585:C585"/>
    <mergeCell ref="E634:R634"/>
    <mergeCell ref="E208:O208"/>
    <mergeCell ref="L2:M2"/>
    <mergeCell ref="A316:C316"/>
    <mergeCell ref="A193:C193"/>
    <mergeCell ref="A610:C610"/>
    <mergeCell ref="E210:O210"/>
    <mergeCell ref="A282:C282"/>
    <mergeCell ref="E203:O203"/>
    <mergeCell ref="L3:M3"/>
    <mergeCell ref="E692:R692"/>
    <mergeCell ref="A313:C313"/>
    <mergeCell ref="A307:C307"/>
    <mergeCell ref="A641:C641"/>
    <mergeCell ref="A184:C184"/>
    <mergeCell ref="E721:R721"/>
    <mergeCell ref="A613:C613"/>
    <mergeCell ref="E687:R687"/>
    <mergeCell ref="E266:R266"/>
    <mergeCell ref="E564:R564"/>
    <mergeCell ref="A9:R9"/>
    <mergeCell ref="E567:O567"/>
    <mergeCell ref="A669:C669"/>
    <mergeCell ref="E256:O256"/>
    <mergeCell ref="E345:O345"/>
    <mergeCell ref="E407:R407"/>
    <mergeCell ref="E749:R749"/>
    <mergeCell ref="A351:C351"/>
    <mergeCell ref="A685:C685"/>
    <mergeCell ref="A239:C239"/>
    <mergeCell ref="E734:R734"/>
    <mergeCell ref="A695:C695"/>
    <mergeCell ref="E701:O701"/>
    <mergeCell ref="A651:C651"/>
    <mergeCell ref="E408:R408"/>
    <mergeCell ref="E402:R402"/>
    <mergeCell ref="A224:C224"/>
    <mergeCell ref="E103:R103"/>
    <mergeCell ref="E703:O703"/>
    <mergeCell ref="E279:R279"/>
    <mergeCell ref="E735:R735"/>
    <mergeCell ref="E702:O702"/>
    <mergeCell ref="A250:C250"/>
    <mergeCell ref="E32:R32"/>
    <mergeCell ref="E330:R330"/>
    <mergeCell ref="E305:R305"/>
    <mergeCell ref="A706:C706"/>
    <mergeCell ref="A619:C619"/>
    <mergeCell ref="E332:R332"/>
    <mergeCell ref="E307:R307"/>
    <mergeCell ref="A306:C306"/>
    <mergeCell ref="E632:R632"/>
    <mergeCell ref="A278:C278"/>
    <mergeCell ref="E60:R60"/>
    <mergeCell ref="A637:C637"/>
    <mergeCell ref="A603:C603"/>
    <mergeCell ref="E360:R360"/>
    <mergeCell ref="E45:R45"/>
    <mergeCell ref="A182:C182"/>
    <mergeCell ref="A304:C304"/>
    <mergeCell ref="E694:R694"/>
    <mergeCell ref="E346:O346"/>
    <mergeCell ref="A638:C638"/>
    <mergeCell ref="A632:C632"/>
    <mergeCell ref="A177:C177"/>
    <mergeCell ref="A335:C335"/>
    <mergeCell ref="E341:O341"/>
    <mergeCell ref="E376:R376"/>
    <mergeCell ref="A322:C322"/>
    <mergeCell ref="E371:R371"/>
    <mergeCell ref="A17:C17"/>
    <mergeCell ref="A53:C53"/>
    <mergeCell ref="A324:C324"/>
    <mergeCell ref="A622:C622"/>
    <mergeCell ref="A482:C482"/>
    <mergeCell ref="E69:O69"/>
    <mergeCell ref="A19:C19"/>
    <mergeCell ref="A353:C353"/>
    <mergeCell ref="E77:O77"/>
    <mergeCell ref="A48:C48"/>
    <mergeCell ref="A319:C319"/>
    <mergeCell ref="E733:R733"/>
    <mergeCell ref="E547:R547"/>
    <mergeCell ref="A702:C702"/>
    <mergeCell ref="E117:R117"/>
    <mergeCell ref="A493:C493"/>
    <mergeCell ref="A406:C406"/>
    <mergeCell ref="E303:R303"/>
    <mergeCell ref="A704:C704"/>
    <mergeCell ref="A247:C247"/>
    <mergeCell ref="E417:R417"/>
    <mergeCell ref="A63:C63"/>
    <mergeCell ref="E748:R748"/>
    <mergeCell ref="A546:C546"/>
    <mergeCell ref="A722:C722"/>
    <mergeCell ref="E473:R473"/>
    <mergeCell ref="A119:C119"/>
    <mergeCell ref="D7:G7"/>
    <mergeCell ref="A417:C417"/>
    <mergeCell ref="E174:R174"/>
    <mergeCell ref="A548:C548"/>
    <mergeCell ref="E472:R472"/>
    <mergeCell ref="E743:R743"/>
    <mergeCell ref="A419:C419"/>
    <mergeCell ref="E12:O12"/>
    <mergeCell ref="A717:C717"/>
    <mergeCell ref="E474:R474"/>
    <mergeCell ref="A418:C418"/>
    <mergeCell ref="E14:O14"/>
    <mergeCell ref="A719:C719"/>
    <mergeCell ref="A748:C748"/>
    <mergeCell ref="A147:C147"/>
    <mergeCell ref="E367:R367"/>
    <mergeCell ref="A445:C445"/>
    <mergeCell ref="A13:C13"/>
    <mergeCell ref="A743:C743"/>
    <mergeCell ref="E492:R492"/>
    <mergeCell ref="E369:R369"/>
    <mergeCell ref="A15:C15"/>
    <mergeCell ref="A51:C51"/>
    <mergeCell ref="A349:C349"/>
    <mergeCell ref="E485:R485"/>
    <mergeCell ref="A315:C315"/>
    <mergeCell ref="A649:C649"/>
    <mergeCell ref="H6:J6"/>
    <mergeCell ref="E394:O394"/>
    <mergeCell ref="E543:R543"/>
    <mergeCell ref="A158:C158"/>
    <mergeCell ref="I3:K3"/>
    <mergeCell ref="E545:R545"/>
    <mergeCell ref="E88:R88"/>
    <mergeCell ref="E126:R126"/>
    <mergeCell ref="A489:C489"/>
    <mergeCell ref="E82:R82"/>
    <mergeCell ref="A34:D34"/>
    <mergeCell ref="E240:R240"/>
    <mergeCell ref="E538:R538"/>
    <mergeCell ref="A377:C377"/>
    <mergeCell ref="A62:C62"/>
    <mergeCell ref="A491:C491"/>
    <mergeCell ref="A72:C72"/>
    <mergeCell ref="E78:O78"/>
    <mergeCell ref="A28:C28"/>
    <mergeCell ref="E546:R546"/>
    <mergeCell ref="E540:R540"/>
    <mergeCell ref="A362:C362"/>
    <mergeCell ref="E80:O80"/>
    <mergeCell ref="A30:C30"/>
    <mergeCell ref="A59:C59"/>
    <mergeCell ref="A61:C61"/>
    <mergeCell ref="A88:C88"/>
    <mergeCell ref="A359:C359"/>
    <mergeCell ref="A517:C517"/>
    <mergeCell ref="A54:C54"/>
    <mergeCell ref="A90:C90"/>
    <mergeCell ref="A388:C388"/>
    <mergeCell ref="E145:R145"/>
    <mergeCell ref="A519:C519"/>
    <mergeCell ref="E139:R139"/>
    <mergeCell ref="A56:C56"/>
    <mergeCell ref="E440:O440"/>
    <mergeCell ref="D5:G5"/>
    <mergeCell ref="A390:C390"/>
    <mergeCell ref="E470:R470"/>
    <mergeCell ref="A85:C85"/>
    <mergeCell ref="E435:O435"/>
    <mergeCell ref="E584:R584"/>
    <mergeCell ref="A230:C230"/>
    <mergeCell ref="A143:C143"/>
    <mergeCell ref="A441:C441"/>
    <mergeCell ref="A739:C739"/>
    <mergeCell ref="E154:R154"/>
    <mergeCell ref="A232:C232"/>
    <mergeCell ref="A530:C530"/>
    <mergeCell ref="A741:C741"/>
    <mergeCell ref="E498:R498"/>
    <mergeCell ref="E183:R183"/>
    <mergeCell ref="E454:R454"/>
    <mergeCell ref="A532:C532"/>
    <mergeCell ref="E612:R612"/>
    <mergeCell ref="E483:R483"/>
    <mergeCell ref="A444:C444"/>
    <mergeCell ref="E514:R514"/>
    <mergeCell ref="J36:J37"/>
    <mergeCell ref="E638:R638"/>
    <mergeCell ref="A156:C156"/>
    <mergeCell ref="A460:C460"/>
    <mergeCell ref="A454:C454"/>
    <mergeCell ref="A612:C612"/>
    <mergeCell ref="E509:R509"/>
    <mergeCell ref="A155:C155"/>
    <mergeCell ref="E536:R536"/>
    <mergeCell ref="E207:O207"/>
    <mergeCell ref="E511:R511"/>
    <mergeCell ref="A157:C157"/>
    <mergeCell ref="E163:O163"/>
    <mergeCell ref="A455:C455"/>
    <mergeCell ref="A457:C457"/>
    <mergeCell ref="E106:R106"/>
    <mergeCell ref="A602:C602"/>
    <mergeCell ref="A596:C596"/>
    <mergeCell ref="E141:R141"/>
    <mergeCell ref="A515:C515"/>
    <mergeCell ref="E135:R135"/>
    <mergeCell ref="A175:C175"/>
    <mergeCell ref="A604:C604"/>
    <mergeCell ref="A631:C631"/>
    <mergeCell ref="E224:R224"/>
    <mergeCell ref="E107:R107"/>
    <mergeCell ref="E436:O436"/>
    <mergeCell ref="A508:C508"/>
    <mergeCell ref="E143:R143"/>
    <mergeCell ref="E525:O525"/>
    <mergeCell ref="E739:R739"/>
    <mergeCell ref="A81:C81"/>
    <mergeCell ref="A170:C170"/>
    <mergeCell ref="E520:O520"/>
    <mergeCell ref="E580:R580"/>
    <mergeCell ref="A226:C226"/>
    <mergeCell ref="A201:C201"/>
    <mergeCell ref="E582:R582"/>
    <mergeCell ref="A228:C228"/>
    <mergeCell ref="E125:R125"/>
    <mergeCell ref="A526:C526"/>
    <mergeCell ref="E283:R283"/>
    <mergeCell ref="F3:H3"/>
    <mergeCell ref="E581:R581"/>
    <mergeCell ref="E277:R277"/>
    <mergeCell ref="A99:C99"/>
    <mergeCell ref="A221:C221"/>
    <mergeCell ref="A528:C528"/>
    <mergeCell ref="E285:R285"/>
    <mergeCell ref="E583:R583"/>
    <mergeCell ref="E577:R577"/>
    <mergeCell ref="A101:C101"/>
    <mergeCell ref="A223:C223"/>
    <mergeCell ref="E278:R278"/>
    <mergeCell ref="E573:O573"/>
    <mergeCell ref="A254:C254"/>
    <mergeCell ref="E722:R722"/>
    <mergeCell ref="A740:C740"/>
    <mergeCell ref="N8:O8"/>
    <mergeCell ref="A125:C125"/>
    <mergeCell ref="E295:R295"/>
    <mergeCell ref="A554:C554"/>
    <mergeCell ref="A127:C127"/>
    <mergeCell ref="E723:R723"/>
    <mergeCell ref="E717:R717"/>
    <mergeCell ref="E505:R505"/>
    <mergeCell ref="A539:C539"/>
    <mergeCell ref="E636:R636"/>
    <mergeCell ref="E296:R296"/>
    <mergeCell ref="E507:R507"/>
    <mergeCell ref="A453:C453"/>
    <mergeCell ref="E652:R652"/>
    <mergeCell ref="A267:C267"/>
    <mergeCell ref="E165:O165"/>
    <mergeCell ref="E347:R347"/>
    <mergeCell ref="A269:C269"/>
    <mergeCell ref="E51:R51"/>
    <mergeCell ref="E349:R349"/>
    <mergeCell ref="E647:R647"/>
    <mergeCell ref="E683:R683"/>
    <mergeCell ref="A600:C600"/>
    <mergeCell ref="A35:L35"/>
    <mergeCell ref="E220:R220"/>
    <mergeCell ref="A594:C594"/>
    <mergeCell ref="E518:R518"/>
    <mergeCell ref="E649:R649"/>
    <mergeCell ref="A593:C593"/>
    <mergeCell ref="E222:R222"/>
    <mergeCell ref="A166:C166"/>
    <mergeCell ref="E678:R678"/>
    <mergeCell ref="E523:O523"/>
    <mergeCell ref="A595:C595"/>
    <mergeCell ref="E375:R375"/>
    <mergeCell ref="A168:C168"/>
    <mergeCell ref="E246:R246"/>
    <mergeCell ref="E377:R377"/>
    <mergeCell ref="E675:R675"/>
    <mergeCell ref="A497:C497"/>
    <mergeCell ref="E667:R667"/>
    <mergeCell ref="A655:C655"/>
    <mergeCell ref="E248:R248"/>
    <mergeCell ref="A192:C192"/>
    <mergeCell ref="E368:R368"/>
    <mergeCell ref="A499:C499"/>
    <mergeCell ref="E579:R579"/>
    <mergeCell ref="A657:C657"/>
    <mergeCell ref="A194:C194"/>
    <mergeCell ref="A494:C494"/>
    <mergeCell ref="A368:C368"/>
    <mergeCell ref="A639:C639"/>
    <mergeCell ref="A552:C552"/>
    <mergeCell ref="E172:R172"/>
    <mergeCell ref="A334:C334"/>
    <mergeCell ref="E292:R292"/>
    <mergeCell ref="A370:C370"/>
    <mergeCell ref="A668:C668"/>
    <mergeCell ref="E255:O255"/>
    <mergeCell ref="M35:R35"/>
    <mergeCell ref="A205:C205"/>
    <mergeCell ref="E302:R302"/>
    <mergeCell ref="A118:C118"/>
    <mergeCell ref="E294:R294"/>
    <mergeCell ref="E592:R592"/>
    <mergeCell ref="A670:C670"/>
    <mergeCell ref="A238:C238"/>
    <mergeCell ref="D2:E2"/>
    <mergeCell ref="A263:C263"/>
    <mergeCell ref="E20:R20"/>
    <mergeCell ref="E318:R318"/>
    <mergeCell ref="A265:C265"/>
    <mergeCell ref="A563:C563"/>
    <mergeCell ref="E320:R320"/>
    <mergeCell ref="A721:C721"/>
    <mergeCell ref="A258:C258"/>
    <mergeCell ref="E615:O615"/>
    <mergeCell ref="E191:R191"/>
    <mergeCell ref="A565:C565"/>
    <mergeCell ref="A266:C266"/>
    <mergeCell ref="E614:O614"/>
    <mergeCell ref="A260:C260"/>
    <mergeCell ref="A564:C564"/>
    <mergeCell ref="E315:R315"/>
    <mergeCell ref="E616:O616"/>
    <mergeCell ref="E33:R33"/>
    <mergeCell ref="E671:R671"/>
    <mergeCell ref="A434:C434"/>
    <mergeCell ref="E244:R244"/>
    <mergeCell ref="A188:C188"/>
    <mergeCell ref="E333:R333"/>
    <mergeCell ref="A734:C734"/>
    <mergeCell ref="E205:O205"/>
    <mergeCell ref="E544:R544"/>
    <mergeCell ref="E28:R28"/>
    <mergeCell ref="A190:C190"/>
    <mergeCell ref="E245:R245"/>
    <mergeCell ref="E30:R30"/>
    <mergeCell ref="A490:C490"/>
    <mergeCell ref="E689:R689"/>
    <mergeCell ref="A635:C635"/>
    <mergeCell ref="E684:R684"/>
    <mergeCell ref="A330:C330"/>
    <mergeCell ref="E720:R720"/>
    <mergeCell ref="A366:C366"/>
    <mergeCell ref="E263:R263"/>
    <mergeCell ref="A664:C664"/>
    <mergeCell ref="E415:R415"/>
    <mergeCell ref="E686:R686"/>
    <mergeCell ref="A630:C630"/>
    <mergeCell ref="A666:C666"/>
    <mergeCell ref="E259:O259"/>
    <mergeCell ref="E253:O253"/>
    <mergeCell ref="A203:C203"/>
    <mergeCell ref="E715:R715"/>
    <mergeCell ref="A361:C361"/>
    <mergeCell ref="E709:O709"/>
    <mergeCell ref="E711:O711"/>
    <mergeCell ref="A661:C661"/>
    <mergeCell ref="A392:C392"/>
    <mergeCell ref="E105:R105"/>
    <mergeCell ref="E99:R99"/>
    <mergeCell ref="E397:R397"/>
    <mergeCell ref="A350:C350"/>
    <mergeCell ref="A692:C692"/>
    <mergeCell ref="E101:R101"/>
    <mergeCell ref="E405:R405"/>
    <mergeCell ref="A45:C45"/>
    <mergeCell ref="A343:C343"/>
    <mergeCell ref="E100:R100"/>
    <mergeCell ref="A694:C694"/>
    <mergeCell ref="A677:C677"/>
    <mergeCell ref="E136:R136"/>
    <mergeCell ref="E395:O395"/>
    <mergeCell ref="A345:C345"/>
    <mergeCell ref="E102:R102"/>
    <mergeCell ref="E400:R400"/>
    <mergeCell ref="A46:C46"/>
    <mergeCell ref="A105:C105"/>
    <mergeCell ref="A376:C376"/>
    <mergeCell ref="E127:R127"/>
    <mergeCell ref="A71:C71"/>
    <mergeCell ref="A405:C405"/>
    <mergeCell ref="E731:R731"/>
    <mergeCell ref="A371:C371"/>
    <mergeCell ref="E31:R31"/>
    <mergeCell ref="A432:C432"/>
    <mergeCell ref="A407:C407"/>
    <mergeCell ref="A730:C730"/>
    <mergeCell ref="A705:C705"/>
    <mergeCell ref="E331:R331"/>
    <mergeCell ref="A732:C732"/>
    <mergeCell ref="E629:R629"/>
    <mergeCell ref="E26:R26"/>
    <mergeCell ref="K5:M5"/>
    <mergeCell ref="A6:C6"/>
    <mergeCell ref="E625:O625"/>
    <mergeCell ref="A733:C733"/>
    <mergeCell ref="E50:R50"/>
    <mergeCell ref="E357:R357"/>
    <mergeCell ref="A3:C3"/>
    <mergeCell ref="A120:C120"/>
    <mergeCell ref="A301:C301"/>
    <mergeCell ref="E515:R515"/>
    <mergeCell ref="E52:R52"/>
    <mergeCell ref="A331:C331"/>
    <mergeCell ref="E44:R44"/>
    <mergeCell ref="A5:C5"/>
    <mergeCell ref="A32:C32"/>
    <mergeCell ref="A303:C303"/>
    <mergeCell ref="A601:C601"/>
    <mergeCell ref="E352:R352"/>
    <mergeCell ref="A332:C332"/>
    <mergeCell ref="E338:O338"/>
    <mergeCell ref="E34:L34"/>
    <mergeCell ref="A288:C288"/>
    <mergeCell ref="E707:O707"/>
    <mergeCell ref="E340:O340"/>
    <mergeCell ref="I8:J8"/>
    <mergeCell ref="A473:C473"/>
    <mergeCell ref="A16:C16"/>
    <mergeCell ref="E553:R553"/>
    <mergeCell ref="E96:R96"/>
    <mergeCell ref="A690:C690"/>
    <mergeCell ref="E424:R424"/>
    <mergeCell ref="A18:C18"/>
    <mergeCell ref="A683:C683"/>
    <mergeCell ref="E98:R98"/>
    <mergeCell ref="E724:R724"/>
    <mergeCell ref="A47:C47"/>
    <mergeCell ref="E398:R398"/>
    <mergeCell ref="E740:R740"/>
    <mergeCell ref="A401:C401"/>
    <mergeCell ref="E423:R423"/>
    <mergeCell ref="A403:C403"/>
    <mergeCell ref="E300:R300"/>
    <mergeCell ref="E422:R422"/>
    <mergeCell ref="A701:C701"/>
    <mergeCell ref="E458:R458"/>
    <mergeCell ref="E452:R452"/>
    <mergeCell ref="A98:C98"/>
    <mergeCell ref="A396:C396"/>
    <mergeCell ref="A527:C527"/>
    <mergeCell ref="A703:C703"/>
    <mergeCell ref="A398:C398"/>
    <mergeCell ref="E453:R453"/>
    <mergeCell ref="E710:O710"/>
    <mergeCell ref="E142:R142"/>
    <mergeCell ref="A543:C543"/>
    <mergeCell ref="A116:C116"/>
    <mergeCell ref="A414:C414"/>
    <mergeCell ref="E171:R171"/>
    <mergeCell ref="A545:C545"/>
    <mergeCell ref="E600:R600"/>
    <mergeCell ref="A109:C109"/>
    <mergeCell ref="E594:R594"/>
    <mergeCell ref="A240:C240"/>
    <mergeCell ref="E137:R137"/>
    <mergeCell ref="A416:C416"/>
    <mergeCell ref="A538:C538"/>
    <mergeCell ref="E173:R173"/>
    <mergeCell ref="E471:R471"/>
    <mergeCell ref="E438:O438"/>
    <mergeCell ref="A117:C117"/>
    <mergeCell ref="A111:C111"/>
    <mergeCell ref="A328:C328"/>
    <mergeCell ref="A142:C142"/>
    <mergeCell ref="A628:C628"/>
    <mergeCell ref="A442:C442"/>
    <mergeCell ref="A469:C469"/>
    <mergeCell ref="E67:R67"/>
    <mergeCell ref="E219:R219"/>
    <mergeCell ref="A470:C470"/>
    <mergeCell ref="A43:C43"/>
    <mergeCell ref="H5:J5"/>
    <mergeCell ref="E366:R366"/>
    <mergeCell ref="E664:R664"/>
    <mergeCell ref="E552:R552"/>
    <mergeCell ref="I2:K2"/>
    <mergeCell ref="E237:R237"/>
    <mergeCell ref="E535:R535"/>
    <mergeCell ref="A496:C496"/>
    <mergeCell ref="E666:R666"/>
    <mergeCell ref="A488:C488"/>
    <mergeCell ref="A69:C69"/>
    <mergeCell ref="E75:O75"/>
    <mergeCell ref="E239:R239"/>
    <mergeCell ref="A367:C367"/>
    <mergeCell ref="E537:R537"/>
    <mergeCell ref="A498:C498"/>
    <mergeCell ref="A183:C183"/>
    <mergeCell ref="E531:O531"/>
    <mergeCell ref="E238:R238"/>
    <mergeCell ref="A369:C369"/>
    <mergeCell ref="A667:C667"/>
    <mergeCell ref="A514:C514"/>
    <mergeCell ref="E265:R265"/>
    <mergeCell ref="E563:R563"/>
    <mergeCell ref="A209:C209"/>
    <mergeCell ref="E167:R167"/>
    <mergeCell ref="E133:R133"/>
    <mergeCell ref="E108:R108"/>
    <mergeCell ref="A534:C534"/>
    <mergeCell ref="A509:C509"/>
    <mergeCell ref="A211:C211"/>
    <mergeCell ref="E169:R169"/>
    <mergeCell ref="E467:R467"/>
    <mergeCell ref="E598:R598"/>
    <mergeCell ref="A82:C82"/>
    <mergeCell ref="A536:C536"/>
    <mergeCell ref="A511:C511"/>
    <mergeCell ref="E469:R469"/>
    <mergeCell ref="E591:R591"/>
    <mergeCell ref="A567:C567"/>
    <mergeCell ref="A438:C438"/>
    <mergeCell ref="E195:R195"/>
    <mergeCell ref="E309:R309"/>
    <mergeCell ref="A562:C562"/>
    <mergeCell ref="E188:R188"/>
    <mergeCell ref="A440:C440"/>
    <mergeCell ref="A738:C738"/>
    <mergeCell ref="A598:C598"/>
    <mergeCell ref="E495:R495"/>
    <mergeCell ref="E180:R180"/>
    <mergeCell ref="A141:C141"/>
    <mergeCell ref="A135:C135"/>
    <mergeCell ref="A439:C439"/>
    <mergeCell ref="A433:C433"/>
    <mergeCell ref="E609:R609"/>
    <mergeCell ref="E190:R190"/>
    <mergeCell ref="A591:C591"/>
    <mergeCell ref="E182:R182"/>
    <mergeCell ref="E480:R480"/>
    <mergeCell ref="A435:C435"/>
    <mergeCell ref="E490:R490"/>
    <mergeCell ref="E179:R179"/>
    <mergeCell ref="A580:C580"/>
    <mergeCell ref="E635:R635"/>
    <mergeCell ref="A153:C153"/>
    <mergeCell ref="A582:C582"/>
    <mergeCell ref="E662:R662"/>
    <mergeCell ref="E637:R637"/>
    <mergeCell ref="A283:C283"/>
    <mergeCell ref="A277:C277"/>
    <mergeCell ref="A581:C581"/>
    <mergeCell ref="A575:C575"/>
    <mergeCell ref="A611:C611"/>
    <mergeCell ref="E204:O204"/>
    <mergeCell ref="A154:C154"/>
    <mergeCell ref="A285:C285"/>
    <mergeCell ref="A583:C583"/>
    <mergeCell ref="A577:C577"/>
    <mergeCell ref="E206:O206"/>
    <mergeCell ref="E534:R534"/>
    <mergeCell ref="A665:C665"/>
    <mergeCell ref="E261:R261"/>
    <mergeCell ref="A295:C295"/>
    <mergeCell ref="E559:R559"/>
    <mergeCell ref="E350:R350"/>
    <mergeCell ref="E561:R561"/>
    <mergeCell ref="A207:C207"/>
    <mergeCell ref="A505:C505"/>
    <mergeCell ref="E681:R681"/>
    <mergeCell ref="E560:R560"/>
    <mergeCell ref="A296:C296"/>
    <mergeCell ref="A78:C78"/>
    <mergeCell ref="A507:C507"/>
    <mergeCell ref="E264:R264"/>
    <mergeCell ref="E562:R562"/>
    <mergeCell ref="A80:C80"/>
    <mergeCell ref="A378:C378"/>
    <mergeCell ref="O36:R37"/>
    <mergeCell ref="E403:R403"/>
    <mergeCell ref="E280:R280"/>
    <mergeCell ref="A681:C681"/>
    <mergeCell ref="E274:R274"/>
    <mergeCell ref="E432:R432"/>
    <mergeCell ref="E730:R730"/>
    <mergeCell ref="A525:C525"/>
    <mergeCell ref="E186:R186"/>
    <mergeCell ref="A220:C220"/>
    <mergeCell ref="E568:O568"/>
    <mergeCell ref="A518:C518"/>
    <mergeCell ref="E732:R732"/>
    <mergeCell ref="E275:R275"/>
    <mergeCell ref="A676:C676"/>
    <mergeCell ref="E576:O576"/>
    <mergeCell ref="A222:C222"/>
    <mergeCell ref="E570:O570"/>
    <mergeCell ref="A520:C520"/>
    <mergeCell ref="A551:C551"/>
    <mergeCell ref="E571:O571"/>
    <mergeCell ref="E631:R631"/>
    <mergeCell ref="A246:C246"/>
    <mergeCell ref="E633:R633"/>
    <mergeCell ref="A248:C248"/>
    <mergeCell ref="E328:R328"/>
    <mergeCell ref="A607:C607"/>
    <mergeCell ref="E200:O200"/>
    <mergeCell ref="A579:C579"/>
    <mergeCell ref="A573:C573"/>
    <mergeCell ref="E202:O202"/>
    <mergeCell ref="E628:R628"/>
    <mergeCell ref="E288:R288"/>
    <mergeCell ref="E46:R46"/>
    <mergeCell ref="E624:O624"/>
    <mergeCell ref="E217:R217"/>
    <mergeCell ref="E348:R348"/>
    <mergeCell ref="A172:C172"/>
    <mergeCell ref="E690:R690"/>
    <mergeCell ref="E342:O342"/>
    <mergeCell ref="E646:R646"/>
    <mergeCell ref="A292:C292"/>
    <mergeCell ref="A286:C286"/>
    <mergeCell ref="E43:R43"/>
    <mergeCell ref="A626:C626"/>
    <mergeCell ref="A163:C163"/>
    <mergeCell ref="E344:O344"/>
    <mergeCell ref="E648:R648"/>
    <mergeCell ref="A294:C294"/>
    <mergeCell ref="A636:C636"/>
    <mergeCell ref="A592:C592"/>
    <mergeCell ref="E337:O337"/>
    <mergeCell ref="E372:R372"/>
    <mergeCell ref="E339:O339"/>
    <mergeCell ref="E374:R374"/>
    <mergeCell ref="A20:C20"/>
    <mergeCell ref="E672:R672"/>
    <mergeCell ref="A318:C318"/>
    <mergeCell ref="A348:C348"/>
    <mergeCell ref="A646:C646"/>
    <mergeCell ref="E674:R674"/>
    <mergeCell ref="A320:C320"/>
    <mergeCell ref="A347:C347"/>
    <mergeCell ref="A314:C314"/>
    <mergeCell ref="A618:C618"/>
    <mergeCell ref="A648:C648"/>
    <mergeCell ref="A191:C191"/>
    <mergeCell ref="E728:R728"/>
    <mergeCell ref="E271:R271"/>
    <mergeCell ref="A620:C620"/>
    <mergeCell ref="A647:C647"/>
    <mergeCell ref="E273:R273"/>
    <mergeCell ref="A242:C242"/>
    <mergeCell ref="E418:R418"/>
    <mergeCell ref="A33:C33"/>
    <mergeCell ref="E569:O569"/>
    <mergeCell ref="P8:Q8"/>
    <mergeCell ref="A244:C244"/>
    <mergeCell ref="A542:C542"/>
    <mergeCell ref="E718:R718"/>
    <mergeCell ref="E712:R712"/>
    <mergeCell ref="A700:C700"/>
    <mergeCell ref="A333:C333"/>
    <mergeCell ref="N6:P6"/>
    <mergeCell ref="A656:C656"/>
    <mergeCell ref="A115:C115"/>
    <mergeCell ref="E413:R413"/>
    <mergeCell ref="A544:C544"/>
    <mergeCell ref="E747:R747"/>
    <mergeCell ref="E385:O385"/>
    <mergeCell ref="E708:O708"/>
    <mergeCell ref="E284:R284"/>
    <mergeCell ref="A245:C245"/>
    <mergeCell ref="E713:R713"/>
    <mergeCell ref="E286:R286"/>
    <mergeCell ref="E317:R317"/>
    <mergeCell ref="A718:C718"/>
    <mergeCell ref="A255:C255"/>
    <mergeCell ref="A413:C413"/>
    <mergeCell ref="A720:C720"/>
    <mergeCell ref="A415:C415"/>
    <mergeCell ref="E312:R312"/>
    <mergeCell ref="A713:C713"/>
    <mergeCell ref="E314:R314"/>
    <mergeCell ref="A715:C715"/>
    <mergeCell ref="E335:O335"/>
    <mergeCell ref="E370:R370"/>
    <mergeCell ref="E399:R399"/>
    <mergeCell ref="E670:R670"/>
    <mergeCell ref="A731:C731"/>
    <mergeCell ref="A614:C614"/>
    <mergeCell ref="E488:R488"/>
    <mergeCell ref="E365:R365"/>
    <mergeCell ref="E25:R25"/>
    <mergeCell ref="E699:R699"/>
    <mergeCell ref="A643:C643"/>
    <mergeCell ref="E58:R58"/>
    <mergeCell ref="E665:R665"/>
    <mergeCell ref="D1:Q1"/>
    <mergeCell ref="A645:C645"/>
    <mergeCell ref="E83:R83"/>
    <mergeCell ref="E383:R383"/>
    <mergeCell ref="A29:C29"/>
    <mergeCell ref="E541:R541"/>
    <mergeCell ref="E84:R84"/>
    <mergeCell ref="A357:C357"/>
    <mergeCell ref="E114:R114"/>
    <mergeCell ref="A31:C31"/>
    <mergeCell ref="A58:C58"/>
    <mergeCell ref="A329:C329"/>
    <mergeCell ref="A627:C627"/>
    <mergeCell ref="E86:R86"/>
    <mergeCell ref="E384:R384"/>
    <mergeCell ref="A663:C663"/>
    <mergeCell ref="E378:R378"/>
    <mergeCell ref="A24:C24"/>
    <mergeCell ref="E250:O250"/>
    <mergeCell ref="A60:C60"/>
    <mergeCell ref="A358:C358"/>
    <mergeCell ref="A629:C629"/>
    <mergeCell ref="E76:O76"/>
    <mergeCell ref="E81:R81"/>
    <mergeCell ref="A360:C360"/>
    <mergeCell ref="A658:C658"/>
    <mergeCell ref="E251:O251"/>
    <mergeCell ref="A84:C84"/>
    <mergeCell ref="A385:C385"/>
    <mergeCell ref="A689:C689"/>
    <mergeCell ref="A50:C50"/>
    <mergeCell ref="A86:C86"/>
    <mergeCell ref="A384:C384"/>
    <mergeCell ref="E10:R10"/>
    <mergeCell ref="A411:C411"/>
    <mergeCell ref="E308:R308"/>
    <mergeCell ref="A386:C386"/>
    <mergeCell ref="A709:C709"/>
    <mergeCell ref="A684:C684"/>
    <mergeCell ref="E310:R310"/>
    <mergeCell ref="A711:C711"/>
    <mergeCell ref="A686:C686"/>
    <mergeCell ref="E393:O393"/>
    <mergeCell ref="A70:C70"/>
    <mergeCell ref="E484:R484"/>
    <mergeCell ref="A737:C737"/>
    <mergeCell ref="E21:R21"/>
    <mergeCell ref="A397:C397"/>
    <mergeCell ref="E486:R486"/>
    <mergeCell ref="E23:R23"/>
    <mergeCell ref="E17:O17"/>
    <mergeCell ref="E181:R181"/>
    <mergeCell ref="E479:R479"/>
    <mergeCell ref="E19:O19"/>
    <mergeCell ref="A311:C311"/>
    <mergeCell ref="E481:R481"/>
    <mergeCell ref="E510:R510"/>
    <mergeCell ref="E468:R468"/>
    <mergeCell ref="E49:R49"/>
    <mergeCell ref="A300:C300"/>
    <mergeCell ref="A458:C458"/>
    <mergeCell ref="A452:C452"/>
    <mergeCell ref="E159:O159"/>
    <mergeCell ref="A26:C26"/>
    <mergeCell ref="A468:C468"/>
    <mergeCell ref="A380:C380"/>
    <mergeCell ref="E550:R550"/>
    <mergeCell ref="A171:C171"/>
    <mergeCell ref="A165:C165"/>
    <mergeCell ref="E736:R736"/>
    <mergeCell ref="A382:C382"/>
    <mergeCell ref="A680:C680"/>
    <mergeCell ref="E95:R95"/>
    <mergeCell ref="A173:C173"/>
    <mergeCell ref="E521:O521"/>
    <mergeCell ref="E431:R431"/>
    <mergeCell ref="A471:C471"/>
    <mergeCell ref="A77:C77"/>
    <mergeCell ref="A682:C682"/>
    <mergeCell ref="E124:R124"/>
    <mergeCell ref="E389:O389"/>
    <mergeCell ref="E120:R120"/>
    <mergeCell ref="E391:O391"/>
    <mergeCell ref="A66:C66"/>
    <mergeCell ref="E578:R578"/>
    <mergeCell ref="E121:R121"/>
    <mergeCell ref="A522:C522"/>
    <mergeCell ref="A698:C698"/>
    <mergeCell ref="E151:R151"/>
    <mergeCell ref="E455:R455"/>
    <mergeCell ref="E449:R449"/>
    <mergeCell ref="A95:C95"/>
    <mergeCell ref="A393:C393"/>
    <mergeCell ref="E123:R123"/>
    <mergeCell ref="E150:R150"/>
    <mergeCell ref="A524:C524"/>
    <mergeCell ref="E421:R421"/>
    <mergeCell ref="A97:C97"/>
    <mergeCell ref="A219:C219"/>
    <mergeCell ref="E445:O445"/>
    <mergeCell ref="A395:C395"/>
    <mergeCell ref="A693:C693"/>
    <mergeCell ref="E152:R152"/>
    <mergeCell ref="E450:R450"/>
    <mergeCell ref="A96:C96"/>
    <mergeCell ref="E118:R118"/>
    <mergeCell ref="E477:R477"/>
    <mergeCell ref="N2:Q2"/>
    <mergeCell ref="E589:R589"/>
    <mergeCell ref="E508:R508"/>
    <mergeCell ref="A123:C123"/>
    <mergeCell ref="A237:C237"/>
    <mergeCell ref="E134:R134"/>
    <mergeCell ref="E501:R501"/>
    <mergeCell ref="A535:C535"/>
    <mergeCell ref="E47:R47"/>
    <mergeCell ref="A448:C448"/>
    <mergeCell ref="A423:C423"/>
    <mergeCell ref="A108:C108"/>
    <mergeCell ref="A746:C746"/>
    <mergeCell ref="E503:R503"/>
    <mergeCell ref="A537:C537"/>
    <mergeCell ref="A456:C456"/>
    <mergeCell ref="E160:O160"/>
    <mergeCell ref="A22:C22"/>
    <mergeCell ref="E161:O161"/>
    <mergeCell ref="E221:R221"/>
    <mergeCell ref="A134:C134"/>
    <mergeCell ref="K8:L8"/>
    <mergeCell ref="E643:R643"/>
    <mergeCell ref="A167:C167"/>
    <mergeCell ref="E610:R610"/>
    <mergeCell ref="A590:C590"/>
    <mergeCell ref="E216:R216"/>
    <mergeCell ref="E645:R645"/>
    <mergeCell ref="A169:C169"/>
    <mergeCell ref="A467:C467"/>
    <mergeCell ref="A461:C461"/>
    <mergeCell ref="E218:R218"/>
    <mergeCell ref="E516:R516"/>
    <mergeCell ref="A162:C162"/>
    <mergeCell ref="A164:C164"/>
    <mergeCell ref="E234:R234"/>
    <mergeCell ref="A195:C195"/>
    <mergeCell ref="E663:R663"/>
    <mergeCell ref="A309:C309"/>
    <mergeCell ref="E236:R236"/>
    <mergeCell ref="E358:R358"/>
    <mergeCell ref="E656:R656"/>
    <mergeCell ref="A495:C495"/>
    <mergeCell ref="A180:C180"/>
    <mergeCell ref="A609:C609"/>
    <mergeCell ref="E229:R229"/>
    <mergeCell ref="A68:C68"/>
    <mergeCell ref="E148:R148"/>
    <mergeCell ref="E658:R658"/>
    <mergeCell ref="E446:R446"/>
    <mergeCell ref="E530:O530"/>
    <mergeCell ref="A480:C480"/>
    <mergeCell ref="E448:R448"/>
    <mergeCell ref="E444:O444"/>
    <mergeCell ref="E289:R289"/>
    <mergeCell ref="E593:R593"/>
    <mergeCell ref="E587:R587"/>
    <mergeCell ref="E258:O258"/>
    <mergeCell ref="A233:C233"/>
    <mergeCell ref="A208:C208"/>
    <mergeCell ref="A531:C531"/>
    <mergeCell ref="F2:H2"/>
    <mergeCell ref="A235:C235"/>
    <mergeCell ref="A210:C210"/>
    <mergeCell ref="A533:C533"/>
    <mergeCell ref="E290:R290"/>
    <mergeCell ref="E588:R588"/>
    <mergeCell ref="E155:O155"/>
    <mergeCell ref="E590:R590"/>
    <mergeCell ref="E157:O157"/>
    <mergeCell ref="A130:C130"/>
    <mergeCell ref="A261:C261"/>
    <mergeCell ref="A559:C559"/>
    <mergeCell ref="E316:R316"/>
    <mergeCell ref="A138:C138"/>
    <mergeCell ref="A132:C132"/>
    <mergeCell ref="A430:C430"/>
    <mergeCell ref="E606:R606"/>
    <mergeCell ref="E187:R187"/>
    <mergeCell ref="A561:C561"/>
    <mergeCell ref="E301:R301"/>
    <mergeCell ref="A560:C560"/>
    <mergeCell ref="A256:C256"/>
    <mergeCell ref="E189:R189"/>
    <mergeCell ref="E487:R487"/>
    <mergeCell ref="A133:C133"/>
    <mergeCell ref="A264:C264"/>
    <mergeCell ref="E601:R601"/>
    <mergeCell ref="E29:R29"/>
    <mergeCell ref="A280:C280"/>
    <mergeCell ref="A274:C274"/>
    <mergeCell ref="E354:R354"/>
    <mergeCell ref="E329:R329"/>
    <mergeCell ref="E201:O201"/>
    <mergeCell ref="E627:R627"/>
    <mergeCell ref="A186:C186"/>
    <mergeCell ref="E356:R356"/>
    <mergeCell ref="E654:R654"/>
    <mergeCell ref="A275:C275"/>
    <mergeCell ref="E227:R227"/>
    <mergeCell ref="E8:G8"/>
    <mergeCell ref="A486:C486"/>
    <mergeCell ref="A146:C146"/>
    <mergeCell ref="E685:R685"/>
    <mergeCell ref="E556:R556"/>
    <mergeCell ref="E714:R714"/>
    <mergeCell ref="E382:R382"/>
    <mergeCell ref="E254:O254"/>
    <mergeCell ref="E558:R558"/>
    <mergeCell ref="E680:R680"/>
    <mergeCell ref="A204:C204"/>
    <mergeCell ref="E716:R716"/>
    <mergeCell ref="E343:O343"/>
    <mergeCell ref="E688:R688"/>
    <mergeCell ref="E411:R411"/>
    <mergeCell ref="E682:R682"/>
    <mergeCell ref="A206:C206"/>
    <mergeCell ref="A504:C504"/>
    <mergeCell ref="A662:C662"/>
    <mergeCell ref="E249:O249"/>
    <mergeCell ref="A4:R4"/>
    <mergeCell ref="A199:C199"/>
    <mergeCell ref="A506:C506"/>
    <mergeCell ref="E257:O257"/>
    <mergeCell ref="E698:R698"/>
    <mergeCell ref="E429:R429"/>
    <mergeCell ref="E396:O396"/>
    <mergeCell ref="A346:C346"/>
    <mergeCell ref="E97:R97"/>
    <mergeCell ref="E401:R401"/>
    <mergeCell ref="A674:C674"/>
    <mergeCell ref="E693:R693"/>
    <mergeCell ref="A217:C217"/>
    <mergeCell ref="E729:R729"/>
    <mergeCell ref="A375:C375"/>
    <mergeCell ref="E272:R272"/>
    <mergeCell ref="E185:R185"/>
    <mergeCell ref="A586:C586"/>
    <mergeCell ref="A341:C341"/>
    <mergeCell ref="A129:C129"/>
    <mergeCell ref="A675:C675"/>
    <mergeCell ref="A131:C131"/>
    <mergeCell ref="E630:R630"/>
    <mergeCell ref="A276:C276"/>
    <mergeCell ref="E27:R27"/>
    <mergeCell ref="E325:R325"/>
    <mergeCell ref="N7:P7"/>
    <mergeCell ref="E116:R116"/>
    <mergeCell ref="E414:R414"/>
    <mergeCell ref="A1:C1"/>
    <mergeCell ref="A576:C576"/>
    <mergeCell ref="E196:R196"/>
    <mergeCell ref="E327:R327"/>
    <mergeCell ref="A728:C728"/>
    <mergeCell ref="A271:C271"/>
    <mergeCell ref="E22:R22"/>
    <mergeCell ref="E198:R198"/>
    <mergeCell ref="Q7:R7"/>
    <mergeCell ref="A273:C273"/>
    <mergeCell ref="E621:O621"/>
    <mergeCell ref="A571:C571"/>
    <mergeCell ref="E623:O623"/>
    <mergeCell ref="A302:C302"/>
    <mergeCell ref="A298:C298"/>
    <mergeCell ref="A327:C327"/>
    <mergeCell ref="A299:C299"/>
    <mergeCell ref="A293:C293"/>
    <mergeCell ref="E496:R496"/>
    <mergeCell ref="A633:C633"/>
    <mergeCell ref="A747:C747"/>
    <mergeCell ref="A599:C599"/>
    <mergeCell ref="A284:C284"/>
    <mergeCell ref="E336:O336"/>
    <mergeCell ref="A750:R750"/>
    <mergeCell ref="E66:R66"/>
    <mergeCell ref="E425:R425"/>
    <mergeCell ref="A317:C317"/>
    <mergeCell ref="E68:R68"/>
    <mergeCell ref="A12:C12"/>
    <mergeCell ref="E427:R427"/>
    <mergeCell ref="E725:R725"/>
    <mergeCell ref="E697:R697"/>
    <mergeCell ref="E691:R691"/>
    <mergeCell ref="A14:C14"/>
    <mergeCell ref="A312:C312"/>
    <mergeCell ref="A373:C373"/>
    <mergeCell ref="A671:C671"/>
    <mergeCell ref="E726:R726"/>
    <mergeCell ref="A673:C673"/>
    <mergeCell ref="E260:O260"/>
    <mergeCell ref="A241:C241"/>
    <mergeCell ref="A399:C399"/>
    <mergeCell ref="A697:C697"/>
    <mergeCell ref="E112:R112"/>
    <mergeCell ref="E746:R746"/>
    <mergeCell ref="E404:R404"/>
    <mergeCell ref="A243:C243"/>
    <mergeCell ref="A25:C25"/>
    <mergeCell ref="A699:C699"/>
    <mergeCell ref="E705:O705"/>
    <mergeCell ref="E456:R456"/>
    <mergeCell ref="E412:R412"/>
    <mergeCell ref="A236:C236"/>
    <mergeCell ref="A394:C394"/>
    <mergeCell ref="E706:O706"/>
    <mergeCell ref="E293:R293"/>
    <mergeCell ref="Q5:R5"/>
    <mergeCell ref="E138:R138"/>
    <mergeCell ref="E437:O437"/>
    <mergeCell ref="E466:R466"/>
    <mergeCell ref="A112:C112"/>
    <mergeCell ref="A541:C541"/>
    <mergeCell ref="Q6:R6"/>
    <mergeCell ref="A114:C114"/>
    <mergeCell ref="E11:R11"/>
    <mergeCell ref="A412:C412"/>
    <mergeCell ref="A710:C710"/>
    <mergeCell ref="E738:R738"/>
    <mergeCell ref="E461:R461"/>
    <mergeCell ref="A107:C107"/>
    <mergeCell ref="A623:C623"/>
    <mergeCell ref="A712:C712"/>
    <mergeCell ref="A624:C624"/>
    <mergeCell ref="E62:R62"/>
    <mergeCell ref="E608:R608"/>
    <mergeCell ref="E64:R64"/>
    <mergeCell ref="E362:R362"/>
    <mergeCell ref="A8:C8"/>
    <mergeCell ref="E660:R660"/>
    <mergeCell ref="E153:R153"/>
    <mergeCell ref="A342:C342"/>
    <mergeCell ref="A336:C336"/>
    <mergeCell ref="E364:R364"/>
    <mergeCell ref="A10:C10"/>
    <mergeCell ref="A308:C308"/>
    <mergeCell ref="E65:R65"/>
    <mergeCell ref="A344:C344"/>
    <mergeCell ref="E363:R363"/>
    <mergeCell ref="A642:C642"/>
    <mergeCell ref="A310:C310"/>
    <mergeCell ref="A337:C337"/>
    <mergeCell ref="A608:C608"/>
    <mergeCell ref="A339:C339"/>
    <mergeCell ref="E233:R233"/>
    <mergeCell ref="A326:C326"/>
    <mergeCell ref="A364:C364"/>
    <mergeCell ref="A484:C484"/>
    <mergeCell ref="A36:D37"/>
    <mergeCell ref="E71:O71"/>
    <mergeCell ref="A21:C21"/>
    <mergeCell ref="E235:R235"/>
    <mergeCell ref="E533:R533"/>
    <mergeCell ref="A57:C57"/>
    <mergeCell ref="E79:O79"/>
    <mergeCell ref="E744:R744"/>
    <mergeCell ref="E73:O73"/>
    <mergeCell ref="A23:C23"/>
    <mergeCell ref="A181:C181"/>
    <mergeCell ref="E529:O529"/>
    <mergeCell ref="A479:C479"/>
    <mergeCell ref="A52:C52"/>
    <mergeCell ref="A481:C481"/>
    <mergeCell ref="E74:O74"/>
    <mergeCell ref="A510:C510"/>
    <mergeCell ref="A352:C352"/>
    <mergeCell ref="A83:C83"/>
    <mergeCell ref="E551:R551"/>
    <mergeCell ref="A49:C49"/>
    <mergeCell ref="A110:C110"/>
    <mergeCell ref="A408:C408"/>
    <mergeCell ref="A383:C383"/>
    <mergeCell ref="E463:R463"/>
    <mergeCell ref="A410:C410"/>
    <mergeCell ref="A708:C708"/>
    <mergeCell ref="E465:R465"/>
    <mergeCell ref="E177:R177"/>
    <mergeCell ref="E475:R475"/>
    <mergeCell ref="A436:C436"/>
    <mergeCell ref="A121:C121"/>
    <mergeCell ref="E149:R149"/>
    <mergeCell ref="E176:R176"/>
    <mergeCell ref="E447:R447"/>
    <mergeCell ref="A550:C550"/>
    <mergeCell ref="E605:R605"/>
    <mergeCell ref="A736:C736"/>
    <mergeCell ref="A421:C421"/>
    <mergeCell ref="E178:R178"/>
    <mergeCell ref="E476:R476"/>
    <mergeCell ref="E443:O443"/>
    <mergeCell ref="A437:C437"/>
    <mergeCell ref="A431:C431"/>
    <mergeCell ref="E607:R607"/>
    <mergeCell ref="E144:R144"/>
    <mergeCell ref="E16:O16"/>
    <mergeCell ref="E478:R478"/>
    <mergeCell ref="A124:C124"/>
    <mergeCell ref="A422:C422"/>
    <mergeCell ref="E18:O18"/>
    <mergeCell ref="A149:C149"/>
    <mergeCell ref="A447:C447"/>
    <mergeCell ref="A578:C578"/>
    <mergeCell ref="A151:C151"/>
    <mergeCell ref="A449:C449"/>
    <mergeCell ref="E231:R231"/>
    <mergeCell ref="E504:R504"/>
    <mergeCell ref="A150:C150"/>
    <mergeCell ref="A144:C144"/>
    <mergeCell ref="E506:R506"/>
    <mergeCell ref="A152:C152"/>
    <mergeCell ref="E158:O158"/>
    <mergeCell ref="A450:C450"/>
    <mergeCell ref="E527:O527"/>
    <mergeCell ref="A477:C477"/>
    <mergeCell ref="A291:C291"/>
    <mergeCell ref="A79:C79"/>
    <mergeCell ref="A589:C589"/>
    <mergeCell ref="E72:O72"/>
    <mergeCell ref="E557:R557"/>
    <mergeCell ref="E242:R242"/>
    <mergeCell ref="A379:C379"/>
    <mergeCell ref="A501:C501"/>
    <mergeCell ref="A74:C74"/>
    <mergeCell ref="E542:R542"/>
    <mergeCell ref="E129:R129"/>
    <mergeCell ref="A381:C381"/>
    <mergeCell ref="A503:C503"/>
    <mergeCell ref="A679:C679"/>
    <mergeCell ref="A76:C76"/>
    <mergeCell ref="A374:C374"/>
    <mergeCell ref="E131:R131"/>
    <mergeCell ref="E87:R87"/>
    <mergeCell ref="E276:R276"/>
    <mergeCell ref="E270:R270"/>
    <mergeCell ref="A92:C92"/>
    <mergeCell ref="A521:C521"/>
    <mergeCell ref="A94:C94"/>
    <mergeCell ref="E113:R113"/>
    <mergeCell ref="A216:C216"/>
    <mergeCell ref="A523:C523"/>
    <mergeCell ref="A427:C427"/>
    <mergeCell ref="A87:C87"/>
    <mergeCell ref="E572:O572"/>
    <mergeCell ref="A218:C218"/>
    <mergeCell ref="E115:R115"/>
    <mergeCell ref="E566:O566"/>
    <mergeCell ref="A516:C516"/>
    <mergeCell ref="A89:C89"/>
    <mergeCell ref="E574:O574"/>
    <mergeCell ref="A574:C574"/>
    <mergeCell ref="A234:C234"/>
    <mergeCell ref="A451:C451"/>
    <mergeCell ref="E500:R500"/>
    <mergeCell ref="E291:R291"/>
    <mergeCell ref="A569:C569"/>
    <mergeCell ref="A229:C229"/>
    <mergeCell ref="E502:R502"/>
    <mergeCell ref="A148:C148"/>
    <mergeCell ref="A446:C446"/>
    <mergeCell ref="E197:R197"/>
    <mergeCell ref="E184:R184"/>
    <mergeCell ref="A587:C587"/>
    <mergeCell ref="E213:R213"/>
    <mergeCell ref="A745:C745"/>
    <mergeCell ref="E642:R642"/>
    <mergeCell ref="A160:C160"/>
    <mergeCell ref="A464:C464"/>
    <mergeCell ref="E215:R215"/>
    <mergeCell ref="A616:C616"/>
    <mergeCell ref="E513:R513"/>
    <mergeCell ref="E209:O209"/>
    <mergeCell ref="A159:C159"/>
    <mergeCell ref="E373:R373"/>
    <mergeCell ref="E644:R644"/>
    <mergeCell ref="A290:C290"/>
    <mergeCell ref="A588:C588"/>
    <mergeCell ref="E211:O211"/>
    <mergeCell ref="A161:C161"/>
    <mergeCell ref="A459:C459"/>
    <mergeCell ref="E673:R673"/>
    <mergeCell ref="A617:C617"/>
    <mergeCell ref="A615:C615"/>
    <mergeCell ref="E57:R57"/>
    <mergeCell ref="E355:R355"/>
    <mergeCell ref="A492:C492"/>
    <mergeCell ref="E268:R268"/>
    <mergeCell ref="E243:R243"/>
    <mergeCell ref="A606:C606"/>
    <mergeCell ref="A644:C644"/>
    <mergeCell ref="A212:C212"/>
    <mergeCell ref="E109:R109"/>
    <mergeCell ref="A187:C187"/>
    <mergeCell ref="A485:C485"/>
    <mergeCell ref="K36:N37"/>
    <mergeCell ref="A214:C214"/>
    <mergeCell ref="E111:R111"/>
    <mergeCell ref="A189:C189"/>
    <mergeCell ref="A512:C512"/>
    <mergeCell ref="A487:C487"/>
    <mergeCell ref="E439:O439"/>
    <mergeCell ref="E140:R140"/>
    <mergeCell ref="E441:O441"/>
    <mergeCell ref="E742:R742"/>
    <mergeCell ref="E287:R287"/>
    <mergeCell ref="A688:C688"/>
    <mergeCell ref="E281:R281"/>
    <mergeCell ref="E585:R585"/>
    <mergeCell ref="A540:C540"/>
    <mergeCell ref="A225:C225"/>
    <mergeCell ref="E737:R737"/>
    <mergeCell ref="E193:R193"/>
    <mergeCell ref="A227:C227"/>
    <mergeCell ref="E575:O575"/>
    <mergeCell ref="E745:R745"/>
    <mergeCell ref="E282:R282"/>
    <mergeCell ref="A556:C556"/>
    <mergeCell ref="E313:R313"/>
    <mergeCell ref="A714:C714"/>
    <mergeCell ref="AD34:AJ35"/>
    <mergeCell ref="A251:C251"/>
    <mergeCell ref="A558:C558"/>
    <mergeCell ref="A716:C716"/>
    <mergeCell ref="E613:R613"/>
    <mergeCell ref="A259:C259"/>
    <mergeCell ref="A253:C253"/>
    <mergeCell ref="E727:R727"/>
    <mergeCell ref="E640:R640"/>
    <mergeCell ref="K6:M6"/>
    <mergeCell ref="E669:R669"/>
    <mergeCell ref="E53:R53"/>
    <mergeCell ref="E351:R351"/>
    <mergeCell ref="E326:R326"/>
    <mergeCell ref="A429:C429"/>
    <mergeCell ref="A727:C727"/>
    <mergeCell ref="E361:R361"/>
    <mergeCell ref="A640:C640"/>
    <mergeCell ref="E55:R55"/>
    <mergeCell ref="E353:R353"/>
    <mergeCell ref="E695:R695"/>
    <mergeCell ref="E651:R651"/>
    <mergeCell ref="A729:C729"/>
    <mergeCell ref="A297:C297"/>
    <mergeCell ref="A272:C272"/>
    <mergeCell ref="E48:R48"/>
    <mergeCell ref="A185:C185"/>
    <mergeCell ref="A483:C483"/>
    <mergeCell ref="E653:R653"/>
    <mergeCell ref="E622:O622"/>
    <mergeCell ref="A597:C597"/>
    <mergeCell ref="E379:R379"/>
    <mergeCell ref="E677:R677"/>
    <mergeCell ref="E110:R110"/>
    <mergeCell ref="E381:R381"/>
    <mergeCell ref="E679:R679"/>
    <mergeCell ref="A325:C325"/>
    <mergeCell ref="E380:R380"/>
    <mergeCell ref="A659:C659"/>
    <mergeCell ref="A653:C653"/>
    <mergeCell ref="A196:C196"/>
    <mergeCell ref="E410:R410"/>
    <mergeCell ref="A354:C354"/>
    <mergeCell ref="A625:C625"/>
    <mergeCell ref="A652:C652"/>
    <mergeCell ref="A198:C198"/>
    <mergeCell ref="A356:C356"/>
    <mergeCell ref="E704:O704"/>
    <mergeCell ref="A654:C654"/>
    <mergeCell ref="E92:R92"/>
    <mergeCell ref="E36:I37"/>
    <mergeCell ref="E94:R94"/>
    <mergeCell ref="E311:R311"/>
    <mergeCell ref="A372:C372"/>
    <mergeCell ref="E603:R603"/>
    <mergeCell ref="A249:C249"/>
    <mergeCell ref="E304:R304"/>
    <mergeCell ref="A67:C67"/>
    <mergeCell ref="A338:C338"/>
    <mergeCell ref="E388:O388"/>
    <mergeCell ref="E611:R611"/>
    <mergeCell ref="E89:R89"/>
    <mergeCell ref="A257:C257"/>
    <mergeCell ref="A672:C672"/>
    <mergeCell ref="A555:C555"/>
    <mergeCell ref="A549:C549"/>
    <mergeCell ref="E306:R306"/>
    <mergeCell ref="E390:O390"/>
    <mergeCell ref="A707:C707"/>
    <mergeCell ref="A340:C340"/>
    <mergeCell ref="A252:C252"/>
    <mergeCell ref="E24:R24"/>
    <mergeCell ref="A425:C425"/>
    <mergeCell ref="E322:R322"/>
    <mergeCell ref="A723:C723"/>
    <mergeCell ref="E324:R324"/>
    <mergeCell ref="A725:C725"/>
    <mergeCell ref="E482:R482"/>
    <mergeCell ref="A262:C262"/>
    <mergeCell ref="A122:C122"/>
    <mergeCell ref="A420:C420"/>
    <mergeCell ref="E13:O13"/>
    <mergeCell ref="E618:O618"/>
    <mergeCell ref="A726:C726"/>
    <mergeCell ref="E15:O15"/>
    <mergeCell ref="E319:R319"/>
    <mergeCell ref="E620:O620"/>
    <mergeCell ref="E464:R464"/>
    <mergeCell ref="E493:R493"/>
    <mergeCell ref="E406:R406"/>
    <mergeCell ref="A27:C27"/>
    <mergeCell ref="E459:R459"/>
    <mergeCell ref="E247:R247"/>
    <mergeCell ref="E676:R676"/>
    <mergeCell ref="E700:O700"/>
    <mergeCell ref="A650:C650"/>
    <mergeCell ref="E63:R63"/>
    <mergeCell ref="E90:R90"/>
    <mergeCell ref="A466:C466"/>
    <mergeCell ref="E119:R119"/>
    <mergeCell ref="A11:C11"/>
    <mergeCell ref="E548:R548"/>
    <mergeCell ref="E91:R91"/>
    <mergeCell ref="E85:R85"/>
    <mergeCell ref="E392:O392"/>
    <mergeCell ref="E419:R419"/>
    <mergeCell ref="E386:O386"/>
    <mergeCell ref="A65:C65"/>
    <mergeCell ref="A678:C678"/>
    <mergeCell ref="A363:C363"/>
    <mergeCell ref="A634:C634"/>
    <mergeCell ref="E93:R93"/>
    <mergeCell ref="E719:R719"/>
    <mergeCell ref="A365:C365"/>
    <mergeCell ref="E122:R122"/>
    <mergeCell ref="E420:R420"/>
    <mergeCell ref="E387:O387"/>
    <mergeCell ref="E416:R416"/>
    <mergeCell ref="A179:C179"/>
    <mergeCell ref="E147:R147"/>
    <mergeCell ref="E451:R451"/>
    <mergeCell ref="A91:C91"/>
    <mergeCell ref="A389:C389"/>
    <mergeCell ref="A660:C660"/>
    <mergeCell ref="A696:C696"/>
    <mergeCell ref="A93:C93"/>
    <mergeCell ref="D6:G6"/>
    <mergeCell ref="A391:C391"/>
    <mergeCell ref="N3:Q3"/>
    <mergeCell ref="E104:R104"/>
    <mergeCell ref="A691:C691"/>
    <mergeCell ref="E434:O434"/>
    <mergeCell ref="A75:C75"/>
    <mergeCell ref="A749:C749"/>
    <mergeCell ref="E130:R130"/>
    <mergeCell ref="A409:C409"/>
    <mergeCell ref="E489:R489"/>
    <mergeCell ref="A104:C104"/>
    <mergeCell ref="E132:R132"/>
    <mergeCell ref="E430:R430"/>
    <mergeCell ref="A321:C321"/>
    <mergeCell ref="E491:R491"/>
    <mergeCell ref="E156:O156"/>
    <mergeCell ref="A106:C106"/>
    <mergeCell ref="A744:C744"/>
    <mergeCell ref="A404:C404"/>
    <mergeCell ref="K7:M7"/>
    <mergeCell ref="A323:C323"/>
    <mergeCell ref="A621:C621"/>
    <mergeCell ref="A735:C735"/>
    <mergeCell ref="E59:R59"/>
    <mergeCell ref="A289:C289"/>
    <mergeCell ref="E61:R61"/>
    <mergeCell ref="A462:C462"/>
    <mergeCell ref="E359:R359"/>
    <mergeCell ref="E517:R517"/>
    <mergeCell ref="E54:R54"/>
    <mergeCell ref="E212:R212"/>
    <mergeCell ref="A7:C7"/>
    <mergeCell ref="E519:R519"/>
    <mergeCell ref="A305:C305"/>
    <mergeCell ref="A463:C463"/>
    <mergeCell ref="E56:R56"/>
    <mergeCell ref="E214:R214"/>
    <mergeCell ref="E512:R512"/>
    <mergeCell ref="A465:C465"/>
    <mergeCell ref="A2:C2"/>
    <mergeCell ref="E230:R230"/>
    <mergeCell ref="E659:R659"/>
    <mergeCell ref="A475:C475"/>
    <mergeCell ref="E232:R232"/>
    <mergeCell ref="A176:C176"/>
    <mergeCell ref="E661:R661"/>
    <mergeCell ref="A605:C605"/>
    <mergeCell ref="E225:R225"/>
    <mergeCell ref="A64:C64"/>
    <mergeCell ref="E70:O70"/>
    <mergeCell ref="A387:C387"/>
    <mergeCell ref="E741:R741"/>
    <mergeCell ref="E532:R532"/>
    <mergeCell ref="A38:R42"/>
    <mergeCell ref="A178:C178"/>
    <mergeCell ref="E526:O526"/>
    <mergeCell ref="A476:C476"/>
    <mergeCell ref="A687:C687"/>
    <mergeCell ref="E528:O528"/>
    <mergeCell ref="A478:C478"/>
    <mergeCell ref="E433:R433"/>
    <mergeCell ref="E460:R460"/>
    <mergeCell ref="A100:C100"/>
    <mergeCell ref="A231:C231"/>
    <mergeCell ref="E128:R128"/>
    <mergeCell ref="A529:C529"/>
    <mergeCell ref="E426:R426"/>
    <mergeCell ref="E462:R462"/>
    <mergeCell ref="A102:C102"/>
    <mergeCell ref="A400:C400"/>
    <mergeCell ref="E428:R428"/>
    <mergeCell ref="E586:R586"/>
    <mergeCell ref="A402:C402"/>
    <mergeCell ref="E457:R457"/>
    <mergeCell ref="A103:C103"/>
    <mergeCell ref="E146:R146"/>
    <mergeCell ref="A547:C547"/>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1" colorId="64" zoomScale="100" zoomScaleNormal="115" zoomScalePageLayoutView="100" workbookViewId="0">
      <selection pane="topLeft" activeCell="E3" activeCellId="0" sqref="E3"/>
    </sheetView>
  </sheetViews>
  <sheetFormatPr baseColWidth="8" defaultColWidth="9.3359375" defaultRowHeight="13.5" zeroHeight="0" outlineLevelRow="0"/>
  <cols>
    <col width="7.33" customWidth="1" style="753" min="1" max="1"/>
    <col width="6.78" customWidth="1" style="753" min="2" max="2"/>
    <col width="50.11" customWidth="1" style="753" min="3" max="3"/>
    <col width="14.89" customWidth="1" style="753" min="4" max="4"/>
    <col width="9.33" customWidth="1" style="753" min="5" max="5"/>
    <col width="15.11" customWidth="1" style="753" min="6" max="6"/>
    <col width="9.33" customWidth="1" style="753" min="7" max="16384"/>
  </cols>
  <sheetData>
    <row r="1" ht="63" customHeight="1" s="557">
      <c r="A1" s="754" t="n"/>
      <c r="B1" s="755" t="n"/>
      <c r="C1" s="755" t="n"/>
      <c r="D1" s="755" t="n"/>
      <c r="E1" s="755" t="n"/>
      <c r="F1" s="756" t="n"/>
    </row>
    <row r="2" ht="13.5" customHeight="1" s="557">
      <c r="A2" s="757" t="inlineStr">
        <is>
          <t>Final Proforma Invoice</t>
        </is>
      </c>
      <c r="B2" s="561" t="n"/>
      <c r="C2" s="561" t="n"/>
      <c r="D2" s="561" t="n"/>
      <c r="E2" s="561" t="n"/>
      <c r="F2" s="562" t="n"/>
    </row>
    <row r="3" ht="14.9" customHeight="1" s="557">
      <c r="A3" s="758" t="inlineStr">
        <is>
          <t>Rig</t>
        </is>
      </c>
      <c r="B3" s="759" t="n"/>
      <c r="C3" s="760">
        <f>'Master Data'!E11</f>
        <v/>
      </c>
      <c r="D3" s="761" t="inlineStr">
        <is>
          <t>DT</t>
        </is>
      </c>
      <c r="E3" s="762">
        <f>'Master Data'!B15</f>
        <v/>
      </c>
      <c r="F3" s="763" t="n"/>
    </row>
    <row r="4" ht="14.9" customHeight="1" s="557">
      <c r="A4" s="764" t="inlineStr">
        <is>
          <t>Well</t>
        </is>
      </c>
      <c r="C4" s="765">
        <f>'Master Data'!E10</f>
        <v/>
      </c>
      <c r="D4" s="766" t="inlineStr">
        <is>
          <t>PO</t>
        </is>
      </c>
      <c r="E4" s="767">
        <f>'Master Data'!B11</f>
        <v/>
      </c>
      <c r="F4" s="673" t="n"/>
    </row>
    <row r="5" ht="14.9" customHeight="1" s="557">
      <c r="A5" s="764" t="inlineStr">
        <is>
          <t>Job</t>
        </is>
      </c>
      <c r="C5" s="768">
        <f>'Master Data'!E3</f>
        <v/>
      </c>
      <c r="D5" s="766" t="inlineStr">
        <is>
          <t>Contract</t>
        </is>
      </c>
      <c r="E5" s="767">
        <f>'Master Data'!B10</f>
        <v/>
      </c>
      <c r="F5" s="673" t="n"/>
    </row>
    <row r="6" ht="14.9" customHeight="1" s="557">
      <c r="A6" s="769" t="n"/>
      <c r="B6" s="710" t="n"/>
      <c r="C6" s="710" t="n"/>
      <c r="D6" s="768" t="inlineStr">
        <is>
          <t>Customer</t>
        </is>
      </c>
      <c r="E6" s="770">
        <f>'Master Data'!B3</f>
        <v/>
      </c>
      <c r="F6" s="771" t="n"/>
    </row>
    <row r="7" ht="14.9" customFormat="1" customHeight="1" s="772">
      <c r="A7" s="773" t="inlineStr">
        <is>
          <t>S.No.</t>
        </is>
      </c>
      <c r="B7" s="774" t="inlineStr">
        <is>
          <t>Description</t>
        </is>
      </c>
      <c r="C7" s="710" t="n"/>
      <c r="D7" s="775" t="inlineStr">
        <is>
          <t>Per Day Rate $</t>
        </is>
      </c>
      <c r="E7" s="775" t="inlineStr">
        <is>
          <t># Days</t>
        </is>
      </c>
      <c r="F7" s="776" t="inlineStr">
        <is>
          <t>Total</t>
        </is>
      </c>
      <c r="H7" s="772" t="inlineStr">
        <is>
          <t>,</t>
        </is>
      </c>
    </row>
    <row r="8" ht="33" customHeight="1" s="557">
      <c r="A8" s="777" t="n">
        <v>1</v>
      </c>
      <c r="B8" s="778" t="inlineStr">
        <is>
          <t xml:space="preserve">Table1, P1 | SERVICE ENGINEER RIG SITE
COMPLETION ENG: 5 DAYS , TRSV ENG:3 DAYS </t>
        </is>
      </c>
      <c r="C8" s="779" t="n"/>
      <c r="D8" s="780" t="n">
        <v>1124</v>
      </c>
      <c r="E8" s="781" t="n">
        <v>8</v>
      </c>
      <c r="F8" s="782">
        <f>D8*E8</f>
        <v/>
      </c>
    </row>
    <row r="9" ht="33" customHeight="1" s="557">
      <c r="A9" s="783" t="n">
        <v>2</v>
      </c>
      <c r="B9" s="784" t="inlineStr">
        <is>
          <t>Table15, S1 | SUB ASSEMBLY MAKE UP</t>
        </is>
      </c>
      <c r="C9" s="679" t="n"/>
      <c r="D9" s="780" t="n">
        <v>9384.379999999999</v>
      </c>
      <c r="E9" s="785" t="n">
        <v>1</v>
      </c>
      <c r="F9" s="782">
        <f>D9*E9</f>
        <v/>
      </c>
    </row>
    <row r="10" ht="33" customHeight="1" s="557">
      <c r="A10" s="783" t="n">
        <v>3</v>
      </c>
      <c r="B10" s="784" t="inlineStr">
        <is>
          <t>Table15, S2 | ASSEMBLY PRESSURE TEST</t>
        </is>
      </c>
      <c r="C10" s="679" t="n"/>
      <c r="D10" s="780" t="n">
        <v>4933.5</v>
      </c>
      <c r="E10" s="785" t="n">
        <v>1</v>
      </c>
      <c r="F10" s="782">
        <f>D10*E10</f>
        <v/>
      </c>
    </row>
    <row r="11" ht="33" customHeight="1" s="557">
      <c r="A11" s="783" t="n">
        <v>4</v>
      </c>
      <c r="B11" s="784" t="inlineStr">
        <is>
          <t>Table15, S3 | TRANSPORTATION</t>
        </is>
      </c>
      <c r="C11" s="679" t="n"/>
      <c r="D11" s="780" t="n">
        <v>3289</v>
      </c>
      <c r="E11" s="785" t="n">
        <v>1</v>
      </c>
      <c r="F11" s="782">
        <f>D11*E11</f>
        <v/>
      </c>
    </row>
    <row r="12" ht="33" customHeight="1" s="557">
      <c r="A12" s="783" t="n">
        <v>5</v>
      </c>
      <c r="B12" s="784" t="inlineStr">
        <is>
          <t>Table15, S4 | RUNNING/INSTALLATION SERV.</t>
        </is>
      </c>
      <c r="C12" s="679" t="n"/>
      <c r="D12" s="780" t="n">
        <v>14550.25</v>
      </c>
      <c r="E12" s="785" t="n">
        <v>1</v>
      </c>
      <c r="F12" s="782">
        <f>D12*E12</f>
        <v/>
      </c>
    </row>
    <row r="13" ht="33" customHeight="1" s="557">
      <c r="A13" s="783" t="n">
        <v>6</v>
      </c>
      <c r="B13" s="784" t="inlineStr">
        <is>
          <t>Table6, A24 | PIP TAG</t>
        </is>
      </c>
      <c r="C13" s="679" t="n"/>
      <c r="D13" s="786" t="n">
        <v>12600</v>
      </c>
      <c r="E13" s="787" t="n">
        <v>0.5</v>
      </c>
      <c r="F13" s="788">
        <f>D13*E13</f>
        <v/>
      </c>
    </row>
    <row r="14" ht="33" customHeight="1" s="557">
      <c r="A14" s="783" t="n"/>
      <c r="B14" s="784" t="n"/>
      <c r="C14" s="679" t="n"/>
      <c r="D14" s="786" t="n"/>
      <c r="E14" s="789" t="n"/>
      <c r="F14" s="788" t="n"/>
    </row>
    <row r="15" ht="19.5" customHeight="1" s="557">
      <c r="A15" s="790" t="inlineStr">
        <is>
          <t>DS Signature and Stamp                                       Weatherford Service Eng.</t>
        </is>
      </c>
      <c r="B15" s="682" t="n"/>
      <c r="C15" s="708" t="n"/>
      <c r="D15" s="791" t="inlineStr">
        <is>
          <t>Gross Value $</t>
        </is>
      </c>
      <c r="E15" s="679" t="n"/>
      <c r="F15" s="792">
        <f>SUM(F8:F14)</f>
        <v/>
      </c>
    </row>
    <row r="16" ht="19.5" customHeight="1" s="557">
      <c r="A16" s="716" t="n"/>
      <c r="B16" s="717" t="n"/>
      <c r="C16" s="718" t="n"/>
      <c r="D16" s="791" t="n"/>
      <c r="E16" s="679" t="n"/>
      <c r="F16" s="792" t="n"/>
    </row>
    <row r="17" ht="19.5" customHeight="1" s="557">
      <c r="A17" s="707" t="n"/>
      <c r="B17" s="793" t="n"/>
      <c r="C17" s="794" t="n"/>
      <c r="D17" s="795" t="inlineStr">
        <is>
          <t>Net Invoice Value $</t>
        </is>
      </c>
      <c r="E17" s="796" t="n"/>
      <c r="F17" s="797">
        <f>F16+F15</f>
        <v/>
      </c>
    </row>
    <row r="18" ht="13.5" customHeight="1" s="557">
      <c r="C18" s="798" t="n"/>
      <c r="F18" s="799" t="n"/>
    </row>
    <row r="19" ht="13.5" customHeight="1" s="557">
      <c r="F19" s="799" t="n"/>
    </row>
    <row r="20" ht="13.5" customHeight="1" s="557">
      <c r="F20" s="799"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00" zoomScaleNormal="70" zoomScalePageLayoutView="100" workbookViewId="0">
      <selection pane="topLeft" activeCell="H6" activeCellId="0" sqref="H6"/>
    </sheetView>
  </sheetViews>
  <sheetFormatPr baseColWidth="8" defaultColWidth="9.11328125" defaultRowHeight="14.25" zeroHeight="0" outlineLevelRow="0"/>
  <cols>
    <col width="2.11" customWidth="1" style="606" min="1" max="1"/>
    <col width="14" customWidth="1" style="606" min="2" max="2"/>
    <col width="22.44" customWidth="1" style="606" min="3" max="3"/>
    <col width="39.11" customWidth="1" style="606" min="4" max="4"/>
    <col width="8.67" customWidth="1" style="606" min="5" max="5"/>
    <col width="9.56" customWidth="1" style="606" min="6" max="6"/>
    <col width="32.45" customWidth="1" style="606" min="7" max="7"/>
    <col width="35.33" customWidth="1" style="606" min="8" max="8"/>
    <col width="17" customWidth="1" style="606" min="9" max="9"/>
    <col width="0.33" customWidth="1" style="606" min="11" max="11"/>
  </cols>
  <sheetData>
    <row r="1" ht="4.5" customHeight="1" s="557"/>
    <row r="2" ht="15" customHeight="1" s="557">
      <c r="B2" s="800" t="inlineStr">
        <is>
          <t>ADNOC</t>
        </is>
      </c>
      <c r="C2" s="759" t="n"/>
      <c r="D2" s="759" t="n"/>
      <c r="E2" s="801" t="n"/>
      <c r="F2" s="802" t="inlineStr">
        <is>
          <t xml:space="preserve">Doc No: FO-ADC-DMET-COMP-Rev1 </t>
        </is>
      </c>
      <c r="G2" s="801" t="n"/>
      <c r="H2" s="802" t="inlineStr">
        <is>
          <t>Doc Owner: ADNOC DMET TEAM</t>
        </is>
      </c>
      <c r="I2" s="803" t="n"/>
    </row>
    <row r="3" ht="15" customHeight="1" s="557">
      <c r="B3" s="804" t="inlineStr">
        <is>
          <t xml:space="preserve"> KEY PERFORMANCE INDICTOR " KPI"</t>
        </is>
      </c>
      <c r="C3" s="592" t="n"/>
      <c r="D3" s="592" t="n"/>
      <c r="E3" s="592" t="n"/>
      <c r="F3" s="606" t="inlineStr">
        <is>
          <t>CONTRACTORS PEFORMANCE TRAKER / JOB EVALUATION</t>
        </is>
      </c>
      <c r="G3" s="805" t="n"/>
      <c r="H3" s="806" t="n"/>
      <c r="I3" s="807" t="n"/>
    </row>
    <row r="4" ht="15" customHeight="1" s="557">
      <c r="B4" s="808" t="inlineStr">
        <is>
          <t>Job Type :</t>
        </is>
      </c>
      <c r="C4" s="567" t="n"/>
      <c r="D4" s="809">
        <f>'Master Data'!E4</f>
        <v/>
      </c>
      <c r="E4" s="810" t="inlineStr">
        <is>
          <t xml:space="preserve">Job Completed Scussfuly </t>
        </is>
      </c>
      <c r="F4" s="763" t="n"/>
      <c r="G4" s="811" t="inlineStr">
        <is>
          <t>Service Provider :</t>
        </is>
      </c>
      <c r="H4" s="616">
        <f>'Master Data'!B18</f>
        <v/>
      </c>
      <c r="I4" s="807" t="n"/>
    </row>
    <row r="5" ht="14.25" customHeight="1" s="557">
      <c r="B5" s="808" t="inlineStr">
        <is>
          <t>Rig Name :</t>
        </is>
      </c>
      <c r="C5" s="567" t="n"/>
      <c r="D5" s="809">
        <f>'Master Data'!E11</f>
        <v/>
      </c>
      <c r="E5" s="812" t="n"/>
      <c r="F5" s="673" t="n"/>
      <c r="G5" s="813" t="inlineStr">
        <is>
          <t>Contractor's Rep. Lead :</t>
        </is>
      </c>
      <c r="H5" s="616">
        <f>'Master Data'!B21</f>
        <v/>
      </c>
      <c r="I5" s="807" t="n"/>
    </row>
    <row r="6" ht="15" customHeight="1" s="557">
      <c r="B6" s="808" t="inlineStr">
        <is>
          <t>Well No:</t>
        </is>
      </c>
      <c r="C6" s="567" t="n"/>
      <c r="D6" s="809">
        <f>'Master Data'!E10</f>
        <v/>
      </c>
      <c r="E6" s="812" t="n"/>
      <c r="F6" s="673" t="n"/>
      <c r="G6" s="811" t="inlineStr">
        <is>
          <t>Crew 1</t>
        </is>
      </c>
      <c r="H6" s="616">
        <f>'Master Data'!H4</f>
        <v/>
      </c>
      <c r="I6" s="807" t="n"/>
    </row>
    <row r="7" ht="14.25" customHeight="1" s="557">
      <c r="B7" s="808" t="inlineStr">
        <is>
          <t>ADNOC Rep. :</t>
        </is>
      </c>
      <c r="C7" s="567" t="n"/>
      <c r="D7" s="809">
        <f>'Master Data'!B4</f>
        <v/>
      </c>
      <c r="E7" s="812" t="n"/>
      <c r="F7" s="673" t="n"/>
      <c r="G7" s="811" t="inlineStr">
        <is>
          <t>Crew 2</t>
        </is>
      </c>
      <c r="H7" s="814">
        <f>'Master Data'!H8</f>
        <v/>
      </c>
      <c r="I7" s="807" t="n"/>
    </row>
    <row r="8" ht="15" customHeight="1" s="557">
      <c r="B8" s="808" t="inlineStr">
        <is>
          <t xml:space="preserve">Job Duration </t>
        </is>
      </c>
      <c r="C8" s="567" t="n"/>
      <c r="D8" s="815">
        <f>ROUNDUP(INT('Master Data'!E15)-INT('Master Data'!E12),0)+1&amp;" days"</f>
        <v/>
      </c>
      <c r="E8" s="812" t="n"/>
      <c r="F8" s="673" t="n"/>
      <c r="G8" s="811" t="inlineStr">
        <is>
          <t>Crew 3</t>
        </is>
      </c>
      <c r="H8" s="814">
        <f>'Master Data'!H10</f>
        <v/>
      </c>
      <c r="I8" s="816" t="inlineStr">
        <is>
          <t xml:space="preserve">Date </t>
        </is>
      </c>
    </row>
    <row r="9" ht="14.25" customHeight="1" s="557">
      <c r="B9" s="817" t="inlineStr">
        <is>
          <t>Period from / to (Date):</t>
        </is>
      </c>
      <c r="C9" s="583" t="n"/>
      <c r="D9" s="818">
        <f>"from "&amp;TEXT('Master Data'!E12,"dd/mmm/yy")&amp;"  to "&amp;TEXT('Master Data'!E15,"dd/mmm/yy")</f>
        <v/>
      </c>
      <c r="E9" s="711" t="n"/>
      <c r="F9" s="771" t="n"/>
      <c r="G9" s="819" t="inlineStr">
        <is>
          <t>Crew 4</t>
        </is>
      </c>
      <c r="H9" s="814">
        <f>'Master Data'!H11</f>
        <v/>
      </c>
      <c r="I9" s="820">
        <f>I44</f>
        <v/>
      </c>
    </row>
    <row r="10" ht="17.35" customHeight="1" s="557">
      <c r="B10" s="821" t="inlineStr">
        <is>
          <t>Contract Service Operation Execution KPIs</t>
        </is>
      </c>
      <c r="C10" s="640" t="n"/>
      <c r="D10" s="640" t="n"/>
      <c r="E10" s="822" t="inlineStr">
        <is>
          <t xml:space="preserve">Yes </t>
        </is>
      </c>
      <c r="F10" s="823" t="inlineStr">
        <is>
          <t xml:space="preserve">No </t>
        </is>
      </c>
      <c r="G10" s="824" t="n"/>
      <c r="H10" s="565" t="n"/>
      <c r="I10" s="825" t="n"/>
    </row>
    <row r="11" ht="6" customHeight="1" s="557">
      <c r="B11" s="826" t="n"/>
      <c r="C11" s="827" t="n"/>
      <c r="D11" s="827" t="n"/>
      <c r="E11" s="828" t="n"/>
      <c r="F11" s="828" t="n"/>
      <c r="G11" s="827" t="n"/>
      <c r="H11" s="827" t="n"/>
      <c r="I11" s="829" t="n"/>
    </row>
    <row r="12" ht="15" customHeight="1" s="557">
      <c r="B12" s="830" t="inlineStr">
        <is>
          <t>A) Pre- Job Documentation .</t>
        </is>
      </c>
      <c r="C12" s="570" t="n"/>
      <c r="D12" s="570" t="n"/>
      <c r="E12" s="831" t="n"/>
      <c r="F12" s="831" t="n"/>
      <c r="G12" s="832" t="inlineStr">
        <is>
          <t xml:space="preserve">Comments </t>
        </is>
      </c>
      <c r="H12" s="593" t="n"/>
      <c r="I12" s="833" t="inlineStr">
        <is>
          <t xml:space="preserve">Scoring </t>
        </is>
      </c>
    </row>
    <row r="13" ht="60" customHeight="1" s="557">
      <c r="B13" s="834" t="inlineStr">
        <is>
          <t>1. Engineer Has the latest revision of well program detailing job procedures &amp; design , which communicated to the ADNOC completion engineer &amp; has  the job packet including the well calculation / Simulation ,Sub Assembly Report  etc. ? .</t>
        </is>
      </c>
      <c r="C13" s="570" t="n"/>
      <c r="D13" s="567" t="n"/>
      <c r="E13" s="835" t="n"/>
      <c r="F13" s="835" t="n"/>
      <c r="G13" s="836" t="n"/>
      <c r="H13" s="570" t="n"/>
      <c r="I13" s="837" t="n">
        <v>0.2</v>
      </c>
      <c r="K13" s="838" t="n">
        <v>0.07000000000000001</v>
      </c>
    </row>
    <row r="14" ht="54" customHeight="1" s="557">
      <c r="B14" s="834" t="inlineStr">
        <is>
          <t>2. Engineers conducted Pre-Job meeting with Technical Rep / Operation Support reviews the completion design in town &amp; have the contingency plan  in place ?</t>
        </is>
      </c>
      <c r="C14" s="570" t="n"/>
      <c r="D14" s="567" t="n"/>
      <c r="E14" s="616" t="n"/>
      <c r="F14" s="839" t="n"/>
      <c r="G14" s="836" t="n"/>
      <c r="H14" s="570" t="n"/>
      <c r="I14" s="840" t="n"/>
      <c r="K14" s="838" t="n">
        <v>0.07000000000000001</v>
      </c>
    </row>
    <row r="15" ht="30" customHeight="1" s="557">
      <c r="B15" s="834" t="inlineStr">
        <is>
          <t>3. Engineer Has the agreed Risk Analysis "RA/JSA" identifying each step of the operations ?</t>
        </is>
      </c>
      <c r="C15" s="570" t="n"/>
      <c r="D15" s="567" t="n"/>
      <c r="E15" s="616" t="n"/>
      <c r="F15" s="839" t="n"/>
      <c r="G15" s="836" t="n"/>
      <c r="H15" s="570" t="n"/>
      <c r="I15" s="841" t="n"/>
      <c r="K15" s="838" t="n">
        <v>0.06</v>
      </c>
    </row>
    <row r="16" ht="15" customHeight="1" s="557">
      <c r="B16" s="842" t="inlineStr">
        <is>
          <t xml:space="preserve">B) On site Delivered Equipment's  Check .          </t>
        </is>
      </c>
      <c r="C16" s="570" t="n"/>
      <c r="D16" s="570" t="n"/>
      <c r="E16" s="570" t="n"/>
      <c r="F16" s="570" t="n"/>
      <c r="G16" s="570" t="n"/>
      <c r="H16" s="570" t="n"/>
      <c r="I16" s="571" t="n"/>
      <c r="K16" s="838" t="n"/>
    </row>
    <row r="17" ht="51" customHeight="1" s="557">
      <c r="B17" s="834" t="inlineStr">
        <is>
          <t>1. Equipment's delivered on time   with correct signed documentation  &amp; all in good condition including back up assembly , service tool , baskets, spoolers, pumps, toolbox , if there's any issue, did the engineer report on time ?.</t>
        </is>
      </c>
      <c r="C17" s="570" t="n"/>
      <c r="D17" s="567" t="n"/>
      <c r="E17" s="616" t="n"/>
      <c r="F17" s="839" t="n"/>
      <c r="G17" s="836" t="n"/>
      <c r="H17" s="570" t="n"/>
      <c r="I17" s="837" t="n">
        <v>0.15</v>
      </c>
      <c r="K17" s="838" t="n">
        <v>0.08</v>
      </c>
    </row>
    <row r="18" ht="46.5" customHeight="1" s="557">
      <c r="B18" s="834" t="inlineStr">
        <is>
          <t xml:space="preserve">2. Pre-load out checklist completed (to include maintenance records, and certifications) and the engineer physically checked the offloaded material and lay it out probably for inspection on time ? </t>
        </is>
      </c>
      <c r="C18" s="570" t="n"/>
      <c r="D18" s="567" t="n"/>
      <c r="E18" s="616" t="n"/>
      <c r="F18" s="839" t="n"/>
      <c r="G18" s="836" t="n"/>
      <c r="H18" s="570" t="n"/>
      <c r="I18" s="841" t="n"/>
      <c r="K18" s="838" t="n">
        <v>0.07000000000000001</v>
      </c>
    </row>
    <row r="19" ht="15" customHeight="1" s="557">
      <c r="B19" s="842" t="inlineStr">
        <is>
          <t xml:space="preserve">C)  On site Preparation efficiencies </t>
        </is>
      </c>
      <c r="C19" s="570" t="n"/>
      <c r="D19" s="570" t="n"/>
      <c r="E19" s="570" t="n"/>
      <c r="F19" s="570" t="n"/>
      <c r="G19" s="570" t="n"/>
      <c r="H19" s="570" t="n"/>
      <c r="I19" s="571" t="n"/>
      <c r="K19" s="838" t="n"/>
    </row>
    <row r="20" ht="60" customHeight="1" s="557">
      <c r="B20" s="834" t="inlineStr">
        <is>
          <t>1. Did the Engineer Discussed the Well Operations with drilling supervisors , checked and confirmed well information and configuration  , calculated Tally and checked all equipment's /Accessories required for the Job ?</t>
        </is>
      </c>
      <c r="C20" s="570" t="n"/>
      <c r="D20" s="567" t="n"/>
      <c r="E20" s="616" t="n"/>
      <c r="F20" s="843" t="n"/>
      <c r="G20" s="836" t="n"/>
      <c r="H20" s="570" t="n"/>
      <c r="I20" s="837" t="n">
        <v>0.15</v>
      </c>
      <c r="K20" s="838" t="n">
        <v>0.08</v>
      </c>
    </row>
    <row r="21" ht="62.25" customHeight="1" s="557">
      <c r="B21" s="844" t="inlineStr">
        <is>
          <t>2. Did the Engineer conduct Pre Job Briefing with rig crew , TRS, Slick line , WH etc. identifying all safety critical points &amp; explain the  critical steps &amp; agreed about all parties interfaces, tasks ,responsibility ?</t>
        </is>
      </c>
      <c r="C21" s="570" t="n"/>
      <c r="D21" s="567" t="n"/>
      <c r="E21" s="616" t="n"/>
      <c r="F21" s="843" t="n"/>
      <c r="G21" s="836" t="n"/>
      <c r="H21" s="570" t="n"/>
      <c r="I21" s="841" t="n"/>
      <c r="K21" s="838" t="n">
        <v>0.07000000000000001</v>
      </c>
    </row>
    <row r="22" ht="15" customHeight="1" s="557">
      <c r="B22" s="842" t="inlineStr">
        <is>
          <t xml:space="preserve">D)  Job Executing </t>
        </is>
      </c>
      <c r="C22" s="570" t="n"/>
      <c r="D22" s="570" t="n"/>
      <c r="E22" s="570" t="n"/>
      <c r="F22" s="570" t="n"/>
      <c r="G22" s="570" t="n"/>
      <c r="H22" s="570" t="n"/>
      <c r="I22" s="571" t="n"/>
      <c r="K22" s="838" t="n"/>
    </row>
    <row r="23" ht="28.5" customHeight="1" s="557">
      <c r="B23" s="834" t="inlineStr">
        <is>
          <t>1. Are the Equipment in good Condition .</t>
        </is>
      </c>
      <c r="C23" s="570" t="n"/>
      <c r="D23" s="567" t="n"/>
      <c r="E23" s="616" t="n"/>
      <c r="F23" s="843" t="n"/>
      <c r="G23" s="836" t="n"/>
      <c r="H23" s="570" t="n"/>
      <c r="I23" s="845" t="n">
        <v>0.3</v>
      </c>
      <c r="K23" s="838" t="n">
        <v>0.03</v>
      </c>
    </row>
    <row r="24" ht="28.5" customHeight="1" s="557">
      <c r="B24" s="834" t="inlineStr">
        <is>
          <t>2. Are the equipment Operational performed as expected .</t>
        </is>
      </c>
      <c r="C24" s="570" t="n"/>
      <c r="D24" s="567" t="n"/>
      <c r="E24" s="616" t="n"/>
      <c r="F24" s="843" t="n"/>
      <c r="G24" s="836" t="n"/>
      <c r="H24" s="570" t="n"/>
      <c r="I24" s="846" t="n"/>
      <c r="K24" s="838" t="n">
        <v>0.03</v>
      </c>
    </row>
    <row r="25" ht="49.5" customHeight="1" s="557">
      <c r="B25" s="834" t="inlineStr">
        <is>
          <t>3. Are the successfully installed equipment has performed without any troubleshooting or any interventions?
 If there’s any issue please write details in the comments.</t>
        </is>
      </c>
      <c r="C25" s="570" t="n"/>
      <c r="D25" s="567" t="n"/>
      <c r="E25" s="616" t="n"/>
      <c r="F25" s="843" t="n"/>
      <c r="G25" s="836" t="n"/>
      <c r="H25" s="570" t="n"/>
      <c r="I25" s="846" t="n"/>
      <c r="K25" s="838" t="n">
        <v>0.03</v>
      </c>
    </row>
    <row r="26" ht="28.5" customHeight="1" s="557">
      <c r="B26" s="834" t="inlineStr">
        <is>
          <t xml:space="preserve">4. Are all the service Equipment’s such as Running Tools , Spoolers , DTS Surface Monitoring system Etc. performed as Expected ? </t>
        </is>
      </c>
      <c r="C26" s="570" t="n"/>
      <c r="D26" s="567" t="n"/>
      <c r="E26" s="616" t="n"/>
      <c r="F26" s="843" t="n"/>
      <c r="G26" s="847" t="n"/>
      <c r="H26" s="570" t="n"/>
      <c r="I26" s="846" t="n"/>
      <c r="K26" s="838" t="n">
        <v>0.03</v>
      </c>
    </row>
    <row r="27" ht="28.5" customHeight="1" s="557">
      <c r="B27" s="834" t="inlineStr">
        <is>
          <t>5. Do service personnel meet the level of competence required for the operation they will be preform ?</t>
        </is>
      </c>
      <c r="C27" s="570" t="n"/>
      <c r="D27" s="567" t="n"/>
      <c r="E27" s="616" t="n"/>
      <c r="F27" s="843" t="n"/>
      <c r="G27" s="848" t="n"/>
      <c r="H27" s="570" t="n"/>
      <c r="I27" s="846" t="n"/>
      <c r="K27" s="838" t="n">
        <v>0.02</v>
      </c>
    </row>
    <row r="28" ht="19.5" customHeight="1" s="557">
      <c r="B28" s="834" t="inlineStr">
        <is>
          <t>6.Engineer Communication Skills and Attitude .</t>
        </is>
      </c>
      <c r="C28" s="570" t="n"/>
      <c r="D28" s="567" t="n"/>
      <c r="E28" s="616" t="n"/>
      <c r="F28" s="843" t="n"/>
      <c r="G28" s="836" t="n"/>
      <c r="H28" s="570" t="n"/>
      <c r="I28" s="846" t="n"/>
      <c r="K28" s="838" t="n">
        <v>0.02</v>
      </c>
    </row>
    <row r="29" ht="44.25" customHeight="1" s="557">
      <c r="B29" s="834" t="inlineStr">
        <is>
          <t>7.Dose service specialist understands the job can be stopped if operational or HSE issue is noticed and adherence to HSE , Participate in ADNOC HSE System  ?</t>
        </is>
      </c>
      <c r="C29" s="570" t="n"/>
      <c r="D29" s="567" t="n"/>
      <c r="E29" s="616" t="n"/>
      <c r="F29" s="843" t="n"/>
      <c r="G29" s="836" t="n"/>
      <c r="H29" s="570" t="n"/>
      <c r="I29" s="846" t="n"/>
      <c r="K29" s="838" t="n">
        <v>0.02</v>
      </c>
    </row>
    <row r="30" ht="35.25" customHeight="1" s="557">
      <c r="B30" s="834" t="inlineStr">
        <is>
          <t xml:space="preserve">8.Does service specialist have hand carry consumable items such as Redress kit Fitting and his own hand tools . </t>
        </is>
      </c>
      <c r="C30" s="570" t="n"/>
      <c r="D30" s="567" t="n"/>
      <c r="E30" s="616" t="n"/>
      <c r="F30" s="843" t="n"/>
      <c r="G30" s="836" t="n"/>
      <c r="H30" s="570" t="n"/>
      <c r="I30" s="846" t="n"/>
      <c r="K30" s="838" t="n">
        <v>0.02</v>
      </c>
    </row>
    <row r="31" ht="33.75" customHeight="1" s="557">
      <c r="B31" s="834" t="inlineStr">
        <is>
          <t>9.dose the Engineer Complete job and coordinate equipment rig down ensuring all equipment requiring maintenance is identified, and report if any issue ?</t>
        </is>
      </c>
      <c r="C31" s="570" t="n"/>
      <c r="D31" s="567" t="n"/>
      <c r="E31" s="616" t="n"/>
      <c r="F31" s="843" t="n"/>
      <c r="G31" s="836" t="n"/>
      <c r="H31" s="570" t="n"/>
      <c r="I31" s="846" t="n"/>
      <c r="K31" s="838" t="n">
        <v>0.02</v>
      </c>
    </row>
    <row r="32" ht="61.5" customHeight="1" s="557">
      <c r="B32" s="834" t="inlineStr">
        <is>
          <t>10.Determine where equipment is to be sent, advise relevant personnel and complete required shipping documents/manifest, as applicable. Securely package equipment ensuring it is environmentally safe and ready for transportation on timely manner ?</t>
        </is>
      </c>
      <c r="C32" s="570" t="n"/>
      <c r="D32" s="567" t="n"/>
      <c r="E32" s="616" t="n"/>
      <c r="F32" s="843" t="n"/>
      <c r="G32" s="836" t="n"/>
      <c r="H32" s="570" t="n"/>
      <c r="I32" s="846" t="n"/>
      <c r="K32" s="838" t="n">
        <v>0.02</v>
      </c>
    </row>
    <row r="33" ht="30.75" customHeight="1" s="557">
      <c r="B33" s="834" t="inlineStr">
        <is>
          <t>11.Complete location EOWR  and field tickets  accurately and provide relevant documents to ADNOC Rep .</t>
        </is>
      </c>
      <c r="C33" s="570" t="n"/>
      <c r="D33" s="567" t="n"/>
      <c r="E33" s="616" t="n"/>
      <c r="F33" s="843" t="n"/>
      <c r="G33" s="848" t="n"/>
      <c r="H33" s="570" t="n"/>
      <c r="I33" s="846" t="n"/>
      <c r="K33" s="838" t="n">
        <v>0.02</v>
      </c>
    </row>
    <row r="34" ht="36" customHeight="1" s="557">
      <c r="B34" s="834" t="inlineStr">
        <is>
          <t xml:space="preserve">12.dose the Engineer Identify Lesson Learned (if Applicable  )and added to the Report and share it on the Morning call. </t>
        </is>
      </c>
      <c r="C34" s="570" t="n"/>
      <c r="D34" s="567" t="n"/>
      <c r="E34" s="616" t="n"/>
      <c r="F34" s="843" t="n"/>
      <c r="G34" s="848" t="n"/>
      <c r="H34" s="570" t="n"/>
      <c r="I34" s="846" t="n"/>
      <c r="K34" s="838" t="n">
        <v>0.02</v>
      </c>
    </row>
    <row r="35" ht="15" customHeight="1" s="557">
      <c r="B35" s="834" t="inlineStr">
        <is>
          <t>13. House Keeping After the Job ?</t>
        </is>
      </c>
      <c r="C35" s="570" t="n"/>
      <c r="D35" s="567" t="n"/>
      <c r="E35" s="616" t="n"/>
      <c r="F35" s="843" t="n"/>
      <c r="G35" s="848" t="n"/>
      <c r="H35" s="570" t="n"/>
      <c r="I35" s="849" t="n"/>
      <c r="K35" s="838" t="n">
        <v>0.02</v>
      </c>
    </row>
    <row r="36" ht="14.25" customHeight="1" s="557">
      <c r="B36" s="834" t="n"/>
      <c r="C36" s="570" t="n"/>
      <c r="D36" s="567" t="n"/>
      <c r="E36" s="616" t="n"/>
      <c r="F36" s="850" t="n"/>
      <c r="G36" s="836" t="n"/>
      <c r="H36" s="570" t="n"/>
      <c r="I36" s="851" t="n"/>
    </row>
    <row r="37" ht="17.35" customHeight="1" s="557">
      <c r="B37" s="852" t="inlineStr">
        <is>
          <t xml:space="preserve">Vendor Delivery KPIs (Total Score)                  </t>
        </is>
      </c>
      <c r="C37" s="561" t="n"/>
      <c r="D37" s="562" t="n"/>
      <c r="E37" s="853" t="n"/>
      <c r="F37" s="561" t="n"/>
      <c r="G37" s="854" t="n"/>
      <c r="H37" s="562" t="n"/>
      <c r="I37" s="855" t="n"/>
    </row>
    <row r="38" ht="6.75" customHeight="1" s="557">
      <c r="F38" s="856" t="n"/>
      <c r="G38" s="857" t="n"/>
      <c r="H38" s="857" t="n"/>
    </row>
    <row r="39" ht="23.25" customHeight="1" s="557">
      <c r="B39" s="858" t="inlineStr">
        <is>
          <t>ADDITIONAL COMMENTS :-</t>
        </is>
      </c>
      <c r="C39" s="565" t="n"/>
      <c r="D39" s="859" t="n"/>
      <c r="E39" s="640" t="n"/>
      <c r="F39" s="640" t="n"/>
      <c r="G39" s="640" t="n"/>
      <c r="H39" s="640" t="n"/>
      <c r="I39" s="860" t="n"/>
    </row>
    <row r="40" ht="26.25" customHeight="1" s="557">
      <c r="B40" s="861" t="n"/>
      <c r="C40" s="570" t="n"/>
      <c r="D40" s="570" t="n"/>
      <c r="E40" s="570" t="n"/>
      <c r="F40" s="570" t="n"/>
      <c r="G40" s="570" t="n"/>
      <c r="H40" s="570" t="n"/>
      <c r="I40" s="571" t="n"/>
    </row>
    <row r="41" ht="24.75" customHeight="1" s="557">
      <c r="B41" s="862" t="n"/>
      <c r="C41" s="587" t="n"/>
      <c r="D41" s="587" t="n"/>
      <c r="E41" s="587" t="n"/>
      <c r="F41" s="587" t="n"/>
      <c r="G41" s="587" t="n"/>
      <c r="H41" s="587" t="n"/>
      <c r="I41" s="588" t="n"/>
    </row>
    <row r="42" ht="15.75" customHeight="1" s="557">
      <c r="B42" s="863" t="inlineStr">
        <is>
          <t>Lesson Learned / Improvements</t>
        </is>
      </c>
      <c r="C42" s="864" t="n"/>
      <c r="D42" s="865" t="inlineStr">
        <is>
          <t>Recommendations</t>
        </is>
      </c>
      <c r="F42" s="673" t="n"/>
      <c r="G42" s="866" t="inlineStr">
        <is>
          <t xml:space="preserve">Name </t>
        </is>
      </c>
      <c r="H42" s="866" t="inlineStr">
        <is>
          <t>Signature</t>
        </is>
      </c>
      <c r="I42" s="867" t="inlineStr">
        <is>
          <t>Date</t>
        </is>
      </c>
    </row>
    <row r="43" ht="14.25" customHeight="1" s="557">
      <c r="B43" s="812" t="n"/>
      <c r="C43" s="864" t="n"/>
      <c r="D43" s="868" t="n"/>
      <c r="F43" s="673" t="n"/>
      <c r="G43" s="831" t="n"/>
      <c r="H43" s="831" t="n"/>
      <c r="I43" s="831" t="n"/>
    </row>
    <row r="44" ht="14.25" customHeight="1" s="557">
      <c r="B44" s="869" t="n"/>
      <c r="C44" s="870" t="n"/>
      <c r="D44" s="871" t="n"/>
      <c r="E44" s="759" t="n"/>
      <c r="F44" s="763" t="n"/>
      <c r="G44" s="872" t="inlineStr">
        <is>
          <t>ADNOC Rep.</t>
        </is>
      </c>
      <c r="H44" s="873" t="n"/>
      <c r="I44" s="874">
        <f>'Master Data'!E24</f>
        <v/>
      </c>
    </row>
    <row r="45" ht="14.25" customHeight="1" s="557">
      <c r="B45" s="875" t="n"/>
      <c r="C45" s="593" t="n"/>
      <c r="D45" s="868" t="n"/>
      <c r="F45" s="673" t="n"/>
      <c r="G45" s="875" t="n"/>
      <c r="H45" s="876" t="n"/>
      <c r="I45" s="849" t="n"/>
    </row>
    <row r="46" ht="15" customHeight="1" s="557">
      <c r="B46" s="817" t="n"/>
      <c r="C46" s="648" t="n"/>
      <c r="D46" s="877" t="n"/>
      <c r="E46" s="647" t="n"/>
      <c r="F46" s="736" t="n"/>
      <c r="G46" s="878" t="inlineStr">
        <is>
          <t xml:space="preserve">Contractor Rep . </t>
        </is>
      </c>
      <c r="H46" s="873" t="n"/>
      <c r="I46" s="874">
        <f>'Master Data'!E24</f>
        <v/>
      </c>
    </row>
    <row r="47" ht="14.25" customHeight="1" s="557">
      <c r="B47" s="711" t="n"/>
      <c r="C47" s="879" t="n"/>
      <c r="D47" s="880" t="n"/>
      <c r="E47" s="710" t="n"/>
      <c r="F47" s="771" t="n"/>
      <c r="G47" s="595" t="n"/>
      <c r="H47" s="876" t="n"/>
      <c r="I47" s="849" t="n"/>
    </row>
    <row r="48" ht="14.25" customHeight="1" s="557">
      <c r="B48" s="881" t="n"/>
      <c r="D48" s="606" t="n"/>
      <c r="E48" s="606" t="n"/>
      <c r="F48" s="856" t="n"/>
      <c r="G48" s="882" t="n"/>
      <c r="H48" s="759" t="n"/>
      <c r="I48" s="759" t="n"/>
    </row>
    <row r="49" ht="14.25" customHeight="1" s="557">
      <c r="G49" s="883" t="n"/>
      <c r="H49" s="883" t="n"/>
    </row>
    <row r="50" ht="14.25" customHeight="1" s="557">
      <c r="F50" s="856" t="n"/>
      <c r="G50" s="857" t="n"/>
      <c r="H50" s="857" t="n"/>
    </row>
    <row r="51" ht="14.25" customHeight="1" s="557">
      <c r="F51" s="856" t="n"/>
      <c r="G51" s="857" t="n"/>
      <c r="H51" s="857" t="n"/>
    </row>
    <row r="52" ht="14.25" customHeight="1" s="557">
      <c r="F52" s="856" t="n"/>
      <c r="G52" s="857" t="n"/>
      <c r="H52" s="857" t="n"/>
    </row>
    <row r="53" ht="14.25" customHeight="1" s="557">
      <c r="F53" s="856" t="n"/>
      <c r="G53" s="857" t="n"/>
      <c r="H53" s="857" t="n"/>
    </row>
    <row r="54" ht="14.25" customHeight="1" s="557">
      <c r="F54" s="856" t="n"/>
      <c r="G54" s="857" t="n"/>
      <c r="H54" s="857" t="n"/>
    </row>
    <row r="55" ht="14.25" customHeight="1" s="557">
      <c r="F55" s="856" t="n"/>
      <c r="G55" s="857" t="n"/>
      <c r="H55" s="857" t="n"/>
    </row>
    <row r="56" ht="14.25" customHeight="1" s="557">
      <c r="F56" s="856" t="n"/>
      <c r="G56" s="857" t="n"/>
      <c r="H56" s="857" t="n"/>
    </row>
    <row r="57" ht="14.25" customHeight="1" s="557">
      <c r="F57" s="856" t="n"/>
      <c r="G57" s="857" t="n"/>
      <c r="H57" s="857" t="n"/>
    </row>
    <row r="58" ht="14.25" customHeight="1" s="557">
      <c r="F58" s="856" t="n"/>
      <c r="G58" s="857" t="n"/>
      <c r="H58" s="857" t="n"/>
    </row>
    <row r="59" ht="14.25" customHeight="1" s="557">
      <c r="F59" s="856" t="n"/>
      <c r="G59" s="857" t="n"/>
      <c r="H59" s="857" t="n"/>
    </row>
    <row r="60" ht="14.25" customHeight="1" s="557">
      <c r="F60" s="856" t="n"/>
      <c r="G60" s="857" t="n"/>
      <c r="H60" s="857" t="n"/>
    </row>
    <row r="61" ht="14.25" customHeight="1" s="557">
      <c r="F61" s="856" t="n"/>
      <c r="G61" s="857" t="n"/>
      <c r="H61" s="857" t="n"/>
    </row>
    <row r="62" ht="14.25" customHeight="1" s="557">
      <c r="F62" s="856" t="n"/>
      <c r="G62" s="857" t="n"/>
      <c r="H62" s="857" t="n"/>
    </row>
    <row r="63" ht="14.25" customHeight="1" s="557">
      <c r="F63" s="856" t="n"/>
      <c r="G63" s="857" t="n"/>
      <c r="H63" s="857" t="n"/>
    </row>
    <row r="64" ht="14.25" customHeight="1" s="557">
      <c r="F64" s="856" t="n"/>
      <c r="G64" s="857" t="n"/>
      <c r="H64" s="857" t="n"/>
    </row>
    <row r="65" ht="14.25" customHeight="1" s="557">
      <c r="F65" s="856" t="n"/>
      <c r="G65" s="857" t="n"/>
      <c r="H65" s="857" t="n"/>
    </row>
    <row r="66" ht="14.25" customHeight="1" s="557">
      <c r="F66" s="856" t="n"/>
      <c r="G66" s="857" t="n"/>
      <c r="H66" s="857" t="n"/>
    </row>
    <row r="67" ht="14.25" customHeight="1" s="557">
      <c r="F67" s="856" t="n"/>
      <c r="G67" s="857" t="n"/>
      <c r="H67" s="857" t="n"/>
    </row>
    <row r="68" ht="14.25" customHeight="1" s="557">
      <c r="F68" s="856" t="n"/>
      <c r="G68" s="857" t="n"/>
      <c r="H68" s="857" t="n"/>
    </row>
    <row r="69" ht="14.25" customHeight="1" s="557">
      <c r="F69" s="856" t="n"/>
      <c r="G69" s="857" t="n"/>
      <c r="H69" s="857" t="n"/>
    </row>
    <row r="70" ht="14.25" customHeight="1" s="557">
      <c r="F70" s="856" t="n"/>
      <c r="G70" s="857" t="n"/>
      <c r="H70" s="857" t="n"/>
    </row>
    <row r="71" ht="14.25" customHeight="1" s="557">
      <c r="F71" s="856" t="n"/>
      <c r="G71" s="857" t="n"/>
      <c r="H71" s="857" t="n"/>
    </row>
    <row r="72" ht="14.25" customHeight="1" s="557">
      <c r="F72" s="856" t="n"/>
      <c r="G72" s="857" t="n"/>
      <c r="H72" s="857" t="n"/>
    </row>
    <row r="73" ht="14.25" customHeight="1" s="557">
      <c r="F73" s="856" t="n"/>
      <c r="G73" s="857" t="n"/>
      <c r="H73" s="857" t="n"/>
    </row>
    <row r="74" ht="14.25" customHeight="1" s="557">
      <c r="F74" s="856" t="n"/>
      <c r="G74" s="857" t="n"/>
      <c r="H74" s="857" t="n"/>
    </row>
    <row r="75" ht="14.25" customHeight="1" s="557">
      <c r="F75" s="856" t="n"/>
      <c r="G75" s="857" t="n"/>
      <c r="H75" s="857" t="n"/>
    </row>
    <row r="76" ht="14.25" customHeight="1" s="557">
      <c r="F76" s="856" t="n"/>
      <c r="G76" s="857" t="n"/>
      <c r="H76" s="857" t="n"/>
    </row>
    <row r="77" ht="14.25" customHeight="1" s="557">
      <c r="F77" s="856" t="n"/>
      <c r="G77" s="857" t="n"/>
      <c r="H77" s="857" t="n"/>
    </row>
    <row r="78" ht="14.25" customHeight="1" s="557">
      <c r="F78" s="856" t="n"/>
      <c r="G78" s="857" t="n"/>
      <c r="H78" s="857" t="n"/>
    </row>
    <row r="79" ht="14.25" customHeight="1" s="557">
      <c r="F79" s="856" t="n"/>
      <c r="G79" s="857" t="n"/>
      <c r="H79" s="857" t="n"/>
    </row>
    <row r="80" ht="14.25" customHeight="1" s="557">
      <c r="F80" s="856" t="n"/>
      <c r="G80" s="857" t="n"/>
      <c r="H80" s="857" t="n"/>
    </row>
    <row r="81" ht="14.25" customHeight="1" s="557">
      <c r="F81" s="856" t="n"/>
      <c r="G81" s="857" t="n"/>
      <c r="H81" s="857" t="n"/>
    </row>
    <row r="82" ht="14.25" customHeight="1" s="557">
      <c r="F82" s="856" t="n"/>
      <c r="G82" s="857" t="n"/>
      <c r="H82" s="857" t="n"/>
    </row>
    <row r="83" ht="14.25" customHeight="1" s="557">
      <c r="F83" s="856" t="n"/>
      <c r="G83" s="857" t="n"/>
      <c r="H83" s="857" t="n"/>
    </row>
    <row r="84" ht="14.25" customHeight="1" s="557">
      <c r="F84" s="856" t="n"/>
      <c r="G84" s="857" t="n"/>
      <c r="H84" s="857" t="n"/>
    </row>
    <row r="85" ht="14.25" customHeight="1" s="557">
      <c r="F85" s="856" t="n"/>
      <c r="G85" s="857" t="n"/>
      <c r="H85" s="857" t="n"/>
    </row>
    <row r="86" ht="14.25" customHeight="1" s="557">
      <c r="F86" s="856" t="n"/>
      <c r="G86" s="857" t="n"/>
      <c r="H86" s="857" t="n"/>
    </row>
    <row r="87" ht="14.25" customHeight="1" s="557">
      <c r="F87" s="856" t="n"/>
      <c r="G87" s="857" t="n"/>
      <c r="H87" s="857" t="n"/>
    </row>
    <row r="88" ht="14.25" customHeight="1" s="557">
      <c r="F88" s="856" t="n"/>
      <c r="G88" s="857" t="n"/>
      <c r="H88" s="857" t="n"/>
    </row>
    <row r="89" ht="14.25" customHeight="1" s="557">
      <c r="F89" s="856" t="n"/>
      <c r="G89" s="857" t="n"/>
      <c r="H89" s="857" t="n"/>
    </row>
    <row r="90" ht="14.25" customHeight="1" s="557">
      <c r="F90" s="856" t="n"/>
      <c r="G90" s="857" t="n"/>
      <c r="H90" s="857" t="n"/>
    </row>
    <row r="91" ht="14.25" customHeight="1" s="557">
      <c r="F91" s="856" t="n"/>
      <c r="G91" s="857" t="n"/>
      <c r="H91" s="857" t="n"/>
    </row>
    <row r="92" ht="14.25" customHeight="1" s="557">
      <c r="F92" s="856" t="n"/>
      <c r="G92" s="857" t="n"/>
      <c r="H92" s="857" t="n"/>
    </row>
    <row r="93" ht="14.25" customHeight="1" s="557">
      <c r="F93" s="856" t="n"/>
      <c r="G93" s="857" t="n"/>
      <c r="H93" s="857" t="n"/>
    </row>
    <row r="94" ht="14.25" customHeight="1" s="557">
      <c r="F94" s="856" t="n"/>
      <c r="G94" s="857" t="n"/>
      <c r="H94" s="857" t="n"/>
    </row>
    <row r="95" ht="14.25" customHeight="1" s="557">
      <c r="F95" s="856" t="n"/>
      <c r="G95" s="857" t="n"/>
      <c r="H95" s="857" t="n"/>
    </row>
    <row r="96" ht="14.25" customHeight="1" s="557">
      <c r="F96" s="856" t="n"/>
      <c r="G96" s="857" t="n"/>
      <c r="H96" s="857" t="n"/>
    </row>
    <row r="97" ht="14.25" customHeight="1" s="557">
      <c r="F97" s="856" t="n"/>
      <c r="G97" s="857" t="n"/>
      <c r="H97" s="857" t="n"/>
    </row>
    <row r="98" ht="14.25" customHeight="1" s="557">
      <c r="F98" s="856" t="n"/>
      <c r="G98" s="857" t="n"/>
      <c r="H98" s="857" t="n"/>
    </row>
    <row r="99" ht="14.25" customHeight="1" s="557">
      <c r="F99" s="856" t="n"/>
      <c r="G99" s="857" t="n"/>
      <c r="H99" s="857" t="n"/>
    </row>
    <row r="100" ht="14.25" customHeight="1" s="557">
      <c r="F100" s="856" t="n"/>
      <c r="G100" s="857" t="n"/>
      <c r="H100" s="857" t="n"/>
    </row>
    <row r="101" ht="14.25" customHeight="1" s="557">
      <c r="F101" s="856" t="n"/>
      <c r="G101" s="857" t="n"/>
      <c r="H101" s="857" t="n"/>
    </row>
    <row r="102" ht="14.25" customHeight="1" s="557">
      <c r="F102" s="856" t="n"/>
      <c r="G102" s="857" t="n"/>
      <c r="H102" s="857" t="n"/>
    </row>
    <row r="103" ht="14.25" customHeight="1" s="557">
      <c r="F103" s="856" t="n"/>
      <c r="G103" s="857" t="n"/>
      <c r="H103" s="857" t="n"/>
    </row>
    <row r="104" ht="14.25" customHeight="1" s="557">
      <c r="F104" s="856" t="n"/>
      <c r="G104" s="857" t="n"/>
      <c r="H104" s="857" t="n"/>
    </row>
    <row r="105" ht="14.25" customHeight="1" s="557">
      <c r="F105" s="856" t="n"/>
      <c r="G105" s="857" t="n"/>
      <c r="H105" s="857" t="n"/>
    </row>
    <row r="106" ht="14.25" customHeight="1" s="557">
      <c r="F106" s="856" t="n"/>
      <c r="G106" s="857" t="n"/>
      <c r="H106" s="857" t="n"/>
    </row>
    <row r="107" ht="14.25" customHeight="1" s="557">
      <c r="F107" s="856" t="n"/>
      <c r="G107" s="857" t="n"/>
      <c r="H107" s="857" t="n"/>
    </row>
    <row r="108" ht="14.25" customHeight="1" s="557">
      <c r="F108" s="856" t="n"/>
      <c r="G108" s="857" t="n"/>
      <c r="H108" s="857" t="n"/>
    </row>
    <row r="109" ht="14.25" customHeight="1" s="557">
      <c r="F109" s="856" t="n"/>
      <c r="G109" s="857" t="n"/>
      <c r="H109" s="857" t="n"/>
    </row>
    <row r="110" ht="14.25" customHeight="1" s="557">
      <c r="F110" s="856" t="n"/>
      <c r="G110" s="857" t="n"/>
      <c r="H110" s="857" t="n"/>
    </row>
    <row r="111" ht="14.25" customHeight="1" s="557">
      <c r="F111" s="856" t="n"/>
      <c r="G111" s="857" t="n"/>
      <c r="H111" s="857" t="n"/>
    </row>
    <row r="112" ht="14.25" customHeight="1" s="557">
      <c r="F112" s="856" t="n"/>
      <c r="G112" s="857" t="n"/>
      <c r="H112" s="857" t="n"/>
    </row>
    <row r="113" ht="14.25" customHeight="1" s="557">
      <c r="F113" s="856" t="n"/>
      <c r="G113" s="857" t="n"/>
      <c r="H113" s="857" t="n"/>
    </row>
    <row r="114" ht="14.25" customHeight="1" s="557">
      <c r="F114" s="856" t="n"/>
      <c r="G114" s="857" t="n"/>
      <c r="H114" s="857" t="n"/>
    </row>
    <row r="115" ht="14.25" customHeight="1" s="557">
      <c r="F115" s="856" t="n"/>
      <c r="G115" s="857" t="n"/>
      <c r="H115" s="857" t="n"/>
    </row>
    <row r="116" ht="14.25" customHeight="1" s="557">
      <c r="F116" s="856" t="n"/>
      <c r="G116" s="857" t="n"/>
      <c r="H116" s="857" t="n"/>
    </row>
    <row r="117" ht="14.25" customHeight="1" s="557">
      <c r="F117" s="856" t="n"/>
      <c r="G117" s="857" t="n"/>
      <c r="H117" s="857" t="n"/>
    </row>
    <row r="118" ht="14.25" customHeight="1" s="557">
      <c r="F118" s="856" t="n"/>
      <c r="G118" s="857" t="n"/>
      <c r="H118" s="857" t="n"/>
    </row>
    <row r="119" ht="14.25" customHeight="1" s="557">
      <c r="F119" s="856" t="n"/>
      <c r="G119" s="857" t="n"/>
      <c r="H119" s="857" t="n"/>
    </row>
    <row r="120" ht="14.25" customHeight="1" s="557">
      <c r="F120" s="856" t="n"/>
      <c r="G120" s="857" t="n"/>
      <c r="H120" s="857" t="n"/>
    </row>
    <row r="121" ht="14.25" customHeight="1" s="557">
      <c r="F121" s="856" t="n"/>
      <c r="G121" s="857" t="n"/>
      <c r="H121" s="857" t="n"/>
    </row>
    <row r="122" ht="14.25" customHeight="1" s="557">
      <c r="F122" s="856" t="n"/>
      <c r="G122" s="857" t="n"/>
      <c r="H122" s="857" t="n"/>
    </row>
    <row r="123" ht="14.25" customHeight="1" s="557">
      <c r="F123" s="856" t="n"/>
      <c r="G123" s="857" t="n"/>
      <c r="H123" s="857" t="n"/>
    </row>
    <row r="124" ht="14.25" customHeight="1" s="557">
      <c r="F124" s="856" t="n"/>
      <c r="G124" s="857" t="n"/>
      <c r="H124" s="857" t="n"/>
    </row>
    <row r="125" ht="14.25" customHeight="1" s="557">
      <c r="F125" s="856" t="n"/>
      <c r="G125" s="857" t="n"/>
      <c r="H125" s="857" t="n"/>
    </row>
    <row r="126" ht="14.25" customHeight="1" s="557">
      <c r="F126" s="856" t="n"/>
      <c r="G126" s="857" t="n"/>
      <c r="H126" s="857" t="n"/>
    </row>
    <row r="127" ht="14.25" customHeight="1" s="557">
      <c r="F127" s="856" t="n"/>
      <c r="G127" s="857" t="n"/>
      <c r="H127" s="857" t="n"/>
    </row>
    <row r="128" ht="14.25" customHeight="1" s="557">
      <c r="F128" s="856" t="n"/>
      <c r="G128" s="857" t="n"/>
      <c r="H128" s="857" t="n"/>
    </row>
    <row r="129" ht="14.25" customHeight="1" s="557">
      <c r="F129" s="856" t="n"/>
      <c r="G129" s="857" t="n"/>
      <c r="H129" s="857" t="n"/>
    </row>
    <row r="130" ht="14.25" customHeight="1" s="557">
      <c r="F130" s="856" t="n"/>
      <c r="G130" s="857" t="n"/>
      <c r="H130" s="857" t="n"/>
    </row>
    <row r="131" ht="14.25" customHeight="1" s="557">
      <c r="F131" s="856" t="n"/>
      <c r="G131" s="857" t="n"/>
      <c r="H131" s="857" t="n"/>
    </row>
    <row r="132" ht="14.25" customHeight="1" s="557">
      <c r="F132" s="856" t="n"/>
      <c r="G132" s="857" t="n"/>
      <c r="H132" s="857" t="n"/>
    </row>
    <row r="133" ht="14.25" customHeight="1" s="557">
      <c r="F133" s="856" t="n"/>
      <c r="G133" s="857" t="n"/>
      <c r="H133" s="857" t="n"/>
    </row>
    <row r="134" ht="14.25" customHeight="1" s="557">
      <c r="F134" s="856" t="n"/>
      <c r="G134" s="857" t="n"/>
      <c r="H134" s="857" t="n"/>
    </row>
    <row r="135" ht="14.25" customHeight="1" s="557">
      <c r="F135" s="856" t="n"/>
      <c r="G135" s="857" t="n"/>
      <c r="H135" s="857" t="n"/>
    </row>
    <row r="136" ht="14.25" customHeight="1" s="557">
      <c r="F136" s="856" t="n"/>
      <c r="G136" s="857" t="n"/>
      <c r="H136" s="857" t="n"/>
    </row>
    <row r="137" ht="14.25" customHeight="1" s="557">
      <c r="F137" s="856" t="n"/>
      <c r="G137" s="857" t="n"/>
      <c r="H137" s="857" t="n"/>
    </row>
    <row r="138" ht="14.25" customHeight="1" s="557">
      <c r="F138" s="856" t="n"/>
      <c r="G138" s="857" t="n"/>
      <c r="H138" s="857" t="n"/>
    </row>
    <row r="139" ht="14.25" customHeight="1" s="557">
      <c r="F139" s="856" t="n"/>
      <c r="G139" s="857" t="n"/>
      <c r="H139" s="857" t="n"/>
    </row>
    <row r="140" ht="14.25" customHeight="1" s="557">
      <c r="F140" s="856" t="n"/>
      <c r="G140" s="857" t="n"/>
      <c r="H140" s="857" t="n"/>
    </row>
    <row r="141" ht="14.25" customHeight="1" s="557">
      <c r="F141" s="856" t="n"/>
      <c r="G141" s="857" t="n"/>
      <c r="H141" s="857" t="n"/>
    </row>
    <row r="142" ht="14.25" customHeight="1" s="557">
      <c r="F142" s="856" t="n"/>
      <c r="G142" s="857" t="n"/>
      <c r="H142" s="857" t="n"/>
    </row>
    <row r="143" ht="14.25" customHeight="1" s="557">
      <c r="F143" s="856" t="n"/>
      <c r="G143" s="857" t="n"/>
      <c r="H143" s="857" t="n"/>
    </row>
    <row r="144" ht="14.25" customHeight="1" s="557">
      <c r="F144" s="856" t="n"/>
      <c r="G144" s="857" t="n"/>
      <c r="H144" s="857" t="n"/>
    </row>
    <row r="145" ht="14.25" customHeight="1" s="557">
      <c r="F145" s="856" t="n"/>
      <c r="G145" s="857" t="n"/>
      <c r="H145" s="857" t="n"/>
    </row>
    <row r="146" ht="14.25" customHeight="1" s="557">
      <c r="F146" s="856" t="n"/>
      <c r="G146" s="857" t="n"/>
      <c r="H146" s="857" t="n"/>
    </row>
    <row r="147" ht="14.25" customHeight="1" s="557">
      <c r="F147" s="856" t="n"/>
      <c r="G147" s="857" t="n"/>
      <c r="H147" s="857" t="n"/>
    </row>
    <row r="148" ht="14.25" customHeight="1" s="557">
      <c r="F148" s="856" t="n"/>
      <c r="G148" s="857" t="n"/>
      <c r="H148" s="857" t="n"/>
    </row>
    <row r="149" ht="14.25" customHeight="1" s="557">
      <c r="F149" s="856" t="n"/>
      <c r="G149" s="857" t="n"/>
      <c r="H149" s="857" t="n"/>
    </row>
    <row r="150" ht="14.25" customHeight="1" s="557">
      <c r="F150" s="856" t="n"/>
      <c r="G150" s="857" t="n"/>
      <c r="H150" s="857" t="n"/>
    </row>
    <row r="151" ht="14.25" customHeight="1" s="557">
      <c r="F151" s="856" t="n"/>
      <c r="G151" s="857" t="n"/>
      <c r="H151" s="857" t="n"/>
    </row>
    <row r="152" ht="14.25" customHeight="1" s="557">
      <c r="F152" s="856" t="n"/>
      <c r="G152" s="857" t="n"/>
      <c r="H152" s="857" t="n"/>
    </row>
    <row r="153" ht="14.25" customHeight="1" s="557">
      <c r="F153" s="856" t="n"/>
      <c r="G153" s="857" t="n"/>
      <c r="H153" s="857" t="n"/>
    </row>
    <row r="154" ht="14.25" customHeight="1" s="557">
      <c r="F154" s="856" t="n"/>
      <c r="G154" s="857" t="n"/>
      <c r="H154" s="857" t="n"/>
    </row>
    <row r="155" ht="14.25" customHeight="1" s="557">
      <c r="F155" s="856" t="n"/>
      <c r="G155" s="857" t="n"/>
      <c r="H155" s="857" t="n"/>
    </row>
    <row r="156" ht="14.25" customHeight="1" s="557">
      <c r="F156" s="856" t="n"/>
      <c r="G156" s="857" t="n"/>
      <c r="H156" s="857" t="n"/>
    </row>
    <row r="157" ht="14.25" customHeight="1" s="557">
      <c r="F157" s="856" t="n"/>
      <c r="G157" s="857" t="n"/>
      <c r="H157" s="857" t="n"/>
    </row>
    <row r="158" ht="14.25" customHeight="1" s="557">
      <c r="F158" s="856" t="n"/>
      <c r="G158" s="857" t="n"/>
      <c r="H158" s="857" t="n"/>
    </row>
    <row r="159" ht="14.25" customHeight="1" s="557">
      <c r="F159" s="856" t="n"/>
      <c r="G159" s="857" t="n"/>
      <c r="H159" s="857" t="n"/>
    </row>
    <row r="160" ht="14.25" customHeight="1" s="557">
      <c r="F160" s="856" t="n"/>
      <c r="G160" s="857" t="n"/>
      <c r="H160" s="857" t="n"/>
    </row>
    <row r="161" ht="14.25" customHeight="1" s="557">
      <c r="F161" s="856" t="n"/>
      <c r="G161" s="857" t="n"/>
      <c r="H161" s="857" t="n"/>
    </row>
    <row r="162" ht="14.25" customHeight="1" s="557">
      <c r="F162" s="856" t="n"/>
      <c r="G162" s="857" t="n"/>
      <c r="H162" s="857" t="n"/>
    </row>
    <row r="163" ht="14.25" customHeight="1" s="557">
      <c r="F163" s="856" t="n"/>
      <c r="G163" s="857" t="n"/>
      <c r="H163" s="857" t="n"/>
    </row>
    <row r="164" ht="14.25" customHeight="1" s="557">
      <c r="F164" s="856" t="n"/>
      <c r="G164" s="857" t="n"/>
      <c r="H164" s="857" t="n"/>
    </row>
    <row r="165" ht="14.25" customHeight="1" s="557">
      <c r="F165" s="856" t="n"/>
      <c r="G165" s="857" t="n"/>
      <c r="H165" s="857" t="n"/>
    </row>
    <row r="166" ht="14.25" customHeight="1" s="557">
      <c r="F166" s="856" t="n"/>
      <c r="G166" s="857" t="n"/>
      <c r="H166" s="857" t="n"/>
    </row>
    <row r="167" ht="14.25" customHeight="1" s="557">
      <c r="F167" s="856" t="n"/>
      <c r="G167" s="857" t="n"/>
      <c r="H167" s="857" t="n"/>
    </row>
    <row r="168" ht="14.25" customHeight="1" s="557">
      <c r="F168" s="856" t="n"/>
      <c r="G168" s="857" t="n"/>
      <c r="H168" s="857" t="n"/>
    </row>
    <row r="169" ht="14.25" customHeight="1" s="557">
      <c r="F169" s="856" t="n"/>
      <c r="G169" s="857" t="n"/>
      <c r="H169" s="857" t="n"/>
    </row>
    <row r="170" ht="14.25" customHeight="1" s="557">
      <c r="F170" s="856" t="n"/>
      <c r="G170" s="857" t="n"/>
      <c r="H170" s="857" t="n"/>
    </row>
    <row r="171" ht="14.25" customHeight="1" s="557">
      <c r="F171" s="856" t="n"/>
      <c r="G171" s="857" t="n"/>
      <c r="H171" s="857" t="n"/>
    </row>
    <row r="172" ht="14.25" customHeight="1" s="557">
      <c r="F172" s="856" t="n"/>
      <c r="G172" s="857" t="n"/>
      <c r="H172" s="857" t="n"/>
    </row>
    <row r="173" ht="14.25" customHeight="1" s="557">
      <c r="F173" s="856" t="n"/>
      <c r="G173" s="857" t="n"/>
      <c r="H173" s="857" t="n"/>
    </row>
    <row r="174" ht="14.25" customHeight="1" s="557">
      <c r="F174" s="856" t="n"/>
      <c r="G174" s="857" t="n"/>
      <c r="H174" s="857" t="n"/>
    </row>
    <row r="175" ht="14.25" customHeight="1" s="557">
      <c r="F175" s="856" t="n"/>
      <c r="G175" s="857" t="n"/>
      <c r="H175" s="857" t="n"/>
    </row>
    <row r="176" ht="14.25" customHeight="1" s="557">
      <c r="F176" s="856" t="n"/>
      <c r="G176" s="857" t="n"/>
      <c r="H176" s="857" t="n"/>
    </row>
    <row r="177" ht="14.25" customHeight="1" s="557">
      <c r="F177" s="856" t="n"/>
      <c r="G177" s="857" t="n"/>
      <c r="H177" s="857" t="n"/>
    </row>
    <row r="178" ht="14.25" customHeight="1" s="557">
      <c r="F178" s="856" t="n"/>
      <c r="G178" s="857" t="n"/>
      <c r="H178" s="857" t="n"/>
    </row>
    <row r="179" ht="14.25" customHeight="1" s="557">
      <c r="F179" s="856" t="n"/>
      <c r="G179" s="857" t="n"/>
      <c r="H179" s="857" t="n"/>
    </row>
    <row r="180" ht="14.25" customHeight="1" s="557">
      <c r="F180" s="856" t="n"/>
      <c r="G180" s="857" t="n"/>
      <c r="H180" s="857" t="n"/>
    </row>
    <row r="181" ht="14.25" customHeight="1" s="557">
      <c r="F181" s="856" t="n"/>
      <c r="G181" s="857" t="n"/>
      <c r="H181" s="857" t="n"/>
    </row>
    <row r="182" ht="14.25" customHeight="1" s="557">
      <c r="F182" s="856" t="n"/>
      <c r="G182" s="857" t="n"/>
      <c r="H182" s="857" t="n"/>
    </row>
    <row r="183" ht="14.25" customHeight="1" s="557">
      <c r="F183" s="856" t="n"/>
      <c r="G183" s="857" t="n"/>
      <c r="H183" s="857" t="n"/>
    </row>
    <row r="184" ht="14.25" customHeight="1" s="557">
      <c r="F184" s="856" t="n"/>
      <c r="G184" s="857" t="n"/>
      <c r="H184" s="857" t="n"/>
    </row>
    <row r="185" ht="14.25" customHeight="1" s="557">
      <c r="F185" s="856" t="n"/>
      <c r="G185" s="857" t="n"/>
      <c r="H185" s="857" t="n"/>
    </row>
    <row r="186" ht="14.25" customHeight="1" s="557">
      <c r="F186" s="856" t="n"/>
      <c r="G186" s="857" t="n"/>
      <c r="H186" s="857" t="n"/>
    </row>
    <row r="187" ht="14.25" customHeight="1" s="557">
      <c r="F187" s="856" t="n"/>
      <c r="G187" s="857" t="n"/>
      <c r="H187" s="857" t="n"/>
    </row>
    <row r="188" ht="14.25" customHeight="1" s="557">
      <c r="F188" s="856" t="n"/>
      <c r="G188" s="857" t="n"/>
      <c r="H188" s="857" t="n"/>
    </row>
    <row r="189" ht="14.25" customHeight="1" s="557">
      <c r="F189" s="856" t="n"/>
      <c r="G189" s="857" t="n"/>
      <c r="H189" s="857" t="n"/>
    </row>
    <row r="190" ht="14.25" customHeight="1" s="557">
      <c r="F190" s="856" t="n"/>
      <c r="G190" s="857" t="n"/>
      <c r="H190" s="857" t="n"/>
    </row>
    <row r="191" ht="14.25" customHeight="1" s="557">
      <c r="F191" s="856" t="n"/>
      <c r="G191" s="857" t="n"/>
      <c r="H191" s="857" t="n"/>
    </row>
    <row r="192" ht="14.25" customHeight="1" s="557">
      <c r="F192" s="856" t="n"/>
      <c r="G192" s="857" t="n"/>
      <c r="H192" s="857" t="n"/>
    </row>
    <row r="193" ht="14.25" customHeight="1" s="557">
      <c r="F193" s="856" t="n"/>
      <c r="G193" s="857" t="n"/>
      <c r="H193" s="857" t="n"/>
    </row>
    <row r="194" ht="14.25" customHeight="1" s="557">
      <c r="F194" s="856" t="n"/>
      <c r="G194" s="857" t="n"/>
      <c r="H194" s="857" t="n"/>
    </row>
    <row r="195" ht="14.25" customHeight="1" s="557">
      <c r="F195" s="856" t="n"/>
      <c r="G195" s="857" t="n"/>
      <c r="H195" s="857" t="n"/>
    </row>
    <row r="196" ht="14.25" customHeight="1" s="557">
      <c r="F196" s="856" t="n"/>
      <c r="G196" s="857" t="n"/>
      <c r="H196" s="857" t="n"/>
    </row>
    <row r="197" ht="14.25" customHeight="1" s="557">
      <c r="F197" s="856" t="n"/>
      <c r="G197" s="857" t="n"/>
      <c r="H197" s="857" t="n"/>
    </row>
    <row r="198" ht="14.25" customHeight="1" s="557">
      <c r="F198" s="856" t="n"/>
      <c r="G198" s="857" t="n"/>
      <c r="H198" s="857" t="n"/>
    </row>
    <row r="199" ht="14.25" customHeight="1" s="557">
      <c r="F199" s="856" t="n"/>
      <c r="G199" s="857" t="n"/>
      <c r="H199" s="857" t="n"/>
    </row>
    <row r="200" ht="14.25" customHeight="1" s="557">
      <c r="F200" s="856" t="n"/>
      <c r="G200" s="857" t="n"/>
      <c r="H200" s="857" t="n"/>
    </row>
    <row r="201" ht="14.25" customHeight="1" s="557">
      <c r="F201" s="856" t="n"/>
      <c r="G201" s="857" t="n"/>
      <c r="H201" s="857" t="n"/>
    </row>
    <row r="202" ht="14.25" customHeight="1" s="557">
      <c r="F202" s="856" t="n"/>
      <c r="G202" s="857" t="n"/>
      <c r="H202" s="857" t="n"/>
    </row>
    <row r="203" ht="14.25" customHeight="1" s="557">
      <c r="F203" s="856" t="n"/>
      <c r="G203" s="857" t="n"/>
      <c r="H203" s="857" t="n"/>
    </row>
    <row r="204" ht="14.25" customHeight="1" s="557">
      <c r="F204" s="856" t="n"/>
      <c r="G204" s="857" t="n"/>
      <c r="H204" s="857" t="n"/>
    </row>
    <row r="205" ht="14.25" customHeight="1" s="557">
      <c r="F205" s="856" t="n"/>
      <c r="G205" s="857" t="n"/>
      <c r="H205" s="857" t="n"/>
    </row>
    <row r="206" ht="14.25" customHeight="1" s="557">
      <c r="F206" s="856" t="n"/>
      <c r="G206" s="857" t="n"/>
      <c r="H206" s="857" t="n"/>
    </row>
    <row r="207" ht="14.25" customHeight="1" s="557">
      <c r="F207" s="856" t="n"/>
      <c r="G207" s="857" t="n"/>
      <c r="H207" s="857" t="n"/>
    </row>
    <row r="208" ht="14.25" customHeight="1" s="557">
      <c r="F208" s="856" t="n"/>
      <c r="G208" s="857" t="n"/>
      <c r="H208" s="857" t="n"/>
    </row>
    <row r="209" ht="14.25" customHeight="1" s="557">
      <c r="F209" s="856" t="n"/>
      <c r="G209" s="857" t="n"/>
      <c r="H209" s="857" t="n"/>
    </row>
    <row r="210" ht="14.25" customHeight="1" s="557">
      <c r="F210" s="856" t="n"/>
      <c r="G210" s="857" t="n"/>
      <c r="H210" s="857" t="n"/>
    </row>
    <row r="211" ht="14.25" customHeight="1" s="557">
      <c r="F211" s="856" t="n"/>
      <c r="G211" s="857" t="n"/>
      <c r="H211" s="857" t="n"/>
    </row>
    <row r="212" ht="14.25" customHeight="1" s="557">
      <c r="F212" s="856" t="n"/>
      <c r="G212" s="857" t="n"/>
      <c r="H212" s="857" t="n"/>
    </row>
    <row r="213" ht="14.25" customHeight="1" s="557">
      <c r="F213" s="856" t="n"/>
      <c r="G213" s="857" t="n"/>
      <c r="H213" s="857" t="n"/>
    </row>
    <row r="214" ht="14.25" customHeight="1" s="557">
      <c r="F214" s="856" t="n"/>
      <c r="G214" s="857" t="n"/>
      <c r="H214" s="857" t="n"/>
    </row>
    <row r="215" ht="14.25" customHeight="1" s="557">
      <c r="F215" s="856" t="n"/>
      <c r="G215" s="857" t="n"/>
      <c r="H215" s="857" t="n"/>
    </row>
    <row r="216" ht="14.25" customHeight="1" s="557">
      <c r="F216" s="856" t="n"/>
      <c r="G216" s="857" t="n"/>
      <c r="H216" s="857" t="n"/>
    </row>
    <row r="217" ht="14.25" customHeight="1" s="557">
      <c r="F217" s="856" t="n"/>
      <c r="G217" s="857" t="n"/>
      <c r="H217" s="857" t="n"/>
    </row>
    <row r="218" ht="14.25" customHeight="1" s="557">
      <c r="F218" s="856" t="n"/>
      <c r="G218" s="857" t="n"/>
      <c r="H218" s="857" t="n"/>
    </row>
    <row r="219" ht="14.25" customHeight="1" s="557">
      <c r="F219" s="856" t="n"/>
      <c r="G219" s="857" t="n"/>
      <c r="H219" s="857" t="n"/>
    </row>
    <row r="220" ht="14.25" customHeight="1" s="557">
      <c r="F220" s="856" t="n"/>
      <c r="G220" s="857" t="n"/>
      <c r="H220" s="857" t="n"/>
    </row>
    <row r="221" ht="14.25" customHeight="1" s="557">
      <c r="F221" s="856" t="n"/>
      <c r="G221" s="857" t="n"/>
      <c r="H221" s="857" t="n"/>
    </row>
    <row r="222" ht="14.25" customHeight="1" s="557">
      <c r="F222" s="856" t="n"/>
      <c r="G222" s="857" t="n"/>
      <c r="H222" s="857" t="n"/>
    </row>
    <row r="223" ht="14.25" customHeight="1" s="557">
      <c r="F223" s="856" t="n"/>
      <c r="G223" s="857" t="n"/>
      <c r="H223" s="857" t="n"/>
    </row>
    <row r="224" ht="14.25" customHeight="1" s="557">
      <c r="F224" s="856" t="n"/>
      <c r="G224" s="857" t="n"/>
      <c r="H224" s="857" t="n"/>
    </row>
    <row r="225" ht="14.25" customHeight="1" s="557">
      <c r="F225" s="856" t="n"/>
      <c r="G225" s="857" t="n"/>
      <c r="H225" s="857" t="n"/>
    </row>
    <row r="226" ht="14.25" customHeight="1" s="557">
      <c r="F226" s="856" t="n"/>
      <c r="G226" s="857" t="n"/>
      <c r="H226" s="857" t="n"/>
    </row>
    <row r="227" ht="14.25" customHeight="1" s="557">
      <c r="F227" s="856" t="n"/>
      <c r="G227" s="857" t="n"/>
      <c r="H227" s="857" t="n"/>
    </row>
    <row r="228" ht="14.25" customHeight="1" s="557">
      <c r="F228" s="856" t="n"/>
      <c r="G228" s="857" t="n"/>
      <c r="H228" s="857" t="n"/>
    </row>
    <row r="229" ht="14.25" customHeight="1" s="557">
      <c r="F229" s="856" t="n"/>
      <c r="G229" s="857" t="n"/>
      <c r="H229" s="857" t="n"/>
    </row>
    <row r="230" ht="14.25" customHeight="1" s="557">
      <c r="F230" s="856" t="n"/>
      <c r="G230" s="857" t="n"/>
      <c r="H230" s="857" t="n"/>
    </row>
    <row r="231" ht="14.25" customHeight="1" s="557">
      <c r="F231" s="856" t="n"/>
      <c r="G231" s="857" t="n"/>
      <c r="H231" s="857" t="n"/>
    </row>
    <row r="232" ht="14.25" customHeight="1" s="557">
      <c r="F232" s="856" t="n"/>
      <c r="G232" s="857" t="n"/>
      <c r="H232" s="857" t="n"/>
    </row>
    <row r="233" ht="14.25" customHeight="1" s="557">
      <c r="F233" s="856" t="n"/>
      <c r="G233" s="857" t="n"/>
      <c r="H233" s="857" t="n"/>
    </row>
    <row r="234" ht="14.25" customHeight="1" s="557">
      <c r="F234" s="856" t="n"/>
      <c r="G234" s="857" t="n"/>
      <c r="H234" s="857" t="n"/>
    </row>
    <row r="235" ht="14.25" customHeight="1" s="557">
      <c r="F235" s="856" t="n"/>
      <c r="G235" s="857" t="n"/>
      <c r="H235" s="857" t="n"/>
    </row>
    <row r="236" ht="14.25" customHeight="1" s="557">
      <c r="F236" s="856" t="n"/>
      <c r="G236" s="857" t="n"/>
      <c r="H236" s="857" t="n"/>
    </row>
    <row r="237" ht="14.25" customHeight="1" s="557">
      <c r="F237" s="856" t="n"/>
      <c r="G237" s="857" t="n"/>
      <c r="H237" s="857" t="n"/>
    </row>
    <row r="238" ht="14.25" customHeight="1" s="557">
      <c r="F238" s="856" t="n"/>
      <c r="G238" s="857" t="n"/>
      <c r="H238" s="857" t="n"/>
    </row>
    <row r="239" ht="14.25" customHeight="1" s="557">
      <c r="F239" s="856" t="n"/>
      <c r="G239" s="857" t="n"/>
      <c r="H239" s="857" t="n"/>
    </row>
    <row r="240" ht="14.25" customHeight="1" s="557">
      <c r="F240" s="856" t="n"/>
      <c r="G240" s="857" t="n"/>
      <c r="H240" s="857" t="n"/>
    </row>
    <row r="241" ht="14.25" customHeight="1" s="557">
      <c r="F241" s="856" t="n"/>
      <c r="G241" s="857" t="n"/>
      <c r="H241" s="857" t="n"/>
    </row>
    <row r="242" ht="14.25" customHeight="1" s="557">
      <c r="F242" s="856" t="n"/>
      <c r="G242" s="857" t="n"/>
      <c r="H242" s="857" t="n"/>
    </row>
    <row r="243" ht="14.25" customHeight="1" s="557">
      <c r="F243" s="856" t="n"/>
      <c r="G243" s="857" t="n"/>
      <c r="H243" s="857" t="n"/>
    </row>
    <row r="244" ht="14.25" customHeight="1" s="557">
      <c r="F244" s="856" t="n"/>
      <c r="G244" s="857" t="n"/>
      <c r="H244" s="857" t="n"/>
    </row>
    <row r="245" ht="14.25" customHeight="1" s="557">
      <c r="F245" s="856" t="n"/>
      <c r="G245" s="857" t="n"/>
      <c r="H245" s="857" t="n"/>
    </row>
    <row r="246" ht="14.25" customHeight="1" s="557">
      <c r="F246" s="856" t="n"/>
      <c r="G246" s="857" t="n"/>
      <c r="H246" s="857" t="n"/>
    </row>
    <row r="247" ht="14.25" customHeight="1" s="557">
      <c r="F247" s="856" t="n"/>
      <c r="G247" s="857" t="n"/>
      <c r="H247" s="857" t="n"/>
    </row>
    <row r="248" ht="14.25" customHeight="1" s="557">
      <c r="F248" s="856" t="n"/>
      <c r="G248" s="857" t="n"/>
      <c r="H248" s="857" t="n"/>
    </row>
    <row r="249" ht="14.25" customHeight="1" s="557">
      <c r="F249" s="856" t="n"/>
      <c r="G249" s="857" t="n"/>
      <c r="H249" s="857" t="n"/>
    </row>
    <row r="250" ht="14.25" customHeight="1" s="557">
      <c r="F250" s="856" t="n"/>
      <c r="G250" s="857" t="n"/>
      <c r="H250" s="857" t="n"/>
    </row>
    <row r="251" ht="14.25" customHeight="1" s="557">
      <c r="F251" s="856" t="n"/>
      <c r="G251" s="857" t="n"/>
      <c r="H251" s="857" t="n"/>
    </row>
    <row r="252" ht="14.25" customHeight="1" s="557">
      <c r="F252" s="856" t="n"/>
      <c r="G252" s="857" t="n"/>
      <c r="H252" s="857" t="n"/>
    </row>
    <row r="253" ht="14.25" customHeight="1" s="557">
      <c r="F253" s="856" t="n"/>
      <c r="G253" s="857" t="n"/>
      <c r="H253" s="857" t="n"/>
    </row>
    <row r="254" ht="14.25" customHeight="1" s="557">
      <c r="F254" s="856" t="n"/>
      <c r="G254" s="857" t="n"/>
      <c r="H254" s="857" t="n"/>
    </row>
    <row r="255" ht="14.25" customHeight="1" s="557">
      <c r="F255" s="856" t="n"/>
      <c r="G255" s="857" t="n"/>
      <c r="H255" s="857" t="n"/>
    </row>
    <row r="256" ht="14.25" customHeight="1" s="557">
      <c r="F256" s="856" t="n"/>
      <c r="G256" s="857" t="n"/>
      <c r="H256" s="857" t="n"/>
    </row>
    <row r="257" ht="14.25" customHeight="1" s="557">
      <c r="F257" s="856" t="n"/>
      <c r="G257" s="857" t="n"/>
      <c r="H257" s="857"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90" zoomScaleNormal="90" zoomScalePageLayoutView="90" workbookViewId="0">
      <selection pane="topLeft" activeCell="F44" activeCellId="0" sqref="F44"/>
    </sheetView>
  </sheetViews>
  <sheetFormatPr baseColWidth="8" defaultColWidth="9.11328125" defaultRowHeight="13.5" zeroHeight="0" outlineLevelRow="0"/>
  <cols>
    <col width="21" customWidth="1" style="884" min="1" max="1"/>
    <col width="12.67" customWidth="1" style="885" min="2" max="13"/>
    <col width="9.109999999999999" customWidth="1" style="886" min="14" max="16384"/>
  </cols>
  <sheetData>
    <row r="1" ht="61.5" customHeight="1" s="557">
      <c r="A1" s="887" t="n"/>
      <c r="B1" s="888" t="inlineStr">
        <is>
          <t>FIELD SERVICE QUALITY SURVEY (OFFLINE)</t>
        </is>
      </c>
      <c r="C1" s="570" t="n"/>
      <c r="D1" s="570" t="n"/>
      <c r="E1" s="570" t="n"/>
      <c r="F1" s="570" t="n"/>
      <c r="G1" s="570" t="n"/>
      <c r="H1" s="570" t="n"/>
      <c r="I1" s="570" t="n"/>
      <c r="J1" s="570" t="n"/>
      <c r="K1" s="567" t="n"/>
      <c r="L1" s="889" t="n"/>
      <c r="M1" s="567" t="n"/>
    </row>
    <row r="2" ht="15" customHeight="1" s="557">
      <c r="A2" s="890" t="inlineStr">
        <is>
          <t>DOCUMENT NUMBER</t>
        </is>
      </c>
      <c r="B2" s="890" t="inlineStr">
        <is>
          <t>CLASSIFICATION</t>
        </is>
      </c>
      <c r="C2" s="567" t="n"/>
      <c r="D2" s="890" t="inlineStr">
        <is>
          <t>DOCUMENT LEVEL</t>
        </is>
      </c>
      <c r="E2" s="567" t="n"/>
      <c r="F2" s="890" t="inlineStr">
        <is>
          <t>REVISION NUMBER</t>
        </is>
      </c>
      <c r="G2" s="567" t="n"/>
      <c r="H2" s="890" t="inlineStr">
        <is>
          <t>ISSUE DATE</t>
        </is>
      </c>
      <c r="I2" s="567" t="n"/>
      <c r="J2" s="890" t="inlineStr">
        <is>
          <t>PREPARED BY</t>
        </is>
      </c>
      <c r="K2" s="567" t="n"/>
      <c r="L2" s="890" t="inlineStr">
        <is>
          <t>APPROVAL</t>
        </is>
      </c>
      <c r="M2" s="567" t="n"/>
    </row>
    <row r="3" ht="26.25" customHeight="1" s="557">
      <c r="A3" s="891" t="inlineStr">
        <is>
          <t>GL-WFT-OEPS-L2-10.03</t>
        </is>
      </c>
      <c r="B3" s="892" t="inlineStr">
        <is>
          <t>CONTROLLED</t>
        </is>
      </c>
      <c r="C3" s="567" t="n"/>
      <c r="D3" s="892" t="inlineStr">
        <is>
          <t>L5</t>
        </is>
      </c>
      <c r="E3" s="567" t="n"/>
      <c r="F3" s="892" t="n">
        <v>1</v>
      </c>
      <c r="G3" s="567" t="n"/>
      <c r="H3" s="893" t="inlineStr">
        <is>
          <t>09 SEP 2020</t>
        </is>
      </c>
      <c r="I3" s="567" t="n"/>
      <c r="J3" s="894" t="inlineStr">
        <is>
          <t>TECHNICAL ADVISORY COMMITTEE</t>
        </is>
      </c>
      <c r="K3" s="567" t="n"/>
      <c r="L3" s="892" t="inlineStr">
        <is>
          <t>OEP APPROVAL BOARD</t>
        </is>
      </c>
      <c r="M3" s="567" t="n"/>
    </row>
    <row r="4" ht="37.5" customHeight="1" s="557"/>
    <row r="5" ht="18" customHeight="1" s="557">
      <c r="A5" s="895" t="inlineStr">
        <is>
          <t>Date</t>
        </is>
      </c>
      <c r="B5" s="896">
        <f>'Master Data'!E24</f>
        <v/>
      </c>
      <c r="C5" s="897" t="n"/>
      <c r="D5" s="897" t="n"/>
      <c r="E5" s="897" t="n"/>
      <c r="F5" s="897" t="n"/>
      <c r="G5" s="897" t="n"/>
      <c r="H5" s="898" t="n"/>
      <c r="I5" s="899" t="n"/>
      <c r="L5" s="886" t="n"/>
      <c r="M5" s="886" t="n"/>
    </row>
    <row r="6" ht="18" customHeight="1" s="557">
      <c r="A6" s="900" t="inlineStr">
        <is>
          <t>Client</t>
        </is>
      </c>
      <c r="B6" s="901">
        <f>'Master Data'!B3</f>
        <v/>
      </c>
      <c r="C6" s="902" t="n"/>
      <c r="D6" s="902" t="n"/>
      <c r="E6" s="902" t="n"/>
      <c r="F6" s="902" t="n"/>
      <c r="G6" s="902" t="n"/>
      <c r="H6" s="903" t="n"/>
      <c r="I6" s="904" t="n"/>
      <c r="L6" s="886" t="n"/>
      <c r="M6" s="886" t="n"/>
    </row>
    <row r="7" ht="18" customHeight="1" s="557">
      <c r="A7" s="900" t="inlineStr">
        <is>
          <t>Client Contact</t>
        </is>
      </c>
      <c r="B7" s="901">
        <f>'Master Data'!B4</f>
        <v/>
      </c>
      <c r="C7" s="902" t="n"/>
      <c r="D7" s="902" t="n"/>
      <c r="E7" s="902" t="n"/>
      <c r="F7" s="902" t="n"/>
      <c r="G7" s="902" t="n"/>
      <c r="H7" s="903" t="n"/>
      <c r="I7" s="904" t="n"/>
      <c r="L7" s="886" t="n"/>
      <c r="M7" s="886" t="n"/>
    </row>
    <row r="8" ht="18" customHeight="1" s="557">
      <c r="A8" s="900" t="inlineStr">
        <is>
          <t>Project</t>
        </is>
      </c>
      <c r="B8" s="901">
        <f>'Master Data'!E10</f>
        <v/>
      </c>
      <c r="C8" s="902" t="n"/>
      <c r="D8" s="902" t="n"/>
      <c r="E8" s="902" t="n"/>
      <c r="F8" s="902" t="n"/>
      <c r="G8" s="902" t="n"/>
      <c r="H8" s="903" t="n"/>
      <c r="I8" s="904" t="n"/>
      <c r="L8" s="886" t="n"/>
      <c r="M8" s="886" t="n"/>
    </row>
    <row r="9" ht="18" customHeight="1" s="557">
      <c r="A9" s="900" t="inlineStr">
        <is>
          <t>Location</t>
        </is>
      </c>
      <c r="B9" s="901">
        <f>'Master Data'!E8</f>
        <v/>
      </c>
      <c r="C9" s="902" t="n"/>
      <c r="D9" s="902" t="n"/>
      <c r="E9" s="902" t="n"/>
      <c r="F9" s="902" t="n"/>
      <c r="G9" s="902" t="n"/>
      <c r="H9" s="903" t="n"/>
      <c r="I9" s="904" t="n"/>
      <c r="L9" s="886" t="n"/>
      <c r="M9" s="886" t="n"/>
    </row>
    <row r="10" ht="18" customHeight="1" s="557">
      <c r="A10" s="900" t="inlineStr">
        <is>
          <t>WFT Product Line</t>
        </is>
      </c>
      <c r="B10" s="901" t="inlineStr">
        <is>
          <t>Completion</t>
        </is>
      </c>
      <c r="C10" s="902" t="n"/>
      <c r="D10" s="902" t="n"/>
      <c r="E10" s="902" t="n"/>
      <c r="F10" s="902" t="n"/>
      <c r="G10" s="902" t="n"/>
      <c r="H10" s="903" t="n"/>
      <c r="I10" s="904" t="n"/>
      <c r="L10" s="886" t="n"/>
      <c r="M10" s="886" t="n"/>
    </row>
    <row r="11" ht="18" customHeight="1" s="557">
      <c r="A11" s="905" t="inlineStr">
        <is>
          <t>WFT Contact</t>
        </is>
      </c>
      <c r="B11" s="906" t="inlineStr">
        <is>
          <t>Samy Ahmed</t>
        </is>
      </c>
      <c r="C11" s="907" t="n"/>
      <c r="D11" s="907" t="n"/>
      <c r="E11" s="907" t="n"/>
      <c r="F11" s="907" t="n"/>
      <c r="G11" s="907" t="n"/>
      <c r="H11" s="908" t="n"/>
      <c r="I11" s="904" t="n"/>
      <c r="L11" s="886" t="n"/>
      <c r="M11" s="886" t="n"/>
    </row>
    <row r="12" ht="40.5" customHeight="1" s="557">
      <c r="M12" s="909" t="inlineStr">
        <is>
          <t>Mark 'X' Below Coloured Performance Score</t>
        </is>
      </c>
    </row>
    <row r="13" ht="18" customHeight="1" s="557">
      <c r="A13" s="910" t="inlineStr">
        <is>
          <t>Personnel</t>
        </is>
      </c>
      <c r="B13" s="911" t="n">
        <v>1</v>
      </c>
      <c r="C13" s="912" t="n"/>
      <c r="D13" s="913" t="n">
        <v>2</v>
      </c>
      <c r="E13" s="912" t="n"/>
      <c r="F13" s="914" t="n">
        <v>3</v>
      </c>
      <c r="G13" s="912" t="n"/>
      <c r="H13" s="915" t="n">
        <v>4</v>
      </c>
      <c r="I13" s="912" t="n"/>
      <c r="J13" s="916" t="n">
        <v>5</v>
      </c>
      <c r="K13" s="912" t="n"/>
      <c r="L13" s="917" t="n">
        <v>6</v>
      </c>
      <c r="M13" s="918" t="n"/>
    </row>
    <row r="14" ht="18" customHeight="1" s="557">
      <c r="A14" s="919" t="n"/>
      <c r="B14" s="920" t="n"/>
      <c r="C14" s="921" t="n"/>
      <c r="D14" s="920" t="n"/>
      <c r="E14" s="921" t="n"/>
      <c r="F14" s="920" t="n"/>
      <c r="G14" s="921" t="n"/>
      <c r="H14" s="920" t="n"/>
      <c r="I14" s="921" t="n"/>
      <c r="J14" s="920" t="n"/>
      <c r="K14" s="921" t="n"/>
      <c r="L14" s="922" t="n"/>
      <c r="M14" s="923" t="n"/>
    </row>
    <row r="15" ht="18" customHeight="1" s="557">
      <c r="A15" s="919" t="n"/>
      <c r="B15" s="924" t="inlineStr">
        <is>
          <t>Failure</t>
        </is>
      </c>
      <c r="C15" s="925" t="n"/>
      <c r="D15" s="924" t="inlineStr">
        <is>
          <t>Poor</t>
        </is>
      </c>
      <c r="E15" s="925" t="n"/>
      <c r="F15" s="924" t="inlineStr">
        <is>
          <t>Mediocre</t>
        </is>
      </c>
      <c r="G15" s="925" t="n"/>
      <c r="H15" s="924" t="inlineStr">
        <is>
          <t>Satisfactory</t>
        </is>
      </c>
      <c r="I15" s="925" t="n"/>
      <c r="J15" s="924" t="inlineStr">
        <is>
          <t>Good</t>
        </is>
      </c>
      <c r="K15" s="925" t="n"/>
      <c r="L15" s="926" t="inlineStr">
        <is>
          <t>Excellent</t>
        </is>
      </c>
      <c r="M15" s="927" t="n"/>
    </row>
    <row r="16" ht="66" customHeight="1" s="557">
      <c r="A16" s="928" t="n"/>
      <c r="B16" s="929" t="inlineStr">
        <is>
          <t xml:space="preserve">Personnel are not sufficiently trained nor competent to provide  the specific service(s) requested.
</t>
        </is>
      </c>
      <c r="C16" s="928" t="n"/>
      <c r="D16" s="930" t="inlineStr">
        <is>
          <t>Insufficient trained and competent personnel to provide satisfactory service.</t>
        </is>
      </c>
      <c r="E16" s="928" t="n"/>
      <c r="F16" s="930" t="inlineStr">
        <is>
          <t>Personnel were not fully equipped to be able to provide completely satisfactory service.</t>
        </is>
      </c>
      <c r="G16" s="928" t="n"/>
      <c r="H16" s="930" t="inlineStr">
        <is>
          <t>Personnel are trained and competent to provide the requested service.</t>
        </is>
      </c>
      <c r="I16" s="928" t="n"/>
      <c r="J16" s="930" t="inlineStr">
        <is>
          <t>Personnel are competent and experienced in service provided.</t>
        </is>
      </c>
      <c r="K16" s="928" t="n"/>
      <c r="L16" s="931" t="inlineStr">
        <is>
          <t>Disciplined and professional. Performance is amongst the highest relative to peers.</t>
        </is>
      </c>
      <c r="M16" s="932" t="n"/>
    </row>
    <row r="17" ht="15" customHeight="1" s="557">
      <c r="A17" s="933" t="n"/>
      <c r="B17" s="934" t="n"/>
      <c r="C17" s="934" t="n"/>
      <c r="D17" s="934" t="n"/>
      <c r="E17" s="934" t="n"/>
      <c r="F17" s="934" t="n"/>
      <c r="G17" s="934" t="n"/>
      <c r="H17" s="934" t="n"/>
      <c r="I17" s="934" t="n"/>
      <c r="J17" s="934" t="n"/>
      <c r="K17" s="934" t="n"/>
      <c r="L17" s="934" t="n"/>
      <c r="M17" s="909" t="inlineStr">
        <is>
          <t>Mark 'X' Below Coloured Performance Score</t>
        </is>
      </c>
    </row>
    <row r="18" ht="18" customHeight="1" s="557">
      <c r="A18" s="910" t="inlineStr">
        <is>
          <t>Equipment / Service</t>
        </is>
      </c>
      <c r="B18" s="911" t="n">
        <v>1</v>
      </c>
      <c r="C18" s="912" t="n"/>
      <c r="D18" s="913" t="n">
        <v>2</v>
      </c>
      <c r="E18" s="912" t="n"/>
      <c r="F18" s="914" t="n">
        <v>3</v>
      </c>
      <c r="G18" s="912" t="n"/>
      <c r="H18" s="915" t="n">
        <v>4</v>
      </c>
      <c r="I18" s="912" t="n"/>
      <c r="J18" s="916" t="n">
        <v>5</v>
      </c>
      <c r="K18" s="912" t="n"/>
      <c r="L18" s="917" t="n">
        <v>6</v>
      </c>
      <c r="M18" s="918" t="n"/>
    </row>
    <row r="19" ht="18" customHeight="1" s="557">
      <c r="A19" s="919" t="n"/>
      <c r="B19" s="920" t="n"/>
      <c r="C19" s="921" t="n"/>
      <c r="D19" s="920" t="n"/>
      <c r="E19" s="921" t="n"/>
      <c r="F19" s="920" t="n"/>
      <c r="G19" s="921" t="n"/>
      <c r="H19" s="920" t="n"/>
      <c r="I19" s="921" t="n"/>
      <c r="J19" s="920" t="n"/>
      <c r="K19" s="921" t="n"/>
      <c r="L19" s="922" t="n"/>
      <c r="M19" s="923" t="n"/>
    </row>
    <row r="20" ht="18" customHeight="1" s="557">
      <c r="A20" s="919" t="n"/>
      <c r="B20" s="924" t="inlineStr">
        <is>
          <t>Failure</t>
        </is>
      </c>
      <c r="C20" s="925" t="n"/>
      <c r="D20" s="924" t="inlineStr">
        <is>
          <t>Poor</t>
        </is>
      </c>
      <c r="E20" s="925" t="n"/>
      <c r="F20" s="924" t="inlineStr">
        <is>
          <t>Mediocre</t>
        </is>
      </c>
      <c r="G20" s="925" t="n"/>
      <c r="H20" s="924" t="inlineStr">
        <is>
          <t>Satisfactory</t>
        </is>
      </c>
      <c r="I20" s="925" t="n"/>
      <c r="J20" s="924" t="inlineStr">
        <is>
          <t>Good</t>
        </is>
      </c>
      <c r="K20" s="925" t="n"/>
      <c r="L20" s="926" t="inlineStr">
        <is>
          <t>Excellent</t>
        </is>
      </c>
      <c r="M20" s="927" t="n"/>
    </row>
    <row r="21" ht="66" customHeight="1" s="557">
      <c r="A21" s="928" t="n"/>
      <c r="B21" s="930" t="inlineStr">
        <is>
          <t xml:space="preserve">Equipment/Service not fit for use.
</t>
        </is>
      </c>
      <c r="C21" s="928" t="n"/>
      <c r="D21" s="930" t="inlineStr">
        <is>
          <t>Inadequate and/or unreliable equipment/service provided.</t>
        </is>
      </c>
      <c r="E21" s="928" t="n"/>
      <c r="F21" s="930" t="inlineStr">
        <is>
          <t xml:space="preserve">Equipment/Service performed but problems were encountered, and level of quality was below expectation. </t>
        </is>
      </c>
      <c r="G21" s="928" t="n"/>
      <c r="H21" s="930" t="inlineStr">
        <is>
          <t>The quantity and quality of equipment/service is adequate to provide the service requested.</t>
        </is>
      </c>
      <c r="I21" s="928" t="n"/>
      <c r="J21" s="930" t="inlineStr">
        <is>
          <t xml:space="preserve">The equipment/service provided is fit for use, well maintained and reliable. </t>
        </is>
      </c>
      <c r="K21" s="928" t="n"/>
      <c r="L21" s="931" t="inlineStr">
        <is>
          <t>Equipment/Service exceeded expectations. Performance is amongst the highest relative to peers.</t>
        </is>
      </c>
      <c r="M21" s="932" t="n"/>
    </row>
    <row r="22" ht="15" customHeight="1" s="557">
      <c r="A22" s="933" t="n"/>
      <c r="B22" s="934" t="n"/>
      <c r="C22" s="934" t="n"/>
      <c r="D22" s="934" t="n"/>
      <c r="E22" s="934" t="n"/>
      <c r="F22" s="934" t="n"/>
      <c r="G22" s="934" t="n"/>
      <c r="H22" s="934" t="n"/>
      <c r="I22" s="934" t="n"/>
      <c r="J22" s="934" t="n"/>
      <c r="K22" s="934" t="n"/>
      <c r="L22" s="934" t="n"/>
      <c r="M22" s="909" t="inlineStr">
        <is>
          <t>Mark 'X' Below Coloured Performance Score</t>
        </is>
      </c>
    </row>
    <row r="23" ht="18" customHeight="1" s="557">
      <c r="A23" s="910" t="inlineStr">
        <is>
          <t>Communication</t>
        </is>
      </c>
      <c r="B23" s="911" t="n">
        <v>1</v>
      </c>
      <c r="C23" s="912" t="n"/>
      <c r="D23" s="913" t="n">
        <v>2</v>
      </c>
      <c r="E23" s="912" t="n"/>
      <c r="F23" s="914" t="n">
        <v>3</v>
      </c>
      <c r="G23" s="912" t="n"/>
      <c r="H23" s="915" t="n">
        <v>4</v>
      </c>
      <c r="I23" s="912" t="n"/>
      <c r="J23" s="916" t="n">
        <v>5</v>
      </c>
      <c r="K23" s="912" t="n"/>
      <c r="L23" s="917" t="n">
        <v>6</v>
      </c>
      <c r="M23" s="918" t="n"/>
    </row>
    <row r="24" ht="18" customHeight="1" s="557">
      <c r="A24" s="919" t="n"/>
      <c r="B24" s="920" t="n"/>
      <c r="C24" s="921" t="n"/>
      <c r="D24" s="920" t="n"/>
      <c r="E24" s="921" t="n"/>
      <c r="F24" s="920" t="n"/>
      <c r="G24" s="921" t="n"/>
      <c r="H24" s="920" t="n"/>
      <c r="I24" s="921" t="n"/>
      <c r="J24" s="920" t="n"/>
      <c r="K24" s="921" t="n"/>
      <c r="L24" s="922" t="n"/>
      <c r="M24" s="923" t="n"/>
    </row>
    <row r="25" ht="18" customHeight="1" s="557">
      <c r="A25" s="919" t="n"/>
      <c r="B25" s="924" t="inlineStr">
        <is>
          <t>Failure</t>
        </is>
      </c>
      <c r="C25" s="925" t="n"/>
      <c r="D25" s="924" t="inlineStr">
        <is>
          <t>Poor</t>
        </is>
      </c>
      <c r="E25" s="925" t="n"/>
      <c r="F25" s="924" t="inlineStr">
        <is>
          <t>Mediocre</t>
        </is>
      </c>
      <c r="G25" s="925" t="n"/>
      <c r="H25" s="924" t="inlineStr">
        <is>
          <t>Satisfactory</t>
        </is>
      </c>
      <c r="I25" s="925" t="n"/>
      <c r="J25" s="924" t="inlineStr">
        <is>
          <t>Good</t>
        </is>
      </c>
      <c r="K25" s="925" t="n"/>
      <c r="L25" s="926" t="inlineStr">
        <is>
          <t>Excellent</t>
        </is>
      </c>
      <c r="M25" s="927" t="n"/>
    </row>
    <row r="26" ht="66" customHeight="1" s="557">
      <c r="A26" s="928" t="n"/>
      <c r="B26" s="930" t="inlineStr">
        <is>
          <t>Failed to understand customer requirements and/or personnel do not function as a team.</t>
        </is>
      </c>
      <c r="C26" s="928" t="n"/>
      <c r="D26" s="930" t="inlineStr">
        <is>
          <t xml:space="preserve">Unsatisfactory communication with customer and/or between team members. </t>
        </is>
      </c>
      <c r="E26" s="928" t="n"/>
      <c r="F26" s="930" t="inlineStr">
        <is>
          <t>Low level of communication with customer and between team members.</t>
        </is>
      </c>
      <c r="G26" s="928" t="n"/>
      <c r="H26" s="930" t="inlineStr">
        <is>
          <t>Satisfactory communication with customer and between team members.</t>
        </is>
      </c>
      <c r="I26" s="928" t="n"/>
      <c r="J26" s="930" t="inlineStr">
        <is>
          <t>Good understanding of customer requirements. Personnel work well as a team.</t>
        </is>
      </c>
      <c r="K26" s="928" t="n"/>
      <c r="L26" s="931" t="inlineStr">
        <is>
          <t>Personnel are responsive to customer requirements and foster collaboration amongst all stakeholders</t>
        </is>
      </c>
      <c r="M26" s="932" t="n"/>
    </row>
    <row r="27" ht="15" customHeight="1" s="557">
      <c r="A27" s="933" t="n"/>
      <c r="B27" s="934" t="n"/>
      <c r="C27" s="934" t="n"/>
      <c r="D27" s="934" t="n"/>
      <c r="E27" s="934" t="n"/>
      <c r="F27" s="934" t="n"/>
      <c r="G27" s="934" t="n"/>
      <c r="H27" s="934" t="n"/>
      <c r="I27" s="934" t="n"/>
      <c r="J27" s="934" t="n"/>
      <c r="K27" s="934" t="n"/>
      <c r="L27" s="934" t="n"/>
      <c r="M27" s="909" t="inlineStr">
        <is>
          <t>Mark 'X' Below Coloured Performance Score</t>
        </is>
      </c>
    </row>
    <row r="28" ht="18" customHeight="1" s="557">
      <c r="A28" s="910" t="inlineStr">
        <is>
          <t>HSSE</t>
        </is>
      </c>
      <c r="B28" s="911" t="n">
        <v>1</v>
      </c>
      <c r="C28" s="912" t="n"/>
      <c r="D28" s="913" t="n">
        <v>2</v>
      </c>
      <c r="E28" s="912" t="n"/>
      <c r="F28" s="914" t="n">
        <v>3</v>
      </c>
      <c r="G28" s="912" t="n"/>
      <c r="H28" s="915" t="n">
        <v>4</v>
      </c>
      <c r="I28" s="912" t="n"/>
      <c r="J28" s="916" t="n">
        <v>5</v>
      </c>
      <c r="K28" s="912" t="n"/>
      <c r="L28" s="917" t="n">
        <v>6</v>
      </c>
      <c r="M28" s="918" t="n"/>
    </row>
    <row r="29" ht="18" customHeight="1" s="557">
      <c r="A29" s="919" t="n"/>
      <c r="B29" s="935" t="n"/>
      <c r="C29" s="921" t="n"/>
      <c r="D29" s="935" t="n"/>
      <c r="E29" s="921" t="n"/>
      <c r="F29" s="935" t="n"/>
      <c r="G29" s="921" t="n"/>
      <c r="H29" s="935" t="n"/>
      <c r="I29" s="921" t="n"/>
      <c r="J29" s="935" t="n"/>
      <c r="K29" s="921" t="n"/>
      <c r="L29" s="936" t="n"/>
      <c r="M29" s="923" t="n"/>
    </row>
    <row r="30" ht="18" customHeight="1" s="557">
      <c r="A30" s="919" t="n"/>
      <c r="B30" s="924" t="inlineStr">
        <is>
          <t>Failure</t>
        </is>
      </c>
      <c r="C30" s="925" t="n"/>
      <c r="D30" s="924" t="inlineStr">
        <is>
          <t>Poor</t>
        </is>
      </c>
      <c r="E30" s="925" t="n"/>
      <c r="F30" s="924" t="inlineStr">
        <is>
          <t>Mediocre</t>
        </is>
      </c>
      <c r="G30" s="925" t="n"/>
      <c r="H30" s="924" t="inlineStr">
        <is>
          <t>Satisfactory</t>
        </is>
      </c>
      <c r="I30" s="925" t="n"/>
      <c r="J30" s="924" t="inlineStr">
        <is>
          <t>Good</t>
        </is>
      </c>
      <c r="K30" s="925" t="n"/>
      <c r="L30" s="926" t="inlineStr">
        <is>
          <t>Excellent</t>
        </is>
      </c>
      <c r="M30" s="927" t="n"/>
    </row>
    <row r="31" ht="66" customHeight="1" s="557">
      <c r="A31" s="928" t="n"/>
      <c r="B31" s="930" t="inlineStr">
        <is>
          <t xml:space="preserve">  Loss and/or damage occurred due to Weatherford.                        Ineffective HSSE processes.</t>
        </is>
      </c>
      <c r="C31" s="928" t="n"/>
      <c r="D31" s="930" t="inlineStr">
        <is>
          <t>Loss and/or damage occurred due to Weatherford.                           HSSE processes not followed.</t>
        </is>
      </c>
      <c r="E31" s="928" t="n"/>
      <c r="F31" s="930" t="inlineStr">
        <is>
          <t>No loss or damage encountered but HSSE processes were not visible / adhered to.</t>
        </is>
      </c>
      <c r="G31" s="928" t="n"/>
      <c r="H31" s="930" t="inlineStr">
        <is>
          <t>No loss or damage due to Weatherford. Effective HSSE processes and adherence.</t>
        </is>
      </c>
      <c r="I31" s="928" t="n"/>
      <c r="J31" s="930" t="inlineStr">
        <is>
          <t>All operations conducted in a safe manner, in accordance with Risk Assessment &amp; HSSE Processes.</t>
        </is>
      </c>
      <c r="K31" s="928" t="n"/>
      <c r="L31" s="931" t="inlineStr">
        <is>
          <t xml:space="preserve">HSSE performance exceeds expectations. Performance is amongst the highest relative to peers. </t>
        </is>
      </c>
      <c r="M31" s="932" t="n"/>
    </row>
    <row r="32" ht="15" customHeight="1" s="557">
      <c r="A32" s="933" t="n"/>
      <c r="B32" s="934" t="n"/>
      <c r="C32" s="934" t="n"/>
      <c r="D32" s="934" t="n"/>
      <c r="E32" s="934" t="n"/>
      <c r="F32" s="934" t="n"/>
      <c r="G32" s="934" t="n"/>
      <c r="H32" s="934" t="n"/>
      <c r="I32" s="934" t="n"/>
      <c r="J32" s="934" t="n"/>
      <c r="K32" s="934" t="n"/>
      <c r="L32" s="934" t="n"/>
      <c r="M32" s="909" t="inlineStr">
        <is>
          <t>Mark 'X' Below Coloured Performance Score</t>
        </is>
      </c>
    </row>
    <row r="33" ht="18" customHeight="1" s="557">
      <c r="A33" s="910" t="inlineStr">
        <is>
          <t>Overall</t>
        </is>
      </c>
      <c r="B33" s="911" t="n">
        <v>1</v>
      </c>
      <c r="C33" s="912" t="n"/>
      <c r="D33" s="913" t="n">
        <v>2</v>
      </c>
      <c r="E33" s="912" t="n"/>
      <c r="F33" s="914" t="n">
        <v>3</v>
      </c>
      <c r="G33" s="912" t="n"/>
      <c r="H33" s="915" t="n">
        <v>4</v>
      </c>
      <c r="I33" s="912" t="n"/>
      <c r="J33" s="916" t="n">
        <v>5</v>
      </c>
      <c r="K33" s="912" t="n"/>
      <c r="L33" s="917" t="n">
        <v>6</v>
      </c>
      <c r="M33" s="918" t="n"/>
    </row>
    <row r="34" ht="18" customHeight="1" s="557">
      <c r="A34" s="919" t="n"/>
      <c r="B34" s="920" t="n"/>
      <c r="C34" s="921" t="n"/>
      <c r="D34" s="920" t="n"/>
      <c r="E34" s="921" t="n"/>
      <c r="F34" s="920" t="n"/>
      <c r="G34" s="921" t="n"/>
      <c r="H34" s="920" t="n"/>
      <c r="I34" s="921" t="n"/>
      <c r="J34" s="920" t="n"/>
      <c r="K34" s="921" t="n"/>
      <c r="L34" s="922" t="n"/>
      <c r="M34" s="923" t="n"/>
    </row>
    <row r="35" ht="18" customHeight="1" s="557">
      <c r="A35" s="919" t="n"/>
      <c r="B35" s="924" t="inlineStr">
        <is>
          <t>Failure</t>
        </is>
      </c>
      <c r="C35" s="925" t="n"/>
      <c r="D35" s="924" t="inlineStr">
        <is>
          <t>Poor</t>
        </is>
      </c>
      <c r="E35" s="925" t="n"/>
      <c r="F35" s="924" t="inlineStr">
        <is>
          <t>Mediocre</t>
        </is>
      </c>
      <c r="G35" s="925" t="n"/>
      <c r="H35" s="924" t="inlineStr">
        <is>
          <t>Satisfactory</t>
        </is>
      </c>
      <c r="I35" s="925" t="n"/>
      <c r="J35" s="924" t="inlineStr">
        <is>
          <t>Good</t>
        </is>
      </c>
      <c r="K35" s="925" t="n"/>
      <c r="L35" s="926" t="inlineStr">
        <is>
          <t>Excellent</t>
        </is>
      </c>
      <c r="M35" s="927" t="n"/>
    </row>
    <row r="36" ht="66" customHeight="1" s="557">
      <c r="A36" s="928" t="n"/>
      <c r="B36" s="930" t="inlineStr">
        <is>
          <t>The overall level of service does not meet expectations and is amongst the lowest relative to peers.</t>
        </is>
      </c>
      <c r="C36" s="928" t="n"/>
      <c r="D36" s="930" t="inlineStr">
        <is>
          <t xml:space="preserve"> The overall level of service does not meet expectations</t>
        </is>
      </c>
      <c r="E36" s="928" t="n"/>
      <c r="F36" s="930" t="inlineStr">
        <is>
          <t>The requirements were met but overall service quality was below expectation.</t>
        </is>
      </c>
      <c r="G36" s="928" t="n"/>
      <c r="H36" s="930" t="inlineStr">
        <is>
          <t>The level of service provided conforms to mutually agreed requirements, the first time.</t>
        </is>
      </c>
      <c r="I36" s="928" t="n"/>
      <c r="J36" s="930" t="inlineStr">
        <is>
          <t>The overall level of service is good and exceeded expectations in some area.</t>
        </is>
      </c>
      <c r="K36" s="928" t="n"/>
      <c r="L36" s="931" t="inlineStr">
        <is>
          <t xml:space="preserve">Level of service provided exceeds expectations and is amongst the highest relative to peers. </t>
        </is>
      </c>
      <c r="M36" s="932" t="n"/>
    </row>
    <row r="37" ht="15" customHeight="1" s="557">
      <c r="A37" s="937" t="n"/>
      <c r="B37" s="934" t="n"/>
      <c r="C37" s="934" t="n"/>
      <c r="D37" s="934" t="n"/>
      <c r="E37" s="934" t="n"/>
      <c r="F37" s="934" t="n"/>
      <c r="G37" s="934" t="n"/>
      <c r="H37" s="934" t="n"/>
      <c r="I37" s="934" t="n"/>
      <c r="J37" s="934" t="n"/>
      <c r="K37" s="934" t="n"/>
      <c r="L37" s="934" t="n"/>
      <c r="M37" s="934" t="n"/>
    </row>
    <row r="38" ht="18" customHeight="1" s="557">
      <c r="A38" s="938" t="inlineStr">
        <is>
          <t xml:space="preserve">How Can We Improve?
</t>
        </is>
      </c>
      <c r="B38" s="939" t="n"/>
      <c r="C38" s="939" t="n"/>
      <c r="D38" s="939" t="n"/>
      <c r="E38" s="939" t="n"/>
      <c r="F38" s="939" t="n"/>
      <c r="G38" s="940" t="n"/>
      <c r="H38" s="940" t="n"/>
      <c r="I38" s="940" t="n"/>
      <c r="J38" s="940" t="n"/>
      <c r="K38" s="940" t="n"/>
      <c r="L38" s="940" t="n"/>
      <c r="M38" s="940" t="n"/>
    </row>
    <row r="39" ht="18" customHeight="1" s="557">
      <c r="B39" s="941" t="n"/>
      <c r="C39" s="717" t="n"/>
      <c r="D39" s="717" t="n"/>
      <c r="E39" s="717" t="n"/>
      <c r="F39" s="717" t="n"/>
      <c r="G39" s="717" t="n"/>
      <c r="H39" s="717" t="n"/>
      <c r="I39" s="717" t="n"/>
      <c r="J39" s="717" t="n"/>
      <c r="K39" s="717" t="n"/>
      <c r="L39" s="717" t="n"/>
      <c r="M39" s="942" t="n"/>
    </row>
    <row r="40" ht="84" customHeight="1" s="557">
      <c r="A40" s="943" t="n"/>
      <c r="B40" s="944" t="n"/>
      <c r="C40" s="945" t="n"/>
      <c r="D40" s="945" t="n"/>
      <c r="E40" s="945" t="n"/>
      <c r="F40" s="945" t="n"/>
      <c r="G40" s="945" t="n"/>
      <c r="H40" s="945" t="n"/>
      <c r="I40" s="945" t="n"/>
      <c r="J40" s="945" t="n"/>
      <c r="K40" s="945" t="n"/>
      <c r="L40" s="945" t="n"/>
      <c r="M40" s="946" t="n"/>
    </row>
    <row r="41" ht="13.5" customFormat="1" customHeight="1" s="947">
      <c r="A41" s="948" t="n"/>
      <c r="B41" s="949" t="n"/>
      <c r="C41" s="949" t="n"/>
      <c r="D41" s="949" t="n"/>
      <c r="E41" s="949" t="n"/>
      <c r="F41" s="949" t="n"/>
      <c r="G41" s="949" t="n"/>
      <c r="H41" s="949" t="n"/>
      <c r="I41" s="949" t="n"/>
      <c r="J41" s="949" t="n"/>
      <c r="K41" s="949" t="n"/>
      <c r="L41" s="949" t="n"/>
      <c r="M41" s="949" t="n"/>
    </row>
    <row r="42" ht="13.5" customFormat="1" customHeight="1" s="947">
      <c r="A42" s="948" t="n"/>
      <c r="B42" s="949" t="n"/>
      <c r="C42" s="949" t="n"/>
      <c r="D42" s="949" t="n"/>
      <c r="E42" s="949" t="n"/>
      <c r="F42" s="949" t="n"/>
      <c r="G42" s="949" t="n"/>
      <c r="H42" s="949" t="n"/>
      <c r="I42" s="949" t="n"/>
      <c r="J42" s="949" t="n"/>
      <c r="K42" s="950"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947">
      <c r="A43" s="948" t="n"/>
      <c r="B43" s="949" t="n"/>
      <c r="C43" s="949" t="n"/>
      <c r="D43" s="949" t="n"/>
      <c r="E43" s="949" t="n"/>
      <c r="F43" s="949" t="n"/>
      <c r="G43" s="949" t="n"/>
      <c r="H43" s="949" t="n"/>
      <c r="I43" s="949" t="n"/>
      <c r="J43" s="949" t="n"/>
    </row>
    <row r="44" ht="13.5" customFormat="1" customHeight="1" s="947">
      <c r="A44" s="951">
        <f>'Master Data'!B4</f>
        <v/>
      </c>
      <c r="E44" s="949" t="n"/>
      <c r="F44" s="951">
        <f>'Master Data'!B21</f>
        <v/>
      </c>
      <c r="J44" s="949" t="n"/>
    </row>
    <row r="45" ht="13.5" customFormat="1" customHeight="1" s="947">
      <c r="A45" s="592" t="n"/>
      <c r="B45" s="592" t="n"/>
      <c r="C45" s="592" t="n"/>
      <c r="D45" s="592" t="n"/>
      <c r="E45" s="949" t="n"/>
      <c r="F45" s="592" t="n"/>
      <c r="G45" s="592" t="n"/>
      <c r="H45" s="592" t="n"/>
      <c r="I45" s="592" t="n"/>
      <c r="J45" s="952" t="n"/>
    </row>
    <row r="46" ht="13.5" customFormat="1" customHeight="1" s="947">
      <c r="A46" s="953" t="inlineStr">
        <is>
          <t>Customer Representative</t>
        </is>
      </c>
      <c r="B46" s="954" t="n"/>
      <c r="C46" s="954" t="n"/>
      <c r="D46" s="954" t="n"/>
      <c r="E46" s="955" t="n"/>
      <c r="F46" s="953" t="inlineStr">
        <is>
          <t>Weatherford Representative</t>
        </is>
      </c>
      <c r="G46" s="955" t="n"/>
      <c r="H46" s="955" t="n"/>
      <c r="I46" s="955" t="n"/>
    </row>
    <row r="47" ht="23.25" customFormat="1" customHeight="1" s="947">
      <c r="A47" s="956" t="n"/>
      <c r="B47" s="955" t="n"/>
      <c r="C47" s="955" t="n"/>
      <c r="D47" s="955" t="n"/>
      <c r="E47" s="955" t="n"/>
      <c r="F47" s="955" t="n"/>
      <c r="G47" s="955" t="n"/>
      <c r="H47" s="955" t="n"/>
      <c r="I47" s="955" t="n"/>
      <c r="J47" s="949" t="n"/>
    </row>
    <row r="48" ht="13.5" customFormat="1" customHeight="1" s="947">
      <c r="A48" s="951" t="n"/>
      <c r="E48" s="955" t="n"/>
      <c r="F48" s="951" t="n"/>
      <c r="J48" s="949" t="n"/>
    </row>
    <row r="49" ht="13.5" customFormat="1" customHeight="1" s="947">
      <c r="A49" s="592" t="n"/>
      <c r="B49" s="592" t="n"/>
      <c r="C49" s="592" t="n"/>
      <c r="D49" s="592" t="n"/>
      <c r="E49" s="955" t="n"/>
      <c r="F49" s="592" t="n"/>
      <c r="G49" s="592" t="n"/>
      <c r="H49" s="592" t="n"/>
      <c r="I49" s="592" t="n"/>
      <c r="J49" s="952" t="n"/>
    </row>
    <row r="50" ht="13.5" customFormat="1" customHeight="1" s="947">
      <c r="A50" s="953" t="inlineStr">
        <is>
          <t>Signature</t>
        </is>
      </c>
      <c r="B50" s="954" t="inlineStr">
        <is>
          <t> </t>
        </is>
      </c>
      <c r="C50" s="954" t="n"/>
      <c r="D50" s="954" t="n"/>
      <c r="E50" s="955" t="n"/>
      <c r="F50" s="953" t="inlineStr">
        <is>
          <t>Signature</t>
        </is>
      </c>
      <c r="G50" s="955" t="n"/>
      <c r="H50" s="955" t="n"/>
      <c r="I50" s="955" t="n"/>
    </row>
    <row r="51" ht="13.5" customFormat="1" customHeight="1" s="947">
      <c r="A51" s="948" t="n"/>
      <c r="B51" s="949" t="n"/>
      <c r="C51" s="949" t="n"/>
      <c r="D51" s="949" t="n"/>
      <c r="E51" s="949" t="n"/>
      <c r="F51" s="949" t="n"/>
      <c r="G51" s="949" t="n"/>
      <c r="H51" s="949" t="n"/>
      <c r="I51" s="949" t="n"/>
      <c r="J51" s="949" t="n"/>
    </row>
    <row r="52" ht="12.75" customFormat="1" customHeight="1" s="947">
      <c r="A52" s="948" t="n"/>
      <c r="B52" s="957" t="n"/>
      <c r="C52" s="957" t="n"/>
      <c r="D52" s="957" t="n"/>
      <c r="E52" s="957" t="n"/>
      <c r="F52" s="957" t="n"/>
      <c r="G52" s="957" t="n"/>
      <c r="H52" s="957" t="n"/>
      <c r="I52" s="957" t="n"/>
      <c r="J52" s="957" t="n"/>
    </row>
    <row r="53" ht="13.5" customHeight="1" s="557">
      <c r="A53" s="958"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557"/>
    <row r="55" ht="13.5" customHeight="1" s="557"/>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tabColor rgb="FF00B050"/>
    <outlinePr summaryBelow="1" summaryRight="1"/>
    <pageSetUpPr fitToPage="1"/>
  </sheetPr>
  <dimension ref="A1:V117"/>
  <sheetViews>
    <sheetView showFormulas="0" showGridLines="0" showRowColHeaders="1" showZeros="1" rightToLeft="0" tabSelected="0" showOutlineSymbols="1" defaultGridColor="1" view="pageBreakPreview" topLeftCell="A1" colorId="64" zoomScale="85" zoomScaleNormal="145" zoomScalePageLayoutView="85" workbookViewId="0">
      <selection pane="topLeft" activeCell="B10" activeCellId="0" sqref="B10"/>
    </sheetView>
  </sheetViews>
  <sheetFormatPr baseColWidth="8" defaultColWidth="8.59765625" defaultRowHeight="14.25" zeroHeight="0" outlineLevelRow="0"/>
  <cols>
    <col width="5.66" customWidth="1" style="959" min="1" max="1"/>
    <col width="1.44" customWidth="1" style="606" min="2" max="2"/>
    <col width="12.55" customWidth="1" style="606" min="3" max="3"/>
    <col width="14.11" customWidth="1" style="606" min="4" max="4"/>
    <col width="16" customWidth="1" style="606" min="5" max="5"/>
    <col width="11.78" customWidth="1" style="606" min="6" max="6"/>
    <col width="8.890000000000001" customWidth="1" style="606" min="7" max="7"/>
    <col width="9.56" customWidth="1" style="606" min="8" max="8"/>
    <col width="10.22" customWidth="1" style="606" min="9" max="10"/>
    <col width="15.33" customWidth="1" style="606" min="11" max="11"/>
    <col width="50" customWidth="1" style="606" min="12" max="12"/>
  </cols>
  <sheetData>
    <row r="1" ht="15" customFormat="1" customHeight="1" s="960">
      <c r="A1" s="961" t="n"/>
      <c r="B1" s="962" t="inlineStr">
        <is>
          <t xml:space="preserve">RUNNING PROCEDURE : </t>
        </is>
      </c>
      <c r="C1" s="963" t="n"/>
      <c r="D1" s="963" t="n"/>
      <c r="F1" s="964" t="n"/>
      <c r="G1" s="964" t="n"/>
      <c r="H1" s="964" t="n"/>
      <c r="I1" s="964" t="n"/>
      <c r="J1" s="964" t="n"/>
      <c r="K1" s="965" t="n"/>
      <c r="M1" s="966" t="n"/>
      <c r="N1" s="966" t="n"/>
      <c r="O1" s="966" t="n"/>
      <c r="P1" s="966" t="n"/>
      <c r="Q1" s="966" t="n"/>
      <c r="R1" s="966" t="n"/>
      <c r="S1" s="966" t="n"/>
      <c r="T1" s="966" t="n"/>
      <c r="U1" s="966" t="n"/>
    </row>
    <row r="2" ht="24.45" customFormat="1" customHeight="1" s="960">
      <c r="A2" s="961" t="n"/>
      <c r="B2" s="967" t="n"/>
      <c r="C2" s="968" t="inlineStr">
        <is>
          <t>Well  :</t>
        </is>
      </c>
      <c r="D2" s="969">
        <f>MS2!I9</f>
        <v/>
      </c>
      <c r="E2" s="968" t="inlineStr">
        <is>
          <t>Rig   :</t>
        </is>
      </c>
      <c r="F2" s="970">
        <f>MS2!I8</f>
        <v/>
      </c>
      <c r="G2" s="971" t="n"/>
      <c r="H2" s="971" t="n"/>
      <c r="I2" s="971" t="n"/>
      <c r="J2" s="971" t="n"/>
      <c r="M2" s="972" t="inlineStr">
        <is>
          <t>Annulus Test</t>
        </is>
      </c>
      <c r="N2" s="972" t="inlineStr">
        <is>
          <t>Hanger Test</t>
        </is>
      </c>
      <c r="O2" s="972" t="inlineStr">
        <is>
          <t>CL Test</t>
        </is>
      </c>
      <c r="P2" s="973" t="n"/>
      <c r="Q2" s="973" t="inlineStr">
        <is>
          <t xml:space="preserve">PRESSURE UP TBG TO </t>
        </is>
      </c>
      <c r="R2" s="973" t="inlineStr">
        <is>
          <t xml:space="preserve"> PSI / 10 MINS TO SET PKR, INCREASE TO </t>
        </is>
      </c>
      <c r="S2" s="973" t="inlineStr">
        <is>
          <t xml:space="preserve"> / 30 MINS TO TEST TBG</t>
        </is>
      </c>
      <c r="T2" s="973" t="n"/>
      <c r="U2" s="973" t="n"/>
      <c r="V2" s="974" t="n"/>
    </row>
    <row r="3" ht="28.5" customFormat="1" customHeight="1" s="960">
      <c r="A3" s="961" t="n"/>
      <c r="B3" s="967" t="n"/>
      <c r="C3" s="968" t="inlineStr">
        <is>
          <t>CWLE :</t>
        </is>
      </c>
      <c r="D3" s="962" t="inlineStr">
        <is>
          <t xml:space="preserve">MAHMOUD </t>
        </is>
      </c>
      <c r="E3" s="968" t="inlineStr">
        <is>
          <t>DS   :</t>
        </is>
      </c>
      <c r="F3" s="970" t="n"/>
      <c r="G3" s="967" t="n"/>
      <c r="H3" s="967" t="n"/>
      <c r="I3" s="967" t="n"/>
      <c r="J3" s="967" t="n"/>
      <c r="M3" s="972" t="inlineStr">
        <is>
          <t>3500 PSI</t>
        </is>
      </c>
      <c r="N3" s="972" t="inlineStr">
        <is>
          <t>5000 PSI</t>
        </is>
      </c>
      <c r="O3" s="972" t="inlineStr">
        <is>
          <t>5000 PSI</t>
        </is>
      </c>
      <c r="P3" s="973" t="n"/>
      <c r="Q3" s="973" t="inlineStr">
        <is>
          <t xml:space="preserve">PRESSURE TEST ANNULUS TO </t>
        </is>
      </c>
      <c r="R3" s="973" t="inlineStr">
        <is>
          <t xml:space="preserve"> / 30 MINS. OBSERVE TBG FOR RETURN</t>
        </is>
      </c>
      <c r="S3" s="973" t="n"/>
      <c r="T3" s="973" t="n"/>
      <c r="U3" s="973" t="n"/>
      <c r="V3" s="974" t="n"/>
    </row>
    <row r="4" ht="14.25" customFormat="1" customHeight="1" s="960">
      <c r="A4" s="961" t="n"/>
      <c r="C4" s="975" t="n"/>
      <c r="D4" s="976" t="n"/>
      <c r="E4" s="977" t="n"/>
      <c r="F4" s="978" t="n"/>
      <c r="G4" s="978" t="n"/>
      <c r="H4" s="978" t="n"/>
      <c r="I4" s="978" t="n"/>
      <c r="J4" s="978" t="n"/>
      <c r="K4" s="978" t="n"/>
      <c r="M4" s="973" t="n"/>
      <c r="N4" s="973" t="n"/>
      <c r="O4" s="973" t="n"/>
      <c r="P4" s="973" t="n"/>
      <c r="Q4" s="973" t="n"/>
      <c r="R4" s="973" t="n"/>
      <c r="S4" s="973" t="n"/>
      <c r="T4" s="973" t="n"/>
      <c r="U4" s="973" t="n"/>
      <c r="V4" s="974" t="n"/>
    </row>
    <row r="5" ht="17.35" customFormat="1" customHeight="1" s="960">
      <c r="A5" s="979" t="n"/>
      <c r="B5" s="980" t="n"/>
      <c r="C5" s="981" t="inlineStr">
        <is>
          <t xml:space="preserve">NOTES : </t>
        </is>
      </c>
      <c r="D5" s="980" t="n"/>
      <c r="E5" s="980" t="n"/>
      <c r="F5" s="980" t="n"/>
      <c r="G5" s="980" t="n"/>
      <c r="H5" s="980" t="n"/>
      <c r="I5" s="980" t="n"/>
      <c r="J5" s="980" t="n"/>
      <c r="K5" s="980" t="n"/>
      <c r="L5" s="980" t="n"/>
      <c r="M5" s="966" t="n"/>
      <c r="N5" s="966" t="n"/>
      <c r="O5" s="966" t="n"/>
      <c r="P5" s="966" t="n"/>
      <c r="Q5" s="966" t="n"/>
      <c r="R5" s="966" t="n"/>
      <c r="S5" s="966" t="n"/>
      <c r="T5" s="966" t="n"/>
      <c r="U5" s="966" t="n"/>
    </row>
    <row r="6" ht="17.35" customFormat="1" customHeight="1" s="960">
      <c r="A6" s="982" t="n">
        <v>1</v>
      </c>
      <c r="B6" s="983" t="inlineStr">
        <is>
          <t xml:space="preserve"> USE FILTRATION UNIT FOR COMPLETION FLUID. COMPLETION FLUID TO BE USED ALL THE TIME.</t>
        </is>
      </c>
      <c r="M6" s="984" t="n"/>
      <c r="N6" s="966" t="n"/>
      <c r="O6" s="966" t="n"/>
      <c r="P6" s="966" t="n"/>
      <c r="Q6" s="966" t="n"/>
      <c r="R6" s="966" t="n"/>
      <c r="S6" s="966" t="n"/>
      <c r="T6" s="966" t="n"/>
      <c r="U6" s="966" t="n"/>
    </row>
    <row r="7" ht="17.35" customFormat="1" customHeight="1" s="960">
      <c r="A7" s="982" t="n">
        <v>2</v>
      </c>
      <c r="B7" s="983" t="inlineStr">
        <is>
          <t>ENSURE THE WELL HOLE IS CENTRALLY ALIGNED BEFORE RIH COMPLETION</t>
        </is>
      </c>
      <c r="M7" s="984" t="n"/>
      <c r="N7" s="966" t="n"/>
      <c r="O7" s="966" t="n"/>
      <c r="P7" s="966" t="n"/>
      <c r="Q7" s="966" t="n"/>
      <c r="R7" s="966" t="n"/>
      <c r="S7" s="966" t="n"/>
      <c r="T7" s="966" t="n"/>
      <c r="U7" s="966" t="n"/>
    </row>
    <row r="8" ht="17.35" customFormat="1" customHeight="1" s="960">
      <c r="A8" s="982" t="n">
        <v>3</v>
      </c>
      <c r="B8" s="983" t="inlineStr">
        <is>
          <t>SAFETY VALVE WITH REQUIRED X-OVERS TO BE READY AND AVAILABLE ON THE RIG FLOOR FOR USE IN DUE TIME</t>
        </is>
      </c>
      <c r="M8" s="984" t="n"/>
      <c r="N8" s="966" t="n"/>
      <c r="O8" s="966" t="n"/>
      <c r="P8" s="966" t="n"/>
      <c r="Q8" s="966" t="n"/>
      <c r="R8" s="966" t="n"/>
      <c r="S8" s="966" t="n"/>
      <c r="T8" s="966" t="n"/>
      <c r="U8" s="966" t="n"/>
    </row>
    <row r="9" ht="17.35" customFormat="1" customHeight="1" s="960">
      <c r="A9" s="982" t="n">
        <v>4</v>
      </c>
      <c r="B9" s="983" t="inlineStr">
        <is>
          <t>USE SAFETY CLAMP ON STRING TILL REQUIRED STRING WEIGHT IS ACHIEVED  TILL 20K +-</t>
        </is>
      </c>
      <c r="M9" s="984" t="n"/>
      <c r="N9" s="966" t="n"/>
      <c r="O9" s="966" t="n"/>
      <c r="P9" s="966" t="n"/>
      <c r="Q9" s="966" t="n"/>
      <c r="R9" s="966" t="n"/>
      <c r="S9" s="966" t="n"/>
      <c r="T9" s="966" t="n"/>
      <c r="U9" s="966" t="n"/>
    </row>
    <row r="10" ht="17.35" customFormat="1" customHeight="1" s="960">
      <c r="A10" s="982" t="n">
        <v>5</v>
      </c>
      <c r="B10" s="983" t="inlineStr">
        <is>
          <t>IF ANY TUBING DAMAGE (DIRECTLY REPLACE), IF FOUND OVER TORQUE - COMMUNICATE W/ THREAD INSPECTOR</t>
        </is>
      </c>
      <c r="M10" s="984" t="n"/>
      <c r="N10" s="966" t="n"/>
      <c r="O10" s="966" t="n"/>
      <c r="P10" s="966" t="n"/>
      <c r="Q10" s="966" t="n"/>
      <c r="R10" s="966" t="n"/>
      <c r="S10" s="966" t="n"/>
      <c r="T10" s="966" t="n"/>
      <c r="U10" s="966" t="n"/>
    </row>
    <row r="11" ht="17.35" customFormat="1" customHeight="1" s="960">
      <c r="A11" s="982" t="n">
        <v>6</v>
      </c>
      <c r="B11" s="983" t="inlineStr">
        <is>
          <t xml:space="preserve"> COVER THE HOLE WHILE PERFORMING ANY TASK OVER THE ROTARY</t>
        </is>
      </c>
      <c r="M11" s="984" t="n"/>
      <c r="N11" s="966" t="n"/>
      <c r="O11" s="966" t="n"/>
      <c r="P11" s="966" t="n"/>
      <c r="Q11" s="966" t="n"/>
      <c r="R11" s="966" t="n"/>
      <c r="S11" s="966" t="n"/>
      <c r="T11" s="966" t="n"/>
      <c r="U11" s="966" t="n"/>
    </row>
    <row r="12" ht="17.35" customFormat="1" customHeight="1" s="960">
      <c r="A12" s="982" t="n">
        <v>7</v>
      </c>
      <c r="B12" s="983" t="inlineStr">
        <is>
          <t>AFTER M/UP TRSV, CARE SHOULD BE TAKEN WHILE SETTING SLIPS NOT TO CRUSH CONTROL LINE</t>
        </is>
      </c>
      <c r="M12" s="984" t="n"/>
      <c r="N12" s="966" t="n"/>
      <c r="O12" s="966" t="n"/>
      <c r="P12" s="966" t="n"/>
      <c r="Q12" s="966" t="n"/>
      <c r="R12" s="966" t="n"/>
      <c r="S12" s="966" t="n"/>
      <c r="T12" s="966" t="n"/>
      <c r="U12" s="966" t="n"/>
    </row>
    <row r="13" ht="17.35" customFormat="1" customHeight="1" s="960">
      <c r="A13" s="982" t="n">
        <v>8</v>
      </c>
      <c r="B13" s="983" t="inlineStr">
        <is>
          <t>USE THE MINIMUM AMOUNT OF PIPE DOPE WITH PAINT BRUSH AND ONLY IN PIN SIDE</t>
        </is>
      </c>
      <c r="M13" s="984" t="n"/>
      <c r="N13" s="966" t="n"/>
      <c r="O13" s="966" t="n"/>
      <c r="P13" s="966" t="n"/>
      <c r="Q13" s="966" t="n"/>
      <c r="R13" s="966" t="n"/>
      <c r="S13" s="966" t="n"/>
      <c r="T13" s="966" t="n"/>
      <c r="U13" s="966" t="n"/>
    </row>
    <row r="14" ht="17.35" customFormat="1" customHeight="1" s="960">
      <c r="A14" s="982" t="n">
        <v>9</v>
      </c>
      <c r="B14" s="983" t="inlineStr">
        <is>
          <t>WELLHEAD ENGR TO ENSURE THE LOCKDOWN SCREWS RETRACTED BEFORE START RIH.</t>
        </is>
      </c>
      <c r="M14" s="984" t="n"/>
      <c r="N14" s="966" t="n"/>
      <c r="O14" s="966" t="n"/>
      <c r="P14" s="966" t="n"/>
      <c r="Q14" s="966" t="n"/>
      <c r="R14" s="966" t="n"/>
      <c r="S14" s="966" t="n"/>
      <c r="T14" s="966" t="n"/>
      <c r="U14" s="966" t="n"/>
    </row>
    <row r="15" ht="14.25" customFormat="1" customHeight="1" s="960">
      <c r="A15" s="985" t="inlineStr">
        <is>
          <t xml:space="preserve">        IMPORTANT NOTES:-   </t>
        </is>
      </c>
      <c r="B15" s="759" t="n"/>
      <c r="C15" s="759" t="n"/>
      <c r="D15" s="759" t="n"/>
      <c r="E15" s="759" t="n"/>
      <c r="F15" s="759" t="n"/>
      <c r="G15" s="759" t="n"/>
      <c r="H15" s="759" t="n"/>
      <c r="I15" s="759" t="n"/>
      <c r="J15" s="759" t="n"/>
      <c r="K15" s="759" t="n"/>
      <c r="L15" s="759" t="n"/>
      <c r="M15" s="984" t="n"/>
      <c r="N15" s="966" t="n"/>
      <c r="O15" s="966" t="n"/>
      <c r="P15" s="966" t="n"/>
      <c r="Q15" s="966" t="n"/>
      <c r="R15" s="966" t="n"/>
      <c r="S15" s="966" t="n"/>
      <c r="T15" s="966" t="n"/>
      <c r="U15" s="966" t="n"/>
    </row>
    <row r="16" ht="10.5" customFormat="1" customHeight="1" s="960">
      <c r="A16" s="711" t="n"/>
      <c r="B16" s="710" t="n"/>
      <c r="C16" s="710" t="n"/>
      <c r="D16" s="710" t="n"/>
      <c r="E16" s="710" t="n"/>
      <c r="F16" s="710" t="n"/>
      <c r="G16" s="710" t="n"/>
      <c r="H16" s="710" t="n"/>
      <c r="I16" s="710" t="n"/>
      <c r="J16" s="710" t="n"/>
      <c r="K16" s="710" t="n"/>
      <c r="L16" s="710" t="n"/>
      <c r="M16" s="984" t="n"/>
      <c r="N16" s="966" t="n"/>
      <c r="O16" s="966" t="n"/>
      <c r="P16" s="966" t="n"/>
      <c r="Q16" s="966" t="n"/>
      <c r="R16" s="966" t="n"/>
      <c r="S16" s="966" t="n"/>
      <c r="T16" s="966" t="n"/>
      <c r="U16" s="966" t="n"/>
    </row>
    <row r="17" ht="82.5" customFormat="1" customHeight="1" s="960">
      <c r="A17" s="986" t="inlineStr">
        <is>
          <t>NO FILL-UP BY MUD PUMP / SUPERCHARGER.USE  HOSE TO FILL THE COMPLETION STRING, AND ENSURE THE TUBING IS FULL BEFORE PROCEEDING WITH RIH FOR THE FIRST 5 JOINTS. AFTER EVERY 10 JOINTS, PERFORM FILL-UP.</t>
        </is>
      </c>
      <c r="B17" s="561" t="n"/>
      <c r="C17" s="561" t="n"/>
      <c r="D17" s="561" t="n"/>
      <c r="E17" s="561" t="n"/>
      <c r="F17" s="561" t="n"/>
      <c r="G17" s="561" t="n"/>
      <c r="H17" s="561" t="n"/>
      <c r="I17" s="561" t="n"/>
      <c r="J17" s="561" t="n"/>
      <c r="K17" s="561" t="n"/>
      <c r="L17" s="561" t="n"/>
      <c r="M17" s="987" t="n"/>
      <c r="N17" s="966" t="n"/>
      <c r="O17" s="966" t="n"/>
      <c r="P17" s="966" t="n"/>
      <c r="Q17" s="966" t="n"/>
      <c r="R17" s="966" t="n"/>
      <c r="S17" s="966" t="n"/>
      <c r="T17" s="966" t="n"/>
      <c r="U17" s="966" t="n"/>
    </row>
    <row r="18" ht="21" customFormat="1" customHeight="1" s="960">
      <c r="A18" s="988" t="inlineStr">
        <is>
          <t>●  DRILLER TO MAKE SURE KEEP ANNULUS FILLED ALL THE TIME BY RUNNING FROM TRIP TANK	&amp; TRIP SHEET FILLED</t>
        </is>
      </c>
      <c r="B18" s="759" t="n"/>
      <c r="C18" s="759" t="n"/>
      <c r="D18" s="759" t="n"/>
      <c r="E18" s="759" t="n"/>
      <c r="F18" s="759" t="n"/>
      <c r="G18" s="759" t="n"/>
      <c r="H18" s="759" t="n"/>
      <c r="I18" s="759" t="n"/>
      <c r="J18" s="759" t="n"/>
      <c r="K18" s="759" t="n"/>
      <c r="L18" s="759" t="n"/>
      <c r="M18" s="987" t="n"/>
      <c r="N18" s="966" t="n"/>
      <c r="O18" s="966" t="n"/>
      <c r="P18" s="966" t="n"/>
      <c r="Q18" s="966" t="n"/>
      <c r="R18" s="966" t="n"/>
      <c r="S18" s="966" t="n"/>
      <c r="T18" s="966" t="n"/>
      <c r="U18" s="966" t="n"/>
    </row>
    <row r="19" ht="27" customFormat="1" customHeight="1" s="960">
      <c r="A19" s="989" t="inlineStr">
        <is>
          <t>● BEFORE FILLING UP THE TUBING, MAKE SURE TO GET CLEAR BRINE ON THE RIG FLOOR AND FLUSH THE SURFACE LINES. DO NOT PROCEED UNTIL CLEAR BRINE IS OBSERVED ON THE RIG FLOOR</t>
        </is>
      </c>
      <c r="M19" s="987" t="n"/>
      <c r="N19" s="966" t="n"/>
      <c r="O19" s="966" t="n"/>
      <c r="P19" s="966" t="n"/>
      <c r="Q19" s="966" t="n"/>
      <c r="R19" s="966" t="n"/>
      <c r="S19" s="966" t="n"/>
      <c r="T19" s="966" t="n"/>
      <c r="U19" s="966" t="n"/>
    </row>
    <row r="20" ht="19.5" customFormat="1" customHeight="1" s="960">
      <c r="A20" s="989" t="inlineStr">
        <is>
          <t xml:space="preserve">●  NO SLACK OFF WEIGHT ON PACKER  MORE THAN 3 TO 4KIPS . NOTE:- CONTROL RUNNING SPEED INSIDE 7" CASING DURING RIH,   NO JERKING &amp; ROTATION.			                                      		                                                           </t>
        </is>
      </c>
      <c r="M20" s="987" t="n"/>
      <c r="N20" s="966" t="n"/>
      <c r="O20" s="966" t="n"/>
      <c r="P20" s="966" t="n"/>
      <c r="Q20" s="966" t="n"/>
      <c r="R20" s="966" t="n"/>
      <c r="S20" s="966" t="n"/>
      <c r="T20" s="966" t="n"/>
      <c r="U20" s="966" t="n"/>
    </row>
    <row r="21" ht="30.75" customFormat="1" customHeight="1" s="960">
      <c r="A21" s="989" t="inlineStr">
        <is>
          <t>● EXTRA CARE TO BE TAKEN AT TOL TO PREVENT IMPACT BECAUSE IF IMPACTED THE SUDDEN STOP CAN CAUSE A HAMMER EFFECT ON THE TOOL RESULTING IN A POSSIBLE COMPLETE CYCLE   . NO JERKING ALLOWED CONTROL RUNNING SPEED</t>
        </is>
      </c>
      <c r="M21" s="987" t="n"/>
      <c r="N21" s="966" t="n"/>
      <c r="O21" s="966" t="n"/>
      <c r="P21" s="966" t="n"/>
      <c r="Q21" s="966" t="n"/>
      <c r="R21" s="966" t="n"/>
      <c r="S21" s="966" t="n"/>
      <c r="T21" s="966" t="n"/>
      <c r="U21" s="966" t="n"/>
    </row>
    <row r="22" ht="17.25" customFormat="1" customHeight="1" s="960">
      <c r="A22" s="990" t="inlineStr">
        <is>
          <t xml:space="preserve"> ●  IN A POSSIBLE COMPLETE CYCLE  NO JERKING ALLOWED CONTROL RUNNING SPEED    in 9-5/8" 60 FT /MIN )   in 7"   (45 FT/MIN)  LINER REDUCE RUNNING SPEED  </t>
        </is>
      </c>
      <c r="M22" s="987" t="n"/>
      <c r="N22" s="966" t="n"/>
      <c r="O22" s="966" t="n"/>
      <c r="P22" s="966" t="n"/>
      <c r="Q22" s="966" t="n"/>
      <c r="R22" s="966" t="n"/>
      <c r="S22" s="966" t="n"/>
      <c r="T22" s="966" t="n"/>
      <c r="U22" s="966" t="n"/>
    </row>
    <row r="23" ht="31.5" customFormat="1" customHeight="1" s="960">
      <c r="A23" s="991" t="inlineStr">
        <is>
          <t>CAUTION: RUNNING SPEED OF THE PACKER IS LIMITED TO MAXIMUM RATE OF A 60-FT STAND/30 SEC. EXCEEDING THE SPECIFIED RUNNING SPEED MAY CAUSE DAMAGE TO THE PACKER. REDUCE RUNNING SPEED WHILE PASSING THE PACKER THROUGH RESTRICTIONS</t>
        </is>
      </c>
      <c r="M23" s="987" t="n"/>
      <c r="N23" s="966" t="n"/>
      <c r="O23" s="966" t="n"/>
      <c r="P23" s="966" t="n"/>
      <c r="Q23" s="966" t="n"/>
      <c r="R23" s="966" t="n"/>
      <c r="S23" s="966" t="n"/>
      <c r="T23" s="966" t="n"/>
      <c r="U23" s="966" t="n"/>
    </row>
    <row r="24" ht="18" customFormat="1" customHeight="1" s="960">
      <c r="A24" s="992" t="n"/>
      <c r="M24" s="987" t="n"/>
      <c r="N24" s="966" t="n"/>
      <c r="O24" s="966" t="n"/>
      <c r="P24" s="966" t="n"/>
      <c r="Q24" s="966" t="n"/>
      <c r="R24" s="966" t="n"/>
      <c r="S24" s="966" t="n"/>
      <c r="T24" s="966" t="n"/>
      <c r="U24" s="966" t="n"/>
    </row>
    <row r="25" ht="18" customFormat="1" customHeight="1" s="960">
      <c r="A25" s="993" t="inlineStr">
        <is>
          <t xml:space="preserve"> ● WHILE PICK UP THE GAS LIFT MANDREL EXTRA CARE SHOULD BE TAKEN AS THERE IS EXTERNAL DVX CHECK VALVES INSTALLED</t>
        </is>
      </c>
      <c r="M25" s="987" t="n"/>
      <c r="N25" s="966" t="n"/>
      <c r="O25" s="966" t="n"/>
      <c r="P25" s="966" t="n"/>
      <c r="Q25" s="966" t="n"/>
      <c r="R25" s="966" t="n"/>
      <c r="S25" s="966" t="n"/>
      <c r="T25" s="966" t="n"/>
      <c r="U25" s="966" t="n"/>
    </row>
    <row r="26" ht="18" customFormat="1" customHeight="1" s="960">
      <c r="A26" s="994" t="inlineStr">
        <is>
          <t xml:space="preserve">●  REMOVE WEAR BUSHING AND CHECK WB CONDITION.  </t>
        </is>
      </c>
      <c r="M26" s="987" t="n"/>
      <c r="N26" s="966" t="n"/>
      <c r="O26" s="966" t="n"/>
      <c r="P26" s="966" t="n"/>
      <c r="Q26" s="966" t="n"/>
      <c r="R26" s="966" t="n"/>
      <c r="S26" s="966" t="n"/>
      <c r="T26" s="966" t="n"/>
      <c r="U26" s="966" t="n"/>
    </row>
    <row r="27" ht="15" customFormat="1" customHeight="1" s="960">
      <c r="A27" s="994" t="inlineStr">
        <is>
          <t xml:space="preserve">●  PERFORM PJSM (PRE JOB SAFETY MEETING)- FOR TRS RIG UP </t>
        </is>
      </c>
      <c r="M27" s="987" t="n"/>
      <c r="N27" s="966" t="n"/>
      <c r="O27" s="966" t="n"/>
      <c r="P27" s="966" t="n"/>
      <c r="Q27" s="966" t="n"/>
      <c r="R27" s="966" t="n"/>
      <c r="S27" s="966" t="n"/>
      <c r="T27" s="966" t="n"/>
      <c r="U27" s="966" t="n"/>
    </row>
    <row r="28" ht="15" customFormat="1" customHeight="1" s="995">
      <c r="A28" s="996" t="n"/>
      <c r="B28" s="997" t="n"/>
      <c r="C28" s="998" t="n"/>
      <c r="D28" s="999" t="n"/>
      <c r="E28" s="999" t="n"/>
      <c r="F28" s="999" t="n"/>
      <c r="G28" s="999" t="n"/>
      <c r="H28" s="999" t="n"/>
      <c r="I28" s="999" t="n"/>
      <c r="J28" s="999" t="n"/>
      <c r="K28" s="999" t="n"/>
      <c r="L28" s="999" t="n"/>
      <c r="M28" s="1000" t="n"/>
      <c r="N28" s="1000" t="n"/>
      <c r="O28" s="1000" t="n"/>
      <c r="P28" s="1000" t="n"/>
      <c r="Q28" s="1000" t="n"/>
      <c r="R28" s="1000" t="n"/>
      <c r="S28" s="1000" t="n"/>
      <c r="T28" s="1000" t="n"/>
      <c r="U28" s="1000" t="n"/>
    </row>
    <row r="29" ht="15" customFormat="1" customHeight="1" s="1001">
      <c r="A29" s="1002" t="inlineStr">
        <is>
          <t xml:space="preserve">1) </t>
        </is>
      </c>
      <c r="B29" s="1003" t="n"/>
      <c r="C29" s="1004" t="inlineStr">
        <is>
          <t>P/U ASSY</t>
        </is>
      </c>
      <c r="D29" s="1005" t="inlineStr">
        <is>
          <t>A</t>
        </is>
      </c>
      <c r="E29" s="1004" t="n"/>
      <c r="F29" s="1006" t="inlineStr">
        <is>
          <t xml:space="preserve">WIRELINE ENTRY GUIDE       SN: 16339547-10-008              PN 2996481 </t>
        </is>
      </c>
      <c r="G29" s="1006" t="n"/>
      <c r="H29" s="1006" t="n"/>
      <c r="I29" s="1006" t="n"/>
      <c r="J29" s="1007" t="n"/>
      <c r="K29" s="1007" t="n"/>
      <c r="L29" s="1007" t="n"/>
    </row>
    <row r="30" ht="11.25" customFormat="1" customHeight="1" s="995">
      <c r="A30" s="996" t="n"/>
      <c r="B30" s="997" t="n"/>
      <c r="C30" s="998" t="n"/>
      <c r="D30" s="1008" t="n"/>
      <c r="E30" s="998" t="n"/>
      <c r="F30" s="1009" t="n"/>
      <c r="G30" s="1009" t="n"/>
      <c r="H30" s="1009" t="n"/>
      <c r="I30" s="1009" t="n"/>
      <c r="J30" s="999" t="n"/>
      <c r="K30" s="999" t="n"/>
      <c r="L30" s="999" t="n"/>
      <c r="M30" s="1000" t="n"/>
    </row>
    <row r="31" ht="15" customFormat="1" customHeight="1" s="995">
      <c r="A31" s="996" t="inlineStr">
        <is>
          <t xml:space="preserve">2) </t>
        </is>
      </c>
      <c r="B31" s="997" t="n"/>
      <c r="C31" s="998" t="inlineStr">
        <is>
          <t>M/U TBG JT</t>
        </is>
      </c>
      <c r="D31" s="1010" t="n">
        <v>1</v>
      </c>
      <c r="E31" s="998" t="n"/>
      <c r="F31" s="999" t="n"/>
      <c r="G31" s="1011" t="inlineStr">
        <is>
          <t>44</t>
        </is>
      </c>
      <c r="H31" s="1012">
        <f>G31-D31+1</f>
        <v/>
      </c>
      <c r="I31" s="1013" t="inlineStr">
        <is>
          <t>3-1/2" TUBING 9.2 LB/FT ALLOY 28 TSH BL</t>
        </is>
      </c>
      <c r="L31" s="999" t="n"/>
      <c r="M31" s="1000" t="n"/>
    </row>
    <row r="32" ht="15" customFormat="1" customHeight="1" s="995">
      <c r="A32" s="996" t="n"/>
      <c r="B32" s="997" t="n"/>
      <c r="C32" s="998" t="n"/>
      <c r="D32" s="1014" t="n"/>
      <c r="E32" s="998" t="n"/>
      <c r="F32" s="999" t="n"/>
      <c r="G32" s="1015" t="n"/>
      <c r="H32" s="1016" t="n"/>
      <c r="I32" s="1008" t="n"/>
      <c r="J32" s="1017" t="n"/>
      <c r="K32" s="1018" t="n"/>
      <c r="L32" s="763" t="n"/>
      <c r="M32" s="1000" t="n"/>
    </row>
    <row r="33" ht="15" customFormat="1" customHeight="1" s="995">
      <c r="A33" s="996" t="inlineStr">
        <is>
          <t>3)</t>
        </is>
      </c>
      <c r="B33" s="997" t="n"/>
      <c r="C33" s="998" t="inlineStr">
        <is>
          <t>P/U ASSY</t>
        </is>
      </c>
      <c r="D33" s="1019" t="inlineStr">
        <is>
          <t>SP-1</t>
        </is>
      </c>
      <c r="E33" s="998" t="inlineStr">
        <is>
          <t xml:space="preserve"> &amp; RIH</t>
        </is>
      </c>
      <c r="F33" s="1008" t="inlineStr">
        <is>
          <t xml:space="preserve">SWELL PAKER </t>
        </is>
      </c>
      <c r="J33" s="1020" t="n"/>
      <c r="K33" s="812" t="n"/>
      <c r="L33" s="673" t="n"/>
      <c r="M33" s="1000" t="n"/>
    </row>
    <row r="34" ht="15" customFormat="1" customHeight="1" s="995">
      <c r="A34" s="996" t="n"/>
      <c r="B34" s="997" t="n"/>
      <c r="C34" s="998" t="n"/>
      <c r="D34" s="1008" t="n"/>
      <c r="E34" s="998" t="n"/>
      <c r="F34" s="1008" t="n"/>
      <c r="G34" s="1008" t="n"/>
      <c r="H34" s="1008" t="n"/>
      <c r="I34" s="1008" t="n"/>
      <c r="J34" s="1021" t="n"/>
      <c r="K34" s="711" t="n"/>
      <c r="L34" s="771" t="n"/>
      <c r="M34" s="1000" t="n"/>
    </row>
    <row r="35" ht="15" customFormat="1" customHeight="1" s="995">
      <c r="A35" s="996" t="inlineStr">
        <is>
          <t>4)</t>
        </is>
      </c>
      <c r="B35" s="997" t="n"/>
      <c r="C35" s="998" t="inlineStr">
        <is>
          <t>M/U TBG JT</t>
        </is>
      </c>
      <c r="D35" s="1010" t="n">
        <v>67</v>
      </c>
      <c r="E35" s="998" t="n"/>
      <c r="F35" s="999" t="n"/>
      <c r="G35" s="1011" t="inlineStr">
        <is>
          <t>145</t>
        </is>
      </c>
      <c r="H35" s="1012">
        <f>G35-D35+1</f>
        <v/>
      </c>
      <c r="I35" s="1013" t="inlineStr">
        <is>
          <t>3-1/2" TUBING 9.2 LB/FT ALLOY 28 TSH BL</t>
        </is>
      </c>
      <c r="L35" s="999" t="n"/>
      <c r="M35" s="1000" t="n"/>
    </row>
    <row r="36" ht="15" customFormat="1" customHeight="1" s="995">
      <c r="A36" s="1022" t="n"/>
      <c r="B36" s="999" t="n"/>
      <c r="C36" s="1023" t="n"/>
      <c r="D36" s="1023" t="n"/>
      <c r="E36" s="1023" t="n"/>
      <c r="F36" s="1023" t="n"/>
      <c r="G36" s="1023" t="n"/>
      <c r="H36" s="1023" t="n"/>
      <c r="I36" s="1023" t="n"/>
      <c r="J36" s="1023" t="n"/>
      <c r="K36" s="1023" t="n"/>
      <c r="L36" s="999" t="n"/>
      <c r="M36" s="1024" t="n"/>
    </row>
    <row r="37" ht="18" customFormat="1" customHeight="1" s="995">
      <c r="A37" s="996" t="inlineStr">
        <is>
          <t>5)</t>
        </is>
      </c>
      <c r="B37" s="997" t="n"/>
      <c r="C37" s="998" t="inlineStr">
        <is>
          <t>P/U ASSY</t>
        </is>
      </c>
      <c r="D37" s="1019" t="inlineStr">
        <is>
          <t>B</t>
        </is>
      </c>
      <c r="E37" s="998" t="inlineStr">
        <is>
          <t xml:space="preserve"> &amp; RIH</t>
        </is>
      </c>
      <c r="F37" s="1025" t="inlineStr">
        <is>
          <t>3-1/2" MCBD NINE-DH  BARRIER DEVICE</t>
        </is>
      </c>
      <c r="I37" s="673" t="n"/>
      <c r="J37" s="1017" t="n"/>
      <c r="K37" s="1018" t="inlineStr">
        <is>
          <t xml:space="preserve">FILL UP BY HOSE ONLY  NO MUD PUMP  OR SUPERCHARGER </t>
        </is>
      </c>
      <c r="L37" s="763" t="n"/>
      <c r="M37" s="1000" t="n"/>
    </row>
    <row r="38" ht="20.25" customFormat="1" customHeight="1" s="995">
      <c r="A38" s="1022" t="n"/>
      <c r="B38" s="999" t="n"/>
      <c r="C38" s="1023" t="n"/>
      <c r="D38" s="1023" t="n"/>
      <c r="E38" s="1023" t="n"/>
      <c r="F38" s="1026" t="n"/>
      <c r="G38" s="1026" t="n"/>
      <c r="H38" s="1026" t="n"/>
      <c r="I38" s="1026" t="n"/>
      <c r="J38" s="1020" t="inlineStr">
        <is>
          <t xml:space="preserve">FILL UP </t>
        </is>
      </c>
      <c r="K38" s="812" t="n"/>
      <c r="L38" s="673" t="n"/>
      <c r="M38" s="1024" t="n"/>
    </row>
    <row r="39" ht="14.25" customFormat="1" customHeight="1" s="995">
      <c r="A39" s="1022" t="n"/>
      <c r="B39" s="999" t="n"/>
      <c r="C39" s="1023" t="n"/>
      <c r="D39" s="1023" t="n"/>
      <c r="E39" s="1023" t="n"/>
      <c r="F39" s="1027" t="n"/>
      <c r="G39" s="1023" t="n"/>
      <c r="H39" s="1023" t="n"/>
      <c r="I39" s="1023" t="n"/>
      <c r="J39" s="1021" t="n"/>
      <c r="K39" s="711" t="n"/>
      <c r="L39" s="771" t="n"/>
      <c r="M39" s="1024" t="n"/>
    </row>
    <row r="40" ht="1.5" customFormat="1" customHeight="1" s="995">
      <c r="A40" s="1022" t="n"/>
      <c r="B40" s="999" t="n"/>
      <c r="C40" s="1028" t="n"/>
      <c r="D40" s="1029" t="n"/>
      <c r="E40" s="1029" t="n"/>
      <c r="F40" s="1027" t="n"/>
      <c r="G40" s="1029" t="n"/>
      <c r="H40" s="1029" t="n"/>
      <c r="I40" s="1029" t="n"/>
      <c r="J40" s="1029" t="n"/>
      <c r="K40" s="1029" t="n"/>
      <c r="L40" s="999" t="n"/>
      <c r="M40" s="1024" t="n"/>
    </row>
    <row r="41" ht="15" customFormat="1" customHeight="1" s="995">
      <c r="A41" s="1022" t="n"/>
      <c r="B41" s="999" t="n"/>
      <c r="C41" s="1030" t="inlineStr">
        <is>
          <t xml:space="preserve">●	CONTROL RUNNING SPEED NO JERKING OR OVER SLACK OFF MORE THAN 3 KLBS	</t>
        </is>
      </c>
      <c r="L41" s="999" t="n"/>
      <c r="M41" s="1024" t="n"/>
    </row>
    <row r="42" ht="9.75" customFormat="1" customHeight="1" s="995">
      <c r="A42" s="1022" t="n"/>
      <c r="B42" s="999" t="n"/>
      <c r="L42" s="999" t="n"/>
      <c r="M42" s="1024" t="n"/>
    </row>
    <row r="43" ht="15" customFormat="1" customHeight="1" s="995">
      <c r="A43" s="996" t="inlineStr">
        <is>
          <t>6)</t>
        </is>
      </c>
      <c r="B43" s="997" t="n"/>
      <c r="C43" s="998" t="inlineStr">
        <is>
          <t>M/U TBG JT</t>
        </is>
      </c>
      <c r="D43" s="1010" t="n">
        <v>146</v>
      </c>
      <c r="E43" s="998" t="n"/>
      <c r="F43" s="999" t="n"/>
      <c r="G43" s="1011" t="inlineStr">
        <is>
          <t>147</t>
        </is>
      </c>
      <c r="H43" s="1012">
        <f>G43-D43+1</f>
        <v/>
      </c>
      <c r="I43" s="1013" t="inlineStr">
        <is>
          <t>3-1/2" TUBING 9.2 LB/FT ALLOY 28 TSH BL</t>
        </is>
      </c>
      <c r="L43" s="999" t="n"/>
      <c r="M43" s="1000" t="n"/>
    </row>
    <row r="44" ht="15" customFormat="1" customHeight="1" s="1031">
      <c r="A44" s="1032" t="n"/>
      <c r="B44" s="1033" t="n"/>
      <c r="C44" s="1034" t="inlineStr">
        <is>
          <t>● ALWAYS COVER THE HOLE TO AVOID DROP OBJECT</t>
        </is>
      </c>
      <c r="L44" s="1035" t="n"/>
    </row>
    <row r="45" ht="83.25" customFormat="1" customHeight="1" s="995">
      <c r="A45" s="996" t="inlineStr">
        <is>
          <t>7)</t>
        </is>
      </c>
      <c r="B45" s="997" t="n"/>
      <c r="C45" s="998" t="inlineStr">
        <is>
          <t>P/U ASSY</t>
        </is>
      </c>
      <c r="D45" s="1036" t="inlineStr">
        <is>
          <t>C</t>
        </is>
      </c>
      <c r="E45" s="998" t="inlineStr">
        <is>
          <t xml:space="preserve"> &amp; RIH</t>
        </is>
      </c>
      <c r="F45" s="1037"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024" t="n"/>
    </row>
    <row r="46" ht="17.25" customFormat="1" customHeight="1" s="1038">
      <c r="A46" s="1039" t="n"/>
      <c r="B46" s="1040" t="n"/>
      <c r="C46" s="1034" t="n"/>
      <c r="D46" s="1034" t="n"/>
      <c r="E46" s="1034" t="n"/>
      <c r="F46" s="1041" t="inlineStr">
        <is>
          <t>CHECK NUMBER OF SHEAR SCREW (COMPARE WITH SUB ASSEMBLY DATASHEET), RUBBER ELEMENT CONDITION, SLIPS AND ETC</t>
        </is>
      </c>
      <c r="G46" s="1034" t="n"/>
      <c r="H46" s="1034" t="n"/>
      <c r="I46" s="1034" t="n"/>
      <c r="J46" s="1034" t="n"/>
      <c r="K46" s="1034" t="n"/>
      <c r="L46" s="1042" t="n"/>
    </row>
    <row r="47" ht="15" customFormat="1" customHeight="1" s="1043">
      <c r="A47" s="1044" t="inlineStr">
        <is>
          <t>8)</t>
        </is>
      </c>
      <c r="B47" s="1045" t="n"/>
      <c r="C47" s="1046" t="inlineStr">
        <is>
          <t>M/U TBG JT</t>
        </is>
      </c>
      <c r="D47" s="1047" t="n">
        <v>148</v>
      </c>
      <c r="E47" s="1046" t="inlineStr">
        <is>
          <t xml:space="preserve"> &amp;  RIH TILL TBG JT</t>
        </is>
      </c>
      <c r="F47" s="1027" t="n"/>
      <c r="G47" s="1047" t="n">
        <v>192</v>
      </c>
      <c r="H47" s="1012">
        <f>G47-D47+1</f>
        <v/>
      </c>
      <c r="I47" s="1013" t="inlineStr">
        <is>
          <t>3-1/2" TUBING 9.2 LB/FT ALLOY 28 TSH BL</t>
        </is>
      </c>
      <c r="L47" s="1046" t="n"/>
    </row>
    <row r="48" ht="17.25" customFormat="1" customHeight="1" s="1038">
      <c r="A48" s="1039" t="n"/>
      <c r="B48" s="1040" t="n"/>
      <c r="C48" s="1034" t="n"/>
      <c r="D48" s="1034" t="n"/>
      <c r="E48" s="1034" t="n"/>
      <c r="F48" s="1034" t="n"/>
      <c r="G48" s="1034" t="n"/>
      <c r="H48" s="1034" t="n"/>
      <c r="I48" s="1034" t="n"/>
      <c r="J48" s="1034" t="n"/>
      <c r="K48" s="1034" t="n"/>
      <c r="L48" s="1042" t="n"/>
    </row>
    <row r="49" ht="46.5" customFormat="1" customHeight="1" s="995">
      <c r="A49" s="996" t="inlineStr">
        <is>
          <t>9)</t>
        </is>
      </c>
      <c r="B49" s="997" t="n"/>
      <c r="C49" s="998" t="inlineStr">
        <is>
          <t>P/U ASSY</t>
        </is>
      </c>
      <c r="D49" s="1036" t="inlineStr">
        <is>
          <t>D1</t>
        </is>
      </c>
      <c r="E49" s="998" t="inlineStr">
        <is>
          <t xml:space="preserve"> &amp; RIH</t>
        </is>
      </c>
      <c r="F49" s="1048" t="inlineStr">
        <is>
          <t xml:space="preserve">WEATHERFORD SIDE POCKET MANDREL GROOVED Mandrel, SBRO-2NGRDUMMY                                 </t>
        </is>
      </c>
      <c r="M49" s="1024" t="n"/>
    </row>
    <row r="50" ht="15" customFormat="1" customHeight="1" s="995">
      <c r="A50" s="996" t="inlineStr">
        <is>
          <t>10)</t>
        </is>
      </c>
      <c r="B50" s="997" t="n"/>
      <c r="C50" s="998" t="inlineStr">
        <is>
          <t>M/U TBG JT</t>
        </is>
      </c>
      <c r="D50" s="1010" t="n">
        <v>193</v>
      </c>
      <c r="E50" s="998" t="n"/>
      <c r="F50" s="999" t="n"/>
      <c r="G50" s="1011" t="inlineStr">
        <is>
          <t>207</t>
        </is>
      </c>
      <c r="H50" s="1012">
        <f>G50-D50+1</f>
        <v/>
      </c>
      <c r="I50" s="1013" t="inlineStr">
        <is>
          <t>3-1/2" TUBING 9.2 LB/FT ALLOY 28 TSH BL</t>
        </is>
      </c>
      <c r="L50" s="999" t="n"/>
      <c r="M50" s="1000" t="n"/>
    </row>
    <row r="51" ht="15" customFormat="1" customHeight="1" s="995">
      <c r="A51" s="1022" t="n"/>
      <c r="B51" s="999" t="n"/>
      <c r="C51" s="1023" t="n"/>
      <c r="D51" s="1023" t="n"/>
      <c r="E51" s="1023" t="n"/>
      <c r="F51" s="1023" t="n"/>
      <c r="G51" s="1023" t="n"/>
      <c r="H51" s="1023" t="n"/>
      <c r="I51" s="1023" t="n"/>
      <c r="J51" s="1023" t="n"/>
      <c r="K51" s="1023" t="n"/>
      <c r="L51" s="999" t="n"/>
      <c r="M51" s="1024" t="n"/>
    </row>
    <row r="52" ht="15" customFormat="1" customHeight="1" s="995">
      <c r="A52" s="996" t="inlineStr">
        <is>
          <t>11)</t>
        </is>
      </c>
      <c r="B52" s="997" t="n"/>
      <c r="C52" s="998" t="inlineStr">
        <is>
          <t>P/U ASSY</t>
        </is>
      </c>
      <c r="D52" s="1019" t="inlineStr">
        <is>
          <t>D2</t>
        </is>
      </c>
      <c r="E52" s="998" t="inlineStr">
        <is>
          <t xml:space="preserve"> &amp; RIH</t>
        </is>
      </c>
      <c r="F52" s="1048" t="inlineStr">
        <is>
          <t xml:space="preserve">WEATHERFORD SIDE POCKET MANDREL GROOVED Mandrel, SBRO-2NGRDUMMY                                 </t>
        </is>
      </c>
      <c r="M52" s="1000" t="n"/>
    </row>
    <row r="53" ht="20.25" customFormat="1" customHeight="1" s="995">
      <c r="A53" s="1022" t="n"/>
      <c r="B53" s="999" t="n"/>
      <c r="C53" s="1023" t="n"/>
      <c r="D53" s="1023" t="n"/>
      <c r="E53" s="1023" t="n"/>
      <c r="M53" s="1024" t="n"/>
    </row>
    <row r="54" ht="14.25" customFormat="1" customHeight="1" s="995">
      <c r="A54" s="1022" t="n"/>
      <c r="B54" s="999" t="n"/>
      <c r="C54" s="1023" t="n"/>
      <c r="D54" s="1023" t="n"/>
      <c r="E54" s="1023" t="n"/>
      <c r="F54" s="1027" t="n"/>
      <c r="G54" s="1023" t="n"/>
      <c r="H54" s="1023" t="n"/>
      <c r="I54" s="1023" t="n"/>
      <c r="J54" s="1023" t="n"/>
      <c r="K54" s="1023" t="n"/>
      <c r="L54" s="999" t="n"/>
      <c r="M54" s="1024" t="n"/>
    </row>
    <row r="55" ht="1.5" customFormat="1" customHeight="1" s="995">
      <c r="A55" s="1022" t="n"/>
      <c r="B55" s="999" t="n"/>
      <c r="C55" s="1028" t="n"/>
      <c r="D55" s="1029" t="n"/>
      <c r="E55" s="1029" t="n"/>
      <c r="F55" s="1027" t="n"/>
      <c r="G55" s="1029" t="n"/>
      <c r="H55" s="1029" t="n"/>
      <c r="I55" s="1029" t="n"/>
      <c r="J55" s="1029" t="n"/>
      <c r="K55" s="1029" t="n"/>
      <c r="L55" s="999" t="n"/>
      <c r="M55" s="1024" t="n"/>
    </row>
    <row r="56" ht="15" customFormat="1" customHeight="1" s="995">
      <c r="A56" s="1022" t="n"/>
      <c r="B56" s="999" t="n"/>
      <c r="C56" s="1030" t="inlineStr">
        <is>
          <t xml:space="preserve">●	CONTROL RUNNING SPEED NO JERKING OR OVER SLACK OFF MORE THAN 3 KLBS	</t>
        </is>
      </c>
      <c r="L56" s="999" t="n"/>
      <c r="M56" s="1024" t="n"/>
    </row>
    <row r="57" ht="9.75" customFormat="1" customHeight="1" s="995">
      <c r="A57" s="1022" t="n"/>
      <c r="B57" s="999" t="n"/>
      <c r="L57" s="999" t="n"/>
      <c r="M57" s="1024" t="n"/>
    </row>
    <row r="58" ht="15" customFormat="1" customHeight="1" s="995">
      <c r="A58" s="996" t="inlineStr">
        <is>
          <t>12)</t>
        </is>
      </c>
      <c r="B58" s="997" t="n"/>
      <c r="C58" s="998" t="inlineStr">
        <is>
          <t>M/U TBG JT</t>
        </is>
      </c>
      <c r="D58" s="1010" t="n">
        <v>208</v>
      </c>
      <c r="E58" s="998" t="n"/>
      <c r="F58" s="999" t="n"/>
      <c r="G58" s="1011" t="inlineStr">
        <is>
          <t>235</t>
        </is>
      </c>
      <c r="H58" s="1012">
        <f>G58-D58+1</f>
        <v/>
      </c>
      <c r="I58" s="1013" t="inlineStr">
        <is>
          <t>3-1/2" TUBING 9.2 LB/FT ALLOY 28 TSH BL</t>
        </is>
      </c>
      <c r="L58" s="999" t="n"/>
      <c r="M58" s="1000" t="n"/>
    </row>
    <row r="59" ht="15" customFormat="1" customHeight="1" s="1031">
      <c r="A59" s="1032" t="n"/>
      <c r="B59" s="1033" t="n"/>
      <c r="C59" s="1034" t="inlineStr">
        <is>
          <t>● ALWAYS COVER THE HOLE TO AVOID DROP OBJECT</t>
        </is>
      </c>
      <c r="L59" s="1035" t="n"/>
    </row>
    <row r="60" ht="35.25" customFormat="1" customHeight="1" s="995">
      <c r="A60" s="996" t="inlineStr">
        <is>
          <t>13)</t>
        </is>
      </c>
      <c r="B60" s="997" t="n"/>
      <c r="C60" s="998" t="inlineStr">
        <is>
          <t>P/U ASSY</t>
        </is>
      </c>
      <c r="D60" s="1036" t="inlineStr">
        <is>
          <t>D3</t>
        </is>
      </c>
      <c r="E60" s="998" t="inlineStr">
        <is>
          <t xml:space="preserve"> &amp; RIH</t>
        </is>
      </c>
      <c r="F60" s="1048" t="inlineStr">
        <is>
          <t xml:space="preserve">WEATHERFORD SIDE POCKET MANDREL GROOVED Mandrel, SBRO-2NGRDUMMY                                 </t>
        </is>
      </c>
      <c r="M60" s="1024" t="n"/>
    </row>
    <row r="61" ht="17.25" customFormat="1" customHeight="1" s="1038">
      <c r="A61" s="1039" t="n"/>
      <c r="B61" s="1040" t="n"/>
      <c r="C61" s="1034" t="n"/>
      <c r="D61" s="1034" t="n"/>
      <c r="E61" s="1034" t="n"/>
      <c r="F61" s="1034" t="n"/>
      <c r="G61" s="1034" t="n"/>
      <c r="H61" s="1034" t="n"/>
      <c r="I61" s="1034" t="n"/>
      <c r="J61" s="1034" t="n"/>
      <c r="K61" s="1034" t="n"/>
      <c r="L61" s="1042" t="n"/>
    </row>
    <row r="62" ht="15" customFormat="1" customHeight="1" s="1043">
      <c r="A62" s="1044" t="inlineStr">
        <is>
          <t>14)</t>
        </is>
      </c>
      <c r="B62" s="1045" t="n"/>
      <c r="C62" s="1046" t="inlineStr">
        <is>
          <t>M/U TBG JT</t>
        </is>
      </c>
      <c r="D62" s="1047" t="n">
        <v>236</v>
      </c>
      <c r="E62" s="1046" t="inlineStr">
        <is>
          <t xml:space="preserve"> &amp;  RIH TILL TBG JT</t>
        </is>
      </c>
      <c r="F62" s="1027" t="n"/>
      <c r="G62" s="1047" t="n">
        <v>284</v>
      </c>
      <c r="H62" s="1012">
        <f>G62-D62+1</f>
        <v/>
      </c>
      <c r="I62" s="1013" t="inlineStr">
        <is>
          <t>3-1/2" TUBING 9.2 LB/FT ALLOY 28 TSH BL</t>
        </is>
      </c>
      <c r="L62" s="1046" t="n"/>
    </row>
    <row r="63" ht="17.25" customFormat="1" customHeight="1" s="1038">
      <c r="A63" s="1039" t="n"/>
      <c r="B63" s="1040" t="n"/>
      <c r="C63" s="1034" t="n"/>
      <c r="D63" s="1034" t="n"/>
      <c r="E63" s="1034" t="n"/>
      <c r="F63" s="1034" t="n"/>
      <c r="G63" s="1034" t="n"/>
      <c r="H63" s="1034" t="n"/>
      <c r="I63" s="1034" t="n"/>
      <c r="J63" s="1034" t="n"/>
      <c r="K63" s="1034" t="n"/>
      <c r="L63" s="1042" t="n"/>
    </row>
    <row r="64" ht="46.5" customFormat="1" customHeight="1" s="995">
      <c r="A64" s="996" t="inlineStr">
        <is>
          <t>15)</t>
        </is>
      </c>
      <c r="B64" s="997" t="n"/>
      <c r="C64" s="998" t="inlineStr">
        <is>
          <t>P/U ASSY</t>
        </is>
      </c>
      <c r="D64" s="1036" t="inlineStr">
        <is>
          <t>D4</t>
        </is>
      </c>
      <c r="E64" s="998" t="inlineStr">
        <is>
          <t xml:space="preserve"> &amp; RIH</t>
        </is>
      </c>
      <c r="F64" s="1048" t="inlineStr">
        <is>
          <t>WEATHERFORD SIDE POCKET MANDREL Mandrel, SBRO-2JGRDVX 3.5 9.2# Vam Top BxP S13CR95 QP-277DUMMY SN 12796498-02</t>
        </is>
      </c>
      <c r="M64" s="1024" t="n"/>
    </row>
    <row r="65" ht="17.25" customFormat="1" customHeight="1" s="1038">
      <c r="A65" s="1039" t="n"/>
      <c r="B65" s="1040" t="n"/>
      <c r="C65" s="1034" t="n"/>
      <c r="D65" s="1034" t="n"/>
      <c r="E65" s="1034" t="n"/>
      <c r="F65" s="1034" t="n"/>
      <c r="G65" s="1034" t="n"/>
      <c r="H65" s="1034" t="n"/>
      <c r="I65" s="1034" t="n"/>
      <c r="J65" s="1034" t="n"/>
      <c r="K65" s="1034" t="n"/>
      <c r="L65" s="1042" t="n"/>
    </row>
    <row r="66" ht="15" customFormat="1" customHeight="1" s="1043">
      <c r="A66" s="1044" t="inlineStr">
        <is>
          <t>16)</t>
        </is>
      </c>
      <c r="B66" s="1045" t="n"/>
      <c r="C66" s="1046" t="inlineStr">
        <is>
          <t>M/U TBG JT</t>
        </is>
      </c>
      <c r="D66" s="1047" t="n">
        <v>285</v>
      </c>
      <c r="E66" s="1046" t="inlineStr">
        <is>
          <t xml:space="preserve"> &amp;  RIH TILL TBG JT</t>
        </is>
      </c>
      <c r="F66" s="1027" t="n"/>
      <c r="G66" s="1047" t="n">
        <v>359</v>
      </c>
      <c r="H66" s="1012">
        <f>G66-D66+1</f>
        <v/>
      </c>
      <c r="I66" s="1013" t="inlineStr">
        <is>
          <t>3-1/2" TUBING 9.2 LB/FT ALLOY 28 TSH BL</t>
        </is>
      </c>
      <c r="L66" s="1046" t="n"/>
    </row>
    <row r="67" ht="17.25" customFormat="1" customHeight="1" s="1038">
      <c r="A67" s="1039" t="n"/>
      <c r="B67" s="1040" t="n"/>
      <c r="C67" s="1034" t="n"/>
      <c r="D67" s="1034" t="n"/>
      <c r="E67" s="1034" t="n"/>
      <c r="F67" s="1034" t="n"/>
      <c r="G67" s="1034" t="n"/>
      <c r="H67" s="1034" t="n"/>
      <c r="I67" s="1034" t="n"/>
      <c r="J67" s="1034" t="n"/>
      <c r="K67" s="1034" t="n"/>
      <c r="L67" s="1042" t="n"/>
    </row>
    <row r="68" ht="65.25" customFormat="1" customHeight="1" s="995">
      <c r="A68" s="996" t="inlineStr">
        <is>
          <t>17)</t>
        </is>
      </c>
      <c r="B68" s="997" t="n"/>
      <c r="C68" s="998" t="inlineStr">
        <is>
          <t>P/U ASSY</t>
        </is>
      </c>
      <c r="D68" s="1036" t="inlineStr">
        <is>
          <t>F</t>
        </is>
      </c>
      <c r="E68" s="998" t="inlineStr">
        <is>
          <t xml:space="preserve"> &amp; RIH</t>
        </is>
      </c>
      <c r="F68" s="1037" t="inlineStr">
        <is>
          <t xml:space="preserve">
DESCRIPTION : WEATHERFORD ASSY,TRSV,3.5WZPE-10 2.813WOR,2KSD,9.2H VAM TOP,WN302
PN: 2980845
S/N: 12777594-01
SAP: 130010038007
SUPPLIER: WEATHERFORD
</t>
        </is>
      </c>
      <c r="M68" s="1024" t="n"/>
    </row>
    <row r="69" ht="17.25" customFormat="1" customHeight="1" s="1038">
      <c r="A69" s="1039" t="n"/>
      <c r="B69" s="1040" t="n"/>
      <c r="C69" s="1034" t="n"/>
      <c r="D69" s="1034" t="n"/>
      <c r="E69" s="1034" t="n"/>
      <c r="F69" s="1034" t="n"/>
      <c r="G69" s="1034" t="n"/>
      <c r="H69" s="1034" t="n"/>
      <c r="I69" s="1034" t="n"/>
      <c r="J69" s="1034" t="n"/>
      <c r="K69" s="1034" t="n"/>
      <c r="L69" s="1042" t="n"/>
    </row>
    <row r="70" ht="15" customFormat="1" customHeight="1" s="1043">
      <c r="A70" s="1044" t="inlineStr">
        <is>
          <t>18)</t>
        </is>
      </c>
      <c r="B70" s="1045" t="n"/>
      <c r="C70" s="1046" t="inlineStr">
        <is>
          <t xml:space="preserve">M/U TBG </t>
        </is>
      </c>
      <c r="D70" s="1047" t="n">
        <v>360</v>
      </c>
      <c r="E70" s="1046" t="inlineStr">
        <is>
          <t xml:space="preserve"> &amp;  RIH TILL TBG JT</t>
        </is>
      </c>
      <c r="F70" s="1027" t="n"/>
      <c r="G70" s="1047" t="n">
        <v>364</v>
      </c>
      <c r="H70" s="1012">
        <f>G70-D70+1</f>
        <v/>
      </c>
      <c r="I70" s="1013" t="inlineStr">
        <is>
          <t>3-1/2" TUBING 9.2 LB/FT ALLOY 28 TSH BL</t>
        </is>
      </c>
      <c r="L70" s="1046" t="n"/>
    </row>
    <row r="71" ht="35.25" customFormat="1" customHeight="1" s="1043">
      <c r="A71" s="1044" t="n">
        <v>19</v>
      </c>
      <c r="B71" s="1045" t="n"/>
      <c r="C71" s="1046" t="inlineStr">
        <is>
          <t xml:space="preserve">CHANGE ELEVATORS FRO, 3-1/2"  TO 4-1/2" </t>
        </is>
      </c>
      <c r="D71" s="1049" t="n"/>
      <c r="E71" s="1046" t="n"/>
      <c r="F71" s="1027" t="n"/>
      <c r="G71" s="1049" t="n"/>
      <c r="H71" s="1050" t="n"/>
      <c r="I71" s="1051" t="n"/>
      <c r="J71" s="1051" t="n"/>
      <c r="K71" s="1051" t="n"/>
      <c r="L71" s="1051" t="n"/>
    </row>
    <row r="72" ht="17.25" customFormat="1" customHeight="1" s="1038">
      <c r="A72" s="1039" t="n"/>
      <c r="B72" s="1040" t="n"/>
      <c r="C72" s="1034" t="n"/>
      <c r="D72" s="1034" t="n"/>
      <c r="E72" s="1034" t="n"/>
      <c r="F72" s="1034" t="n"/>
      <c r="G72" s="1034" t="n"/>
      <c r="H72" s="1034" t="n"/>
      <c r="I72" s="1034" t="n"/>
      <c r="J72" s="1034" t="n"/>
      <c r="K72" s="1034" t="n"/>
      <c r="L72" s="1042" t="n"/>
    </row>
    <row r="73" ht="17.25" customFormat="1" customHeight="1" s="1038">
      <c r="A73" s="1039" t="n"/>
      <c r="B73" s="1040" t="n"/>
      <c r="C73" s="1034" t="n"/>
      <c r="D73" s="1034" t="n"/>
      <c r="E73" s="1034" t="n"/>
      <c r="F73" s="1034" t="n"/>
      <c r="G73" s="1034" t="n"/>
      <c r="H73" s="1034" t="n"/>
      <c r="I73" s="1034" t="n"/>
      <c r="J73" s="1034" t="n"/>
      <c r="K73" s="1034" t="n"/>
      <c r="L73" s="1042" t="n"/>
    </row>
    <row r="74" ht="15.75" customFormat="1" customHeight="1" s="1043">
      <c r="A74" s="1052" t="n">
        <v>20</v>
      </c>
      <c r="B74" s="1046" t="n"/>
      <c r="C74" s="1046" t="inlineStr">
        <is>
          <t>P/U ASSY</t>
        </is>
      </c>
      <c r="D74" s="1053" t="inlineStr">
        <is>
          <t>G</t>
        </is>
      </c>
      <c r="E74" s="1046" t="n"/>
      <c r="F74" s="1053" t="inlineStr">
        <is>
          <t>4-1/2''  TUBING HANGER</t>
        </is>
      </c>
      <c r="G74" s="570" t="n"/>
      <c r="H74" s="570" t="n"/>
      <c r="I74" s="570" t="n"/>
      <c r="J74" s="570" t="n"/>
      <c r="K74" s="567" t="n"/>
      <c r="L74" s="1046" t="n"/>
    </row>
    <row r="75" ht="111" customFormat="1" customHeight="1" s="609">
      <c r="A75" s="1054" t="n"/>
      <c r="B75" s="1055" t="n"/>
      <c r="C75" s="1056" t="inlineStr">
        <is>
          <t xml:space="preserve">COMPLETION TESTING </t>
        </is>
      </c>
    </row>
    <row r="76" ht="28.5" customFormat="1" customHeight="1" s="609">
      <c r="A76" s="1057" t="n"/>
      <c r="B76" s="1058" t="n"/>
      <c r="C76" s="1059" t="n"/>
      <c r="L76" s="1058" t="n"/>
    </row>
    <row r="77" ht="15" customFormat="1" customHeight="1" s="1060">
      <c r="A77" s="1061" t="n"/>
      <c r="B77" s="1062" t="n"/>
      <c r="C77" s="1063" t="n"/>
      <c r="D77" s="1063" t="n"/>
      <c r="E77" s="1063" t="n"/>
      <c r="F77" s="1063" t="n"/>
      <c r="G77" s="1063" t="n"/>
      <c r="H77" s="1063" t="n"/>
      <c r="I77" s="1063" t="n"/>
      <c r="J77" s="1063" t="n"/>
      <c r="K77" s="1063" t="n"/>
      <c r="L77" s="1062" t="n"/>
    </row>
    <row r="78" ht="15" customFormat="1" customHeight="1" s="1064">
      <c r="A78" s="1065" t="n"/>
      <c r="B78" s="1066" t="n"/>
      <c r="C78" s="1067" t="n"/>
      <c r="D78" s="1067" t="n"/>
      <c r="E78" s="1067" t="n"/>
      <c r="F78" s="1067" t="n"/>
      <c r="G78" s="1067" t="n"/>
      <c r="H78" s="1067" t="n"/>
      <c r="I78" s="1067" t="n"/>
      <c r="J78" s="1067" t="n"/>
      <c r="K78" s="1067" t="n"/>
      <c r="L78" s="1066" t="n"/>
    </row>
    <row r="79" ht="15" customFormat="1" customHeight="1" s="1064">
      <c r="A79" s="1068" t="n"/>
      <c r="B79" s="1066" t="n"/>
      <c r="C79" s="1067" t="n"/>
      <c r="D79" s="1067" t="n"/>
      <c r="E79" s="1067" t="n"/>
      <c r="F79" s="1067" t="n"/>
      <c r="G79" s="1067" t="n"/>
      <c r="H79" s="1067" t="n"/>
      <c r="I79" s="1067" t="n"/>
      <c r="J79" s="1067" t="n"/>
      <c r="K79" s="1067" t="n"/>
      <c r="L79" s="1066" t="n"/>
    </row>
    <row r="80" ht="15" customFormat="1" customHeight="1" s="1064">
      <c r="A80" s="1057" t="n"/>
      <c r="B80" s="1066" t="n"/>
      <c r="C80" s="1067" t="n"/>
      <c r="D80" s="1067" t="n"/>
      <c r="E80" s="1067" t="n"/>
      <c r="F80" s="1067" t="n"/>
      <c r="G80" s="1067" t="n"/>
      <c r="H80" s="1067" t="n"/>
      <c r="I80" s="1067" t="n"/>
      <c r="J80" s="1067" t="n"/>
      <c r="K80" s="1067" t="n"/>
      <c r="L80" s="1069" t="n"/>
    </row>
    <row r="81" ht="15" customHeight="1" s="557">
      <c r="A81" s="1057" t="n"/>
      <c r="B81" s="1070" t="n"/>
      <c r="C81" s="1071" t="n"/>
      <c r="D81" s="1071" t="n"/>
      <c r="E81" s="1071" t="n"/>
      <c r="F81" s="1071" t="n"/>
      <c r="G81" s="1071" t="n"/>
      <c r="H81" s="1071" t="n"/>
      <c r="I81" s="1071" t="n"/>
      <c r="J81" s="1071" t="n"/>
      <c r="K81" s="1071" t="n"/>
      <c r="L81" s="1070" t="n"/>
    </row>
    <row r="82" ht="62.25" customHeight="1" s="557">
      <c r="A82" s="1057" t="n"/>
      <c r="B82" s="1070" t="n"/>
      <c r="C82" s="1059" t="n"/>
    </row>
    <row r="83" ht="15" customHeight="1" s="557">
      <c r="A83" s="1057" t="n"/>
      <c r="B83" s="1070" t="n"/>
      <c r="C83" s="1070" t="n"/>
      <c r="D83" s="1070" t="n"/>
      <c r="E83" s="1070" t="n"/>
      <c r="F83" s="1070" t="n"/>
      <c r="G83" s="1070" t="n"/>
      <c r="H83" s="1070" t="n"/>
      <c r="I83" s="1070" t="n"/>
      <c r="J83" s="1070" t="n"/>
      <c r="K83" s="1070" t="n"/>
      <c r="L83" s="1071" t="n"/>
    </row>
    <row r="84" ht="15" customHeight="1" s="557">
      <c r="A84" s="1057" t="n"/>
      <c r="B84" s="1070" t="n"/>
      <c r="C84" s="1070" t="n"/>
      <c r="D84" s="1070" t="n"/>
      <c r="E84" s="1070" t="n"/>
      <c r="F84" s="1070" t="n"/>
      <c r="G84" s="1070" t="n"/>
      <c r="H84" s="1070" t="n"/>
      <c r="I84" s="1070" t="n"/>
      <c r="J84" s="1070" t="n"/>
      <c r="K84" s="1070" t="n"/>
      <c r="L84" s="1071" t="n"/>
    </row>
    <row r="85" ht="15" customHeight="1" s="557">
      <c r="A85" s="1057" t="n"/>
      <c r="B85" s="1070" t="n"/>
      <c r="C85" s="1070" t="n"/>
      <c r="D85" s="1070" t="n"/>
      <c r="E85" s="1070" t="n"/>
      <c r="F85" s="1070" t="n"/>
      <c r="G85" s="1070" t="n"/>
      <c r="H85" s="1070" t="n"/>
      <c r="I85" s="1070" t="n"/>
      <c r="J85" s="1070" t="n"/>
      <c r="K85" s="1070" t="n"/>
      <c r="L85" s="1071" t="n"/>
    </row>
    <row r="86" ht="15" customHeight="1" s="557">
      <c r="A86" s="1057" t="n"/>
      <c r="B86" s="1070" t="n"/>
      <c r="C86" s="1070" t="n"/>
      <c r="D86" s="1070" t="n"/>
      <c r="E86" s="1070" t="n"/>
      <c r="F86" s="1070" t="n"/>
      <c r="G86" s="1070" t="n"/>
      <c r="H86" s="1070" t="n"/>
      <c r="I86" s="1070" t="n"/>
      <c r="J86" s="1070" t="n"/>
      <c r="K86" s="1070" t="n"/>
      <c r="L86" s="1071" t="n"/>
    </row>
    <row r="87" ht="15" customHeight="1" s="557">
      <c r="A87" s="1057" t="n"/>
      <c r="B87" s="1070" t="n"/>
      <c r="C87" s="1072" t="n"/>
      <c r="D87" s="1070" t="n"/>
      <c r="E87" s="1070" t="n"/>
      <c r="F87" s="1070" t="n"/>
      <c r="G87" s="1070" t="n"/>
      <c r="H87" s="1070" t="n"/>
      <c r="I87" s="1070" t="n"/>
      <c r="J87" s="1070" t="n"/>
      <c r="K87" s="1070" t="n"/>
      <c r="L87" s="1071" t="n"/>
    </row>
    <row r="88" ht="15" customHeight="1" s="557">
      <c r="A88" s="1057" t="n"/>
      <c r="B88" s="1070" t="n"/>
      <c r="C88" s="1070" t="n"/>
      <c r="D88" s="1070" t="n"/>
      <c r="E88" s="1070" t="n"/>
      <c r="F88" s="1070" t="n"/>
      <c r="G88" s="1070" t="n"/>
      <c r="H88" s="1070" t="n"/>
      <c r="I88" s="1070" t="n"/>
      <c r="J88" s="1070" t="n"/>
      <c r="K88" s="1070" t="n"/>
      <c r="L88" s="1071" t="n"/>
    </row>
    <row r="89" ht="15" customHeight="1" s="557">
      <c r="A89" s="1057" t="n"/>
      <c r="B89" s="1070" t="n"/>
      <c r="C89" s="1071" t="n"/>
      <c r="D89" s="1071" t="n"/>
      <c r="E89" s="1071" t="n"/>
      <c r="F89" s="1071" t="n"/>
      <c r="G89" s="1071" t="n"/>
      <c r="H89" s="1071" t="n"/>
      <c r="I89" s="1071" t="n"/>
      <c r="J89" s="1071" t="n"/>
      <c r="K89" s="1071" t="n"/>
      <c r="L89" s="1071" t="n"/>
    </row>
    <row r="90" ht="15" customHeight="1" s="557">
      <c r="A90" s="1057" t="n"/>
      <c r="B90" s="1070" t="n"/>
      <c r="C90" s="1071" t="n"/>
      <c r="D90" s="1071" t="n"/>
      <c r="E90" s="1071" t="n"/>
      <c r="F90" s="1071" t="n"/>
      <c r="G90" s="1071" t="n"/>
      <c r="H90" s="1071" t="n"/>
      <c r="I90" s="1071" t="n"/>
      <c r="J90" s="1071" t="n"/>
      <c r="K90" s="1071" t="n"/>
      <c r="L90" s="1071" t="n"/>
    </row>
    <row r="91" ht="15" customHeight="1" s="557">
      <c r="A91" s="1057" t="n"/>
      <c r="B91" s="1070" t="n"/>
      <c r="C91" s="1073" t="n"/>
      <c r="D91" s="1071" t="n"/>
      <c r="E91" s="1071" t="n"/>
      <c r="F91" s="1071" t="n"/>
      <c r="G91" s="1071" t="n"/>
      <c r="H91" s="1071" t="n"/>
      <c r="I91" s="1071" t="n"/>
      <c r="J91" s="1071" t="n"/>
      <c r="K91" s="1071" t="n"/>
      <c r="L91" s="1071" t="n"/>
    </row>
    <row r="92" ht="15" customHeight="1" s="557">
      <c r="A92" s="1057" t="n"/>
      <c r="B92" s="1070" t="n"/>
      <c r="C92" s="1074" t="n"/>
      <c r="D92" s="1071" t="n"/>
      <c r="E92" s="1071" t="n"/>
      <c r="F92" s="1071" t="n"/>
      <c r="G92" s="1071" t="n"/>
      <c r="H92" s="1071" t="n"/>
      <c r="I92" s="1071" t="n"/>
      <c r="J92" s="1071" t="n"/>
      <c r="K92" s="1071" t="n"/>
      <c r="L92" s="1071" t="n"/>
    </row>
    <row r="93" ht="15" customHeight="1" s="557">
      <c r="A93" s="1057" t="n"/>
      <c r="B93" s="1070" t="n"/>
      <c r="C93" s="1066" t="n"/>
      <c r="D93" s="1070" t="n"/>
      <c r="E93" s="1070" t="n"/>
      <c r="F93" s="1070" t="n"/>
      <c r="G93" s="1070" t="n"/>
      <c r="H93" s="1070" t="n"/>
      <c r="I93" s="1070" t="n"/>
      <c r="J93" s="1070" t="n"/>
      <c r="K93" s="1070" t="n"/>
      <c r="L93" s="1071" t="n"/>
    </row>
    <row r="94" ht="15" customFormat="1" customHeight="1" s="1064">
      <c r="A94" s="1057" t="n"/>
      <c r="B94" s="1066" t="n"/>
      <c r="C94" s="1067" t="n"/>
      <c r="D94" s="1067" t="n"/>
      <c r="E94" s="1067" t="n"/>
      <c r="F94" s="1067" t="n"/>
      <c r="G94" s="1067" t="n"/>
      <c r="H94" s="1067" t="n"/>
      <c r="I94" s="1067" t="n"/>
      <c r="J94" s="1067" t="n"/>
      <c r="K94" s="1067" t="n"/>
      <c r="L94" s="1067" t="n"/>
    </row>
    <row r="95" ht="15" customHeight="1" s="557">
      <c r="A95" s="1057" t="n"/>
      <c r="B95" s="1070" t="n"/>
      <c r="C95" s="1067" t="n"/>
      <c r="D95" s="1067" t="n"/>
      <c r="E95" s="1067" t="n"/>
      <c r="F95" s="1067" t="n"/>
      <c r="G95" s="1071" t="n"/>
      <c r="H95" s="1071" t="n"/>
      <c r="I95" s="1071" t="n"/>
      <c r="J95" s="1071" t="n"/>
      <c r="K95" s="1071" t="n"/>
      <c r="L95" s="1071" t="n"/>
    </row>
    <row r="96" ht="15" customFormat="1" customHeight="1" s="1064">
      <c r="A96" s="1057" t="n"/>
      <c r="B96" s="1066" t="n"/>
      <c r="C96" s="1067" t="n"/>
      <c r="D96" s="1067" t="n"/>
      <c r="E96" s="1067" t="n"/>
      <c r="F96" s="1067" t="n"/>
      <c r="G96" s="1067" t="n"/>
      <c r="H96" s="1067" t="n"/>
      <c r="I96" s="1067" t="n"/>
      <c r="J96" s="1067" t="n"/>
      <c r="K96" s="1067" t="n"/>
      <c r="L96" s="1067" t="n"/>
    </row>
    <row r="97" ht="15" customHeight="1" s="557">
      <c r="A97" s="1057" t="n"/>
      <c r="B97" s="1070" t="n"/>
      <c r="C97" s="1071" t="n"/>
      <c r="D97" s="1071" t="n"/>
      <c r="E97" s="1071" t="n"/>
      <c r="F97" s="1071" t="n"/>
      <c r="G97" s="1071" t="n"/>
      <c r="H97" s="1071" t="n"/>
      <c r="I97" s="1071" t="n"/>
      <c r="J97" s="1071" t="n"/>
      <c r="K97" s="1071" t="n"/>
      <c r="L97" s="1071" t="n"/>
    </row>
    <row r="98" ht="15" customFormat="1" customHeight="1" s="1064">
      <c r="A98" s="1057" t="n"/>
      <c r="B98" s="1066" t="n"/>
      <c r="C98" s="1067" t="n"/>
      <c r="D98" s="1067" t="n"/>
      <c r="E98" s="1067" t="n"/>
      <c r="F98" s="1067" t="n"/>
      <c r="G98" s="1067" t="n"/>
      <c r="H98" s="1067" t="n"/>
      <c r="I98" s="1067" t="n"/>
      <c r="J98" s="1067" t="n"/>
      <c r="K98" s="1067" t="n"/>
      <c r="L98" s="1067" t="n"/>
    </row>
    <row r="99" ht="15" customHeight="1" s="557">
      <c r="A99" s="1057" t="n"/>
      <c r="B99" s="1070" t="n"/>
      <c r="C99" s="1071" t="n"/>
      <c r="D99" s="1071" t="n"/>
      <c r="E99" s="1071" t="n"/>
      <c r="F99" s="1071" t="n"/>
      <c r="G99" s="1071" t="n"/>
      <c r="H99" s="1071" t="n"/>
      <c r="I99" s="1071" t="n"/>
      <c r="J99" s="1071" t="n"/>
      <c r="K99" s="1071" t="n"/>
      <c r="L99" s="1070" t="n"/>
    </row>
    <row r="100" ht="15" customHeight="1" s="557">
      <c r="A100" s="1057" t="n"/>
      <c r="B100" s="1070" t="n"/>
      <c r="C100" s="1071" t="n"/>
      <c r="D100" s="1071" t="n"/>
      <c r="E100" s="1071" t="n"/>
      <c r="F100" s="1071" t="n"/>
      <c r="G100" s="1071" t="n"/>
      <c r="H100" s="1071" t="n"/>
      <c r="I100" s="1071" t="n"/>
      <c r="J100" s="1071" t="n"/>
      <c r="K100" s="1071" t="n"/>
      <c r="L100" s="1067" t="n"/>
    </row>
    <row r="101" ht="15" customHeight="1" s="557">
      <c r="A101" s="1057" t="n"/>
      <c r="B101" s="1070" t="n"/>
      <c r="C101" s="1075" t="n"/>
      <c r="L101" s="1067" t="n"/>
    </row>
    <row r="102" ht="15" customHeight="1" s="557">
      <c r="A102" s="1057" t="n"/>
      <c r="B102" s="1070" t="n"/>
      <c r="L102" s="1067" t="n"/>
    </row>
    <row r="103" ht="19.5" customHeight="1" s="557">
      <c r="A103" s="1057" t="n"/>
      <c r="B103" s="1070" t="n"/>
      <c r="C103" s="1075" t="n"/>
      <c r="L103" s="1067" t="n"/>
    </row>
    <row r="104" ht="15" customHeight="1" s="557">
      <c r="A104" s="1057" t="n"/>
      <c r="B104" s="1070" t="n"/>
      <c r="L104" s="1067" t="n"/>
    </row>
    <row r="105" ht="15" customHeight="1" s="557">
      <c r="A105" s="1057" t="n"/>
      <c r="B105" s="1070" t="n"/>
      <c r="C105" s="1067" t="n"/>
      <c r="D105" s="1067" t="n"/>
      <c r="E105" s="1067" t="n"/>
      <c r="F105" s="1067" t="n"/>
      <c r="G105" s="1067" t="n"/>
      <c r="H105" s="1067" t="n"/>
      <c r="I105" s="1067" t="n"/>
      <c r="J105" s="1067" t="n"/>
      <c r="K105" s="1067" t="n"/>
      <c r="L105" s="1076" t="n"/>
    </row>
    <row r="106" ht="15" customHeight="1" s="557">
      <c r="A106" s="1057" t="n"/>
      <c r="B106" s="1077" t="n"/>
      <c r="C106" s="1076" t="n"/>
      <c r="D106" s="1076" t="n"/>
      <c r="E106" s="1076" t="n"/>
      <c r="F106" s="1076" t="n"/>
      <c r="G106" s="1076" t="n"/>
      <c r="H106" s="1076" t="n"/>
      <c r="I106" s="1076" t="n"/>
      <c r="J106" s="1076" t="n"/>
      <c r="K106" s="1076" t="n"/>
      <c r="L106" s="1077" t="n"/>
    </row>
    <row r="107" ht="15" customFormat="1" customHeight="1" s="1078">
      <c r="A107" s="1057" t="n"/>
      <c r="B107" s="1079" t="n"/>
      <c r="C107" s="1079" t="n"/>
      <c r="D107" s="1079" t="n"/>
      <c r="E107" s="1079" t="n"/>
      <c r="F107" s="1079" t="n"/>
      <c r="G107" s="1079" t="n"/>
      <c r="H107" s="1079" t="n"/>
      <c r="I107" s="1079" t="n"/>
      <c r="J107" s="1079" t="n"/>
      <c r="K107" s="1079" t="n"/>
      <c r="L107" s="1079" t="n"/>
    </row>
    <row r="108" ht="15" customFormat="1" customHeight="1" s="1078">
      <c r="A108" s="1057" t="n"/>
      <c r="B108" s="1079" t="n"/>
      <c r="C108" s="1079" t="n"/>
      <c r="D108" s="1079" t="n"/>
      <c r="E108" s="1079" t="n"/>
      <c r="F108" s="1079" t="n"/>
      <c r="G108" s="1079" t="n"/>
      <c r="H108" s="1079" t="n"/>
      <c r="I108" s="1079" t="n"/>
      <c r="J108" s="1079" t="n"/>
      <c r="K108" s="1079" t="n"/>
      <c r="L108" s="1079" t="n"/>
    </row>
    <row r="109" ht="15" customHeight="1" s="557">
      <c r="A109" s="1080" t="n"/>
      <c r="B109" s="1077" t="n"/>
      <c r="C109" s="1077" t="n"/>
      <c r="D109" s="1077" t="n"/>
      <c r="E109" s="1077" t="n"/>
      <c r="F109" s="1077" t="n"/>
      <c r="G109" s="1077" t="n"/>
      <c r="H109" s="1077" t="n"/>
      <c r="I109" s="1077" t="n"/>
      <c r="J109" s="1077" t="n"/>
      <c r="K109" s="1077" t="n"/>
      <c r="L109" s="1077" t="n"/>
    </row>
    <row r="110" ht="14.25" customHeight="1" s="557">
      <c r="A110" s="1081" t="n"/>
      <c r="B110" s="1082" t="n"/>
      <c r="C110" s="1083" t="n"/>
      <c r="J110" s="1082" t="n"/>
      <c r="K110" s="1082" t="n"/>
    </row>
    <row r="111" ht="14.25" customHeight="1" s="557">
      <c r="A111" s="1081" t="n"/>
      <c r="B111" s="1082" t="n"/>
      <c r="C111" s="1082" t="n"/>
      <c r="D111" s="1082" t="n"/>
      <c r="E111" s="1082" t="n"/>
      <c r="F111" s="1082" t="n"/>
      <c r="G111" s="1082" t="n"/>
      <c r="H111" s="1082" t="n"/>
      <c r="I111" s="1082" t="n"/>
      <c r="J111" s="1082" t="n"/>
      <c r="K111" s="1082" t="n"/>
    </row>
    <row r="112" ht="14.25" customHeight="1" s="557">
      <c r="A112" s="1081" t="n"/>
      <c r="B112" s="1082" t="n"/>
      <c r="C112" s="1082" t="n"/>
      <c r="D112" s="1082" t="n"/>
      <c r="E112" s="1082" t="n"/>
      <c r="F112" s="1082" t="n"/>
      <c r="G112" s="1082" t="n"/>
      <c r="H112" s="1082" t="n"/>
      <c r="I112" s="1082" t="n"/>
      <c r="J112" s="1082" t="n"/>
      <c r="K112" s="1082" t="n"/>
    </row>
    <row r="117" ht="14.25" customHeight="1" s="557">
      <c r="A117" s="1081" t="n"/>
      <c r="B117" s="1082" t="n"/>
      <c r="C117" s="1082" t="n"/>
      <c r="D117" s="1082" t="n"/>
      <c r="E117" s="1082" t="n"/>
      <c r="F117" s="1082" t="n"/>
      <c r="G117" s="1082" t="n"/>
      <c r="H117" s="1082" t="n"/>
      <c r="I117" s="1082" t="n"/>
      <c r="J117" s="1082" t="n"/>
      <c r="K117" s="1082" t="n"/>
    </row>
  </sheetData>
  <mergeCells count="51">
    <mergeCell ref="I47:K47"/>
    <mergeCell ref="C110:I110"/>
    <mergeCell ref="A25:L25"/>
    <mergeCell ref="I66:K66"/>
    <mergeCell ref="B7:L7"/>
    <mergeCell ref="C44:K44"/>
    <mergeCell ref="C82:L82"/>
    <mergeCell ref="F37:I37"/>
    <mergeCell ref="I43:K43"/>
    <mergeCell ref="A18:L18"/>
    <mergeCell ref="A27:L27"/>
    <mergeCell ref="I58:K58"/>
    <mergeCell ref="A21:L21"/>
    <mergeCell ref="F60:L60"/>
    <mergeCell ref="A26:L26"/>
    <mergeCell ref="F49:L49"/>
    <mergeCell ref="C59:K59"/>
    <mergeCell ref="B12:L12"/>
    <mergeCell ref="I62:K62"/>
    <mergeCell ref="A15:L16"/>
    <mergeCell ref="C76:K76"/>
    <mergeCell ref="K37:L39"/>
    <mergeCell ref="F64:L64"/>
    <mergeCell ref="B11:L11"/>
    <mergeCell ref="A23:L23"/>
    <mergeCell ref="C101:K102"/>
    <mergeCell ref="C103:K104"/>
    <mergeCell ref="K32:L34"/>
    <mergeCell ref="A22:L22"/>
    <mergeCell ref="A17:L17"/>
    <mergeCell ref="I35:K35"/>
    <mergeCell ref="B14:L14"/>
    <mergeCell ref="F68:L68"/>
    <mergeCell ref="B8:L8"/>
    <mergeCell ref="A20:L20"/>
    <mergeCell ref="B13:L13"/>
    <mergeCell ref="I50:K50"/>
    <mergeCell ref="A19:L19"/>
    <mergeCell ref="F52:L53"/>
    <mergeCell ref="I31:K31"/>
    <mergeCell ref="B10:L10"/>
    <mergeCell ref="C56:K57"/>
    <mergeCell ref="F33:I33"/>
    <mergeCell ref="C41:K42"/>
    <mergeCell ref="B9:L9"/>
    <mergeCell ref="F45:L45"/>
    <mergeCell ref="A24:L24"/>
    <mergeCell ref="C75:L75"/>
    <mergeCell ref="B6:L6"/>
    <mergeCell ref="I70:K70"/>
    <mergeCell ref="F74:K74"/>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8.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85" zoomScaleNormal="100" zoomScalePageLayoutView="85" workbookViewId="0">
      <selection pane="topLeft" activeCell="B16" activeCellId="0" sqref="B16"/>
    </sheetView>
  </sheetViews>
  <sheetFormatPr baseColWidth="8" defaultColWidth="9.11328125" defaultRowHeight="14.25" zeroHeight="0" outlineLevelRow="0"/>
  <cols>
    <col width="1.66" customWidth="1" style="1084" min="1" max="1"/>
    <col width="25.89" customWidth="1" style="1084" min="2" max="2"/>
    <col width="29.56" customWidth="1" style="1084" min="3" max="3"/>
    <col width="3.55" customWidth="1" style="1084" min="4" max="4"/>
    <col width="3.67" customWidth="1" style="1084" min="5" max="5"/>
    <col width="3.55" customWidth="1" style="1084" min="6" max="40"/>
    <col width="13.11" customWidth="1" style="1084" min="41" max="41"/>
    <col width="1.66" customWidth="1" style="1084" min="42" max="42"/>
    <col width="9.109999999999999" customWidth="1" style="1084" min="43" max="43"/>
    <col hidden="1" width="9.109999999999999" customWidth="1" style="1084" min="44" max="80"/>
    <col width="9.109999999999999" customWidth="1" style="1084" min="81" max="16384"/>
  </cols>
  <sheetData>
    <row r="1" ht="6.75" customHeight="1" s="557">
      <c r="A1" s="1085" t="n"/>
      <c r="B1" s="1085" t="n"/>
      <c r="C1" s="1085" t="n"/>
      <c r="D1" s="1085" t="n"/>
      <c r="E1" s="1085" t="n"/>
      <c r="F1" s="1085" t="n"/>
      <c r="G1" s="1085" t="n"/>
      <c r="H1" s="1085" t="n"/>
      <c r="I1" s="1085" t="n"/>
      <c r="J1" s="1085" t="n"/>
      <c r="K1" s="1085" t="n"/>
      <c r="L1" s="1085" t="n"/>
      <c r="M1" s="1085" t="n"/>
      <c r="N1" s="1085" t="n"/>
      <c r="O1" s="1085" t="n"/>
      <c r="P1" s="1085" t="n"/>
      <c r="Q1" s="1085" t="n"/>
      <c r="R1" s="1085" t="n"/>
      <c r="S1" s="1085" t="n"/>
      <c r="T1" s="1085" t="n"/>
      <c r="U1" s="1085" t="n"/>
      <c r="V1" s="1085" t="n"/>
      <c r="W1" s="1085" t="n"/>
      <c r="X1" s="1085" t="n"/>
      <c r="Y1" s="1085" t="n"/>
      <c r="Z1" s="1085" t="n"/>
      <c r="AA1" s="1085" t="n"/>
      <c r="AB1" s="1085" t="n"/>
      <c r="AC1" s="1085" t="n"/>
      <c r="AD1" s="1085" t="n"/>
      <c r="AE1" s="1085" t="n"/>
      <c r="AF1" s="1085" t="n"/>
      <c r="AG1" s="1085" t="n"/>
      <c r="AH1" s="1085" t="n"/>
      <c r="AI1" s="1085" t="n"/>
      <c r="AJ1" s="1085" t="n"/>
      <c r="AK1" s="1085" t="n"/>
      <c r="AL1" s="1085" t="n"/>
      <c r="AM1" s="1085" t="n"/>
      <c r="AN1" s="1085" t="n"/>
      <c r="AO1" s="1085" t="n"/>
      <c r="AP1" s="1085" t="n"/>
    </row>
    <row r="2" ht="28.5" customHeight="1" s="557">
      <c r="A2" s="1085" t="n"/>
      <c r="B2" s="1086" t="n"/>
      <c r="C2" s="1087" t="inlineStr">
        <is>
          <t>PERSONNEL AND EQUIPMENT TIMESHEET</t>
        </is>
      </c>
      <c r="D2" s="1088" t="n"/>
      <c r="E2" s="1088" t="n"/>
      <c r="F2" s="1088" t="n"/>
      <c r="G2" s="1088" t="n"/>
      <c r="H2" s="1088" t="n"/>
      <c r="I2" s="1088" t="n"/>
      <c r="J2" s="1088" t="n"/>
      <c r="K2" s="1088" t="n"/>
      <c r="L2" s="1088" t="n"/>
      <c r="M2" s="1088" t="n"/>
      <c r="N2" s="1088" t="n"/>
      <c r="O2" s="1088" t="n"/>
      <c r="P2" s="1088" t="n"/>
      <c r="Q2" s="1088" t="n"/>
      <c r="R2" s="1088" t="n"/>
      <c r="S2" s="1088" t="n"/>
      <c r="T2" s="1088" t="n"/>
      <c r="U2" s="1088" t="n"/>
      <c r="V2" s="1088" t="n"/>
      <c r="W2" s="1088" t="n"/>
      <c r="X2" s="1088" t="n"/>
      <c r="Y2" s="1088" t="n"/>
      <c r="Z2" s="1088" t="n"/>
      <c r="AA2" s="1088" t="n"/>
      <c r="AB2" s="1088" t="n"/>
      <c r="AC2" s="1088" t="n"/>
      <c r="AD2" s="1088" t="n"/>
      <c r="AE2" s="1088" t="n"/>
      <c r="AF2" s="1088" t="n"/>
      <c r="AG2" s="1088" t="n"/>
      <c r="AH2" s="1088" t="n"/>
      <c r="AI2" s="1088" t="n"/>
      <c r="AJ2" s="1088" t="n"/>
      <c r="AK2" s="1088" t="n"/>
      <c r="AL2" s="1088" t="n"/>
      <c r="AM2" s="1089" t="n"/>
      <c r="AN2" s="1090" t="n"/>
      <c r="AO2" s="1091" t="n"/>
      <c r="AP2" s="1085" t="n"/>
    </row>
    <row r="3" ht="10.5" customHeight="1" s="557">
      <c r="A3" s="1085" t="n"/>
      <c r="B3" s="1092" t="n"/>
      <c r="C3" s="1093" t="inlineStr">
        <is>
          <t xml:space="preserve">Document Number </t>
        </is>
      </c>
      <c r="D3" s="1093" t="inlineStr">
        <is>
          <t xml:space="preserve">Function/ Devesion </t>
        </is>
      </c>
      <c r="E3" s="1088" t="n"/>
      <c r="F3" s="1088" t="n"/>
      <c r="G3" s="1088" t="n"/>
      <c r="H3" s="1088" t="n"/>
      <c r="I3" s="1094" t="n"/>
      <c r="J3" s="1093" t="inlineStr">
        <is>
          <t xml:space="preserve">Owner </t>
        </is>
      </c>
      <c r="K3" s="1088" t="n"/>
      <c r="L3" s="1088" t="n"/>
      <c r="M3" s="1088" t="n"/>
      <c r="N3" s="1088" t="n"/>
      <c r="O3" s="1094" t="n"/>
      <c r="P3" s="1093" t="inlineStr">
        <is>
          <t>SQ Review</t>
        </is>
      </c>
      <c r="Q3" s="1088" t="n"/>
      <c r="R3" s="1088" t="n"/>
      <c r="S3" s="1088" t="n"/>
      <c r="T3" s="1088" t="n"/>
      <c r="U3" s="1094" t="n"/>
      <c r="V3" s="1093" t="inlineStr">
        <is>
          <t xml:space="preserve">Approved by </t>
        </is>
      </c>
      <c r="W3" s="1088" t="n"/>
      <c r="X3" s="1088" t="n"/>
      <c r="Y3" s="1088" t="n"/>
      <c r="Z3" s="1088" t="n"/>
      <c r="AA3" s="1094" t="n"/>
      <c r="AB3" s="1093" t="inlineStr">
        <is>
          <t xml:space="preserve">Rev Date </t>
        </is>
      </c>
      <c r="AC3" s="1088" t="n"/>
      <c r="AD3" s="1088" t="n"/>
      <c r="AE3" s="1088" t="n"/>
      <c r="AF3" s="1088" t="n"/>
      <c r="AG3" s="1094" t="n"/>
      <c r="AH3" s="1093" t="inlineStr">
        <is>
          <t xml:space="preserve">Rev # </t>
        </is>
      </c>
      <c r="AI3" s="1088" t="n"/>
      <c r="AJ3" s="1088" t="n"/>
      <c r="AK3" s="1088" t="n"/>
      <c r="AL3" s="1094" t="n"/>
      <c r="AM3" s="1095" t="n"/>
      <c r="AN3" s="1096" t="n"/>
      <c r="AO3" s="1097" t="n"/>
      <c r="AP3" s="1085" t="n"/>
    </row>
    <row r="4" ht="11.25" customHeight="1" s="557">
      <c r="A4" s="1085" t="n"/>
      <c r="B4" s="1092" t="n"/>
      <c r="C4" s="1098" t="inlineStr">
        <is>
          <t>UAE-COMP-OEPS-L5-036</t>
        </is>
      </c>
      <c r="D4" s="1099" t="inlineStr">
        <is>
          <t xml:space="preserve">Completion </t>
        </is>
      </c>
      <c r="E4" s="1088" t="n"/>
      <c r="F4" s="1088" t="n"/>
      <c r="G4" s="1088" t="n"/>
      <c r="H4" s="1088" t="n"/>
      <c r="I4" s="1094" t="n"/>
      <c r="J4" s="1099" t="inlineStr">
        <is>
          <t>Hamed Hassan</t>
        </is>
      </c>
      <c r="K4" s="1088" t="n"/>
      <c r="L4" s="1088" t="n"/>
      <c r="M4" s="1088" t="n"/>
      <c r="N4" s="1088" t="n"/>
      <c r="O4" s="1094" t="n"/>
      <c r="P4" s="1099" t="inlineStr">
        <is>
          <t xml:space="preserve">Lambi Leslie </t>
        </is>
      </c>
      <c r="Q4" s="1088" t="n"/>
      <c r="R4" s="1088" t="n"/>
      <c r="S4" s="1088" t="n"/>
      <c r="T4" s="1088" t="n"/>
      <c r="U4" s="1094" t="n"/>
      <c r="V4" s="1099" t="inlineStr">
        <is>
          <t>Bassem Mahmoud</t>
        </is>
      </c>
      <c r="W4" s="1088" t="n"/>
      <c r="X4" s="1088" t="n"/>
      <c r="Y4" s="1088" t="n"/>
      <c r="Z4" s="1088" t="n"/>
      <c r="AA4" s="1094" t="n"/>
      <c r="AB4" s="1100" t="n">
        <v>45627</v>
      </c>
      <c r="AC4" s="1088" t="n"/>
      <c r="AD4" s="1088" t="n"/>
      <c r="AE4" s="1088" t="n"/>
      <c r="AF4" s="1088" t="n"/>
      <c r="AG4" s="1094" t="n"/>
      <c r="AH4" s="1099" t="n">
        <v>1</v>
      </c>
      <c r="AI4" s="1088" t="n"/>
      <c r="AJ4" s="1088" t="n"/>
      <c r="AK4" s="1088" t="n"/>
      <c r="AL4" s="1094" t="n"/>
      <c r="AM4" s="1095" t="n"/>
      <c r="AN4" s="1096" t="n"/>
      <c r="AO4" s="1097" t="n"/>
      <c r="AP4" s="1085" t="n"/>
    </row>
    <row r="5" ht="19.5" customHeight="1" s="557">
      <c r="A5" s="1085" t="n"/>
      <c r="B5" s="1092" t="n"/>
      <c r="C5" s="1101" t="inlineStr">
        <is>
          <t xml:space="preserve">Field : </t>
        </is>
      </c>
      <c r="D5" s="1102">
        <f>'Master Data'!E8</f>
        <v/>
      </c>
      <c r="E5" s="1088" t="n"/>
      <c r="F5" s="1088" t="n"/>
      <c r="G5" s="1088" t="n"/>
      <c r="H5" s="1094" t="n"/>
      <c r="I5" s="1103" t="inlineStr">
        <is>
          <t xml:space="preserve">Contract # : </t>
        </is>
      </c>
      <c r="J5" s="1088" t="n"/>
      <c r="K5" s="1088" t="n"/>
      <c r="L5" s="1088" t="n"/>
      <c r="M5" s="1088" t="n"/>
      <c r="N5" s="1088" t="n"/>
      <c r="O5" s="1094" t="n"/>
      <c r="P5" s="1104">
        <f>'Master Data'!B10</f>
        <v/>
      </c>
      <c r="Q5" s="1088" t="n"/>
      <c r="R5" s="1088" t="n"/>
      <c r="S5" s="1088" t="n"/>
      <c r="T5" s="1088" t="n"/>
      <c r="U5" s="1088" t="n"/>
      <c r="V5" s="1103" t="inlineStr">
        <is>
          <t>FTL / Service Ticket #:</t>
        </is>
      </c>
      <c r="W5" s="1088" t="n"/>
      <c r="X5" s="1088" t="n"/>
      <c r="Y5" s="1088" t="n"/>
      <c r="Z5" s="1088" t="n"/>
      <c r="AA5" s="1094" t="n"/>
      <c r="AB5" s="1105">
        <f>'Master Data'!B15</f>
        <v/>
      </c>
      <c r="AC5" s="1088" t="n"/>
      <c r="AD5" s="1088" t="n"/>
      <c r="AE5" s="1088" t="n"/>
      <c r="AF5" s="1088" t="n"/>
      <c r="AG5" s="1088" t="n"/>
      <c r="AH5" s="1088" t="n"/>
      <c r="AI5" s="1088" t="n"/>
      <c r="AJ5" s="1088" t="n"/>
      <c r="AK5" s="1088" t="n"/>
      <c r="AL5" s="1094" t="n"/>
      <c r="AM5" s="1095" t="n"/>
      <c r="AN5" s="1096" t="n"/>
      <c r="AO5" s="1097" t="n"/>
      <c r="AP5" s="1085" t="n"/>
    </row>
    <row r="6" ht="18.75" customHeight="1" s="557">
      <c r="A6" s="1085" t="n"/>
      <c r="B6" s="1106" t="n"/>
      <c r="C6" s="1101" t="inlineStr">
        <is>
          <t>Rig name:</t>
        </is>
      </c>
      <c r="D6" s="1102">
        <f>'Master Data'!E11</f>
        <v/>
      </c>
      <c r="E6" s="1088" t="n"/>
      <c r="F6" s="1088" t="n"/>
      <c r="G6" s="1088" t="n"/>
      <c r="H6" s="1094" t="n"/>
      <c r="I6" s="1103" t="inlineStr">
        <is>
          <t>Customer RO  #:</t>
        </is>
      </c>
      <c r="J6" s="1088" t="n"/>
      <c r="K6" s="1088" t="n"/>
      <c r="L6" s="1088" t="n"/>
      <c r="M6" s="1088" t="n"/>
      <c r="N6" s="1088" t="n"/>
      <c r="O6" s="1094" t="n"/>
      <c r="P6" s="1104">
        <f>'Master Data'!B11</f>
        <v/>
      </c>
      <c r="Q6" s="1088" t="n"/>
      <c r="R6" s="1088" t="n"/>
      <c r="S6" s="1088" t="n"/>
      <c r="T6" s="1088" t="n"/>
      <c r="U6" s="1088" t="n"/>
      <c r="V6" s="1103" t="inlineStr">
        <is>
          <t xml:space="preserve">Date </t>
        </is>
      </c>
      <c r="W6" s="1088" t="n"/>
      <c r="X6" s="1088" t="n"/>
      <c r="Y6" s="1088" t="n"/>
      <c r="Z6" s="1088" t="n"/>
      <c r="AA6" s="1094" t="n"/>
      <c r="AB6" s="1107" t="inlineStr">
        <is>
          <t xml:space="preserve">From </t>
        </is>
      </c>
      <c r="AC6" s="1088" t="n"/>
      <c r="AD6" s="1108">
        <f>'Master Data'!E12</f>
        <v/>
      </c>
      <c r="AE6" s="1088" t="n"/>
      <c r="AF6" s="1088" t="n"/>
      <c r="AG6" s="1088" t="n"/>
      <c r="AH6" s="1109" t="inlineStr">
        <is>
          <t>To:</t>
        </is>
      </c>
      <c r="AI6" s="1110">
        <f>'Master Data'!E15</f>
        <v/>
      </c>
      <c r="AJ6" s="1088" t="n"/>
      <c r="AK6" s="1088" t="n"/>
      <c r="AL6" s="1094" t="n"/>
      <c r="AM6" s="1111" t="n"/>
      <c r="AN6" s="1112" t="n"/>
      <c r="AO6" s="1113" t="n"/>
      <c r="AP6" s="1085" t="n"/>
    </row>
    <row r="7" ht="15" customHeight="1" s="557">
      <c r="A7" s="1085" t="n"/>
      <c r="B7" s="1114" t="inlineStr">
        <is>
          <t xml:space="preserve">Weatherford </t>
        </is>
      </c>
      <c r="C7" s="1101" t="inlineStr">
        <is>
          <t>Well Number:</t>
        </is>
      </c>
      <c r="D7" s="1102">
        <f>'Master Data'!E10</f>
        <v/>
      </c>
      <c r="E7" s="1088" t="n"/>
      <c r="F7" s="1088" t="n"/>
      <c r="G7" s="1088" t="n"/>
      <c r="H7" s="1094" t="n"/>
      <c r="I7" s="1103" t="inlineStr">
        <is>
          <t>Services performed:</t>
        </is>
      </c>
      <c r="J7" s="1088" t="n"/>
      <c r="K7" s="1088" t="n"/>
      <c r="L7" s="1088" t="n"/>
      <c r="M7" s="1088" t="n"/>
      <c r="N7" s="1088" t="n"/>
      <c r="O7" s="1094" t="n"/>
      <c r="P7" s="1115">
        <f>'Master Data'!E4</f>
        <v/>
      </c>
      <c r="Q7" s="1088" t="n"/>
      <c r="R7" s="1088" t="n"/>
      <c r="S7" s="1088" t="n"/>
      <c r="T7" s="1088" t="n"/>
      <c r="U7" s="1088" t="n"/>
      <c r="V7" s="1088" t="n"/>
      <c r="W7" s="1088" t="n"/>
      <c r="X7" s="1088" t="n"/>
      <c r="Y7" s="1088" t="n"/>
      <c r="Z7" s="1088" t="n"/>
      <c r="AA7" s="1088" t="n"/>
      <c r="AB7" s="1088" t="n"/>
      <c r="AC7" s="1088" t="n"/>
      <c r="AD7" s="1088" t="n"/>
      <c r="AE7" s="1088" t="n"/>
      <c r="AF7" s="1088" t="n"/>
      <c r="AG7" s="1088" t="n"/>
      <c r="AH7" s="1088" t="n"/>
      <c r="AI7" s="1088" t="n"/>
      <c r="AJ7" s="1088" t="n"/>
      <c r="AK7" s="1088" t="n"/>
      <c r="AL7" s="1094" t="n"/>
      <c r="AM7" s="1116" t="inlineStr">
        <is>
          <t>AON-STD-PET-24-0</t>
        </is>
      </c>
      <c r="AN7" s="1088" t="n"/>
      <c r="AO7" s="1094" t="n"/>
      <c r="AP7" s="1085" t="n"/>
    </row>
    <row r="8" ht="15" customHeight="1" s="557">
      <c r="A8" s="1085" t="n"/>
      <c r="B8" s="1117" t="n"/>
      <c r="C8" s="1118" t="n"/>
      <c r="D8" s="1119">
        <f>IF(TEXT(AD6,"mmm")=TEXT(AI6,"mmm"),TEXT(AD6,"mmm/yyy"),IF(TEXT(AD6,"yyyy")=TEXT(AI6,"yyyy"),TEXT(AD6,"mmm")&amp;" - "&amp;TEXT(AI6,"mmm")&amp;"/"&amp;TEXT(AI6,"yyyy"),TEXT(AD6,"mmm/yyyy")&amp;" - "&amp;TEXT(AI6,"mmm/yyyy")))</f>
        <v/>
      </c>
      <c r="E8" s="1088" t="n"/>
      <c r="F8" s="1088" t="n"/>
      <c r="G8" s="1088" t="n"/>
      <c r="H8" s="1088" t="n"/>
      <c r="I8" s="1088" t="n"/>
      <c r="J8" s="1088" t="n"/>
      <c r="K8" s="1088" t="n"/>
      <c r="L8" s="1088" t="n"/>
      <c r="M8" s="1088" t="n"/>
      <c r="N8" s="1088" t="n"/>
      <c r="O8" s="1088" t="n"/>
      <c r="P8" s="1088" t="n"/>
      <c r="Q8" s="1088" t="n"/>
      <c r="R8" s="1088" t="n"/>
      <c r="S8" s="1088" t="n"/>
      <c r="T8" s="1088" t="n"/>
      <c r="U8" s="1088" t="n"/>
      <c r="V8" s="1088" t="n"/>
      <c r="W8" s="1088" t="n"/>
      <c r="X8" s="1088" t="n"/>
      <c r="Y8" s="1088" t="n"/>
      <c r="Z8" s="1088" t="n"/>
      <c r="AA8" s="1088" t="n"/>
      <c r="AB8" s="1088" t="n"/>
      <c r="AC8" s="1088" t="n"/>
      <c r="AD8" s="1088" t="n"/>
      <c r="AE8" s="1088" t="n"/>
      <c r="AF8" s="1088" t="n"/>
      <c r="AG8" s="1088" t="n"/>
      <c r="AH8" s="1088" t="n"/>
      <c r="AI8" s="1088" t="n"/>
      <c r="AJ8" s="1088" t="n"/>
      <c r="AK8" s="1088" t="n"/>
      <c r="AL8" s="1094" t="n"/>
      <c r="AM8" s="1120" t="inlineStr">
        <is>
          <t>ADNOC ONSHORE</t>
        </is>
      </c>
      <c r="AN8" s="1088" t="n"/>
      <c r="AO8" s="1094" t="n"/>
      <c r="AP8" s="1121" t="n"/>
    </row>
    <row r="9" ht="18" customHeight="1" s="557">
      <c r="A9" s="1085" t="n"/>
      <c r="B9" s="1122" t="inlineStr">
        <is>
          <t xml:space="preserve">Eng Name </t>
        </is>
      </c>
      <c r="C9" s="1122" t="inlineStr">
        <is>
          <t xml:space="preserve">Designation </t>
        </is>
      </c>
      <c r="D9" s="1123">
        <f>$AD$6</f>
        <v/>
      </c>
      <c r="E9" s="1123">
        <f>D9+1</f>
        <v/>
      </c>
      <c r="F9" s="1123">
        <f>E9+1</f>
        <v/>
      </c>
      <c r="G9" s="1123">
        <f>F9+1</f>
        <v/>
      </c>
      <c r="H9" s="1123">
        <f>G9+1</f>
        <v/>
      </c>
      <c r="I9" s="1123">
        <f>H9+1</f>
        <v/>
      </c>
      <c r="J9" s="1123">
        <f>I9+1</f>
        <v/>
      </c>
      <c r="K9" s="1123">
        <f>J9+1</f>
        <v/>
      </c>
      <c r="L9" s="1123">
        <f>K9+1</f>
        <v/>
      </c>
      <c r="M9" s="1123">
        <f>L9+1</f>
        <v/>
      </c>
      <c r="N9" s="1123">
        <f>M9+1</f>
        <v/>
      </c>
      <c r="O9" s="1123">
        <f>N9+1</f>
        <v/>
      </c>
      <c r="P9" s="1123">
        <f>O9+1</f>
        <v/>
      </c>
      <c r="Q9" s="1123">
        <f>P9+1</f>
        <v/>
      </c>
      <c r="R9" s="1123">
        <f>Q9+1</f>
        <v/>
      </c>
      <c r="S9" s="1123">
        <f>R9+1</f>
        <v/>
      </c>
      <c r="T9" s="1123">
        <f>S9+1</f>
        <v/>
      </c>
      <c r="U9" s="1123">
        <f>T9+1</f>
        <v/>
      </c>
      <c r="V9" s="1123">
        <f>U9+1</f>
        <v/>
      </c>
      <c r="W9" s="1123">
        <f>V9+1</f>
        <v/>
      </c>
      <c r="X9" s="1123">
        <f>W9+1</f>
        <v/>
      </c>
      <c r="Y9" s="1123">
        <f>X9+1</f>
        <v/>
      </c>
      <c r="Z9" s="1123">
        <f>Y9+1</f>
        <v/>
      </c>
      <c r="AA9" s="1123">
        <f>Z9+1</f>
        <v/>
      </c>
      <c r="AB9" s="1123">
        <f>AA9+1</f>
        <v/>
      </c>
      <c r="AC9" s="1123">
        <f>AB9+1</f>
        <v/>
      </c>
      <c r="AD9" s="1123">
        <f>AC9+1</f>
        <v/>
      </c>
      <c r="AE9" s="1123">
        <f>AD9+1</f>
        <v/>
      </c>
      <c r="AF9" s="1123">
        <f>AE9+1</f>
        <v/>
      </c>
      <c r="AG9" s="1123">
        <f>AF9+1</f>
        <v/>
      </c>
      <c r="AH9" s="1123">
        <f>AG9+1</f>
        <v/>
      </c>
      <c r="AI9" s="1123">
        <f>AH9+1</f>
        <v/>
      </c>
      <c r="AJ9" s="1123">
        <f>AI9+1</f>
        <v/>
      </c>
      <c r="AK9" s="1123">
        <f>AJ9+1</f>
        <v/>
      </c>
      <c r="AL9" s="1123">
        <f>AK9+1</f>
        <v/>
      </c>
      <c r="AM9" s="1124" t="inlineStr">
        <is>
          <t>Total Days</t>
        </is>
      </c>
      <c r="AN9" s="1096" t="n"/>
      <c r="AO9" s="1097" t="n"/>
      <c r="AP9" s="1085" t="n"/>
    </row>
    <row r="10" ht="15.75" customHeight="1" s="557">
      <c r="A10" s="1085" t="n"/>
      <c r="B10" s="1092" t="n"/>
      <c r="C10" s="1092" t="n"/>
      <c r="D10" s="1106" t="n"/>
      <c r="E10" s="1106" t="n"/>
      <c r="F10" s="1106" t="n"/>
      <c r="G10" s="1106" t="n"/>
      <c r="H10" s="1106" t="n"/>
      <c r="I10" s="1106" t="n"/>
      <c r="J10" s="1106" t="n"/>
      <c r="K10" s="1106" t="n"/>
      <c r="L10" s="1106" t="n"/>
      <c r="M10" s="1106" t="n"/>
      <c r="N10" s="1106" t="n"/>
      <c r="O10" s="1106" t="n"/>
      <c r="P10" s="1106" t="n"/>
      <c r="Q10" s="1106" t="n"/>
      <c r="R10" s="1106" t="n"/>
      <c r="S10" s="1106" t="n"/>
      <c r="T10" s="1106" t="n"/>
      <c r="U10" s="1106" t="n"/>
      <c r="V10" s="1106" t="n"/>
      <c r="W10" s="1106" t="n"/>
      <c r="X10" s="1106" t="n"/>
      <c r="Y10" s="1106" t="n"/>
      <c r="Z10" s="1106" t="n"/>
      <c r="AA10" s="1106" t="n"/>
      <c r="AB10" s="1106" t="n"/>
      <c r="AC10" s="1106" t="n"/>
      <c r="AD10" s="1106" t="n"/>
      <c r="AE10" s="1106" t="n"/>
      <c r="AF10" s="1106" t="n"/>
      <c r="AG10" s="1106" t="n"/>
      <c r="AH10" s="1106" t="n"/>
      <c r="AI10" s="1106" t="n"/>
      <c r="AJ10" s="1106" t="n"/>
      <c r="AK10" s="1106" t="n"/>
      <c r="AL10" s="1106" t="n"/>
      <c r="AM10" s="1095" t="n"/>
      <c r="AN10" s="1096" t="n"/>
      <c r="AO10" s="1097" t="n"/>
      <c r="AP10" s="1085" t="n"/>
    </row>
    <row r="11" ht="13.5" customHeight="1" s="557">
      <c r="A11" s="1085" t="n"/>
      <c r="B11" s="1106" t="n"/>
      <c r="C11" s="1106" t="n"/>
      <c r="D11" s="1122" t="inlineStr">
        <is>
          <t>Personnel</t>
        </is>
      </c>
      <c r="E11" s="1088" t="n"/>
      <c r="F11" s="1088" t="n"/>
      <c r="G11" s="1088" t="n"/>
      <c r="H11" s="1088" t="n"/>
      <c r="I11" s="1088" t="n"/>
      <c r="J11" s="1088" t="n"/>
      <c r="K11" s="1088" t="n"/>
      <c r="L11" s="1088" t="n"/>
      <c r="M11" s="1088" t="n"/>
      <c r="N11" s="1088" t="n"/>
      <c r="O11" s="1088" t="n"/>
      <c r="P11" s="1088" t="n"/>
      <c r="Q11" s="1088" t="n"/>
      <c r="R11" s="1088" t="n"/>
      <c r="S11" s="1088" t="n"/>
      <c r="T11" s="1088" t="n"/>
      <c r="U11" s="1088" t="n"/>
      <c r="V11" s="1088" t="n"/>
      <c r="W11" s="1088" t="n"/>
      <c r="X11" s="1088" t="n"/>
      <c r="Y11" s="1088" t="n"/>
      <c r="Z11" s="1088" t="n"/>
      <c r="AA11" s="1088" t="n"/>
      <c r="AB11" s="1088" t="n"/>
      <c r="AC11" s="1088" t="n"/>
      <c r="AD11" s="1088" t="n"/>
      <c r="AE11" s="1088" t="n"/>
      <c r="AF11" s="1088" t="n"/>
      <c r="AG11" s="1088" t="n"/>
      <c r="AH11" s="1088" t="n"/>
      <c r="AI11" s="1088" t="n"/>
      <c r="AJ11" s="1088" t="n"/>
      <c r="AK11" s="1088" t="n"/>
      <c r="AL11" s="1094" t="n"/>
      <c r="AM11" s="1111" t="n"/>
      <c r="AN11" s="1112" t="n"/>
      <c r="AO11" s="1113" t="n"/>
      <c r="AP11" s="1085" t="n"/>
    </row>
    <row r="12" ht="14.25" customFormat="1" customHeight="1" s="1125">
      <c r="A12" s="1126" t="n"/>
      <c r="B12" s="1127">
        <f>IF('Master Data'!H3="","",'Master Data'!H3)</f>
        <v/>
      </c>
      <c r="C12" s="1127">
        <f>IF('Master Data'!I3="","",'Master Data'!I3)</f>
        <v/>
      </c>
      <c r="D12" s="1128" t="inlineStr">
        <is>
          <t>x</t>
        </is>
      </c>
      <c r="E12" s="1128" t="inlineStr">
        <is>
          <t>x</t>
        </is>
      </c>
      <c r="F12" s="1128" t="inlineStr">
        <is>
          <t>x</t>
        </is>
      </c>
      <c r="G12" s="1128" t="inlineStr">
        <is>
          <t>x</t>
        </is>
      </c>
      <c r="H12" s="1128" t="inlineStr">
        <is>
          <t>x</t>
        </is>
      </c>
      <c r="I12" s="1128" t="inlineStr">
        <is>
          <t>x</t>
        </is>
      </c>
      <c r="J12" s="1128" t="inlineStr">
        <is>
          <t>x</t>
        </is>
      </c>
      <c r="K12" s="1128" t="inlineStr">
        <is>
          <t>x</t>
        </is>
      </c>
      <c r="L12" s="1128" t="inlineStr">
        <is>
          <t>x</t>
        </is>
      </c>
      <c r="M12" s="1128" t="inlineStr">
        <is>
          <t>x</t>
        </is>
      </c>
      <c r="N12" s="1128" t="inlineStr">
        <is>
          <t>x</t>
        </is>
      </c>
      <c r="O12" s="1128" t="inlineStr">
        <is>
          <t>x</t>
        </is>
      </c>
      <c r="P12" s="1128" t="inlineStr">
        <is>
          <t>x</t>
        </is>
      </c>
      <c r="Q12" s="1128" t="inlineStr">
        <is>
          <t>x</t>
        </is>
      </c>
      <c r="R12" s="1128" t="inlineStr">
        <is>
          <t>x</t>
        </is>
      </c>
      <c r="S12" s="1128" t="inlineStr">
        <is>
          <t>x</t>
        </is>
      </c>
      <c r="T12" s="1128" t="inlineStr">
        <is>
          <t>x</t>
        </is>
      </c>
      <c r="U12" s="1128" t="inlineStr">
        <is>
          <t>x</t>
        </is>
      </c>
      <c r="V12" s="1128" t="inlineStr">
        <is>
          <t>x</t>
        </is>
      </c>
      <c r="W12" s="1128" t="inlineStr">
        <is>
          <t>x</t>
        </is>
      </c>
      <c r="X12" s="1128" t="inlineStr">
        <is>
          <t>x</t>
        </is>
      </c>
      <c r="Y12" s="1128" t="inlineStr">
        <is>
          <t>x</t>
        </is>
      </c>
      <c r="Z12" s="1128" t="inlineStr">
        <is>
          <t>x</t>
        </is>
      </c>
      <c r="AA12" s="1128" t="n"/>
      <c r="AB12" s="1128" t="n"/>
      <c r="AC12" s="1128" t="n"/>
      <c r="AD12" s="1128" t="n"/>
      <c r="AE12" s="1128" t="n"/>
      <c r="AF12" s="1128" t="n"/>
      <c r="AG12" s="1128" t="n"/>
      <c r="AH12" s="1128" t="n"/>
      <c r="AI12" s="1128" t="n"/>
      <c r="AJ12" s="1128" t="n"/>
      <c r="AK12" s="1128" t="n"/>
      <c r="AL12" s="1128" t="n"/>
      <c r="AM12" s="615">
        <f>IF(COUNTA(D12:AL12)=0,"",COUNTA(D12:AL12))</f>
        <v/>
      </c>
      <c r="AN12" s="1088" t="n"/>
      <c r="AO12" s="1094" t="n"/>
      <c r="AP12" s="1126" t="n"/>
      <c r="AR12" s="1125">
        <f>IF(D12="X",1,0)</f>
        <v/>
      </c>
      <c r="AS12" s="1125">
        <f>IF(E12="X",1,0)</f>
        <v/>
      </c>
      <c r="AT12" s="1125">
        <f>IF(F12="X",1,0)</f>
        <v/>
      </c>
      <c r="AU12" s="1125">
        <f>IF(G12="X",1,0)</f>
        <v/>
      </c>
      <c r="AV12" s="1125">
        <f>IF(H12="X",1,0)</f>
        <v/>
      </c>
      <c r="AW12" s="1125">
        <f>IF(I12="X",1,0)</f>
        <v/>
      </c>
      <c r="AX12" s="1125">
        <f>IF(J12="X",1,0)</f>
        <v/>
      </c>
      <c r="AY12" s="1125">
        <f>IF(K12="X",1,0)</f>
        <v/>
      </c>
      <c r="AZ12" s="1125">
        <f>IF(L12="X",1,0)</f>
        <v/>
      </c>
      <c r="BA12" s="1125">
        <f>IF(M12="X",1,0)</f>
        <v/>
      </c>
      <c r="BB12" s="1125">
        <f>IF(N12="X",1,0)</f>
        <v/>
      </c>
      <c r="BC12" s="1125">
        <f>IF(O12="X",1,0)</f>
        <v/>
      </c>
      <c r="BD12" s="1125">
        <f>IF(P12="X",1,0)</f>
        <v/>
      </c>
      <c r="BE12" s="1125">
        <f>IF(Q12="X",1,0)</f>
        <v/>
      </c>
      <c r="BF12" s="1125">
        <f>IF(R12="X",1,0)</f>
        <v/>
      </c>
      <c r="BG12" s="1125">
        <f>IF(S12="X",1,0)</f>
        <v/>
      </c>
      <c r="BH12" s="1125">
        <f>IF(T12="X",1,0)</f>
        <v/>
      </c>
      <c r="BI12" s="1125">
        <f>IF(U12="X",1,0)</f>
        <v/>
      </c>
      <c r="BJ12" s="1125">
        <f>IF(V12="X",1,0)</f>
        <v/>
      </c>
      <c r="BK12" s="1125">
        <f>IF(W12="X",1,0)</f>
        <v/>
      </c>
      <c r="BL12" s="1125">
        <f>IF(X12="X",1,0)</f>
        <v/>
      </c>
      <c r="BM12" s="1125">
        <f>IF(Y12="X",1,0)</f>
        <v/>
      </c>
      <c r="BN12" s="1125">
        <f>IF(Z12="X",1,0)</f>
        <v/>
      </c>
      <c r="BO12" s="1125">
        <f>IF(AA12="X",1,0)</f>
        <v/>
      </c>
      <c r="BP12" s="1125">
        <f>IF(AB12="X",1,0)</f>
        <v/>
      </c>
      <c r="BQ12" s="1125">
        <f>IF(AC12="X",1,0)</f>
        <v/>
      </c>
      <c r="BR12" s="1125">
        <f>IF(AD12="X",1,0)</f>
        <v/>
      </c>
      <c r="BS12" s="1125">
        <f>IF(AE12="X",1,0)</f>
        <v/>
      </c>
      <c r="BT12" s="1125">
        <f>IF(AF12="X",1,0)</f>
        <v/>
      </c>
      <c r="BU12" s="1125">
        <f>IF(AG12="X",1,0)</f>
        <v/>
      </c>
      <c r="BV12" s="1125">
        <f>IF(AH12="X",1,0)</f>
        <v/>
      </c>
      <c r="BW12" s="1125">
        <f>IF(AI12="X",1,0)</f>
        <v/>
      </c>
      <c r="BX12" s="1125">
        <f>IF(AJ12="X",1,0)</f>
        <v/>
      </c>
      <c r="BY12" s="1125">
        <f>IF(AK12="X",1,0)</f>
        <v/>
      </c>
      <c r="BZ12" s="1125">
        <f>IF(AL12="X",1,0)</f>
        <v/>
      </c>
      <c r="CA12" s="1125">
        <f>IF(AM12="X",1,0)</f>
        <v/>
      </c>
      <c r="CB12" s="1125">
        <f>IF(AN12="X",1,0)</f>
        <v/>
      </c>
    </row>
    <row r="13" ht="14.25" customFormat="1" customHeight="1" s="1125">
      <c r="A13" s="1126" t="n"/>
      <c r="B13" s="1127">
        <f>IF('Master Data'!H4="","",'Master Data'!H4)</f>
        <v/>
      </c>
      <c r="C13" s="1127">
        <f>IF('Master Data'!I4="","",'Master Data'!I4)</f>
        <v/>
      </c>
      <c r="D13" s="1128" t="n"/>
      <c r="E13" s="1128" t="n"/>
      <c r="F13" s="1128" t="n"/>
      <c r="G13" s="1128" t="inlineStr">
        <is>
          <t>x</t>
        </is>
      </c>
      <c r="H13" s="1128" t="inlineStr">
        <is>
          <t>x</t>
        </is>
      </c>
      <c r="I13" s="1128" t="inlineStr">
        <is>
          <t>x</t>
        </is>
      </c>
      <c r="J13" s="1128" t="n"/>
      <c r="K13" s="1128" t="n"/>
      <c r="L13" s="1128" t="n"/>
      <c r="M13" s="1128" t="n"/>
      <c r="N13" s="1128" t="n"/>
      <c r="O13" s="1128" t="n"/>
      <c r="P13" s="1128" t="n"/>
      <c r="Q13" s="1128" t="n"/>
      <c r="R13" s="1128" t="n"/>
      <c r="S13" s="1128" t="n"/>
      <c r="T13" s="1128" t="n"/>
      <c r="U13" s="1128" t="n"/>
      <c r="V13" s="1128" t="n"/>
      <c r="W13" s="1128" t="n"/>
      <c r="X13" s="1128" t="n"/>
      <c r="Y13" s="1128" t="n"/>
      <c r="Z13" s="1128" t="n"/>
      <c r="AA13" s="1128" t="n"/>
      <c r="AB13" s="1129" t="n"/>
      <c r="AC13" s="1129" t="n"/>
      <c r="AD13" s="1129" t="n"/>
      <c r="AE13" s="1129" t="n"/>
      <c r="AF13" s="1129" t="n"/>
      <c r="AG13" s="1129" t="n"/>
      <c r="AH13" s="1129" t="n"/>
      <c r="AI13" s="1129" t="n"/>
      <c r="AJ13" s="1128" t="n"/>
      <c r="AK13" s="1128" t="n"/>
      <c r="AL13" s="1128" t="n"/>
      <c r="AM13" s="615">
        <f>IF(COUNTA(D13:AL13)=0,"",COUNTA(D13:AL13))</f>
        <v/>
      </c>
      <c r="AN13" s="1088" t="n"/>
      <c r="AO13" s="1094" t="n"/>
      <c r="AP13" s="1126" t="n"/>
      <c r="AR13" s="1125">
        <f>IF(D13="X",1,0)</f>
        <v/>
      </c>
      <c r="AS13" s="1125">
        <f>IF(E13="X",1,0)</f>
        <v/>
      </c>
      <c r="AT13" s="1125">
        <f>IF(F13="X",1,0)</f>
        <v/>
      </c>
      <c r="AU13" s="1125">
        <f>IF(G13="X",1,0)</f>
        <v/>
      </c>
      <c r="AV13" s="1125">
        <f>IF(H13="X",1,0)</f>
        <v/>
      </c>
      <c r="AW13" s="1125">
        <f>IF(I13="X",1,0)</f>
        <v/>
      </c>
      <c r="AX13" s="1125">
        <f>IF(J13="X",1,0)</f>
        <v/>
      </c>
      <c r="AY13" s="1125">
        <f>IF(K13="X",1,0)</f>
        <v/>
      </c>
      <c r="AZ13" s="1125">
        <f>IF(L13="X",1,0)</f>
        <v/>
      </c>
      <c r="BA13" s="1125">
        <f>IF(M13="X",1,0)</f>
        <v/>
      </c>
      <c r="BB13" s="1125">
        <f>IF(N13="X",1,0)</f>
        <v/>
      </c>
      <c r="BC13" s="1125">
        <f>IF(O13="X",1,0)</f>
        <v/>
      </c>
      <c r="BD13" s="1125">
        <f>IF(P13="X",1,0)</f>
        <v/>
      </c>
      <c r="BE13" s="1125">
        <f>IF(Q13="X",1,0)</f>
        <v/>
      </c>
      <c r="BF13" s="1125">
        <f>IF(R13="X",1,0)</f>
        <v/>
      </c>
      <c r="BG13" s="1125">
        <f>IF(S13="X",1,0)</f>
        <v/>
      </c>
      <c r="BH13" s="1125">
        <f>IF(T13="X",1,0)</f>
        <v/>
      </c>
      <c r="BI13" s="1125">
        <f>IF(U13="X",1,0)</f>
        <v/>
      </c>
      <c r="BJ13" s="1125">
        <f>IF(V13="X",1,0)</f>
        <v/>
      </c>
      <c r="BK13" s="1125">
        <f>IF(W13="X",1,0)</f>
        <v/>
      </c>
      <c r="BL13" s="1125">
        <f>IF(X13="X",1,0)</f>
        <v/>
      </c>
      <c r="BM13" s="1125">
        <f>IF(Y13="X",1,0)</f>
        <v/>
      </c>
      <c r="BN13" s="1125">
        <f>IF(Z13="X",1,0)</f>
        <v/>
      </c>
      <c r="BO13" s="1125">
        <f>IF(AA13="X",1,0)</f>
        <v/>
      </c>
      <c r="BP13" s="1125">
        <f>IF(AB13="X",1,0)</f>
        <v/>
      </c>
      <c r="BQ13" s="1125">
        <f>IF(AC13="X",1,0)</f>
        <v/>
      </c>
      <c r="BR13" s="1125">
        <f>IF(AD13="X",1,0)</f>
        <v/>
      </c>
      <c r="BS13" s="1125">
        <f>IF(AE13="X",1,0)</f>
        <v/>
      </c>
      <c r="BT13" s="1125">
        <f>IF(AF13="X",1,0)</f>
        <v/>
      </c>
      <c r="BU13" s="1125">
        <f>IF(AG13="X",1,0)</f>
        <v/>
      </c>
      <c r="BV13" s="1125">
        <f>IF(AH13="X",1,0)</f>
        <v/>
      </c>
      <c r="BW13" s="1125">
        <f>IF(AI13="X",1,0)</f>
        <v/>
      </c>
      <c r="BX13" s="1125">
        <f>IF(AJ13="X",1,0)</f>
        <v/>
      </c>
      <c r="BY13" s="1125">
        <f>IF(AK13="X",1,0)</f>
        <v/>
      </c>
      <c r="BZ13" s="1125">
        <f>IF(AL13="X",1,0)</f>
        <v/>
      </c>
      <c r="CA13" s="1125">
        <f>IF(AM13="X",1,0)</f>
        <v/>
      </c>
      <c r="CB13" s="1125">
        <f>IF(AN13="X",1,0)</f>
        <v/>
      </c>
    </row>
    <row r="14" ht="14.25" customFormat="1" customHeight="1" s="1125">
      <c r="A14" s="1126" t="n"/>
      <c r="B14" s="1127">
        <f>IF('Master Data'!H8="","",'Master Data'!H8)</f>
        <v/>
      </c>
      <c r="C14" s="1127">
        <f>IF('Master Data'!I8="","",'Master Data'!I8)</f>
        <v/>
      </c>
      <c r="D14" s="1128" t="n"/>
      <c r="E14" s="1128" t="n"/>
      <c r="F14" s="1128" t="n"/>
      <c r="G14" s="1128" t="n"/>
      <c r="H14" s="1128" t="n"/>
      <c r="I14" s="1128" t="n"/>
      <c r="J14" s="1128" t="n"/>
      <c r="K14" s="1128" t="n"/>
      <c r="L14" s="1128" t="n"/>
      <c r="M14" s="1128" t="n"/>
      <c r="N14" s="1128" t="n"/>
      <c r="O14" s="1128" t="n"/>
      <c r="P14" s="1128" t="n"/>
      <c r="Q14" s="1128" t="n"/>
      <c r="R14" s="1128" t="n"/>
      <c r="S14" s="1128" t="n"/>
      <c r="T14" s="1128" t="n"/>
      <c r="U14" s="1128" t="n"/>
      <c r="V14" s="1128" t="n"/>
      <c r="W14" s="1128" t="n"/>
      <c r="X14" s="1128" t="n"/>
      <c r="Y14" s="1128" t="n"/>
      <c r="Z14" s="1128" t="n"/>
      <c r="AA14" s="1129" t="n"/>
      <c r="AB14" s="1129" t="n"/>
      <c r="AC14" s="1129" t="n"/>
      <c r="AD14" s="1129" t="n"/>
      <c r="AE14" s="1129" t="n"/>
      <c r="AF14" s="1129" t="n"/>
      <c r="AG14" s="1129" t="n"/>
      <c r="AH14" s="1129" t="n"/>
      <c r="AI14" s="1128" t="n"/>
      <c r="AJ14" s="1128" t="n"/>
      <c r="AK14" s="1128" t="n"/>
      <c r="AL14" s="1128" t="n"/>
      <c r="AM14" s="615">
        <f>IF(COUNTA(D14:AL14)=0,"",COUNTA(D14:AL14))</f>
        <v/>
      </c>
      <c r="AN14" s="1088" t="n"/>
      <c r="AO14" s="1094" t="n"/>
      <c r="AP14" s="1126" t="n"/>
      <c r="AR14" s="1125">
        <f>IF(D14="X",1,0)</f>
        <v/>
      </c>
      <c r="AS14" s="1125">
        <f>IF(E14="X",1,0)</f>
        <v/>
      </c>
      <c r="AT14" s="1125">
        <f>IF(F14="X",1,0)</f>
        <v/>
      </c>
      <c r="AU14" s="1125">
        <f>IF(G14="X",1,0)</f>
        <v/>
      </c>
      <c r="AV14" s="1125">
        <f>IF(H14="X",1,0)</f>
        <v/>
      </c>
      <c r="AW14" s="1125">
        <f>IF(I14="X",1,0)</f>
        <v/>
      </c>
      <c r="AX14" s="1125">
        <f>IF(J14="X",1,0)</f>
        <v/>
      </c>
      <c r="AY14" s="1125">
        <f>IF(K14="X",1,0)</f>
        <v/>
      </c>
      <c r="AZ14" s="1125">
        <f>IF(L14="X",1,0)</f>
        <v/>
      </c>
      <c r="BA14" s="1125">
        <f>IF(M14="X",1,0)</f>
        <v/>
      </c>
      <c r="BB14" s="1125">
        <f>IF(N14="X",1,0)</f>
        <v/>
      </c>
      <c r="BC14" s="1125">
        <f>IF(O14="X",1,0)</f>
        <v/>
      </c>
      <c r="BD14" s="1125">
        <f>IF(P14="X",1,0)</f>
        <v/>
      </c>
      <c r="BE14" s="1125">
        <f>IF(Q14="X",1,0)</f>
        <v/>
      </c>
      <c r="BF14" s="1125">
        <f>IF(R14="X",1,0)</f>
        <v/>
      </c>
      <c r="BG14" s="1125">
        <f>IF(S14="X",1,0)</f>
        <v/>
      </c>
      <c r="BH14" s="1125">
        <f>IF(T14="X",1,0)</f>
        <v/>
      </c>
      <c r="BI14" s="1125">
        <f>IF(U14="X",1,0)</f>
        <v/>
      </c>
      <c r="BJ14" s="1125">
        <f>IF(V14="X",1,0)</f>
        <v/>
      </c>
      <c r="BK14" s="1125">
        <f>IF(W14="X",1,0)</f>
        <v/>
      </c>
      <c r="BL14" s="1125">
        <f>IF(X14="X",1,0)</f>
        <v/>
      </c>
      <c r="BM14" s="1125">
        <f>IF(Y14="X",1,0)</f>
        <v/>
      </c>
      <c r="BN14" s="1125">
        <f>IF(Z14="X",1,0)</f>
        <v/>
      </c>
      <c r="BO14" s="1125">
        <f>IF(AA14="X",1,0)</f>
        <v/>
      </c>
      <c r="BP14" s="1125">
        <f>IF(AB14="X",1,0)</f>
        <v/>
      </c>
      <c r="BQ14" s="1125">
        <f>IF(AC14="X",1,0)</f>
        <v/>
      </c>
      <c r="BR14" s="1125">
        <f>IF(AD14="X",1,0)</f>
        <v/>
      </c>
      <c r="BS14" s="1125">
        <f>IF(AE14="X",1,0)</f>
        <v/>
      </c>
      <c r="BT14" s="1125">
        <f>IF(AF14="X",1,0)</f>
        <v/>
      </c>
      <c r="BU14" s="1125">
        <f>IF(AG14="X",1,0)</f>
        <v/>
      </c>
      <c r="BV14" s="1125">
        <f>IF(AH14="X",1,0)</f>
        <v/>
      </c>
      <c r="BW14" s="1125">
        <f>IF(AI14="X",1,0)</f>
        <v/>
      </c>
      <c r="BX14" s="1125">
        <f>IF(AJ14="X",1,0)</f>
        <v/>
      </c>
      <c r="BY14" s="1125">
        <f>IF(AK14="X",1,0)</f>
        <v/>
      </c>
      <c r="BZ14" s="1125">
        <f>IF(AL14="X",1,0)</f>
        <v/>
      </c>
      <c r="CA14" s="1125">
        <f>IF(AM14="X",1,0)</f>
        <v/>
      </c>
      <c r="CB14" s="1125">
        <f>IF(AN14="X",1,0)</f>
        <v/>
      </c>
    </row>
    <row r="15" ht="14.25" customFormat="1" customHeight="1" s="1125">
      <c r="A15" s="1126" t="n"/>
      <c r="B15" s="615">
        <f>IF('Master Data'!H10="","",'Master Data'!H10)</f>
        <v/>
      </c>
      <c r="C15" s="615">
        <f>IF('Master Data'!I10="","",'Master Data'!I10)</f>
        <v/>
      </c>
      <c r="D15" s="1128" t="n"/>
      <c r="E15" s="1128" t="n"/>
      <c r="F15" s="1128" t="n"/>
      <c r="G15" s="1128" t="n"/>
      <c r="H15" s="1128" t="n"/>
      <c r="I15" s="1128" t="n"/>
      <c r="J15" s="1128" t="n"/>
      <c r="K15" s="1128" t="n"/>
      <c r="L15" s="1128" t="n"/>
      <c r="M15" s="1128" t="n"/>
      <c r="N15" s="1128" t="n"/>
      <c r="O15" s="1128" t="n"/>
      <c r="P15" s="1128" t="n"/>
      <c r="Q15" s="1128" t="n"/>
      <c r="R15" s="1128" t="n"/>
      <c r="S15" s="1128" t="n"/>
      <c r="T15" s="1128" t="n"/>
      <c r="U15" s="1128" t="n"/>
      <c r="V15" s="1128" t="n"/>
      <c r="W15" s="1128" t="n"/>
      <c r="X15" s="1128" t="n"/>
      <c r="Y15" s="1128" t="n"/>
      <c r="Z15" s="1128" t="n"/>
      <c r="AA15" s="1128" t="n"/>
      <c r="AB15" s="1128" t="n"/>
      <c r="AC15" s="1128" t="n"/>
      <c r="AD15" s="1128" t="n"/>
      <c r="AE15" s="1128" t="n"/>
      <c r="AF15" s="1128" t="n"/>
      <c r="AG15" s="1128" t="n"/>
      <c r="AH15" s="1128" t="n"/>
      <c r="AI15" s="1128" t="n"/>
      <c r="AJ15" s="1128" t="n"/>
      <c r="AK15" s="1128" t="n"/>
      <c r="AL15" s="1128" t="n"/>
      <c r="AM15" s="615">
        <f>IF(COUNTA(D15:AL15)=0,"",COUNTA(D15:AL15))</f>
        <v/>
      </c>
      <c r="AN15" s="1088" t="n"/>
      <c r="AO15" s="1094" t="n"/>
      <c r="AP15" s="1126" t="n"/>
    </row>
    <row r="16" ht="14.25" customFormat="1" customHeight="1" s="1125">
      <c r="A16" s="1126" t="n"/>
      <c r="B16" s="615">
        <f>IF('Master Data'!H11="","",'Master Data'!H11)</f>
        <v/>
      </c>
      <c r="C16" s="615">
        <f>IF('Master Data'!I11="","",'Master Data'!I11)</f>
        <v/>
      </c>
      <c r="D16" s="1128" t="n"/>
      <c r="E16" s="1128" t="n"/>
      <c r="F16" s="1128" t="n"/>
      <c r="G16" s="1128" t="n"/>
      <c r="H16" s="1128" t="n"/>
      <c r="I16" s="1128" t="n"/>
      <c r="J16" s="1128" t="n"/>
      <c r="K16" s="1128" t="n"/>
      <c r="L16" s="1128" t="n"/>
      <c r="M16" s="1128" t="n"/>
      <c r="N16" s="1128" t="n"/>
      <c r="O16" s="1128" t="n"/>
      <c r="P16" s="1128" t="n"/>
      <c r="Q16" s="1128" t="n"/>
      <c r="R16" s="1128" t="n"/>
      <c r="S16" s="1128" t="n"/>
      <c r="T16" s="1128" t="n"/>
      <c r="U16" s="1128" t="n"/>
      <c r="V16" s="1128" t="n"/>
      <c r="W16" s="1128" t="n"/>
      <c r="X16" s="1128" t="n"/>
      <c r="Y16" s="1128" t="n"/>
      <c r="Z16" s="1128" t="n"/>
      <c r="AA16" s="1128" t="n"/>
      <c r="AB16" s="1128" t="n"/>
      <c r="AC16" s="1128" t="n"/>
      <c r="AD16" s="1128" t="n"/>
      <c r="AE16" s="1128" t="n"/>
      <c r="AF16" s="1128" t="n"/>
      <c r="AG16" s="1128" t="n"/>
      <c r="AH16" s="1128" t="n"/>
      <c r="AI16" s="1128" t="n"/>
      <c r="AJ16" s="1128" t="n"/>
      <c r="AK16" s="1128" t="n"/>
      <c r="AL16" s="1128" t="n"/>
      <c r="AM16" s="615">
        <f>IF(COUNTA(D16:AL16)=0,"",COUNTA(D16:AL16))</f>
        <v/>
      </c>
      <c r="AN16" s="1088" t="n"/>
      <c r="AO16" s="1094" t="n"/>
      <c r="AP16" s="1126" t="n"/>
    </row>
    <row r="17" ht="14.25" customFormat="1" customHeight="1" s="1125">
      <c r="A17" s="1126" t="n"/>
      <c r="B17" s="615">
        <f>IF('Master Data'!H12="","",'Master Data'!H12)</f>
        <v/>
      </c>
      <c r="C17" s="615">
        <f>IF('Master Data'!I12="","",'Master Data'!I12)</f>
        <v/>
      </c>
      <c r="D17" s="1128" t="n"/>
      <c r="E17" s="1128" t="n"/>
      <c r="F17" s="1128" t="n"/>
      <c r="G17" s="1128" t="n"/>
      <c r="H17" s="1128" t="n"/>
      <c r="I17" s="1128" t="n"/>
      <c r="J17" s="1128" t="n"/>
      <c r="K17" s="1128" t="n"/>
      <c r="L17" s="1128" t="n"/>
      <c r="M17" s="1128" t="n"/>
      <c r="N17" s="1128" t="n"/>
      <c r="O17" s="1128" t="n"/>
      <c r="P17" s="1128" t="n"/>
      <c r="Q17" s="1128" t="n"/>
      <c r="R17" s="1128" t="n"/>
      <c r="S17" s="1128" t="n"/>
      <c r="T17" s="1128" t="n"/>
      <c r="U17" s="1128" t="n"/>
      <c r="V17" s="1128" t="n"/>
      <c r="W17" s="1128" t="n"/>
      <c r="X17" s="1128" t="n"/>
      <c r="Y17" s="1128" t="n"/>
      <c r="Z17" s="1128" t="n"/>
      <c r="AA17" s="1128" t="n"/>
      <c r="AB17" s="1128" t="n"/>
      <c r="AC17" s="1128" t="n"/>
      <c r="AD17" s="1128" t="n"/>
      <c r="AE17" s="1128" t="n"/>
      <c r="AF17" s="1128" t="n"/>
      <c r="AG17" s="1128" t="n"/>
      <c r="AH17" s="1128" t="n"/>
      <c r="AI17" s="1128" t="n"/>
      <c r="AJ17" s="1128" t="n"/>
      <c r="AK17" s="1128" t="n"/>
      <c r="AL17" s="1128" t="n"/>
      <c r="AM17" s="615">
        <f>IF(COUNTA(D17:AL17)=0,"",COUNTA(D17:AL17))</f>
        <v/>
      </c>
      <c r="AN17" s="1088" t="n"/>
      <c r="AO17" s="1094" t="n"/>
      <c r="AP17" s="1126" t="n"/>
    </row>
    <row r="18" ht="14.25" customFormat="1" customHeight="1" s="1125">
      <c r="A18" s="1126" t="n"/>
      <c r="B18" s="615">
        <f>IF('Master Data'!H13="","",'Master Data'!H13)</f>
        <v/>
      </c>
      <c r="C18" s="615">
        <f>IF('Master Data'!I13="","",'Master Data'!I13)</f>
        <v/>
      </c>
      <c r="D18" s="1128" t="n"/>
      <c r="E18" s="1128" t="n"/>
      <c r="F18" s="1128" t="n"/>
      <c r="G18" s="1128" t="n"/>
      <c r="H18" s="1128" t="n"/>
      <c r="I18" s="1128" t="n"/>
      <c r="J18" s="1128" t="n"/>
      <c r="K18" s="1128" t="n"/>
      <c r="L18" s="1128" t="n"/>
      <c r="M18" s="1128" t="n"/>
      <c r="N18" s="1128" t="n"/>
      <c r="O18" s="1128" t="n"/>
      <c r="P18" s="1128" t="n"/>
      <c r="Q18" s="1128" t="n"/>
      <c r="R18" s="1128" t="n"/>
      <c r="S18" s="1128" t="n"/>
      <c r="T18" s="1128" t="n"/>
      <c r="U18" s="1128" t="n"/>
      <c r="V18" s="1128" t="n"/>
      <c r="W18" s="1128" t="n"/>
      <c r="X18" s="1128" t="n"/>
      <c r="Y18" s="1128" t="n"/>
      <c r="Z18" s="1128" t="n"/>
      <c r="AA18" s="1128" t="n"/>
      <c r="AB18" s="1128" t="n"/>
      <c r="AC18" s="1128" t="n"/>
      <c r="AD18" s="1128" t="n"/>
      <c r="AE18" s="1128" t="n"/>
      <c r="AF18" s="1128" t="n"/>
      <c r="AG18" s="1128" t="n"/>
      <c r="AH18" s="1128" t="n"/>
      <c r="AI18" s="1128" t="n"/>
      <c r="AJ18" s="1128" t="n"/>
      <c r="AK18" s="1128" t="n"/>
      <c r="AL18" s="1128" t="n"/>
      <c r="AM18" s="615">
        <f>IF(COUNTA(D18:AL18)=0,"",COUNTA(D18:AL18))</f>
        <v/>
      </c>
      <c r="AN18" s="1088" t="n"/>
      <c r="AO18" s="1094" t="n"/>
      <c r="AP18" s="1126" t="n"/>
    </row>
    <row r="19" ht="14.25" customFormat="1" customHeight="1" s="1125">
      <c r="A19" s="1126" t="n"/>
      <c r="B19" s="615">
        <f>IF('Master Data'!H14="","",'Master Data'!H14)</f>
        <v/>
      </c>
      <c r="C19" s="615">
        <f>IF('Master Data'!I14="","",'Master Data'!I14)</f>
        <v/>
      </c>
      <c r="D19" s="1128" t="n"/>
      <c r="E19" s="1128" t="n"/>
      <c r="F19" s="1128" t="n"/>
      <c r="G19" s="1128" t="n"/>
      <c r="H19" s="1128" t="n"/>
      <c r="I19" s="1128" t="n"/>
      <c r="J19" s="1128" t="n"/>
      <c r="K19" s="1128" t="n"/>
      <c r="L19" s="1128" t="n"/>
      <c r="M19" s="1128" t="n"/>
      <c r="N19" s="1128" t="n"/>
      <c r="O19" s="1128" t="n"/>
      <c r="P19" s="1128" t="n"/>
      <c r="Q19" s="1128" t="n"/>
      <c r="R19" s="1128" t="n"/>
      <c r="S19" s="1128" t="n"/>
      <c r="T19" s="1128" t="n"/>
      <c r="U19" s="1128" t="n"/>
      <c r="V19" s="1128" t="n"/>
      <c r="W19" s="1128" t="n"/>
      <c r="X19" s="1128" t="n"/>
      <c r="Y19" s="1128" t="n"/>
      <c r="Z19" s="1128" t="n"/>
      <c r="AA19" s="1128" t="n"/>
      <c r="AB19" s="1128" t="n"/>
      <c r="AC19" s="1128" t="n"/>
      <c r="AD19" s="1128" t="n"/>
      <c r="AE19" s="1128" t="n"/>
      <c r="AF19" s="1128" t="n"/>
      <c r="AG19" s="1128" t="n"/>
      <c r="AH19" s="1128" t="n"/>
      <c r="AI19" s="1128" t="n"/>
      <c r="AJ19" s="1128" t="n"/>
      <c r="AK19" s="1128" t="n"/>
      <c r="AL19" s="1128" t="n"/>
      <c r="AM19" s="615">
        <f>IF(COUNTA(D19:AL19)=0,"",COUNTA(D19:AL19))</f>
        <v/>
      </c>
      <c r="AN19" s="1088" t="n"/>
      <c r="AO19" s="1094" t="n"/>
      <c r="AP19" s="1126" t="n"/>
    </row>
    <row r="20" ht="14.25" customFormat="1" customHeight="1" s="1125">
      <c r="A20" s="1126" t="n"/>
      <c r="B20" s="615">
        <f>IF('Master Data'!H15="","",'Master Data'!H15)</f>
        <v/>
      </c>
      <c r="C20" s="615">
        <f>IF('Master Data'!I15="","",'Master Data'!I15)</f>
        <v/>
      </c>
      <c r="D20" s="1128" t="n"/>
      <c r="E20" s="1128" t="n"/>
      <c r="F20" s="1128" t="n"/>
      <c r="G20" s="1128" t="n"/>
      <c r="H20" s="1128" t="n"/>
      <c r="I20" s="1128" t="n"/>
      <c r="J20" s="1128" t="n"/>
      <c r="K20" s="1128" t="n"/>
      <c r="L20" s="1128" t="n"/>
      <c r="M20" s="1128" t="n"/>
      <c r="N20" s="1128" t="n"/>
      <c r="O20" s="1128" t="n"/>
      <c r="P20" s="1128" t="n"/>
      <c r="Q20" s="1128" t="n"/>
      <c r="R20" s="1128" t="n"/>
      <c r="S20" s="1128" t="n"/>
      <c r="T20" s="1128" t="n"/>
      <c r="U20" s="1128" t="n"/>
      <c r="V20" s="1128" t="n"/>
      <c r="W20" s="1128" t="n"/>
      <c r="X20" s="1128" t="n"/>
      <c r="Y20" s="1128" t="n"/>
      <c r="Z20" s="1128" t="n"/>
      <c r="AA20" s="1128" t="n"/>
      <c r="AB20" s="1128" t="n"/>
      <c r="AC20" s="1128" t="n"/>
      <c r="AD20" s="1128" t="n"/>
      <c r="AE20" s="1128" t="n"/>
      <c r="AF20" s="1128" t="n"/>
      <c r="AG20" s="1128" t="n"/>
      <c r="AH20" s="1128" t="n"/>
      <c r="AI20" s="1128" t="n"/>
      <c r="AJ20" s="1128" t="n"/>
      <c r="AK20" s="1128" t="n"/>
      <c r="AL20" s="1128" t="n"/>
      <c r="AM20" s="615">
        <f>IF(COUNTA(D20:AL20)=0,"",COUNTA(D20:AL20))</f>
        <v/>
      </c>
      <c r="AN20" s="1088" t="n"/>
      <c r="AO20" s="1094" t="n"/>
      <c r="AP20" s="1126" t="n"/>
    </row>
    <row r="21" ht="14.25" customFormat="1" customHeight="1" s="1125">
      <c r="A21" s="1126" t="n"/>
      <c r="B21" s="615">
        <f>IF('Master Data'!H16="","",'Master Data'!H16)</f>
        <v/>
      </c>
      <c r="C21" s="615">
        <f>IF('Master Data'!I16="","",'Master Data'!I16)</f>
        <v/>
      </c>
      <c r="D21" s="1128" t="n"/>
      <c r="E21" s="1128" t="n"/>
      <c r="F21" s="1128" t="n"/>
      <c r="G21" s="1128" t="n"/>
      <c r="H21" s="1128" t="n"/>
      <c r="I21" s="1128" t="n"/>
      <c r="J21" s="1128" t="n"/>
      <c r="K21" s="1128" t="n"/>
      <c r="L21" s="1128" t="n"/>
      <c r="M21" s="1128" t="n"/>
      <c r="N21" s="1128" t="n"/>
      <c r="O21" s="1128" t="n"/>
      <c r="P21" s="1128" t="n"/>
      <c r="Q21" s="1128" t="n"/>
      <c r="R21" s="1128" t="n"/>
      <c r="S21" s="1128" t="n"/>
      <c r="T21" s="1128" t="n"/>
      <c r="U21" s="1128" t="n"/>
      <c r="V21" s="1128" t="n"/>
      <c r="W21" s="1128" t="n"/>
      <c r="X21" s="1128" t="n"/>
      <c r="Y21" s="1128" t="n"/>
      <c r="Z21" s="1128" t="n"/>
      <c r="AA21" s="1128" t="n"/>
      <c r="AB21" s="1128" t="n"/>
      <c r="AC21" s="1128" t="n"/>
      <c r="AD21" s="1128" t="n"/>
      <c r="AE21" s="1128" t="n"/>
      <c r="AF21" s="1128" t="n"/>
      <c r="AG21" s="1128" t="n"/>
      <c r="AH21" s="1128" t="n"/>
      <c r="AI21" s="1128" t="n"/>
      <c r="AJ21" s="1128" t="n"/>
      <c r="AK21" s="1128" t="n"/>
      <c r="AL21" s="1128" t="n"/>
      <c r="AM21" s="615">
        <f>IF(COUNTA(D21:AL21)=0,"",COUNTA(D21:AL21))</f>
        <v/>
      </c>
      <c r="AN21" s="1088" t="n"/>
      <c r="AO21" s="1094" t="n"/>
      <c r="AP21" s="1126" t="n"/>
    </row>
    <row r="22" ht="14.25" customFormat="1" customHeight="1" s="1125">
      <c r="A22" s="1126" t="n"/>
      <c r="B22" s="615">
        <f>IF('Master Data'!H17="","",'Master Data'!H17)</f>
        <v/>
      </c>
      <c r="C22" s="615">
        <f>IF('Master Data'!I17="","",'Master Data'!I17)</f>
        <v/>
      </c>
      <c r="D22" s="1128" t="n"/>
      <c r="E22" s="1128" t="n"/>
      <c r="F22" s="1128" t="n"/>
      <c r="G22" s="1128" t="n"/>
      <c r="H22" s="1128" t="n"/>
      <c r="I22" s="1128" t="n"/>
      <c r="J22" s="1128" t="n"/>
      <c r="K22" s="1128" t="n"/>
      <c r="L22" s="1128" t="n"/>
      <c r="M22" s="1128" t="n"/>
      <c r="N22" s="1128" t="n"/>
      <c r="O22" s="1128" t="n"/>
      <c r="P22" s="1128" t="n"/>
      <c r="Q22" s="1128" t="n"/>
      <c r="R22" s="1128" t="n"/>
      <c r="S22" s="1128" t="n"/>
      <c r="T22" s="1128" t="n"/>
      <c r="U22" s="1128" t="n"/>
      <c r="V22" s="1128" t="n"/>
      <c r="W22" s="1128" t="n"/>
      <c r="X22" s="1128" t="n"/>
      <c r="Y22" s="1128" t="n"/>
      <c r="Z22" s="1128" t="n"/>
      <c r="AA22" s="1128" t="n"/>
      <c r="AB22" s="1128" t="n"/>
      <c r="AC22" s="1128" t="n"/>
      <c r="AD22" s="1128" t="n"/>
      <c r="AE22" s="1128" t="n"/>
      <c r="AF22" s="1128" t="n"/>
      <c r="AG22" s="1128" t="n"/>
      <c r="AH22" s="1128" t="n"/>
      <c r="AI22" s="1128" t="n"/>
      <c r="AJ22" s="1128" t="n"/>
      <c r="AK22" s="1128" t="n"/>
      <c r="AL22" s="1128" t="n"/>
      <c r="AM22" s="615">
        <f>IF(COUNTA(D22:AL22)=0,"",COUNTA(D22:AL22))</f>
        <v/>
      </c>
      <c r="AN22" s="1088" t="n"/>
      <c r="AO22" s="1094" t="n"/>
      <c r="AP22" s="1126" t="n"/>
      <c r="AR22" s="1125">
        <f>IF(D22="X",1,0)</f>
        <v/>
      </c>
      <c r="AS22" s="1125">
        <f>IF(E22="X",1,0)</f>
        <v/>
      </c>
      <c r="AT22" s="1125">
        <f>IF(F22="X",1,0)</f>
        <v/>
      </c>
      <c r="AU22" s="1125">
        <f>IF(G22="X",1,0)</f>
        <v/>
      </c>
      <c r="AV22" s="1125">
        <f>IF(H22="X",1,0)</f>
        <v/>
      </c>
      <c r="AW22" s="1125">
        <f>IF(I22="X",1,0)</f>
        <v/>
      </c>
      <c r="AX22" s="1125">
        <f>IF(J22="X",1,0)</f>
        <v/>
      </c>
      <c r="AY22" s="1125">
        <f>IF(K22="X",1,0)</f>
        <v/>
      </c>
      <c r="AZ22" s="1125">
        <f>IF(L22="X",1,0)</f>
        <v/>
      </c>
      <c r="BA22" s="1125">
        <f>IF(M22="X",1,0)</f>
        <v/>
      </c>
      <c r="BB22" s="1125">
        <f>IF(N22="X",1,0)</f>
        <v/>
      </c>
      <c r="BC22" s="1125">
        <f>IF(O22="X",1,0)</f>
        <v/>
      </c>
      <c r="BD22" s="1125">
        <f>IF(P22="X",1,0)</f>
        <v/>
      </c>
      <c r="BE22" s="1125">
        <f>IF(Q22="X",1,0)</f>
        <v/>
      </c>
      <c r="BF22" s="1125">
        <f>IF(R22="X",1,0)</f>
        <v/>
      </c>
      <c r="BG22" s="1125">
        <f>IF(S22="X",1,0)</f>
        <v/>
      </c>
      <c r="BH22" s="1125">
        <f>IF(T22="X",1,0)</f>
        <v/>
      </c>
      <c r="BI22" s="1125">
        <f>IF(U22="X",1,0)</f>
        <v/>
      </c>
      <c r="BJ22" s="1125">
        <f>IF(V22="X",1,0)</f>
        <v/>
      </c>
      <c r="BK22" s="1125">
        <f>IF(W22="X",1,0)</f>
        <v/>
      </c>
      <c r="BL22" s="1125">
        <f>IF(X22="X",1,0)</f>
        <v/>
      </c>
      <c r="BM22" s="1125">
        <f>IF(Y22="X",1,0)</f>
        <v/>
      </c>
      <c r="BN22" s="1125">
        <f>IF(Z22="X",1,0)</f>
        <v/>
      </c>
      <c r="BO22" s="1125">
        <f>IF(AA22="X",1,0)</f>
        <v/>
      </c>
      <c r="BP22" s="1125">
        <f>IF(AB22="X",1,0)</f>
        <v/>
      </c>
      <c r="BQ22" s="1125">
        <f>IF(AC22="X",1,0)</f>
        <v/>
      </c>
      <c r="BR22" s="1125">
        <f>IF(AD22="X",1,0)</f>
        <v/>
      </c>
      <c r="BS22" s="1125">
        <f>IF(AE22="X",1,0)</f>
        <v/>
      </c>
      <c r="BT22" s="1125">
        <f>IF(AF22="X",1,0)</f>
        <v/>
      </c>
      <c r="BU22" s="1125">
        <f>IF(AG22="X",1,0)</f>
        <v/>
      </c>
      <c r="BV22" s="1125">
        <f>IF(AH22="X",1,0)</f>
        <v/>
      </c>
      <c r="BW22" s="1125">
        <f>IF(AI22="X",1,0)</f>
        <v/>
      </c>
      <c r="BX22" s="1125">
        <f>IF(AJ22="X",1,0)</f>
        <v/>
      </c>
      <c r="BY22" s="1125">
        <f>IF(AK22="X",1,0)</f>
        <v/>
      </c>
      <c r="BZ22" s="1125">
        <f>IF(AL22="X",1,0)</f>
        <v/>
      </c>
      <c r="CA22" s="1125">
        <f>IF(AM22="X",1,0)</f>
        <v/>
      </c>
      <c r="CB22" s="1125">
        <f>IF(AN22="X",1,0)</f>
        <v/>
      </c>
    </row>
    <row r="23" ht="14.25" customHeight="1" s="557">
      <c r="A23" s="1085" t="n"/>
      <c r="B23" s="615">
        <f>IF('Master Data'!H18="","",'Master Data'!H18)</f>
        <v/>
      </c>
      <c r="C23" s="615">
        <f>IF('Master Data'!I18="","",'Master Data'!I18)</f>
        <v/>
      </c>
      <c r="D23" s="1128" t="n"/>
      <c r="E23" s="1128" t="n"/>
      <c r="F23" s="1128" t="n"/>
      <c r="G23" s="1128" t="n"/>
      <c r="H23" s="1128" t="n"/>
      <c r="I23" s="1128" t="n"/>
      <c r="J23" s="1128" t="n"/>
      <c r="K23" s="1128" t="n"/>
      <c r="L23" s="1128" t="n"/>
      <c r="M23" s="1128" t="n"/>
      <c r="N23" s="1128" t="n"/>
      <c r="O23" s="1128" t="n"/>
      <c r="P23" s="1128" t="n"/>
      <c r="Q23" s="1128" t="n"/>
      <c r="R23" s="1128" t="n"/>
      <c r="S23" s="1128" t="n"/>
      <c r="T23" s="1128" t="n"/>
      <c r="U23" s="1128" t="n"/>
      <c r="V23" s="1128" t="n"/>
      <c r="W23" s="1128" t="n"/>
      <c r="X23" s="1128" t="n"/>
      <c r="Y23" s="1128" t="n"/>
      <c r="Z23" s="1128" t="n"/>
      <c r="AA23" s="1128" t="n"/>
      <c r="AB23" s="1128" t="n"/>
      <c r="AC23" s="1128" t="n"/>
      <c r="AD23" s="1128" t="n"/>
      <c r="AE23" s="1128" t="n"/>
      <c r="AF23" s="1128" t="n"/>
      <c r="AG23" s="1128" t="n"/>
      <c r="AH23" s="1128" t="n"/>
      <c r="AI23" s="1128" t="n"/>
      <c r="AJ23" s="1128" t="n"/>
      <c r="AK23" s="1128" t="n"/>
      <c r="AL23" s="1128" t="n"/>
      <c r="AM23" s="615">
        <f>IF(COUNTA(D23:AL23)=0,"",COUNTA(D23:AL23))</f>
        <v/>
      </c>
      <c r="AN23" s="1088" t="n"/>
      <c r="AO23" s="1094" t="n"/>
      <c r="AP23" s="1085" t="n"/>
      <c r="AR23" s="1125">
        <f>IF(D23="X",1,0)</f>
        <v/>
      </c>
      <c r="AS23" s="1125">
        <f>IF(E23="X",1,0)</f>
        <v/>
      </c>
      <c r="AT23" s="1125">
        <f>IF(F23="X",1,0)</f>
        <v/>
      </c>
      <c r="AU23" s="1125">
        <f>IF(G23="X",1,0)</f>
        <v/>
      </c>
      <c r="AV23" s="1125">
        <f>IF(H23="X",1,0)</f>
        <v/>
      </c>
      <c r="AW23" s="1125">
        <f>IF(I23="X",1,0)</f>
        <v/>
      </c>
      <c r="AX23" s="1125">
        <f>IF(J23="X",1,0)</f>
        <v/>
      </c>
      <c r="AY23" s="1125">
        <f>IF(K23="X",1,0)</f>
        <v/>
      </c>
      <c r="AZ23" s="1125">
        <f>IF(L23="X",1,0)</f>
        <v/>
      </c>
      <c r="BA23" s="1125">
        <f>IF(M23="X",1,0)</f>
        <v/>
      </c>
      <c r="BB23" s="1125">
        <f>IF(N23="X",1,0)</f>
        <v/>
      </c>
      <c r="BC23" s="1125">
        <f>IF(O23="X",1,0)</f>
        <v/>
      </c>
      <c r="BD23" s="1125">
        <f>IF(P23="X",1,0)</f>
        <v/>
      </c>
      <c r="BE23" s="1125">
        <f>IF(Q23="X",1,0)</f>
        <v/>
      </c>
      <c r="BF23" s="1125">
        <f>IF(R23="X",1,0)</f>
        <v/>
      </c>
      <c r="BG23" s="1125">
        <f>IF(S23="X",1,0)</f>
        <v/>
      </c>
      <c r="BH23" s="1125">
        <f>IF(T23="X",1,0)</f>
        <v/>
      </c>
      <c r="BI23" s="1125">
        <f>IF(U23="X",1,0)</f>
        <v/>
      </c>
      <c r="BJ23" s="1125">
        <f>IF(V23="X",1,0)</f>
        <v/>
      </c>
      <c r="BK23" s="1125">
        <f>IF(W23="X",1,0)</f>
        <v/>
      </c>
      <c r="BL23" s="1125">
        <f>IF(X23="X",1,0)</f>
        <v/>
      </c>
      <c r="BM23" s="1125">
        <f>IF(Y23="X",1,0)</f>
        <v/>
      </c>
      <c r="BN23" s="1125">
        <f>IF(Z23="X",1,0)</f>
        <v/>
      </c>
      <c r="BO23" s="1125">
        <f>IF(AA23="X",1,0)</f>
        <v/>
      </c>
      <c r="BP23" s="1125">
        <f>IF(AB23="X",1,0)</f>
        <v/>
      </c>
      <c r="BQ23" s="1125">
        <f>IF(AC23="X",1,0)</f>
        <v/>
      </c>
      <c r="BR23" s="1125">
        <f>IF(AD23="X",1,0)</f>
        <v/>
      </c>
      <c r="BS23" s="1125">
        <f>IF(AE23="X",1,0)</f>
        <v/>
      </c>
      <c r="BT23" s="1125">
        <f>IF(AF23="X",1,0)</f>
        <v/>
      </c>
      <c r="BU23" s="1125">
        <f>IF(AG23="X",1,0)</f>
        <v/>
      </c>
      <c r="BV23" s="1125">
        <f>IF(AH23="X",1,0)</f>
        <v/>
      </c>
      <c r="BW23" s="1125">
        <f>IF(AI23="X",1,0)</f>
        <v/>
      </c>
      <c r="BX23" s="1125">
        <f>IF(AJ23="X",1,0)</f>
        <v/>
      </c>
      <c r="BY23" s="1125">
        <f>IF(AK23="X",1,0)</f>
        <v/>
      </c>
      <c r="BZ23" s="1125">
        <f>IF(AL23="X",1,0)</f>
        <v/>
      </c>
      <c r="CA23" s="1125">
        <f>IF(AM23="X",1,0)</f>
        <v/>
      </c>
      <c r="CB23" s="1125">
        <f>IF(AN23="X",1,0)</f>
        <v/>
      </c>
    </row>
    <row r="24" ht="14.25" customHeight="1" s="557">
      <c r="A24" s="1085" t="n"/>
      <c r="B24" s="1122" t="inlineStr">
        <is>
          <t>Part # /Serial #</t>
        </is>
      </c>
      <c r="C24" s="1122" t="inlineStr">
        <is>
          <t xml:space="preserve">Service Equipment </t>
        </is>
      </c>
      <c r="D24" s="1130" t="n"/>
      <c r="E24" s="1130" t="n"/>
      <c r="F24" s="1130" t="n"/>
      <c r="G24" s="1130" t="n"/>
      <c r="H24" s="1130" t="n"/>
      <c r="I24" s="1130" t="n"/>
      <c r="J24" s="1130" t="n"/>
      <c r="K24" s="1130" t="n"/>
      <c r="L24" s="1130" t="n"/>
      <c r="M24" s="1130" t="n"/>
      <c r="N24" s="1130" t="n"/>
      <c r="O24" s="1130" t="n"/>
      <c r="P24" s="1130" t="n"/>
      <c r="Q24" s="1130" t="n"/>
      <c r="R24" s="1130" t="n"/>
      <c r="S24" s="1130" t="n"/>
      <c r="T24" s="1130" t="n"/>
      <c r="U24" s="1130" t="n"/>
      <c r="V24" s="1130" t="n"/>
      <c r="W24" s="1130" t="n"/>
      <c r="X24" s="1130" t="n"/>
      <c r="Y24" s="1130" t="n"/>
      <c r="Z24" s="1130" t="n"/>
      <c r="AA24" s="1130" t="n"/>
      <c r="AB24" s="1130" t="n"/>
      <c r="AC24" s="1130" t="n"/>
      <c r="AD24" s="1130" t="n"/>
      <c r="AE24" s="1130" t="n"/>
      <c r="AF24" s="1130" t="n"/>
      <c r="AG24" s="1130" t="n"/>
      <c r="AH24" s="1130" t="n"/>
      <c r="AI24" s="1130" t="n"/>
      <c r="AJ24" s="1130" t="n"/>
      <c r="AK24" s="1130" t="n"/>
      <c r="AL24" s="1130" t="n"/>
      <c r="AM24" s="1131" t="n"/>
      <c r="AN24" s="1088" t="n"/>
      <c r="AO24" s="1094" t="n"/>
      <c r="AP24" s="1085" t="n"/>
      <c r="AR24" s="1125" t="n"/>
      <c r="AS24" s="1125" t="n"/>
      <c r="AT24" s="1125" t="n"/>
      <c r="AU24" s="1125" t="n"/>
      <c r="AV24" s="1125" t="n"/>
      <c r="AW24" s="1125" t="n"/>
      <c r="AX24" s="1125" t="n"/>
      <c r="AY24" s="1125" t="n"/>
      <c r="AZ24" s="1125" t="n"/>
      <c r="BA24" s="1125" t="n"/>
      <c r="BB24" s="1125" t="n"/>
      <c r="BC24" s="1125" t="n"/>
      <c r="BD24" s="1125" t="n"/>
      <c r="BE24" s="1125" t="n"/>
      <c r="BF24" s="1125" t="n"/>
      <c r="BG24" s="1125" t="n"/>
      <c r="BH24" s="1125" t="n"/>
      <c r="BI24" s="1125" t="n"/>
      <c r="BJ24" s="1125" t="n"/>
      <c r="BK24" s="1125" t="n"/>
      <c r="BL24" s="1125" t="n"/>
      <c r="BM24" s="1125" t="n"/>
      <c r="BN24" s="1125" t="n"/>
      <c r="BO24" s="1125" t="n"/>
      <c r="BP24" s="1125" t="n"/>
      <c r="BQ24" s="1125" t="n"/>
      <c r="BR24" s="1125" t="n"/>
      <c r="BS24" s="1125" t="n"/>
      <c r="BT24" s="1125" t="n"/>
      <c r="BU24" s="1125" t="n"/>
      <c r="BV24" s="1125" t="n"/>
      <c r="BW24" s="1125" t="n"/>
      <c r="BX24" s="1125" t="n"/>
      <c r="BY24" s="1125" t="n"/>
      <c r="BZ24" s="1125" t="n"/>
      <c r="CA24" s="1125" t="n"/>
      <c r="CB24" s="1125" t="n"/>
    </row>
    <row r="25" ht="14.25" customHeight="1" s="557">
      <c r="A25" s="1085" t="n"/>
      <c r="B25" s="1132">
        <f>MS2!F11</f>
        <v/>
      </c>
      <c r="C25" s="1133">
        <f>MS2!G11</f>
        <v/>
      </c>
      <c r="D25" s="1128" t="inlineStr">
        <is>
          <t>x</t>
        </is>
      </c>
      <c r="E25" s="1128" t="inlineStr">
        <is>
          <t>x</t>
        </is>
      </c>
      <c r="F25" s="1128" t="inlineStr">
        <is>
          <t>x</t>
        </is>
      </c>
      <c r="G25" s="1128" t="inlineStr">
        <is>
          <t>x</t>
        </is>
      </c>
      <c r="H25" s="1128" t="inlineStr">
        <is>
          <t>x</t>
        </is>
      </c>
      <c r="I25" s="1128" t="inlineStr">
        <is>
          <t>x</t>
        </is>
      </c>
      <c r="J25" s="1134" t="n"/>
      <c r="K25" s="1134" t="n"/>
      <c r="L25" s="1134" t="n"/>
      <c r="M25" s="1134" t="n"/>
      <c r="N25" s="1134" t="n"/>
      <c r="O25" s="1135" t="n"/>
      <c r="P25" s="1135" t="n"/>
      <c r="Q25" s="1135" t="n"/>
      <c r="R25" s="1135" t="n"/>
      <c r="S25" s="1135" t="n"/>
      <c r="T25" s="1135" t="n"/>
      <c r="U25" s="1135" t="n"/>
      <c r="V25" s="1135" t="n"/>
      <c r="W25" s="1135" t="n"/>
      <c r="X25" s="1135" t="n"/>
      <c r="Y25" s="1135" t="n"/>
      <c r="Z25" s="1129" t="n"/>
      <c r="AA25" s="1129" t="n"/>
      <c r="AB25" s="1129" t="n"/>
      <c r="AC25" s="1129" t="n"/>
      <c r="AD25" s="1129" t="n"/>
      <c r="AE25" s="1129" t="n"/>
      <c r="AF25" s="1129" t="n"/>
      <c r="AG25" s="1129" t="n"/>
      <c r="AH25" s="1134" t="n"/>
      <c r="AI25" s="1134" t="n"/>
      <c r="AJ25" s="1134" t="n"/>
      <c r="AK25" s="1134" t="n"/>
      <c r="AL25" s="1134" t="n"/>
      <c r="AM25" s="615">
        <f>IF(COUNTA(D25:AL25)=0,"",COUNTA(D25:AL25))</f>
        <v/>
      </c>
      <c r="AN25" s="1088" t="n"/>
      <c r="AO25" s="1094" t="n"/>
      <c r="AP25" s="1085" t="n"/>
      <c r="AR25" s="1125">
        <f>IF(D25="X",1,0)</f>
        <v/>
      </c>
      <c r="AS25" s="1125">
        <f>IF(E25="X",1,0)</f>
        <v/>
      </c>
      <c r="AT25" s="1125">
        <f>IF(F25="X",1,0)</f>
        <v/>
      </c>
      <c r="AU25" s="1125">
        <f>IF(G25="X",1,0)</f>
        <v/>
      </c>
      <c r="AV25" s="1125">
        <f>IF(H25="X",1,0)</f>
        <v/>
      </c>
      <c r="AW25" s="1125">
        <f>IF(I25="X",1,0)</f>
        <v/>
      </c>
      <c r="AX25" s="1125">
        <f>IF(J25="X",1,0)</f>
        <v/>
      </c>
      <c r="AY25" s="1125">
        <f>IF(K25="X",1,0)</f>
        <v/>
      </c>
      <c r="AZ25" s="1125">
        <f>IF(L25="X",1,0)</f>
        <v/>
      </c>
      <c r="BA25" s="1125">
        <f>IF(M25="X",1,0)</f>
        <v/>
      </c>
      <c r="BB25" s="1125">
        <f>IF(N25="X",1,0)</f>
        <v/>
      </c>
      <c r="BC25" s="1125">
        <f>IF(O25="X",1,0)</f>
        <v/>
      </c>
      <c r="BD25" s="1125">
        <f>IF(P25="X",1,0)</f>
        <v/>
      </c>
      <c r="BE25" s="1125">
        <f>IF(Q25="X",1,0)</f>
        <v/>
      </c>
      <c r="BF25" s="1125">
        <f>IF(R25="X",1,0)</f>
        <v/>
      </c>
      <c r="BG25" s="1125">
        <f>IF(S25="X",1,0)</f>
        <v/>
      </c>
      <c r="BH25" s="1125">
        <f>IF(T25="X",1,0)</f>
        <v/>
      </c>
      <c r="BI25" s="1125">
        <f>IF(U25="X",1,0)</f>
        <v/>
      </c>
      <c r="BJ25" s="1125">
        <f>IF(V25="X",1,0)</f>
        <v/>
      </c>
      <c r="BK25" s="1125">
        <f>IF(W25="X",1,0)</f>
        <v/>
      </c>
      <c r="BL25" s="1125">
        <f>IF(X25="X",1,0)</f>
        <v/>
      </c>
      <c r="BM25" s="1125">
        <f>IF(Y25="X",1,0)</f>
        <v/>
      </c>
      <c r="BN25" s="1125">
        <f>IF(Z25="X",1,0)</f>
        <v/>
      </c>
      <c r="BO25" s="1125">
        <f>IF(AA25="X",1,0)</f>
        <v/>
      </c>
      <c r="BP25" s="1125">
        <f>IF(AB25="X",1,0)</f>
        <v/>
      </c>
      <c r="BQ25" s="1125">
        <f>IF(AC25="X",1,0)</f>
        <v/>
      </c>
      <c r="BR25" s="1125">
        <f>IF(AD25="X",1,0)</f>
        <v/>
      </c>
      <c r="BS25" s="1125">
        <f>IF(AE25="X",1,0)</f>
        <v/>
      </c>
      <c r="BT25" s="1125">
        <f>IF(AF25="X",1,0)</f>
        <v/>
      </c>
      <c r="BU25" s="1125">
        <f>IF(AG25="X",1,0)</f>
        <v/>
      </c>
      <c r="BV25" s="1125">
        <f>IF(AH25="X",1,0)</f>
        <v/>
      </c>
      <c r="BW25" s="1125">
        <f>IF(AI25="X",1,0)</f>
        <v/>
      </c>
      <c r="BX25" s="1125">
        <f>IF(AJ25="X",1,0)</f>
        <v/>
      </c>
      <c r="BY25" s="1125">
        <f>IF(AK25="X",1,0)</f>
        <v/>
      </c>
      <c r="BZ25" s="1125">
        <f>IF(AL25="X",1,0)</f>
        <v/>
      </c>
      <c r="CA25" s="1125">
        <f>IF(AM25="X",1,0)</f>
        <v/>
      </c>
      <c r="CB25" s="1125">
        <f>IF(AN25="X",1,0)</f>
        <v/>
      </c>
    </row>
    <row r="26" ht="14.25" customHeight="1" s="557">
      <c r="A26" s="1085" t="n"/>
      <c r="B26" s="1136">
        <f>MS2!F12</f>
        <v/>
      </c>
      <c r="C26" s="1137">
        <f>MS2!G12</f>
        <v/>
      </c>
      <c r="D26" s="1135" t="n"/>
      <c r="E26" s="1135" t="n"/>
      <c r="F26" s="1135" t="n"/>
      <c r="G26" s="1135" t="n"/>
      <c r="H26" s="1135" t="n"/>
      <c r="I26" s="1135" t="n"/>
      <c r="J26" s="1135" t="n"/>
      <c r="K26" s="1135" t="n"/>
      <c r="L26" s="1135" t="n"/>
      <c r="M26" s="1135" t="n"/>
      <c r="N26" s="1135" t="n"/>
      <c r="O26" s="1135" t="n"/>
      <c r="P26" s="1135" t="n"/>
      <c r="Q26" s="1135" t="n"/>
      <c r="R26" s="1135" t="n"/>
      <c r="S26" s="1135" t="n"/>
      <c r="T26" s="1135" t="n"/>
      <c r="U26" s="1135" t="n"/>
      <c r="V26" s="1135" t="n"/>
      <c r="W26" s="1135" t="n"/>
      <c r="X26" s="1135" t="n"/>
      <c r="Y26" s="1135" t="n"/>
      <c r="Z26" s="1129" t="n"/>
      <c r="AA26" s="1129" t="n"/>
      <c r="AB26" s="1129" t="n"/>
      <c r="AC26" s="1129" t="n"/>
      <c r="AD26" s="1129" t="n"/>
      <c r="AE26" s="1129" t="n"/>
      <c r="AF26" s="1129" t="n"/>
      <c r="AG26" s="1129" t="n"/>
      <c r="AH26" s="1129" t="n"/>
      <c r="AI26" s="1135" t="n"/>
      <c r="AJ26" s="1135" t="n"/>
      <c r="AK26" s="1135" t="n"/>
      <c r="AL26" s="1135" t="n"/>
      <c r="AM26" s="615">
        <f>IF(COUNTA(D26:AL26)=0,"",COUNTA(D26:AL26))</f>
        <v/>
      </c>
      <c r="AN26" s="1088" t="n"/>
      <c r="AO26" s="1094" t="n"/>
      <c r="AP26" s="1085" t="n"/>
      <c r="AR26" s="1125">
        <f>IF(D26="X",1,0)</f>
        <v/>
      </c>
      <c r="AS26" s="1125">
        <f>IF(E26="X",1,0)</f>
        <v/>
      </c>
      <c r="AT26" s="1125">
        <f>IF(F26="X",1,0)</f>
        <v/>
      </c>
      <c r="AU26" s="1125">
        <f>IF(G26="X",1,0)</f>
        <v/>
      </c>
      <c r="AV26" s="1125">
        <f>IF(H26="X",1,0)</f>
        <v/>
      </c>
      <c r="AW26" s="1125">
        <f>IF(I26="X",1,0)</f>
        <v/>
      </c>
      <c r="AX26" s="1125">
        <f>IF(J26="X",1,0)</f>
        <v/>
      </c>
      <c r="AY26" s="1125">
        <f>IF(K26="X",1,0)</f>
        <v/>
      </c>
      <c r="AZ26" s="1125">
        <f>IF(L26="X",1,0)</f>
        <v/>
      </c>
      <c r="BA26" s="1125">
        <f>IF(M26="X",1,0)</f>
        <v/>
      </c>
      <c r="BB26" s="1125">
        <f>IF(N26="X",1,0)</f>
        <v/>
      </c>
      <c r="BC26" s="1125">
        <f>IF(O26="X",1,0)</f>
        <v/>
      </c>
      <c r="BD26" s="1125">
        <f>IF(P26="X",1,0)</f>
        <v/>
      </c>
      <c r="BE26" s="1125">
        <f>IF(Q26="X",1,0)</f>
        <v/>
      </c>
      <c r="BF26" s="1125">
        <f>IF(R26="X",1,0)</f>
        <v/>
      </c>
      <c r="BG26" s="1125">
        <f>IF(S26="X",1,0)</f>
        <v/>
      </c>
      <c r="BH26" s="1125">
        <f>IF(T26="X",1,0)</f>
        <v/>
      </c>
      <c r="BI26" s="1125">
        <f>IF(U26="X",1,0)</f>
        <v/>
      </c>
      <c r="BJ26" s="1125">
        <f>IF(V26="X",1,0)</f>
        <v/>
      </c>
      <c r="BK26" s="1125">
        <f>IF(W26="X",1,0)</f>
        <v/>
      </c>
      <c r="BL26" s="1125">
        <f>IF(X26="X",1,0)</f>
        <v/>
      </c>
      <c r="BM26" s="1125">
        <f>IF(Y26="X",1,0)</f>
        <v/>
      </c>
      <c r="BN26" s="1125">
        <f>IF(Z26="X",1,0)</f>
        <v/>
      </c>
      <c r="BO26" s="1125">
        <f>IF(AA26="X",1,0)</f>
        <v/>
      </c>
      <c r="BP26" s="1125">
        <f>IF(AB26="X",1,0)</f>
        <v/>
      </c>
      <c r="BQ26" s="1125">
        <f>IF(AC26="X",1,0)</f>
        <v/>
      </c>
      <c r="BR26" s="1125">
        <f>IF(AD26="X",1,0)</f>
        <v/>
      </c>
      <c r="BS26" s="1125">
        <f>IF(AE26="X",1,0)</f>
        <v/>
      </c>
      <c r="BT26" s="1125">
        <f>IF(AF26="X",1,0)</f>
        <v/>
      </c>
      <c r="BU26" s="1125">
        <f>IF(AG26="X",1,0)</f>
        <v/>
      </c>
      <c r="BV26" s="1125">
        <f>IF(AH26="X",1,0)</f>
        <v/>
      </c>
      <c r="BW26" s="1125">
        <f>IF(AI26="X",1,0)</f>
        <v/>
      </c>
      <c r="BX26" s="1125">
        <f>IF(AJ26="X",1,0)</f>
        <v/>
      </c>
      <c r="BY26" s="1125">
        <f>IF(AK26="X",1,0)</f>
        <v/>
      </c>
      <c r="BZ26" s="1125">
        <f>IF(AL26="X",1,0)</f>
        <v/>
      </c>
      <c r="CA26" s="1125">
        <f>IF(AM26="X",1,0)</f>
        <v/>
      </c>
      <c r="CB26" s="1125">
        <f>IF(AN26="X",1,0)</f>
        <v/>
      </c>
    </row>
    <row r="27" ht="14.25" customHeight="1" s="557">
      <c r="A27" s="1085" t="n"/>
      <c r="B27" s="1132">
        <f>MS2!F13</f>
        <v/>
      </c>
      <c r="C27" s="1137">
        <f>MS2!G13</f>
        <v/>
      </c>
      <c r="D27" s="1135" t="n"/>
      <c r="E27" s="1135" t="n"/>
      <c r="F27" s="1135" t="n"/>
      <c r="G27" s="1135" t="n"/>
      <c r="H27" s="1135" t="n"/>
      <c r="I27" s="1135" t="n"/>
      <c r="J27" s="1135" t="n"/>
      <c r="K27" s="1135" t="n"/>
      <c r="L27" s="1135" t="n"/>
      <c r="M27" s="1135" t="n"/>
      <c r="N27" s="1135" t="n"/>
      <c r="O27" s="1135" t="n"/>
      <c r="P27" s="1135" t="n"/>
      <c r="Q27" s="1135" t="n"/>
      <c r="R27" s="1135" t="n"/>
      <c r="S27" s="1135" t="n"/>
      <c r="T27" s="1135" t="n"/>
      <c r="U27" s="1135" t="n"/>
      <c r="V27" s="1135" t="n"/>
      <c r="W27" s="1135" t="n"/>
      <c r="X27" s="1135" t="n"/>
      <c r="Y27" s="1135" t="n"/>
      <c r="Z27" s="1135" t="n"/>
      <c r="AA27" s="1135" t="n"/>
      <c r="AB27" s="1135" t="n"/>
      <c r="AC27" s="1135" t="n"/>
      <c r="AD27" s="1135" t="n"/>
      <c r="AE27" s="1135" t="n"/>
      <c r="AF27" s="1135" t="n"/>
      <c r="AG27" s="1135" t="n"/>
      <c r="AH27" s="1135" t="n"/>
      <c r="AI27" s="1135" t="n"/>
      <c r="AJ27" s="1135" t="n"/>
      <c r="AK27" s="1135" t="n"/>
      <c r="AL27" s="1135" t="n"/>
      <c r="AM27" s="615">
        <f>IF(COUNTA(D27:AL27)=0,"",COUNTA(D27:AL27))</f>
        <v/>
      </c>
      <c r="AN27" s="1088" t="n"/>
      <c r="AO27" s="1094" t="n"/>
      <c r="AP27" s="1085" t="n"/>
      <c r="AR27" s="1125">
        <f>IF(D27="X",1,0)</f>
        <v/>
      </c>
      <c r="AS27" s="1125">
        <f>IF(E27="X",1,0)</f>
        <v/>
      </c>
      <c r="AT27" s="1125">
        <f>IF(F27="X",1,0)</f>
        <v/>
      </c>
      <c r="AU27" s="1125">
        <f>IF(G27="X",1,0)</f>
        <v/>
      </c>
      <c r="AV27" s="1125">
        <f>IF(H27="X",1,0)</f>
        <v/>
      </c>
      <c r="AW27" s="1125">
        <f>IF(I27="X",1,0)</f>
        <v/>
      </c>
      <c r="AX27" s="1125">
        <f>IF(J27="X",1,0)</f>
        <v/>
      </c>
      <c r="AY27" s="1125">
        <f>IF(K27="X",1,0)</f>
        <v/>
      </c>
      <c r="AZ27" s="1125">
        <f>IF(L27="X",1,0)</f>
        <v/>
      </c>
      <c r="BA27" s="1125">
        <f>IF(M27="X",1,0)</f>
        <v/>
      </c>
      <c r="BB27" s="1125">
        <f>IF(N27="X",1,0)</f>
        <v/>
      </c>
      <c r="BC27" s="1125">
        <f>IF(O27="X",1,0)</f>
        <v/>
      </c>
      <c r="BD27" s="1125">
        <f>IF(P27="X",1,0)</f>
        <v/>
      </c>
      <c r="BE27" s="1125">
        <f>IF(Q27="X",1,0)</f>
        <v/>
      </c>
      <c r="BF27" s="1125">
        <f>IF(R27="X",1,0)</f>
        <v/>
      </c>
      <c r="BG27" s="1125">
        <f>IF(S27="X",1,0)</f>
        <v/>
      </c>
      <c r="BH27" s="1125">
        <f>IF(T27="X",1,0)</f>
        <v/>
      </c>
      <c r="BI27" s="1125">
        <f>IF(U27="X",1,0)</f>
        <v/>
      </c>
      <c r="BJ27" s="1125">
        <f>IF(V27="X",1,0)</f>
        <v/>
      </c>
      <c r="BK27" s="1125">
        <f>IF(W27="X",1,0)</f>
        <v/>
      </c>
      <c r="BL27" s="1125">
        <f>IF(X27="X",1,0)</f>
        <v/>
      </c>
      <c r="BM27" s="1125">
        <f>IF(Y27="X",1,0)</f>
        <v/>
      </c>
      <c r="BN27" s="1125">
        <f>IF(Z27="X",1,0)</f>
        <v/>
      </c>
      <c r="BO27" s="1125">
        <f>IF(AA27="X",1,0)</f>
        <v/>
      </c>
      <c r="BP27" s="1125">
        <f>IF(AB27="X",1,0)</f>
        <v/>
      </c>
      <c r="BQ27" s="1125">
        <f>IF(AC27="X",1,0)</f>
        <v/>
      </c>
      <c r="BR27" s="1125">
        <f>IF(AD27="X",1,0)</f>
        <v/>
      </c>
      <c r="BS27" s="1125">
        <f>IF(AE27="X",1,0)</f>
        <v/>
      </c>
      <c r="BT27" s="1125">
        <f>IF(AF27="X",1,0)</f>
        <v/>
      </c>
      <c r="BU27" s="1125">
        <f>IF(AG27="X",1,0)</f>
        <v/>
      </c>
      <c r="BV27" s="1125">
        <f>IF(AH27="X",1,0)</f>
        <v/>
      </c>
      <c r="BW27" s="1125">
        <f>IF(AI27="X",1,0)</f>
        <v/>
      </c>
      <c r="BX27" s="1125">
        <f>IF(AJ27="X",1,0)</f>
        <v/>
      </c>
      <c r="BY27" s="1125">
        <f>IF(AK27="X",1,0)</f>
        <v/>
      </c>
      <c r="BZ27" s="1125">
        <f>IF(AL27="X",1,0)</f>
        <v/>
      </c>
      <c r="CA27" s="1125">
        <f>IF(AM27="X",1,0)</f>
        <v/>
      </c>
      <c r="CB27" s="1125">
        <f>IF(AN27="X",1,0)</f>
        <v/>
      </c>
    </row>
    <row r="28" ht="14.25" customHeight="1" s="557">
      <c r="A28" s="1085" t="n"/>
      <c r="B28" s="1138">
        <f>MS2!F14</f>
        <v/>
      </c>
      <c r="C28" s="1138">
        <f>MS2!G14</f>
        <v/>
      </c>
      <c r="D28" s="1135" t="n"/>
      <c r="E28" s="1135" t="n"/>
      <c r="F28" s="1135" t="n"/>
      <c r="G28" s="1135" t="n"/>
      <c r="H28" s="1135" t="n"/>
      <c r="I28" s="1135" t="n"/>
      <c r="J28" s="1135" t="n"/>
      <c r="K28" s="1135" t="n"/>
      <c r="L28" s="1135" t="n"/>
      <c r="M28" s="1135" t="n"/>
      <c r="N28" s="1135" t="n"/>
      <c r="O28" s="1135" t="n"/>
      <c r="P28" s="1135" t="n"/>
      <c r="Q28" s="1135" t="n"/>
      <c r="R28" s="1135" t="n"/>
      <c r="S28" s="1135" t="n"/>
      <c r="T28" s="1135" t="n"/>
      <c r="U28" s="1135" t="n"/>
      <c r="V28" s="1135" t="n"/>
      <c r="W28" s="1135" t="n"/>
      <c r="X28" s="1135" t="n"/>
      <c r="Y28" s="1135" t="n"/>
      <c r="Z28" s="1135" t="n"/>
      <c r="AA28" s="1135" t="n"/>
      <c r="AB28" s="1135" t="n"/>
      <c r="AC28" s="1135" t="n"/>
      <c r="AD28" s="1135" t="n"/>
      <c r="AE28" s="1135" t="n"/>
      <c r="AF28" s="1135" t="n"/>
      <c r="AG28" s="1135" t="n"/>
      <c r="AH28" s="1135" t="n"/>
      <c r="AI28" s="1135" t="n"/>
      <c r="AJ28" s="1135" t="n"/>
      <c r="AK28" s="1135" t="n"/>
      <c r="AL28" s="1135" t="n"/>
      <c r="AM28" s="615">
        <f>IF(COUNTA(D28:AL28)=0,"",COUNTA(D28:AL28))</f>
        <v/>
      </c>
      <c r="AN28" s="1088" t="n"/>
      <c r="AO28" s="1094" t="n"/>
      <c r="AP28" s="1085" t="n"/>
      <c r="AR28" s="1125" t="n"/>
      <c r="AS28" s="1125" t="n"/>
      <c r="AT28" s="1125" t="n"/>
      <c r="AU28" s="1125" t="n"/>
      <c r="AV28" s="1125" t="n"/>
      <c r="AW28" s="1125" t="n"/>
      <c r="AX28" s="1125" t="n"/>
      <c r="AY28" s="1125" t="n"/>
      <c r="AZ28" s="1125" t="n"/>
      <c r="BA28" s="1125" t="n"/>
      <c r="BB28" s="1125" t="n"/>
      <c r="BC28" s="1125" t="n"/>
      <c r="BD28" s="1125" t="n"/>
      <c r="BE28" s="1125" t="n"/>
      <c r="BF28" s="1125" t="n"/>
      <c r="BG28" s="1125" t="n"/>
      <c r="BH28" s="1125" t="n"/>
      <c r="BI28" s="1125" t="n"/>
      <c r="BJ28" s="1125" t="n"/>
      <c r="BK28" s="1125" t="n"/>
      <c r="BL28" s="1125" t="n"/>
      <c r="BM28" s="1125" t="n"/>
      <c r="BN28" s="1125" t="n"/>
      <c r="BO28" s="1125" t="n"/>
      <c r="BP28" s="1125" t="n"/>
      <c r="BQ28" s="1125" t="n"/>
      <c r="BR28" s="1125" t="n"/>
      <c r="BS28" s="1125" t="n"/>
      <c r="BT28" s="1125" t="n"/>
      <c r="BU28" s="1125" t="n"/>
      <c r="BV28" s="1125" t="n"/>
      <c r="BW28" s="1125" t="n"/>
      <c r="BX28" s="1125" t="n"/>
      <c r="BY28" s="1125" t="n"/>
      <c r="BZ28" s="1125" t="n"/>
      <c r="CA28" s="1125" t="n"/>
      <c r="CB28" s="1125" t="n"/>
    </row>
    <row r="29" ht="14.25" customHeight="1" s="557">
      <c r="A29" s="1085" t="n"/>
      <c r="B29" s="1138">
        <f>MS2!F15</f>
        <v/>
      </c>
      <c r="C29" s="1138">
        <f>MS2!G15</f>
        <v/>
      </c>
      <c r="D29" s="1135" t="n"/>
      <c r="E29" s="1135" t="n"/>
      <c r="F29" s="1135" t="n"/>
      <c r="G29" s="1135" t="n"/>
      <c r="H29" s="1135" t="n"/>
      <c r="I29" s="1135" t="n"/>
      <c r="J29" s="1135" t="n"/>
      <c r="K29" s="1135" t="n"/>
      <c r="L29" s="1135" t="n"/>
      <c r="M29" s="1135" t="n"/>
      <c r="N29" s="1135" t="n"/>
      <c r="O29" s="1135" t="n"/>
      <c r="P29" s="1135" t="n"/>
      <c r="Q29" s="1135" t="n"/>
      <c r="R29" s="1135" t="n"/>
      <c r="S29" s="1135" t="n"/>
      <c r="T29" s="1135" t="n"/>
      <c r="U29" s="1135" t="n"/>
      <c r="V29" s="1135" t="n"/>
      <c r="W29" s="1135" t="n"/>
      <c r="X29" s="1135" t="n"/>
      <c r="Y29" s="1135" t="n"/>
      <c r="Z29" s="1135" t="n"/>
      <c r="AA29" s="1135" t="n"/>
      <c r="AB29" s="1135" t="n"/>
      <c r="AC29" s="1135" t="n"/>
      <c r="AD29" s="1135" t="n"/>
      <c r="AE29" s="1135" t="n"/>
      <c r="AF29" s="1135" t="n"/>
      <c r="AG29" s="1135" t="n"/>
      <c r="AH29" s="1135" t="n"/>
      <c r="AI29" s="1135" t="n"/>
      <c r="AJ29" s="1135" t="n"/>
      <c r="AK29" s="1135" t="n"/>
      <c r="AL29" s="1135" t="n"/>
      <c r="AM29" s="615">
        <f>IF(COUNTA(D29:AL29)=0,"",COUNTA(D29:AL29))</f>
        <v/>
      </c>
      <c r="AN29" s="1088" t="n"/>
      <c r="AO29" s="1094" t="n"/>
      <c r="AP29" s="1085" t="n"/>
      <c r="AR29" s="1125" t="n"/>
      <c r="AS29" s="1125" t="n"/>
      <c r="AT29" s="1125" t="n"/>
      <c r="AU29" s="1125" t="n"/>
      <c r="AV29" s="1125" t="n"/>
      <c r="AW29" s="1125" t="n"/>
      <c r="AX29" s="1125" t="n"/>
      <c r="AY29" s="1125" t="n"/>
      <c r="AZ29" s="1125" t="n"/>
      <c r="BA29" s="1125" t="n"/>
      <c r="BB29" s="1125" t="n"/>
      <c r="BC29" s="1125" t="n"/>
      <c r="BD29" s="1125" t="n"/>
      <c r="BE29" s="1125" t="n"/>
      <c r="BF29" s="1125" t="n"/>
      <c r="BG29" s="1125" t="n"/>
      <c r="BH29" s="1125" t="n"/>
      <c r="BI29" s="1125" t="n"/>
      <c r="BJ29" s="1125" t="n"/>
      <c r="BK29" s="1125" t="n"/>
      <c r="BL29" s="1125" t="n"/>
      <c r="BM29" s="1125" t="n"/>
      <c r="BN29" s="1125" t="n"/>
      <c r="BO29" s="1125" t="n"/>
      <c r="BP29" s="1125" t="n"/>
      <c r="BQ29" s="1125" t="n"/>
      <c r="BR29" s="1125" t="n"/>
      <c r="BS29" s="1125" t="n"/>
      <c r="BT29" s="1125" t="n"/>
      <c r="BU29" s="1125" t="n"/>
      <c r="BV29" s="1125" t="n"/>
      <c r="BW29" s="1125" t="n"/>
      <c r="BX29" s="1125" t="n"/>
      <c r="BY29" s="1125" t="n"/>
      <c r="BZ29" s="1125" t="n"/>
      <c r="CA29" s="1125" t="n"/>
      <c r="CB29" s="1125" t="n"/>
    </row>
    <row r="30" ht="14.25" customHeight="1" s="557">
      <c r="A30" s="1085" t="n"/>
      <c r="B30" s="1138">
        <f>MS2!F16</f>
        <v/>
      </c>
      <c r="C30" s="1139">
        <f>MS2!D16</f>
        <v/>
      </c>
      <c r="D30" s="1135" t="n"/>
      <c r="E30" s="1135" t="n"/>
      <c r="F30" s="1135" t="n"/>
      <c r="G30" s="1135" t="n"/>
      <c r="H30" s="1135" t="n"/>
      <c r="I30" s="1135" t="n"/>
      <c r="J30" s="1135" t="n"/>
      <c r="K30" s="1135" t="n"/>
      <c r="L30" s="1135" t="n"/>
      <c r="M30" s="1135" t="n"/>
      <c r="N30" s="1135" t="n"/>
      <c r="O30" s="1135" t="n"/>
      <c r="P30" s="1135" t="n"/>
      <c r="Q30" s="1135" t="n"/>
      <c r="R30" s="1135" t="n"/>
      <c r="S30" s="1135" t="n"/>
      <c r="T30" s="1135" t="n"/>
      <c r="U30" s="1135" t="n"/>
      <c r="V30" s="1135" t="n"/>
      <c r="W30" s="1135" t="n"/>
      <c r="X30" s="1135" t="n"/>
      <c r="Y30" s="1135" t="n"/>
      <c r="Z30" s="1135" t="n"/>
      <c r="AA30" s="1135" t="n"/>
      <c r="AB30" s="1135" t="n"/>
      <c r="AC30" s="1135" t="n"/>
      <c r="AD30" s="1135" t="n"/>
      <c r="AE30" s="1135" t="n"/>
      <c r="AF30" s="1135" t="n"/>
      <c r="AG30" s="1135" t="n"/>
      <c r="AH30" s="1135" t="n"/>
      <c r="AI30" s="1135" t="n"/>
      <c r="AJ30" s="1135" t="n"/>
      <c r="AK30" s="1135" t="n"/>
      <c r="AL30" s="1135" t="n"/>
      <c r="AM30" s="615">
        <f>IF(COUNTA(D30:AL30)=0,"",COUNTA(D30:AL30))</f>
        <v/>
      </c>
      <c r="AN30" s="1088" t="n"/>
      <c r="AO30" s="1094" t="n"/>
      <c r="AP30" s="1085" t="n"/>
      <c r="AR30" s="1125">
        <f>IF(D30="X",1,0)</f>
        <v/>
      </c>
      <c r="AS30" s="1125">
        <f>IF(E30="X",1,0)</f>
        <v/>
      </c>
      <c r="AT30" s="1125">
        <f>IF(F30="X",1,0)</f>
        <v/>
      </c>
      <c r="AU30" s="1125">
        <f>IF(G30="X",1,0)</f>
        <v/>
      </c>
      <c r="AV30" s="1125">
        <f>IF(H30="X",1,0)</f>
        <v/>
      </c>
      <c r="AW30" s="1125">
        <f>IF(I30="X",1,0)</f>
        <v/>
      </c>
      <c r="AX30" s="1125">
        <f>IF(J30="X",1,0)</f>
        <v/>
      </c>
      <c r="AY30" s="1125">
        <f>IF(K30="X",1,0)</f>
        <v/>
      </c>
      <c r="AZ30" s="1125">
        <f>IF(L30="X",1,0)</f>
        <v/>
      </c>
      <c r="BA30" s="1125">
        <f>IF(M30="X",1,0)</f>
        <v/>
      </c>
      <c r="BB30" s="1125">
        <f>IF(N30="X",1,0)</f>
        <v/>
      </c>
      <c r="BC30" s="1125">
        <f>IF(O30="X",1,0)</f>
        <v/>
      </c>
      <c r="BD30" s="1125">
        <f>IF(P30="X",1,0)</f>
        <v/>
      </c>
      <c r="BE30" s="1125">
        <f>IF(Q30="X",1,0)</f>
        <v/>
      </c>
      <c r="BF30" s="1125">
        <f>IF(R30="X",1,0)</f>
        <v/>
      </c>
      <c r="BG30" s="1125">
        <f>IF(S30="X",1,0)</f>
        <v/>
      </c>
      <c r="BH30" s="1125">
        <f>IF(T30="X",1,0)</f>
        <v/>
      </c>
      <c r="BI30" s="1125">
        <f>IF(U30="X",1,0)</f>
        <v/>
      </c>
      <c r="BJ30" s="1125">
        <f>IF(V30="X",1,0)</f>
        <v/>
      </c>
      <c r="BK30" s="1125">
        <f>IF(W30="X",1,0)</f>
        <v/>
      </c>
      <c r="BL30" s="1125">
        <f>IF(X30="X",1,0)</f>
        <v/>
      </c>
      <c r="BM30" s="1125">
        <f>IF(Y30="X",1,0)</f>
        <v/>
      </c>
      <c r="BN30" s="1125">
        <f>IF(Z30="X",1,0)</f>
        <v/>
      </c>
      <c r="BO30" s="1125">
        <f>IF(AA30="X",1,0)</f>
        <v/>
      </c>
      <c r="BP30" s="1125">
        <f>IF(AB30="X",1,0)</f>
        <v/>
      </c>
      <c r="BQ30" s="1125">
        <f>IF(AC30="X",1,0)</f>
        <v/>
      </c>
      <c r="BR30" s="1125">
        <f>IF(AD30="X",1,0)</f>
        <v/>
      </c>
      <c r="BS30" s="1125">
        <f>IF(AE30="X",1,0)</f>
        <v/>
      </c>
      <c r="BT30" s="1125">
        <f>IF(AF30="X",1,0)</f>
        <v/>
      </c>
      <c r="BU30" s="1125">
        <f>IF(AG30="X",1,0)</f>
        <v/>
      </c>
      <c r="BV30" s="1125">
        <f>IF(AH30="X",1,0)</f>
        <v/>
      </c>
      <c r="BW30" s="1125">
        <f>IF(AI30="X",1,0)</f>
        <v/>
      </c>
      <c r="BX30" s="1125">
        <f>IF(AJ30="X",1,0)</f>
        <v/>
      </c>
      <c r="BY30" s="1125">
        <f>IF(AK30="X",1,0)</f>
        <v/>
      </c>
      <c r="BZ30" s="1125">
        <f>IF(AL30="X",1,0)</f>
        <v/>
      </c>
      <c r="CA30" s="1125">
        <f>IF(AM30="X",1,0)</f>
        <v/>
      </c>
      <c r="CB30" s="1125">
        <f>IF(AN30="X",1,0)</f>
        <v/>
      </c>
    </row>
    <row r="31" ht="14.25" customHeight="1" s="557">
      <c r="A31" s="1085" t="n"/>
      <c r="B31" s="1138">
        <f>MS2!F17</f>
        <v/>
      </c>
      <c r="C31" s="1139">
        <f>MS2!D17</f>
        <v/>
      </c>
      <c r="D31" s="1135" t="n"/>
      <c r="E31" s="1135" t="n"/>
      <c r="F31" s="1135" t="n"/>
      <c r="G31" s="1135" t="n"/>
      <c r="H31" s="1135" t="n"/>
      <c r="I31" s="1135" t="n"/>
      <c r="J31" s="1135" t="n"/>
      <c r="K31" s="1135" t="n"/>
      <c r="L31" s="1135" t="n"/>
      <c r="M31" s="1135" t="n"/>
      <c r="N31" s="1135" t="n"/>
      <c r="O31" s="1135" t="n"/>
      <c r="P31" s="1135" t="n"/>
      <c r="Q31" s="1135" t="n"/>
      <c r="R31" s="1135" t="n"/>
      <c r="S31" s="1135" t="n"/>
      <c r="T31" s="1135" t="n"/>
      <c r="U31" s="1135" t="n"/>
      <c r="V31" s="1135" t="n"/>
      <c r="W31" s="1135" t="n"/>
      <c r="X31" s="1135" t="n"/>
      <c r="Y31" s="1135" t="n"/>
      <c r="Z31" s="1135" t="n"/>
      <c r="AA31" s="1135" t="n"/>
      <c r="AB31" s="1135" t="n"/>
      <c r="AC31" s="1135" t="n"/>
      <c r="AD31" s="1135" t="n"/>
      <c r="AE31" s="1135" t="n"/>
      <c r="AF31" s="1135" t="n"/>
      <c r="AG31" s="1135" t="n"/>
      <c r="AH31" s="1135" t="n"/>
      <c r="AI31" s="1135" t="n"/>
      <c r="AJ31" s="1135" t="n"/>
      <c r="AK31" s="1135" t="n"/>
      <c r="AL31" s="1135" t="n"/>
      <c r="AM31" s="615">
        <f>IF(COUNTA(D31:AL31)=0,"",COUNTA(D31:AL31))</f>
        <v/>
      </c>
      <c r="AN31" s="1088" t="n"/>
      <c r="AO31" s="1094" t="n"/>
      <c r="AP31" s="1085" t="n"/>
      <c r="AR31" s="1125" t="n"/>
      <c r="AS31" s="1125" t="n"/>
      <c r="AT31" s="1125" t="n"/>
      <c r="AU31" s="1125" t="n"/>
      <c r="AV31" s="1125" t="n"/>
      <c r="AW31" s="1125" t="n"/>
      <c r="AX31" s="1125" t="n"/>
      <c r="AY31" s="1125" t="n"/>
      <c r="AZ31" s="1125" t="n"/>
      <c r="BA31" s="1125" t="n"/>
      <c r="BB31" s="1125" t="n"/>
      <c r="BC31" s="1125" t="n"/>
      <c r="BD31" s="1125" t="n"/>
      <c r="BE31" s="1125" t="n"/>
      <c r="BF31" s="1125" t="n"/>
      <c r="BG31" s="1125" t="n"/>
      <c r="BH31" s="1125" t="n"/>
      <c r="BI31" s="1125" t="n"/>
      <c r="BJ31" s="1125" t="n"/>
      <c r="BK31" s="1125" t="n"/>
      <c r="BL31" s="1125" t="n"/>
      <c r="BM31" s="1125" t="n"/>
      <c r="BN31" s="1125" t="n"/>
      <c r="BO31" s="1125" t="n"/>
      <c r="BP31" s="1125" t="n"/>
      <c r="BQ31" s="1125" t="n"/>
      <c r="BR31" s="1125" t="n"/>
      <c r="BS31" s="1125" t="n"/>
      <c r="BT31" s="1125" t="n"/>
      <c r="BU31" s="1125" t="n"/>
      <c r="BV31" s="1125" t="n"/>
      <c r="BW31" s="1125" t="n"/>
      <c r="BX31" s="1125" t="n"/>
      <c r="BY31" s="1125" t="n"/>
      <c r="BZ31" s="1125" t="n"/>
      <c r="CA31" s="1125" t="n"/>
      <c r="CB31" s="1125" t="n"/>
    </row>
    <row r="32" ht="14.25" customHeight="1" s="557">
      <c r="A32" s="1085" t="n"/>
      <c r="B32" s="1136" t="n"/>
      <c r="C32" s="1136" t="n"/>
      <c r="D32" s="1135" t="n"/>
      <c r="E32" s="1135" t="n"/>
      <c r="F32" s="1135" t="n"/>
      <c r="G32" s="1135" t="n"/>
      <c r="H32" s="1135" t="n"/>
      <c r="I32" s="1135" t="n"/>
      <c r="J32" s="1135" t="n"/>
      <c r="K32" s="1135" t="n"/>
      <c r="L32" s="1135" t="n"/>
      <c r="M32" s="1135" t="n"/>
      <c r="N32" s="1135" t="n"/>
      <c r="O32" s="1135" t="n"/>
      <c r="P32" s="1135" t="n"/>
      <c r="Q32" s="1135" t="n"/>
      <c r="R32" s="1135" t="n"/>
      <c r="S32" s="1135" t="n"/>
      <c r="T32" s="1135" t="n"/>
      <c r="U32" s="1135" t="n"/>
      <c r="V32" s="1135" t="n"/>
      <c r="W32" s="1135" t="n"/>
      <c r="X32" s="1135" t="n"/>
      <c r="Y32" s="1135" t="n"/>
      <c r="Z32" s="1135" t="n"/>
      <c r="AA32" s="1135" t="n"/>
      <c r="AB32" s="1135" t="n"/>
      <c r="AC32" s="1135" t="n"/>
      <c r="AD32" s="1135" t="n"/>
      <c r="AE32" s="1135" t="n"/>
      <c r="AF32" s="1135" t="n"/>
      <c r="AG32" s="1135" t="n"/>
      <c r="AH32" s="1135" t="n"/>
      <c r="AI32" s="1135" t="n"/>
      <c r="AJ32" s="1135" t="n"/>
      <c r="AK32" s="1135" t="n"/>
      <c r="AL32" s="1135" t="n"/>
      <c r="AM32" s="615">
        <f>IF(COUNTA(D32:AL32)=0,"",COUNTA(D32:AL32))</f>
        <v/>
      </c>
      <c r="AN32" s="1088" t="n"/>
      <c r="AO32" s="1094" t="n"/>
      <c r="AP32" s="1085" t="n"/>
      <c r="AR32" s="1125" t="n"/>
      <c r="AS32" s="1125" t="n"/>
      <c r="AT32" s="1125" t="n"/>
      <c r="AU32" s="1125" t="n"/>
      <c r="AV32" s="1125" t="n"/>
      <c r="AW32" s="1125" t="n"/>
      <c r="AX32" s="1125" t="n"/>
      <c r="AY32" s="1125" t="n"/>
      <c r="AZ32" s="1125" t="n"/>
      <c r="BA32" s="1125" t="n"/>
      <c r="BB32" s="1125" t="n"/>
      <c r="BC32" s="1125" t="n"/>
      <c r="BD32" s="1125" t="n"/>
      <c r="BE32" s="1125" t="n"/>
      <c r="BF32" s="1125" t="n"/>
      <c r="BG32" s="1125" t="n"/>
      <c r="BH32" s="1125" t="n"/>
      <c r="BI32" s="1125" t="n"/>
      <c r="BJ32" s="1125" t="n"/>
      <c r="BK32" s="1125" t="n"/>
      <c r="BL32" s="1125" t="n"/>
      <c r="BM32" s="1125" t="n"/>
      <c r="BN32" s="1125" t="n"/>
      <c r="BO32" s="1125" t="n"/>
      <c r="BP32" s="1125" t="n"/>
      <c r="BQ32" s="1125" t="n"/>
      <c r="BR32" s="1125" t="n"/>
      <c r="BS32" s="1125" t="n"/>
      <c r="BT32" s="1125" t="n"/>
      <c r="BU32" s="1125" t="n"/>
      <c r="BV32" s="1125" t="n"/>
      <c r="BW32" s="1125" t="n"/>
      <c r="BX32" s="1125" t="n"/>
      <c r="BY32" s="1125" t="n"/>
      <c r="BZ32" s="1125" t="n"/>
      <c r="CA32" s="1125" t="n"/>
      <c r="CB32" s="1125" t="n"/>
    </row>
    <row r="33" ht="14.25" customHeight="1" s="557">
      <c r="A33" s="1085" t="n"/>
      <c r="B33" s="1136" t="n"/>
      <c r="C33" s="1136" t="n"/>
      <c r="D33" s="1135" t="n"/>
      <c r="E33" s="1135" t="n"/>
      <c r="F33" s="1135" t="n"/>
      <c r="G33" s="1135" t="n"/>
      <c r="H33" s="1135" t="n"/>
      <c r="I33" s="1135" t="n"/>
      <c r="J33" s="1135" t="n"/>
      <c r="K33" s="1135" t="n"/>
      <c r="L33" s="1135" t="n"/>
      <c r="M33" s="1135" t="n"/>
      <c r="N33" s="1135" t="n"/>
      <c r="O33" s="1135" t="n"/>
      <c r="P33" s="1135" t="n"/>
      <c r="Q33" s="1135" t="n"/>
      <c r="R33" s="1135" t="n"/>
      <c r="S33" s="1135" t="n"/>
      <c r="T33" s="1135" t="n"/>
      <c r="U33" s="1135" t="n"/>
      <c r="V33" s="1135" t="n"/>
      <c r="W33" s="1135" t="n"/>
      <c r="X33" s="1135" t="n"/>
      <c r="Y33" s="1135" t="n"/>
      <c r="Z33" s="1135" t="n"/>
      <c r="AA33" s="1135" t="n"/>
      <c r="AB33" s="1135" t="n"/>
      <c r="AC33" s="1135" t="n"/>
      <c r="AD33" s="1135" t="n"/>
      <c r="AE33" s="1135" t="n"/>
      <c r="AF33" s="1135" t="n"/>
      <c r="AG33" s="1135" t="n"/>
      <c r="AH33" s="1135" t="n"/>
      <c r="AI33" s="1135" t="n"/>
      <c r="AJ33" s="1135" t="n"/>
      <c r="AK33" s="1135" t="n"/>
      <c r="AL33" s="1135" t="n"/>
      <c r="AM33" s="615">
        <f>IF(COUNTA(D33:AL33)=0,"",COUNTA(D33:AL33))</f>
        <v/>
      </c>
      <c r="AN33" s="1088" t="n"/>
      <c r="AO33" s="1094" t="n"/>
      <c r="AP33" s="1085" t="n"/>
      <c r="AR33" s="1125">
        <f>IF(D33="X",1,0)</f>
        <v/>
      </c>
      <c r="AS33" s="1125">
        <f>IF(E33="X",1,0)</f>
        <v/>
      </c>
      <c r="AT33" s="1125">
        <f>IF(F33="X",1,0)</f>
        <v/>
      </c>
      <c r="AU33" s="1125">
        <f>IF(G33="X",1,0)</f>
        <v/>
      </c>
      <c r="AV33" s="1125">
        <f>IF(H33="X",1,0)</f>
        <v/>
      </c>
      <c r="AW33" s="1125">
        <f>IF(I33="X",1,0)</f>
        <v/>
      </c>
      <c r="AX33" s="1125">
        <f>IF(J33="X",1,0)</f>
        <v/>
      </c>
      <c r="AY33" s="1125">
        <f>IF(K33="X",1,0)</f>
        <v/>
      </c>
      <c r="AZ33" s="1125">
        <f>IF(L33="X",1,0)</f>
        <v/>
      </c>
      <c r="BA33" s="1125">
        <f>IF(M33="X",1,0)</f>
        <v/>
      </c>
      <c r="BB33" s="1125">
        <f>IF(N33="X",1,0)</f>
        <v/>
      </c>
      <c r="BC33" s="1125">
        <f>IF(O33="X",1,0)</f>
        <v/>
      </c>
      <c r="BD33" s="1125">
        <f>IF(P33="X",1,0)</f>
        <v/>
      </c>
      <c r="BE33" s="1125">
        <f>IF(Q33="X",1,0)</f>
        <v/>
      </c>
      <c r="BF33" s="1125">
        <f>IF(R33="X",1,0)</f>
        <v/>
      </c>
      <c r="BG33" s="1125">
        <f>IF(S33="X",1,0)</f>
        <v/>
      </c>
      <c r="BH33" s="1125">
        <f>IF(T33="X",1,0)</f>
        <v/>
      </c>
      <c r="BI33" s="1125">
        <f>IF(U33="X",1,0)</f>
        <v/>
      </c>
      <c r="BJ33" s="1125">
        <f>IF(V33="X",1,0)</f>
        <v/>
      </c>
      <c r="BK33" s="1125">
        <f>IF(W33="X",1,0)</f>
        <v/>
      </c>
      <c r="BL33" s="1125">
        <f>IF(X33="X",1,0)</f>
        <v/>
      </c>
      <c r="BM33" s="1125">
        <f>IF(Y33="X",1,0)</f>
        <v/>
      </c>
      <c r="BN33" s="1125">
        <f>IF(Z33="X",1,0)</f>
        <v/>
      </c>
      <c r="BO33" s="1125">
        <f>IF(AA33="X",1,0)</f>
        <v/>
      </c>
      <c r="BP33" s="1125">
        <f>IF(AB33="X",1,0)</f>
        <v/>
      </c>
      <c r="BQ33" s="1125">
        <f>IF(AC33="X",1,0)</f>
        <v/>
      </c>
      <c r="BR33" s="1125">
        <f>IF(AD33="X",1,0)</f>
        <v/>
      </c>
      <c r="BS33" s="1125">
        <f>IF(AE33="X",1,0)</f>
        <v/>
      </c>
      <c r="BT33" s="1125">
        <f>IF(AF33="X",1,0)</f>
        <v/>
      </c>
      <c r="BU33" s="1125">
        <f>IF(AG33="X",1,0)</f>
        <v/>
      </c>
      <c r="BV33" s="1125">
        <f>IF(AH33="X",1,0)</f>
        <v/>
      </c>
      <c r="BW33" s="1125">
        <f>IF(AI33="X",1,0)</f>
        <v/>
      </c>
      <c r="BX33" s="1125">
        <f>IF(AJ33="X",1,0)</f>
        <v/>
      </c>
      <c r="BY33" s="1125">
        <f>IF(AK33="X",1,0)</f>
        <v/>
      </c>
      <c r="BZ33" s="1125">
        <f>IF(AL33="X",1,0)</f>
        <v/>
      </c>
      <c r="CA33" s="1125">
        <f>IF(AM33="X",1,0)</f>
        <v/>
      </c>
      <c r="CB33" s="1125">
        <f>IF(AN33="X",1,0)</f>
        <v/>
      </c>
    </row>
    <row r="34" ht="14.25" customHeight="1" s="557">
      <c r="A34" s="1085" t="n"/>
      <c r="B34" s="1136" t="n"/>
      <c r="C34" s="1136" t="n"/>
      <c r="D34" s="1135" t="n"/>
      <c r="E34" s="1135" t="n"/>
      <c r="F34" s="1135" t="n"/>
      <c r="G34" s="1135" t="n"/>
      <c r="H34" s="1135" t="n"/>
      <c r="I34" s="1135" t="n"/>
      <c r="J34" s="1135" t="n"/>
      <c r="K34" s="1135" t="n"/>
      <c r="L34" s="1135" t="n"/>
      <c r="M34" s="1135" t="n"/>
      <c r="N34" s="1135" t="n"/>
      <c r="O34" s="1135" t="n"/>
      <c r="P34" s="1135" t="n"/>
      <c r="Q34" s="1135" t="n"/>
      <c r="R34" s="1135" t="n"/>
      <c r="S34" s="1135" t="n"/>
      <c r="T34" s="1135" t="n"/>
      <c r="U34" s="1135" t="n"/>
      <c r="V34" s="1135" t="n"/>
      <c r="W34" s="1135" t="n"/>
      <c r="X34" s="1135" t="n"/>
      <c r="Y34" s="1135" t="n"/>
      <c r="Z34" s="1135" t="n"/>
      <c r="AA34" s="1135" t="n"/>
      <c r="AB34" s="1135" t="n"/>
      <c r="AC34" s="1135" t="n"/>
      <c r="AD34" s="1135" t="n"/>
      <c r="AE34" s="1135" t="n"/>
      <c r="AF34" s="1135" t="n"/>
      <c r="AG34" s="1135" t="n"/>
      <c r="AH34" s="1135" t="n"/>
      <c r="AI34" s="1135" t="n"/>
      <c r="AJ34" s="1135" t="n"/>
      <c r="AK34" s="1135" t="n"/>
      <c r="AL34" s="1135" t="n"/>
      <c r="AM34" s="615">
        <f>IF(COUNTA(D34:AL34)=0,"",COUNTA(D34:AL34))</f>
        <v/>
      </c>
      <c r="AN34" s="1088" t="n"/>
      <c r="AO34" s="1094" t="n"/>
      <c r="AP34" s="1085" t="n"/>
      <c r="AR34" s="1125">
        <f>IF(D34="X",1,0)</f>
        <v/>
      </c>
      <c r="AS34" s="1125">
        <f>IF(E34="X",1,0)</f>
        <v/>
      </c>
      <c r="AT34" s="1125">
        <f>IF(F34="X",1,0)</f>
        <v/>
      </c>
      <c r="AU34" s="1125">
        <f>IF(G34="X",1,0)</f>
        <v/>
      </c>
      <c r="AV34" s="1125">
        <f>IF(H34="X",1,0)</f>
        <v/>
      </c>
      <c r="AW34" s="1125">
        <f>IF(I34="X",1,0)</f>
        <v/>
      </c>
      <c r="AX34" s="1125">
        <f>IF(J34="X",1,0)</f>
        <v/>
      </c>
      <c r="AY34" s="1125">
        <f>IF(K34="X",1,0)</f>
        <v/>
      </c>
      <c r="AZ34" s="1125">
        <f>IF(L34="X",1,0)</f>
        <v/>
      </c>
      <c r="BA34" s="1125">
        <f>IF(M34="X",1,0)</f>
        <v/>
      </c>
      <c r="BB34" s="1125">
        <f>IF(N34="X",1,0)</f>
        <v/>
      </c>
      <c r="BC34" s="1125">
        <f>IF(O34="X",1,0)</f>
        <v/>
      </c>
      <c r="BD34" s="1125">
        <f>IF(P34="X",1,0)</f>
        <v/>
      </c>
      <c r="BE34" s="1125">
        <f>IF(Q34="X",1,0)</f>
        <v/>
      </c>
      <c r="BF34" s="1125">
        <f>IF(R34="X",1,0)</f>
        <v/>
      </c>
      <c r="BG34" s="1125">
        <f>IF(S34="X",1,0)</f>
        <v/>
      </c>
      <c r="BH34" s="1125">
        <f>IF(T34="X",1,0)</f>
        <v/>
      </c>
      <c r="BI34" s="1125">
        <f>IF(U34="X",1,0)</f>
        <v/>
      </c>
      <c r="BJ34" s="1125">
        <f>IF(V34="X",1,0)</f>
        <v/>
      </c>
      <c r="BK34" s="1125">
        <f>IF(W34="X",1,0)</f>
        <v/>
      </c>
      <c r="BL34" s="1125">
        <f>IF(X34="X",1,0)</f>
        <v/>
      </c>
      <c r="BM34" s="1125">
        <f>IF(Y34="X",1,0)</f>
        <v/>
      </c>
      <c r="BN34" s="1125">
        <f>IF(Z34="X",1,0)</f>
        <v/>
      </c>
      <c r="BO34" s="1125">
        <f>IF(AA34="X",1,0)</f>
        <v/>
      </c>
      <c r="BP34" s="1125">
        <f>IF(AB34="X",1,0)</f>
        <v/>
      </c>
      <c r="BQ34" s="1125">
        <f>IF(AC34="X",1,0)</f>
        <v/>
      </c>
      <c r="BR34" s="1125">
        <f>IF(AD34="X",1,0)</f>
        <v/>
      </c>
      <c r="BS34" s="1125">
        <f>IF(AE34="X",1,0)</f>
        <v/>
      </c>
      <c r="BT34" s="1125">
        <f>IF(AF34="X",1,0)</f>
        <v/>
      </c>
      <c r="BU34" s="1125">
        <f>IF(AG34="X",1,0)</f>
        <v/>
      </c>
      <c r="BV34" s="1125">
        <f>IF(AH34="X",1,0)</f>
        <v/>
      </c>
      <c r="BW34" s="1125">
        <f>IF(AI34="X",1,0)</f>
        <v/>
      </c>
      <c r="BX34" s="1125">
        <f>IF(AJ34="X",1,0)</f>
        <v/>
      </c>
      <c r="BY34" s="1125">
        <f>IF(AK34="X",1,0)</f>
        <v/>
      </c>
      <c r="BZ34" s="1125">
        <f>IF(AL34="X",1,0)</f>
        <v/>
      </c>
      <c r="CA34" s="1125">
        <f>IF(AM34="X",1,0)</f>
        <v/>
      </c>
      <c r="CB34" s="1125">
        <f>IF(AN34="X",1,0)</f>
        <v/>
      </c>
    </row>
    <row r="35" ht="9.75" customHeight="1" s="557">
      <c r="A35" s="1085" t="n"/>
      <c r="B35" s="1140" t="inlineStr">
        <is>
          <t>Operational Hours:</t>
        </is>
      </c>
      <c r="C35" s="1091" t="n"/>
      <c r="D35" s="1141" t="n"/>
      <c r="E35" s="1090" t="n"/>
      <c r="F35" s="1090" t="n"/>
      <c r="G35" s="1090" t="n"/>
      <c r="H35" s="1090" t="n"/>
      <c r="I35" s="1090" t="n"/>
      <c r="J35" s="1090" t="n"/>
      <c r="K35" s="1090" t="n"/>
      <c r="L35" s="1090" t="n"/>
      <c r="M35" s="1090" t="n"/>
      <c r="N35" s="1090" t="n"/>
      <c r="O35" s="1090" t="n"/>
      <c r="P35" s="1090" t="n"/>
      <c r="Q35" s="1090" t="n"/>
      <c r="R35" s="1090" t="n"/>
      <c r="S35" s="1090" t="n"/>
      <c r="T35" s="1090" t="n"/>
      <c r="U35" s="1090" t="n"/>
      <c r="V35" s="1090" t="n"/>
      <c r="W35" s="1090" t="n"/>
      <c r="X35" s="1090" t="n"/>
      <c r="Y35" s="1090" t="n"/>
      <c r="Z35" s="1090" t="n"/>
      <c r="AA35" s="1090" t="n"/>
      <c r="AB35" s="1090" t="n"/>
      <c r="AC35" s="1090" t="n"/>
      <c r="AD35" s="1090" t="n"/>
      <c r="AE35" s="1090" t="n"/>
      <c r="AF35" s="1090" t="n"/>
      <c r="AG35" s="1090" t="n"/>
      <c r="AH35" s="1090" t="n"/>
      <c r="AI35" s="1090" t="n"/>
      <c r="AJ35" s="1090" t="n"/>
      <c r="AK35" s="1090" t="n"/>
      <c r="AL35" s="1090" t="n"/>
      <c r="AM35" s="1090" t="n"/>
      <c r="AN35" s="1090" t="n"/>
      <c r="AO35" s="1091" t="n"/>
      <c r="AP35" s="1085" t="n"/>
    </row>
    <row r="36" ht="9.75" customHeight="1" s="557">
      <c r="A36" s="1085" t="n"/>
      <c r="B36" s="1111" t="n"/>
      <c r="C36" s="1113" t="n"/>
      <c r="D36" s="1111" t="n"/>
      <c r="E36" s="1112" t="n"/>
      <c r="F36" s="1112" t="n"/>
      <c r="G36" s="1112" t="n"/>
      <c r="H36" s="1112" t="n"/>
      <c r="I36" s="1112" t="n"/>
      <c r="J36" s="1112" t="n"/>
      <c r="K36" s="1112" t="n"/>
      <c r="L36" s="1112" t="n"/>
      <c r="M36" s="1112" t="n"/>
      <c r="N36" s="1112" t="n"/>
      <c r="O36" s="1112" t="n"/>
      <c r="P36" s="1112" t="n"/>
      <c r="Q36" s="1112" t="n"/>
      <c r="R36" s="1112" t="n"/>
      <c r="S36" s="1112" t="n"/>
      <c r="T36" s="1112" t="n"/>
      <c r="U36" s="1112" t="n"/>
      <c r="V36" s="1112" t="n"/>
      <c r="W36" s="1112" t="n"/>
      <c r="X36" s="1112" t="n"/>
      <c r="Y36" s="1112" t="n"/>
      <c r="Z36" s="1112" t="n"/>
      <c r="AA36" s="1112" t="n"/>
      <c r="AB36" s="1112" t="n"/>
      <c r="AC36" s="1112" t="n"/>
      <c r="AD36" s="1112" t="n"/>
      <c r="AE36" s="1112" t="n"/>
      <c r="AF36" s="1112" t="n"/>
      <c r="AG36" s="1112" t="n"/>
      <c r="AH36" s="1112" t="n"/>
      <c r="AI36" s="1112" t="n"/>
      <c r="AJ36" s="1112" t="n"/>
      <c r="AK36" s="1112" t="n"/>
      <c r="AL36" s="1112" t="n"/>
      <c r="AM36" s="1112" t="n"/>
      <c r="AN36" s="1112" t="n"/>
      <c r="AO36" s="1113" t="n"/>
      <c r="AP36" s="1085" t="n"/>
    </row>
    <row r="37" ht="19.5" customHeight="1" s="557">
      <c r="A37" s="1085" t="n"/>
      <c r="B37" s="1142" t="inlineStr">
        <is>
          <t xml:space="preserve">Supplier - Rep. </t>
        </is>
      </c>
      <c r="C37" s="1143">
        <f>'Master Data'!B21</f>
        <v/>
      </c>
      <c r="D37" s="1088" t="n"/>
      <c r="E37" s="1088" t="n"/>
      <c r="F37" s="1088" t="n"/>
      <c r="G37" s="1088" t="n"/>
      <c r="H37" s="1094" t="n"/>
      <c r="I37" s="1144" t="inlineStr">
        <is>
          <t>Customer Rep.</t>
        </is>
      </c>
      <c r="J37" s="1088" t="n"/>
      <c r="K37" s="1088" t="n"/>
      <c r="L37" s="1088" t="n"/>
      <c r="M37" s="1088" t="n"/>
      <c r="N37" s="1088" t="n"/>
      <c r="O37" s="1088" t="n"/>
      <c r="P37" s="1088" t="n"/>
      <c r="Q37" s="1088" t="n"/>
      <c r="R37" s="1088" t="n"/>
      <c r="S37" s="1088" t="n"/>
      <c r="T37" s="1088" t="n"/>
      <c r="U37" s="1094" t="n"/>
      <c r="V37" s="1144">
        <f>'Master Data'!B4</f>
        <v/>
      </c>
      <c r="W37" s="1088" t="n"/>
      <c r="X37" s="1088" t="n"/>
      <c r="Y37" s="1088" t="n"/>
      <c r="Z37" s="1088" t="n"/>
      <c r="AA37" s="1088" t="n"/>
      <c r="AB37" s="1088" t="n"/>
      <c r="AC37" s="1088" t="n"/>
      <c r="AD37" s="1088" t="n"/>
      <c r="AE37" s="1088" t="n"/>
      <c r="AF37" s="1088" t="n"/>
      <c r="AG37" s="1094" t="n"/>
      <c r="AH37" s="1145" t="inlineStr">
        <is>
          <t xml:space="preserve">Customer Stamp </t>
        </is>
      </c>
      <c r="AI37" s="1090" t="n"/>
      <c r="AJ37" s="1090" t="n"/>
      <c r="AK37" s="1090" t="n"/>
      <c r="AL37" s="1090" t="n"/>
      <c r="AM37" s="1090" t="n"/>
      <c r="AN37" s="1090" t="n"/>
      <c r="AO37" s="1091" t="n"/>
      <c r="AP37" s="1085" t="n"/>
    </row>
    <row r="38" ht="19.5" customHeight="1" s="557">
      <c r="A38" s="1085" t="n"/>
      <c r="B38" s="1142" t="inlineStr">
        <is>
          <t>Signature</t>
        </is>
      </c>
      <c r="C38" s="1143" t="n"/>
      <c r="D38" s="1088" t="n"/>
      <c r="E38" s="1088" t="n"/>
      <c r="F38" s="1088" t="n"/>
      <c r="G38" s="1088" t="n"/>
      <c r="H38" s="1094" t="n"/>
      <c r="I38" s="1144" t="inlineStr">
        <is>
          <t>Signature</t>
        </is>
      </c>
      <c r="J38" s="1088" t="n"/>
      <c r="K38" s="1088" t="n"/>
      <c r="L38" s="1088" t="n"/>
      <c r="M38" s="1088" t="n"/>
      <c r="N38" s="1088" t="n"/>
      <c r="O38" s="1088" t="n"/>
      <c r="P38" s="1088" t="n"/>
      <c r="Q38" s="1088" t="n"/>
      <c r="R38" s="1088" t="n"/>
      <c r="S38" s="1088" t="n"/>
      <c r="T38" s="1088" t="n"/>
      <c r="U38" s="1094" t="n"/>
      <c r="V38" s="1144" t="n"/>
      <c r="W38" s="1088" t="n"/>
      <c r="X38" s="1088" t="n"/>
      <c r="Y38" s="1088" t="n"/>
      <c r="Z38" s="1088" t="n"/>
      <c r="AA38" s="1088" t="n"/>
      <c r="AB38" s="1088" t="n"/>
      <c r="AC38" s="1088" t="n"/>
      <c r="AD38" s="1088" t="n"/>
      <c r="AE38" s="1088" t="n"/>
      <c r="AF38" s="1088" t="n"/>
      <c r="AG38" s="1094" t="n"/>
      <c r="AH38" s="1095" t="n"/>
      <c r="AI38" s="1096" t="n"/>
      <c r="AJ38" s="1096" t="n"/>
      <c r="AK38" s="1096" t="n"/>
      <c r="AL38" s="1096" t="n"/>
      <c r="AM38" s="1096" t="n"/>
      <c r="AN38" s="1096" t="n"/>
      <c r="AO38" s="1097" t="n"/>
      <c r="AP38" s="1085" t="n"/>
    </row>
    <row r="39" ht="18.75" customHeight="1" s="557">
      <c r="A39" s="1085" t="n"/>
      <c r="B39" s="1142" t="inlineStr">
        <is>
          <t xml:space="preserve">Date :- </t>
        </is>
      </c>
      <c r="C39" s="1146">
        <f>'Master Data'!E24</f>
        <v/>
      </c>
      <c r="D39" s="678" t="n"/>
      <c r="E39" s="678" t="n"/>
      <c r="F39" s="678" t="n"/>
      <c r="G39" s="678" t="n"/>
      <c r="H39" s="679" t="n"/>
      <c r="I39" s="1143" t="inlineStr">
        <is>
          <t xml:space="preserve">Date :- </t>
        </is>
      </c>
      <c r="J39" s="1088" t="n"/>
      <c r="K39" s="1088" t="n"/>
      <c r="L39" s="1088" t="n"/>
      <c r="M39" s="1088" t="n"/>
      <c r="N39" s="1088" t="n"/>
      <c r="O39" s="1088" t="n"/>
      <c r="P39" s="1088" t="n"/>
      <c r="Q39" s="1088" t="n"/>
      <c r="R39" s="1088" t="n"/>
      <c r="S39" s="1088" t="n"/>
      <c r="T39" s="1088" t="n"/>
      <c r="U39" s="1094" t="n"/>
      <c r="V39" s="1146">
        <f>'Master Data'!E24</f>
        <v/>
      </c>
      <c r="W39" s="678" t="n"/>
      <c r="X39" s="678" t="n"/>
      <c r="Y39" s="678" t="n"/>
      <c r="Z39" s="678" t="n"/>
      <c r="AA39" s="678" t="n"/>
      <c r="AB39" s="678" t="n"/>
      <c r="AC39" s="678" t="n"/>
      <c r="AD39" s="678" t="n"/>
      <c r="AE39" s="678" t="n"/>
      <c r="AF39" s="678" t="n"/>
      <c r="AG39" s="679" t="n"/>
      <c r="AH39" s="1111" t="n"/>
      <c r="AI39" s="1112" t="n"/>
      <c r="AJ39" s="1112" t="n"/>
      <c r="AK39" s="1112" t="n"/>
      <c r="AL39" s="1112" t="n"/>
      <c r="AM39" s="1112" t="n"/>
      <c r="AN39" s="1112" t="n"/>
      <c r="AO39" s="1113" t="n"/>
      <c r="AP39" s="1085" t="n"/>
      <c r="AR39" s="1125" t="n"/>
      <c r="AS39" s="1125" t="n"/>
      <c r="AT39" s="1125" t="n"/>
      <c r="AU39" s="1125" t="n"/>
      <c r="AV39" s="1125" t="n"/>
      <c r="AW39" s="1125" t="n"/>
      <c r="AX39" s="1125" t="n"/>
      <c r="AY39" s="1125" t="n"/>
      <c r="AZ39" s="1125" t="n"/>
      <c r="BA39" s="1125" t="n"/>
      <c r="BB39" s="1125" t="n"/>
      <c r="BC39" s="1125" t="n"/>
      <c r="BD39" s="1125" t="n"/>
      <c r="BE39" s="1125" t="n"/>
      <c r="BF39" s="1125" t="n"/>
      <c r="BG39" s="1125" t="n"/>
      <c r="BH39" s="1125" t="n"/>
      <c r="BI39" s="1125" t="n"/>
      <c r="BJ39" s="1125" t="n"/>
      <c r="BK39" s="1125" t="n"/>
      <c r="BL39" s="1125" t="n"/>
      <c r="BM39" s="1125" t="n"/>
      <c r="BN39" s="1125" t="n"/>
      <c r="BO39" s="1125" t="n"/>
      <c r="BP39" s="1125" t="n"/>
      <c r="BQ39" s="1125" t="n"/>
      <c r="BR39" s="1125" t="n"/>
      <c r="BS39" s="1125" t="n"/>
      <c r="BT39" s="1125" t="n"/>
      <c r="BU39" s="1125" t="n"/>
      <c r="BV39" s="1125" t="n"/>
      <c r="BW39" s="1125" t="n"/>
      <c r="BX39" s="1125" t="n"/>
      <c r="BY39" s="1125" t="n"/>
      <c r="BZ39" s="1125" t="n"/>
      <c r="CA39" s="1125" t="n"/>
      <c r="CB39" s="1125" t="n"/>
    </row>
    <row r="40" ht="14.25" customHeight="1" s="557">
      <c r="A40" s="1085" t="n"/>
      <c r="B40" s="1085" t="n"/>
      <c r="C40" s="1085" t="n"/>
      <c r="D40" s="1085" t="n"/>
      <c r="E40" s="1085" t="n"/>
      <c r="F40" s="1085" t="n"/>
      <c r="G40" s="1085" t="n"/>
      <c r="H40" s="1085" t="n"/>
      <c r="I40" s="1085" t="n"/>
      <c r="J40" s="1085" t="n"/>
      <c r="K40" s="1085" t="n"/>
      <c r="L40" s="1085" t="n"/>
      <c r="M40" s="1085" t="n"/>
      <c r="N40" s="1085" t="n"/>
      <c r="O40" s="1085" t="n"/>
      <c r="P40" s="1085" t="n"/>
      <c r="Q40" s="1085" t="n"/>
      <c r="R40" s="1085" t="n"/>
      <c r="S40" s="1085" t="n"/>
      <c r="T40" s="1085" t="n"/>
      <c r="U40" s="1085" t="n"/>
      <c r="V40" s="1085" t="n"/>
      <c r="W40" s="1085" t="n"/>
      <c r="X40" s="1085" t="n"/>
      <c r="Y40" s="1085" t="n"/>
      <c r="Z40" s="1085" t="n"/>
      <c r="AA40" s="1085" t="n"/>
      <c r="AB40" s="1085" t="n"/>
      <c r="AC40" s="1085" t="n"/>
      <c r="AD40" s="1085" t="n"/>
      <c r="AE40" s="1085" t="n"/>
      <c r="AF40" s="1085" t="n"/>
      <c r="AG40" s="1085" t="n"/>
      <c r="AH40" s="1085" t="n"/>
      <c r="AI40" s="1085" t="n"/>
      <c r="AJ40" s="1085" t="n"/>
      <c r="AK40" s="1085" t="n"/>
      <c r="AL40" s="1085" t="n"/>
      <c r="AM40" s="1085" t="n"/>
      <c r="AN40" s="1085" t="n"/>
      <c r="AO40" s="1085" t="n"/>
      <c r="AP40" s="1085" t="n"/>
    </row>
    <row r="43" ht="14.25" customHeight="1" s="557">
      <c r="E43" s="1147"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861111111111111"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FFFF00"/>
    <outlinePr summaryBelow="1" summaryRight="1"/>
    <pageSetUpPr fitToPage="1"/>
  </sheetPr>
  <dimension ref="A1:CB36"/>
  <sheetViews>
    <sheetView showFormulas="0" showGridLines="1" showRowColHeaders="1" showZeros="1" rightToLeft="0" tabSelected="0" showOutlineSymbols="1" defaultGridColor="1" view="pageBreakPreview" topLeftCell="A3" colorId="64" zoomScale="94" zoomScaleNormal="100" zoomScalePageLayoutView="94" workbookViewId="0">
      <selection pane="topLeft" activeCell="D7" activeCellId="0" sqref="D7"/>
    </sheetView>
  </sheetViews>
  <sheetFormatPr baseColWidth="8" defaultColWidth="9.11328125" defaultRowHeight="14.25" zeroHeight="0" outlineLevelRow="0"/>
  <cols>
    <col width="1.78" customWidth="1" style="1084" min="1" max="1"/>
    <col width="25.89" customWidth="1" style="1084" min="2" max="2"/>
    <col width="29.22" customWidth="1" style="1084" min="3" max="3"/>
    <col width="3.33" customWidth="1" style="1084" min="4" max="4"/>
    <col width="3.78" customWidth="1" style="1084" min="5" max="5"/>
    <col width="3.33" customWidth="1" style="1084" min="6" max="40"/>
    <col width="13.11" customWidth="1" style="1084" min="41" max="41"/>
    <col width="1.78" customWidth="1" style="1084" min="42" max="42"/>
    <col width="9.109999999999999" customWidth="1" style="1084" min="43" max="43"/>
    <col hidden="1" width="9.109999999999999" customWidth="1" style="1084" min="44" max="80"/>
    <col width="9.109999999999999" customWidth="1" style="1084" min="81" max="16384"/>
  </cols>
  <sheetData>
    <row r="1" ht="6.75" customHeight="1" s="557">
      <c r="A1" s="1085" t="n"/>
      <c r="B1" s="1085" t="n"/>
      <c r="C1" s="1085" t="n"/>
      <c r="D1" s="1085" t="n"/>
      <c r="E1" s="1085" t="n"/>
      <c r="F1" s="1085" t="n"/>
      <c r="G1" s="1085" t="n"/>
      <c r="H1" s="1085" t="n"/>
      <c r="I1" s="1085" t="n"/>
      <c r="J1" s="1085" t="n"/>
      <c r="K1" s="1085" t="n"/>
      <c r="L1" s="1085" t="n"/>
      <c r="M1" s="1085" t="n"/>
      <c r="N1" s="1085" t="n"/>
      <c r="O1" s="1085" t="n"/>
      <c r="P1" s="1085" t="n"/>
      <c r="Q1" s="1085" t="n"/>
      <c r="R1" s="1085" t="n"/>
      <c r="S1" s="1085" t="n"/>
      <c r="T1" s="1085" t="n"/>
      <c r="U1" s="1085" t="n"/>
      <c r="V1" s="1085" t="n"/>
      <c r="W1" s="1085" t="n"/>
      <c r="X1" s="1085" t="n"/>
      <c r="Y1" s="1085" t="n"/>
      <c r="Z1" s="1085" t="n"/>
      <c r="AA1" s="1085" t="n"/>
      <c r="AB1" s="1085" t="n"/>
      <c r="AC1" s="1085" t="n"/>
      <c r="AD1" s="1085" t="n"/>
      <c r="AE1" s="1085" t="n"/>
      <c r="AF1" s="1085" t="n"/>
      <c r="AG1" s="1085" t="n"/>
      <c r="AH1" s="1085" t="n"/>
      <c r="AI1" s="1085" t="n"/>
      <c r="AJ1" s="1085" t="n"/>
      <c r="AK1" s="1085" t="n"/>
      <c r="AL1" s="1085" t="n"/>
      <c r="AM1" s="1085" t="n"/>
      <c r="AN1" s="1085" t="n"/>
      <c r="AO1" s="1085" t="n"/>
      <c r="AP1" s="1085" t="n"/>
    </row>
    <row r="2" ht="28.5" customHeight="1" s="557">
      <c r="A2" s="1085" t="n"/>
      <c r="B2" s="1086" t="n"/>
      <c r="C2" s="1087" t="inlineStr">
        <is>
          <t>PERSONNEL AND EQUIPMENT TIMESHEET</t>
        </is>
      </c>
      <c r="D2" s="1088" t="n"/>
      <c r="E2" s="1088" t="n"/>
      <c r="F2" s="1088" t="n"/>
      <c r="G2" s="1088" t="n"/>
      <c r="H2" s="1088" t="n"/>
      <c r="I2" s="1088" t="n"/>
      <c r="J2" s="1088" t="n"/>
      <c r="K2" s="1088" t="n"/>
      <c r="L2" s="1088" t="n"/>
      <c r="M2" s="1088" t="n"/>
      <c r="N2" s="1088" t="n"/>
      <c r="O2" s="1088" t="n"/>
      <c r="P2" s="1088" t="n"/>
      <c r="Q2" s="1088" t="n"/>
      <c r="R2" s="1088" t="n"/>
      <c r="S2" s="1088" t="n"/>
      <c r="T2" s="1088" t="n"/>
      <c r="U2" s="1088" t="n"/>
      <c r="V2" s="1088" t="n"/>
      <c r="W2" s="1088" t="n"/>
      <c r="X2" s="1088" t="n"/>
      <c r="Y2" s="1088" t="n"/>
      <c r="Z2" s="1088" t="n"/>
      <c r="AA2" s="1088" t="n"/>
      <c r="AB2" s="1088" t="n"/>
      <c r="AC2" s="1088" t="n"/>
      <c r="AD2" s="1088" t="n"/>
      <c r="AE2" s="1088" t="n"/>
      <c r="AF2" s="1088" t="n"/>
      <c r="AG2" s="1088" t="n"/>
      <c r="AH2" s="1088" t="n"/>
      <c r="AI2" s="1088" t="n"/>
      <c r="AJ2" s="1088" t="n"/>
      <c r="AK2" s="1088" t="n"/>
      <c r="AL2" s="1088" t="n"/>
      <c r="AM2" s="1089" t="n"/>
      <c r="AN2" s="1090" t="n"/>
      <c r="AO2" s="1091" t="n"/>
      <c r="AP2" s="1085" t="n"/>
    </row>
    <row r="3" ht="10.5" customHeight="1" s="557">
      <c r="A3" s="1085" t="n"/>
      <c r="B3" s="1092" t="n"/>
      <c r="C3" s="1093" t="inlineStr">
        <is>
          <t xml:space="preserve">Document Number </t>
        </is>
      </c>
      <c r="D3" s="1093" t="inlineStr">
        <is>
          <t xml:space="preserve">Function/ Devesion </t>
        </is>
      </c>
      <c r="E3" s="1088" t="n"/>
      <c r="F3" s="1088" t="n"/>
      <c r="G3" s="1088" t="n"/>
      <c r="H3" s="1088" t="n"/>
      <c r="I3" s="1094" t="n"/>
      <c r="J3" s="1093" t="inlineStr">
        <is>
          <t xml:space="preserve">Owner </t>
        </is>
      </c>
      <c r="K3" s="1088" t="n"/>
      <c r="L3" s="1088" t="n"/>
      <c r="M3" s="1088" t="n"/>
      <c r="N3" s="1088" t="n"/>
      <c r="O3" s="1094" t="n"/>
      <c r="P3" s="1093" t="inlineStr">
        <is>
          <t>SQ Review</t>
        </is>
      </c>
      <c r="Q3" s="1088" t="n"/>
      <c r="R3" s="1088" t="n"/>
      <c r="S3" s="1088" t="n"/>
      <c r="T3" s="1088" t="n"/>
      <c r="U3" s="1094" t="n"/>
      <c r="V3" s="1093" t="inlineStr">
        <is>
          <t xml:space="preserve">Approved by </t>
        </is>
      </c>
      <c r="W3" s="1088" t="n"/>
      <c r="X3" s="1088" t="n"/>
      <c r="Y3" s="1088" t="n"/>
      <c r="Z3" s="1088" t="n"/>
      <c r="AA3" s="1094" t="n"/>
      <c r="AB3" s="1093" t="inlineStr">
        <is>
          <t xml:space="preserve">Rev Date </t>
        </is>
      </c>
      <c r="AC3" s="1088" t="n"/>
      <c r="AD3" s="1088" t="n"/>
      <c r="AE3" s="1088" t="n"/>
      <c r="AF3" s="1088" t="n"/>
      <c r="AG3" s="1094" t="n"/>
      <c r="AH3" s="1093" t="inlineStr">
        <is>
          <t xml:space="preserve">Rev # </t>
        </is>
      </c>
      <c r="AI3" s="1088" t="n"/>
      <c r="AJ3" s="1088" t="n"/>
      <c r="AK3" s="1088" t="n"/>
      <c r="AL3" s="1094" t="n"/>
      <c r="AM3" s="1095" t="n"/>
      <c r="AN3" s="1096" t="n"/>
      <c r="AO3" s="1097" t="n"/>
      <c r="AP3" s="1085" t="n"/>
    </row>
    <row r="4" ht="11.25" customHeight="1" s="557">
      <c r="A4" s="1085" t="n"/>
      <c r="B4" s="1092" t="n"/>
      <c r="C4" s="1098" t="inlineStr">
        <is>
          <t>UAE-COMP-OEPS-L5-036</t>
        </is>
      </c>
      <c r="D4" s="1099" t="inlineStr">
        <is>
          <t xml:space="preserve">Completion </t>
        </is>
      </c>
      <c r="E4" s="1088" t="n"/>
      <c r="F4" s="1088" t="n"/>
      <c r="G4" s="1088" t="n"/>
      <c r="H4" s="1088" t="n"/>
      <c r="I4" s="1094" t="n"/>
      <c r="J4" s="1099" t="inlineStr">
        <is>
          <t>Hamed Hassan</t>
        </is>
      </c>
      <c r="K4" s="1088" t="n"/>
      <c r="L4" s="1088" t="n"/>
      <c r="M4" s="1088" t="n"/>
      <c r="N4" s="1088" t="n"/>
      <c r="O4" s="1094" t="n"/>
      <c r="P4" s="1099" t="inlineStr">
        <is>
          <t xml:space="preserve">Lambi Leslie </t>
        </is>
      </c>
      <c r="Q4" s="1088" t="n"/>
      <c r="R4" s="1088" t="n"/>
      <c r="S4" s="1088" t="n"/>
      <c r="T4" s="1088" t="n"/>
      <c r="U4" s="1094" t="n"/>
      <c r="V4" s="1099" t="inlineStr">
        <is>
          <t>Bassem Mahmoud</t>
        </is>
      </c>
      <c r="W4" s="1088" t="n"/>
      <c r="X4" s="1088" t="n"/>
      <c r="Y4" s="1088" t="n"/>
      <c r="Z4" s="1088" t="n"/>
      <c r="AA4" s="1094" t="n"/>
      <c r="AB4" s="1100" t="n">
        <v>45627</v>
      </c>
      <c r="AC4" s="1088" t="n"/>
      <c r="AD4" s="1088" t="n"/>
      <c r="AE4" s="1088" t="n"/>
      <c r="AF4" s="1088" t="n"/>
      <c r="AG4" s="1094" t="n"/>
      <c r="AH4" s="1099" t="n">
        <v>1</v>
      </c>
      <c r="AI4" s="1088" t="n"/>
      <c r="AJ4" s="1088" t="n"/>
      <c r="AK4" s="1088" t="n"/>
      <c r="AL4" s="1094" t="n"/>
      <c r="AM4" s="1095" t="n"/>
      <c r="AN4" s="1096" t="n"/>
      <c r="AO4" s="1097" t="n"/>
      <c r="AP4" s="1085" t="n"/>
    </row>
    <row r="5" ht="19.5" customHeight="1" s="557">
      <c r="A5" s="1085" t="n"/>
      <c r="B5" s="1092" t="n"/>
      <c r="C5" s="1101" t="inlineStr">
        <is>
          <t xml:space="preserve">Field : </t>
        </is>
      </c>
      <c r="D5" s="1148" t="inlineStr">
        <is>
          <t>Lower Zakum</t>
        </is>
      </c>
      <c r="E5" s="1088" t="n"/>
      <c r="F5" s="1088" t="n"/>
      <c r="G5" s="1088" t="n"/>
      <c r="H5" s="1094" t="n"/>
      <c r="I5" s="1103" t="inlineStr">
        <is>
          <t xml:space="preserve">Contract # : </t>
        </is>
      </c>
      <c r="J5" s="1088" t="n"/>
      <c r="K5" s="1088" t="n"/>
      <c r="L5" s="1088" t="n"/>
      <c r="M5" s="1088" t="n"/>
      <c r="N5" s="1088" t="n"/>
      <c r="O5" s="1094" t="n"/>
      <c r="P5" s="1149" t="n"/>
      <c r="Q5" s="1088" t="n"/>
      <c r="R5" s="1088" t="n"/>
      <c r="S5" s="1088" t="n"/>
      <c r="T5" s="1088" t="n"/>
      <c r="U5" s="1088" t="n"/>
      <c r="V5" s="1103" t="inlineStr">
        <is>
          <t>FTL / Service Ticket #:</t>
        </is>
      </c>
      <c r="W5" s="1088" t="n"/>
      <c r="X5" s="1088" t="n"/>
      <c r="Y5" s="1088" t="n"/>
      <c r="Z5" s="1088" t="n"/>
      <c r="AA5" s="1094" t="n"/>
      <c r="AB5" s="1150" t="n">
        <v>15969455</v>
      </c>
      <c r="AC5" s="1088" t="n"/>
      <c r="AD5" s="1088" t="n"/>
      <c r="AE5" s="1088" t="n"/>
      <c r="AF5" s="1088" t="n"/>
      <c r="AG5" s="1088" t="n"/>
      <c r="AH5" s="1088" t="n"/>
      <c r="AI5" s="1088" t="n"/>
      <c r="AJ5" s="1088" t="n"/>
      <c r="AK5" s="1088" t="n"/>
      <c r="AL5" s="1094" t="n"/>
      <c r="AM5" s="1095" t="n"/>
      <c r="AN5" s="1096" t="n"/>
      <c r="AO5" s="1097" t="n"/>
      <c r="AP5" s="1085" t="n"/>
    </row>
    <row r="6" ht="18.75" customHeight="1" s="557">
      <c r="A6" s="1085" t="n"/>
      <c r="B6" s="1106" t="n"/>
      <c r="C6" s="1101" t="inlineStr">
        <is>
          <t>Rig name:</t>
        </is>
      </c>
      <c r="D6" s="1148" t="inlineStr">
        <is>
          <t>Al sila</t>
        </is>
      </c>
      <c r="E6" s="1088" t="n"/>
      <c r="F6" s="1088" t="n"/>
      <c r="G6" s="1088" t="n"/>
      <c r="H6" s="1094" t="n"/>
      <c r="I6" s="1103" t="inlineStr">
        <is>
          <t>Customer RO  #:</t>
        </is>
      </c>
      <c r="J6" s="1088" t="n"/>
      <c r="K6" s="1088" t="n"/>
      <c r="L6" s="1088" t="n"/>
      <c r="M6" s="1088" t="n"/>
      <c r="N6" s="1088" t="n"/>
      <c r="O6" s="1094" t="n"/>
      <c r="P6" s="1149" t="n"/>
      <c r="Q6" s="1088" t="n"/>
      <c r="R6" s="1088" t="n"/>
      <c r="S6" s="1088" t="n"/>
      <c r="T6" s="1088" t="n"/>
      <c r="U6" s="1088" t="n"/>
      <c r="V6" s="1103" t="inlineStr">
        <is>
          <t xml:space="preserve">Date </t>
        </is>
      </c>
      <c r="W6" s="1088" t="n"/>
      <c r="X6" s="1088" t="n"/>
      <c r="Y6" s="1088" t="n"/>
      <c r="Z6" s="1088" t="n"/>
      <c r="AA6" s="1094" t="n"/>
      <c r="AB6" s="1151" t="inlineStr">
        <is>
          <t xml:space="preserve">From </t>
        </is>
      </c>
      <c r="AC6" s="1088" t="n"/>
      <c r="AD6" s="1152" t="inlineStr">
        <is>
          <t>18/7/2026</t>
        </is>
      </c>
      <c r="AE6" s="1088" t="n"/>
      <c r="AF6" s="1088" t="n"/>
      <c r="AG6" s="1088" t="n"/>
      <c r="AH6" s="1153" t="inlineStr">
        <is>
          <t>To:</t>
        </is>
      </c>
      <c r="AI6" s="1152" t="n"/>
      <c r="AJ6" s="1088" t="n"/>
      <c r="AK6" s="1088" t="n"/>
      <c r="AL6" s="1088" t="n"/>
      <c r="AM6" s="1111" t="n"/>
      <c r="AN6" s="1112" t="n"/>
      <c r="AO6" s="1113" t="n"/>
      <c r="AP6" s="1085" t="n"/>
    </row>
    <row r="7" ht="15" customHeight="1" s="557">
      <c r="A7" s="1085" t="n"/>
      <c r="B7" s="1114" t="inlineStr">
        <is>
          <t xml:space="preserve">Weatherford </t>
        </is>
      </c>
      <c r="C7" s="1101" t="inlineStr">
        <is>
          <t>Well Number:</t>
        </is>
      </c>
      <c r="D7" s="1148" t="inlineStr">
        <is>
          <t>ZK-460</t>
        </is>
      </c>
      <c r="E7" s="1088" t="n"/>
      <c r="F7" s="1088" t="n"/>
      <c r="G7" s="1088" t="n"/>
      <c r="H7" s="1094" t="n"/>
      <c r="I7" s="1103" t="inlineStr">
        <is>
          <t>Services performed:</t>
        </is>
      </c>
      <c r="J7" s="1088" t="n"/>
      <c r="K7" s="1088" t="n"/>
      <c r="L7" s="1088" t="n"/>
      <c r="M7" s="1088" t="n"/>
      <c r="N7" s="1088" t="n"/>
      <c r="O7" s="1094" t="n"/>
      <c r="P7" s="1154" t="inlineStr">
        <is>
          <t>Dual Completion</t>
        </is>
      </c>
      <c r="Q7" s="1088" t="n"/>
      <c r="R7" s="1088" t="n"/>
      <c r="S7" s="1088" t="n"/>
      <c r="T7" s="1088" t="n"/>
      <c r="U7" s="1088" t="n"/>
      <c r="V7" s="1088" t="n"/>
      <c r="W7" s="1088" t="n"/>
      <c r="X7" s="1088" t="n"/>
      <c r="Y7" s="1088" t="n"/>
      <c r="Z7" s="1088" t="n"/>
      <c r="AA7" s="1088" t="n"/>
      <c r="AB7" s="1088" t="n"/>
      <c r="AC7" s="1088" t="n"/>
      <c r="AD7" s="1088" t="n"/>
      <c r="AE7" s="1088" t="n"/>
      <c r="AF7" s="1088" t="n"/>
      <c r="AG7" s="1088" t="n"/>
      <c r="AH7" s="1088" t="n"/>
      <c r="AI7" s="1088" t="n"/>
      <c r="AJ7" s="1088" t="n"/>
      <c r="AK7" s="1088" t="n"/>
      <c r="AL7" s="1094" t="n"/>
      <c r="AM7" s="1155" t="inlineStr">
        <is>
          <t>AOF-STD-PET-24-0</t>
        </is>
      </c>
      <c r="AN7" s="1088" t="n"/>
      <c r="AO7" s="1094" t="n"/>
      <c r="AP7" s="1085" t="n"/>
    </row>
    <row r="8" ht="15" customHeight="1" s="557">
      <c r="A8" s="1085" t="n"/>
      <c r="B8" s="1117" t="n"/>
      <c r="C8" s="1118" t="n"/>
      <c r="D8" s="1156" t="inlineStr">
        <is>
          <t>July 26</t>
        </is>
      </c>
      <c r="E8" s="1088" t="n"/>
      <c r="F8" s="1088" t="n"/>
      <c r="G8" s="1088" t="n"/>
      <c r="H8" s="1088" t="n"/>
      <c r="I8" s="1088" t="n"/>
      <c r="J8" s="1088" t="n"/>
      <c r="K8" s="1088" t="n"/>
      <c r="L8" s="1088" t="n"/>
      <c r="M8" s="1088" t="n"/>
      <c r="N8" s="1088" t="n"/>
      <c r="O8" s="1088" t="n"/>
      <c r="P8" s="1088" t="n"/>
      <c r="Q8" s="1088" t="n"/>
      <c r="R8" s="1088" t="n"/>
      <c r="S8" s="1088" t="n"/>
      <c r="T8" s="1088" t="n"/>
      <c r="U8" s="1088" t="n"/>
      <c r="V8" s="1088" t="n"/>
      <c r="W8" s="1088" t="n"/>
      <c r="X8" s="1088" t="n"/>
      <c r="Y8" s="1088" t="n"/>
      <c r="Z8" s="1088" t="n"/>
      <c r="AA8" s="1088" t="n"/>
      <c r="AB8" s="1088" t="n"/>
      <c r="AC8" s="1088" t="n"/>
      <c r="AD8" s="1088" t="n"/>
      <c r="AE8" s="1094" t="n"/>
      <c r="AF8" s="1156" t="n"/>
      <c r="AG8" s="1088" t="n"/>
      <c r="AH8" s="1088" t="n"/>
      <c r="AI8" s="1088" t="n"/>
      <c r="AJ8" s="1088" t="n"/>
      <c r="AK8" s="1088" t="n"/>
      <c r="AL8" s="1094" t="n"/>
      <c r="AM8" s="1120" t="inlineStr">
        <is>
          <t>ADNOC OFFSHORE</t>
        </is>
      </c>
      <c r="AN8" s="1088" t="n"/>
      <c r="AO8" s="1094" t="n"/>
      <c r="AP8" s="1121" t="n"/>
    </row>
    <row r="9" ht="18" customHeight="1" s="557">
      <c r="A9" s="1085" t="n"/>
      <c r="B9" s="1122" t="inlineStr">
        <is>
          <t xml:space="preserve">Eng Name </t>
        </is>
      </c>
      <c r="C9" s="1122" t="inlineStr">
        <is>
          <t xml:space="preserve">Designation </t>
        </is>
      </c>
      <c r="D9" s="1123" t="n">
        <v>46221</v>
      </c>
      <c r="E9" s="1123" t="n">
        <v>46222</v>
      </c>
      <c r="F9" s="1123" t="n">
        <v>46223</v>
      </c>
      <c r="G9" s="1123" t="n">
        <v>46224</v>
      </c>
      <c r="H9" s="1123" t="n">
        <v>46225</v>
      </c>
      <c r="I9" s="1123" t="n">
        <v>46226</v>
      </c>
      <c r="J9" s="1123" t="n">
        <v>46227</v>
      </c>
      <c r="K9" s="1123" t="n">
        <v>46228</v>
      </c>
      <c r="L9" s="1123" t="n">
        <v>46229</v>
      </c>
      <c r="M9" s="1123" t="n">
        <v>46230</v>
      </c>
      <c r="N9" s="1123" t="n">
        <v>46231</v>
      </c>
      <c r="O9" s="1123" t="n">
        <v>46232</v>
      </c>
      <c r="P9" s="1123" t="n">
        <v>46233</v>
      </c>
      <c r="Q9" s="1123" t="n">
        <v>46234</v>
      </c>
      <c r="R9" s="1123" t="n">
        <v>46235</v>
      </c>
      <c r="S9" s="1123" t="n">
        <v>46236</v>
      </c>
      <c r="T9" s="1123" t="n">
        <v>46237</v>
      </c>
      <c r="U9" s="1123" t="n">
        <v>46238</v>
      </c>
      <c r="V9" s="1123" t="n">
        <v>46239</v>
      </c>
      <c r="W9" s="1123" t="n">
        <v>46240</v>
      </c>
      <c r="X9" s="1123" t="n">
        <v>46241</v>
      </c>
      <c r="Y9" s="1123" t="n">
        <v>46242</v>
      </c>
      <c r="Z9" s="1123" t="n">
        <v>46243</v>
      </c>
      <c r="AA9" s="1123" t="n">
        <v>46244</v>
      </c>
      <c r="AB9" s="1123" t="n">
        <v>46245</v>
      </c>
      <c r="AC9" s="1123" t="n">
        <v>46246</v>
      </c>
      <c r="AD9" s="1123" t="n">
        <v>46247</v>
      </c>
      <c r="AE9" s="1123" t="n">
        <v>46248</v>
      </c>
      <c r="AF9" s="1123" t="n">
        <v>46249</v>
      </c>
      <c r="AG9" s="1123" t="n">
        <v>46250</v>
      </c>
      <c r="AH9" s="1123" t="n">
        <v>46251</v>
      </c>
      <c r="AI9" s="1123" t="n">
        <v>46252</v>
      </c>
      <c r="AJ9" s="1123" t="n">
        <v>46253</v>
      </c>
      <c r="AK9" s="1123" t="n">
        <v>46254</v>
      </c>
      <c r="AL9" s="1123" t="n">
        <v>46255</v>
      </c>
      <c r="AM9" s="1124" t="inlineStr">
        <is>
          <t>Total Days</t>
        </is>
      </c>
      <c r="AN9" s="1096" t="n"/>
      <c r="AO9" s="1097" t="n"/>
      <c r="AP9" s="1085" t="n"/>
    </row>
    <row r="10" ht="15.75" customHeight="1" s="557">
      <c r="A10" s="1085" t="n"/>
      <c r="B10" s="1092" t="n"/>
      <c r="C10" s="1092" t="n"/>
      <c r="D10" s="1106" t="n"/>
      <c r="E10" s="1106" t="n"/>
      <c r="F10" s="1106" t="n"/>
      <c r="G10" s="1106" t="n"/>
      <c r="H10" s="1106" t="n"/>
      <c r="I10" s="1106" t="n"/>
      <c r="J10" s="1106" t="n"/>
      <c r="K10" s="1106" t="n"/>
      <c r="L10" s="1106" t="n"/>
      <c r="M10" s="1106" t="n"/>
      <c r="N10" s="1106" t="n"/>
      <c r="O10" s="1106" t="n"/>
      <c r="P10" s="1106" t="n"/>
      <c r="Q10" s="1106" t="n"/>
      <c r="R10" s="1106" t="n"/>
      <c r="S10" s="1106" t="n"/>
      <c r="T10" s="1106" t="n"/>
      <c r="U10" s="1106" t="n"/>
      <c r="V10" s="1106" t="n"/>
      <c r="W10" s="1106" t="n"/>
      <c r="X10" s="1106" t="n"/>
      <c r="Y10" s="1106" t="n"/>
      <c r="Z10" s="1106" t="n"/>
      <c r="AA10" s="1106" t="n"/>
      <c r="AB10" s="1106" t="n"/>
      <c r="AC10" s="1106" t="n"/>
      <c r="AD10" s="1106" t="n"/>
      <c r="AE10" s="1106" t="n"/>
      <c r="AF10" s="1106" t="n"/>
      <c r="AG10" s="1106" t="n"/>
      <c r="AH10" s="1106" t="n"/>
      <c r="AI10" s="1106" t="n"/>
      <c r="AJ10" s="1106" t="n"/>
      <c r="AK10" s="1106" t="n"/>
      <c r="AL10" s="1106" t="n"/>
      <c r="AM10" s="1095" t="n"/>
      <c r="AN10" s="1096" t="n"/>
      <c r="AO10" s="1097" t="n"/>
      <c r="AP10" s="1085" t="n"/>
    </row>
    <row r="11" ht="13.5" customHeight="1" s="557">
      <c r="A11" s="1085" t="n"/>
      <c r="B11" s="1106" t="n"/>
      <c r="C11" s="1106" t="n"/>
      <c r="D11" s="1122" t="inlineStr">
        <is>
          <t>Personnel</t>
        </is>
      </c>
      <c r="E11" s="1088" t="n"/>
      <c r="F11" s="1088" t="n"/>
      <c r="G11" s="1088" t="n"/>
      <c r="H11" s="1088" t="n"/>
      <c r="I11" s="1088" t="n"/>
      <c r="J11" s="1088" t="n"/>
      <c r="K11" s="1088" t="n"/>
      <c r="L11" s="1088" t="n"/>
      <c r="M11" s="1088" t="n"/>
      <c r="N11" s="1088" t="n"/>
      <c r="O11" s="1088" t="n"/>
      <c r="P11" s="1088" t="n"/>
      <c r="Q11" s="1088" t="n"/>
      <c r="R11" s="1088" t="n"/>
      <c r="S11" s="1088" t="n"/>
      <c r="T11" s="1088" t="n"/>
      <c r="U11" s="1088" t="n"/>
      <c r="V11" s="1088" t="n"/>
      <c r="W11" s="1088" t="n"/>
      <c r="X11" s="1088" t="n"/>
      <c r="Y11" s="1088" t="n"/>
      <c r="Z11" s="1088" t="n"/>
      <c r="AA11" s="1088" t="n"/>
      <c r="AB11" s="1088" t="n"/>
      <c r="AC11" s="1088" t="n"/>
      <c r="AD11" s="1088" t="n"/>
      <c r="AE11" s="1088" t="n"/>
      <c r="AF11" s="1088" t="n"/>
      <c r="AG11" s="1088" t="n"/>
      <c r="AH11" s="1088" t="n"/>
      <c r="AI11" s="1088" t="n"/>
      <c r="AJ11" s="1088" t="n"/>
      <c r="AK11" s="1088" t="n"/>
      <c r="AL11" s="1094" t="n"/>
      <c r="AM11" s="1111" t="n"/>
      <c r="AN11" s="1112" t="n"/>
      <c r="AO11" s="1113" t="n"/>
      <c r="AP11" s="1085" t="n"/>
    </row>
    <row r="12" ht="14.25" customFormat="1" customHeight="1" s="1125">
      <c r="A12" s="1126" t="n"/>
      <c r="B12" s="615" t="inlineStr">
        <is>
          <t>Jamal Iqbal</t>
        </is>
      </c>
      <c r="C12" s="615" t="inlineStr">
        <is>
          <t>Completion engineer</t>
        </is>
      </c>
      <c r="D12" s="1157" t="n"/>
      <c r="E12" s="1157" t="inlineStr">
        <is>
          <t>x</t>
        </is>
      </c>
      <c r="F12" s="1157" t="inlineStr">
        <is>
          <t>x</t>
        </is>
      </c>
      <c r="G12" s="1157" t="inlineStr">
        <is>
          <t>x</t>
        </is>
      </c>
      <c r="H12" s="1157" t="inlineStr">
        <is>
          <t>x</t>
        </is>
      </c>
      <c r="I12" s="1157" t="n"/>
      <c r="J12" s="1157" t="n"/>
      <c r="K12" s="1157" t="n"/>
      <c r="L12" s="1157" t="n"/>
      <c r="M12" s="1157" t="n"/>
      <c r="N12" s="1157" t="n"/>
      <c r="O12" s="1157" t="n"/>
      <c r="P12" s="1157" t="n"/>
      <c r="Q12" s="1157" t="n"/>
      <c r="R12" s="1157" t="n"/>
      <c r="S12" s="1157" t="n"/>
      <c r="T12" s="1157" t="n"/>
      <c r="U12" s="1157" t="n"/>
      <c r="V12" s="1157" t="n"/>
      <c r="W12" s="1157" t="n"/>
      <c r="X12" s="1157" t="n"/>
      <c r="Y12" s="1157" t="n"/>
      <c r="Z12" s="1157" t="n"/>
      <c r="AA12" s="1157" t="n"/>
      <c r="AB12" s="1158" t="n"/>
      <c r="AC12" s="1158" t="n"/>
      <c r="AD12" s="1158" t="n"/>
      <c r="AE12" s="1158" t="n"/>
      <c r="AF12" s="1158" t="n"/>
      <c r="AG12" s="1158" t="n"/>
      <c r="AH12" s="1158" t="n"/>
      <c r="AI12" s="1158" t="n"/>
      <c r="AJ12" s="1158" t="n"/>
      <c r="AK12" s="1157" t="n"/>
      <c r="AL12" s="1157" t="n"/>
      <c r="AM12" s="1159" t="n">
        <v>4</v>
      </c>
      <c r="AN12" s="1088" t="n"/>
      <c r="AO12" s="1094" t="n"/>
      <c r="AP12" s="1126" t="n"/>
      <c r="AR12" s="1125">
        <f>IF(D12="X",1,0)</f>
        <v/>
      </c>
      <c r="AS12" s="1125">
        <f>IF(E12="X",1,0)</f>
        <v/>
      </c>
      <c r="AT12" s="1125">
        <f>IF(F12="X",1,0)</f>
        <v/>
      </c>
      <c r="AU12" s="1125">
        <f>IF(G12="X",1,0)</f>
        <v/>
      </c>
      <c r="AV12" s="1125">
        <f>IF(H12="X",1,0)</f>
        <v/>
      </c>
      <c r="AW12" s="1125">
        <f>IF(I12="X",1,0)</f>
        <v/>
      </c>
      <c r="AX12" s="1125">
        <f>IF(J12="X",1,0)</f>
        <v/>
      </c>
      <c r="AY12" s="1125">
        <f>IF(K12="X",1,0)</f>
        <v/>
      </c>
      <c r="AZ12" s="1125">
        <f>IF(L12="X",1,0)</f>
        <v/>
      </c>
      <c r="BA12" s="1125">
        <f>IF(M12="X",1,0)</f>
        <v/>
      </c>
      <c r="BB12" s="1125">
        <f>IF(N12="X",1,0)</f>
        <v/>
      </c>
      <c r="BC12" s="1125">
        <f>IF(O12="X",1,0)</f>
        <v/>
      </c>
      <c r="BD12" s="1125">
        <f>IF(P12="X",1,0)</f>
        <v/>
      </c>
      <c r="BE12" s="1125">
        <f>IF(Q12="X",1,0)</f>
        <v/>
      </c>
      <c r="BF12" s="1125">
        <f>IF(R12="X",1,0)</f>
        <v/>
      </c>
      <c r="BG12" s="1125">
        <f>IF(S12="X",1,0)</f>
        <v/>
      </c>
      <c r="BH12" s="1125">
        <f>IF(T12="X",1,0)</f>
        <v/>
      </c>
      <c r="BI12" s="1125">
        <f>IF(U12="X",1,0)</f>
        <v/>
      </c>
      <c r="BJ12" s="1125">
        <f>IF(V12="X",1,0)</f>
        <v/>
      </c>
      <c r="BK12" s="1125">
        <f>IF(W12="X",1,0)</f>
        <v/>
      </c>
      <c r="BL12" s="1125">
        <f>IF(X12="X",1,0)</f>
        <v/>
      </c>
      <c r="BM12" s="1125">
        <f>IF(Y12="X",1,0)</f>
        <v/>
      </c>
      <c r="BN12" s="1125">
        <f>IF(Z12="X",1,0)</f>
        <v/>
      </c>
      <c r="BO12" s="1125">
        <f>IF(AA12="X",1,0)</f>
        <v/>
      </c>
      <c r="BP12" s="1125">
        <f>IF(AB12="X",1,0)</f>
        <v/>
      </c>
      <c r="BQ12" s="1125">
        <f>IF(AC12="X",1,0)</f>
        <v/>
      </c>
      <c r="BR12" s="1125">
        <f>IF(AD12="X",1,0)</f>
        <v/>
      </c>
      <c r="BS12" s="1125">
        <f>IF(AE12="X",1,0)</f>
        <v/>
      </c>
      <c r="BT12" s="1125">
        <f>IF(AF12="X",1,0)</f>
        <v/>
      </c>
      <c r="BU12" s="1125">
        <f>IF(AG12="X",1,0)</f>
        <v/>
      </c>
      <c r="BV12" s="1125">
        <f>IF(AH12="X",1,0)</f>
        <v/>
      </c>
      <c r="BW12" s="1125">
        <f>IF(AI12="X",1,0)</f>
        <v/>
      </c>
      <c r="BX12" s="1125">
        <f>IF(AJ12="X",1,0)</f>
        <v/>
      </c>
      <c r="BY12" s="1125">
        <f>IF(AK12="X",1,0)</f>
        <v/>
      </c>
      <c r="BZ12" s="1125">
        <f>IF(AL12="X",1,0)</f>
        <v/>
      </c>
      <c r="CA12" s="1125">
        <f>IF(AM12="X",1,0)</f>
        <v/>
      </c>
      <c r="CB12" s="1125">
        <f>IF(AN12="X",1,0)</f>
        <v/>
      </c>
    </row>
    <row r="13" ht="14.25" customFormat="1" customHeight="1" s="1125">
      <c r="A13" s="1126" t="n"/>
      <c r="B13" s="615" t="inlineStr">
        <is>
          <t>Jamal Iqbal/Mahmood Ali</t>
        </is>
      </c>
      <c r="C13" s="615" t="inlineStr">
        <is>
          <t>Completion engineer</t>
        </is>
      </c>
      <c r="D13" s="1157" t="n"/>
      <c r="E13" s="1157" t="n"/>
      <c r="F13" s="1157" t="n"/>
      <c r="G13" s="1157" t="n"/>
      <c r="H13" s="1157" t="n"/>
      <c r="I13" s="1157" t="inlineStr">
        <is>
          <t>x</t>
        </is>
      </c>
      <c r="J13" s="1157" t="inlineStr">
        <is>
          <t>x</t>
        </is>
      </c>
      <c r="K13" s="1157" t="inlineStr">
        <is>
          <t>x</t>
        </is>
      </c>
      <c r="L13" s="1157" t="inlineStr">
        <is>
          <t>x</t>
        </is>
      </c>
      <c r="M13" s="1157" t="inlineStr">
        <is>
          <t>x</t>
        </is>
      </c>
      <c r="N13" s="1157" t="n"/>
      <c r="O13" s="1157" t="n"/>
      <c r="P13" s="1157" t="n"/>
      <c r="Q13" s="1157" t="n"/>
      <c r="R13" s="1157" t="n"/>
      <c r="S13" s="1157" t="n"/>
      <c r="T13" s="1157" t="n"/>
      <c r="U13" s="1157" t="n"/>
      <c r="V13" s="1157" t="n"/>
      <c r="W13" s="1157" t="n"/>
      <c r="X13" s="1157" t="n"/>
      <c r="Y13" s="1157" t="n"/>
      <c r="Z13" s="1157" t="n"/>
      <c r="AA13" s="1157" t="n"/>
      <c r="AB13" s="1158" t="n"/>
      <c r="AC13" s="1158" t="n"/>
      <c r="AD13" s="1158" t="n"/>
      <c r="AE13" s="1158" t="n"/>
      <c r="AF13" s="1158" t="n"/>
      <c r="AG13" s="1158" t="n"/>
      <c r="AH13" s="1158" t="n"/>
      <c r="AI13" s="1158" t="n"/>
      <c r="AJ13" s="1157" t="n"/>
      <c r="AK13" s="1157" t="n"/>
      <c r="AL13" s="1157" t="n"/>
      <c r="AM13" s="1159" t="n">
        <v>1</v>
      </c>
      <c r="AN13" s="1088" t="n"/>
      <c r="AO13" s="1094" t="n"/>
      <c r="AP13" s="1126" t="n"/>
      <c r="AR13" s="1125">
        <f>IF(D13="X",1,0)</f>
        <v/>
      </c>
      <c r="AS13" s="1125">
        <f>IF(E13="X",1,0)</f>
        <v/>
      </c>
      <c r="AT13" s="1125">
        <f>IF(F13="X",1,0)</f>
        <v/>
      </c>
      <c r="AU13" s="1125">
        <f>IF(G13="X",1,0)</f>
        <v/>
      </c>
      <c r="AV13" s="1125">
        <f>IF(H13="X",1,0)</f>
        <v/>
      </c>
      <c r="AW13" s="1125">
        <f>IF(I13="X",1,0)</f>
        <v/>
      </c>
      <c r="AX13" s="1125">
        <f>IF(J13="X",1,0)</f>
        <v/>
      </c>
      <c r="AY13" s="1125">
        <f>IF(K13="X",1,0)</f>
        <v/>
      </c>
      <c r="AZ13" s="1125">
        <f>IF(L13="X",1,0)</f>
        <v/>
      </c>
      <c r="BA13" s="1125">
        <f>IF(M13="X",1,0)</f>
        <v/>
      </c>
      <c r="BB13" s="1125">
        <f>IF(N13="X",1,0)</f>
        <v/>
      </c>
      <c r="BC13" s="1125">
        <f>IF(O13="X",1,0)</f>
        <v/>
      </c>
      <c r="BD13" s="1125">
        <f>IF(P13="X",1,0)</f>
        <v/>
      </c>
      <c r="BE13" s="1125">
        <f>IF(Q13="X",1,0)</f>
        <v/>
      </c>
      <c r="BF13" s="1125">
        <f>IF(R13="X",1,0)</f>
        <v/>
      </c>
      <c r="BG13" s="1125">
        <f>IF(S13="X",1,0)</f>
        <v/>
      </c>
      <c r="BH13" s="1125">
        <f>IF(T13="X",1,0)</f>
        <v/>
      </c>
      <c r="BI13" s="1125">
        <f>IF(U13="X",1,0)</f>
        <v/>
      </c>
      <c r="BJ13" s="1125">
        <f>IF(V13="X",1,0)</f>
        <v/>
      </c>
      <c r="BK13" s="1125">
        <f>IF(W13="X",1,0)</f>
        <v/>
      </c>
      <c r="BL13" s="1125">
        <f>IF(X13="X",1,0)</f>
        <v/>
      </c>
      <c r="BM13" s="1125">
        <f>IF(Y13="X",1,0)</f>
        <v/>
      </c>
      <c r="BN13" s="1125">
        <f>IF(Z13="X",1,0)</f>
        <v/>
      </c>
      <c r="BO13" s="1125">
        <f>IF(AA13="X",1,0)</f>
        <v/>
      </c>
      <c r="BP13" s="1125">
        <f>IF(AB13="X",1,0)</f>
        <v/>
      </c>
      <c r="BQ13" s="1125">
        <f>IF(AC13="X",1,0)</f>
        <v/>
      </c>
      <c r="BR13" s="1125">
        <f>IF(AD13="X",1,0)</f>
        <v/>
      </c>
      <c r="BS13" s="1125">
        <f>IF(AE13="X",1,0)</f>
        <v/>
      </c>
      <c r="BT13" s="1125">
        <f>IF(AF13="X",1,0)</f>
        <v/>
      </c>
      <c r="BU13" s="1125">
        <f>IF(AG13="X",1,0)</f>
        <v/>
      </c>
      <c r="BV13" s="1125">
        <f>IF(AH13="X",1,0)</f>
        <v/>
      </c>
      <c r="BW13" s="1125">
        <f>IF(AI13="X",1,0)</f>
        <v/>
      </c>
      <c r="BX13" s="1125">
        <f>IF(AJ13="X",1,0)</f>
        <v/>
      </c>
      <c r="BY13" s="1125">
        <f>IF(AK13="X",1,0)</f>
        <v/>
      </c>
      <c r="BZ13" s="1125">
        <f>IF(AL13="X",1,0)</f>
        <v/>
      </c>
      <c r="CA13" s="1125">
        <f>IF(AM13="X",1,0)</f>
        <v/>
      </c>
      <c r="CB13" s="1125">
        <f>IF(AN13="X",1,0)</f>
        <v/>
      </c>
    </row>
    <row r="14" ht="14.25" customFormat="1" customHeight="1" s="1125">
      <c r="A14" s="1126" t="n"/>
      <c r="B14" s="615" t="inlineStr">
        <is>
          <t>Mahmood Ali</t>
        </is>
      </c>
      <c r="C14" s="615" t="inlineStr">
        <is>
          <t>Completion engineer</t>
        </is>
      </c>
      <c r="D14" s="1157" t="n"/>
      <c r="E14" s="1157" t="n"/>
      <c r="F14" s="1157" t="n"/>
      <c r="G14" s="1157" t="n"/>
      <c r="H14" s="1157" t="n"/>
      <c r="I14" s="1157" t="n"/>
      <c r="J14" s="1157" t="n"/>
      <c r="K14" s="1157" t="n"/>
      <c r="L14" s="1157" t="n"/>
      <c r="M14" s="1157" t="n"/>
      <c r="N14" s="1157" t="n"/>
      <c r="O14" s="1157" t="n"/>
      <c r="P14" s="1157" t="n"/>
      <c r="Q14" s="1157" t="n"/>
      <c r="R14" s="1157" t="n"/>
      <c r="S14" s="1157" t="n"/>
      <c r="T14" s="1157" t="n"/>
      <c r="U14" s="1157" t="n"/>
      <c r="V14" s="1157" t="n"/>
      <c r="W14" s="1157" t="n"/>
      <c r="X14" s="1157" t="n"/>
      <c r="Y14" s="1157" t="n"/>
      <c r="Z14" s="1157" t="n"/>
      <c r="AA14" s="1158" t="n"/>
      <c r="AB14" s="1158" t="n"/>
      <c r="AC14" s="1158" t="n"/>
      <c r="AD14" s="1158" t="n"/>
      <c r="AE14" s="1158" t="n"/>
      <c r="AF14" s="1158" t="n"/>
      <c r="AG14" s="1158" t="n"/>
      <c r="AH14" s="1158" t="n"/>
      <c r="AI14" s="1157" t="n"/>
      <c r="AJ14" s="1157" t="n"/>
      <c r="AK14" s="1157" t="n"/>
      <c r="AL14" s="1157" t="n"/>
      <c r="AM14" s="1159" t="n"/>
      <c r="AN14" s="1088" t="n"/>
      <c r="AO14" s="1094" t="n"/>
      <c r="AP14" s="1126" t="n"/>
      <c r="AR14" s="1125">
        <f>IF(D14="X",1,0)</f>
        <v/>
      </c>
      <c r="AS14" s="1125">
        <f>IF(E14="X",1,0)</f>
        <v/>
      </c>
      <c r="AT14" s="1125">
        <f>IF(F14="X",1,0)</f>
        <v/>
      </c>
      <c r="AU14" s="1125">
        <f>IF(G14="X",1,0)</f>
        <v/>
      </c>
      <c r="AV14" s="1125">
        <f>IF(H14="X",1,0)</f>
        <v/>
      </c>
      <c r="AW14" s="1125">
        <f>IF(I14="X",1,0)</f>
        <v/>
      </c>
      <c r="AX14" s="1125">
        <f>IF(J14="X",1,0)</f>
        <v/>
      </c>
      <c r="AY14" s="1125">
        <f>IF(K14="X",1,0)</f>
        <v/>
      </c>
      <c r="AZ14" s="1125">
        <f>IF(L14="X",1,0)</f>
        <v/>
      </c>
      <c r="BA14" s="1125">
        <f>IF(M14="X",1,0)</f>
        <v/>
      </c>
      <c r="BB14" s="1125">
        <f>IF(N14="X",1,0)</f>
        <v/>
      </c>
      <c r="BC14" s="1125">
        <f>IF(O14="X",1,0)</f>
        <v/>
      </c>
      <c r="BD14" s="1125">
        <f>IF(P14="X",1,0)</f>
        <v/>
      </c>
      <c r="BE14" s="1125">
        <f>IF(Q14="X",1,0)</f>
        <v/>
      </c>
      <c r="BF14" s="1125">
        <f>IF(R14="X",1,0)</f>
        <v/>
      </c>
      <c r="BG14" s="1125">
        <f>IF(S14="X",1,0)</f>
        <v/>
      </c>
      <c r="BH14" s="1125">
        <f>IF(T14="X",1,0)</f>
        <v/>
      </c>
      <c r="BI14" s="1125">
        <f>IF(U14="X",1,0)</f>
        <v/>
      </c>
      <c r="BJ14" s="1125">
        <f>IF(V14="X",1,0)</f>
        <v/>
      </c>
      <c r="BK14" s="1125">
        <f>IF(W14="X",1,0)</f>
        <v/>
      </c>
      <c r="BL14" s="1125">
        <f>IF(X14="X",1,0)</f>
        <v/>
      </c>
      <c r="BM14" s="1125">
        <f>IF(Y14="X",1,0)</f>
        <v/>
      </c>
      <c r="BN14" s="1125">
        <f>IF(Z14="X",1,0)</f>
        <v/>
      </c>
      <c r="BO14" s="1125">
        <f>IF(AA14="X",1,0)</f>
        <v/>
      </c>
      <c r="BP14" s="1125">
        <f>IF(AB14="X",1,0)</f>
        <v/>
      </c>
      <c r="BQ14" s="1125">
        <f>IF(AC14="X",1,0)</f>
        <v/>
      </c>
      <c r="BR14" s="1125">
        <f>IF(AD14="X",1,0)</f>
        <v/>
      </c>
      <c r="BS14" s="1125">
        <f>IF(AE14="X",1,0)</f>
        <v/>
      </c>
      <c r="BT14" s="1125">
        <f>IF(AF14="X",1,0)</f>
        <v/>
      </c>
      <c r="BU14" s="1125">
        <f>IF(AG14="X",1,0)</f>
        <v/>
      </c>
      <c r="BV14" s="1125">
        <f>IF(AH14="X",1,0)</f>
        <v/>
      </c>
      <c r="BW14" s="1125">
        <f>IF(AI14="X",1,0)</f>
        <v/>
      </c>
      <c r="BX14" s="1125">
        <f>IF(AJ14="X",1,0)</f>
        <v/>
      </c>
      <c r="BY14" s="1125">
        <f>IF(AK14="X",1,0)</f>
        <v/>
      </c>
      <c r="BZ14" s="1125">
        <f>IF(AL14="X",1,0)</f>
        <v/>
      </c>
      <c r="CA14" s="1125">
        <f>IF(AM14="X",1,0)</f>
        <v/>
      </c>
      <c r="CB14" s="1125">
        <f>IF(AN14="X",1,0)</f>
        <v/>
      </c>
    </row>
    <row r="15" ht="14.25" customFormat="1" customHeight="1" s="1125">
      <c r="A15" s="1126" t="n"/>
      <c r="B15" s="615" t="inlineStr">
        <is>
          <t>Omer Abdulhalim</t>
        </is>
      </c>
      <c r="C15" s="615" t="inlineStr">
        <is>
          <t>Packer Engineer</t>
        </is>
      </c>
      <c r="D15" s="1157" t="n"/>
      <c r="E15" s="1157" t="n"/>
      <c r="F15" s="1157" t="n"/>
      <c r="G15" s="1157" t="n"/>
      <c r="H15" s="1157" t="inlineStr">
        <is>
          <t>x</t>
        </is>
      </c>
      <c r="I15" s="1157" t="inlineStr">
        <is>
          <t>x</t>
        </is>
      </c>
      <c r="J15" s="1157" t="n"/>
      <c r="K15" s="1157" t="n"/>
      <c r="L15" s="1157" t="n"/>
      <c r="M15" s="1157" t="n"/>
      <c r="N15" s="1157" t="n"/>
      <c r="O15" s="1157" t="n"/>
      <c r="P15" s="1157" t="n"/>
      <c r="Q15" s="1157" t="n"/>
      <c r="R15" s="1157" t="n"/>
      <c r="S15" s="1157" t="n"/>
      <c r="T15" s="1157" t="n"/>
      <c r="U15" s="1157" t="n"/>
      <c r="V15" s="1157" t="n"/>
      <c r="W15" s="1157" t="n"/>
      <c r="X15" s="1157" t="n"/>
      <c r="Y15" s="1157" t="n"/>
      <c r="Z15" s="1157" t="n"/>
      <c r="AA15" s="1157" t="n"/>
      <c r="AB15" s="1157" t="n"/>
      <c r="AC15" s="1157" t="n"/>
      <c r="AD15" s="1157" t="n"/>
      <c r="AE15" s="1157" t="n"/>
      <c r="AF15" s="1157" t="n"/>
      <c r="AG15" s="1157" t="n"/>
      <c r="AH15" s="1157" t="n"/>
      <c r="AI15" s="1157" t="n"/>
      <c r="AJ15" s="1157" t="n"/>
      <c r="AK15" s="1157" t="n"/>
      <c r="AL15" s="1157" t="n"/>
      <c r="AM15" s="1159" t="n"/>
      <c r="AN15" s="1088" t="n"/>
      <c r="AO15" s="1094" t="n"/>
      <c r="AP15" s="1126" t="n"/>
    </row>
    <row r="16" ht="14.25" customFormat="1" customHeight="1" s="1125">
      <c r="A16" s="1126" t="n"/>
      <c r="B16" s="615" t="inlineStr">
        <is>
          <t>Ahmed Ghuneim</t>
        </is>
      </c>
      <c r="C16" s="615" t="inlineStr">
        <is>
          <t>FE completion RMS supervisor</t>
        </is>
      </c>
      <c r="D16" s="1157" t="inlineStr">
        <is>
          <t>x</t>
        </is>
      </c>
      <c r="E16" s="1157" t="inlineStr">
        <is>
          <t>x</t>
        </is>
      </c>
      <c r="F16" s="1157" t="inlineStr">
        <is>
          <t>x</t>
        </is>
      </c>
      <c r="G16" s="1157" t="inlineStr">
        <is>
          <t>x</t>
        </is>
      </c>
      <c r="H16" s="1157" t="inlineStr">
        <is>
          <t>x</t>
        </is>
      </c>
      <c r="I16" s="1157" t="inlineStr">
        <is>
          <t>x</t>
        </is>
      </c>
      <c r="J16" s="1157" t="n"/>
      <c r="K16" s="1157" t="n"/>
      <c r="L16" s="1157" t="n"/>
      <c r="M16" s="1157" t="n"/>
      <c r="N16" s="1157" t="n"/>
      <c r="O16" s="1157" t="n"/>
      <c r="P16" s="1157" t="n"/>
      <c r="Q16" s="1157" t="n"/>
      <c r="R16" s="1157" t="n"/>
      <c r="S16" s="1157" t="n"/>
      <c r="T16" s="1157" t="n"/>
      <c r="U16" s="1157" t="n"/>
      <c r="V16" s="1157" t="n"/>
      <c r="W16" s="1157" t="n"/>
      <c r="X16" s="1157" t="n"/>
      <c r="Y16" s="1157" t="n"/>
      <c r="Z16" s="1157" t="n"/>
      <c r="AA16" s="1157" t="n"/>
      <c r="AB16" s="1157" t="n"/>
      <c r="AC16" s="1157" t="n"/>
      <c r="AD16" s="1157" t="n"/>
      <c r="AE16" s="1157" t="n"/>
      <c r="AF16" s="1157" t="n"/>
      <c r="AG16" s="1157" t="n"/>
      <c r="AH16" s="1157" t="n"/>
      <c r="AI16" s="1157" t="n"/>
      <c r="AJ16" s="1157" t="n"/>
      <c r="AK16" s="1157" t="n"/>
      <c r="AL16" s="1157" t="n"/>
      <c r="AM16" s="1127" t="n"/>
      <c r="AN16" s="1088" t="n"/>
      <c r="AO16" s="1094" t="n"/>
      <c r="AP16" s="1126" t="n"/>
    </row>
    <row r="17" ht="14.25" customFormat="1" customHeight="1" s="1125">
      <c r="A17" s="1126" t="n"/>
      <c r="B17" s="615" t="inlineStr">
        <is>
          <t>Panchanan Barik</t>
        </is>
      </c>
      <c r="C17" s="615" t="inlineStr">
        <is>
          <t>Completion RMS</t>
        </is>
      </c>
      <c r="D17" s="1157" t="inlineStr">
        <is>
          <t>x</t>
        </is>
      </c>
      <c r="E17" s="1157" t="inlineStr">
        <is>
          <t>x</t>
        </is>
      </c>
      <c r="F17" s="1157" t="inlineStr">
        <is>
          <t>x</t>
        </is>
      </c>
      <c r="G17" s="1157" t="inlineStr">
        <is>
          <t>x</t>
        </is>
      </c>
      <c r="H17" s="1157" t="inlineStr">
        <is>
          <t>x</t>
        </is>
      </c>
      <c r="I17" s="1157" t="inlineStr">
        <is>
          <t>x</t>
        </is>
      </c>
      <c r="J17" s="1157" t="n"/>
      <c r="K17" s="1157" t="n"/>
      <c r="L17" s="1157" t="n"/>
      <c r="M17" s="1157" t="n"/>
      <c r="N17" s="1157" t="n"/>
      <c r="O17" s="1157" t="n"/>
      <c r="P17" s="1157" t="n"/>
      <c r="Q17" s="1157" t="n"/>
      <c r="R17" s="1157" t="n"/>
      <c r="S17" s="1157" t="n"/>
      <c r="T17" s="1157" t="n"/>
      <c r="U17" s="1157" t="n"/>
      <c r="V17" s="1157" t="n"/>
      <c r="W17" s="1157" t="n"/>
      <c r="X17" s="1157" t="n"/>
      <c r="Y17" s="1157" t="n"/>
      <c r="Z17" s="1157" t="n"/>
      <c r="AA17" s="1157" t="n"/>
      <c r="AB17" s="1157" t="n"/>
      <c r="AC17" s="1157" t="n"/>
      <c r="AD17" s="1157" t="n"/>
      <c r="AE17" s="1157" t="n"/>
      <c r="AF17" s="1157" t="n"/>
      <c r="AG17" s="1157" t="n"/>
      <c r="AH17" s="1157" t="n"/>
      <c r="AI17" s="1157" t="n"/>
      <c r="AJ17" s="1157" t="n"/>
      <c r="AK17" s="1157" t="n"/>
      <c r="AL17" s="1157" t="n"/>
      <c r="AM17" s="1127" t="n"/>
      <c r="AN17" s="1088" t="n"/>
      <c r="AO17" s="1094" t="n"/>
      <c r="AP17" s="1126" t="n"/>
    </row>
    <row r="18" ht="14.25" customFormat="1" customHeight="1" s="1125">
      <c r="A18" s="1126" t="n"/>
      <c r="B18" s="615" t="inlineStr">
        <is>
          <t>Ephraim Oshorenoya</t>
        </is>
      </c>
      <c r="C18" s="615" t="inlineStr">
        <is>
          <t>Completion RMS</t>
        </is>
      </c>
      <c r="D18" s="1157" t="inlineStr">
        <is>
          <t>x</t>
        </is>
      </c>
      <c r="E18" s="1157" t="inlineStr">
        <is>
          <t>x</t>
        </is>
      </c>
      <c r="F18" s="1157" t="inlineStr">
        <is>
          <t>x</t>
        </is>
      </c>
      <c r="G18" s="1157" t="inlineStr">
        <is>
          <t>x</t>
        </is>
      </c>
      <c r="H18" s="1157" t="inlineStr">
        <is>
          <t>x</t>
        </is>
      </c>
      <c r="I18" s="1157" t="inlineStr">
        <is>
          <t>x</t>
        </is>
      </c>
      <c r="J18" s="1157" t="n"/>
      <c r="K18" s="1157" t="n"/>
      <c r="L18" s="1157" t="n"/>
      <c r="M18" s="1157" t="n"/>
      <c r="N18" s="1157" t="n"/>
      <c r="O18" s="1157" t="n"/>
      <c r="P18" s="1157" t="n"/>
      <c r="Q18" s="1157" t="n"/>
      <c r="R18" s="1157" t="n"/>
      <c r="S18" s="1157" t="n"/>
      <c r="T18" s="1157" t="n"/>
      <c r="U18" s="1157" t="n"/>
      <c r="V18" s="1157" t="n"/>
      <c r="W18" s="1157" t="n"/>
      <c r="X18" s="1157" t="n"/>
      <c r="Y18" s="1157" t="n"/>
      <c r="Z18" s="1157" t="n"/>
      <c r="AA18" s="1157" t="n"/>
      <c r="AB18" s="1157" t="n"/>
      <c r="AC18" s="1157" t="n"/>
      <c r="AD18" s="1157" t="n"/>
      <c r="AE18" s="1157" t="n"/>
      <c r="AF18" s="1157" t="n"/>
      <c r="AG18" s="1157" t="n"/>
      <c r="AH18" s="1157" t="n"/>
      <c r="AI18" s="1157" t="n"/>
      <c r="AJ18" s="1157" t="n"/>
      <c r="AK18" s="1157" t="n"/>
      <c r="AL18" s="1157" t="n"/>
      <c r="AM18" s="1127" t="n"/>
      <c r="AN18" s="1088" t="n"/>
      <c r="AO18" s="1094" t="n"/>
      <c r="AP18" s="1126" t="n"/>
      <c r="AR18" s="1125">
        <f>IF(D18="X",1,0)</f>
        <v/>
      </c>
      <c r="AS18" s="1125">
        <f>IF(E18="X",1,0)</f>
        <v/>
      </c>
      <c r="AT18" s="1125">
        <f>IF(F18="X",1,0)</f>
        <v/>
      </c>
      <c r="AU18" s="1125">
        <f>IF(G18="X",1,0)</f>
        <v/>
      </c>
      <c r="AV18" s="1125">
        <f>IF(H18="X",1,0)</f>
        <v/>
      </c>
      <c r="AW18" s="1125">
        <f>IF(I18="X",1,0)</f>
        <v/>
      </c>
      <c r="AX18" s="1125">
        <f>IF(J18="X",1,0)</f>
        <v/>
      </c>
      <c r="AY18" s="1125">
        <f>IF(K18="X",1,0)</f>
        <v/>
      </c>
      <c r="AZ18" s="1125">
        <f>IF(L18="X",1,0)</f>
        <v/>
      </c>
      <c r="BA18" s="1125">
        <f>IF(M18="X",1,0)</f>
        <v/>
      </c>
      <c r="BB18" s="1125">
        <f>IF(N18="X",1,0)</f>
        <v/>
      </c>
      <c r="BC18" s="1125">
        <f>IF(O18="X",1,0)</f>
        <v/>
      </c>
      <c r="BD18" s="1125">
        <f>IF(P18="X",1,0)</f>
        <v/>
      </c>
      <c r="BE18" s="1125">
        <f>IF(Q18="X",1,0)</f>
        <v/>
      </c>
      <c r="BF18" s="1125">
        <f>IF(R18="X",1,0)</f>
        <v/>
      </c>
      <c r="BG18" s="1125">
        <f>IF(S18="X",1,0)</f>
        <v/>
      </c>
      <c r="BH18" s="1125">
        <f>IF(T18="X",1,0)</f>
        <v/>
      </c>
      <c r="BI18" s="1125">
        <f>IF(U18="X",1,0)</f>
        <v/>
      </c>
      <c r="BJ18" s="1125">
        <f>IF(V18="X",1,0)</f>
        <v/>
      </c>
      <c r="BK18" s="1125">
        <f>IF(W18="X",1,0)</f>
        <v/>
      </c>
      <c r="BL18" s="1125">
        <f>IF(X18="X",1,0)</f>
        <v/>
      </c>
      <c r="BM18" s="1125">
        <f>IF(Y18="X",1,0)</f>
        <v/>
      </c>
      <c r="BN18" s="1125">
        <f>IF(Z18="X",1,0)</f>
        <v/>
      </c>
      <c r="BO18" s="1125">
        <f>IF(AA18="X",1,0)</f>
        <v/>
      </c>
      <c r="BP18" s="1125">
        <f>IF(AB18="X",1,0)</f>
        <v/>
      </c>
      <c r="BQ18" s="1125">
        <f>IF(AC18="X",1,0)</f>
        <v/>
      </c>
      <c r="BR18" s="1125">
        <f>IF(AD18="X",1,0)</f>
        <v/>
      </c>
      <c r="BS18" s="1125">
        <f>IF(AE18="X",1,0)</f>
        <v/>
      </c>
      <c r="BT18" s="1125">
        <f>IF(AF18="X",1,0)</f>
        <v/>
      </c>
      <c r="BU18" s="1125">
        <f>IF(AG18="X",1,0)</f>
        <v/>
      </c>
      <c r="BV18" s="1125">
        <f>IF(AH18="X",1,0)</f>
        <v/>
      </c>
      <c r="BW18" s="1125">
        <f>IF(AI18="X",1,0)</f>
        <v/>
      </c>
      <c r="BX18" s="1125">
        <f>IF(AJ18="X",1,0)</f>
        <v/>
      </c>
      <c r="BY18" s="1125">
        <f>IF(AK18="X",1,0)</f>
        <v/>
      </c>
      <c r="BZ18" s="1125">
        <f>IF(AL18="X",1,0)</f>
        <v/>
      </c>
      <c r="CA18" s="1125">
        <f>IF(AM18="X",1,0)</f>
        <v/>
      </c>
      <c r="CB18" s="1125">
        <f>IF(AN18="X",1,0)</f>
        <v/>
      </c>
    </row>
    <row r="19" ht="14.25" customFormat="1" customHeight="1" s="1125">
      <c r="A19" s="1126" t="n"/>
      <c r="B19" s="615" t="inlineStr">
        <is>
          <t>Rajesh Saw</t>
        </is>
      </c>
      <c r="C19" s="615" t="inlineStr">
        <is>
          <t>Completion RMS</t>
        </is>
      </c>
      <c r="D19" s="1157" t="inlineStr">
        <is>
          <t>x</t>
        </is>
      </c>
      <c r="E19" s="1157" t="inlineStr">
        <is>
          <t>x</t>
        </is>
      </c>
      <c r="F19" s="1157" t="inlineStr">
        <is>
          <t>x</t>
        </is>
      </c>
      <c r="G19" s="1157" t="inlineStr">
        <is>
          <t>x</t>
        </is>
      </c>
      <c r="H19" s="1157" t="inlineStr">
        <is>
          <t>x</t>
        </is>
      </c>
      <c r="I19" s="1157" t="inlineStr">
        <is>
          <t>x</t>
        </is>
      </c>
      <c r="J19" s="1157" t="n"/>
      <c r="K19" s="1157" t="n"/>
      <c r="L19" s="1157" t="n"/>
      <c r="M19" s="1157" t="n"/>
      <c r="N19" s="1157" t="n"/>
      <c r="O19" s="1157" t="n"/>
      <c r="P19" s="1157" t="n"/>
      <c r="Q19" s="1157" t="n"/>
      <c r="R19" s="1157" t="n"/>
      <c r="S19" s="1157" t="n"/>
      <c r="T19" s="1157" t="n"/>
      <c r="U19" s="1157" t="n"/>
      <c r="V19" s="1157" t="n"/>
      <c r="W19" s="1157" t="n"/>
      <c r="X19" s="1157" t="n"/>
      <c r="Y19" s="1157" t="n"/>
      <c r="Z19" s="1157" t="n"/>
      <c r="AA19" s="1157" t="n"/>
      <c r="AB19" s="1157" t="n"/>
      <c r="AC19" s="1157" t="n"/>
      <c r="AD19" s="1157" t="n"/>
      <c r="AE19" s="1157" t="n"/>
      <c r="AF19" s="1157" t="n"/>
      <c r="AG19" s="1157" t="n"/>
      <c r="AH19" s="1157" t="n"/>
      <c r="AI19" s="1157" t="n"/>
      <c r="AJ19" s="1157" t="n"/>
      <c r="AK19" s="1157" t="n"/>
      <c r="AL19" s="1157" t="n"/>
      <c r="AM19" s="1127" t="n"/>
      <c r="AN19" s="1088" t="n"/>
      <c r="AO19" s="1094" t="n"/>
      <c r="AP19" s="1126" t="n"/>
    </row>
    <row r="20" ht="14.25" customHeight="1" s="557">
      <c r="A20" s="1085" t="n"/>
      <c r="B20" s="615" t="inlineStr">
        <is>
          <t>Srikrishna Roy</t>
        </is>
      </c>
      <c r="C20" s="615" t="inlineStr">
        <is>
          <t>Completion RMS</t>
        </is>
      </c>
      <c r="D20" s="1157" t="inlineStr">
        <is>
          <t>x</t>
        </is>
      </c>
      <c r="E20" s="1157" t="inlineStr">
        <is>
          <t>x</t>
        </is>
      </c>
      <c r="F20" s="1157" t="inlineStr">
        <is>
          <t>x</t>
        </is>
      </c>
      <c r="G20" s="1157" t="inlineStr">
        <is>
          <t>x</t>
        </is>
      </c>
      <c r="H20" s="1157" t="inlineStr">
        <is>
          <t>x</t>
        </is>
      </c>
      <c r="I20" s="1157" t="inlineStr">
        <is>
          <t>x</t>
        </is>
      </c>
      <c r="J20" s="1157" t="n"/>
      <c r="K20" s="1157" t="n"/>
      <c r="L20" s="1157" t="n"/>
      <c r="M20" s="1157" t="n"/>
      <c r="N20" s="1157" t="n"/>
      <c r="O20" s="1157" t="n"/>
      <c r="P20" s="1157" t="n"/>
      <c r="Q20" s="1157" t="n"/>
      <c r="R20" s="1157" t="n"/>
      <c r="S20" s="1157" t="n"/>
      <c r="T20" s="1157" t="n"/>
      <c r="U20" s="1157" t="n"/>
      <c r="V20" s="1157" t="n"/>
      <c r="W20" s="1157" t="n"/>
      <c r="X20" s="1157" t="n"/>
      <c r="Y20" s="1157" t="n"/>
      <c r="Z20" s="1157" t="n"/>
      <c r="AA20" s="1157" t="n"/>
      <c r="AB20" s="1157" t="n"/>
      <c r="AC20" s="1157" t="n"/>
      <c r="AD20" s="1157" t="n"/>
      <c r="AE20" s="1157" t="n"/>
      <c r="AF20" s="1157" t="n"/>
      <c r="AG20" s="1157" t="n"/>
      <c r="AH20" s="1157" t="n"/>
      <c r="AI20" s="1157" t="n"/>
      <c r="AJ20" s="1157" t="n"/>
      <c r="AK20" s="1157" t="n"/>
      <c r="AL20" s="1157" t="n"/>
      <c r="AM20" s="1127" t="n"/>
      <c r="AN20" s="1088" t="n"/>
      <c r="AO20" s="1094" t="n"/>
      <c r="AP20" s="1085" t="n"/>
      <c r="AR20" s="1125">
        <f>IF(D20="X",1,0)</f>
        <v/>
      </c>
      <c r="AS20" s="1125">
        <f>IF(E20="X",1,0)</f>
        <v/>
      </c>
      <c r="AT20" s="1125">
        <f>IF(F20="X",1,0)</f>
        <v/>
      </c>
      <c r="AU20" s="1125">
        <f>IF(G20="X",1,0)</f>
        <v/>
      </c>
      <c r="AV20" s="1125">
        <f>IF(H20="X",1,0)</f>
        <v/>
      </c>
      <c r="AW20" s="1125">
        <f>IF(I20="X",1,0)</f>
        <v/>
      </c>
      <c r="AX20" s="1125">
        <f>IF(J20="X",1,0)</f>
        <v/>
      </c>
      <c r="AY20" s="1125">
        <f>IF(K20="X",1,0)</f>
        <v/>
      </c>
      <c r="AZ20" s="1125">
        <f>IF(L20="X",1,0)</f>
        <v/>
      </c>
      <c r="BA20" s="1125">
        <f>IF(M20="X",1,0)</f>
        <v/>
      </c>
      <c r="BB20" s="1125">
        <f>IF(N20="X",1,0)</f>
        <v/>
      </c>
      <c r="BC20" s="1125">
        <f>IF(O20="X",1,0)</f>
        <v/>
      </c>
      <c r="BD20" s="1125">
        <f>IF(P20="X",1,0)</f>
        <v/>
      </c>
      <c r="BE20" s="1125">
        <f>IF(Q20="X",1,0)</f>
        <v/>
      </c>
      <c r="BF20" s="1125">
        <f>IF(R20="X",1,0)</f>
        <v/>
      </c>
      <c r="BG20" s="1125">
        <f>IF(S20="X",1,0)</f>
        <v/>
      </c>
      <c r="BH20" s="1125">
        <f>IF(T20="X",1,0)</f>
        <v/>
      </c>
      <c r="BI20" s="1125">
        <f>IF(U20="X",1,0)</f>
        <v/>
      </c>
      <c r="BJ20" s="1125">
        <f>IF(V20="X",1,0)</f>
        <v/>
      </c>
      <c r="BK20" s="1125">
        <f>IF(W20="X",1,0)</f>
        <v/>
      </c>
      <c r="BL20" s="1125">
        <f>IF(X20="X",1,0)</f>
        <v/>
      </c>
      <c r="BM20" s="1125">
        <f>IF(Y20="X",1,0)</f>
        <v/>
      </c>
      <c r="BN20" s="1125">
        <f>IF(Z20="X",1,0)</f>
        <v/>
      </c>
      <c r="BO20" s="1125">
        <f>IF(AA20="X",1,0)</f>
        <v/>
      </c>
      <c r="BP20" s="1125">
        <f>IF(AB20="X",1,0)</f>
        <v/>
      </c>
      <c r="BQ20" s="1125">
        <f>IF(AC20="X",1,0)</f>
        <v/>
      </c>
      <c r="BR20" s="1125">
        <f>IF(AD20="X",1,0)</f>
        <v/>
      </c>
      <c r="BS20" s="1125">
        <f>IF(AE20="X",1,0)</f>
        <v/>
      </c>
      <c r="BT20" s="1125">
        <f>IF(AF20="X",1,0)</f>
        <v/>
      </c>
      <c r="BU20" s="1125">
        <f>IF(AG20="X",1,0)</f>
        <v/>
      </c>
      <c r="BV20" s="1125">
        <f>IF(AH20="X",1,0)</f>
        <v/>
      </c>
      <c r="BW20" s="1125">
        <f>IF(AI20="X",1,0)</f>
        <v/>
      </c>
      <c r="BX20" s="1125">
        <f>IF(AJ20="X",1,0)</f>
        <v/>
      </c>
      <c r="BY20" s="1125">
        <f>IF(AK20="X",1,0)</f>
        <v/>
      </c>
      <c r="BZ20" s="1125">
        <f>IF(AL20="X",1,0)</f>
        <v/>
      </c>
      <c r="CA20" s="1125">
        <f>IF(AM20="X",1,0)</f>
        <v/>
      </c>
      <c r="CB20" s="1125">
        <f>IF(AN20="X",1,0)</f>
        <v/>
      </c>
    </row>
    <row r="21" ht="14.25" customHeight="1" s="557">
      <c r="A21" s="1085" t="n"/>
      <c r="B21" s="1101" t="inlineStr">
        <is>
          <t>Part # /Serial #</t>
        </is>
      </c>
      <c r="C21" s="1101" t="inlineStr">
        <is>
          <t xml:space="preserve">Service Equipment </t>
        </is>
      </c>
      <c r="D21" s="1101" t="n"/>
      <c r="E21" s="1101" t="n"/>
      <c r="F21" s="1101" t="n"/>
      <c r="G21" s="1101" t="n"/>
      <c r="H21" s="1101" t="n"/>
      <c r="I21" s="1101" t="n"/>
      <c r="J21" s="1101" t="n"/>
      <c r="K21" s="1101" t="n"/>
      <c r="L21" s="1101" t="n"/>
      <c r="M21" s="1101" t="n"/>
      <c r="N21" s="1101" t="n"/>
      <c r="O21" s="1101" t="n"/>
      <c r="P21" s="1101" t="n"/>
      <c r="Q21" s="1101" t="n"/>
      <c r="R21" s="1101" t="n"/>
      <c r="S21" s="1101" t="n"/>
      <c r="T21" s="1101" t="n"/>
      <c r="U21" s="1101" t="n"/>
      <c r="V21" s="1101" t="n"/>
      <c r="W21" s="1101" t="n"/>
      <c r="X21" s="1101" t="n"/>
      <c r="Y21" s="1101" t="n"/>
      <c r="Z21" s="1101" t="n"/>
      <c r="AA21" s="1101" t="n"/>
      <c r="AB21" s="1101" t="n"/>
      <c r="AC21" s="1101" t="n"/>
      <c r="AD21" s="1101" t="n"/>
      <c r="AE21" s="1101" t="n"/>
      <c r="AF21" s="1101" t="n"/>
      <c r="AG21" s="1101" t="n"/>
      <c r="AH21" s="1101" t="n"/>
      <c r="AI21" s="1101" t="n"/>
      <c r="AJ21" s="1101" t="n"/>
      <c r="AK21" s="1101" t="n"/>
      <c r="AL21" s="1101" t="n"/>
      <c r="AM21" s="1131" t="n"/>
      <c r="AN21" s="1088" t="n"/>
      <c r="AO21" s="1094" t="n"/>
      <c r="AP21" s="1085" t="n"/>
      <c r="AR21" s="1125" t="n"/>
      <c r="AS21" s="1125" t="n"/>
      <c r="AT21" s="1125" t="n"/>
      <c r="AU21" s="1125" t="n"/>
      <c r="AV21" s="1125" t="n"/>
      <c r="AW21" s="1125" t="n"/>
      <c r="AX21" s="1125" t="n"/>
      <c r="AY21" s="1125" t="n"/>
      <c r="AZ21" s="1125" t="n"/>
      <c r="BA21" s="1125" t="n"/>
      <c r="BB21" s="1125" t="n"/>
      <c r="BC21" s="1125" t="n"/>
      <c r="BD21" s="1125" t="n"/>
      <c r="BE21" s="1125" t="n"/>
      <c r="BF21" s="1125" t="n"/>
      <c r="BG21" s="1125" t="n"/>
      <c r="BH21" s="1125" t="n"/>
      <c r="BI21" s="1125" t="n"/>
      <c r="BJ21" s="1125" t="n"/>
      <c r="BK21" s="1125" t="n"/>
      <c r="BL21" s="1125" t="n"/>
      <c r="BM21" s="1125" t="n"/>
      <c r="BN21" s="1125" t="n"/>
      <c r="BO21" s="1125" t="n"/>
      <c r="BP21" s="1125" t="n"/>
      <c r="BQ21" s="1125" t="n"/>
      <c r="BR21" s="1125" t="n"/>
      <c r="BS21" s="1125" t="n"/>
      <c r="BT21" s="1125" t="n"/>
      <c r="BU21" s="1125" t="n"/>
      <c r="BV21" s="1125" t="n"/>
      <c r="BW21" s="1125" t="n"/>
      <c r="BX21" s="1125" t="n"/>
      <c r="BY21" s="1125" t="n"/>
      <c r="BZ21" s="1125" t="n"/>
      <c r="CA21" s="1125" t="n"/>
      <c r="CB21" s="1125" t="n"/>
    </row>
    <row r="22" ht="14.25" customHeight="1" s="557">
      <c r="A22" s="1085" t="n"/>
      <c r="B22" s="1160" t="inlineStr">
        <is>
          <t>3270114/CON-TAC21-01</t>
        </is>
      </c>
      <c r="C22" s="1160" t="inlineStr">
        <is>
          <t>BASKET, CARGO LARGE 43FT X 4FT</t>
        </is>
      </c>
      <c r="D22" s="1161" t="inlineStr">
        <is>
          <t>x</t>
        </is>
      </c>
      <c r="E22" s="1161" t="inlineStr">
        <is>
          <t>x</t>
        </is>
      </c>
      <c r="F22" s="1161" t="inlineStr">
        <is>
          <t>x</t>
        </is>
      </c>
      <c r="G22" s="1161" t="inlineStr">
        <is>
          <t>x</t>
        </is>
      </c>
      <c r="H22" s="1161" t="inlineStr">
        <is>
          <t>x</t>
        </is>
      </c>
      <c r="I22" s="1161" t="inlineStr">
        <is>
          <t>x</t>
        </is>
      </c>
      <c r="J22" s="1161" t="n"/>
      <c r="K22" s="1161" t="n"/>
      <c r="L22" s="1161" t="n"/>
      <c r="M22" s="1161" t="n"/>
      <c r="N22" s="1161" t="n"/>
      <c r="O22" s="1157" t="n"/>
      <c r="P22" s="1157" t="n"/>
      <c r="Q22" s="1157" t="n"/>
      <c r="R22" s="1157" t="n"/>
      <c r="S22" s="1157" t="n"/>
      <c r="T22" s="1157" t="n"/>
      <c r="U22" s="1157" t="n"/>
      <c r="V22" s="1157" t="n"/>
      <c r="W22" s="1157" t="n"/>
      <c r="X22" s="1158" t="n"/>
      <c r="Y22" s="1158" t="n"/>
      <c r="Z22" s="1158" t="n"/>
      <c r="AA22" s="1158" t="n"/>
      <c r="AB22" s="1158" t="n"/>
      <c r="AC22" s="1158" t="n"/>
      <c r="AD22" s="1158" t="n"/>
      <c r="AE22" s="1158" t="n"/>
      <c r="AF22" s="1158" t="n"/>
      <c r="AG22" s="1158" t="n"/>
      <c r="AH22" s="1161" t="n"/>
      <c r="AI22" s="1161" t="n"/>
      <c r="AJ22" s="1161" t="n"/>
      <c r="AK22" s="1161" t="n"/>
      <c r="AL22" s="1161" t="n"/>
      <c r="AM22" s="1159" t="n"/>
      <c r="AN22" s="1088" t="n"/>
      <c r="AO22" s="1094" t="n"/>
      <c r="AP22" s="1085" t="n"/>
      <c r="AR22" s="1125">
        <f>IF(D22="X",1,0)</f>
        <v/>
      </c>
      <c r="AS22" s="1125">
        <f>IF(E22="X",1,0)</f>
        <v/>
      </c>
      <c r="AT22" s="1125">
        <f>IF(F22="X",1,0)</f>
        <v/>
      </c>
      <c r="AU22" s="1125">
        <f>IF(G22="X",1,0)</f>
        <v/>
      </c>
      <c r="AV22" s="1125">
        <f>IF(H22="X",1,0)</f>
        <v/>
      </c>
      <c r="AW22" s="1125">
        <f>IF(I22="X",1,0)</f>
        <v/>
      </c>
      <c r="AX22" s="1125">
        <f>IF(J22="X",1,0)</f>
        <v/>
      </c>
      <c r="AY22" s="1125">
        <f>IF(K22="X",1,0)</f>
        <v/>
      </c>
      <c r="AZ22" s="1125">
        <f>IF(L22="X",1,0)</f>
        <v/>
      </c>
      <c r="BA22" s="1125">
        <f>IF(M22="X",1,0)</f>
        <v/>
      </c>
      <c r="BB22" s="1125">
        <f>IF(N22="X",1,0)</f>
        <v/>
      </c>
      <c r="BC22" s="1125">
        <f>IF(O22="X",1,0)</f>
        <v/>
      </c>
      <c r="BD22" s="1125">
        <f>IF(P22="X",1,0)</f>
        <v/>
      </c>
      <c r="BE22" s="1125">
        <f>IF(Q22="X",1,0)</f>
        <v/>
      </c>
      <c r="BF22" s="1125">
        <f>IF(R22="X",1,0)</f>
        <v/>
      </c>
      <c r="BG22" s="1125">
        <f>IF(S22="X",1,0)</f>
        <v/>
      </c>
      <c r="BH22" s="1125">
        <f>IF(T22="X",1,0)</f>
        <v/>
      </c>
      <c r="BI22" s="1125">
        <f>IF(U22="X",1,0)</f>
        <v/>
      </c>
      <c r="BJ22" s="1125">
        <f>IF(V22="X",1,0)</f>
        <v/>
      </c>
      <c r="BK22" s="1125">
        <f>IF(W22="X",1,0)</f>
        <v/>
      </c>
      <c r="BL22" s="1125">
        <f>IF(X22="X",1,0)</f>
        <v/>
      </c>
      <c r="BM22" s="1125">
        <f>IF(Y22="X",1,0)</f>
        <v/>
      </c>
      <c r="BN22" s="1125">
        <f>IF(Z22="X",1,0)</f>
        <v/>
      </c>
      <c r="BO22" s="1125">
        <f>IF(AA22="X",1,0)</f>
        <v/>
      </c>
      <c r="BP22" s="1125">
        <f>IF(AB22="X",1,0)</f>
        <v/>
      </c>
      <c r="BQ22" s="1125">
        <f>IF(AC22="X",1,0)</f>
        <v/>
      </c>
      <c r="BR22" s="1125">
        <f>IF(AD22="X",1,0)</f>
        <v/>
      </c>
      <c r="BS22" s="1125">
        <f>IF(AE22="X",1,0)</f>
        <v/>
      </c>
      <c r="BT22" s="1125">
        <f>IF(AF22="X",1,0)</f>
        <v/>
      </c>
      <c r="BU22" s="1125">
        <f>IF(AG22="X",1,0)</f>
        <v/>
      </c>
      <c r="BV22" s="1125">
        <f>IF(AH22="X",1,0)</f>
        <v/>
      </c>
      <c r="BW22" s="1125">
        <f>IF(AI22="X",1,0)</f>
        <v/>
      </c>
      <c r="BX22" s="1125">
        <f>IF(AJ22="X",1,0)</f>
        <v/>
      </c>
      <c r="BY22" s="1125">
        <f>IF(AK22="X",1,0)</f>
        <v/>
      </c>
      <c r="BZ22" s="1125">
        <f>IF(AL22="X",1,0)</f>
        <v/>
      </c>
      <c r="CA22" s="1125">
        <f>IF(AM22="X",1,0)</f>
        <v/>
      </c>
      <c r="CB22" s="1125">
        <f>IF(AN22="X",1,0)</f>
        <v/>
      </c>
    </row>
    <row r="23" ht="14.25" customHeight="1" s="557">
      <c r="A23" s="1085" t="n"/>
      <c r="B23" s="1160" t="inlineStr">
        <is>
          <t>237531/CON-TAC 40-011</t>
        </is>
      </c>
      <c r="C23" s="1160" t="inlineStr">
        <is>
          <t>BASKET, EQUIPMENT OFFSHORE</t>
        </is>
      </c>
      <c r="D23" s="1161" t="inlineStr">
        <is>
          <t>x</t>
        </is>
      </c>
      <c r="E23" s="1161" t="inlineStr">
        <is>
          <t>x</t>
        </is>
      </c>
      <c r="F23" s="1161" t="inlineStr">
        <is>
          <t>x</t>
        </is>
      </c>
      <c r="G23" s="1161" t="inlineStr">
        <is>
          <t>x</t>
        </is>
      </c>
      <c r="H23" s="1161" t="inlineStr">
        <is>
          <t>x</t>
        </is>
      </c>
      <c r="I23" s="1161" t="inlineStr">
        <is>
          <t>x</t>
        </is>
      </c>
      <c r="J23" s="1161" t="n"/>
      <c r="K23" s="1161" t="n"/>
      <c r="L23" s="1161" t="n"/>
      <c r="M23" s="1161" t="n"/>
      <c r="N23" s="1161" t="n"/>
      <c r="O23" s="1157" t="n"/>
      <c r="P23" s="1157" t="n"/>
      <c r="Q23" s="1157" t="n"/>
      <c r="R23" s="1157" t="n"/>
      <c r="S23" s="1157" t="n"/>
      <c r="T23" s="1157" t="n"/>
      <c r="U23" s="1157" t="n"/>
      <c r="V23" s="1157" t="n"/>
      <c r="W23" s="1157" t="n"/>
      <c r="X23" s="1158" t="n"/>
      <c r="Y23" s="1158" t="n"/>
      <c r="Z23" s="1158" t="n"/>
      <c r="AA23" s="1158" t="n"/>
      <c r="AB23" s="1158" t="n"/>
      <c r="AC23" s="1158" t="n"/>
      <c r="AD23" s="1158" t="n"/>
      <c r="AE23" s="1158" t="n"/>
      <c r="AF23" s="1158" t="n"/>
      <c r="AG23" s="1158" t="n"/>
      <c r="AH23" s="1158" t="n"/>
      <c r="AI23" s="1144" t="n"/>
      <c r="AJ23" s="1144" t="n"/>
      <c r="AK23" s="1144" t="n"/>
      <c r="AL23" s="1144" t="n"/>
      <c r="AM23" s="1159" t="n"/>
      <c r="AN23" s="1088" t="n"/>
      <c r="AO23" s="1094" t="n"/>
      <c r="AP23" s="1085" t="n"/>
      <c r="AR23" s="1125">
        <f>IF(D23="X",1,0)</f>
        <v/>
      </c>
      <c r="AS23" s="1125">
        <f>IF(E23="X",1,0)</f>
        <v/>
      </c>
      <c r="AT23" s="1125">
        <f>IF(F23="X",1,0)</f>
        <v/>
      </c>
      <c r="AU23" s="1125">
        <f>IF(G23="X",1,0)</f>
        <v/>
      </c>
      <c r="AV23" s="1125">
        <f>IF(H23="X",1,0)</f>
        <v/>
      </c>
      <c r="AW23" s="1125">
        <f>IF(I23="X",1,0)</f>
        <v/>
      </c>
      <c r="AX23" s="1125">
        <f>IF(J23="X",1,0)</f>
        <v/>
      </c>
      <c r="AY23" s="1125">
        <f>IF(K23="X",1,0)</f>
        <v/>
      </c>
      <c r="AZ23" s="1125">
        <f>IF(L23="X",1,0)</f>
        <v/>
      </c>
      <c r="BA23" s="1125">
        <f>IF(M23="X",1,0)</f>
        <v/>
      </c>
      <c r="BB23" s="1125">
        <f>IF(N23="X",1,0)</f>
        <v/>
      </c>
      <c r="BC23" s="1125">
        <f>IF(O23="X",1,0)</f>
        <v/>
      </c>
      <c r="BD23" s="1125">
        <f>IF(P23="X",1,0)</f>
        <v/>
      </c>
      <c r="BE23" s="1125">
        <f>IF(Q23="X",1,0)</f>
        <v/>
      </c>
      <c r="BF23" s="1125">
        <f>IF(R23="X",1,0)</f>
        <v/>
      </c>
      <c r="BG23" s="1125">
        <f>IF(S23="X",1,0)</f>
        <v/>
      </c>
      <c r="BH23" s="1125">
        <f>IF(T23="X",1,0)</f>
        <v/>
      </c>
      <c r="BI23" s="1125">
        <f>IF(U23="X",1,0)</f>
        <v/>
      </c>
      <c r="BJ23" s="1125">
        <f>IF(V23="X",1,0)</f>
        <v/>
      </c>
      <c r="BK23" s="1125">
        <f>IF(W23="X",1,0)</f>
        <v/>
      </c>
      <c r="BL23" s="1125">
        <f>IF(X23="X",1,0)</f>
        <v/>
      </c>
      <c r="BM23" s="1125">
        <f>IF(Y23="X",1,0)</f>
        <v/>
      </c>
      <c r="BN23" s="1125">
        <f>IF(Z23="X",1,0)</f>
        <v/>
      </c>
      <c r="BO23" s="1125">
        <f>IF(AA23="X",1,0)</f>
        <v/>
      </c>
      <c r="BP23" s="1125">
        <f>IF(AB23="X",1,0)</f>
        <v/>
      </c>
      <c r="BQ23" s="1125">
        <f>IF(AC23="X",1,0)</f>
        <v/>
      </c>
      <c r="BR23" s="1125">
        <f>IF(AD23="X",1,0)</f>
        <v/>
      </c>
      <c r="BS23" s="1125">
        <f>IF(AE23="X",1,0)</f>
        <v/>
      </c>
      <c r="BT23" s="1125">
        <f>IF(AF23="X",1,0)</f>
        <v/>
      </c>
      <c r="BU23" s="1125">
        <f>IF(AG23="X",1,0)</f>
        <v/>
      </c>
      <c r="BV23" s="1125">
        <f>IF(AH23="X",1,0)</f>
        <v/>
      </c>
      <c r="BW23" s="1125">
        <f>IF(AI23="X",1,0)</f>
        <v/>
      </c>
      <c r="BX23" s="1125">
        <f>IF(AJ23="X",1,0)</f>
        <v/>
      </c>
      <c r="BY23" s="1125">
        <f>IF(AK23="X",1,0)</f>
        <v/>
      </c>
      <c r="BZ23" s="1125">
        <f>IF(AL23="X",1,0)</f>
        <v/>
      </c>
      <c r="CA23" s="1125">
        <f>IF(AM23="X",1,0)</f>
        <v/>
      </c>
      <c r="CB23" s="1125">
        <f>IF(AN23="X",1,0)</f>
        <v/>
      </c>
    </row>
    <row r="24" ht="14.25" customHeight="1" s="557">
      <c r="A24" s="1085" t="n"/>
      <c r="B24" s="1162" t="inlineStr">
        <is>
          <t>1230111/RZ062-001</t>
        </is>
      </c>
      <c r="C24" s="1160" t="inlineStr">
        <is>
          <t>CONTAINER, WORKSHOP 10 FT X 8</t>
        </is>
      </c>
      <c r="D24" s="1161" t="inlineStr">
        <is>
          <t>x</t>
        </is>
      </c>
      <c r="E24" s="1161" t="inlineStr">
        <is>
          <t>x</t>
        </is>
      </c>
      <c r="F24" s="1161" t="inlineStr">
        <is>
          <t>x</t>
        </is>
      </c>
      <c r="G24" s="1161" t="inlineStr">
        <is>
          <t>x</t>
        </is>
      </c>
      <c r="H24" s="1161" t="inlineStr">
        <is>
          <t>x</t>
        </is>
      </c>
      <c r="I24" s="1161" t="inlineStr">
        <is>
          <t>x</t>
        </is>
      </c>
      <c r="J24" s="1161" t="n"/>
      <c r="K24" s="1161" t="n"/>
      <c r="L24" s="1161" t="n"/>
      <c r="M24" s="1161" t="n"/>
      <c r="N24" s="1161" t="n"/>
      <c r="O24" s="1157" t="n"/>
      <c r="P24" s="1157" t="n"/>
      <c r="Q24" s="1157" t="n"/>
      <c r="R24" s="1157" t="n"/>
      <c r="S24" s="1157" t="n"/>
      <c r="T24" s="1157" t="n"/>
      <c r="U24" s="1157" t="n"/>
      <c r="V24" s="1157" t="n"/>
      <c r="W24" s="1157" t="n"/>
      <c r="X24" s="1144" t="n"/>
      <c r="Y24" s="1144" t="n"/>
      <c r="Z24" s="1144" t="n"/>
      <c r="AA24" s="1144" t="n"/>
      <c r="AB24" s="1144" t="n"/>
      <c r="AC24" s="1144" t="n"/>
      <c r="AD24" s="1144" t="n"/>
      <c r="AE24" s="1144" t="n"/>
      <c r="AF24" s="1144" t="n"/>
      <c r="AG24" s="1144" t="n"/>
      <c r="AH24" s="1144" t="n"/>
      <c r="AI24" s="1144" t="n"/>
      <c r="AJ24" s="1144" t="n"/>
      <c r="AK24" s="1144" t="n"/>
      <c r="AL24" s="1144" t="n"/>
      <c r="AM24" s="1159" t="n"/>
      <c r="AN24" s="1088" t="n"/>
      <c r="AO24" s="1094" t="n"/>
      <c r="AP24" s="1085" t="n"/>
      <c r="AR24" s="1125">
        <f>IF(D24="X",1,0)</f>
        <v/>
      </c>
      <c r="AS24" s="1125">
        <f>IF(E24="X",1,0)</f>
        <v/>
      </c>
      <c r="AT24" s="1125">
        <f>IF(F24="X",1,0)</f>
        <v/>
      </c>
      <c r="AU24" s="1125">
        <f>IF(G24="X",1,0)</f>
        <v/>
      </c>
      <c r="AV24" s="1125">
        <f>IF(H24="X",1,0)</f>
        <v/>
      </c>
      <c r="AW24" s="1125">
        <f>IF(I24="X",1,0)</f>
        <v/>
      </c>
      <c r="AX24" s="1125">
        <f>IF(J24="X",1,0)</f>
        <v/>
      </c>
      <c r="AY24" s="1125">
        <f>IF(K24="X",1,0)</f>
        <v/>
      </c>
      <c r="AZ24" s="1125">
        <f>IF(L24="X",1,0)</f>
        <v/>
      </c>
      <c r="BA24" s="1125">
        <f>IF(M24="X",1,0)</f>
        <v/>
      </c>
      <c r="BB24" s="1125">
        <f>IF(N24="X",1,0)</f>
        <v/>
      </c>
      <c r="BC24" s="1125">
        <f>IF(O24="X",1,0)</f>
        <v/>
      </c>
      <c r="BD24" s="1125">
        <f>IF(P24="X",1,0)</f>
        <v/>
      </c>
      <c r="BE24" s="1125">
        <f>IF(Q24="X",1,0)</f>
        <v/>
      </c>
      <c r="BF24" s="1125">
        <f>IF(R24="X",1,0)</f>
        <v/>
      </c>
      <c r="BG24" s="1125">
        <f>IF(S24="X",1,0)</f>
        <v/>
      </c>
      <c r="BH24" s="1125">
        <f>IF(T24="X",1,0)</f>
        <v/>
      </c>
      <c r="BI24" s="1125">
        <f>IF(U24="X",1,0)</f>
        <v/>
      </c>
      <c r="BJ24" s="1125">
        <f>IF(V24="X",1,0)</f>
        <v/>
      </c>
      <c r="BK24" s="1125">
        <f>IF(W24="X",1,0)</f>
        <v/>
      </c>
      <c r="BL24" s="1125">
        <f>IF(X24="X",1,0)</f>
        <v/>
      </c>
      <c r="BM24" s="1125">
        <f>IF(Y24="X",1,0)</f>
        <v/>
      </c>
      <c r="BN24" s="1125">
        <f>IF(Z24="X",1,0)</f>
        <v/>
      </c>
      <c r="BO24" s="1125">
        <f>IF(AA24="X",1,0)</f>
        <v/>
      </c>
      <c r="BP24" s="1125">
        <f>IF(AB24="X",1,0)</f>
        <v/>
      </c>
      <c r="BQ24" s="1125">
        <f>IF(AC24="X",1,0)</f>
        <v/>
      </c>
      <c r="BR24" s="1125">
        <f>IF(AD24="X",1,0)</f>
        <v/>
      </c>
      <c r="BS24" s="1125">
        <f>IF(AE24="X",1,0)</f>
        <v/>
      </c>
      <c r="BT24" s="1125">
        <f>IF(AF24="X",1,0)</f>
        <v/>
      </c>
      <c r="BU24" s="1125">
        <f>IF(AG24="X",1,0)</f>
        <v/>
      </c>
      <c r="BV24" s="1125">
        <f>IF(AH24="X",1,0)</f>
        <v/>
      </c>
      <c r="BW24" s="1125">
        <f>IF(AI24="X",1,0)</f>
        <v/>
      </c>
      <c r="BX24" s="1125">
        <f>IF(AJ24="X",1,0)</f>
        <v/>
      </c>
      <c r="BY24" s="1125">
        <f>IF(AK24="X",1,0)</f>
        <v/>
      </c>
      <c r="BZ24" s="1125">
        <f>IF(AL24="X",1,0)</f>
        <v/>
      </c>
      <c r="CA24" s="1125">
        <f>IF(AM24="X",1,0)</f>
        <v/>
      </c>
      <c r="CB24" s="1125">
        <f>IF(AN24="X",1,0)</f>
        <v/>
      </c>
    </row>
    <row r="25" ht="14.25" customHeight="1" s="557">
      <c r="A25" s="1085" t="n"/>
      <c r="B25" s="1163" t="inlineStr">
        <is>
          <t>1393195/RZ059-006</t>
        </is>
      </c>
      <c r="C25" s="1162" t="inlineStr">
        <is>
          <t>SPOOLER UNIT, PNEUMATIC</t>
        </is>
      </c>
      <c r="D25" s="1161" t="inlineStr">
        <is>
          <t>x</t>
        </is>
      </c>
      <c r="E25" s="1161" t="inlineStr">
        <is>
          <t>x</t>
        </is>
      </c>
      <c r="F25" s="1161" t="inlineStr">
        <is>
          <t>x</t>
        </is>
      </c>
      <c r="G25" s="1161" t="inlineStr">
        <is>
          <t>x</t>
        </is>
      </c>
      <c r="H25" s="1161" t="inlineStr">
        <is>
          <t>x</t>
        </is>
      </c>
      <c r="I25" s="1161" t="inlineStr">
        <is>
          <t>x</t>
        </is>
      </c>
      <c r="J25" s="1161" t="n"/>
      <c r="K25" s="1161" t="n"/>
      <c r="L25" s="1161" t="n"/>
      <c r="M25" s="1161" t="n"/>
      <c r="N25" s="1161" t="n"/>
      <c r="O25" s="1157" t="n"/>
      <c r="P25" s="1157" t="n"/>
      <c r="Q25" s="1157" t="n"/>
      <c r="R25" s="1157" t="n"/>
      <c r="S25" s="1157" t="n"/>
      <c r="T25" s="1144" t="n"/>
      <c r="U25" s="1144" t="n"/>
      <c r="V25" s="1144" t="n"/>
      <c r="W25" s="1144" t="n"/>
      <c r="X25" s="1144" t="n"/>
      <c r="Y25" s="1144" t="n"/>
      <c r="Z25" s="1144" t="n"/>
      <c r="AA25" s="1144" t="n"/>
      <c r="AB25" s="1144" t="n"/>
      <c r="AC25" s="1144" t="n"/>
      <c r="AD25" s="1144" t="n"/>
      <c r="AE25" s="1144" t="n"/>
      <c r="AF25" s="1144" t="n"/>
      <c r="AG25" s="1144" t="n"/>
      <c r="AH25" s="1144" t="n"/>
      <c r="AI25" s="1144" t="n"/>
      <c r="AJ25" s="1144" t="n"/>
      <c r="AK25" s="1144" t="n"/>
      <c r="AL25" s="1144" t="n"/>
      <c r="AM25" s="1157" t="n"/>
      <c r="AN25" s="1088" t="n"/>
      <c r="AO25" s="1094" t="n"/>
      <c r="AP25" s="1085" t="n"/>
      <c r="AR25" s="1125">
        <f>IF(D25="X",1,0)</f>
        <v/>
      </c>
      <c r="AS25" s="1125">
        <f>IF(E25="X",1,0)</f>
        <v/>
      </c>
      <c r="AT25" s="1125">
        <f>IF(F25="X",1,0)</f>
        <v/>
      </c>
      <c r="AU25" s="1125">
        <f>IF(G25="X",1,0)</f>
        <v/>
      </c>
      <c r="AV25" s="1125">
        <f>IF(H25="X",1,0)</f>
        <v/>
      </c>
      <c r="AW25" s="1125">
        <f>IF(I25="X",1,0)</f>
        <v/>
      </c>
      <c r="AX25" s="1125">
        <f>IF(J25="X",1,0)</f>
        <v/>
      </c>
      <c r="AY25" s="1125">
        <f>IF(K25="X",1,0)</f>
        <v/>
      </c>
      <c r="AZ25" s="1125">
        <f>IF(L25="X",1,0)</f>
        <v/>
      </c>
      <c r="BA25" s="1125">
        <f>IF(M25="X",1,0)</f>
        <v/>
      </c>
      <c r="BB25" s="1125">
        <f>IF(N25="X",1,0)</f>
        <v/>
      </c>
      <c r="BC25" s="1125">
        <f>IF(O25="X",1,0)</f>
        <v/>
      </c>
      <c r="BD25" s="1125">
        <f>IF(P25="X",1,0)</f>
        <v/>
      </c>
      <c r="BE25" s="1125">
        <f>IF(Q25="X",1,0)</f>
        <v/>
      </c>
      <c r="BF25" s="1125">
        <f>IF(R25="X",1,0)</f>
        <v/>
      </c>
      <c r="BG25" s="1125">
        <f>IF(S25="X",1,0)</f>
        <v/>
      </c>
      <c r="BH25" s="1125">
        <f>IF(T25="X",1,0)</f>
        <v/>
      </c>
      <c r="BI25" s="1125">
        <f>IF(U25="X",1,0)</f>
        <v/>
      </c>
      <c r="BJ25" s="1125">
        <f>IF(V25="X",1,0)</f>
        <v/>
      </c>
      <c r="BK25" s="1125">
        <f>IF(W25="X",1,0)</f>
        <v/>
      </c>
      <c r="BL25" s="1125">
        <f>IF(X25="X",1,0)</f>
        <v/>
      </c>
      <c r="BM25" s="1125">
        <f>IF(Y25="X",1,0)</f>
        <v/>
      </c>
      <c r="BN25" s="1125">
        <f>IF(Z25="X",1,0)</f>
        <v/>
      </c>
      <c r="BO25" s="1125">
        <f>IF(AA25="X",1,0)</f>
        <v/>
      </c>
      <c r="BP25" s="1125">
        <f>IF(AB25="X",1,0)</f>
        <v/>
      </c>
      <c r="BQ25" s="1125">
        <f>IF(AC25="X",1,0)</f>
        <v/>
      </c>
      <c r="BR25" s="1125">
        <f>IF(AD25="X",1,0)</f>
        <v/>
      </c>
      <c r="BS25" s="1125">
        <f>IF(AE25="X",1,0)</f>
        <v/>
      </c>
      <c r="BT25" s="1125">
        <f>IF(AF25="X",1,0)</f>
        <v/>
      </c>
      <c r="BU25" s="1125">
        <f>IF(AG25="X",1,0)</f>
        <v/>
      </c>
      <c r="BV25" s="1125">
        <f>IF(AH25="X",1,0)</f>
        <v/>
      </c>
      <c r="BW25" s="1125">
        <f>IF(AI25="X",1,0)</f>
        <v/>
      </c>
      <c r="BX25" s="1125">
        <f>IF(AJ25="X",1,0)</f>
        <v/>
      </c>
      <c r="BY25" s="1125">
        <f>IF(AK25="X",1,0)</f>
        <v/>
      </c>
      <c r="BZ25" s="1125">
        <f>IF(AL25="X",1,0)</f>
        <v/>
      </c>
      <c r="CA25" s="1125">
        <f>IF(AM25="X",1,0)</f>
        <v/>
      </c>
      <c r="CB25" s="1125">
        <f>IF(AN25="X",1,0)</f>
        <v/>
      </c>
    </row>
    <row r="26" ht="14.25" customHeight="1" s="557">
      <c r="A26" s="1085" t="n"/>
      <c r="B26" s="1163" t="inlineStr">
        <is>
          <t>237531/CON-TAC45-017</t>
        </is>
      </c>
      <c r="C26" s="1162" t="inlineStr">
        <is>
          <t>BASKET, EQUIPMENT OFFSHORE</t>
        </is>
      </c>
      <c r="D26" s="1161" t="inlineStr">
        <is>
          <t>x</t>
        </is>
      </c>
      <c r="E26" s="1161" t="inlineStr">
        <is>
          <t>x</t>
        </is>
      </c>
      <c r="F26" s="1161" t="inlineStr">
        <is>
          <t>x</t>
        </is>
      </c>
      <c r="G26" s="1161" t="inlineStr">
        <is>
          <t>x</t>
        </is>
      </c>
      <c r="H26" s="1161" t="inlineStr">
        <is>
          <t>x</t>
        </is>
      </c>
      <c r="I26" s="1161" t="inlineStr">
        <is>
          <t>x</t>
        </is>
      </c>
      <c r="J26" s="1161" t="n"/>
      <c r="K26" s="1161" t="n"/>
      <c r="L26" s="1161" t="n"/>
      <c r="M26" s="1161" t="n"/>
      <c r="N26" s="1161" t="n"/>
      <c r="O26" s="1157" t="n"/>
      <c r="P26" s="1157" t="n"/>
      <c r="Q26" s="1157" t="n"/>
      <c r="R26" s="1157" t="n"/>
      <c r="S26" s="1157" t="n"/>
      <c r="T26" s="1144" t="n"/>
      <c r="U26" s="1144" t="n"/>
      <c r="V26" s="1144" t="n"/>
      <c r="W26" s="1144" t="n"/>
      <c r="X26" s="1144" t="n"/>
      <c r="Y26" s="1144" t="n"/>
      <c r="Z26" s="1144" t="n"/>
      <c r="AA26" s="1144" t="n"/>
      <c r="AB26" s="1144" t="n"/>
      <c r="AC26" s="1144" t="n"/>
      <c r="AD26" s="1144" t="n"/>
      <c r="AE26" s="1144" t="n"/>
      <c r="AF26" s="1144" t="n"/>
      <c r="AG26" s="1144" t="n"/>
      <c r="AH26" s="1144" t="n"/>
      <c r="AI26" s="1144" t="n"/>
      <c r="AJ26" s="1144" t="n"/>
      <c r="AK26" s="1144" t="n"/>
      <c r="AL26" s="1144" t="n"/>
      <c r="AM26" s="1157" t="n"/>
      <c r="AN26" s="1088" t="n"/>
      <c r="AO26" s="1094" t="n"/>
      <c r="AP26" s="1085" t="n"/>
      <c r="AR26" s="1125">
        <f>IF(D26="X",1,0)</f>
        <v/>
      </c>
      <c r="AS26" s="1125">
        <f>IF(E26="X",1,0)</f>
        <v/>
      </c>
      <c r="AT26" s="1125">
        <f>IF(F26="X",1,0)</f>
        <v/>
      </c>
      <c r="AU26" s="1125">
        <f>IF(G26="X",1,0)</f>
        <v/>
      </c>
      <c r="AV26" s="1125">
        <f>IF(H26="X",1,0)</f>
        <v/>
      </c>
      <c r="AW26" s="1125">
        <f>IF(I26="X",1,0)</f>
        <v/>
      </c>
      <c r="AX26" s="1125">
        <f>IF(J26="X",1,0)</f>
        <v/>
      </c>
      <c r="AY26" s="1125">
        <f>IF(K26="X",1,0)</f>
        <v/>
      </c>
      <c r="AZ26" s="1125">
        <f>IF(L26="X",1,0)</f>
        <v/>
      </c>
      <c r="BA26" s="1125">
        <f>IF(M26="X",1,0)</f>
        <v/>
      </c>
      <c r="BB26" s="1125">
        <f>IF(N26="X",1,0)</f>
        <v/>
      </c>
      <c r="BC26" s="1125">
        <f>IF(O26="X",1,0)</f>
        <v/>
      </c>
      <c r="BD26" s="1125">
        <f>IF(P26="X",1,0)</f>
        <v/>
      </c>
      <c r="BE26" s="1125">
        <f>IF(Q26="X",1,0)</f>
        <v/>
      </c>
      <c r="BF26" s="1125">
        <f>IF(R26="X",1,0)</f>
        <v/>
      </c>
      <c r="BG26" s="1125">
        <f>IF(S26="X",1,0)</f>
        <v/>
      </c>
      <c r="BH26" s="1125">
        <f>IF(T26="X",1,0)</f>
        <v/>
      </c>
      <c r="BI26" s="1125">
        <f>IF(U26="X",1,0)</f>
        <v/>
      </c>
      <c r="BJ26" s="1125">
        <f>IF(V26="X",1,0)</f>
        <v/>
      </c>
      <c r="BK26" s="1125">
        <f>IF(W26="X",1,0)</f>
        <v/>
      </c>
      <c r="BL26" s="1125">
        <f>IF(X26="X",1,0)</f>
        <v/>
      </c>
      <c r="BM26" s="1125">
        <f>IF(Y26="X",1,0)</f>
        <v/>
      </c>
      <c r="BN26" s="1125">
        <f>IF(Z26="X",1,0)</f>
        <v/>
      </c>
      <c r="BO26" s="1125">
        <f>IF(AA26="X",1,0)</f>
        <v/>
      </c>
      <c r="BP26" s="1125">
        <f>IF(AB26="X",1,0)</f>
        <v/>
      </c>
      <c r="BQ26" s="1125">
        <f>IF(AC26="X",1,0)</f>
        <v/>
      </c>
      <c r="BR26" s="1125">
        <f>IF(AD26="X",1,0)</f>
        <v/>
      </c>
      <c r="BS26" s="1125">
        <f>IF(AE26="X",1,0)</f>
        <v/>
      </c>
      <c r="BT26" s="1125">
        <f>IF(AF26="X",1,0)</f>
        <v/>
      </c>
      <c r="BU26" s="1125">
        <f>IF(AG26="X",1,0)</f>
        <v/>
      </c>
      <c r="BV26" s="1125">
        <f>IF(AH26="X",1,0)</f>
        <v/>
      </c>
      <c r="BW26" s="1125">
        <f>IF(AI26="X",1,0)</f>
        <v/>
      </c>
      <c r="BX26" s="1125">
        <f>IF(AJ26="X",1,0)</f>
        <v/>
      </c>
      <c r="BY26" s="1125">
        <f>IF(AK26="X",1,0)</f>
        <v/>
      </c>
      <c r="BZ26" s="1125">
        <f>IF(AL26="X",1,0)</f>
        <v/>
      </c>
      <c r="CA26" s="1125">
        <f>IF(AM26="X",1,0)</f>
        <v/>
      </c>
      <c r="CB26" s="1125">
        <f>IF(AN26="X",1,0)</f>
        <v/>
      </c>
    </row>
    <row r="27" ht="14.25" customHeight="1" s="557">
      <c r="A27" s="1085" t="n"/>
      <c r="B27" s="1162" t="inlineStr">
        <is>
          <t>506655/WEA-SW-6003</t>
        </is>
      </c>
      <c r="C27" s="1162" t="inlineStr">
        <is>
          <t>WHEEL, SHEAVE 12 FT</t>
        </is>
      </c>
      <c r="D27" s="1161" t="inlineStr">
        <is>
          <t>x</t>
        </is>
      </c>
      <c r="E27" s="1161" t="inlineStr">
        <is>
          <t>x</t>
        </is>
      </c>
      <c r="F27" s="1161" t="inlineStr">
        <is>
          <t>x</t>
        </is>
      </c>
      <c r="G27" s="1161" t="inlineStr">
        <is>
          <t>x</t>
        </is>
      </c>
      <c r="H27" s="1161" t="inlineStr">
        <is>
          <t>x</t>
        </is>
      </c>
      <c r="I27" s="1161" t="inlineStr">
        <is>
          <t>x</t>
        </is>
      </c>
      <c r="J27" s="1161" t="n"/>
      <c r="K27" s="1161" t="n"/>
      <c r="L27" s="1161" t="n"/>
      <c r="M27" s="1161" t="n"/>
      <c r="N27" s="1161" t="n"/>
      <c r="O27" s="1157" t="n"/>
      <c r="P27" s="1157" t="n"/>
      <c r="Q27" s="1157" t="n"/>
      <c r="R27" s="1157" t="n"/>
      <c r="S27" s="1157" t="n"/>
      <c r="T27" s="1144" t="n"/>
      <c r="U27" s="1144" t="n"/>
      <c r="V27" s="1144" t="n"/>
      <c r="W27" s="1144" t="n"/>
      <c r="X27" s="1144" t="n"/>
      <c r="Y27" s="1144" t="n"/>
      <c r="Z27" s="1144" t="n"/>
      <c r="AA27" s="1144" t="n"/>
      <c r="AB27" s="1144" t="n"/>
      <c r="AC27" s="1144" t="n"/>
      <c r="AD27" s="1144" t="n"/>
      <c r="AE27" s="1144" t="n"/>
      <c r="AF27" s="1144" t="n"/>
      <c r="AG27" s="1144" t="n"/>
      <c r="AH27" s="1144" t="n"/>
      <c r="AI27" s="1144" t="n"/>
      <c r="AJ27" s="1144" t="n"/>
      <c r="AK27" s="1144" t="n"/>
      <c r="AL27" s="1144" t="n"/>
      <c r="AM27" s="1157" t="n"/>
      <c r="AN27" s="1088" t="n"/>
      <c r="AO27" s="1094" t="n"/>
      <c r="AP27" s="1085" t="n"/>
      <c r="AR27" s="1125">
        <f>IF(D27="X",1,0)</f>
        <v/>
      </c>
      <c r="AS27" s="1125">
        <f>IF(E27="X",1,0)</f>
        <v/>
      </c>
      <c r="AT27" s="1125">
        <f>IF(F27="X",1,0)</f>
        <v/>
      </c>
      <c r="AU27" s="1125">
        <f>IF(G27="X",1,0)</f>
        <v/>
      </c>
      <c r="AV27" s="1125">
        <f>IF(H27="X",1,0)</f>
        <v/>
      </c>
      <c r="AW27" s="1125">
        <f>IF(I27="X",1,0)</f>
        <v/>
      </c>
      <c r="AX27" s="1125">
        <f>IF(J27="X",1,0)</f>
        <v/>
      </c>
      <c r="AY27" s="1125">
        <f>IF(K27="X",1,0)</f>
        <v/>
      </c>
      <c r="AZ27" s="1125">
        <f>IF(L27="X",1,0)</f>
        <v/>
      </c>
      <c r="BA27" s="1125">
        <f>IF(M27="X",1,0)</f>
        <v/>
      </c>
      <c r="BB27" s="1125">
        <f>IF(N27="X",1,0)</f>
        <v/>
      </c>
      <c r="BC27" s="1125">
        <f>IF(O27="X",1,0)</f>
        <v/>
      </c>
      <c r="BD27" s="1125">
        <f>IF(P27="X",1,0)</f>
        <v/>
      </c>
      <c r="BE27" s="1125">
        <f>IF(Q27="X",1,0)</f>
        <v/>
      </c>
      <c r="BF27" s="1125">
        <f>IF(R27="X",1,0)</f>
        <v/>
      </c>
      <c r="BG27" s="1125">
        <f>IF(S27="X",1,0)</f>
        <v/>
      </c>
      <c r="BH27" s="1125">
        <f>IF(T27="X",1,0)</f>
        <v/>
      </c>
      <c r="BI27" s="1125">
        <f>IF(U27="X",1,0)</f>
        <v/>
      </c>
      <c r="BJ27" s="1125">
        <f>IF(V27="X",1,0)</f>
        <v/>
      </c>
      <c r="BK27" s="1125">
        <f>IF(W27="X",1,0)</f>
        <v/>
      </c>
      <c r="BL27" s="1125">
        <f>IF(X27="X",1,0)</f>
        <v/>
      </c>
      <c r="BM27" s="1125">
        <f>IF(Y27="X",1,0)</f>
        <v/>
      </c>
      <c r="BN27" s="1125">
        <f>IF(Z27="X",1,0)</f>
        <v/>
      </c>
      <c r="BO27" s="1125">
        <f>IF(AA27="X",1,0)</f>
        <v/>
      </c>
      <c r="BP27" s="1125">
        <f>IF(AB27="X",1,0)</f>
        <v/>
      </c>
      <c r="BQ27" s="1125">
        <f>IF(AC27="X",1,0)</f>
        <v/>
      </c>
      <c r="BR27" s="1125">
        <f>IF(AD27="X",1,0)</f>
        <v/>
      </c>
      <c r="BS27" s="1125">
        <f>IF(AE27="X",1,0)</f>
        <v/>
      </c>
      <c r="BT27" s="1125">
        <f>IF(AF27="X",1,0)</f>
        <v/>
      </c>
      <c r="BU27" s="1125">
        <f>IF(AG27="X",1,0)</f>
        <v/>
      </c>
      <c r="BV27" s="1125">
        <f>IF(AH27="X",1,0)</f>
        <v/>
      </c>
      <c r="BW27" s="1125">
        <f>IF(AI27="X",1,0)</f>
        <v/>
      </c>
      <c r="BX27" s="1125">
        <f>IF(AJ27="X",1,0)</f>
        <v/>
      </c>
      <c r="BY27" s="1125">
        <f>IF(AK27="X",1,0)</f>
        <v/>
      </c>
      <c r="BZ27" s="1125">
        <f>IF(AL27="X",1,0)</f>
        <v/>
      </c>
      <c r="CA27" s="1125">
        <f>IF(AM27="X",1,0)</f>
        <v/>
      </c>
      <c r="CB27" s="1125">
        <f>IF(AN27="X",1,0)</f>
        <v/>
      </c>
    </row>
    <row r="28" ht="9.75" customHeight="1" s="557">
      <c r="A28" s="1085" t="n"/>
      <c r="B28" s="1140" t="inlineStr">
        <is>
          <t>Operational Hours:</t>
        </is>
      </c>
      <c r="C28" s="1091" t="n"/>
      <c r="D28" s="1164" t="n"/>
      <c r="E28" s="1090" t="n"/>
      <c r="F28" s="1090" t="n"/>
      <c r="G28" s="1090" t="n"/>
      <c r="H28" s="1090" t="n"/>
      <c r="I28" s="1090" t="n"/>
      <c r="J28" s="1090" t="n"/>
      <c r="K28" s="1090" t="n"/>
      <c r="L28" s="1090" t="n"/>
      <c r="M28" s="1090" t="n"/>
      <c r="N28" s="1090" t="n"/>
      <c r="O28" s="1090" t="n"/>
      <c r="P28" s="1090" t="n"/>
      <c r="Q28" s="1090" t="n"/>
      <c r="R28" s="1090" t="n"/>
      <c r="S28" s="1090" t="n"/>
      <c r="T28" s="1090" t="n"/>
      <c r="U28" s="1090" t="n"/>
      <c r="V28" s="1090" t="n"/>
      <c r="W28" s="1090" t="n"/>
      <c r="X28" s="1090" t="n"/>
      <c r="Y28" s="1090" t="n"/>
      <c r="Z28" s="1090" t="n"/>
      <c r="AA28" s="1090" t="n"/>
      <c r="AB28" s="1090" t="n"/>
      <c r="AC28" s="1090" t="n"/>
      <c r="AD28" s="1090" t="n"/>
      <c r="AE28" s="1090" t="n"/>
      <c r="AF28" s="1090" t="n"/>
      <c r="AG28" s="1090" t="n"/>
      <c r="AH28" s="1090" t="n"/>
      <c r="AI28" s="1090" t="n"/>
      <c r="AJ28" s="1090" t="n"/>
      <c r="AK28" s="1090" t="n"/>
      <c r="AL28" s="1090" t="n"/>
      <c r="AM28" s="1090" t="n"/>
      <c r="AN28" s="1090" t="n"/>
      <c r="AO28" s="1091" t="n"/>
      <c r="AP28" s="1085" t="n"/>
    </row>
    <row r="29" ht="9.75" customHeight="1" s="557">
      <c r="A29" s="1085" t="n"/>
      <c r="B29" s="1111" t="n"/>
      <c r="C29" s="1113" t="n"/>
      <c r="D29" s="1111" t="n"/>
      <c r="E29" s="1112" t="n"/>
      <c r="F29" s="1112" t="n"/>
      <c r="G29" s="1112" t="n"/>
      <c r="H29" s="1112" t="n"/>
      <c r="I29" s="1112" t="n"/>
      <c r="J29" s="1112" t="n"/>
      <c r="K29" s="1112" t="n"/>
      <c r="L29" s="1112" t="n"/>
      <c r="M29" s="1112" t="n"/>
      <c r="N29" s="1112" t="n"/>
      <c r="O29" s="1112" t="n"/>
      <c r="P29" s="1112" t="n"/>
      <c r="Q29" s="1112" t="n"/>
      <c r="R29" s="1112" t="n"/>
      <c r="S29" s="1112" t="n"/>
      <c r="T29" s="1112" t="n"/>
      <c r="U29" s="1112" t="n"/>
      <c r="V29" s="1112" t="n"/>
      <c r="W29" s="1112" t="n"/>
      <c r="X29" s="1112" t="n"/>
      <c r="Y29" s="1112" t="n"/>
      <c r="Z29" s="1112" t="n"/>
      <c r="AA29" s="1112" t="n"/>
      <c r="AB29" s="1112" t="n"/>
      <c r="AC29" s="1112" t="n"/>
      <c r="AD29" s="1112" t="n"/>
      <c r="AE29" s="1112" t="n"/>
      <c r="AF29" s="1112" t="n"/>
      <c r="AG29" s="1112" t="n"/>
      <c r="AH29" s="1112" t="n"/>
      <c r="AI29" s="1112" t="n"/>
      <c r="AJ29" s="1112" t="n"/>
      <c r="AK29" s="1112" t="n"/>
      <c r="AL29" s="1112" t="n"/>
      <c r="AM29" s="1112" t="n"/>
      <c r="AN29" s="1112" t="n"/>
      <c r="AO29" s="1113" t="n"/>
      <c r="AP29" s="1085" t="n"/>
    </row>
    <row r="30" ht="19.5" customHeight="1" s="557">
      <c r="A30" s="1085" t="n"/>
      <c r="B30" s="1142" t="inlineStr">
        <is>
          <t xml:space="preserve">Supplier - Rep. </t>
        </is>
      </c>
      <c r="C30" s="1143" t="n"/>
      <c r="D30" s="1088" t="n"/>
      <c r="E30" s="1088" t="n"/>
      <c r="F30" s="1088" t="n"/>
      <c r="G30" s="1088" t="n"/>
      <c r="H30" s="1094" t="n"/>
      <c r="I30" s="1144" t="inlineStr">
        <is>
          <t>Customer Rep.</t>
        </is>
      </c>
      <c r="J30" s="1088" t="n"/>
      <c r="K30" s="1088" t="n"/>
      <c r="L30" s="1088" t="n"/>
      <c r="M30" s="1088" t="n"/>
      <c r="N30" s="1088" t="n"/>
      <c r="O30" s="1088" t="n"/>
      <c r="P30" s="1088" t="n"/>
      <c r="Q30" s="1088" t="n"/>
      <c r="R30" s="1088" t="n"/>
      <c r="S30" s="1088" t="n"/>
      <c r="T30" s="1088" t="n"/>
      <c r="U30" s="1094" t="n"/>
      <c r="V30" s="1144" t="n"/>
      <c r="W30" s="1088" t="n"/>
      <c r="X30" s="1088" t="n"/>
      <c r="Y30" s="1088" t="n"/>
      <c r="Z30" s="1088" t="n"/>
      <c r="AA30" s="1088" t="n"/>
      <c r="AB30" s="1088" t="n"/>
      <c r="AC30" s="1088" t="n"/>
      <c r="AD30" s="1088" t="n"/>
      <c r="AE30" s="1088" t="n"/>
      <c r="AF30" s="1088" t="n"/>
      <c r="AG30" s="1094" t="n"/>
      <c r="AH30" s="1145" t="inlineStr">
        <is>
          <t xml:space="preserve">Customer Stamp </t>
        </is>
      </c>
      <c r="AI30" s="1090" t="n"/>
      <c r="AJ30" s="1090" t="n"/>
      <c r="AK30" s="1090" t="n"/>
      <c r="AL30" s="1090" t="n"/>
      <c r="AM30" s="1090" t="n"/>
      <c r="AN30" s="1090" t="n"/>
      <c r="AO30" s="1091" t="n"/>
      <c r="AP30" s="1085" t="n"/>
    </row>
    <row r="31" ht="19.5" customHeight="1" s="557">
      <c r="A31" s="1085" t="n"/>
      <c r="B31" s="1142" t="inlineStr">
        <is>
          <t>Signature</t>
        </is>
      </c>
      <c r="C31" s="1143" t="n"/>
      <c r="D31" s="1088" t="n"/>
      <c r="E31" s="1088" t="n"/>
      <c r="F31" s="1088" t="n"/>
      <c r="G31" s="1088" t="n"/>
      <c r="H31" s="1094" t="n"/>
      <c r="I31" s="1144" t="inlineStr">
        <is>
          <t>Signature</t>
        </is>
      </c>
      <c r="J31" s="1088" t="n"/>
      <c r="K31" s="1088" t="n"/>
      <c r="L31" s="1088" t="n"/>
      <c r="M31" s="1088" t="n"/>
      <c r="N31" s="1088" t="n"/>
      <c r="O31" s="1088" t="n"/>
      <c r="P31" s="1088" t="n"/>
      <c r="Q31" s="1088" t="n"/>
      <c r="R31" s="1088" t="n"/>
      <c r="S31" s="1088" t="n"/>
      <c r="T31" s="1088" t="n"/>
      <c r="U31" s="1094" t="n"/>
      <c r="V31" s="1165" t="n"/>
      <c r="W31" s="1088" t="n"/>
      <c r="X31" s="1088" t="n"/>
      <c r="Y31" s="1088" t="n"/>
      <c r="Z31" s="1088" t="n"/>
      <c r="AA31" s="1088" t="n"/>
      <c r="AB31" s="1088" t="n"/>
      <c r="AC31" s="1088" t="n"/>
      <c r="AD31" s="1088" t="n"/>
      <c r="AE31" s="1088" t="n"/>
      <c r="AF31" s="1088" t="n"/>
      <c r="AG31" s="1094" t="n"/>
      <c r="AH31" s="1095" t="n"/>
      <c r="AI31" s="1096" t="n"/>
      <c r="AJ31" s="1096" t="n"/>
      <c r="AK31" s="1096" t="n"/>
      <c r="AL31" s="1096" t="n"/>
      <c r="AM31" s="1096" t="n"/>
      <c r="AN31" s="1096" t="n"/>
      <c r="AO31" s="1097" t="n"/>
      <c r="AP31" s="1085" t="n"/>
    </row>
    <row r="32" ht="18.75" customHeight="1" s="557">
      <c r="A32" s="1085" t="n"/>
      <c r="B32" s="1142" t="inlineStr">
        <is>
          <t xml:space="preserve">Date :- </t>
        </is>
      </c>
      <c r="C32" s="1166" t="n">
        <v>46223</v>
      </c>
      <c r="D32" s="1088" t="n"/>
      <c r="E32" s="1088" t="n"/>
      <c r="F32" s="1088" t="n"/>
      <c r="G32" s="1088" t="n"/>
      <c r="H32" s="1094" t="n"/>
      <c r="I32" s="1143" t="inlineStr">
        <is>
          <t xml:space="preserve">Date :- </t>
        </is>
      </c>
      <c r="J32" s="1088" t="n"/>
      <c r="K32" s="1088" t="n"/>
      <c r="L32" s="1088" t="n"/>
      <c r="M32" s="1088" t="n"/>
      <c r="N32" s="1088" t="n"/>
      <c r="O32" s="1088" t="n"/>
      <c r="P32" s="1088" t="n"/>
      <c r="Q32" s="1088" t="n"/>
      <c r="R32" s="1088" t="n"/>
      <c r="S32" s="1088" t="n"/>
      <c r="T32" s="1088" t="n"/>
      <c r="U32" s="1094" t="n"/>
      <c r="V32" s="1166" t="n">
        <v>46223</v>
      </c>
      <c r="W32" s="1088" t="n"/>
      <c r="X32" s="1088" t="n"/>
      <c r="Y32" s="1088" t="n"/>
      <c r="Z32" s="1088" t="n"/>
      <c r="AA32" s="1088" t="n"/>
      <c r="AB32" s="1088" t="n"/>
      <c r="AC32" s="1088" t="n"/>
      <c r="AD32" s="1088" t="n"/>
      <c r="AE32" s="1088" t="n"/>
      <c r="AF32" s="1088" t="n"/>
      <c r="AG32" s="1094" t="n"/>
      <c r="AH32" s="1111" t="n"/>
      <c r="AI32" s="1112" t="n"/>
      <c r="AJ32" s="1112" t="n"/>
      <c r="AK32" s="1112" t="n"/>
      <c r="AL32" s="1112" t="n"/>
      <c r="AM32" s="1112" t="n"/>
      <c r="AN32" s="1112" t="n"/>
      <c r="AO32" s="1113" t="n"/>
      <c r="AP32" s="1085" t="n"/>
      <c r="AR32" s="1125" t="n"/>
      <c r="AS32" s="1125" t="n"/>
      <c r="AT32" s="1125" t="n"/>
      <c r="AU32" s="1125" t="n"/>
      <c r="AV32" s="1125" t="n"/>
      <c r="AW32" s="1125" t="n"/>
      <c r="AX32" s="1125" t="n"/>
      <c r="AY32" s="1125" t="n"/>
      <c r="AZ32" s="1125" t="n"/>
      <c r="BA32" s="1125" t="n"/>
      <c r="BB32" s="1125" t="n"/>
      <c r="BC32" s="1125" t="n"/>
      <c r="BD32" s="1125" t="n"/>
      <c r="BE32" s="1125" t="n"/>
      <c r="BF32" s="1125" t="n"/>
      <c r="BG32" s="1125" t="n"/>
      <c r="BH32" s="1125" t="n"/>
      <c r="BI32" s="1125" t="n"/>
      <c r="BJ32" s="1125" t="n"/>
      <c r="BK32" s="1125" t="n"/>
      <c r="BL32" s="1125" t="n"/>
      <c r="BM32" s="1125" t="n"/>
      <c r="BN32" s="1125" t="n"/>
      <c r="BO32" s="1125" t="n"/>
      <c r="BP32" s="1125" t="n"/>
      <c r="BQ32" s="1125" t="n"/>
      <c r="BR32" s="1125" t="n"/>
      <c r="BS32" s="1125" t="n"/>
      <c r="BT32" s="1125" t="n"/>
      <c r="BU32" s="1125" t="n"/>
      <c r="BV32" s="1125" t="n"/>
      <c r="BW32" s="1125" t="n"/>
      <c r="BX32" s="1125" t="n"/>
      <c r="BY32" s="1125" t="n"/>
      <c r="BZ32" s="1125" t="n"/>
      <c r="CA32" s="1125" t="n"/>
      <c r="CB32" s="1125" t="n"/>
    </row>
    <row r="33" ht="14.25" customHeight="1" s="557">
      <c r="A33" s="1085" t="n"/>
      <c r="B33" s="1085" t="n"/>
      <c r="C33" s="1085" t="n"/>
      <c r="D33" s="1085" t="n"/>
      <c r="E33" s="1085" t="n"/>
      <c r="F33" s="1085" t="n"/>
      <c r="G33" s="1085" t="n"/>
      <c r="H33" s="1085" t="n"/>
      <c r="I33" s="1085" t="n"/>
      <c r="J33" s="1085" t="n"/>
      <c r="K33" s="1085" t="n"/>
      <c r="L33" s="1085" t="n"/>
      <c r="M33" s="1085" t="n"/>
      <c r="N33" s="1085" t="n"/>
      <c r="O33" s="1085" t="n"/>
      <c r="P33" s="1085" t="n"/>
      <c r="Q33" s="1085" t="n"/>
      <c r="R33" s="1085" t="n"/>
      <c r="S33" s="1085" t="n"/>
      <c r="T33" s="1085" t="n"/>
      <c r="U33" s="1085" t="n"/>
      <c r="V33" s="1085" t="n"/>
      <c r="W33" s="1085" t="n"/>
      <c r="X33" s="1085" t="n"/>
      <c r="Y33" s="1085" t="n"/>
      <c r="Z33" s="1085" t="n"/>
      <c r="AA33" s="1085" t="n"/>
      <c r="AB33" s="1085" t="n"/>
      <c r="AC33" s="1085" t="n"/>
      <c r="AD33" s="1085" t="n"/>
      <c r="AE33" s="1085" t="n"/>
      <c r="AF33" s="1085" t="n"/>
      <c r="AG33" s="1085" t="n"/>
      <c r="AH33" s="1085" t="n"/>
      <c r="AI33" s="1085" t="n"/>
      <c r="AJ33" s="1085" t="n"/>
      <c r="AK33" s="1085" t="n"/>
      <c r="AL33" s="1085" t="n"/>
      <c r="AM33" s="1085" t="n"/>
      <c r="AN33" s="1085" t="n"/>
      <c r="AO33" s="1085" t="n"/>
      <c r="AP33" s="1085" t="n"/>
    </row>
    <row r="36" ht="14.25" customHeight="1" s="557">
      <c r="E36" s="1147" t="n"/>
    </row>
  </sheetData>
  <mergeCells count="101">
    <mergeCell ref="H9:H10"/>
    <mergeCell ref="J9:J10"/>
    <mergeCell ref="AM9:AO11"/>
    <mergeCell ref="AB5:AL5"/>
    <mergeCell ref="I6:O6"/>
    <mergeCell ref="C2:AL2"/>
    <mergeCell ref="D3:I3"/>
    <mergeCell ref="AM7:AO7"/>
    <mergeCell ref="AM21:AO21"/>
    <mergeCell ref="C32:H32"/>
    <mergeCell ref="AC9:AC10"/>
    <mergeCell ref="AE9:AE10"/>
    <mergeCell ref="AM27:AO27"/>
    <mergeCell ref="AB3:AG3"/>
    <mergeCell ref="AM8:AO8"/>
    <mergeCell ref="AD6:AG6"/>
    <mergeCell ref="K9:K10"/>
    <mergeCell ref="M9:M10"/>
    <mergeCell ref="O9:O10"/>
    <mergeCell ref="AM22:AO22"/>
    <mergeCell ref="AB4:AG4"/>
    <mergeCell ref="P6:U6"/>
    <mergeCell ref="P9:P10"/>
    <mergeCell ref="AB9:AB10"/>
    <mergeCell ref="J4:O4"/>
    <mergeCell ref="V6:AA6"/>
    <mergeCell ref="AM20:AO20"/>
    <mergeCell ref="T9:T10"/>
    <mergeCell ref="V9:V10"/>
    <mergeCell ref="AH4:AL4"/>
    <mergeCell ref="D28:AO29"/>
    <mergeCell ref="D4:I4"/>
    <mergeCell ref="AF9:AF10"/>
    <mergeCell ref="AH9:AH10"/>
    <mergeCell ref="I31:U31"/>
    <mergeCell ref="AM12:AO12"/>
    <mergeCell ref="D9:D10"/>
    <mergeCell ref="F9:F10"/>
    <mergeCell ref="AM26:AO26"/>
    <mergeCell ref="C30:H30"/>
    <mergeCell ref="G9:G10"/>
    <mergeCell ref="I9:I10"/>
    <mergeCell ref="U9:U10"/>
    <mergeCell ref="D5:H5"/>
    <mergeCell ref="C9:C11"/>
    <mergeCell ref="AM24:AO24"/>
    <mergeCell ref="Y9:Y10"/>
    <mergeCell ref="AA9:AA10"/>
    <mergeCell ref="AH3:AL3"/>
    <mergeCell ref="AF8:AL8"/>
    <mergeCell ref="AK9:AK10"/>
    <mergeCell ref="V31:AG31"/>
    <mergeCell ref="D8:AE8"/>
    <mergeCell ref="V32:AG32"/>
    <mergeCell ref="I30:U30"/>
    <mergeCell ref="D7:H7"/>
    <mergeCell ref="AM15:AO15"/>
    <mergeCell ref="L9:L10"/>
    <mergeCell ref="N9:N10"/>
    <mergeCell ref="X9:X10"/>
    <mergeCell ref="P7:AL7"/>
    <mergeCell ref="AI6:AL6"/>
    <mergeCell ref="I32:U32"/>
    <mergeCell ref="R9:R10"/>
    <mergeCell ref="AH30:AO32"/>
    <mergeCell ref="AM14:AO14"/>
    <mergeCell ref="AD9:AD10"/>
    <mergeCell ref="AM23:AO23"/>
    <mergeCell ref="AM13:AO13"/>
    <mergeCell ref="I5:O5"/>
    <mergeCell ref="AB6:AC6"/>
    <mergeCell ref="AG9:AG10"/>
    <mergeCell ref="AI9:AI10"/>
    <mergeCell ref="C31:H31"/>
    <mergeCell ref="B28:C29"/>
    <mergeCell ref="V30:AG30"/>
    <mergeCell ref="E9:E10"/>
    <mergeCell ref="D6:H6"/>
    <mergeCell ref="Q9:Q10"/>
    <mergeCell ref="S9:S10"/>
    <mergeCell ref="AM16:AO16"/>
    <mergeCell ref="P3:U3"/>
    <mergeCell ref="AM25:AO25"/>
    <mergeCell ref="J3:O3"/>
    <mergeCell ref="D11:AL11"/>
    <mergeCell ref="W9:W10"/>
    <mergeCell ref="AM18:AO18"/>
    <mergeCell ref="P5:U5"/>
    <mergeCell ref="V3:AA3"/>
    <mergeCell ref="I7:O7"/>
    <mergeCell ref="AM17:AO17"/>
    <mergeCell ref="B2:B6"/>
    <mergeCell ref="P4:U4"/>
    <mergeCell ref="Z9:Z10"/>
    <mergeCell ref="V5:AA5"/>
    <mergeCell ref="AJ9:AJ10"/>
    <mergeCell ref="AM19:AO19"/>
    <mergeCell ref="AL9:AL10"/>
    <mergeCell ref="B9:B11"/>
    <mergeCell ref="V4:AA4"/>
    <mergeCell ref="AM2:AO6"/>
  </mergeCells>
  <printOptions horizontalCentered="0" verticalCentered="0" headings="0" gridLines="0" gridLinesSet="1"/>
  <pageMargins left="0" right="0" top="1.25" bottom="0.75" header="0.3" footer="0.3"/>
  <pageSetup orientation="landscape" paperSize="9" scale="100" fitToHeight="0" fitToWidth="1" pageOrder="downThenOver" blackAndWhite="0" draft="0" horizontalDpi="300" verticalDpi="300" copies="1"/>
  <headerFooter differentOddEven="0" differentFirst="0">
    <oddHeader>&amp;L&amp;"arial,Regular"&amp;1 &amp;K737373 ADNOC Classification: Public#_x000D_</oddHeader>
    <oddFooter>&amp;C&amp;10 _x000D_#SLB-Private</oddFooter>
    <evenHeader/>
    <evenFooter/>
    <firstHeader/>
    <firstFooter/>
  </headerFooter>
  <drawing xmlns:r="http://schemas.openxmlformats.org/officeDocument/2006/relationships" r:id="rId1"/>
</worksheet>
</file>

<file path=xl/worksheets/sheet10.xml><?xml version="1.0" encoding="utf-8"?>
<worksheet xmlns="http://schemas.openxmlformats.org/spreadsheetml/2006/main">
  <sheetPr filterMode="0">
    <tabColor rgb="FFE2F0D9"/>
    <outlinePr summaryBelow="1" summaryRight="1"/>
    <pageSetUpPr fitToPage="0"/>
  </sheetPr>
  <dimension ref="A1:O29"/>
  <sheetViews>
    <sheetView showFormulas="0" showGridLines="0" showRowColHeaders="1" showZeros="1" rightToLeft="0" tabSelected="0" showOutlineSymbols="1" defaultGridColor="1" view="pageBreakPreview" topLeftCell="A1" colorId="64" zoomScale="115" zoomScaleNormal="100" zoomScalePageLayoutView="115" workbookViewId="0">
      <selection pane="topLeft" activeCell="A16" activeCellId="0" sqref="A16"/>
    </sheetView>
  </sheetViews>
  <sheetFormatPr baseColWidth="8" defaultColWidth="8.59765625" defaultRowHeight="14.25" zeroHeight="0" outlineLevelRow="0"/>
  <cols>
    <col width="6.56" customWidth="1" style="606" min="3" max="3"/>
    <col width="17.56" customWidth="1" style="606" min="4" max="4"/>
    <col width="12.55" customWidth="1" style="606" min="5" max="5"/>
    <col width="5.44" customWidth="1" style="606" min="6" max="6"/>
    <col width="22.56" customWidth="1" style="606" min="7" max="7"/>
    <col width="6.67" customWidth="1" style="606" min="8" max="8"/>
    <col width="6.56" customWidth="1" style="606" min="9" max="9"/>
    <col width="9.220000000000001" customWidth="1" style="606" min="10" max="10"/>
    <col width="8.33" customWidth="1" style="606" min="11" max="11"/>
  </cols>
  <sheetData>
    <row r="1" ht="45.75" customHeight="1" s="557">
      <c r="A1" s="1167" t="n"/>
      <c r="B1" s="562" t="n"/>
      <c r="C1" s="1168" t="inlineStr">
        <is>
          <t>1 of 1</t>
        </is>
      </c>
      <c r="D1" s="1169" t="inlineStr">
        <is>
          <t>Tools Backload Sheet</t>
        </is>
      </c>
      <c r="E1" s="561" t="n"/>
      <c r="F1" s="561" t="n"/>
      <c r="G1" s="561" t="n"/>
      <c r="H1" s="561" t="n"/>
      <c r="I1" s="562" t="n"/>
      <c r="J1" s="1169" t="n"/>
      <c r="K1" s="562" t="n"/>
    </row>
    <row r="2" ht="14.25" customHeight="1" s="557">
      <c r="A2" s="1168" t="inlineStr">
        <is>
          <t>DOCUMENT NUMBER</t>
        </is>
      </c>
      <c r="B2" s="562" t="n"/>
      <c r="C2" s="1168" t="inlineStr">
        <is>
          <t>CLASSIFICATION</t>
        </is>
      </c>
      <c r="D2" s="562" t="n"/>
      <c r="E2" s="1168" t="inlineStr">
        <is>
          <t>DOCUMENT LEVEL</t>
        </is>
      </c>
      <c r="F2" s="562" t="n"/>
      <c r="G2" s="1168" t="inlineStr">
        <is>
          <t>REVISION NUMBER</t>
        </is>
      </c>
      <c r="H2" s="1168" t="inlineStr">
        <is>
          <t>ISSUE DATE</t>
        </is>
      </c>
      <c r="I2" s="562" t="n"/>
      <c r="J2" s="1168" t="inlineStr">
        <is>
          <t>PREPARED BY</t>
        </is>
      </c>
      <c r="K2" s="1168" t="inlineStr">
        <is>
          <t>APPROVAL</t>
        </is>
      </c>
    </row>
    <row r="3" ht="18.75" customHeight="1" s="557">
      <c r="A3" s="1170" t="inlineStr">
        <is>
          <t>GL-COMP-OEPS-L4-15.10</t>
        </is>
      </c>
      <c r="B3" s="562" t="n"/>
      <c r="C3" s="1171" t="inlineStr">
        <is>
          <t>CONTROLLED</t>
        </is>
      </c>
      <c r="D3" s="562" t="n"/>
      <c r="E3" s="1171" t="inlineStr">
        <is>
          <t>L5</t>
        </is>
      </c>
      <c r="F3" s="562" t="n"/>
      <c r="G3" s="1171" t="n">
        <v>0</v>
      </c>
      <c r="H3" s="1171" t="inlineStr">
        <is>
          <t>6th September 2015</t>
        </is>
      </c>
      <c r="I3" s="562" t="n"/>
      <c r="J3" s="1171" t="inlineStr">
        <is>
          <t>WCT TAC</t>
        </is>
      </c>
      <c r="K3" s="1171" t="inlineStr">
        <is>
          <t>WCT TWIC</t>
        </is>
      </c>
    </row>
    <row r="5" ht="14.25" customHeight="1" s="557">
      <c r="A5" s="1172" t="inlineStr">
        <is>
          <t>Backload From:</t>
        </is>
      </c>
      <c r="B5" s="562" t="n"/>
      <c r="C5" s="1173">
        <f>'Master Data'!E10</f>
        <v/>
      </c>
      <c r="D5" s="561" t="n"/>
      <c r="E5" s="562" t="n"/>
      <c r="F5" s="1172" t="inlineStr">
        <is>
          <t>Job Number</t>
        </is>
      </c>
      <c r="G5" s="1172" t="n"/>
      <c r="H5" s="1173">
        <f>'Master Data'!B11</f>
        <v/>
      </c>
      <c r="I5" s="561" t="n"/>
      <c r="J5" s="561" t="n"/>
      <c r="K5" s="562" t="n"/>
    </row>
    <row r="6" ht="14.25" customHeight="1" s="557">
      <c r="A6" s="1172" t="inlineStr">
        <is>
          <t>Backload to:</t>
        </is>
      </c>
      <c r="B6" s="562" t="n"/>
      <c r="C6" s="1174" t="inlineStr">
        <is>
          <t>Weatherford ICAD Base</t>
        </is>
      </c>
      <c r="D6" s="1175" t="n"/>
      <c r="E6" s="1176" t="n"/>
      <c r="F6" s="1172" t="inlineStr">
        <is>
          <t>Rig/Well No.</t>
        </is>
      </c>
      <c r="G6" s="1172" t="n"/>
      <c r="H6" s="1177">
        <f>_xlfn.CONCAT('Master Data'!E11," / ", 'Master Data'!E10)</f>
        <v/>
      </c>
      <c r="I6" s="1178" t="n"/>
      <c r="J6" s="1178" t="n"/>
      <c r="K6" s="1179" t="n"/>
    </row>
    <row r="7" ht="14.25" customHeight="1" s="557">
      <c r="A7" s="1173" t="inlineStr">
        <is>
          <t>Backload Delivery</t>
        </is>
      </c>
      <c r="B7" s="561" t="n"/>
      <c r="C7" s="561" t="n"/>
      <c r="D7" s="561" t="n"/>
      <c r="E7" s="561" t="n"/>
      <c r="F7" s="561" t="n"/>
      <c r="G7" s="561" t="n"/>
      <c r="H7" s="561" t="n"/>
      <c r="I7" s="561" t="n"/>
      <c r="J7" s="561" t="n"/>
      <c r="K7" s="562" t="n"/>
    </row>
    <row r="8" ht="14.25" customHeight="1" s="557">
      <c r="A8" s="1173" t="inlineStr">
        <is>
          <t>Item</t>
        </is>
      </c>
      <c r="B8" s="1173" t="inlineStr">
        <is>
          <t>Description</t>
        </is>
      </c>
      <c r="C8" s="561" t="n"/>
      <c r="D8" s="561" t="n"/>
      <c r="E8" s="562" t="n"/>
      <c r="F8" s="1173" t="inlineStr">
        <is>
          <t>Serial Number</t>
        </is>
      </c>
      <c r="G8" s="562" t="n"/>
      <c r="H8" s="1173" t="inlineStr">
        <is>
          <t>Status</t>
        </is>
      </c>
      <c r="I8" s="561" t="n"/>
      <c r="J8" s="562" t="n"/>
      <c r="K8" s="1173" t="inlineStr">
        <is>
          <t>Quantity</t>
        </is>
      </c>
    </row>
    <row r="9" ht="14.25" customHeight="1" s="557">
      <c r="A9" s="1180" t="inlineStr">
        <is>
          <t>RENTAL ITEMS</t>
        </is>
      </c>
      <c r="B9" s="561" t="n"/>
      <c r="C9" s="561" t="n"/>
      <c r="D9" s="561" t="n"/>
      <c r="E9" s="562" t="n"/>
      <c r="F9" s="1180" t="n"/>
      <c r="G9" s="561" t="n"/>
      <c r="H9" s="561" t="n"/>
      <c r="I9" s="561" t="n"/>
      <c r="J9" s="561" t="n"/>
      <c r="K9" s="562" t="n"/>
    </row>
    <row r="10" ht="21" customHeight="1" s="557">
      <c r="A10" s="1181">
        <f>MS2!A11</f>
        <v/>
      </c>
      <c r="B10" s="1182" t="inlineStr">
        <is>
          <t>BASKET, CARGO LARGE 43FT X 4FT</t>
        </is>
      </c>
      <c r="C10" s="1175" t="n"/>
      <c r="D10" s="1175" t="n"/>
      <c r="E10" s="1176" t="n"/>
      <c r="F10" s="1183" t="inlineStr">
        <is>
          <t>3270114/CON-TAC21-01</t>
        </is>
      </c>
      <c r="G10" s="1176" t="n"/>
      <c r="H10" s="1183" t="n"/>
      <c r="I10" s="1175" t="n"/>
      <c r="J10" s="1176" t="n"/>
      <c r="K10" s="1183" t="inlineStr">
        <is>
          <t>1EA</t>
        </is>
      </c>
    </row>
    <row r="11" ht="21" customHeight="1" s="557">
      <c r="A11" s="1184">
        <f>MS2!A12</f>
        <v/>
      </c>
      <c r="B11" s="1182" t="inlineStr">
        <is>
          <t>BASKET, EQUIPMENT OFFSHORE</t>
        </is>
      </c>
      <c r="C11" s="1175" t="n"/>
      <c r="D11" s="1175" t="n"/>
      <c r="E11" s="1176" t="n"/>
      <c r="F11" s="1185" t="inlineStr">
        <is>
          <t>237531/CON-TAC40-011</t>
        </is>
      </c>
      <c r="G11" s="1186" t="n"/>
      <c r="H11" s="1185" t="n"/>
      <c r="I11" s="1187" t="n"/>
      <c r="J11" s="1186" t="n"/>
      <c r="K11" s="1185" t="inlineStr">
        <is>
          <t>1EA</t>
        </is>
      </c>
    </row>
    <row r="12" ht="21" customHeight="1" s="557">
      <c r="A12" s="1183">
        <f>MS2!A13</f>
        <v/>
      </c>
      <c r="B12" s="1182" t="inlineStr">
        <is>
          <t>CONTAINER, WORKSHOP 10 FT X 8</t>
        </is>
      </c>
      <c r="C12" s="1175" t="n"/>
      <c r="D12" s="1175" t="n"/>
      <c r="E12" s="1176" t="n"/>
      <c r="F12" s="1183" t="inlineStr">
        <is>
          <t>1230111/RZ062-001</t>
        </is>
      </c>
      <c r="G12" s="1176" t="n"/>
      <c r="H12" s="1183" t="n"/>
      <c r="I12" s="1175" t="n"/>
      <c r="J12" s="1176" t="n"/>
      <c r="K12" s="1183" t="inlineStr">
        <is>
          <t>1EA</t>
        </is>
      </c>
    </row>
    <row r="13" ht="21" customHeight="1" s="557">
      <c r="A13" s="1188">
        <f>MS2!A14</f>
        <v/>
      </c>
      <c r="B13" s="1189" t="inlineStr">
        <is>
          <t>SPOOLER UNIT, PNEUMATIC</t>
        </is>
      </c>
      <c r="C13" s="1175" t="n"/>
      <c r="D13" s="1175" t="n"/>
      <c r="E13" s="1176" t="n"/>
      <c r="F13" s="1188" t="inlineStr">
        <is>
          <t>1393195/RZ059-006</t>
        </is>
      </c>
      <c r="G13" s="1176" t="n"/>
      <c r="H13" s="1188" t="n"/>
      <c r="I13" s="1175" t="n"/>
      <c r="J13" s="1176" t="n"/>
      <c r="K13" s="1188" t="inlineStr">
        <is>
          <t>1EA</t>
        </is>
      </c>
      <c r="O13" s="1190" t="n"/>
    </row>
    <row r="14" ht="21" customHeight="1" s="557">
      <c r="A14" s="1188">
        <f>MS2!A15</f>
        <v/>
      </c>
      <c r="B14" s="1191" t="inlineStr">
        <is>
          <t>BASKET, EQUIPMENT OFFSHORE</t>
        </is>
      </c>
      <c r="C14" s="1175" t="n"/>
      <c r="D14" s="1175" t="n"/>
      <c r="E14" s="1176" t="n"/>
      <c r="F14" s="1188" t="inlineStr">
        <is>
          <t>237531/CON-TAC45-017</t>
        </is>
      </c>
      <c r="G14" s="1176" t="n"/>
      <c r="H14" s="1188" t="n"/>
      <c r="I14" s="1175" t="n"/>
      <c r="J14" s="1176" t="n"/>
      <c r="K14" s="1188" t="inlineStr">
        <is>
          <t>1EA</t>
        </is>
      </c>
    </row>
    <row r="15" ht="21" customHeight="1" s="557">
      <c r="A15" s="1188">
        <f>A14+1</f>
        <v/>
      </c>
      <c r="B15" s="1192" t="inlineStr">
        <is>
          <t>WHEEL, SHEAVE 12 FT</t>
        </is>
      </c>
      <c r="C15" s="1175" t="n"/>
      <c r="D15" s="1175" t="n"/>
      <c r="E15" s="1176" t="n"/>
      <c r="F15" s="1188" t="inlineStr">
        <is>
          <t>506655/WEA-SW-6003</t>
        </is>
      </c>
      <c r="G15" s="1176" t="n"/>
      <c r="H15" s="1188" t="n"/>
      <c r="I15" s="1175" t="n"/>
      <c r="J15" s="1176" t="n"/>
      <c r="K15" s="1188" t="inlineStr">
        <is>
          <t>1EA</t>
        </is>
      </c>
    </row>
    <row r="16" ht="21" customHeight="1" s="557">
      <c r="A16" s="1193" t="n"/>
      <c r="B16" s="1192" t="n"/>
      <c r="C16" s="1175" t="n"/>
      <c r="D16" s="1175" t="n"/>
      <c r="E16" s="1176" t="n"/>
      <c r="F16" s="1188" t="n"/>
      <c r="G16" s="1176" t="n"/>
      <c r="H16" s="1188" t="n"/>
      <c r="I16" s="1175" t="n"/>
      <c r="J16" s="1176" t="n"/>
      <c r="K16" s="1188" t="n"/>
    </row>
    <row r="17" ht="21" customHeight="1" s="557">
      <c r="A17" s="1193" t="n"/>
      <c r="B17" s="1191" t="n"/>
      <c r="C17" s="1175" t="n"/>
      <c r="D17" s="1175" t="n"/>
      <c r="E17" s="1176" t="n"/>
      <c r="F17" s="1188" t="n"/>
      <c r="G17" s="1176" t="n"/>
      <c r="H17" s="1188" t="n"/>
      <c r="I17" s="1175" t="n"/>
      <c r="J17" s="1176" t="n"/>
      <c r="K17" s="1188" t="n"/>
    </row>
    <row r="18" ht="21" customHeight="1" s="557">
      <c r="A18" s="1193" t="n"/>
      <c r="B18" s="1191" t="n"/>
      <c r="C18" s="1175" t="n"/>
      <c r="D18" s="1175" t="n"/>
      <c r="E18" s="1176" t="n"/>
      <c r="F18" s="1188" t="n"/>
      <c r="G18" s="1176" t="n"/>
      <c r="H18" s="1188" t="n"/>
      <c r="I18" s="1175" t="n"/>
      <c r="J18" s="1176" t="n"/>
      <c r="K18" s="1188" t="n"/>
    </row>
    <row r="19" ht="14.25" customHeight="1" s="557">
      <c r="A19" s="1194" t="inlineStr">
        <is>
          <t>REMARKS:</t>
        </is>
      </c>
      <c r="B19" s="1175" t="n"/>
      <c r="C19" s="1175" t="n"/>
      <c r="D19" s="1175" t="n"/>
      <c r="E19" s="1175" t="n"/>
      <c r="F19" s="1175" t="n"/>
      <c r="G19" s="1175" t="n"/>
      <c r="H19" s="1175" t="n"/>
      <c r="I19" s="1175" t="n"/>
      <c r="J19" s="1175" t="n"/>
      <c r="K19" s="1176" t="n"/>
    </row>
    <row r="20" ht="14.25" customHeight="1" s="557">
      <c r="A20" s="1195" t="n"/>
      <c r="B20" s="1175" t="n"/>
      <c r="C20" s="1175" t="n"/>
      <c r="D20" s="1175" t="n"/>
      <c r="E20" s="1175" t="n"/>
      <c r="F20" s="1175" t="n"/>
      <c r="G20" s="1175" t="n"/>
      <c r="H20" s="1175" t="n"/>
      <c r="I20" s="1175" t="n"/>
      <c r="J20" s="1175" t="n"/>
      <c r="K20" s="1176" t="n"/>
    </row>
    <row r="21" ht="14.25" customHeight="1" s="557">
      <c r="A21" s="1195" t="n"/>
      <c r="B21" s="1175" t="n"/>
      <c r="C21" s="1175" t="n"/>
      <c r="D21" s="1175" t="n"/>
      <c r="E21" s="1175" t="n"/>
      <c r="F21" s="1175" t="n"/>
      <c r="G21" s="1175" t="n"/>
      <c r="H21" s="1175" t="n"/>
      <c r="I21" s="1175" t="n"/>
      <c r="J21" s="1175" t="n"/>
      <c r="K21" s="1176" t="n"/>
    </row>
    <row r="22" ht="14.25" customHeight="1" s="557">
      <c r="A22" s="1196" t="n"/>
      <c r="B22" s="1175" t="n"/>
      <c r="C22" s="1175" t="n"/>
      <c r="D22" s="1175" t="n"/>
      <c r="E22" s="1175" t="n"/>
      <c r="F22" s="1175" t="n"/>
      <c r="G22" s="1175" t="n"/>
      <c r="H22" s="1175" t="n"/>
      <c r="I22" s="1175" t="n"/>
      <c r="J22" s="1175" t="n"/>
      <c r="K22" s="1176" t="n"/>
    </row>
    <row r="23" ht="14.9" customHeight="1" s="557">
      <c r="A23" s="1197" t="inlineStr">
        <is>
          <t>WFT Engineer:</t>
        </is>
      </c>
      <c r="B23" s="561" t="n"/>
      <c r="C23" s="562" t="n"/>
      <c r="D23" s="1198">
        <f>'Master Data'!B21</f>
        <v/>
      </c>
      <c r="E23" s="561" t="n"/>
      <c r="F23" s="561" t="n"/>
      <c r="G23" s="562" t="n"/>
      <c r="H23" s="1199" t="inlineStr">
        <is>
          <t>Date :</t>
        </is>
      </c>
      <c r="I23" s="1200">
        <f>'Master Data'!E24</f>
        <v/>
      </c>
      <c r="J23" s="1175" t="n"/>
      <c r="K23" s="1176" t="n"/>
    </row>
    <row r="24" ht="14.9" customHeight="1" s="557">
      <c r="A24" s="1197" t="inlineStr">
        <is>
          <t>Company Representative:</t>
        </is>
      </c>
      <c r="B24" s="561" t="n"/>
      <c r="C24" s="562" t="n"/>
      <c r="D24" s="1198" t="n"/>
      <c r="E24" s="561" t="n"/>
      <c r="F24" s="561" t="n"/>
      <c r="G24" s="562" t="n"/>
      <c r="H24" s="1199" t="inlineStr">
        <is>
          <t>Date :</t>
        </is>
      </c>
      <c r="I24" s="1200">
        <f>'Master Data'!E24</f>
        <v/>
      </c>
      <c r="J24" s="1175" t="n"/>
      <c r="K24" s="1176" t="n"/>
    </row>
    <row r="25" ht="14.9" customHeight="1" s="557">
      <c r="A25" s="1197" t="inlineStr">
        <is>
          <t>Delivery Method:</t>
        </is>
      </c>
      <c r="B25" s="561" t="n"/>
      <c r="C25" s="562" t="n"/>
      <c r="D25" s="1198" t="n"/>
      <c r="E25" s="561" t="n"/>
      <c r="F25" s="561" t="n"/>
      <c r="G25" s="562" t="n"/>
      <c r="H25" s="1199" t="inlineStr">
        <is>
          <t>Date :</t>
        </is>
      </c>
      <c r="I25" s="1201" t="n"/>
      <c r="J25" s="561" t="n"/>
      <c r="K25" s="562" t="n"/>
    </row>
    <row r="26" ht="14.9" customHeight="1" s="557">
      <c r="A26" s="1202" t="n"/>
      <c r="B26" s="561" t="n"/>
      <c r="C26" s="562" t="n"/>
      <c r="D26" s="1198" t="n"/>
      <c r="E26" s="561" t="n"/>
      <c r="F26" s="561" t="n"/>
      <c r="G26" s="562" t="n"/>
      <c r="H26" s="1199" t="inlineStr">
        <is>
          <t>Date :</t>
        </is>
      </c>
      <c r="I26" s="1201" t="n"/>
      <c r="J26" s="561" t="n"/>
      <c r="K26" s="562" t="n"/>
    </row>
    <row r="27" ht="12" customHeight="1" s="557">
      <c r="A27" s="1203" t="n"/>
    </row>
    <row r="28" ht="14.25" customHeight="1" s="557">
      <c r="A28" s="1204" t="inlineStr">
        <is>
          <t>© ©2015 WEATHERFORD ALL RIGHTS RESERVED PROPRIETARY AND CONFIDENTIAL.</t>
        </is>
      </c>
    </row>
    <row r="29" ht="42.75" customHeight="1" s="557">
      <c r="A29" s="1205"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9">
    <mergeCell ref="A25:C25"/>
    <mergeCell ref="F11:G11"/>
    <mergeCell ref="F10:G10"/>
    <mergeCell ref="F16:G16"/>
    <mergeCell ref="D25:G25"/>
    <mergeCell ref="J1:K1"/>
    <mergeCell ref="B15:E15"/>
    <mergeCell ref="D24:G24"/>
    <mergeCell ref="A1:B1"/>
    <mergeCell ref="H17:J17"/>
    <mergeCell ref="H11:J11"/>
    <mergeCell ref="A6:B6"/>
    <mergeCell ref="A26:C26"/>
    <mergeCell ref="H5:K5"/>
    <mergeCell ref="H16:J16"/>
    <mergeCell ref="D23:G23"/>
    <mergeCell ref="F12:G12"/>
    <mergeCell ref="I24:K24"/>
    <mergeCell ref="D26:G26"/>
    <mergeCell ref="F15:G15"/>
    <mergeCell ref="A23:C23"/>
    <mergeCell ref="A7:K7"/>
    <mergeCell ref="H13:J13"/>
    <mergeCell ref="I23:K23"/>
    <mergeCell ref="B16:E16"/>
    <mergeCell ref="F18:G18"/>
    <mergeCell ref="F9:K9"/>
    <mergeCell ref="H12:J12"/>
    <mergeCell ref="A3:B3"/>
    <mergeCell ref="F17:G17"/>
    <mergeCell ref="A27:K27"/>
    <mergeCell ref="F8:G8"/>
    <mergeCell ref="H15:J15"/>
    <mergeCell ref="B18:E18"/>
    <mergeCell ref="A2:B2"/>
    <mergeCell ref="H2:I2"/>
    <mergeCell ref="C2:D2"/>
    <mergeCell ref="H18:J18"/>
    <mergeCell ref="H14:J14"/>
    <mergeCell ref="E2:F2"/>
    <mergeCell ref="B12:E12"/>
    <mergeCell ref="A21:K21"/>
    <mergeCell ref="A5:B5"/>
    <mergeCell ref="H8:J8"/>
    <mergeCell ref="H6:K6"/>
    <mergeCell ref="B11:E11"/>
    <mergeCell ref="F13:G13"/>
    <mergeCell ref="A24:C24"/>
    <mergeCell ref="C6:E6"/>
    <mergeCell ref="H3:I3"/>
    <mergeCell ref="D1:I1"/>
    <mergeCell ref="B14:E14"/>
    <mergeCell ref="B17:E17"/>
    <mergeCell ref="A22:K22"/>
    <mergeCell ref="H10:J10"/>
    <mergeCell ref="B8:E8"/>
    <mergeCell ref="C5:E5"/>
    <mergeCell ref="A20:K20"/>
    <mergeCell ref="B13:E13"/>
    <mergeCell ref="A29:K29"/>
    <mergeCell ref="A19:K19"/>
    <mergeCell ref="I26:K26"/>
    <mergeCell ref="F14:G14"/>
    <mergeCell ref="A28:K28"/>
    <mergeCell ref="B10:E10"/>
    <mergeCell ref="C3:D3"/>
    <mergeCell ref="A9:E9"/>
    <mergeCell ref="E3:F3"/>
    <mergeCell ref="I25:K25"/>
  </mergeCells>
  <printOptions horizontalCentered="0" verticalCentered="0" headings="0" gridLines="0" gridLinesSet="1"/>
  <pageMargins left="0.25" right="0.25" top="0.444444444444444" bottom="0.75" header="0.3"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2026-08-05T16:29:29Z</dcterms:modified>
  <cp:revision>1</cp:revision>
  <cp:lastPrinted>2026-06-18T07:20:43Z</cp:lastPrinted>
</cp:coreProperties>
</file>