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drawings/drawing9.xml" ContentType="application/vnd.openxmlformats-officedocument.drawing+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externalLinks/externalLink195.xml" ContentType="application/vnd.openxmlformats-officedocument.spreadsheetml.externalLink+xml"/>
  <Override PartName="/xl/externalLinks/externalLink196.xml" ContentType="application/vnd.openxmlformats-officedocument.spreadsheetml.externalLink+xml"/>
  <Override PartName="/xl/externalLinks/externalLink197.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TALLY." sheetId="10" state="visible" r:id="rId10"/>
    <sheet name="JOB ORDER " sheetId="11" state="visible" r:id="rId11"/>
    <sheet name="Tally" sheetId="12" state="visible" r:id="rId12"/>
    <sheet name="Drawing" sheetId="13" state="visible" r:id="rId13"/>
    <sheet name="DATA" sheetId="14" state="visible" r:id="rId14"/>
    <sheet name="DATA 1" sheetId="15" state="visible" r:id="rId15"/>
    <sheet name="DHWS" sheetId="16" state="visible"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 r:id="rId211"/>
    <externalReference r:id="rId212"/>
    <externalReference r:id="rId213"/>
  </externalReferences>
  <definedNames>
    <definedName name="a" hidden="0" function="0" vbProcedure="0">#ref!</definedName>
    <definedName name="aa" hidden="0" function="0" vbProcedure="0">!#ref!</definedName>
    <definedName name="aa.macro111" hidden="0" function="0" vbProcedure="0">[51]!Prev.Macro111</definedName>
    <definedName name="AAA" hidden="0" function="0" vbProcedure="0">#ref!</definedName>
    <definedName name="aaaa" hidden="0" function="0" vbProcedure="0">[52]!Macro59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[58]!ADDSTAB</definedName>
    <definedName name="AddWeight" hidden="0" function="0" vbProcedure="0">#ref!</definedName>
    <definedName name="ade" hidden="0" function="0" vbProcedure="0">#ref!</definedName>
    <definedName name="adf" hidden="0" function="0" vbProcedure="0">[59]!Macro60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[63]auf_screen!#ref!</definedName>
    <definedName name="Altered_by" hidden="0" function="0" vbProcedure="0">[63]auf_screen!#ref!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'[7]#ref'!#ref!</definedName>
    <definedName name="Ambient_temp_10" hidden="0" function="0" vbProcedure="0">'[7]#ref'!#ref!</definedName>
    <definedName name="Ambient_temp_11" hidden="0" function="0" vbProcedure="0">'[7]#ref'!#ref!</definedName>
    <definedName name="Ambient_temp_2" hidden="0" function="0" vbProcedure="0">'[7]#ref'!#ref!</definedName>
    <definedName name="Ambient_temp_3" hidden="0" function="0" vbProcedure="0">'[7]#ref'!#ref!</definedName>
    <definedName name="Ambient_temp_4" hidden="0" function="0" vbProcedure="0">'[7]#ref'!#ref!</definedName>
    <definedName name="Ambient_temp_5" hidden="0" function="0" vbProcedure="0">'[7]#ref'!#ref!</definedName>
    <definedName name="Ambient_temp_6" hidden="0" function="0" vbProcedure="0">'[7]#ref'!#ref!</definedName>
    <definedName name="Ambient_temp_7" hidden="0" function="0" vbProcedure="0">'[7]#ref'!#ref!</definedName>
    <definedName name="Ambient_temp_8" hidden="0" function="0" vbProcedure="0">'[7]#ref'!#ref!</definedName>
    <definedName name="Ambient_temp_9" hidden="0" function="0" vbProcedure="0">'[7]#ref'!#ref!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[20]sheet1!#ref!</definedName>
    <definedName name="Anchor" hidden="0" function="0" vbProcedure="0">[6]Sheet1!$D$1:$D$7</definedName>
    <definedName name="Anchor_Cell" hidden="0" function="0" vbProcedure="0">[63]auf_screen!#ref!</definedName>
    <definedName name="Anchor_Type" hidden="0" function="0" vbProcedure="0">'[7]Drop-Down Items'!$C$4:$C$20</definedName>
    <definedName name="ANDERGAUGE" hidden="0" function="0" vbProcedure="0">[58]!ANDERGAUGE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[74]!Calculate_Pipe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[75]!JointNumber</definedName>
    <definedName name="assadasdasdas" hidden="0" function="0" vbProcedure="0">#ref!</definedName>
    <definedName name="Assembly1" hidden="0" function="0" vbProcedure="0">[75]!Calculate_Pipe</definedName>
    <definedName name="Assy" hidden="0" function="0" vbProcedure="0">#ref!</definedName>
    <definedName name="assy.3" hidden="0" function="0" vbProcedure="0">[76]!Calculate_Pipe</definedName>
    <definedName name="assy.4" hidden="0" function="0" vbProcedure="0">#N/A</definedName>
    <definedName name="ASSY.6" hidden="0" function="0" vbProcedure="0">[75]!Calculate_Pipe</definedName>
    <definedName name="ASSY2312" hidden="0" function="0" vbProcedure="0">[18]!Macro1</definedName>
    <definedName name="ASSY7" hidden="0" function="0" vbProcedure="0">[43]!Calculate_Pipe</definedName>
    <definedName name="ASSYBY" hidden="0" function="0" vbProcedure="0">#ref!</definedName>
    <definedName name="ASSY_098" hidden="0" function="0" vbProcedure="0">[75]!JointNumber</definedName>
    <definedName name="ASSY_122" hidden="0" function="0" vbProcedure="0">[18]!Macro1</definedName>
    <definedName name="ASSY_123" hidden="0" function="0" vbProcedure="0">[75]!JointNumber</definedName>
    <definedName name="ASSY_2111" hidden="0" function="0" vbProcedure="0">[18]!Macro1</definedName>
    <definedName name="ASSY_231" hidden="0" function="0" vbProcedure="0">[18]!Macro1</definedName>
    <definedName name="ASSY_342" hidden="0" function="0" vbProcedure="0">[18]!Macro1</definedName>
    <definedName name="ASSY_36" hidden="0" function="0" vbProcedure="0">[18]!Macro1</definedName>
    <definedName name="ASSY_4" hidden="0" function="0" vbProcedure="0">[18]!Macro1</definedName>
    <definedName name="ASSY_432" hidden="0" function="0" vbProcedure="0">[18]!Macro1</definedName>
    <definedName name="assy_5" hidden="0" function="0" vbProcedure="0">[75]!JointNumber</definedName>
    <definedName name="assy_543" hidden="0" function="0" vbProcedure="0">[75]!JointNumber</definedName>
    <definedName name="Assy_765" hidden="0" function="0" vbProcedure="0">[75]!Calculate_Pipe</definedName>
    <definedName name="Assy_Batch" hidden="0" function="0" vbProcedure="0">#ref!</definedName>
    <definedName name="ASSy_blast" hidden="0" function="0" vbProcedure="0">[75]!Calculate_Pipe</definedName>
    <definedName name="ASSY_W2" hidden="0" function="0" vbProcedure="0">[75]!Calculate_Pipe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[77]!AutoCAD</definedName>
    <definedName name="AutoCAD_10" hidden="0" function="0" vbProcedure="0">[77]!AutoCAD</definedName>
    <definedName name="AutoCAD_11" hidden="0" function="0" vbProcedure="0">[77]!AutoCAD</definedName>
    <definedName name="AutoCAD_2" hidden="0" function="0" vbProcedure="0">[77]!AutoCAD</definedName>
    <definedName name="AutoCAD_3" hidden="0" function="0" vbProcedure="0">[77]!AutoCAD</definedName>
    <definedName name="AutoCAD_4" hidden="0" function="0" vbProcedure="0">[77]!AutoCAD</definedName>
    <definedName name="AutoCAD_5" hidden="0" function="0" vbProcedure="0">[77]!AutoCAD</definedName>
    <definedName name="AutoCAD_6" hidden="0" function="0" vbProcedure="0">[77]!AutoCAD</definedName>
    <definedName name="AutoCAD_7" hidden="0" function="0" vbProcedure="0">[77]!AutoCAD</definedName>
    <definedName name="AutoCAD_8" hidden="0" function="0" vbProcedure="0">[77]!AutoCAD</definedName>
    <definedName name="AutoCAD_9" hidden="0" function="0" vbProcedure="0">[77]!AutoCAD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[20]sheet1!#ref!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[82]!Macro61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'[87]run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'[91]k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[93]tbgtally!#ref!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'[97]well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'[61]7-30-04'!#ref!</definedName>
    <definedName name="B_VALUE" hidden="0" function="0" vbProcedure="0">'[61]7-30-04'!#ref!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[75]!Calculate_Pipe</definedName>
    <definedName name="Calculate_Pipe" hidden="0" function="0" vbProcedure="0">#N/A</definedName>
    <definedName name="Cancel" hidden="0" function="0" vbProcedure="0">[100]!Cancel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'[7]#ref'!#ref!</definedName>
    <definedName name="CAS_BLNK_VOL_10" hidden="0" function="0" vbProcedure="0">'[7]#ref'!#ref!</definedName>
    <definedName name="CAS_BLNK_VOL_11" hidden="0" function="0" vbProcedure="0">'[7]#ref'!#ref!</definedName>
    <definedName name="CAS_BLNK_VOL_2" hidden="0" function="0" vbProcedure="0">'[7]#ref'!#ref!</definedName>
    <definedName name="CAS_BLNK_VOL_3" hidden="0" function="0" vbProcedure="0">'[7]#ref'!#ref!</definedName>
    <definedName name="CAS_BLNK_VOL_4" hidden="0" function="0" vbProcedure="0">'[7]#ref'!#ref!</definedName>
    <definedName name="CAS_BLNK_VOL_5" hidden="0" function="0" vbProcedure="0">'[7]#ref'!#ref!</definedName>
    <definedName name="CAS_BLNK_VOL_6" hidden="0" function="0" vbProcedure="0">'[7]#ref'!#ref!</definedName>
    <definedName name="CAS_BLNK_VOL_7" hidden="0" function="0" vbProcedure="0">'[7]#ref'!#ref!</definedName>
    <definedName name="CAS_BLNK_VOL_8" hidden="0" function="0" vbProcedure="0">'[7]#ref'!#ref!</definedName>
    <definedName name="CAS_BLNK_VOL_9" hidden="0" function="0" vbProcedure="0">'[7]#ref'!#ref!</definedName>
    <definedName name="CAS_EXT_VOL" hidden="0" function="0" vbProcedure="0">#ref!</definedName>
    <definedName name="CAS_EXT_VOL_1" hidden="0" function="0" vbProcedure="0">'[7]#ref'!#ref!</definedName>
    <definedName name="CAS_EXT_VOL_10" hidden="0" function="0" vbProcedure="0">'[7]#ref'!#ref!</definedName>
    <definedName name="CAS_EXT_VOL_11" hidden="0" function="0" vbProcedure="0">'[7]#ref'!#ref!</definedName>
    <definedName name="CAS_EXT_VOL_2" hidden="0" function="0" vbProcedure="0">'[7]#ref'!#ref!</definedName>
    <definedName name="CAS_EXT_VOL_3" hidden="0" function="0" vbProcedure="0">'[7]#ref'!#ref!</definedName>
    <definedName name="CAS_EXT_VOL_4" hidden="0" function="0" vbProcedure="0">'[7]#ref'!#ref!</definedName>
    <definedName name="CAS_EXT_VOL_5" hidden="0" function="0" vbProcedure="0">'[7]#ref'!#ref!</definedName>
    <definedName name="CAS_EXT_VOL_6" hidden="0" function="0" vbProcedure="0">'[7]#ref'!#ref!</definedName>
    <definedName name="CAS_EXT_VOL_7" hidden="0" function="0" vbProcedure="0">'[7]#ref'!#ref!</definedName>
    <definedName name="CAS_EXT_VOL_8" hidden="0" function="0" vbProcedure="0">'[7]#ref'!#ref!</definedName>
    <definedName name="CAS_EXT_VOL_9" hidden="0" function="0" vbProcedure="0">'[7]#ref'!#ref!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'[7]#ref'!#ref!</definedName>
    <definedName name="CAS_SCR_VOL_10" hidden="0" function="0" vbProcedure="0">'[7]#ref'!#ref!</definedName>
    <definedName name="CAS_SCR_VOL_11" hidden="0" function="0" vbProcedure="0">'[7]#ref'!#ref!</definedName>
    <definedName name="CAS_SCR_VOL_2" hidden="0" function="0" vbProcedure="0">'[7]#ref'!#ref!</definedName>
    <definedName name="CAS_SCR_VOL_3" hidden="0" function="0" vbProcedure="0">'[7]#ref'!#ref!</definedName>
    <definedName name="CAS_SCR_VOL_4" hidden="0" function="0" vbProcedure="0">'[7]#ref'!#ref!</definedName>
    <definedName name="CAS_SCR_VOL_5" hidden="0" function="0" vbProcedure="0">'[7]#ref'!#ref!</definedName>
    <definedName name="CAS_SCR_VOL_6" hidden="0" function="0" vbProcedure="0">'[7]#ref'!#ref!</definedName>
    <definedName name="CAS_SCR_VOL_7" hidden="0" function="0" vbProcedure="0">'[7]#ref'!#ref!</definedName>
    <definedName name="CAS_SCR_VOL_8" hidden="0" function="0" vbProcedure="0">'[7]#ref'!#ref!</definedName>
    <definedName name="CAS_SCR_VOL_9" hidden="0" function="0" vbProcedure="0">'[7]#ref'!#ref!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[82]!Macro59</definedName>
    <definedName name="cccccccccccc" hidden="1" function="0" vbProcedure="0">#ref!</definedName>
    <definedName name="cdr" hidden="0" function="0" vbProcedure="0">'[97]well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[118]!Calculate_Pipe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[58]!CLAMPON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[120]!CLEARCONTENTS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[120]!Clrmess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[29]!coections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[63]auf_screen!#ref!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[29]!conections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[63]auf_screen!#ref!,[63]auf_screen!#ref!,[63]auf_screen!#ref!,[63]auf_screen!#ref!,[63]auf_screen!#ref!,[63]auf_screen!#ref!,[63]auf_screen!#ref!,[63]auf_screen!#ref!,[63]auf_screen!#ref!</definedName>
    <definedName name="Consolisdation" hidden="0" function="0" vbProcedure="0">[63]auf_screen!#ref!,[63]auf_screen!#ref!,[63]auf_screen!#ref!,[63]auf_screen!#ref!,[63]auf_screen!#ref!,[63]auf_screen!#ref!,[63]auf_screen!#ref!,[63]auf_screen!#ref!,[63]auf_screen!#ref!,[63]auf_screen!#ref!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[58]!COPYDESGN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[63]auf_screen!#ref!</definedName>
    <definedName name="CreateDate" hidden="0" function="0" vbProcedure="0">#ref!</definedName>
    <definedName name="CreatedBy" hidden="0" function="0" vbProcedure="0">#ref!</definedName>
    <definedName name="Created_By" hidden="0" function="0" vbProcedure="0">[63]auf_screen!#ref!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[145]tonmiles!#ref!</definedName>
    <definedName name="DAADA" hidden="0" function="0" vbProcedure="0">[118]!Calculate_Pipe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'[32]calculo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[63]auf_screen!#ref!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'[150]blank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[151]!JointNumber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'[154]run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'[61]7-30-04'!#ref!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[151]!JointNumber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'[2]run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[18]!Macro1</definedName>
    <definedName name="DRILLER2" hidden="0" function="0" vbProcedure="0">[162]!Calculate_Pipe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'[7]#ref'!#ref!</definedName>
    <definedName name="DTS_1" hidden="0" function="0" vbProcedure="0">'[7]#ref'!#ref!</definedName>
    <definedName name="DTS_10" hidden="0" function="0" vbProcedure="0">'[7]#ref'!#ref!</definedName>
    <definedName name="DTS_11" hidden="0" function="0" vbProcedure="0">'[7]#ref'!#ref!</definedName>
    <definedName name="DTS_2" hidden="0" function="0" vbProcedure="0">'[7]#ref'!#ref!</definedName>
    <definedName name="DTS_3" hidden="0" function="0" vbProcedure="0">'[7]#ref'!#ref!</definedName>
    <definedName name="DTS_4" hidden="0" function="0" vbProcedure="0">'[7]#ref'!#ref!</definedName>
    <definedName name="DTS_5" hidden="0" function="0" vbProcedure="0">'[7]#ref'!#ref!</definedName>
    <definedName name="DTS_6" hidden="0" function="0" vbProcedure="0">'[7]#ref'!#ref!</definedName>
    <definedName name="DTS_7" hidden="0" function="0" vbProcedure="0">'[7]#ref'!#ref!</definedName>
    <definedName name="DTS_8" hidden="0" function="0" vbProcedure="0">'[7]#ref'!#ref!</definedName>
    <definedName name="DTS_9" hidden="0" function="0" vbProcedure="0">'[7]#ref'!#ref!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[93]tbgtally!#ref!</definedName>
    <definedName name="ECTPROJ" hidden="0" function="0" vbProcedure="0">#ref!</definedName>
    <definedName name="ED" hidden="0" function="0" vbProcedure="0">[75]!Calculate_Pipe</definedName>
    <definedName name="edd" hidden="0" function="0" vbProcedure="0">[167]!Calculate_Pipe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'[30]calculo de gas total'!#ref!</definedName>
    <definedName name="emplnum" hidden="0" function="0" vbProcedure="0">'[40]Job Summ.'!$A$6</definedName>
    <definedName name="Empty" hidden="0" function="0" vbProcedure="0">[63]auf_screen!#ref!</definedName>
    <definedName name="EmptyRow" hidden="0" function="0" vbProcedure="0">#ref!</definedName>
    <definedName name="END" hidden="0" function="0" vbProcedure="0">'[61]7-30-04'!#ref!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[128]!Table6[contracting/sourcing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[19]scope!#ref!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[63]auf_screen!#ref!</definedName>
    <definedName name="ES_Jobs" hidden="0" function="0" vbProcedure="0">[63]auf_screen!#ref!,[63]auf_screen!#ref!,[63]auf_screen!#ref!,[63]auf_screen!#ref!,[63]auf_screen!#ref!,[63]auf_screen!#ref!,[63]auf_screen!#ref!,[63]auf_screen!#ref!,[63]auf_screen!#ref!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[151]!JointNumber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'[7]#ref'!#ref!</definedName>
    <definedName name="EXT_LENGTH_10" hidden="0" function="0" vbProcedure="0">'[7]#ref'!#ref!</definedName>
    <definedName name="EXT_LENGTH_11" hidden="0" function="0" vbProcedure="0">'[7]#ref'!#ref!</definedName>
    <definedName name="EXT_LENGTH_2" hidden="0" function="0" vbProcedure="0">'[7]#ref'!#ref!</definedName>
    <definedName name="EXT_LENGTH_3" hidden="0" function="0" vbProcedure="0">'[7]#ref'!#ref!</definedName>
    <definedName name="EXT_LENGTH_4" hidden="0" function="0" vbProcedure="0">'[7]#ref'!#ref!</definedName>
    <definedName name="EXT_LENGTH_5" hidden="0" function="0" vbProcedure="0">'[7]#ref'!#ref!</definedName>
    <definedName name="EXT_LENGTH_6" hidden="0" function="0" vbProcedure="0">'[7]#ref'!#ref!</definedName>
    <definedName name="EXT_LENGTH_7" hidden="0" function="0" vbProcedure="0">'[7]#ref'!#ref!</definedName>
    <definedName name="EXT_LENGTH_8" hidden="0" function="0" vbProcedure="0">'[7]#ref'!#ref!</definedName>
    <definedName name="EXT_LENGTH_9" hidden="0" function="0" vbProcedure="0">'[7]#ref'!#ref!</definedName>
    <definedName name="F" hidden="0" function="0" vbProcedure="0">#ref!</definedName>
    <definedName name="factor" hidden="0" function="0" vbProcedure="0">#ref!</definedName>
    <definedName name="fasc" hidden="0" function="0" vbProcedure="0">#ref!</definedName>
    <definedName name="Fault_Tolerance" hidden="0" function="0" vbProcedure="0">'[176]qte bom'!#ref!</definedName>
    <definedName name="FAX" hidden="0" function="0" vbProcedure="0">#ref!</definedName>
    <definedName name="FB" hidden="0" function="0" vbProcedure="0">[177]!Calculate_Pipe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=#ref!,OFFSET([178]!ValidationList2[[#all],[main categories]],1,,COUNTA([178]!ValidationList2[main categories])),OFFSET([178]!ValidationList2[#data],0,MATCH(#ref!, [178]!ValidationList2[#headers],0)-1,COUNTA(OFFSET([178]!ValidationList2[#data],,MATCH(#ref!, [178]!ValidationList2[#headers],0)-1,,1)),1)))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[181]!Prev.Macro113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[63]auf_screen!#ref!</definedName>
    <definedName name="filtered" hidden="0" function="0" vbProcedure="0">#ref!</definedName>
    <definedName name="final" hidden="0" function="0" vbProcedure="0">[151]!JointNumber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'[61]7-30-04'!#ref!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'[61]7-30-04'!#ref!</definedName>
    <definedName name="FT_HLDG" hidden="0" function="0" vbProcedure="0">'[61]7-30-04'!#ref!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[93]tbgtally!#ref!</definedName>
    <definedName name="g" hidden="0" function="0" vbProcedure="0">#ref!</definedName>
    <definedName name="Gamal_Youssef_Salem" hidden="0" function="0" vbProcedure="0">'[186]distribution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'[97]well test sheet'!#ref!</definedName>
    <definedName name="GasTypes" hidden="0" function="0" vbProcedure="0">#ref!</definedName>
    <definedName name="gas_cumm" hidden="0" function="0" vbProcedure="0">'[97]well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'[188]1pcbud'!#ref!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[151]!JointNumber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'[188]1pcbud'!#ref!</definedName>
    <definedName name="GL" hidden="0" function="0" vbProcedure="0">#ref!</definedName>
    <definedName name="GLM" hidden="0" function="0" vbProcedure="0">[75]!Calculate_Pipe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'[97]well test sheet'!#ref!</definedName>
    <definedName name="Goto_End_Ranges" hidden="0" function="0" vbProcedure="0">[63]auf_screen!#ref!</definedName>
    <definedName name="Goto_Home_Ranges" hidden="0" function="0" vbProcedure="0">[63]auf_screen!#ref!</definedName>
    <definedName name="Goto_Ranges" hidden="0" function="0" vbProcedure="0">[63]auf_screen!#ref!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'[7]#ref'!#ref!</definedName>
    <definedName name="gptotalslurryvol_10" hidden="0" function="0" vbProcedure="0">'[7]#ref'!#ref!</definedName>
    <definedName name="gptotalslurryvol_11" hidden="0" function="0" vbProcedure="0">'[7]#ref'!#ref!</definedName>
    <definedName name="gptotalslurryvol_2" hidden="0" function="0" vbProcedure="0">'[7]#ref'!#ref!</definedName>
    <definedName name="gptotalslurryvol_3" hidden="0" function="0" vbProcedure="0">'[7]#ref'!#ref!</definedName>
    <definedName name="gptotalslurryvol_4" hidden="0" function="0" vbProcedure="0">'[7]#ref'!#ref!</definedName>
    <definedName name="gptotalslurryvol_5" hidden="0" function="0" vbProcedure="0">'[7]#ref'!#ref!</definedName>
    <definedName name="gptotalslurryvol_6" hidden="0" function="0" vbProcedure="0">'[7]#ref'!#ref!</definedName>
    <definedName name="gptotalslurryvol_7" hidden="0" function="0" vbProcedure="0">'[7]#ref'!#ref!</definedName>
    <definedName name="gptotalslurryvol_8" hidden="0" function="0" vbProcedure="0">'[7]#ref'!#ref!</definedName>
    <definedName name="gptotalslurryvol_9" hidden="0" function="0" vbProcedure="0">'[7]#ref'!#ref!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[147]summary!#ref!</definedName>
    <definedName name="Hassan" hidden="0" function="0" vbProcedure="0">[192]!Macro1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[145]tonmiles!#ref!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'[97]well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'[61]7-30-04'!#ref!</definedName>
    <definedName name="HLDG_QTY" hidden="0" function="0" vbProcedure="0">'[61]7-30-04'!#ref!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'[97]well test sheet'!#ref!</definedName>
    <definedName name="HRS" hidden="0" function="0" vbProcedure="0">'[196]amberjack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[52]!Prev.Macro106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OFFSET([198]!Inclination,2,0,COUNT(#ref!),1)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[63]auf_screen!#ref!</definedName>
    <definedName name="Information_Range" hidden="0" function="0" vbProcedure="0">[63]auf_screen!#ref!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'[5]cumulative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[77]!Insert_New_Page</definedName>
    <definedName name="Insert_New_Page_10" hidden="0" function="0" vbProcedure="0">[77]!Insert_New_Page</definedName>
    <definedName name="Insert_New_Page_11" hidden="0" function="0" vbProcedure="0">[77]!Insert_New_Page</definedName>
    <definedName name="Insert_New_Page_2" hidden="0" function="0" vbProcedure="0">[77]!Insert_New_Page</definedName>
    <definedName name="Insert_New_Page_3" hidden="0" function="0" vbProcedure="0">[77]!Insert_New_Page</definedName>
    <definedName name="Insert_New_Page_4" hidden="0" function="0" vbProcedure="0">[77]!Insert_New_Page</definedName>
    <definedName name="Insert_New_Page_5" hidden="0" function="0" vbProcedure="0">[77]!Insert_New_Page</definedName>
    <definedName name="Insert_New_Page_6" hidden="0" function="0" vbProcedure="0">[77]!Insert_New_Page</definedName>
    <definedName name="Insert_New_Page_7" hidden="0" function="0" vbProcedure="0">[77]!Insert_New_Page</definedName>
    <definedName name="Insert_New_Page_8" hidden="0" function="0" vbProcedure="0">[77]!Insert_New_Page</definedName>
    <definedName name="Insert_New_Page_9" hidden="0" function="0" vbProcedure="0">[77]!Insert_New_Page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[63]auf_screen!#ref!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[75]!JointNumber</definedName>
    <definedName name="JOINTNYMBER4" hidden="0" function="0" vbProcedure="0">[75]!JointNumber</definedName>
    <definedName name="joints" hidden="0" function="0" vbProcedure="0">#ref!</definedName>
    <definedName name="joints1" hidden="0" function="0" vbProcedure="0">#ref!</definedName>
    <definedName name="JOINT_NO." hidden="0" function="0" vbProcedure="0">[93]tbgtally!#ref!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[204]!JointNumber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[77]!Macro1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[205]events!#ref!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'[61]7-30-04'!#ref!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[210]!Calculate_Pipe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[214]!Calculate_Pipe</definedName>
    <definedName name="LSD" hidden="0" function="0" vbProcedure="0">#ref!</definedName>
    <definedName name="LStringW" hidden="0" function="0" vbProcedure="0">#ref!</definedName>
    <definedName name="LSV" hidden="0" function="0" vbProcedure="0">#ref!</definedName>
    <definedName name="LT" hidden="0" function="0" vbProcedure="0">'[61]7-30-04'!#ref!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[145]tonmiles!#ref!</definedName>
    <definedName name="m" hidden="0" function="0" vbProcedure="0">#ref!</definedName>
    <definedName name="MA" hidden="0" function="0" vbProcedure="0">[145]tonmiles!#ref!</definedName>
    <definedName name="Macro1" hidden="0" function="0" vbProcedure="0">#ref!</definedName>
    <definedName name="Macro112" hidden="0" function="0" vbProcedure="0">[59]!Macro59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[18]!Macro1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[29]!Macro46</definedName>
    <definedName name="Macro59" hidden="0" function="0" vbProcedure="0">[29]!Macro59</definedName>
    <definedName name="Macro60" hidden="0" function="0" vbProcedure="0">[29]!Macro60</definedName>
    <definedName name="Macro61" hidden="0" function="0" vbProcedure="0">[29]!Macro61</definedName>
    <definedName name="mag" hidden="0" function="0" vbProcedure="0">'[188]1pcbud'!#ref!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'[188]1pcbud'!#ref!</definedName>
    <definedName name="MARANALSCP" hidden="0" function="0" vbProcedure="0">#ref!</definedName>
    <definedName name="MARANALSSWE" hidden="0" function="0" vbProcedure="0">#ref!</definedName>
    <definedName name="MARCH_3_1995." hidden="0" function="0" vbProcedure="0">[93]tbgtally!#ref!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[145]tonmiles!#ref!</definedName>
    <definedName name="MBK" hidden="0" function="0" vbProcedure="0">[145]tonmiles!#ref!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OFFSET([198]!MDForInclination,2,0,COUNT(#ref!),1)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'[219]morning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[19]milestone!#ref!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[58]!MWD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[151]!JointNumber</definedName>
    <definedName name="myData" hidden="0" function="0" vbProcedure="0">#ref!</definedName>
    <definedName name="m_choke" hidden="0" function="0" vbProcedure="0">'[97]well test sheet'!#ref!</definedName>
    <definedName name="M_Dual" hidden="0" function="0" vbProcedure="0">#ref!</definedName>
    <definedName name="M_TONS" hidden="0" function="0" vbProcedure="0">'[61]7-30-04'!#ref!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'[7]#ref'!#ref!</definedName>
    <definedName name="NH4CL_10" hidden="0" function="0" vbProcedure="0">'[7]#ref'!#ref!</definedName>
    <definedName name="NH4CL_11" hidden="0" function="0" vbProcedure="0">'[7]#ref'!#ref!</definedName>
    <definedName name="NH4CL_2" hidden="0" function="0" vbProcedure="0">'[7]#ref'!#ref!</definedName>
    <definedName name="NH4CL_3" hidden="0" function="0" vbProcedure="0">'[7]#ref'!#ref!</definedName>
    <definedName name="NH4CL_4" hidden="0" function="0" vbProcedure="0">'[7]#ref'!#ref!</definedName>
    <definedName name="NH4CL_5" hidden="0" function="0" vbProcedure="0">'[7]#ref'!#ref!</definedName>
    <definedName name="NH4CL_6" hidden="0" function="0" vbProcedure="0">'[7]#ref'!#ref!</definedName>
    <definedName name="NH4CL_7" hidden="0" function="0" vbProcedure="0">'[7]#ref'!#ref!</definedName>
    <definedName name="NH4CL_8" hidden="0" function="0" vbProcedure="0">'[7]#ref'!#ref!</definedName>
    <definedName name="NH4CL_9" hidden="0" function="0" vbProcedure="0">'[7]#ref'!#ref!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[18]!Macro1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[227]page1!#ref!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'[61]7-30-04'!#ref!</definedName>
    <definedName name="office" hidden="0" function="0" vbProcedure="0">'[34]Call Sheet'!$AH$5</definedName>
    <definedName name="Offsets" hidden="0" function="0" vbProcedure="0">[63]auf_screen!#ref!</definedName>
    <definedName name="Offshore_Block" hidden="0" function="0" vbProcedure="0">#ref!</definedName>
    <definedName name="OFR_AMOUNT" hidden="0" function="0" vbProcedure="0">'[61]7-30-04'!#ref!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'[97]well test sheet'!#ref!</definedName>
    <definedName name="oilT" hidden="0" function="0" vbProcedure="0">[233]oilt!#ref!</definedName>
    <definedName name="oil_cumm" hidden="0" function="0" vbProcedure="0">'[97]well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'[240]lex input 1st pass'!#ref!</definedName>
    <definedName name="Orders_PYDollars" hidden="0" function="0" vbProcedure="0">'[240]lex input 1st pass'!#ref!</definedName>
    <definedName name="Orders_USD_2001" hidden="0" function="0" vbProcedure="0">'[240]lex input 1st pass'!#ref!</definedName>
    <definedName name="Orientation" hidden="0" function="0" vbProcedure="0">[63]auf_screen!#ref!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[63]auf_screen!#ref!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'[5]cumulative temp diff'!#ref!</definedName>
    <definedName name="PAGE14" hidden="0" function="0" vbProcedure="0">'[5]cumulative temp diff'!#ref!</definedName>
    <definedName name="PAGE15" hidden="0" function="0" vbProcedure="0">'[5]cumulative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[52]!Prev.Macro102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[63]auf_screen!#ref!</definedName>
    <definedName name="PgUp_Ranges" hidden="0" function="0" vbProcedure="0">[63]auf_screen!#ref!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[242]!'[module4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[43]!Calculate_Pipe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[52]!Prev.Macro110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[29]!Prev.Macro101</definedName>
    <definedName name="Prev.Macro102" hidden="0" function="0" vbProcedure="0">[29]!Prev.Macro102</definedName>
    <definedName name="Prev.Macro103" hidden="0" function="0" vbProcedure="0">[29]!Prev.Macro103</definedName>
    <definedName name="Prev.Macro104" hidden="0" function="0" vbProcedure="0">[29]!Prev.Macro104</definedName>
    <definedName name="Prev.Macro105" hidden="0" function="0" vbProcedure="0">[29]!Prev.Macro105</definedName>
    <definedName name="Prev.Macro106" hidden="0" function="0" vbProcedure="0">[29]!Prev.Macro106</definedName>
    <definedName name="Prev.Macro107" hidden="0" function="0" vbProcedure="0">[29]!Prev.Macro107</definedName>
    <definedName name="Prev.Macro108" hidden="0" function="0" vbProcedure="0">[29]!Prev.Macro108</definedName>
    <definedName name="Prev.Macro109" hidden="0" function="0" vbProcedure="0">[29]!Prev.Macro109</definedName>
    <definedName name="Prev.Macro110" hidden="0" function="0" vbProcedure="0">[29]!Prev.Macro110</definedName>
    <definedName name="Prev.Macro111" hidden="0" function="0" vbProcedure="0">[29]!Prev.Macro111</definedName>
    <definedName name="Prev.Macro112" hidden="0" function="0" vbProcedure="0">[29]!Prev.Macro112</definedName>
    <definedName name="Prev.Macro113" hidden="0" function="0" vbProcedure="0">[29]!Prev.Macro113</definedName>
    <definedName name="Prev.Macro114" hidden="0" function="0" vbProcedure="0">[29]!Prev.Macro114</definedName>
    <definedName name="Prev.Macro115" hidden="0" function="0" vbProcedure="0">[29]!Prev.Macro115</definedName>
    <definedName name="Prev.Macro116" hidden="0" function="0" vbProcedure="0">[29]!Prev.Macro116</definedName>
    <definedName name="Prev.Macro117" hidden="0" function="0" vbProcedure="0">[29]!Prev.Macro117</definedName>
    <definedName name="Prev.Macro118" hidden="0" function="0" vbProcedure="0">[29]!Prev.Macro118</definedName>
    <definedName name="Prev.Macro120" hidden="0" function="0" vbProcedure="0">[29]!Prev.Macro120</definedName>
    <definedName name="Prev.Macro121" hidden="0" function="0" vbProcedure="0">[29]!Prev.Macro121</definedName>
    <definedName name="Prev.Macro122" hidden="0" function="0" vbProcedure="0">[29]!Prev.Macro122</definedName>
    <definedName name="Prev.Macro123" hidden="0" function="0" vbProcedure="0">[29]!Prev.Macro123</definedName>
    <definedName name="Prev.Macro124" hidden="0" function="0" vbProcedure="0">[29]!Prev.Macro124</definedName>
    <definedName name="Prev.Macro125" hidden="0" function="0" vbProcedure="0">[29]!Prev.Macro125</definedName>
    <definedName name="Prev.Macro126" hidden="0" function="0" vbProcedure="0">[29]!Prev.Macro126</definedName>
    <definedName name="Prev.Macro127" hidden="0" function="0" vbProcedure="0">[29]!Prev.Macro127</definedName>
    <definedName name="Prev.Macro128" hidden="0" function="0" vbProcedure="0">[29]!Prev.Macro128</definedName>
    <definedName name="Prev.Macro129" hidden="0" function="0" vbProcedure="0">[29]!Prev.Macro129</definedName>
    <definedName name="Prev.Macro130" hidden="0" function="0" vbProcedure="0">[29]!Prev.Macro130</definedName>
    <definedName name="Prev.Macro131" hidden="0" function="0" vbProcedure="0">[29]!Prev.Macro131</definedName>
    <definedName name="prev.macro131." hidden="0" function="0" vbProcedure="0">[29]!prev.macro131.</definedName>
    <definedName name="Prev.Macro132" hidden="0" function="0" vbProcedure="0">[29]!Prev.Macro132</definedName>
    <definedName name="Prev.Macro133" hidden="0" function="0" vbProcedure="0">[29]!Prev.Macro133</definedName>
    <definedName name="Prev.Macro134" hidden="0" function="0" vbProcedure="0">[29]!Prev.Macro134</definedName>
    <definedName name="Prev.Macro135" hidden="0" function="0" vbProcedure="0">[29]!Prev.Macro135</definedName>
    <definedName name="Prev.Macro136" hidden="0" function="0" vbProcedure="0">[29]!Prev.Macro136</definedName>
    <definedName name="Prev.Macro137" hidden="0" function="0" vbProcedure="0">[29]!Prev.Macro137</definedName>
    <definedName name="Prev.Macro138" hidden="0" function="0" vbProcedure="0">[29]!Prev.Macro138</definedName>
    <definedName name="Prev.Macro139" hidden="0" function="0" vbProcedure="0">[29]!Prev.Macro139</definedName>
    <definedName name="Prev.Macro140" hidden="0" function="0" vbProcedure="0">[29]!Prev.Macro140</definedName>
    <definedName name="Prev.Macro141" hidden="0" function="0" vbProcedure="0">[29]!Prev.Macro141</definedName>
    <definedName name="Prev.Macro142" hidden="0" function="0" vbProcedure="0">[29]!Prev.Macro142</definedName>
    <definedName name="Prev.Macro143" hidden="0" function="0" vbProcedure="0">[29]!Prev.Macro143</definedName>
    <definedName name="Prev.Macro144" hidden="0" function="0" vbProcedure="0">[29]!Prev.Macro144</definedName>
    <definedName name="Prev.Macro145" hidden="0" function="0" vbProcedure="0">[29]!Prev.Macro145</definedName>
    <definedName name="Prev.Macro146" hidden="0" function="0" vbProcedure="0">[29]!Prev.Macro146</definedName>
    <definedName name="Prev.Macro147" hidden="0" function="0" vbProcedure="0">[29]!Prev.Macro147</definedName>
    <definedName name="Prev.Macro149" hidden="0" function="0" vbProcedure="0">[29]!Prev.Macro149</definedName>
    <definedName name="prev.Macro150" hidden="0" function="0" vbProcedure="0">[52]!Prev.Macro122</definedName>
    <definedName name="prev.Macro200" hidden="0" function="0" vbProcedure="0">[52]!Prev.Macro128</definedName>
    <definedName name="Prev.Macro242" hidden="0" function="0" vbProcedure="0">[52]!Prev.Macro106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[147]summary!#ref!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[93]tbgtally!#ref!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[254]!Calculate_Pipe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'[256]quote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'[260]calculo de gas total'!#ref!</definedName>
    <definedName name="reading" hidden="0" function="0" vbProcedure="0">#ref!</definedName>
    <definedName name="Ready" hidden="0" function="0" vbProcedure="0">[261]master!#ref!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[120]!Recalc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'[61]7-30-04'!#ref!</definedName>
    <definedName name="REF.2" hidden="0" function="0" vbProcedure="0">'[61]7-30-04'!#ref!</definedName>
    <definedName name="REF.3" hidden="0" function="0" vbProcedure="0">'[61]7-30-04'!#ref!</definedName>
    <definedName name="REF.NO" hidden="0" function="0" vbProcedure="0">'[44]7-30-04'!$GO$7457</definedName>
    <definedName name="refr_test" hidden="0" function="0" vbProcedure="0">#ref!</definedName>
    <definedName name="REF_1" hidden="0" function="0" vbProcedure="0">'[61]7-30-04'!#ref!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'[61]7-30-04'!#ref!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[19]scope!#ref!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'[2]run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'[262]sap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[63]auf_screen!#ref!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'[265]slide sheet'!#ref!</definedName>
    <definedName name="Rpt_Average_Header2" hidden="0" function="0" vbProcedure="0">'[265]slide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'[265]slide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'[265]slide sheet'!#ref!</definedName>
    <definedName name="Rpt_Logo_Right" hidden="0" function="0" vbProcedure="0">'[265]slide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'[267]all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'[240]lex input 1st pass'!#ref!</definedName>
    <definedName name="Salesman" hidden="0" function="0" vbProcedure="0">#ref!</definedName>
    <definedName name="SalesPYDR95Aug" hidden="0" function="0" vbProcedure="0">'[240]lex input 1st pass'!#ref!</definedName>
    <definedName name="SalesPYDR95AugLira" hidden="0" function="0" vbProcedure="0">'[240]lex input 1st pass'!#ref!</definedName>
    <definedName name="SALESRECORD" hidden="0" function="0" vbProcedure="0">'[44]7-30-04'!$GO$7457</definedName>
    <definedName name="SalesTranslation" hidden="0" function="0" vbProcedure="0">'[240]lex input 1st pass'!#ref!</definedName>
    <definedName name="SalesVolumeImpact" hidden="0" function="0" vbProcedure="0">'[240]lex input 1st pass'!#ref!</definedName>
    <definedName name="sales_cell" hidden="0" function="0" vbProcedure="0">[268]data!#ref!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'[240]lex input 1st pass'!#ref!</definedName>
    <definedName name="Sales_Gun_Size" hidden="0" function="0" vbProcedure="0">#ref!</definedName>
    <definedName name="Sales_Lease" hidden="0" function="0" vbProcedure="0">#ref!</definedName>
    <definedName name="Sales_PYDollars" hidden="0" function="0" vbProcedure="0">'[240]lex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'[240]lex input 1st pass'!#ref!</definedName>
    <definedName name="Sales_Well_Name" hidden="0" function="0" vbProcedure="0">#ref!</definedName>
    <definedName name="SALE_1" hidden="0" function="0" vbProcedure="0">'[61]7-30-04'!#ref!</definedName>
    <definedName name="SALE_2" hidden="0" function="0" vbProcedure="0">'[61]7-30-04'!#ref!</definedName>
    <definedName name="sale_array" hidden="0" function="0" vbProcedure="0">#ref!</definedName>
    <definedName name="salinity" hidden="0" function="0" vbProcedure="0">'[97]well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'[7]#ref'!#ref!</definedName>
    <definedName name="SAND_IN_CAS_BLNK_10" hidden="0" function="0" vbProcedure="0">'[7]#ref'!#ref!</definedName>
    <definedName name="SAND_IN_CAS_BLNK_11" hidden="0" function="0" vbProcedure="0">'[7]#ref'!#ref!</definedName>
    <definedName name="SAND_IN_CAS_BLNK_2" hidden="0" function="0" vbProcedure="0">'[7]#ref'!#ref!</definedName>
    <definedName name="SAND_IN_CAS_BLNK_3" hidden="0" function="0" vbProcedure="0">'[7]#ref'!#ref!</definedName>
    <definedName name="SAND_IN_CAS_BLNK_4" hidden="0" function="0" vbProcedure="0">'[7]#ref'!#ref!</definedName>
    <definedName name="SAND_IN_CAS_BLNK_5" hidden="0" function="0" vbProcedure="0">'[7]#ref'!#ref!</definedName>
    <definedName name="SAND_IN_CAS_BLNK_6" hidden="0" function="0" vbProcedure="0">'[7]#ref'!#ref!</definedName>
    <definedName name="SAND_IN_CAS_BLNK_7" hidden="0" function="0" vbProcedure="0">'[7]#ref'!#ref!</definedName>
    <definedName name="SAND_IN_CAS_BLNK_8" hidden="0" function="0" vbProcedure="0">'[7]#ref'!#ref!</definedName>
    <definedName name="SAND_IN_CAS_BLNK_9" hidden="0" function="0" vbProcedure="0">'[7]#ref'!#ref!</definedName>
    <definedName name="SAND_IN_CAS_EXT" hidden="0" function="0" vbProcedure="0">#ref!</definedName>
    <definedName name="SAND_IN_CAS_EXT_1" hidden="0" function="0" vbProcedure="0">'[7]#ref'!#ref!</definedName>
    <definedName name="SAND_IN_CAS_EXT_10" hidden="0" function="0" vbProcedure="0">'[7]#ref'!#ref!</definedName>
    <definedName name="SAND_IN_CAS_EXT_11" hidden="0" function="0" vbProcedure="0">'[7]#ref'!#ref!</definedName>
    <definedName name="SAND_IN_CAS_EXT_2" hidden="0" function="0" vbProcedure="0">'[7]#ref'!#ref!</definedName>
    <definedName name="SAND_IN_CAS_EXT_3" hidden="0" function="0" vbProcedure="0">'[7]#ref'!#ref!</definedName>
    <definedName name="SAND_IN_CAS_EXT_4" hidden="0" function="0" vbProcedure="0">'[7]#ref'!#ref!</definedName>
    <definedName name="SAND_IN_CAS_EXT_5" hidden="0" function="0" vbProcedure="0">'[7]#ref'!#ref!</definedName>
    <definedName name="SAND_IN_CAS_EXT_6" hidden="0" function="0" vbProcedure="0">'[7]#ref'!#ref!</definedName>
    <definedName name="SAND_IN_CAS_EXT_7" hidden="0" function="0" vbProcedure="0">'[7]#ref'!#ref!</definedName>
    <definedName name="SAND_IN_CAS_EXT_8" hidden="0" function="0" vbProcedure="0">'[7]#ref'!#ref!</definedName>
    <definedName name="SAND_IN_CAS_EXT_9" hidden="0" function="0" vbProcedure="0">'[7]#ref'!#ref!</definedName>
    <definedName name="SAND_IN_CAS_PREPACK" hidden="0" function="0" vbProcedure="0">#ref!</definedName>
    <definedName name="SAND_IN_CAS_SCR" hidden="0" function="0" vbProcedure="0">#ref!</definedName>
    <definedName name="SAND_IN_CAS_SCR_1" hidden="0" function="0" vbProcedure="0">'[7]#ref'!#ref!</definedName>
    <definedName name="SAND_IN_CAS_SCR_10" hidden="0" function="0" vbProcedure="0">'[7]#ref'!#ref!</definedName>
    <definedName name="SAND_IN_CAS_SCR_11" hidden="0" function="0" vbProcedure="0">'[7]#ref'!#ref!</definedName>
    <definedName name="SAND_IN_CAS_SCR_2" hidden="0" function="0" vbProcedure="0">'[7]#ref'!#ref!</definedName>
    <definedName name="SAND_IN_CAS_SCR_3" hidden="0" function="0" vbProcedure="0">'[7]#ref'!#ref!</definedName>
    <definedName name="SAND_IN_CAS_SCR_4" hidden="0" function="0" vbProcedure="0">'[7]#ref'!#ref!</definedName>
    <definedName name="SAND_IN_CAS_SCR_5" hidden="0" function="0" vbProcedure="0">'[7]#ref'!#ref!</definedName>
    <definedName name="SAND_IN_CAS_SCR_6" hidden="0" function="0" vbProcedure="0">'[7]#ref'!#ref!</definedName>
    <definedName name="SAND_IN_CAS_SCR_7" hidden="0" function="0" vbProcedure="0">'[7]#ref'!#ref!</definedName>
    <definedName name="SAND_IN_CAS_SCR_8" hidden="0" function="0" vbProcedure="0">'[7]#ref'!#ref!</definedName>
    <definedName name="SAND_IN_CAS_SCR_9" hidden="0" function="0" vbProcedure="0">'[7]#ref'!#ref!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[18]!Macro1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'[269]sswe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[75]!Calculate_Pipe</definedName>
    <definedName name="SDrag" hidden="0" function="0" vbProcedure="0">#ref!</definedName>
    <definedName name="se" hidden="0" function="0" vbProcedure="0">'[271]calculo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'[97]well test sheet'!#ref!</definedName>
    <definedName name="sep_temp" hidden="0" function="0" vbProcedure="0">'[97]well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[19]scope!#ref!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'[188]1pcbud'!#ref!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[63]auf_screen!#ref!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[77]!Show_1</definedName>
    <definedName name="Show_1_10" hidden="0" function="0" vbProcedure="0">[77]!Show_1</definedName>
    <definedName name="Show_1_11" hidden="0" function="0" vbProcedure="0">[77]!Show_1</definedName>
    <definedName name="Show_1_2" hidden="0" function="0" vbProcedure="0">[77]!Show_1</definedName>
    <definedName name="Show_1_3" hidden="0" function="0" vbProcedure="0">[77]!Show_1</definedName>
    <definedName name="Show_1_4" hidden="0" function="0" vbProcedure="0">[77]!Show_1</definedName>
    <definedName name="Show_1_5" hidden="0" function="0" vbProcedure="0">[77]!Show_1</definedName>
    <definedName name="Show_1_6" hidden="0" function="0" vbProcedure="0">[77]!Show_1</definedName>
    <definedName name="Show_1_7" hidden="0" function="0" vbProcedure="0">[77]!Show_1</definedName>
    <definedName name="Show_1_8" hidden="0" function="0" vbProcedure="0">[77]!Show_1</definedName>
    <definedName name="Show_1_9" hidden="0" function="0" vbProcedure="0">[77]!Show_1</definedName>
    <definedName name="Show_2" hidden="0" function="0" vbProcedure="0">#ref!</definedName>
    <definedName name="Show_2_1" hidden="0" function="0" vbProcedure="0">[77]!Show_2</definedName>
    <definedName name="Show_2_10" hidden="0" function="0" vbProcedure="0">[77]!Show_2</definedName>
    <definedName name="Show_2_11" hidden="0" function="0" vbProcedure="0">[77]!Show_2</definedName>
    <definedName name="Show_2_2" hidden="0" function="0" vbProcedure="0">[77]!Show_2</definedName>
    <definedName name="Show_2_3" hidden="0" function="0" vbProcedure="0">[77]!Show_2</definedName>
    <definedName name="Show_2_4" hidden="0" function="0" vbProcedure="0">[77]!Show_2</definedName>
    <definedName name="Show_2_5" hidden="0" function="0" vbProcedure="0">[77]!Show_2</definedName>
    <definedName name="Show_2_6" hidden="0" function="0" vbProcedure="0">[77]!Show_2</definedName>
    <definedName name="Show_2_7" hidden="0" function="0" vbProcedure="0">[77]!Show_2</definedName>
    <definedName name="Show_2_8" hidden="0" function="0" vbProcedure="0">[77]!Show_2</definedName>
    <definedName name="Show_2_9" hidden="0" function="0" vbProcedure="0">[77]!Show_2</definedName>
    <definedName name="SHPD_1_QTY" hidden="0" function="0" vbProcedure="0">'[61]7-30-04'!#ref!</definedName>
    <definedName name="SHPD_2_QTY" hidden="0" function="0" vbProcedure="0">'[61]7-30-04'!#ref!</definedName>
    <definedName name="SHPD_3_QTY" hidden="0" function="0" vbProcedure="0">'[61]7-30-04'!#ref!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[63]auf_screen!#ref!</definedName>
    <definedName name="SPCL" hidden="0" function="0" vbProcedure="0">'[61]7-30-04'!#ref!</definedName>
    <definedName name="Specialist" hidden="0" function="0" vbProcedure="0">#ref!</definedName>
    <definedName name="spf" hidden="0" function="0" vbProcedure="0">#ref!</definedName>
    <definedName name="SPI" hidden="0" function="0" vbProcedure="0">'[240]lex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[275]!Macro46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'[188]1pcbud'!#ref!</definedName>
    <definedName name="SUBJECT" hidden="0" function="0" vbProcedure="0">[65]References!$B$1:$B$15</definedName>
    <definedName name="submission" hidden="0" function="0" vbProcedure="0">[278]!Table5[platform]</definedName>
    <definedName name="SubSeaTVD_Column" hidden="0" function="0" vbProcedure="0">null</definedName>
    <definedName name="SubSeaTVD_Unit" hidden="0" function="0" vbProcedure="0">null</definedName>
    <definedName name="subtransit" hidden="0" function="0" vbProcedure="0">'[188]1pcbud'!#ref!</definedName>
    <definedName name="subvar1" hidden="0" function="0" vbProcedure="0">'[188]1pcbud'!#ref!</definedName>
    <definedName name="subvar2" hidden="0" function="0" vbProcedure="0">'[188]1pcbud'!#ref!</definedName>
    <definedName name="subvar3" hidden="0" function="0" vbProcedure="0">'[188]1pcbud'!#ref!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[279]rig_fl_1!#ref!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[52]!Prev.Macro102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'[3]run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[151]!Calculate_Pipe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[287]!ADDSTAB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'[290]k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[147]summary!#ref!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'[188]1pcbud'!#ref!</definedName>
    <definedName name="totGen" hidden="0" function="0" vbProcedure="0">'[188]1pcbud'!#ref!</definedName>
    <definedName name="totgravelinperfs" hidden="0" function="0" vbProcedure="0">[5]WTR!$G$156</definedName>
    <definedName name="totPCalde" hidden="0" function="0" vbProcedure="0">'[188]1pcbud'!#ref!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'[7]#ref'!#ref!</definedName>
    <definedName name="TOT_SAND_2B_PUMPED_10" hidden="0" function="0" vbProcedure="0">'[7]#ref'!#ref!</definedName>
    <definedName name="TOT_SAND_2B_PUMPED_11" hidden="0" function="0" vbProcedure="0">'[7]#ref'!#ref!</definedName>
    <definedName name="TOT_SAND_2B_PUMPED_2" hidden="0" function="0" vbProcedure="0">'[7]#ref'!#ref!</definedName>
    <definedName name="TOT_SAND_2B_PUMPED_3" hidden="0" function="0" vbProcedure="0">'[7]#ref'!#ref!</definedName>
    <definedName name="TOT_SAND_2B_PUMPED_4" hidden="0" function="0" vbProcedure="0">'[7]#ref'!#ref!</definedName>
    <definedName name="TOT_SAND_2B_PUMPED_5" hidden="0" function="0" vbProcedure="0">'[7]#ref'!#ref!</definedName>
    <definedName name="TOT_SAND_2B_PUMPED_6" hidden="0" function="0" vbProcedure="0">'[7]#ref'!#ref!</definedName>
    <definedName name="TOT_SAND_2B_PUMPED_7" hidden="0" function="0" vbProcedure="0">'[7]#ref'!#ref!</definedName>
    <definedName name="TOT_SAND_2B_PUMPED_8" hidden="0" function="0" vbProcedure="0">'[7]#ref'!#ref!</definedName>
    <definedName name="TOT_SAND_2B_PUMPED_9" hidden="0" function="0" vbProcedure="0">'[7]#ref'!#ref!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'[7]#ref'!#ref!</definedName>
    <definedName name="TOT_SAND_REVOUT_10" hidden="0" function="0" vbProcedure="0">'[7]#ref'!#ref!</definedName>
    <definedName name="TOT_SAND_REVOUT_11" hidden="0" function="0" vbProcedure="0">'[7]#ref'!#ref!</definedName>
    <definedName name="TOT_SAND_REVOUT_2" hidden="0" function="0" vbProcedure="0">'[7]#ref'!#ref!</definedName>
    <definedName name="TOT_SAND_REVOUT_3" hidden="0" function="0" vbProcedure="0">'[7]#ref'!#ref!</definedName>
    <definedName name="TOT_SAND_REVOUT_4" hidden="0" function="0" vbProcedure="0">'[7]#ref'!#ref!</definedName>
    <definedName name="TOT_SAND_REVOUT_5" hidden="0" function="0" vbProcedure="0">'[7]#ref'!#ref!</definedName>
    <definedName name="TOT_SAND_REVOUT_6" hidden="0" function="0" vbProcedure="0">'[7]#ref'!#ref!</definedName>
    <definedName name="TOT_SAND_REVOUT_7" hidden="0" function="0" vbProcedure="0">'[7]#ref'!#ref!</definedName>
    <definedName name="TOT_SAND_REVOUT_8" hidden="0" function="0" vbProcedure="0">'[7]#ref'!#ref!</definedName>
    <definedName name="TOT_SAND_REVOUT_9" hidden="0" function="0" vbProcedure="0">'[7]#ref'!#ref!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'[293]sap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[145]tonmiles!#ref!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[93]tbgtally!#ref!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=#ref!,OFFSET([304]!ValidationLists[[#all],[main categories]],1,,COUNTA([304]!ValidationLists[main categories])),OFFSET([304]!ValidationLists[#data],0,MATCH('[97]BOM1'!XFD1, [304]!ValidationLists[#headers],0)-1,COUNTA(OFFSET([304]!ValidationLists[#data],,MATCH('[97]BOM1'!XFD1, [304]!ValidationLists[#headers],0)-1,,1)),1)))</definedName>
    <definedName name="ValName11" hidden="0" function="0" vbProcedure="0">IF(ISBLANK('[98]Section F'!B1),IF(#ref! '[98]Section F'!A$1:A$1048576 =#ref!,OFFSET([305]!ValidationList2[[#all],[main categories]],1,,COUNTA([305]!ValidationList2[main categories])),OFFSET([305]!ValidationList2[#data],0,MATCH('[98]Section F'!XFD1, [305]!ValidationList2[#headers],0)-1,COUNTA(OFFSET([305]!ValidationList2[#data],,MATCH('[98]Section F'!XFD1, [305]!ValidationList2[#headers],0)-1,,1)),1)))</definedName>
    <definedName name="ValName12" hidden="0" function="0" vbProcedure="0">IF(ISBLANK('[98]Section F'!B1),IF(#ref! '[98]Section F'!A$1:A$1048576 =#ref!,OFFSET([305]!ValidationList1[[#all],[main items]],1,,COUNTA([305]!ValidationList1[main items])),OFFSET([305]!ValidationList1[#data],0,MATCH('[98]Section F'!XFD1, [305]!ValidationList1[#headers],0)-1,COUNTA(OFFSET([305]!ValidationList1[#data],,MATCH('[98]Section F'!XFD1, [305]!ValidationList1[#headers],0)-1,,1)),1)))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[63]auf_screen!#ref!</definedName>
    <definedName name="Verticaldepth" hidden="0" function="0" vbProcedure="0">'[38]Front Page Info'!$C$18</definedName>
    <definedName name="VETCO" hidden="0" function="0" vbProcedure="0">#ref!</definedName>
    <definedName name="vfdvf" hidden="0" function="0" vbProcedure="0">[181]!Macro61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[82]!Macro60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'[97]well test sheet'!#ref!</definedName>
    <definedName name="wht" hidden="0" function="0" vbProcedure="0">'[97]well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'[97]well test sheet'!#ref!</definedName>
    <definedName name="wtr_rate" hidden="0" function="0" vbProcedure="0">'[97]well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[145]tonmiles!#ref!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[309]!Macro46</definedName>
    <definedName name="xyc" hidden="0" function="0" vbProcedure="0">'[3]run sheet'!#ref!</definedName>
    <definedName name="X_O" hidden="0" function="0" vbProcedure="0">[93]tbgtally!#ref!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[309]!'[module4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'[2]run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'[22]case sjac 19'!#ref!</definedName>
    <definedName name="_10__123Graph_CCHART_2" hidden="1" function="0" vbProcedure="0">'[22]case sjac 19'!#ref!</definedName>
    <definedName name="_10__123Graph_XCHART_2" hidden="1" function="0" vbProcedure="0">'[22]case sjac 19'!#ref!</definedName>
    <definedName name="_11Druckbereich" hidden="0" function="0" vbProcedure="0">#N/A</definedName>
    <definedName name="_11__123Graph_BCHART_1" hidden="1" function="0" vbProcedure="0">[34]mkn06!#ref!</definedName>
    <definedName name="_11__123Graph_CCHART_2" hidden="1" function="0" vbProcedure="0">'[22]case sjac 19'!#ref!</definedName>
    <definedName name="_1234GRAPH_G" hidden="1" function="0" vbProcedure="0">[100]Run!$F$16:$F$514</definedName>
    <definedName name="_12__123Graph_BCHART_2" hidden="1" function="0" vbProcedure="0">'[22]case sjac 19'!#ref!</definedName>
    <definedName name="_12__123Graph_CCHART_2" hidden="1" function="0" vbProcedure="0">'[22]case sjac 19'!#ref!</definedName>
    <definedName name="_12__123Graph_XCHART_1" hidden="1" function="0" vbProcedure="0">[37]mkn06!#ref!</definedName>
    <definedName name="_13.3_8_casing" hidden="0" function="0" vbProcedure="0">#ref!</definedName>
    <definedName name="_13.3_8__casing" hidden="0" function="0" vbProcedure="0">#ref!</definedName>
    <definedName name="_13__123Graph_CCHART_2" hidden="1" function="0" vbProcedure="0">'[22]case sjac 19'!#ref!</definedName>
    <definedName name="_14__123Graph_XCHART_2" hidden="1" function="0" vbProcedure="0">'[22]case sjac 19'!#ref!</definedName>
    <definedName name="_15__123Graph_XCHART_1" hidden="1" function="0" vbProcedure="0">[37]mkn06!#ref!</definedName>
    <definedName name="_16__123Graph_XCHART_2" hidden="1" function="0" vbProcedure="0">'[22]case sjac 19'!#ref!</definedName>
    <definedName name="_17__123Graph_XCHART_2" hidden="1" function="0" vbProcedure="0">'[22]case sjac 19'!#ref!</definedName>
    <definedName name="_18__123Graph_XCHART_1" hidden="1" function="0" vbProcedure="0">[34]mkn06!#ref!</definedName>
    <definedName name="_19__123Graph_XCHART_2" hidden="1" function="0" vbProcedure="0">'[22]case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[21]mkn06!#ref!</definedName>
    <definedName name="_2" hidden="1" function="0" vbProcedure="0">{#N/A,#N/A,FALSE,"Volume"}</definedName>
    <definedName name="_2Module2__2__.gaugeconok2" hidden="0" function="0" vbProcedure="0">#N/A</definedName>
    <definedName name="_2Module2__2__.gaugeok2" hidden="0" function="0" vbProcedure="0">[29]!_2Module2__2__.gaugeok2</definedName>
    <definedName name="_2__123Graph_ACHART_1" hidden="1" function="0" vbProcedure="0">[24]mkn06!#ref!</definedName>
    <definedName name="_2__123Graph_BCHART_1" hidden="1" function="0" vbProcedure="0">[21]mkn06!#ref!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[29]!_3Module2__2__.gaugeselect2</definedName>
    <definedName name="_3Module4_Formula_.Macro1" hidden="0" function="0" vbProcedure="0">[29]!_3Module4_Formula_.Macro1</definedName>
    <definedName name="_3SecGELS" hidden="0" function="0" vbProcedure="0">#ref!</definedName>
    <definedName name="_3__123Graph_ACHART_1" hidden="1" function="0" vbProcedure="0">[37]mkn06!#ref!</definedName>
    <definedName name="_3__123Graph_ACHART_2" hidden="1" function="0" vbProcedure="0">'[22]case sjac 19'!#ref!</definedName>
    <definedName name="_3__123Graph_XCHART_1" hidden="1" function="0" vbProcedure="0">[21]mkn06!#ref!</definedName>
    <definedName name="_4Module2__2__.gaugeok2" hidden="0" function="0" vbProcedure="0">#N/A</definedName>
    <definedName name="_4Module2__2__.serialselect3" hidden="0" function="0" vbProcedure="0">[29]!_4Module2__2__.serialselect3</definedName>
    <definedName name="_4__123Graph_ACHART_1" hidden="1" function="0" vbProcedure="0">[34]mkn06!#ref!</definedName>
    <definedName name="_4__123Graph_ACHART_2" hidden="1" function="0" vbProcedure="0">'[22]case sjac 19'!#ref!</definedName>
    <definedName name="_4__123Graph_BCHART_1" hidden="1" function="0" vbProcedure="0">[24]mkn06!#ref!</definedName>
    <definedName name="_5" hidden="1" function="0" vbProcedure="0">{#N/A,#N/A,FALSE,"Volume"}</definedName>
    <definedName name="_5Module2__2__.gaugeselect2" hidden="0" function="0" vbProcedure="0">#N/A</definedName>
    <definedName name="_5Module2__2__.serialselect4" hidden="0" function="0" vbProcedure="0">[29]!_5Module2__2__.serialselect4</definedName>
    <definedName name="_5__123Graph_ACHART_1" hidden="1" function="0" vbProcedure="0">[34]mkn06!#ref!</definedName>
    <definedName name="_5__123Graph_ACHART_2" hidden="1" function="0" vbProcedure="0">'[22]case sjac 19'!#ref!</definedName>
    <definedName name="_5__123Graph_BCHART_1" hidden="1" function="0" vbProcedure="0">[27]mkn06!#ref!</definedName>
    <definedName name="_6Module2__2__.gaugeselect2" hidden="0" function="0" vbProcedure="0">#N/A</definedName>
    <definedName name="_6__123Graph_ACHART_2" hidden="1" function="0" vbProcedure="0">'[22]case sjac 19'!#ref!</definedName>
    <definedName name="_6__123Graph_BCHART_1" hidden="1" function="0" vbProcedure="0">[37]mkn06!#ref!</definedName>
    <definedName name="_6__123Graph_BCHART_2" hidden="1" function="0" vbProcedure="0">'[22]case sjac 19'!#ref!</definedName>
    <definedName name="_6__123Graph_XCHART_1" hidden="1" function="0" vbProcedure="0">[24]mkn06!#ref!</definedName>
    <definedName name="_7Module2__2__.serialselect3" hidden="0" function="0" vbProcedure="0">#N/A</definedName>
    <definedName name="_7__123Graph_CCHART_2" hidden="1" function="0" vbProcedure="0">'[22]case sjac 19'!#ref!</definedName>
    <definedName name="_8Module2__2__.serialselect3" hidden="0" function="0" vbProcedure="0">#N/A</definedName>
    <definedName name="_8__123Graph_BCHART_1" hidden="1" function="0" vbProcedure="0">[37]mkn06!#ref!</definedName>
    <definedName name="_8__123Graph_BCHART_2" hidden="1" function="0" vbProcedure="0">'[22]case sjac 19'!#ref!</definedName>
    <definedName name="_9Module2__2__.serialselect4" hidden="0" function="0" vbProcedure="0">#N/A</definedName>
    <definedName name="_9_5_8__Csg_OD" hidden="0" function="0" vbProcedure="0">#ref!</definedName>
    <definedName name="_9__123Graph_BCHART_1" hidden="1" function="0" vbProcedure="0">[34]mkn06!#ref!</definedName>
    <definedName name="_9__123Graph_XCHART_1" hidden="1" function="0" vbProcedure="0">[27]mkn06!#ref!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[20]sheet1!#ref!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[10]!Calculate_Pipe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'[41]sap serv 06-02'!#ref!</definedName>
    <definedName name="_DAT17" hidden="0" function="0" vbProcedure="0">'[41]sap serv 06-02'!#ref!</definedName>
    <definedName name="_DAT19" hidden="0" function="0" vbProcedure="0">'[41]sap serv 06-02'!#ref!</definedName>
    <definedName name="_DAT2" hidden="0" function="0" vbProcedure="0">#ref!</definedName>
    <definedName name="_DAT20" hidden="0" function="0" vbProcedure="0">'[41]sap serv 06-02'!#ref!</definedName>
    <definedName name="_DAT25" hidden="0" function="0" vbProcedure="0">'[41]sap serv 06-02'!#ref!</definedName>
    <definedName name="_DAT26" hidden="0" function="0" vbProcedure="0">'[41]sap serv 06-02'!#ref!</definedName>
    <definedName name="_DAT27" hidden="0" function="0" vbProcedure="0">'[41]sap serv 06-02'!#ref!</definedName>
    <definedName name="_DAT28" hidden="0" function="0" vbProcedure="0">'[41]sap serv 06-02'!#ref!</definedName>
    <definedName name="_DAT29" hidden="0" function="0" vbProcedure="0">'[41]sap serv 06-02'!#ref!</definedName>
    <definedName name="_DAT3" hidden="0" function="0" vbProcedure="0">#ref!</definedName>
    <definedName name="_DAT31" hidden="0" function="0" vbProcedure="0">'[41]sap serv 06-02'!#ref!</definedName>
    <definedName name="_DAT32" hidden="0" function="0" vbProcedure="0">'[41]sap serv 06-02'!#ref!</definedName>
    <definedName name="_DAT34" hidden="0" function="0" vbProcedure="0">'[41]sap serv 06-02'!#ref!</definedName>
    <definedName name="_DAT35" hidden="0" function="0" vbProcedure="0">'[41]sap serv 06-02'!#ref!</definedName>
    <definedName name="_DAT36" hidden="0" function="0" vbProcedure="0">'[41]sap serv 06-02'!#ref!</definedName>
    <definedName name="_DAT4" hidden="0" function="0" vbProcedure="0">#ref!</definedName>
    <definedName name="_DAT40" hidden="0" function="0" vbProcedure="0">'[41]sap serv 06-02'!#ref!</definedName>
    <definedName name="_DAT41" hidden="0" function="0" vbProcedure="0">'[41]sap serv 06-02'!#ref!</definedName>
    <definedName name="_DAT42" hidden="0" function="0" vbProcedure="0">'[41]sap serv 06-02'!#ref!</definedName>
    <definedName name="_DAT44" hidden="0" function="0" vbProcedure="0">'[41]sap serv 06-02'!#ref!</definedName>
    <definedName name="_DAT45" hidden="0" function="0" vbProcedure="0">'[41]sap serv 06-02'!#ref!</definedName>
    <definedName name="_DAT46" hidden="0" function="0" vbProcedure="0">'[41]sap serv 06-02'!#ref!</definedName>
    <definedName name="_DAT47" hidden="0" function="0" vbProcedure="0">'[41]sap serv 06-02'!#ref!</definedName>
    <definedName name="_DAT48" hidden="0" function="0" vbProcedure="0">'[41]sap serv 06-02'!#ref!</definedName>
    <definedName name="_DAT49" hidden="0" function="0" vbProcedure="0">'[41]sap serv 06-02'!#ref!</definedName>
    <definedName name="_DAT5" hidden="0" function="0" vbProcedure="0">#ref!</definedName>
    <definedName name="_DAT50" hidden="0" function="0" vbProcedure="0">'[41]sap serv 06-02'!#ref!</definedName>
    <definedName name="_DAT52" hidden="0" function="0" vbProcedure="0">'[41]sap serv 06-02'!#ref!</definedName>
    <definedName name="_DAT53" hidden="0" function="0" vbProcedure="0">'[41]sap serv 06-02'!#ref!</definedName>
    <definedName name="_DAT54" hidden="0" function="0" vbProcedure="0">'[41]sap serv 06-02'!#ref!</definedName>
    <definedName name="_DAT56" hidden="0" function="0" vbProcedure="0">'[41]sap serv 06-02'!#ref!</definedName>
    <definedName name="_DAT57" hidden="0" function="0" vbProcedure="0">'[41]sap serv 06-02'!#ref!</definedName>
    <definedName name="_DAT6" hidden="0" function="0" vbProcedure="0">#ref!</definedName>
    <definedName name="_DAT62" hidden="0" function="0" vbProcedure="0">'[41]sap serv 06-02'!#ref!</definedName>
    <definedName name="_DAT63" hidden="0" function="0" vbProcedure="0">'[41]sap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'[30]calculo de gas total'!#ref!</definedName>
    <definedName name="_GAS1016" hidden="0" function="0" vbProcedure="0">'[31]calculo de gas total'!#ref!</definedName>
    <definedName name="_GAS1017" hidden="0" function="0" vbProcedure="0">'[31]calculo de gas total'!#ref!</definedName>
    <definedName name="_GAS1101" hidden="0" function="0" vbProcedure="0">'[31]calculo de gas total'!#ref!</definedName>
    <definedName name="_GAS1102" hidden="0" function="0" vbProcedure="0">'[31]calculo de gas total'!#ref!</definedName>
    <definedName name="_GAS1200" hidden="0" function="0" vbProcedure="0">'[31]calculo de gas total'!#ref!</definedName>
    <definedName name="_GAS1201" hidden="0" function="0" vbProcedure="0">'[31]calculo de gas total'!#ref!</definedName>
    <definedName name="_GAS1401" hidden="0" function="0" vbProcedure="0">'[31]calculo de gas total'!#ref!</definedName>
    <definedName name="_GAS1611" hidden="0" function="0" vbProcedure="0">'[31]calculo de gas total'!#ref!</definedName>
    <definedName name="_GAS1612" hidden="0" function="0" vbProcedure="0">'[31]calculo de gas total'!#ref!</definedName>
    <definedName name="_GAS1706" hidden="0" function="0" vbProcedure="0">'[31]calculo de gas total'!#ref!</definedName>
    <definedName name="_GAS1707" hidden="0" function="0" vbProcedure="0">'[31]calculo de gas total'!#ref!</definedName>
    <definedName name="_GAS1751" hidden="0" function="0" vbProcedure="0">'[31]calculo de gas total'!#ref!</definedName>
    <definedName name="_GAS1773" hidden="0" function="0" vbProcedure="0">'[31]calculo de gas total'!#ref!</definedName>
    <definedName name="_gas2020" hidden="0" function="0" vbProcedure="0">'[30]calculo de gas total'!#ref!</definedName>
    <definedName name="_gas6969" hidden="0" function="0" vbProcedure="0">'[30]calculo de gas total'!#ref!</definedName>
    <definedName name="_GAS7117" hidden="0" function="0" vbProcedure="0">'[31]calculo de gas total'!#ref!</definedName>
    <definedName name="_GAS7118" hidden="0" function="0" vbProcedure="0">'[31]calculo de gas total'!#ref!</definedName>
    <definedName name="_gmh1" hidden="1" function="0" vbProcedure="0">{#N/A,#N/A,FALSE,"Sheet1"}</definedName>
    <definedName name="_gs243" hidden="0" function="0" vbProcedure="0">'[32]calculo de gas total'!#ref!</definedName>
    <definedName name="_h" hidden="1" function="0" vbProcedure="0">{#N/A,#N/A,FALSE,"Volume"}</definedName>
    <definedName name="_i" hidden="1" function="0" vbProcedure="0">{#N/A,#N/A,FALSE,"Volume"}</definedName>
    <definedName name="_iw" hidden="1" function="0" vbProcedure="0">[24]mkn06!#ref!</definedName>
    <definedName name="_JE" hidden="0" function="0" vbProcedure="0">#ref!</definedName>
    <definedName name="_JE1" hidden="0" function="0" vbProcedure="0">'[5]cumulative temp diff'!#ref!</definedName>
    <definedName name="_JE2" hidden="0" function="0" vbProcedure="0">'[5]cumulative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[19]milestone!#ref!</definedName>
    <definedName name="_ms7" hidden="0" function="0" vbProcedure="0">[19]milestone!#ref!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[43]!Calculate_Pipe</definedName>
    <definedName name="_PR1" hidden="0" function="0" vbProcedure="0">#ref!</definedName>
    <definedName name="_PR2" hidden="0" function="0" vbProcedure="0">#ref!</definedName>
    <definedName name="_r06" hidden="0" function="0" vbProcedure="0">[45]!AutoCAD</definedName>
    <definedName name="_REG1773" hidden="0" function="0" vbProcedure="0">'[31]calculo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[18]!Macro1</definedName>
    <definedName name="_SSA1" hidden="0" function="0" vbProcedure="0">[46]!Macro46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[29]!_UA38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'[22]case sjac 19'!#ref!</definedName>
    <definedName name="__10__123Graph_CCHART_2" hidden="1" function="0" vbProcedure="0">'[23]case sjac 19'!#ref!</definedName>
    <definedName name="__123Graph_A" hidden="1" function="0" vbProcedure="0">#ref!</definedName>
    <definedName name="__123Graph_AMAPVIEW" hidden="1" function="0" vbProcedure="0">'[26]minimum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'[26]minimum curve method'!#ref!</definedName>
    <definedName name="__12__123Graph_XCHART_1" hidden="1" function="0" vbProcedure="0">[24]mkn06!#ref!</definedName>
    <definedName name="__14__123Graph_XCHART_2" hidden="1" function="0" vbProcedure="0">'[23]case sjac 19'!#ref!</definedName>
    <definedName name="__15__123Graph_XCHART_1" hidden="1" function="0" vbProcedure="0">[27]mkn06!#ref!</definedName>
    <definedName name="__1Module2__2__.gaugeconok2" hidden="0" function="0" vbProcedure="0">[29]!__1Module2__2__.gaugeconok2</definedName>
    <definedName name="__1__123Graph_ACHART_1" hidden="1" function="0" vbProcedure="0">[21]mkn06!#ref!</definedName>
    <definedName name="__2Module2__2__.gaugeok2" hidden="0" function="0" vbProcedure="0">[29]!__2Module2__2__.gaugeok2</definedName>
    <definedName name="__2__123Graph_ACHART_1" hidden="1" function="0" vbProcedure="0">[27]mkn06!#ref!</definedName>
    <definedName name="__2__123Graph_BCHART_1" hidden="1" function="0" vbProcedure="0">[21]mkn06!#ref!</definedName>
    <definedName name="__3Module2__2__.gaugeselect2" hidden="0" function="0" vbProcedure="0">[29]!__3Module2__2__.gaugeselect2</definedName>
    <definedName name="__3__123Graph_XCHART_1" hidden="1" function="0" vbProcedure="0">[21]mkn06!#ref!</definedName>
    <definedName name="__4Module2__2__.serialselect3" hidden="0" function="0" vbProcedure="0">[29]!__4Module2__2__.serialselect3</definedName>
    <definedName name="__4__123Graph_ACHART_2" hidden="1" function="0" vbProcedure="0">'[23]case sjac 19'!#ref!</definedName>
    <definedName name="__5Module2__2__.serialselect4" hidden="0" function="0" vbProcedure="0">[29]!__5Module2__2__.serialselect4</definedName>
    <definedName name="__5__123Graph_ACHART_2" hidden="1" function="0" vbProcedure="0">'[22]case sjac 19'!#ref!</definedName>
    <definedName name="__6__123Graph_BCHART_1" hidden="1" function="0" vbProcedure="0">[24]mkn06!#ref!</definedName>
    <definedName name="__8__123Graph_BCHART_2" hidden="1" function="0" vbProcedure="0">'[23]case sjac 19'!#ref!</definedName>
    <definedName name="__A4" hidden="1" function="0" vbProcedure="0">[100]Run!$B$18:$B$512</definedName>
    <definedName name="__ANC2" hidden="0" function="0" vbProcedure="0">[20]sheet1!#ref!</definedName>
    <definedName name="__bb2789" hidden="0" function="0" vbProcedure="0">[16]!Calculate_Pipe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'[30]calculo de gas total'!#ref!</definedName>
    <definedName name="__GAS1016" hidden="0" function="0" vbProcedure="0">'[31]calculo de gas total'!#ref!</definedName>
    <definedName name="__GAS1017" hidden="0" function="0" vbProcedure="0">'[31]calculo de gas total'!#ref!</definedName>
    <definedName name="__GAS1101" hidden="0" function="0" vbProcedure="0">'[31]calculo de gas total'!#ref!</definedName>
    <definedName name="__GAS1102" hidden="0" function="0" vbProcedure="0">'[31]calculo de gas total'!#ref!</definedName>
    <definedName name="__GAS1200" hidden="0" function="0" vbProcedure="0">'[31]calculo de gas total'!#ref!</definedName>
    <definedName name="__GAS1201" hidden="0" function="0" vbProcedure="0">'[31]calculo de gas total'!#ref!</definedName>
    <definedName name="__GAS1401" hidden="0" function="0" vbProcedure="0">'[31]calculo de gas total'!#ref!</definedName>
    <definedName name="__GAS1611" hidden="0" function="0" vbProcedure="0">'[31]calculo de gas total'!#ref!</definedName>
    <definedName name="__GAS1612" hidden="0" function="0" vbProcedure="0">'[31]calculo de gas total'!#ref!</definedName>
    <definedName name="__GAS1706" hidden="0" function="0" vbProcedure="0">'[31]calculo de gas total'!#ref!</definedName>
    <definedName name="__GAS1707" hidden="0" function="0" vbProcedure="0">'[31]calculo de gas total'!#ref!</definedName>
    <definedName name="__GAS1751" hidden="0" function="0" vbProcedure="0">'[31]calculo de gas total'!#ref!</definedName>
    <definedName name="__GAS1773" hidden="0" function="0" vbProcedure="0">'[31]calculo de gas total'!#ref!</definedName>
    <definedName name="__gas2020" hidden="0" function="0" vbProcedure="0">'[30]calculo de gas total'!#ref!</definedName>
    <definedName name="__gas6969" hidden="0" function="0" vbProcedure="0">'[30]calculo de gas total'!#ref!</definedName>
    <definedName name="__GAS7117" hidden="0" function="0" vbProcedure="0">'[31]calculo de gas total'!#ref!</definedName>
    <definedName name="__GAS7118" hidden="0" function="0" vbProcedure="0">'[31]calculo de gas total'!#ref!</definedName>
    <definedName name="__gs243" hidden="0" function="0" vbProcedure="0">'[32]calculo de gas total'!#ref!</definedName>
    <definedName name="__JE1" hidden="0" function="0" vbProcedure="0">'[5]cumulative temp diff'!#ref!</definedName>
    <definedName name="__JE2" hidden="0" function="0" vbProcedure="0">'[5]cumulative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[19]milestone!#ref!</definedName>
    <definedName name="__ms7" hidden="0" function="0" vbProcedure="0">[19]milestone!#ref!</definedName>
    <definedName name="__num15" hidden="0" function="0" vbProcedure="0">'[33]data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'[31]calculo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[18]!Macro1</definedName>
    <definedName name="__TST2" hidden="0" function="0" vbProcedure="0">#ref!</definedName>
    <definedName name="__TT2" hidden="0" function="0" vbProcedure="0">#ref!</definedName>
    <definedName name="__UA38" hidden="0" function="0" vbProcedure="0">[29]!__UA38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[20]sheet1!#ref!</definedName>
    <definedName name="___bb2789" hidden="0" function="0" vbProcedure="0">[16]!Calculate_Pipe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'[5]cumulative temp diff'!#ref!</definedName>
    <definedName name="___JE2" hidden="0" function="0" vbProcedure="0">'[5]cumulative temp diff'!#ref!</definedName>
    <definedName name="___ms6" hidden="0" function="0" vbProcedure="0">[19]milestone!#ref!</definedName>
    <definedName name="___ms7" hidden="0" function="0" vbProcedure="0">[19]milestone!#ref!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[18]!Macro1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[16]!Calculate_Pipe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[19]milestone!#ref!</definedName>
    <definedName name="____ms7" hidden="0" function="0" vbProcedure="0">[19]milestone!#ref!</definedName>
    <definedName name="____SPM1" hidden="0" function="0" vbProcedure="0">[18]!Macro1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[16]!Calculate_Pipe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[19]milestone!#ref!</definedName>
    <definedName name="_____ms7" hidden="0" function="0" vbProcedure="0">[19]milestone!#ref!</definedName>
    <definedName name="_____SPM1" hidden="0" function="0" vbProcedure="0">[18]!Macro1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[16]!Calculate_Pipe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[17]milestone!#ref!</definedName>
    <definedName name="______ms7" hidden="0" function="0" vbProcedure="0">[17]milestone!#ref!</definedName>
    <definedName name="______SPM1" hidden="0" function="0" vbProcedure="0">[18]!Macro1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[16]!Calculate_Pipe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[16]!Calculate_Pipe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[16]!Calculate_Pipe</definedName>
    <definedName name="_________wrn1" hidden="1" function="0" vbProcedure="0">{#N/A,#N/A,FALSE,"Volume"}</definedName>
    <definedName name="__________A4" hidden="1" function="0" vbProcedure="0">[100]Run!$B$18:$B$512</definedName>
    <definedName name="__________bb2789" hidden="0" function="0" vbProcedure="0">[16]!Calculate_Pipe</definedName>
    <definedName name="___________A4" hidden="1" function="0" vbProcedure="0">[100]Run!$B$18:$B$512</definedName>
    <definedName name="___________bb2789" hidden="0" function="0" vbProcedure="0">[16]!Calculate_Pipe</definedName>
    <definedName name="___________wrn1" hidden="1" function="0" vbProcedure="0">{#N/A,#N/A,FALSE,"Volume"}</definedName>
    <definedName name="____________A4" hidden="1" function="0" vbProcedure="0">[100]Run!$B$18:$B$512</definedName>
    <definedName name="____________bb2789" hidden="0" function="0" vbProcedure="0">[16]!Calculate_Pipe</definedName>
    <definedName name="____________wrn1" hidden="1" function="0" vbProcedure="0">{#N/A,#N/A,FALSE,"Volume"}</definedName>
    <definedName name="_____________A4" hidden="1" function="0" vbProcedure="0">[100]Run!$B$18:$B$512</definedName>
    <definedName name="_____________bb2789" hidden="0" function="0" vbProcedure="0">[16]!Calculate_Pipe</definedName>
    <definedName name="______________A4" hidden="1" function="0" vbProcedure="0">[100]Run!$B$18:$B$512</definedName>
    <definedName name="______________bb2789" hidden="0" function="0" vbProcedure="0">[16]!Calculate_Pipe</definedName>
    <definedName name="_______________A4" hidden="1" function="0" vbProcedure="0">[100]Run!$B$18:$B$512</definedName>
    <definedName name="_______________bb2789" hidden="0" function="0" vbProcedure="0">[16]!Calculate_Pipe</definedName>
    <definedName name="________________A4" hidden="1" function="0" vbProcedure="0">[100]Run!$B$18:$B$512</definedName>
    <definedName name="________________bb2789" hidden="0" function="0" vbProcedure="0">[12]!Calculate_Pipe</definedName>
    <definedName name="_________________A4" hidden="1" function="0" vbProcedure="0">[100]Run!$B$18:$B$512</definedName>
    <definedName name="_________________bb2789" hidden="0" function="0" vbProcedure="0">[12]!Calculate_Pipe</definedName>
    <definedName name="__________________A4" hidden="1" function="0" vbProcedure="0">[100]Run!$B$18:$B$512</definedName>
    <definedName name="__________________bb2789" hidden="0" function="0" vbProcedure="0">[14]!Calculate_Pipe</definedName>
    <definedName name="___________________A4" hidden="1" function="0" vbProcedure="0">[100]Run!$B$18:$B$512</definedName>
    <definedName name="___________________bb2789" hidden="0" function="0" vbProcedure="0">[12]!Calculate_Pipe</definedName>
    <definedName name="____________________A4" hidden="1" function="0" vbProcedure="0">[100]Run!$B$18:$B$512</definedName>
    <definedName name="____________________bb2789" hidden="0" function="0" vbProcedure="0">[10]!Calculate_Pipe</definedName>
    <definedName name="_____________________A4" hidden="1" function="0" vbProcedure="0">[100]Run!$B$18:$B$512</definedName>
    <definedName name="_____________________bb2789" hidden="0" function="0" vbProcedure="0">[13]!Calculate_Pipe</definedName>
    <definedName name="______________________A4" hidden="1" function="0" vbProcedure="0">[100]Run!$B$18:$B$512</definedName>
    <definedName name="______________________bb2789" hidden="0" function="0" vbProcedure="0">[10]!Calculate_Pipe</definedName>
    <definedName name="_______________________A4" hidden="1" function="0" vbProcedure="0">[100]Run!$B$18:$B$512</definedName>
    <definedName name="_______________________bb2789" hidden="0" function="0" vbProcedure="0">[10]!Calculate_Pipe</definedName>
    <definedName name="________________________A4" hidden="1" function="0" vbProcedure="0">[100]Run!$B$18:$B$512</definedName>
    <definedName name="________________________bb2789" hidden="0" function="0" vbProcedure="0">[12]!Calculate_Pipe</definedName>
    <definedName name="_________________________A4" hidden="1" function="0" vbProcedure="0">[100]Run!$B$18:$B$512</definedName>
    <definedName name="_________________________bb2789" hidden="0" function="0" vbProcedure="0">[10]!Calculate_Pipe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'SOE'!$A$1:$S$68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'Backload'!$A$1:$K$29</definedName>
    <definedName name="a" localSheetId="8" hidden="1" function="0" vbProcedure="0">#ref!</definedName>
    <definedName name="AA" localSheetId="8" hidden="0" function="0" vbProcedure="0">#ref!</definedName>
    <definedName name="aa.macro111" localSheetId="8" hidden="0" function="0" vbProcedure="0">[51]!Prev.Macro111</definedName>
    <definedName name="aaaa" localSheetId="8" hidden="0" function="0" vbProcedure="0">[52]!Macro59</definedName>
    <definedName name="ABX" localSheetId="8" hidden="1" function="0" vbProcedure="0">[103]Run!$B$18:$B$512</definedName>
    <definedName name="addresstwo" localSheetId="8" hidden="0" function="0" vbProcedure="0">[56]data!#ref!</definedName>
    <definedName name="ADDSTAB" localSheetId="8" hidden="0" function="0" vbProcedure="0">[58]!ADDSTAB</definedName>
    <definedName name="adf" localSheetId="8" hidden="0" function="0" vbProcedure="0">[59]!Macro60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'[64]tool backload dt'!amacro.n2foam</definedName>
    <definedName name="Ambient_temp" localSheetId="8" hidden="0" function="0" vbProcedure="0">'[7]#ref'!#ref!</definedName>
    <definedName name="amis" localSheetId="8" hidden="0" function="0" vbProcedure="0">[105]Tally!$A$5:$J$825</definedName>
    <definedName name="ANDERGAUGE" localSheetId="8" hidden="0" function="0" vbProcedure="0">[58]!ANDERGAUGE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'[73]well team goals'!#ref!</definedName>
    <definedName name="Approver_Well_Plan" localSheetId="8" hidden="0" function="0" vbProcedure="0">'[73]well team goals'!#ref!</definedName>
    <definedName name="asd" localSheetId="8" hidden="1" function="0" vbProcedure="0">#ref!</definedName>
    <definedName name="ASDA" localSheetId="8" hidden="0" function="0" vbProcedure="0">[74]!Calculate_Pipe</definedName>
    <definedName name="ASS" localSheetId="8" hidden="0" function="0" vbProcedure="0">[75]!JointNumber</definedName>
    <definedName name="Assembly1" localSheetId="8" hidden="0" function="0" vbProcedure="0">[75]!Calculate_Pipe</definedName>
    <definedName name="assy.3" localSheetId="8" hidden="0" function="0" vbProcedure="0">[75]!Calculate_Pipe</definedName>
    <definedName name="ASSY.6" localSheetId="8" hidden="0" function="0" vbProcedure="0">[75]!Calculate_Pipe</definedName>
    <definedName name="ASSY2312" localSheetId="8" hidden="0" function="0" vbProcedure="0">[28]!Macro1</definedName>
    <definedName name="ASSY7" localSheetId="8" hidden="0" function="0" vbProcedure="0">[43]!Calculate_Pipe</definedName>
    <definedName name="ASSY_098" localSheetId="8" hidden="0" function="0" vbProcedure="0">[75]!JointNumber</definedName>
    <definedName name="ASSY_122" localSheetId="8" hidden="0" function="0" vbProcedure="0">[28]!Macro1</definedName>
    <definedName name="ASSY_123" localSheetId="8" hidden="0" function="0" vbProcedure="0">[75]!JointNumber</definedName>
    <definedName name="ASSY_2111" localSheetId="8" hidden="0" function="0" vbProcedure="0">[28]!Macro1</definedName>
    <definedName name="ASSY_231" localSheetId="8" hidden="0" function="0" vbProcedure="0">[28]!Macro1</definedName>
    <definedName name="ASSY_342" localSheetId="8" hidden="0" function="0" vbProcedure="0">[28]!Macro1</definedName>
    <definedName name="ASSY_36" localSheetId="8" hidden="0" function="0" vbProcedure="0">[28]!Macro1</definedName>
    <definedName name="ASSY_4" localSheetId="8" hidden="0" function="0" vbProcedure="0">[28]!Macro1</definedName>
    <definedName name="ASSY_432" localSheetId="8" hidden="0" function="0" vbProcedure="0">[28]!Macro1</definedName>
    <definedName name="assy_5" localSheetId="8" hidden="0" function="0" vbProcedure="0">[75]!JointNumber</definedName>
    <definedName name="assy_543" localSheetId="8" hidden="0" function="0" vbProcedure="0">[75]!JointNumber</definedName>
    <definedName name="Assy_765" localSheetId="8" hidden="0" function="0" vbProcedure="0">[75]!Calculate_Pipe</definedName>
    <definedName name="ASSy_blast" localSheetId="8" hidden="0" function="0" vbProcedure="0">[75]!Calculate_Pipe</definedName>
    <definedName name="ASSY_W2" localSheetId="8" hidden="0" function="0" vbProcedure="0">[75]!Calculate_Pipe</definedName>
    <definedName name="AutoCAD" localSheetId="8" hidden="0" function="0" vbProcedure="0">[44]!AutoCAD</definedName>
    <definedName name="AutoCAD_1" localSheetId="8" hidden="0" function="0" vbProcedure="0">[28]!AutoCAD</definedName>
    <definedName name="AutoCAD_10" localSheetId="8" hidden="0" function="0" vbProcedure="0">[28]!AutoCAD</definedName>
    <definedName name="AutoCAD_11" localSheetId="8" hidden="0" function="0" vbProcedure="0">[28]!AutoCAD</definedName>
    <definedName name="AutoCAD_2" localSheetId="8" hidden="0" function="0" vbProcedure="0">[28]!AutoCAD</definedName>
    <definedName name="AutoCAD_3" localSheetId="8" hidden="0" function="0" vbProcedure="0">[28]!AutoCAD</definedName>
    <definedName name="AutoCAD_4" localSheetId="8" hidden="0" function="0" vbProcedure="0">[28]!AutoCAD</definedName>
    <definedName name="AutoCAD_5" localSheetId="8" hidden="0" function="0" vbProcedure="0">[28]!AutoCAD</definedName>
    <definedName name="AutoCAD_6" localSheetId="8" hidden="0" function="0" vbProcedure="0">[28]!AutoCAD</definedName>
    <definedName name="AutoCAD_7" localSheetId="8" hidden="0" function="0" vbProcedure="0">[28]!AutoCAD</definedName>
    <definedName name="AutoCAD_8" localSheetId="8" hidden="0" function="0" vbProcedure="0">[28]!AutoCAD</definedName>
    <definedName name="AutoCAD_9" localSheetId="8" hidden="0" function="0" vbProcedure="0">[28]!AutoCAD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'[79]casing talley'!#ref!</definedName>
    <definedName name="axj" localSheetId="8" hidden="1" function="0" vbProcedure="0">{#N/A,#N/A,FALSE,"Sheet1"}</definedName>
    <definedName name="A_L" localSheetId="8" hidden="0" function="0" vbProcedure="0">'[50]12(762mm)套管'!#ref!</definedName>
    <definedName name="b" localSheetId="8" hidden="1" function="0" vbProcedure="0">#ref!</definedName>
    <definedName name="back" localSheetId="8" hidden="0" function="0" vbProcedure="0">'[64]tool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[28]!basicok</definedName>
    <definedName name="BBB" localSheetId="8" hidden="0" function="0" vbProcedure="0">'[110]DD Worksheet'!$C$1</definedName>
    <definedName name="bbbbb" localSheetId="8" hidden="0" function="0" vbProcedure="0">[82]!Macro61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[86]!TubTable[[340]:[438]]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'[96]well test sheet'!#ref!</definedName>
    <definedName name="Budget_owner" localSheetId="8" hidden="0" function="0" vbProcedure="0">'[73]well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[86]!TubTable[[340]:[438]]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[75]!Calculate_Pipe</definedName>
    <definedName name="Calculate_Pipe" localSheetId="8" hidden="0" function="0" vbProcedure="0">[99]!Calculate_Pipe</definedName>
    <definedName name="Cancel" localSheetId="8" hidden="0" function="0" vbProcedure="0">[100]!Cancel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'[7]#ref'!#ref!</definedName>
    <definedName name="CAS_EXT_VOL" localSheetId="8" hidden="0" function="0" vbProcedure="0">'[7]#ref'!#ref!</definedName>
    <definedName name="CAS_ID" localSheetId="8" hidden="0" function="0" vbProcedure="0">'[113]#REF'!$H$11</definedName>
    <definedName name="CAS_OD" localSheetId="8" hidden="0" function="0" vbProcedure="0">'[113]#REF'!$J$11</definedName>
    <definedName name="CAS_SCR_VOL" localSheetId="8" hidden="0" function="0" vbProcedure="0">'[7]#ref'!#ref!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[82]!Macro59</definedName>
    <definedName name="cdr" localSheetId="8" hidden="0" function="0" vbProcedure="0">'[96]well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'[64]tool backload dt'!chemmac</definedName>
    <definedName name="Choice" localSheetId="8" hidden="0" function="0" vbProcedure="0">[122]Lists!$A$1:$A$3</definedName>
    <definedName name="cim" localSheetId="8" hidden="0" function="0" vbProcedure="0">[117]!Calculate_Pipe</definedName>
    <definedName name="CIPMACRO.n2foam" localSheetId="8" hidden="0" function="0" vbProcedure="0">'[64]tool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[58]!CLAMPON</definedName>
    <definedName name="CLEARCONTENTS" localSheetId="8" hidden="0" function="0" vbProcedure="0">[120]!CLEARCONTENTS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[120]!Clrmess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[28]!coections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[28]!conections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'[33]data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[58]!COPYDESGN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'!Objects,[28]!Liner1_OD),1)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[56]data!#ref!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'[144]job info sheet'!#ref!</definedName>
    <definedName name="customerrep" localSheetId="8" hidden="0" function="0" vbProcedure="0">'[113]#REF'!$E$6</definedName>
    <definedName name="Cyl_Yield" localSheetId="8" hidden="0" function="0" vbProcedure="0">'[48]liner job info'!#ref!</definedName>
    <definedName name="d" localSheetId="8" hidden="0" function="0" vbProcedure="0">'[1]run sheet'!#ref!</definedName>
    <definedName name="DAADA" localSheetId="8" hidden="0" function="0" vbProcedure="0">[117]!Calculate_Pipe</definedName>
    <definedName name="DAD" localSheetId="8" hidden="0" function="0" vbProcedure="0">'[146]tally checklist'!dad</definedName>
    <definedName name="DADAA" localSheetId="8" hidden="0" function="0" vbProcedure="0">'[146]tally checklist'!dadaa</definedName>
    <definedName name="DAEFF" localSheetId="8" hidden="0" function="0" vbProcedure="0">'[146]tally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[148]试油成果记录!#ref!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'[33]data '!#ref!</definedName>
    <definedName name="deliverto" localSheetId="8" hidden="0" function="0" vbProcedure="0">[56]data!#ref!</definedName>
    <definedName name="delma" localSheetId="8" hidden="0" function="0" vbProcedure="0">[151]!JointNumber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'[146]tally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[151]!JointNumber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'[48]liner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'[48]liner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'[1]run sheet'!#ref!</definedName>
    <definedName name="drawblanks" localSheetId="8" hidden="0" function="0" vbProcedure="0">'[146]tally checklist'!drawblanks</definedName>
    <definedName name="drawlinerfirst" localSheetId="8" hidden="0" function="0" vbProcedure="0">'[146]tally checklist'!drawlinerfirst</definedName>
    <definedName name="drawlinersecond" localSheetId="8" hidden="0" function="0" vbProcedure="0">'[146]tally checklist'!drawlinersecond</definedName>
    <definedName name="drawmiscellaneous" localSheetId="8" hidden="0" function="0" vbProcedure="0">'[146]tally checklist'!drawmiscellaneous</definedName>
    <definedName name="drawproductionfirst" localSheetId="8" hidden="0" function="0" vbProcedure="0">'[146]tally checklist'!drawproductionfirst</definedName>
    <definedName name="drawproductionsecond" localSheetId="8" hidden="0" function="0" vbProcedure="0">'[146]tally checklist'!drawproductionsecond</definedName>
    <definedName name="drawquantum" localSheetId="8" hidden="0" function="0" vbProcedure="0">'[146]tally checklist'!drawquantum</definedName>
    <definedName name="drawscreens" localSheetId="8" hidden="0" function="0" vbProcedure="0">'[146]tally checklist'!drawscreens</definedName>
    <definedName name="drawshearsubs" localSheetId="8" hidden="0" function="0" vbProcedure="0">'[146]tally checklist'!drawshearsubs</definedName>
    <definedName name="drawsump" localSheetId="8" hidden="0" function="0" vbProcedure="0">'[146]tally checklist'!drawsump</definedName>
    <definedName name="draw_blanks" localSheetId="8" hidden="0" function="0" vbProcedure="0">'[146]tally checklist'!draw_blanks</definedName>
    <definedName name="draw_linerfirst" localSheetId="8" hidden="0" function="0" vbProcedure="0">'[146]tally checklist'!draw_linerfirst</definedName>
    <definedName name="draw_linersecond" localSheetId="8" hidden="0" function="0" vbProcedure="0">'[146]tally checklist'!draw_linersecond</definedName>
    <definedName name="draw_miscellaneous" localSheetId="8" hidden="0" function="0" vbProcedure="0">'[146]tally checklist'!draw_miscellaneous</definedName>
    <definedName name="draw_productionfirst" localSheetId="8" hidden="0" function="0" vbProcedure="0">'[146]tally checklist'!draw_productionfirst</definedName>
    <definedName name="draw_productionsecond" localSheetId="8" hidden="0" function="0" vbProcedure="0">'[146]tally checklist'!draw_productionsecond</definedName>
    <definedName name="draw_quantum" localSheetId="8" hidden="0" function="0" vbProcedure="0">'[146]tally checklist'!draw_quantum</definedName>
    <definedName name="draw_screens" localSheetId="8" hidden="0" function="0" vbProcedure="0">'[146]tally checklist'!draw_screens</definedName>
    <definedName name="draw_shearsubs" localSheetId="8" hidden="0" function="0" vbProcedure="0">'[146]tally checklist'!draw_shearsubs</definedName>
    <definedName name="draw_sump" localSheetId="8" hidden="0" function="0" vbProcedure="0">'[146]tally checklist'!draw_sump</definedName>
    <definedName name="DRILLER" localSheetId="8" hidden="0" function="0" vbProcedure="0">#ref!</definedName>
    <definedName name="DRILLER2" localSheetId="8" hidden="0" function="0" vbProcedure="0">[162]!Calculate_Pipe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'[165]run_s.xls'!#ref!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[75]!Calculate_Pipe</definedName>
    <definedName name="edd" localSheetId="8" hidden="0" function="0" vbProcedure="0">[167]!Calculate_Pipe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'[146]tally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[56]data!#ref!</definedName>
    <definedName name="error" localSheetId="8" hidden="0" function="0" vbProcedure="0">[106]Data!$F$10</definedName>
    <definedName name="ertert" localSheetId="8" hidden="0" function="0" vbProcedure="0">[171]试压!#ref!</definedName>
    <definedName name="ES_pricelist" localSheetId="8" hidden="0" function="0" vbProcedure="0">[139]Pricelist!$A$8:$B$18</definedName>
    <definedName name="ex" localSheetId="8" hidden="0" function="0" vbProcedure="0">[151]!JointNumber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'[7]#ref'!#ref!</definedName>
    <definedName name="F" localSheetId="8" hidden="0" function="0" vbProcedure="0">[140]Parts!$A$1:$I$1048576</definedName>
    <definedName name="FB" localSheetId="8" hidden="0" function="0" vbProcedure="0">[177]!Calculate_Pipe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'[146]tally checklist'!fewfw</definedName>
    <definedName name="fff" localSheetId="8" hidden="0" function="0" vbProcedure="0">'[146]tally checklist'!fff</definedName>
    <definedName name="ffff" localSheetId="8" hidden="0" function="0" vbProcedure="0">[181]!Prev.Macro113</definedName>
    <definedName name="final" localSheetId="8" hidden="0" function="0" vbProcedure="0">[151]!JointNumber</definedName>
    <definedName name="FJNDEF" localSheetId="8" hidden="0" function="0" vbProcedure="0">'[146]tally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[56]data!#ref!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'[96]well test sheet'!#ref!</definedName>
    <definedName name="gas_cumm" localSheetId="8" hidden="0" function="0" vbProcedure="0">'[96]well test sheet'!#ref!</definedName>
    <definedName name="Gauge" localSheetId="8" hidden="0" function="0" vbProcedure="0">'[7]Drop-Down Items'!$D$74:$D$92</definedName>
    <definedName name="Gaugecancel" localSheetId="8" hidden="0" function="0" vbProcedure="0">[28]!Gaugecancel</definedName>
    <definedName name="gaugeconok" localSheetId="8" hidden="0" function="0" vbProcedure="0">[28]!gaugeconok</definedName>
    <definedName name="gaugeconok2" localSheetId="8" hidden="0" function="0" vbProcedure="0">[28]!gaugeconok2</definedName>
    <definedName name="gaugeok" localSheetId="8" hidden="0" function="0" vbProcedure="0">[28]!gaugeok</definedName>
    <definedName name="gaugeok2" localSheetId="8" hidden="0" function="0" vbProcedure="0">[28]!gaugeok2</definedName>
    <definedName name="gaugeselect" localSheetId="8" hidden="0" function="0" vbProcedure="0">[28]!gaugeselect</definedName>
    <definedName name="gaugeselect2" localSheetId="8" hidden="0" function="0" vbProcedure="0">[28]!gaugeselect2</definedName>
    <definedName name="gdsg" localSheetId="8" hidden="1" function="0" vbProcedure="0">[103]Run!$C$16:$C$512</definedName>
    <definedName name="GFTTC" localSheetId="8" hidden="0" function="0" vbProcedure="0">[151]!JointNumber</definedName>
    <definedName name="GGGR" localSheetId="8" hidden="0" function="0" vbProcedure="0">'[146]tally checklist'!gggr</definedName>
    <definedName name="GL" localSheetId="8" hidden="0" function="0" vbProcedure="0">'[189]offset data'!#ref!</definedName>
    <definedName name="GLM" localSheetId="8" hidden="0" function="0" vbProcedure="0">[75]!Calculate_Pipe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'[96]well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'[146]tally checklist'!gqgq</definedName>
    <definedName name="GQQ" localSheetId="8" hidden="0" function="0" vbProcedure="0">'[146]tally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'[146]tally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'[146]tally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[192]!Macro1</definedName>
    <definedName name="HAUL_Thread" localSheetId="8" hidden="0" function="0" vbProcedure="0">[109]DATA!$BM$22:$BM$114</definedName>
    <definedName name="HEAD" localSheetId="8" hidden="0" function="0" vbProcedure="0">#ref!</definedName>
    <definedName name="hesfluid" localSheetId="8" hidden="0" function="0" vbProcedure="0">[56]data!#ref!</definedName>
    <definedName name="hgh" localSheetId="8" hidden="1" function="0" vbProcedure="0">[103]Run!$D$15:$D$512</definedName>
    <definedName name="HGR_OL_Packoff_In" localSheetId="8" hidden="0" function="0" vbProcedure="0">[109]Test!$M$36</definedName>
    <definedName name="hhp" localSheetId="8" hidden="0" function="0" vbProcedure="0">'[96]well test sheet'!#ref!</definedName>
    <definedName name="hj" localSheetId="8" hidden="0" function="0" vbProcedure="0">[194]bha!#ref!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'[64]tool backload dt'!holevol</definedName>
    <definedName name="hpb" localSheetId="8" hidden="0" function="0" vbProcedure="0">'[96]well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[52]!Prev.Macro106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[28]!impdwg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OFFSET([28]!Inclination,2,0,COUNT(#ref!),1)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[44]!Insert_New_Page</definedName>
    <definedName name="Insert_New_Page_1" localSheetId="8" hidden="0" function="0" vbProcedure="0">[28]!Insert_New_Page</definedName>
    <definedName name="Insert_New_Page_10" localSheetId="8" hidden="0" function="0" vbProcedure="0">[28]!Insert_New_Page</definedName>
    <definedName name="Insert_New_Page_11" localSheetId="8" hidden="0" function="0" vbProcedure="0">[28]!Insert_New_Page</definedName>
    <definedName name="Insert_New_Page_2" localSheetId="8" hidden="0" function="0" vbProcedure="0">[28]!Insert_New_Page</definedName>
    <definedName name="Insert_New_Page_3" localSheetId="8" hidden="0" function="0" vbProcedure="0">[28]!Insert_New_Page</definedName>
    <definedName name="Insert_New_Page_4" localSheetId="8" hidden="0" function="0" vbProcedure="0">[28]!Insert_New_Page</definedName>
    <definedName name="Insert_New_Page_5" localSheetId="8" hidden="0" function="0" vbProcedure="0">[28]!Insert_New_Page</definedName>
    <definedName name="Insert_New_Page_6" localSheetId="8" hidden="0" function="0" vbProcedure="0">[28]!Insert_New_Page</definedName>
    <definedName name="Insert_New_Page_7" localSheetId="8" hidden="0" function="0" vbProcedure="0">[28]!Insert_New_Page</definedName>
    <definedName name="Insert_New_Page_8" localSheetId="8" hidden="0" function="0" vbProcedure="0">[28]!Insert_New_Page</definedName>
    <definedName name="Insert_New_Page_9" localSheetId="8" hidden="0" function="0" vbProcedure="0">[28]!Insert_New_Page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'[146]tally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'[144]job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[99]!JointNumber</definedName>
    <definedName name="JOINTNUMBER23" localSheetId="8" hidden="0" function="0" vbProcedure="0">[75]!JointNumber</definedName>
    <definedName name="JOINTNYMBER4" localSheetId="8" hidden="0" function="0" vbProcedure="0">[75]!JointNumber</definedName>
    <definedName name="JOYCE" localSheetId="8" hidden="1" function="0" vbProcedure="0">#ref!</definedName>
    <definedName name="JRJTRJT" localSheetId="8" hidden="0" function="0" vbProcedure="0">'[146]tally checklist'!jrjtrjt</definedName>
    <definedName name="JT" localSheetId="8" hidden="0" function="0" vbProcedure="0">[204]!JointNumber</definedName>
    <definedName name="JtCount" localSheetId="8" hidden="0" function="0" vbProcedure="0">'[79]casing talley'!#ref!</definedName>
    <definedName name="JTNFN" localSheetId="8" hidden="0" function="0" vbProcedure="0">'[146]tally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[28]!Macro1</definedName>
    <definedName name="KL" localSheetId="8" hidden="0" function="0" vbProcedure="0">[149]BHA!$C$4</definedName>
    <definedName name="KO" localSheetId="8" hidden="0" function="0" vbProcedure="0">'[148]CSG13'!$F$6</definedName>
    <definedName name="KRR" localSheetId="8" hidden="0" function="0" vbProcedure="0">'[146]tally checklist'!krr</definedName>
    <definedName name="KUYUKR" localSheetId="8" hidden="0" function="0" vbProcedure="0">'[146]tally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[56]data!#ref!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[63]auf_screen!#ref!</definedName>
    <definedName name="LOGGER" localSheetId="8" hidden="0" function="0" vbProcedure="0">[209]!Calculate_Pipe</definedName>
    <definedName name="loudout" localSheetId="8" hidden="1" function="0" vbProcedure="0">[151]Run!$D$15:$D$512</definedName>
    <definedName name="LS" localSheetId="8" hidden="0" function="0" vbProcedure="0">'[196]amberjack a32ream'!#ref!</definedName>
    <definedName name="LSA" localSheetId="8" hidden="0" function="0" vbProcedure="0">[213]!Calculate_Pipe</definedName>
    <definedName name="LSD" localSheetId="8" hidden="0" function="0" vbProcedure="0">'[144]job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[18]!Macro1</definedName>
    <definedName name="Macro112" localSheetId="8" hidden="0" function="0" vbProcedure="0">[59]!Macro59</definedName>
    <definedName name="Macro2" localSheetId="8" hidden="0" function="0" vbProcedure="0">[28]!Macro2</definedName>
    <definedName name="Macro22" localSheetId="8" hidden="0" function="0" vbProcedure="0">[28]!Macro22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[28]!Macro1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[28]!Macro3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OFFSET([28]!MDForInclination,2,0,COUNT(#ref!),1)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'[146]tally checklist'!module1.draw_productionfirst</definedName>
    <definedName name="Module1.draw_productionsecond" localSheetId="8" hidden="0" function="0" vbProcedure="0">'[146]tally checklist'!module1.draw_productionsecond</definedName>
    <definedName name="Module1.impdwg" localSheetId="8" hidden="0" function="0" vbProcedure="0">[28]!Module1.impdwg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'[146]tally checklist'!module4.drawblanks</definedName>
    <definedName name="Module4.drawlinerfirst" localSheetId="8" hidden="0" function="0" vbProcedure="0">'[146]tally checklist'!module4.drawlinerfirst</definedName>
    <definedName name="Module4.drawlinersecond" localSheetId="8" hidden="0" function="0" vbProcedure="0">'[146]tally checklist'!module4.drawlinersecond</definedName>
    <definedName name="Module4.drawmiscellaneous" localSheetId="8" hidden="0" function="0" vbProcedure="0">'[146]tally checklist'!module4.drawmiscellaneous</definedName>
    <definedName name="Module4.drawproductionfirst" localSheetId="8" hidden="0" function="0" vbProcedure="0">'[146]tally checklist'!module4.drawproductionfirst</definedName>
    <definedName name="Module4.drawproductionsecond" localSheetId="8" hidden="0" function="0" vbProcedure="0">'[146]tally checklist'!module4.drawproductionsecond</definedName>
    <definedName name="Module4.drawquantum" localSheetId="8" hidden="0" function="0" vbProcedure="0">'[146]tally checklist'!module4.drawquantum</definedName>
    <definedName name="Module4.drawscreens" localSheetId="8" hidden="0" function="0" vbProcedure="0">'[146]tally checklist'!module4.drawscreens</definedName>
    <definedName name="Module4.drawshearsubs" localSheetId="8" hidden="0" function="0" vbProcedure="0">'[146]tally checklist'!module4.drawshearsubs</definedName>
    <definedName name="Module4.drawsump" localSheetId="8" hidden="0" function="0" vbProcedure="0">'[146]tally checklist'!module4.drawsump</definedName>
    <definedName name="Module4.textfive" localSheetId="8" hidden="0" function="0" vbProcedure="0">'[146]tally checklist'!module4.textfive</definedName>
    <definedName name="Module4.textfivehalf" localSheetId="8" hidden="0" function="0" vbProcedure="0">'[146]tally checklist'!module4.textfivehalf</definedName>
    <definedName name="Module4.textninefiveeightfourfirst" localSheetId="8" hidden="0" function="0" vbProcedure="0">'[146]tally checklist'!module4.textninefiveeightfourfirst</definedName>
    <definedName name="Module4.textninefiveeightfoursecond" localSheetId="8" hidden="0" function="0" vbProcedure="0">'[146]tally checklist'!module4.textninefiveeightfoursecond</definedName>
    <definedName name="Module4.textninefiveeightsixfirst" localSheetId="8" hidden="0" function="0" vbProcedure="0">'[146]tally checklist'!module4.textninefiveeightsixfirst</definedName>
    <definedName name="Module4.textninefiveeightsixsecond" localSheetId="8" hidden="0" function="0" vbProcedure="0">'[146]tally checklist'!module4.textninefiveeightsixsecond</definedName>
    <definedName name="Module4.textsevenfiveeightfour" localSheetId="8" hidden="0" function="0" vbProcedure="0">'[146]tally checklist'!module4.textsevenfiveeightfour</definedName>
    <definedName name="Module4.textsevenfiveeightthree" localSheetId="8" hidden="0" function="0" vbProcedure="0">'[146]tally checklist'!module4.textsevenfiveeightthree</definedName>
    <definedName name="Module4.textsevenfour" localSheetId="8" hidden="0" function="0" vbProcedure="0">'[146]tally checklist'!module4.textsevenfour</definedName>
    <definedName name="Module4.textseventhree" localSheetId="8" hidden="0" function="0" vbProcedure="0">'[146]tally checklist'!module4.textseventhree</definedName>
    <definedName name="MOE" localSheetId="8" hidden="0" function="0" vbProcedure="0">#ref!</definedName>
    <definedName name="Month" localSheetId="8" hidden="0" function="0" vbProcedure="0">[63]auf_screen!#ref!</definedName>
    <definedName name="MorningReport" localSheetId="8" hidden="0" function="0" vbProcedure="0">'[218]morning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[151]!JointNumber</definedName>
    <definedName name="m_choke" localSheetId="8" hidden="0" function="0" vbProcedure="0">'[96]well test sheet'!#ref!</definedName>
    <definedName name="M_Dual" localSheetId="8" hidden="0" function="0" vbProcedure="0">#ref!</definedName>
    <definedName name="n" localSheetId="8" hidden="0" function="0" vbProcedure="0">'[146]tally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'[7]#ref'!#ref!</definedName>
    <definedName name="Nipples" localSheetId="8" hidden="0" function="0" vbProcedure="0">#ref!</definedName>
    <definedName name="NM" localSheetId="8" hidden="0" function="0" vbProcedure="0">[18]!Macro1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'[96]well test sheet'!#ref!</definedName>
    <definedName name="oil_cumm" localSheetId="8" hidden="0" function="0" vbProcedure="0">'[96]well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[56]data!#ref!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'[79]casing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'[79]casing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[241]index!#ref!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'[79]casing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[52]!Prev.Macro102</definedName>
    <definedName name="PFIVE_TOTAL" localSheetId="8" hidden="0" function="0" vbProcedure="0">[241]index!#ref!</definedName>
    <definedName name="PFOUR_TOTAL" localSheetId="8" hidden="0" function="0" vbProcedure="0">[241]index!#ref!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'[146]tally checklist'!pick1_958x475_system</definedName>
    <definedName name="pick1_958x6_system" localSheetId="8" hidden="0" function="0" vbProcedure="0">'[146]tally checklist'!pick1_958x6_system</definedName>
    <definedName name="pick1_production" localSheetId="8" hidden="0" function="0" vbProcedure="0">'[146]tally checklist'!pick1_production</definedName>
    <definedName name="pick2_958x475_system" localSheetId="8" hidden="0" function="0" vbProcedure="0">'[146]tally checklist'!pick2_958x475_system</definedName>
    <definedName name="pick2_958x6_system" localSheetId="8" hidden="0" function="0" vbProcedure="0">'[146]tally checklist'!pick2_958x6_system</definedName>
    <definedName name="pick2_production" localSheetId="8" hidden="0" function="0" vbProcedure="0">'[146]tally checklist'!pick2_production</definedName>
    <definedName name="pick_512_system" localSheetId="8" hidden="0" function="0" vbProcedure="0">'[146]tally checklist'!pick_512_system</definedName>
    <definedName name="pick_5_system" localSheetId="8" hidden="0" function="0" vbProcedure="0">'[146]tally checklist'!pick_5_system</definedName>
    <definedName name="pick_758x314_system" localSheetId="8" hidden="0" function="0" vbProcedure="0">'[146]tally checklist'!pick_758x314_system</definedName>
    <definedName name="pick_758x4_system" localSheetId="8" hidden="0" function="0" vbProcedure="0">'[146]tally checklist'!pick_758x4_system</definedName>
    <definedName name="pick_7x314_system" localSheetId="8" hidden="0" function="0" vbProcedure="0">'[146]tally checklist'!pick_7x314_system</definedName>
    <definedName name="pick_7x4_system" localSheetId="8" hidden="0" function="0" vbProcedure="0">'[146]tally checklist'!pick_7x4_system</definedName>
    <definedName name="pick_blanks" localSheetId="8" hidden="0" function="0" vbProcedure="0">'[146]tally checklist'!pick_blanks</definedName>
    <definedName name="pick_liner" localSheetId="8" hidden="0" function="0" vbProcedure="0">'[146]tally checklist'!pick_liner</definedName>
    <definedName name="pick_liner2" localSheetId="8" hidden="0" function="0" vbProcedure="0">'[146]tally checklist'!pick_liner2</definedName>
    <definedName name="pick_miscellaneous" localSheetId="8" hidden="0" function="0" vbProcedure="0">'[146]tally checklist'!pick_miscellaneous</definedName>
    <definedName name="pick_quantum" localSheetId="8" hidden="0" function="0" vbProcedure="0">'[146]tally checklist'!pick_quantum</definedName>
    <definedName name="pick_screens" localSheetId="8" hidden="0" function="0" vbProcedure="0">'[146]tally checklist'!pick_screens</definedName>
    <definedName name="pick_shearsubs" localSheetId="8" hidden="0" function="0" vbProcedure="0">'[146]tally checklist'!pick_shearsubs</definedName>
    <definedName name="pick_sump" localSheetId="8" hidden="0" function="0" vbProcedure="0">'[146]tally checklist'!pick_sump</definedName>
    <definedName name="Pilot" localSheetId="8" hidden="0" function="0" vbProcedure="0">[242]!'[module4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'[64]tool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[241]index!#ref!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[43]!Calculate_Pipe</definedName>
    <definedName name="pre.Macro220" localSheetId="8" hidden="0" function="0" vbProcedure="0">[52]!Prev.Macro110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[52]!Prev.Macro122</definedName>
    <definedName name="prev.Macro200" localSheetId="8" hidden="0" function="0" vbProcedure="0">[52]!Prev.Macro128</definedName>
    <definedName name="Prev.Macro242" localSheetId="8" hidden="0" function="0" vbProcedure="0">[52]!Prev.Macro106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'[250]neb-wells'!#ref!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[241]index!#ref!</definedName>
    <definedName name="PSI" localSheetId="8" hidden="0" function="0" vbProcedure="0">'[78]tester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[241]index!#ref!</definedName>
    <definedName name="psl" localSheetId="8" hidden="0" function="0" vbProcedure="0">[56]data!#ref!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[241]index!#ref!</definedName>
    <definedName name="PTWO_TOTAL" localSheetId="8" hidden="0" function="0" vbProcedure="0">[241]index!#ref!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[254]!Calculate_Pipe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'[146]tally checklist'!quantum</definedName>
    <definedName name="Range1" localSheetId="8" hidden="0" function="0" vbProcedure="0">OFFSET([257]sheet1!$e$5, 1, 0,[257]sheet1!$e$2,1)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[120]!Recalc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'[1]run sheet'!#ref!</definedName>
    <definedName name="RESE" localSheetId="8" hidden="0" function="0" vbProcedure="0">'[146]tally checklist'!rese</definedName>
    <definedName name="reservoir15" localSheetId="8" hidden="0" function="0" vbProcedure="0">'[73]geological prognosis'!#ref!</definedName>
    <definedName name="reservoir16" localSheetId="8" hidden="0" function="0" vbProcedure="0">'[73]geological prognosis'!#ref!</definedName>
    <definedName name="reservoir17" localSheetId="8" hidden="0" function="0" vbProcedure="0">'[73]geological prognosis'!#ref!</definedName>
    <definedName name="reservoir18" localSheetId="8" hidden="0" function="0" vbProcedure="0">'[73]geological prognosis'!#ref!</definedName>
    <definedName name="reservoir19" localSheetId="8" hidden="0" function="0" vbProcedure="0">'[73]geological prognosis'!#ref!</definedName>
    <definedName name="reservoir20" localSheetId="8" hidden="0" function="0" vbProcedure="0">'[73]geological prognosis'!#ref!</definedName>
    <definedName name="reservoir21" localSheetId="8" hidden="0" function="0" vbProcedure="0">'[73]geological prognosis'!#ref!</definedName>
    <definedName name="reservoir22" localSheetId="8" hidden="0" function="0" vbProcedure="0">'[73]geological prognosis'!#ref!</definedName>
    <definedName name="reservoir23" localSheetId="8" hidden="0" function="0" vbProcedure="0">'[73]geological prognosis'!#ref!</definedName>
    <definedName name="reservoir24" localSheetId="8" hidden="0" function="0" vbProcedure="0">'[73]geological prognosis'!#ref!</definedName>
    <definedName name="reservoir25" localSheetId="8" hidden="0" function="0" vbProcedure="0">'[73]geological prognosis'!#ref!</definedName>
    <definedName name="reservoir26" localSheetId="8" hidden="0" function="0" vbProcedure="0">'[73]geological prognosis'!#ref!</definedName>
    <definedName name="reservoir27" localSheetId="8" hidden="0" function="0" vbProcedure="0">'[73]geological prognosis'!#ref!</definedName>
    <definedName name="reservoir28" localSheetId="8" hidden="0" function="0" vbProcedure="0">'[73]geological prognosis'!#ref!</definedName>
    <definedName name="reservoir29" localSheetId="8" hidden="0" function="0" vbProcedure="0">'[73]geological prognosis'!#ref!</definedName>
    <definedName name="resrevoir09" localSheetId="8" hidden="0" function="0" vbProcedure="0">'[73]geological prognosis'!#ref!</definedName>
    <definedName name="resrevoir10" localSheetId="8" hidden="0" function="0" vbProcedure="0">'[73]geological prognosis'!#ref!</definedName>
    <definedName name="resrevoir12" localSheetId="8" hidden="0" function="0" vbProcedure="0">'[73]geological prognosis'!#ref!</definedName>
    <definedName name="resrevoir13" localSheetId="8" hidden="0" function="0" vbProcedure="0">'[73]geological prognosis'!#ref!</definedName>
    <definedName name="resrevoir14" localSheetId="8" hidden="0" function="0" vbProcedure="0">'[73]geological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'[1]run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'[96]well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'[7]#ref'!#ref!</definedName>
    <definedName name="SAND_IN_CAS_EXT" localSheetId="8" hidden="0" function="0" vbProcedure="0">'[7]#ref'!#ref!</definedName>
    <definedName name="SAND_IN_CAS_PREPACK" localSheetId="8" hidden="0" function="0" vbProcedure="0">'[113]#REF'!$F$81</definedName>
    <definedName name="SAND_IN_CAS_SCR" localSheetId="8" hidden="0" function="0" vbProcedure="0">'[7]#ref'!#ref!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[28]!Save_Document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[18]!Macro1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[75]!Calculate_Pipe</definedName>
    <definedName name="se" localSheetId="8" hidden="0" function="0" vbProcedure="0">'[270]calculo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'[96]well test sheet'!#ref!</definedName>
    <definedName name="sep_temp" localSheetId="8" hidden="0" function="0" vbProcedure="0">'[96]well test sheet'!#ref!</definedName>
    <definedName name="serialselect1" localSheetId="8" hidden="0" function="0" vbProcedure="0">[28]!serialselect1</definedName>
    <definedName name="serialselect2" localSheetId="8" hidden="0" function="0" vbProcedure="0">[28]!serialselect2</definedName>
    <definedName name="serialselect3" localSheetId="8" hidden="0" function="0" vbProcedure="0">[28]!serialselect3</definedName>
    <definedName name="serialselect4" localSheetId="8" hidden="0" function="0" vbProcedure="0">[28]!serialselect4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'[146]tally checklist'!sher</definedName>
    <definedName name="shippedvia" localSheetId="8" hidden="0" function="0" vbProcedure="0">'[33]data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[44]!Show_1</definedName>
    <definedName name="Show_1_1" localSheetId="8" hidden="0" function="0" vbProcedure="0">[28]!Show_1</definedName>
    <definedName name="Show_1_10" localSheetId="8" hidden="0" function="0" vbProcedure="0">[28]!Show_1</definedName>
    <definedName name="Show_1_11" localSheetId="8" hidden="0" function="0" vbProcedure="0">[28]!Show_1</definedName>
    <definedName name="Show_1_2" localSheetId="8" hidden="0" function="0" vbProcedure="0">[28]!Show_1</definedName>
    <definedName name="Show_1_3" localSheetId="8" hidden="0" function="0" vbProcedure="0">[28]!Show_1</definedName>
    <definedName name="Show_1_4" localSheetId="8" hidden="0" function="0" vbProcedure="0">[28]!Show_1</definedName>
    <definedName name="Show_1_5" localSheetId="8" hidden="0" function="0" vbProcedure="0">[28]!Show_1</definedName>
    <definedName name="Show_1_6" localSheetId="8" hidden="0" function="0" vbProcedure="0">[28]!Show_1</definedName>
    <definedName name="Show_1_7" localSheetId="8" hidden="0" function="0" vbProcedure="0">[28]!Show_1</definedName>
    <definedName name="Show_1_8" localSheetId="8" hidden="0" function="0" vbProcedure="0">[28]!Show_1</definedName>
    <definedName name="Show_1_9" localSheetId="8" hidden="0" function="0" vbProcedure="0">[28]!Show_1</definedName>
    <definedName name="Show_2" localSheetId="8" hidden="0" function="0" vbProcedure="0">[44]!Show_2</definedName>
    <definedName name="Show_2_1" localSheetId="8" hidden="0" function="0" vbProcedure="0">[28]!Show_2</definedName>
    <definedName name="Show_2_10" localSheetId="8" hidden="0" function="0" vbProcedure="0">[28]!Show_2</definedName>
    <definedName name="Show_2_11" localSheetId="8" hidden="0" function="0" vbProcedure="0">[28]!Show_2</definedName>
    <definedName name="Show_2_2" localSheetId="8" hidden="0" function="0" vbProcedure="0">[28]!Show_2</definedName>
    <definedName name="Show_2_3" localSheetId="8" hidden="0" function="0" vbProcedure="0">[28]!Show_2</definedName>
    <definedName name="Show_2_4" localSheetId="8" hidden="0" function="0" vbProcedure="0">[28]!Show_2</definedName>
    <definedName name="Show_2_5" localSheetId="8" hidden="0" function="0" vbProcedure="0">[28]!Show_2</definedName>
    <definedName name="Show_2_6" localSheetId="8" hidden="0" function="0" vbProcedure="0">[28]!Show_2</definedName>
    <definedName name="Show_2_7" localSheetId="8" hidden="0" function="0" vbProcedure="0">[28]!Show_2</definedName>
    <definedName name="Show_2_8" localSheetId="8" hidden="0" function="0" vbProcedure="0">[28]!Show_2</definedName>
    <definedName name="Show_2_9" localSheetId="8" hidden="0" function="0" vbProcedure="0">[28]!Show_2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[275]!Macro46</definedName>
    <definedName name="SSDHGR" localSheetId="8" hidden="0" function="0" vbProcedure="0">#ref!</definedName>
    <definedName name="ssdsd" localSheetId="8" hidden="0" function="0" vbProcedure="0">'[146]tally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[52]!Prev.Macro102</definedName>
    <definedName name="Tally" localSheetId="8" hidden="0" function="0" vbProcedure="0">#ref!</definedName>
    <definedName name="tallyc" localSheetId="8" hidden="0" function="0" vbProcedure="0">'[3]run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[151]!Calculate_Pipe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[287]!ADDSTAB</definedName>
    <definedName name="TD_Depth_md" localSheetId="8" hidden="0" function="0" vbProcedure="0">'[73]well specification'!#ref!</definedName>
    <definedName name="TD_md" localSheetId="8" hidden="0" function="0" vbProcedure="0">'[73]well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'[146]tally checklist'!textfive</definedName>
    <definedName name="textfivehalf" localSheetId="8" hidden="0" function="0" vbProcedure="0">'[146]tally checklist'!textfivehalf</definedName>
    <definedName name="textninefiveeightfourfirst" localSheetId="8" hidden="0" function="0" vbProcedure="0">'[146]tally checklist'!textninefiveeightfourfirst</definedName>
    <definedName name="textninefiveeightfoursecond" localSheetId="8" hidden="0" function="0" vbProcedure="0">'[146]tally checklist'!textninefiveeightfoursecond</definedName>
    <definedName name="textninefiveeightsixfirst" localSheetId="8" hidden="0" function="0" vbProcedure="0">'[146]tally checklist'!textninefiveeightsixfirst</definedName>
    <definedName name="textninefiveeightsixsecond" localSheetId="8" hidden="0" function="0" vbProcedure="0">'[146]tally checklist'!textninefiveeightsixsecond</definedName>
    <definedName name="textsevenfiveeightfour" localSheetId="8" hidden="0" function="0" vbProcedure="0">'[146]tally checklist'!textsevenfiveeightfour</definedName>
    <definedName name="textsevenfiveeightthree" localSheetId="8" hidden="0" function="0" vbProcedure="0">'[146]tally checklist'!textsevenfiveeightthree</definedName>
    <definedName name="textsevenfour" localSheetId="8" hidden="0" function="0" vbProcedure="0">'[146]tally checklist'!textsevenfour</definedName>
    <definedName name="textseventhree" localSheetId="8" hidden="0" function="0" vbProcedure="0">'[146]tally checklist'!textseventhree</definedName>
    <definedName name="text_five" localSheetId="8" hidden="0" function="0" vbProcedure="0">'[146]tally checklist'!text_five</definedName>
    <definedName name="text_fivehalf" localSheetId="8" hidden="0" function="0" vbProcedure="0">'[146]tally checklist'!text_fivehalf</definedName>
    <definedName name="text_ninefiveeightfourfirst" localSheetId="8" hidden="0" function="0" vbProcedure="0">'[146]tally checklist'!text_ninefiveeightfourfirst</definedName>
    <definedName name="text_ninefiveeightfoursecond" localSheetId="8" hidden="0" function="0" vbProcedure="0">'[146]tally checklist'!text_ninefiveeightfoursecond</definedName>
    <definedName name="text_ninefiveeightsixfirst" localSheetId="8" hidden="0" function="0" vbProcedure="0">'[146]tally checklist'!text_ninefiveeightsixfirst</definedName>
    <definedName name="text_ninefiveeightsixsecond" localSheetId="8" hidden="0" function="0" vbProcedure="0">'[146]tally checklist'!text_ninefiveeightsixsecond</definedName>
    <definedName name="text_sevenfiveeightfour" localSheetId="8" hidden="0" function="0" vbProcedure="0">'[146]tally checklist'!text_sevenfiveeightfour</definedName>
    <definedName name="text_sevenfiveeightthree" localSheetId="8" hidden="0" function="0" vbProcedure="0">'[146]tally checklist'!text_sevenfiveeightthree</definedName>
    <definedName name="text_sevenfour" localSheetId="8" hidden="0" function="0" vbProcedure="0">'[146]tally checklist'!text_sevenfour</definedName>
    <definedName name="text_seventhree" localSheetId="8" hidden="0" function="0" vbProcedure="0">'[146]tally checklist'!text_seventhree</definedName>
    <definedName name="tgrade" localSheetId="8" hidden="0" function="0" vbProcedure="0">[157]Control!$D$9</definedName>
    <definedName name="TGW" localSheetId="8" hidden="0" function="0" vbProcedure="0">'[146]tally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[56]data!#ref!</definedName>
    <definedName name="time" localSheetId="8" hidden="0" function="0" vbProcedure="0">'[96]well test sheet'!#ref!</definedName>
    <definedName name="Time_1" localSheetId="8" hidden="0" function="0" vbProcedure="0">#ref!</definedName>
    <definedName name="Time_1__Time_2" localSheetId="8" hidden="0" function="0" vbProcedure="0">'[290]k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'[48]liner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'[7]#ref'!#ref!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'[7]#ref'!#ref!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'[146]tally checklist'!tqw</definedName>
    <definedName name="tr" localSheetId="8" hidden="0" function="0" vbProcedure="0">null</definedName>
    <definedName name="transport" localSheetId="8" hidden="0" function="0" vbProcedure="0">[56]data!#ref!</definedName>
    <definedName name="treatment" localSheetId="8" hidden="0" function="0" vbProcedure="0">[56]data!#ref!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[86]!TubTable[id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'[146]tally checklist'!tyjeje</definedName>
    <definedName name="TYPE" localSheetId="8" hidden="0" function="0" vbProcedure="0">'[61]7-30-04'!#ref!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'[50]12(762mm)套管'!#ref!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'[146]tally checklist'!vbcode.draw_blanks</definedName>
    <definedName name="vbcode.draw_linerfirst" localSheetId="8" hidden="0" function="0" vbProcedure="0">'[146]tally checklist'!vbcode.draw_linerfirst</definedName>
    <definedName name="vbcode.draw_linersecond" localSheetId="8" hidden="0" function="0" vbProcedure="0">'[146]tally checklist'!vbcode.draw_linersecond</definedName>
    <definedName name="vbcode.draw_miscellaneous" localSheetId="8" hidden="0" function="0" vbProcedure="0">'[146]tally checklist'!vbcode.draw_miscellaneous</definedName>
    <definedName name="vbcode.draw_productionfirst" localSheetId="8" hidden="0" function="0" vbProcedure="0">'[146]tally checklist'!vbcode.draw_productionfirst</definedName>
    <definedName name="vbcode.draw_productionsecond" localSheetId="8" hidden="0" function="0" vbProcedure="0">'[146]tally checklist'!vbcode.draw_productionsecond</definedName>
    <definedName name="vbcode.draw_quantum" localSheetId="8" hidden="0" function="0" vbProcedure="0">'[146]tally checklist'!vbcode.draw_quantum</definedName>
    <definedName name="vbcode.draw_screens" localSheetId="8" hidden="0" function="0" vbProcedure="0">'[146]tally checklist'!vbcode.draw_screens</definedName>
    <definedName name="vbcode.draw_shearsubs" localSheetId="8" hidden="0" function="0" vbProcedure="0">'[146]tally checklist'!vbcode.draw_shearsubs</definedName>
    <definedName name="vbcode.draw_sump" localSheetId="8" hidden="0" function="0" vbProcedure="0">'[146]tally checklist'!vbcode.draw_sump</definedName>
    <definedName name="vbcode.text_five" localSheetId="8" hidden="0" function="0" vbProcedure="0">'[146]tally checklist'!vbcode.text_five</definedName>
    <definedName name="vbcode.text_fivehalf" localSheetId="8" hidden="0" function="0" vbProcedure="0">'[146]tally checklist'!vbcode.text_fivehalf</definedName>
    <definedName name="vbcode.text_ninefiveeightfourfirst" localSheetId="8" hidden="0" function="0" vbProcedure="0">'[146]tally checklist'!vbcode.text_ninefiveeightfourfirst</definedName>
    <definedName name="vbcode.text_ninefiveeightfoursecond" localSheetId="8" hidden="0" function="0" vbProcedure="0">'[146]tally checklist'!vbcode.text_ninefiveeightfoursecond</definedName>
    <definedName name="vbcode.text_ninefiveeightsixfirst" localSheetId="8" hidden="0" function="0" vbProcedure="0">'[146]tally checklist'!vbcode.text_ninefiveeightsixfirst</definedName>
    <definedName name="vbcode.text_ninefiveeightsixsecond" localSheetId="8" hidden="0" function="0" vbProcedure="0">'[146]tally checklist'!vbcode.text_ninefiveeightsixsecond</definedName>
    <definedName name="vbcode.text_sevenfiveeightfour" localSheetId="8" hidden="0" function="0" vbProcedure="0">'[146]tally checklist'!vbcode.text_sevenfiveeightfour</definedName>
    <definedName name="vbcode.text_sevenfiveeightthree" localSheetId="8" hidden="0" function="0" vbProcedure="0">'[146]tally checklist'!vbcode.text_sevenfiveeightthree</definedName>
    <definedName name="vbcode.text_sevenfour" localSheetId="8" hidden="0" function="0" vbProcedure="0">'[146]tally checklist'!vbcode.text_sevenfour</definedName>
    <definedName name="vbcode.text_seventhree" localSheetId="8" hidden="0" function="0" vbProcedure="0">'[146]tally checklist'!vbcode.text_seventhree</definedName>
    <definedName name="Verticaldepth" localSheetId="8" hidden="0" function="0" vbProcedure="0">'[129]Front Page Info'!$C$18</definedName>
    <definedName name="vfdvf" localSheetId="8" hidden="0" function="0" vbProcedure="0">[181]!Macro61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[82]!Macro60</definedName>
    <definedName name="w" localSheetId="8" hidden="0" function="0" vbProcedure="0">'[306]run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[307]welltest!#ref!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'[96]well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[86]!CasingTable[#data]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'[96]well test sheet'!#ref!</definedName>
    <definedName name="wtr_rate" localSheetId="8" hidden="0" function="0" vbProcedure="0">'[96]well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[309]!Macro46</definedName>
    <definedName name="Y" localSheetId="8" hidden="0" function="0" vbProcedure="0">'[310]#ref'!#ref!</definedName>
    <definedName name="YESNO" localSheetId="8" hidden="0" function="0" vbProcedure="0">[129]RSS!$E$139:$E$141</definedName>
    <definedName name="YJEJD" localSheetId="8" hidden="0" function="0" vbProcedure="0">'[146]tally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[309]!'[module4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'[1]run sheet'!#ref!</definedName>
    <definedName name="_B" localSheetId="8" hidden="0" function="0" vbProcedure="0">#ref!</definedName>
    <definedName name="_C" localSheetId="8" hidden="0" function="0" vbProcedure="0">'[1]run sheet'!#ref!</definedName>
    <definedName name="_D" localSheetId="8" hidden="0" function="0" vbProcedure="0">'[1]run sheet'!#ref!</definedName>
    <definedName name="_E" localSheetId="8" hidden="0" function="0" vbProcedure="0">'[1]run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'[1]run sheet'!#ref!</definedName>
    <definedName name="_J" localSheetId="8" hidden="0" function="0" vbProcedure="0">'[1]run sheet'!#ref!</definedName>
    <definedName name="_L" localSheetId="8" hidden="0" function="0" vbProcedure="0">'[1]run sheet'!#ref!</definedName>
    <definedName name="_N" localSheetId="8" hidden="0" function="0" vbProcedure="0">'[1]run sheet'!#ref!</definedName>
    <definedName name="_q" localSheetId="8" hidden="0" function="0" vbProcedure="0">'[4]run sheet'!#ref!</definedName>
    <definedName name="_T" localSheetId="8" hidden="1" function="0" vbProcedure="0">{#N/A,#N/A,FALSE,"Volume"}</definedName>
    <definedName name="_V" localSheetId="8" hidden="0" function="0" vbProcedure="0">#ref!</definedName>
    <definedName name="_X" localSheetId="8" hidden="0" function="0" vbProcedure="0">'[1]run sheet'!#ref!</definedName>
    <definedName name="_Z" localSheetId="8" hidden="0" function="0" vbProcedure="0">'[1]run sheet'!#ref!</definedName>
    <definedName name="_" localSheetId="8" hidden="0" function="0" vbProcedure="0">[6]readings!#ref!</definedName>
    <definedName name="_1" localSheetId="8" hidden="1" function="0" vbProcedure="0">{#N/A,#N/A,FALSE,"Volume"}</definedName>
    <definedName name="_11Druckbereich" localSheetId="8" hidden="0" function="0" vbProcedure="0">[36]run_s!#ref!</definedName>
    <definedName name="_1234GRAPH_G" localSheetId="8" hidden="1" function="0" vbProcedure="0">[179]Run!$F$16:$F$514</definedName>
    <definedName name="_1Module2__2__.gaugeconok2" localSheetId="8" hidden="0" function="0" vbProcedure="0">[28]!_1Module2__2__.gaugeconok2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[28]!_2Module2__2__.gaugeok2</definedName>
    <definedName name="_3Module2__2__.gaugeselect2" localSheetId="8" hidden="0" function="0" vbProcedure="0">[28]!_3Module2__2__.gaugeselect2</definedName>
    <definedName name="_4Module2__2__.serialselect3" localSheetId="8" hidden="0" function="0" vbProcedure="0">[28]!_4Module2__2__.serialselect3</definedName>
    <definedName name="_5" localSheetId="8" hidden="1" function="0" vbProcedure="0">{#N/A,#N/A,FALSE,"Volume"}</definedName>
    <definedName name="_5Module2__2__.serialselect4" localSheetId="8" hidden="0" function="0" vbProcedure="0">[28]!_5Module2__2__.serialselect4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[15]!Calculate_Pipe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'[40]sap serv 06-02'!#ref!</definedName>
    <definedName name="_DAT17" localSheetId="8" hidden="0" function="0" vbProcedure="0">'[40]sap serv 06-02'!#ref!</definedName>
    <definedName name="_DAT19" localSheetId="8" hidden="0" function="0" vbProcedure="0">'[40]sap serv 06-02'!#ref!</definedName>
    <definedName name="_DAT20" localSheetId="8" hidden="0" function="0" vbProcedure="0">'[40]sap serv 06-02'!#ref!</definedName>
    <definedName name="_DAT25" localSheetId="8" hidden="0" function="0" vbProcedure="0">'[40]sap serv 06-02'!#ref!</definedName>
    <definedName name="_DAT26" localSheetId="8" hidden="0" function="0" vbProcedure="0">'[40]sap serv 06-02'!#ref!</definedName>
    <definedName name="_DAT27" localSheetId="8" hidden="0" function="0" vbProcedure="0">'[40]sap serv 06-02'!#ref!</definedName>
    <definedName name="_DAT28" localSheetId="8" hidden="0" function="0" vbProcedure="0">'[40]sap serv 06-02'!#ref!</definedName>
    <definedName name="_DAT29" localSheetId="8" hidden="0" function="0" vbProcedure="0">'[40]sap serv 06-02'!#ref!</definedName>
    <definedName name="_DAT31" localSheetId="8" hidden="0" function="0" vbProcedure="0">'[40]sap serv 06-02'!#ref!</definedName>
    <definedName name="_DAT32" localSheetId="8" hidden="0" function="0" vbProcedure="0">'[40]sap serv 06-02'!#ref!</definedName>
    <definedName name="_DAT34" localSheetId="8" hidden="0" function="0" vbProcedure="0">'[40]sap serv 06-02'!#ref!</definedName>
    <definedName name="_DAT35" localSheetId="8" hidden="0" function="0" vbProcedure="0">'[40]sap serv 06-02'!#ref!</definedName>
    <definedName name="_DAT36" localSheetId="8" hidden="0" function="0" vbProcedure="0">'[40]sap serv 06-02'!#ref!</definedName>
    <definedName name="_DAT40" localSheetId="8" hidden="0" function="0" vbProcedure="0">'[40]sap serv 06-02'!#ref!</definedName>
    <definedName name="_DAT41" localSheetId="8" hidden="0" function="0" vbProcedure="0">'[40]sap serv 06-02'!#ref!</definedName>
    <definedName name="_DAT42" localSheetId="8" hidden="0" function="0" vbProcedure="0">'[40]sap serv 06-02'!#ref!</definedName>
    <definedName name="_DAT44" localSheetId="8" hidden="0" function="0" vbProcedure="0">'[40]sap serv 06-02'!#ref!</definedName>
    <definedName name="_DAT45" localSheetId="8" hidden="0" function="0" vbProcedure="0">'[40]sap serv 06-02'!#ref!</definedName>
    <definedName name="_DAT46" localSheetId="8" hidden="0" function="0" vbProcedure="0">'[40]sap serv 06-02'!#ref!</definedName>
    <definedName name="_DAT47" localSheetId="8" hidden="0" function="0" vbProcedure="0">'[40]sap serv 06-02'!#ref!</definedName>
    <definedName name="_DAT48" localSheetId="8" hidden="0" function="0" vbProcedure="0">'[40]sap serv 06-02'!#ref!</definedName>
    <definedName name="_DAT49" localSheetId="8" hidden="0" function="0" vbProcedure="0">'[40]sap serv 06-02'!#ref!</definedName>
    <definedName name="_DAT50" localSheetId="8" hidden="0" function="0" vbProcedure="0">'[40]sap serv 06-02'!#ref!</definedName>
    <definedName name="_DAT52" localSheetId="8" hidden="0" function="0" vbProcedure="0">'[40]sap serv 06-02'!#ref!</definedName>
    <definedName name="_DAT53" localSheetId="8" hidden="0" function="0" vbProcedure="0">'[40]sap serv 06-02'!#ref!</definedName>
    <definedName name="_DAT54" localSheetId="8" hidden="0" function="0" vbProcedure="0">'[40]sap serv 06-02'!#ref!</definedName>
    <definedName name="_DAT56" localSheetId="8" hidden="0" function="0" vbProcedure="0">'[40]sap serv 06-02'!#ref!</definedName>
    <definedName name="_DAT57" localSheetId="8" hidden="0" function="0" vbProcedure="0">'[40]sap serv 06-02'!#ref!</definedName>
    <definedName name="_DAT62" localSheetId="8" hidden="0" function="0" vbProcedure="0">'[40]sap serv 06-02'!#ref!</definedName>
    <definedName name="_DAT63" localSheetId="8" hidden="0" function="0" vbProcedure="0">'[40]sap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'[33]data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[43]!Calculate_Pipe</definedName>
    <definedName name="_r06" localSheetId="8" hidden="0" function="0" vbProcedure="0">[44]!AutoCAD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[18]!Macro1</definedName>
    <definedName name="_SSA1" localSheetId="8" hidden="0" function="0" vbProcedure="0">[46]!Macro46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[28]!_UA38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[28]!__1Module2__2__.gaugeconok2</definedName>
    <definedName name="__2Module2__2__.gaugeok2" localSheetId="8" hidden="0" function="0" vbProcedure="0">[28]!__2Module2__2__.gaugeok2</definedName>
    <definedName name="__3Module2__2__.gaugeselect2" localSheetId="8" hidden="0" function="0" vbProcedure="0">[28]!__3Module2__2__.gaugeselect2</definedName>
    <definedName name="__4Module2__2__.serialselect3" localSheetId="8" hidden="0" function="0" vbProcedure="0">[28]!__4Module2__2__.serialselect3</definedName>
    <definedName name="__5Module2__2__.serialselect4" localSheetId="8" hidden="0" function="0" vbProcedure="0">[28]!__5Module2__2__.serialselect4</definedName>
    <definedName name="__A4" localSheetId="8" hidden="1" function="0" vbProcedure="0">[179]Run!$B$18:$B$512</definedName>
    <definedName name="__bb2789" localSheetId="8" hidden="0" function="0" vbProcedure="0">[10]!Calculate_Pipe</definedName>
    <definedName name="__SPM1" localSheetId="8" hidden="0" function="0" vbProcedure="0">[18]!Macro1</definedName>
    <definedName name="__UA38" localSheetId="8" hidden="0" function="0" vbProcedure="0">[28]!__UA38</definedName>
    <definedName name="__wrn1" localSheetId="8" hidden="1" function="0" vbProcedure="0">{#N/A,#N/A,FALSE,"Volume"}</definedName>
    <definedName name="___A4" localSheetId="8" hidden="1" function="0" vbProcedure="0">[179]Run!$B$18:$B$512</definedName>
    <definedName name="___bb2789" localSheetId="8" hidden="0" function="0" vbProcedure="0">[10]!Calculate_Pipe</definedName>
    <definedName name="___SPM1" localSheetId="8" hidden="0" function="0" vbProcedure="0">[18]!Macro1</definedName>
    <definedName name="___wrn1" localSheetId="8" hidden="1" function="0" vbProcedure="0">{#N/A,#N/A,FALSE,"Volume"}</definedName>
    <definedName name="____A4" localSheetId="8" hidden="1" function="0" vbProcedure="0">[179]Run!$B$18:$B$512</definedName>
    <definedName name="____bb2789" localSheetId="8" hidden="0" function="0" vbProcedure="0">[10]!Calculate_Pipe</definedName>
    <definedName name="____SPM1" localSheetId="8" hidden="0" function="0" vbProcedure="0">[18]!Macro1</definedName>
    <definedName name="____wrn1" localSheetId="8" hidden="1" function="0" vbProcedure="0">{#N/A,#N/A,FALSE,"Volume"}</definedName>
    <definedName name="_____A4" localSheetId="8" hidden="1" function="0" vbProcedure="0">[179]Run!$B$18:$B$512</definedName>
    <definedName name="_____bb2789" localSheetId="8" hidden="0" function="0" vbProcedure="0">[10]!Calculate_Pipe</definedName>
    <definedName name="_____SPM1" localSheetId="8" hidden="0" function="0" vbProcedure="0">[18]!Macro1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[10]!Calculate_Pipe</definedName>
    <definedName name="______SPM1" localSheetId="8" hidden="0" function="0" vbProcedure="0">[18]!Macro1</definedName>
    <definedName name="_______A4" localSheetId="8" hidden="1" function="0" vbProcedure="0">[179]Run!$B$18:$B$512</definedName>
    <definedName name="_______bb2789" localSheetId="8" hidden="0" function="0" vbProcedure="0">[10]!Calculate_Pipe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[10]!Calculate_Pipe</definedName>
    <definedName name="_________A4" localSheetId="8" hidden="1" function="0" vbProcedure="0">[179]Run!$B$18:$B$512</definedName>
    <definedName name="_________bb2789" localSheetId="8" hidden="0" function="0" vbProcedure="0">[10]!Calculate_Pipe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[16]!Calculate_Pipe</definedName>
    <definedName name="___________A4" localSheetId="8" hidden="1" function="0" vbProcedure="0">[179]Run!$B$18:$B$512</definedName>
    <definedName name="___________bb2789" localSheetId="8" hidden="0" function="0" vbProcedure="0">[16]!Calculate_Pipe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[16]!Calculate_Pipe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[16]!Calculate_Pipe</definedName>
    <definedName name="______________A4" localSheetId="8" hidden="1" function="0" vbProcedure="0">[179]Run!$B$18:$B$512</definedName>
    <definedName name="______________bb2789" localSheetId="8" hidden="0" function="0" vbProcedure="0">[16]!Calculate_Pipe</definedName>
    <definedName name="_______________A4" localSheetId="8" hidden="1" function="0" vbProcedure="0">[179]Run!$B$18:$B$512</definedName>
    <definedName name="_______________bb2789" localSheetId="8" hidden="0" function="0" vbProcedure="0">[16]!Calculate_Pipe</definedName>
    <definedName name="________________A4" localSheetId="8" hidden="1" function="0" vbProcedure="0">[179]Run!$B$18:$B$512</definedName>
    <definedName name="________________bb2789" localSheetId="8" hidden="0" function="0" vbProcedure="0">[10]!Calculate_Pipe</definedName>
    <definedName name="_________________A4" localSheetId="8" hidden="1" function="0" vbProcedure="0">[179]Run!$B$18:$B$512</definedName>
    <definedName name="_________________bb2789" localSheetId="8" hidden="0" function="0" vbProcedure="0">[15]!Calculate_Pipe</definedName>
    <definedName name="__________________A4" localSheetId="8" hidden="1" function="0" vbProcedure="0">[179]Run!$B$18:$B$512</definedName>
    <definedName name="__________________bb2789" localSheetId="8" hidden="0" function="0" vbProcedure="0">[12]!Calculate_Pipe</definedName>
    <definedName name="___________________A4" localSheetId="8" hidden="1" function="0" vbProcedure="0">[179]Run!$B$18:$B$512</definedName>
    <definedName name="___________________bb2789" localSheetId="8" hidden="0" function="0" vbProcedure="0">[12]!Calculate_Pipe</definedName>
    <definedName name="____________________A4" localSheetId="8" hidden="1" function="0" vbProcedure="0">[100]Run!$B$18:$B$512</definedName>
    <definedName name="____________________bb2789" localSheetId="8" hidden="0" function="0" vbProcedure="0">[10]!Calculate_Pipe</definedName>
    <definedName name="_____________________A4" localSheetId="8" hidden="1" function="0" vbProcedure="0">[179]Run!$B$18:$B$512</definedName>
    <definedName name="_____________________bb2789" localSheetId="8" hidden="0" function="0" vbProcedure="0">[13]!Calculate_Pipe</definedName>
    <definedName name="______________________A4" localSheetId="8" hidden="1" function="0" vbProcedure="0">[100]Run!$B$18:$B$512</definedName>
    <definedName name="______________________bb2789" localSheetId="8" hidden="0" function="0" vbProcedure="0">[10]!Calculate_Pipe</definedName>
    <definedName name="_______________________A4" localSheetId="8" hidden="1" function="0" vbProcedure="0">[100]Run!$B$18:$B$512</definedName>
    <definedName name="_______________________bb2789" localSheetId="8" hidden="0" function="0" vbProcedure="0">[10]!Calculate_Pipe</definedName>
    <definedName name="________________________A4" localSheetId="8" hidden="1" function="0" vbProcedure="0">[100]Run!$B$18:$B$512</definedName>
    <definedName name="________________________bb2789" localSheetId="8" hidden="0" function="0" vbProcedure="0">[12]!Calculate_Pipe</definedName>
    <definedName name="_________________________bb2789" localSheetId="8" hidden="0" function="0" vbProcedure="0">[10]!Calculate_Pipe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[51]!Prev.Macro111</definedName>
    <definedName name="aaaa" localSheetId="9" hidden="0" function="0" vbProcedure="0">[52]!Macro59</definedName>
    <definedName name="ABX" localSheetId="9" hidden="1" function="0" vbProcedure="0">[1]Run!$B$18:$B$512</definedName>
    <definedName name="addresstwo" localSheetId="9" hidden="0" function="0" vbProcedure="0">[57]data!#ref!</definedName>
    <definedName name="ADDSTAB" localSheetId="9" hidden="0" function="0" vbProcedure="0">[58]!ADDSTAB</definedName>
    <definedName name="adf" localSheetId="9" hidden="0" function="0" vbProcedure="0">[59]!Macro60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lwyn1" localSheetId="9" hidden="0" function="0" vbProcedure="0">#ref!</definedName>
    <definedName name="AMACRO.n2foam" localSheetId="9" hidden="0" function="0" vbProcedure="0">'[64]tool backload dt'!amacro.n2foam</definedName>
    <definedName name="Ambient_temp" localSheetId="9" hidden="0" function="0" vbProcedure="0">'[7]#ref'!#ref!</definedName>
    <definedName name="amis" localSheetId="9" hidden="0" function="0" vbProcedure="0">[105]Tally!$A$5:$J$825</definedName>
    <definedName name="ANDERGAUGE" localSheetId="9" hidden="0" function="0" vbProcedure="0">[58]!ANDERGAUGE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'[73]well team goals'!#ref!</definedName>
    <definedName name="Approver_Well_Plan" localSheetId="9" hidden="0" function="0" vbProcedure="0">'[73]well team goals'!#ref!</definedName>
    <definedName name="ASDA" localSheetId="9" hidden="0" function="0" vbProcedure="0">[74]!Calculate_Pipe</definedName>
    <definedName name="ASS" localSheetId="9" hidden="0" function="0" vbProcedure="0">[75]!JointNumber</definedName>
    <definedName name="Assembly1" localSheetId="9" hidden="0" function="0" vbProcedure="0">[75]!Calculate_Pipe</definedName>
    <definedName name="assy.3" localSheetId="9" hidden="0" function="0" vbProcedure="0">[75]!Calculate_Pipe</definedName>
    <definedName name="ASSY.6" localSheetId="9" hidden="0" function="0" vbProcedure="0">[75]!Calculate_Pipe</definedName>
    <definedName name="ASSY2312" localSheetId="9" hidden="0" function="0" vbProcedure="0">[29]!Macro1</definedName>
    <definedName name="ASSY7" localSheetId="9" hidden="0" function="0" vbProcedure="0">[43]!Calculate_Pipe</definedName>
    <definedName name="ASSY_098" localSheetId="9" hidden="0" function="0" vbProcedure="0">[75]!JointNumber</definedName>
    <definedName name="ASSY_122" localSheetId="9" hidden="0" function="0" vbProcedure="0">[29]!Macro1</definedName>
    <definedName name="ASSY_123" localSheetId="9" hidden="0" function="0" vbProcedure="0">[75]!JointNumber</definedName>
    <definedName name="ASSY_2111" localSheetId="9" hidden="0" function="0" vbProcedure="0">[29]!Macro1</definedName>
    <definedName name="ASSY_231" localSheetId="9" hidden="0" function="0" vbProcedure="0">[29]!Macro1</definedName>
    <definedName name="ASSY_342" localSheetId="9" hidden="0" function="0" vbProcedure="0">[29]!Macro1</definedName>
    <definedName name="ASSY_36" localSheetId="9" hidden="0" function="0" vbProcedure="0">[29]!Macro1</definedName>
    <definedName name="ASSY_4" localSheetId="9" hidden="0" function="0" vbProcedure="0">[29]!Macro1</definedName>
    <definedName name="ASSY_432" localSheetId="9" hidden="0" function="0" vbProcedure="0">[29]!Macro1</definedName>
    <definedName name="assy_5" localSheetId="9" hidden="0" function="0" vbProcedure="0">[75]!JointNumber</definedName>
    <definedName name="assy_543" localSheetId="9" hidden="0" function="0" vbProcedure="0">[75]!JointNumber</definedName>
    <definedName name="Assy_765" localSheetId="9" hidden="0" function="0" vbProcedure="0">[75]!Calculate_Pipe</definedName>
    <definedName name="ASSy_blast" localSheetId="9" hidden="0" function="0" vbProcedure="0">[75]!Calculate_Pipe</definedName>
    <definedName name="ASSY_W2" localSheetId="9" hidden="0" function="0" vbProcedure="0">[75]!Calculate_Pipe</definedName>
    <definedName name="AutoCAD" localSheetId="9" hidden="0" function="0" vbProcedure="0">[44]!AutoCAD</definedName>
    <definedName name="AutoCAD_1" localSheetId="9" hidden="0" function="0" vbProcedure="0">'TALLY.'!AutoCAD</definedName>
    <definedName name="AutoCAD_10" localSheetId="9" hidden="0" function="0" vbProcedure="0">'TALLY.'!AutoCAD</definedName>
    <definedName name="AutoCAD_11" localSheetId="9" hidden="0" function="0" vbProcedure="0">'TALLY.'!AutoCAD</definedName>
    <definedName name="AutoCAD_2" localSheetId="9" hidden="0" function="0" vbProcedure="0">'TALLY.'!AutoCAD</definedName>
    <definedName name="AutoCAD_3" localSheetId="9" hidden="0" function="0" vbProcedure="0">'TALLY.'!AutoCAD</definedName>
    <definedName name="AutoCAD_4" localSheetId="9" hidden="0" function="0" vbProcedure="0">'TALLY.'!AutoCAD</definedName>
    <definedName name="AutoCAD_5" localSheetId="9" hidden="0" function="0" vbProcedure="0">'TALLY.'!AutoCAD</definedName>
    <definedName name="AutoCAD_6" localSheetId="9" hidden="0" function="0" vbProcedure="0">'TALLY.'!AutoCAD</definedName>
    <definedName name="AutoCAD_7" localSheetId="9" hidden="0" function="0" vbProcedure="0">'TALLY.'!AutoCAD</definedName>
    <definedName name="AutoCAD_8" localSheetId="9" hidden="0" function="0" vbProcedure="0">'TALLY.'!AutoCAD</definedName>
    <definedName name="AutoCAD_9" localSheetId="9" hidden="0" function="0" vbProcedure="0">'TALLY.'!AutoCAD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[11]DATA!$BO$2:$BO$9</definedName>
    <definedName name="AvgLength" localSheetId="9" hidden="0" function="0" vbProcedure="0">'[79]casing talley'!#ref!</definedName>
    <definedName name="axj" localSheetId="9" hidden="1" function="0" vbProcedure="0">{#N/A,#N/A,FALSE,"Sheet1"}</definedName>
    <definedName name="A_L" localSheetId="9" hidden="0" function="0" vbProcedure="0">'[50]12(762mm)套管'!#ref!</definedName>
    <definedName name="b" localSheetId="9" hidden="1" function="0" vbProcedure="0">#ref!</definedName>
    <definedName name="back" localSheetId="9" hidden="0" function="0" vbProcedure="0">'[64]tool backload dt'!back</definedName>
    <definedName name="BallMaterial" localSheetId="9" hidden="0" function="0" vbProcedure="0">[11]DATA!$BL$2:$BL$11</definedName>
    <definedName name="Ballooning_Area" localSheetId="9" hidden="0" function="0" vbProcedure="0">[11]Test!$M$18</definedName>
    <definedName name="Ballseat" localSheetId="9" hidden="0" function="0" vbProcedure="0">[11]DATA!$AG$2:$AG$9</definedName>
    <definedName name="BallSize" localSheetId="9" hidden="0" function="0" vbProcedure="0">[11]DATA!$BF$3:$BF$8</definedName>
    <definedName name="basicok" localSheetId="9" hidden="0" function="0" vbProcedure="0">[29]!basicok</definedName>
    <definedName name="BBB" localSheetId="9" hidden="0" function="0" vbProcedure="0">'[110]DD Worksheet'!$C$1</definedName>
    <definedName name="bbbbb" localSheetId="9" hidden="0" function="0" vbProcedure="0">[82]!Macro61</definedName>
    <definedName name="bbllm3" localSheetId="9" hidden="0" function="0" vbProcedure="0">'[11]Metric Conversions'!$B$69</definedName>
    <definedName name="bblstk" localSheetId="9" hidden="0" function="0" vbProcedure="0">'[11]Displacement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r" localSheetId="9" hidden="0" function="0" vbProcedure="0">#ref!</definedName>
    <definedName name="BHRR" localSheetId="9" hidden="0" function="0" vbProcedure="0">#ref!</definedName>
    <definedName name="BHT" localSheetId="9" hidden="0" function="0" vbProcedure="0">'[94]Job Technical Info'!$D$42</definedName>
    <definedName name="Bitsize" localSheetId="9" hidden="0" function="0" vbProcedure="0">[11]DATA!$L$2:$L$41</definedName>
    <definedName name="bj_stroke" localSheetId="9" hidden="0" function="0" vbProcedure="0">'[11]Metric Conversions'!$B$35</definedName>
    <definedName name="bj_strokez" localSheetId="9" hidden="0" function="0" vbProcedure="0">'[11]Metric Conversions'!$C$35</definedName>
    <definedName name="BJ_Tens" localSheetId="9" hidden="0" function="0" vbProcedure="0">'[11]Liner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Fl" localSheetId="9" hidden="0" function="0" vbProcedure="0">#ref!</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'[11]Weight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[86]!TubTable[[340]:[438]]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'[96]well test sheet'!#ref!</definedName>
    <definedName name="Budget_owner" localSheetId="9" hidden="0" function="0" vbProcedure="0">'[73]well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[86]!TubTable[[340]:[438]]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[75]!Calculate_Pipe</definedName>
    <definedName name="Calculate_Pipe" localSheetId="9" hidden="0" function="0" vbProcedure="0">[99]!Calculate_Pipe</definedName>
    <definedName name="Cancel" localSheetId="9" hidden="0" function="0" vbProcedure="0">[100]!Cancel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'[11]Liner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'[7]#ref'!#ref!</definedName>
    <definedName name="CAS_EXT_VOL" localSheetId="9" hidden="0" function="0" vbProcedure="0">'[7]#ref'!#ref!</definedName>
    <definedName name="CAS_ID" localSheetId="9" hidden="0" function="0" vbProcedure="0">'[113]#REF'!$H$11</definedName>
    <definedName name="CAS_OD" localSheetId="9" hidden="0" function="0" vbProcedure="0">'[113]#REF'!$J$11</definedName>
    <definedName name="CAS_SCR_VOL" localSheetId="9" hidden="0" function="0" vbProcedure="0">'[7]#ref'!#ref!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[82]!Macro59</definedName>
    <definedName name="cdr" localSheetId="9" hidden="0" function="0" vbProcedure="0">'[96]well test sheet'!#ref!</definedName>
    <definedName name="CDWimdbase" localSheetId="9" hidden="0" function="0" vbProcedure="0">'[120]CD''s'!$A$2:$G$374</definedName>
    <definedName name="CementCompany" localSheetId="9" hidden="0" function="0" vbProcedure="0">[11]DATA!$BJ$2:$BJ$8</definedName>
    <definedName name="CENG" localSheetId="9" hidden="0" function="0" vbProcedure="0">[182]Reference!$A$2:$A$4</definedName>
    <definedName name="Centralizers" localSheetId="9" hidden="0" function="0" vbProcedure="0">[11]DATA!$AI$2:$AI$9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'[64]tool backload dt'!chemmac</definedName>
    <definedName name="Choice" localSheetId="9" hidden="0" function="0" vbProcedure="0">[26]Lists!$A$1:$A$3</definedName>
    <definedName name="cim" localSheetId="9" hidden="0" function="0" vbProcedure="0">[118]!Calculate_Pipe</definedName>
    <definedName name="CIPMACRO.n2foam" localSheetId="9" hidden="0" function="0" vbProcedure="0">'[64]tool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[58]!CLAMPON</definedName>
    <definedName name="CLEARCONTENTS" localSheetId="9" hidden="0" function="0" vbProcedure="0">[120]!CLEARCONTENTS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OFFSET(INDIRECT(ADDRESS(MATCH('TALLY.'!CL_Wt,'TALLY.'!Objects,0)+1,2,,,"Casing Info")),0,1,COUNTIF('TALLY.'!Objects,'TALLY.'!CL_Wt),1)</definedName>
    <definedName name="CL_Wt" localSheetId="9" hidden="0" function="0" vbProcedure="0">'[11]Database Pg1'!$E$28</definedName>
    <definedName name="Objects" localSheetId="9" hidden="0" function="0" vbProcedure="0">'[11]Casing Info'!$B$2:$B$241</definedName>
    <definedName name="Clist2" localSheetId="9" hidden="0" function="0" vbProcedure="0">OFFSET(INDIRECT(ADDRESS(MATCH('TALLY.'!Hsize2,'TALLY.'!Objects,0)+1,2,,,"Casing Info")),0,1,COUNTIF('TALLY.'!Objects,'TALLY.'!Hsize2),1)</definedName>
    <definedName name="Hsize2" localSheetId="9" hidden="0" function="0" vbProcedure="0">'[11]Database Pg1'!$G$81</definedName>
    <definedName name="Clist3" localSheetId="9" hidden="0" function="0" vbProcedure="0">OFFSET(INDIRECT(ADDRESS(MATCH('TALLY.'!Hsize3,'TALLY.'!Objects,0)+1,2,,,"Casing Info")),0,1,COUNTIF('TALLY.'!Objects,'TALLY.'!Hsize3),1)</definedName>
    <definedName name="Hsize3" localSheetId="9" hidden="0" function="0" vbProcedure="0">'[11]Database Pg1'!$G$83</definedName>
    <definedName name="Clrmess" localSheetId="9" hidden="0" function="0" vbProcedure="0">[120]!Clrmess</definedName>
    <definedName name="CO2_" localSheetId="9" hidden="0" function="0" vbProcedure="0">'[94]Job Technical Info'!$L$42</definedName>
    <definedName name="CODELIST" localSheetId="9" hidden="0" function="0" vbProcedure="0">#ref!</definedName>
    <definedName name="CODETAB" localSheetId="9" hidden="0" function="0" vbProcedure="0">#ref!</definedName>
    <definedName name="coections" localSheetId="9" hidden="0" function="0" vbProcedure="0">[29]!coections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[29]!conections</definedName>
    <definedName name="Conflict1" localSheetId="9" hidden="1" function="0" vbProcedure="0">{#N/A,#N/A,FALSE,"Drlg Param Run 1-1";#N/A,#N/A,FALSE,"DDR (3)";#N/A,#N/A,FALSE,"BHA AT (1)";#N/A,#N/A,FALSE,"Downlinkbha";#N/A,#N/A,FALSE,"Job Status Report"}</definedName>
    <definedName name="conical" localSheetId="9" hidden="0" function="0" vbProcedure="0">#ref!</definedName>
    <definedName name="conref" localSheetId="9" hidden="0" function="0" vbProcedure="0">[124]Price!$A$1:$A$65536</definedName>
    <definedName name="consequence" localSheetId="9" hidden="0" function="0" vbProcedure="0">[125]Sheet2!$A$1:$A$5</definedName>
    <definedName name="contract" localSheetId="9" hidden="0" function="0" vbProcedure="0">'[34]Call Sheet'!$E$3</definedName>
    <definedName name="contractnum" localSheetId="9" hidden="0" function="0" vbProcedure="0">'[33]data '!#ref!</definedName>
    <definedName name="contractor" localSheetId="9" hidden="0" function="0" vbProcedure="0">'[34]Call Sheet'!$E$6</definedName>
    <definedName name="Coordinator" localSheetId="9" hidden="0" function="0" vbProcedure="0">'[94]Job Technical Info'!$G$10</definedName>
    <definedName name="COPYDESGN" localSheetId="9" hidden="0" function="0" vbProcedure="0">[58]!COPYDESGN</definedName>
    <definedName name="CoRep" localSheetId="9" hidden="0" function="0" vbProcedure="0">'[94]Job Technical Info'!$C$16</definedName>
    <definedName name="corrlist2" localSheetId="9" hidden="0" function="0" vbProcedure="0">OFFSET(INDIRECT(ADDRESS(MATCH('TALLY.'!Hsize2,'TALLY.'!Objects,0)+1,2,,,"Casing Info")),0,1,COUNTIF('TALLY.'!Objects,[29]!Liner1_OD),1)</definedName>
    <definedName name="corrlist4" localSheetId="9" hidden="0" function="0" vbProcedure="0">OFFSET(INDIRECT(ADDRESS(MATCH('TALLY.'!Hanger_Size,'TALLY.'!Objects,0)+1,2,,,"Casing Info")),0,1,COUNTIF('TALLY.'!Objects, 'TALLY.'!Hanger_Size),1)</definedName>
    <definedName name="Hanger_Size" localSheetId="9" hidden="0" function="0" vbProcedure="0">'[11]Database Pg1'!$G$79</definedName>
    <definedName name="Cotry" localSheetId="9" hidden="0" function="0" vbProcedure="0">'[11]Liner Job Info'!$E$10</definedName>
    <definedName name="Countries" localSheetId="9" hidden="0" function="0" vbProcedure="0">[11]DATA!$BR$1:$BR$196</definedName>
    <definedName name="COUNTRY" localSheetId="9" hidden="0" function="0" vbProcedure="0">'[127]Master data'!$A$2:$A$239</definedName>
    <definedName name="county" localSheetId="9" hidden="0" function="0" vbProcedure="0">'[40]CPS Call Sheet'!$P$7</definedName>
    <definedName name="Coupls" localSheetId="9" hidden="0" function="0" vbProcedure="0">#ref!</definedName>
    <definedName name="Crack_DH" localSheetId="9" hidden="0" function="0" vbProcedure="0">'[108]Tester Valve Calcs'!$F$31</definedName>
    <definedName name="Crack_Press" localSheetId="9" hidden="0" function="0" vbProcedure="0">'[108]Tester Valve Calcs'!$F$13</definedName>
    <definedName name="Critical" localSheetId="9" hidden="0" function="0" vbProcedure="0">#ref!</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'[11]Metric Conversions'!$B$43</definedName>
    <definedName name="Csg_Burstz" localSheetId="9" hidden="0" function="0" vbProcedure="0">'[11]Liner Job Info'!$H$14</definedName>
    <definedName name="Csg_Dft" localSheetId="9" hidden="0" function="0" vbProcedure="0">'[11]Liner Job Info'!$L$14</definedName>
    <definedName name="CSG_DPTH" localSheetId="9" hidden="0" function="0" vbProcedure="0">'[130]Metric Conversions'!$B$15</definedName>
    <definedName name="CSG_DPTHz" localSheetId="9" hidden="0" function="0" vbProcedure="0">'[11]Liner Job Info'!$P$14</definedName>
    <definedName name="CSG_Grd" localSheetId="9" hidden="0" function="0" vbProcedure="0">'[130]Liner Job Info'!$D$14</definedName>
    <definedName name="CSG_ID" localSheetId="9" hidden="0" function="0" vbProcedure="0">'[11]Liner Job Info'!$B$14</definedName>
    <definedName name="CSG_ID_Area" localSheetId="9" hidden="0" function="0" vbProcedure="0">[11]Test!$Z$39</definedName>
    <definedName name="CSG_MYS" localSheetId="9" hidden="0" function="0" vbProcedure="0">[57]DATA!$J$3:$J$22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[57]data!#ref!</definedName>
    <definedName name="Customer" localSheetId="9" hidden="0" function="0" vbProcedure="0">'[94]Job Technical Info'!$C$12</definedName>
    <definedName name="customer1" localSheetId="9" hidden="0" function="0" vbProcedure="0">[183]Data!$A$1:$A$65536</definedName>
    <definedName name="Customer2" localSheetId="9" hidden="0" function="0" vbProcedure="0">[183]Data!$B$1:$B$65536</definedName>
    <definedName name="CustomerName" localSheetId="9" hidden="0" function="0" vbProcedure="0">'[144]job info sheet'!#ref!</definedName>
    <definedName name="customerrep" localSheetId="9" hidden="0" function="0" vbProcedure="0">'[113]#REF'!$E$6</definedName>
    <definedName name="Cyl_Yield" localSheetId="9" hidden="0" function="0" vbProcedure="0">'[49]liner job info'!#ref!</definedName>
    <definedName name="d" localSheetId="9" hidden="0" function="0" vbProcedure="0">'[2]run sheet'!#ref!</definedName>
    <definedName name="DAADA" localSheetId="9" hidden="0" function="0" vbProcedure="0">[118]!Calculate_Pipe</definedName>
    <definedName name="DAD" localSheetId="9" hidden="0" function="0" vbProcedure="0">'TALLY.'!DAD</definedName>
    <definedName name="DADAA" localSheetId="9" hidden="0" function="0" vbProcedure="0">'TALLY.'!DADAA</definedName>
    <definedName name="DAEFF" localSheetId="9" hidden="0" function="0" vbProcedure="0">'TALLY.'!DAEFF</definedName>
    <definedName name="DAPage" localSheetId="9" hidden="0" function="0" vbProcedure="0">'[94]Data Acq. Results'!$S$5</definedName>
    <definedName name="data1" localSheetId="9" hidden="0" function="0" vbProcedure="0">#ref!</definedName>
    <definedName name="Date" localSheetId="9" hidden="0" function="0" vbProcedure="0">#ref!</definedName>
    <definedName name="DAVCO"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[148]试油成果记录!#ref!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ay" localSheetId="9" hidden="0" function="0" vbProcedure="0">#ref!</definedName>
    <definedName name="DelayDual1" localSheetId="9" hidden="0" function="0" vbProcedure="0">#ref!</definedName>
    <definedName name="DelayDual2" localSheetId="9" hidden="0" function="0" vbProcedure="0">#ref!</definedName>
    <definedName name="deliveredto" localSheetId="9" hidden="0" function="0" vbProcedure="0">'[33]data '!#ref!</definedName>
    <definedName name="deliverto" localSheetId="9" hidden="0" function="0" vbProcedure="0">[57]data!#ref!</definedName>
    <definedName name="delma" localSheetId="9" hidden="0" function="0" vbProcedure="0">[151]!JointNumber</definedName>
    <definedName name="DEM" localSheetId="9" hidden="0" function="0" vbProcedure="0">[182]Reference!$F$2:$F$3</definedName>
    <definedName name="DENG" localSheetId="9" hidden="0" function="0" vbProcedure="0">[182]Reference!$B$2:$B$12</definedName>
    <definedName name="DEPTH_TAGGED_PREPACK" localSheetId="9" hidden="0" function="0" vbProcedure="0">'[113]#REF'!$F$80</definedName>
    <definedName name="DEQ" localSheetId="9" hidden="0" function="0" vbProcedure="0">'TALLY.'!DEQ</definedName>
    <definedName name="Desired_Set_Down" localSheetId="9" hidden="0" function="0" vbProcedure="0">'[108]Packer Calculation Sheet'!$G$47</definedName>
    <definedName name="Dev" localSheetId="9" hidden="0" function="0" vbProcedure="0">'[11]Liner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[11]DATA!$AJ$2:$AJ$12</definedName>
    <definedName name="DisplacementMethod" localSheetId="9" hidden="0" function="0" vbProcedure="0">[11]DATA!$AS$2:$AS$4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[11]DATA!$A$6:$A$437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[151]!JointNumber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'[11]Liner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'[11]Liner Job Info'!$E$22</definedName>
    <definedName name="DP1_Leng" localSheetId="9" hidden="0" function="0" vbProcedure="0">'[130]Metric Conversions'!$B$20</definedName>
    <definedName name="DP1_Lengz" localSheetId="9" hidden="0" function="0" vbProcedure="0">'[11]Liner Job Info'!$I$22</definedName>
    <definedName name="DP1_MYS" localSheetId="9" hidden="0" function="0" vbProcedure="0">'[11]Liner Job Info'!$AD$31</definedName>
    <definedName name="DP1_OD" localSheetId="9" hidden="0" function="0" vbProcedure="0">'[130]Liner Job Info'!$C$22</definedName>
    <definedName name="DP1_Tens" localSheetId="9" hidden="0" function="0" vbProcedure="0">'[11]Liner Job Info'!$M$22</definedName>
    <definedName name="DP1_Volz" localSheetId="9" hidden="0" function="0" vbProcedure="0">'[11]Metric Conversions'!$C$70</definedName>
    <definedName name="DP1_Wt_inmud" localSheetId="9" hidden="0" function="0" vbProcedure="0">'[11]Weight Calculations'!$H$8</definedName>
    <definedName name="DP1_Wt_Per_Ft" localSheetId="9" hidden="0" function="0" vbProcedure="0">'[130]Liner Job Info'!$D$22</definedName>
    <definedName name="DP1_X_Csg_Volz" localSheetId="9" hidden="0" function="0" vbProcedure="0">'[11]Metric Conversions'!$C$85</definedName>
    <definedName name="DP2_Cap" localSheetId="9" hidden="0" function="0" vbProcedure="0">'[11]Liner Job Info'!$G$23</definedName>
    <definedName name="DP2_conn" localSheetId="9" hidden="0" function="0" vbProcedure="0">'[130]Liner Job Info'!$J$23</definedName>
    <definedName name="DP2_Cross_Sect" localSheetId="9" hidden="0" function="0" vbProcedure="0">'[49]liner job info'!#ref!</definedName>
    <definedName name="DP2_Grd" localSheetId="9" hidden="0" function="0" vbProcedure="0">'[130]Liner Job Info'!$F$23</definedName>
    <definedName name="DP2_ID" localSheetId="9" hidden="0" function="0" vbProcedure="0">'[11]Liner Job Info'!$E$23</definedName>
    <definedName name="DP2_Leng" localSheetId="9" hidden="0" function="0" vbProcedure="0">'[130]Metric Conversions'!$B$21</definedName>
    <definedName name="DP2_Lengz" localSheetId="9" hidden="0" function="0" vbProcedure="0">'[11]Liner Job Info'!$I$23</definedName>
    <definedName name="DP2_MYS" localSheetId="9" hidden="0" function="0" vbProcedure="0">'[11]Liner Job Info'!$AD$32</definedName>
    <definedName name="DP2_OD" localSheetId="9" hidden="0" function="0" vbProcedure="0">'[130]Liner Job Info'!$C$23</definedName>
    <definedName name="DP2_Tens" localSheetId="9" hidden="0" function="0" vbProcedure="0">'[11]Liner Job Info'!$M$23</definedName>
    <definedName name="DP2_Volz" localSheetId="9" hidden="0" function="0" vbProcedure="0">'[11]Metric Conversions'!$C$71</definedName>
    <definedName name="DP2_Wt_inmud" localSheetId="9" hidden="0" function="0" vbProcedure="0">'[11]Weight Calculations'!$H$9</definedName>
    <definedName name="DP2_Wt_Per_Ft" localSheetId="9" hidden="0" function="0" vbProcedure="0">'[130]Liner Job Info'!$D$23</definedName>
    <definedName name="DP2_X_Csg_Volz" localSheetId="9" hidden="0" function="0" vbProcedure="0">'[11]Metric Conversions'!$C$86</definedName>
    <definedName name="DP3_bbl_per_ft" localSheetId="9" hidden="0" function="0" vbProcedure="0">'[49]liner job info'!#ref!</definedName>
    <definedName name="DP3_Cap" localSheetId="9" hidden="0" function="0" vbProcedure="0">'[11]Liner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'[11]Liner Job Info'!$E$24</definedName>
    <definedName name="DP3_Leng" localSheetId="9" hidden="0" function="0" vbProcedure="0">'[130]Metric Conversions'!$B$22</definedName>
    <definedName name="DP3_Lengz" localSheetId="9" hidden="0" function="0" vbProcedure="0">'[11]Liner Job Info'!$I$24</definedName>
    <definedName name="DP3_MYS" localSheetId="9" hidden="0" function="0" vbProcedure="0">'[11]Liner Job Info'!$AD$33</definedName>
    <definedName name="DP3_OD" localSheetId="9" hidden="0" function="0" vbProcedure="0">'[130]Liner Job Info'!$C$24</definedName>
    <definedName name="DP3_Tens" localSheetId="9" hidden="0" function="0" vbProcedure="0">'[11]Liner Job Info'!$M$24</definedName>
    <definedName name="DP3_Volz" localSheetId="9" hidden="0" function="0" vbProcedure="0">'[11]Metric Conversions'!$C$72</definedName>
    <definedName name="DP3_Wt_inmud" localSheetId="9" hidden="0" function="0" vbProcedure="0">'[11]Weight Calculations'!$H$10</definedName>
    <definedName name="DP3_Wt_Per_Ft" localSheetId="9" hidden="0" function="0" vbProcedure="0">'[130]Liner Job Info'!$D$24</definedName>
    <definedName name="DP3_X_Csg_Volz" localSheetId="9" hidden="0" function="0" vbProcedure="0">'[11]Metric Conversions'!$C$87</definedName>
    <definedName name="DP4_Cap" localSheetId="9" hidden="0" function="0" vbProcedure="0">'[11]Liner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'[11]Liner Job Info'!$E$25</definedName>
    <definedName name="DP4_Leng" localSheetId="9" hidden="0" function="0" vbProcedure="0">'[130]Metric Conversions'!$B$23</definedName>
    <definedName name="DP4_Lengz" localSheetId="9" hidden="0" function="0" vbProcedure="0">'[11]Liner Job Info'!$I$25</definedName>
    <definedName name="DP4_MYS" localSheetId="9" hidden="0" function="0" vbProcedure="0">'[11]Liner Job Info'!$AD$34</definedName>
    <definedName name="DP4_OD" localSheetId="9" hidden="0" function="0" vbProcedure="0">'[130]Liner Job Info'!$C$25</definedName>
    <definedName name="DP4_Tens" localSheetId="9" hidden="0" function="0" vbProcedure="0">'[11]Liner Job Info'!$M$25</definedName>
    <definedName name="DP4_Volz" localSheetId="9" hidden="0" function="0" vbProcedure="0">'[11]Metric Conversions'!$C$73</definedName>
    <definedName name="DP4_Wt_inmud" localSheetId="9" hidden="0" function="0" vbProcedure="0">'[11]Weight Calculations'!$H$11</definedName>
    <definedName name="DP4_Wt_Per_Ft" localSheetId="9" hidden="0" function="0" vbProcedure="0">'[130]Liner Job Info'!$D$25</definedName>
    <definedName name="DP4_X_Csg_Volz" localSheetId="9" hidden="0" function="0" vbProcedure="0">'[11]Metric Conversions'!$C$88</definedName>
    <definedName name="DP5_bbl_per_ft" localSheetId="9" hidden="0" function="0" vbProcedure="0">'[11]Liner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'[11]Liner Job Info'!$E$26</definedName>
    <definedName name="DP5_Leng" localSheetId="9" hidden="0" function="0" vbProcedure="0">'[130]Metric Conversions'!$B$24</definedName>
    <definedName name="DP5_Lengz" localSheetId="9" hidden="0" function="0" vbProcedure="0">'[11]Liner Job Info'!$I$26</definedName>
    <definedName name="DP5_MYS" localSheetId="9" hidden="0" function="0" vbProcedure="0">'[11]Liner Job Info'!$AD$35</definedName>
    <definedName name="DP5_OD" localSheetId="9" hidden="0" function="0" vbProcedure="0">'[130]Liner Job Info'!$C$26</definedName>
    <definedName name="DP5_Tens" localSheetId="9" hidden="0" function="0" vbProcedure="0">'[11]Liner Job Info'!$M$26</definedName>
    <definedName name="DP5_Volz" localSheetId="9" hidden="0" function="0" vbProcedure="0">'[11]Metric Conversions'!$C$74</definedName>
    <definedName name="DP5_Wt_inmud" localSheetId="9" hidden="0" function="0" vbProcedure="0">'[11]Weight Calculations'!$H$12</definedName>
    <definedName name="DP5_Wt_Per_Ft" localSheetId="9" hidden="0" function="0" vbProcedure="0">'[130]Liner Job Info'!$D$26</definedName>
    <definedName name="DP5_X_Csg_Volz" localSheetId="9" hidden="0" function="0" vbProcedure="0">'[11]Metric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[11]DATA!$AA$44:$AA$94</definedName>
    <definedName name="DPTTL_HYD_LENTH" localSheetId="9" hidden="0" function="0" vbProcedure="0">'[11]Weight Calculations'!$F$46</definedName>
    <definedName name="DP_MYS" localSheetId="9" hidden="0" function="0" vbProcedure="0">[11]DATA!$AB$2:$AB$6</definedName>
    <definedName name="DP_Plus_Block" localSheetId="9" hidden="0" function="0" vbProcedure="0">'[11]Weight Calculations'!$H$15</definedName>
    <definedName name="DP_PSI" localSheetId="9" hidden="0" function="0" vbProcedure="0">'[11]Metric Conversions'!$B$49</definedName>
    <definedName name="DP_PSIz" localSheetId="9" hidden="0" function="0" vbProcedure="0">'[11]Liner Job Info'!$D$35</definedName>
    <definedName name="DP_SF" localSheetId="9" hidden="0" function="0" vbProcedure="0">'[11]Liner Job Info'!$R$27</definedName>
    <definedName name="DRAFT" localSheetId="9" hidden="0" function="0" vbProcedure="0">'[2]run sheet'!#ref!</definedName>
    <definedName name="drawblanks" localSheetId="9" hidden="0" function="0" vbProcedure="0">'TALLY.'!drawblanks</definedName>
    <definedName name="drawlinerfirst" localSheetId="9" hidden="0" function="0" vbProcedure="0">'TALLY.'!drawlinerfirst</definedName>
    <definedName name="drawlinersecond" localSheetId="9" hidden="0" function="0" vbProcedure="0">'TALLY.'!drawlinersecond</definedName>
    <definedName name="drawmiscellaneous" localSheetId="9" hidden="0" function="0" vbProcedure="0">'TALLY.'!drawmiscellaneous</definedName>
    <definedName name="drawproductionfirst" localSheetId="9" hidden="0" function="0" vbProcedure="0">'TALLY.'!drawproductionfirst</definedName>
    <definedName name="drawproductionsecond" localSheetId="9" hidden="0" function="0" vbProcedure="0">'TALLY.'!drawproductionsecond</definedName>
    <definedName name="drawquantum" localSheetId="9" hidden="0" function="0" vbProcedure="0">'TALLY.'!drawquantum</definedName>
    <definedName name="drawscreens" localSheetId="9" hidden="0" function="0" vbProcedure="0">'TALLY.'!drawscreens</definedName>
    <definedName name="drawshearsubs" localSheetId="9" hidden="0" function="0" vbProcedure="0">'TALLY.'!drawshearsubs</definedName>
    <definedName name="drawsump" localSheetId="9" hidden="0" function="0" vbProcedure="0">'TALLY.'!drawsump</definedName>
    <definedName name="draw_blanks" localSheetId="9" hidden="0" function="0" vbProcedure="0">'TALLY.'!draw_blanks</definedName>
    <definedName name="draw_linerfirst" localSheetId="9" hidden="0" function="0" vbProcedure="0">'TALLY.'!draw_linerfirst</definedName>
    <definedName name="draw_linersecond" localSheetId="9" hidden="0" function="0" vbProcedure="0">'TALLY.'!draw_linersecond</definedName>
    <definedName name="draw_miscellaneous" localSheetId="9" hidden="0" function="0" vbProcedure="0">'TALLY.'!draw_miscellaneous</definedName>
    <definedName name="draw_productionfirst" localSheetId="9" hidden="0" function="0" vbProcedure="0">'TALLY.'!draw_productionfirst</definedName>
    <definedName name="draw_productionsecond" localSheetId="9" hidden="0" function="0" vbProcedure="0">'TALLY.'!draw_productionsecond</definedName>
    <definedName name="draw_quantum" localSheetId="9" hidden="0" function="0" vbProcedure="0">'TALLY.'!draw_quantum</definedName>
    <definedName name="draw_screens" localSheetId="9" hidden="0" function="0" vbProcedure="0">'TALLY.'!draw_screens</definedName>
    <definedName name="draw_shearsubs" localSheetId="9" hidden="0" function="0" vbProcedure="0">'TALLY.'!draw_shearsubs</definedName>
    <definedName name="draw_sump" localSheetId="9" hidden="0" function="0" vbProcedure="0">'TALLY.'!draw_sump</definedName>
    <definedName name="DRILLER" localSheetId="9" hidden="0" function="0" vbProcedure="0">#ref!</definedName>
    <definedName name="DRILLER2" localSheetId="9" hidden="0" function="0" vbProcedure="0">[162]!Calculate_Pipe</definedName>
    <definedName name="Drillpipesize" localSheetId="9" hidden="0" function="0" vbProcedure="0">[11]DATA!$X$2:$X$10</definedName>
    <definedName name="Drillpipetype" localSheetId="9" hidden="0" function="0" vbProcedure="0">[11]DATA!$AA$2:$AA$6</definedName>
    <definedName name="Drillpipeweight" localSheetId="9" hidden="0" function="0" vbProcedure="0">[11]DATA!$Z$2:$Z$36</definedName>
    <definedName name="Druckbereich_MI" localSheetId="9" hidden="0" function="0" vbProcedure="0">'[138]Dev-Baker'!$A$1:$J$46</definedName>
    <definedName name="Druckbereich_S3" localSheetId="9" hidden="0" function="0" vbProcedure="0">'[165]run_s.xls'!#ref!</definedName>
    <definedName name="dtr" localSheetId="9" hidden="0" function="0" vbProcedure="0">'[115]Max-Torq'!$P$77</definedName>
    <definedName name="DualTally" localSheetId="9" hidden="0" function="0" vbProcedure="0">#ref!</definedName>
    <definedName name="DWS" localSheetId="9" hidden="0" function="0" vbProcedure="0">'[111]DWS2023'!$A$4:$AD$257</definedName>
    <definedName name="E" localSheetId="9" hidden="0" function="0" vbProcedure="0">#ref!</definedName>
    <definedName name="ED" localSheetId="9" hidden="0" function="0" vbProcedure="0">[75]!Calculate_Pipe</definedName>
    <definedName name="edd" localSheetId="9" hidden="0" function="0" vbProcedure="0">[167]!Calculate_Pipe</definedName>
    <definedName name="Eff_Date" localSheetId="9" hidden="0" function="0" vbProcedure="0">'[94]Job Technical Info'!$L$3</definedName>
    <definedName name="EJYETYJEJ" localSheetId="9" hidden="0" function="0" vbProcedure="0">'TALLY.'!EJYETYJEJ</definedName>
    <definedName name="EKIKO2" localSheetId="9" hidden="0" function="0" vbProcedure="0">#ref!</definedName>
    <definedName name="Element_Rating" localSheetId="9" hidden="0" function="0" vbProcedure="0">'[11]Metric Conversions'!$B$57</definedName>
    <definedName name="Element_Ratingz" localSheetId="9" hidden="0" function="0" vbProcedure="0">'[11]Liner Job Info'!$P$41</definedName>
    <definedName name="equipmenttype" localSheetId="9" hidden="0" function="0" vbProcedure="0">[57]data!#ref!</definedName>
    <definedName name="error" localSheetId="9" hidden="0" function="0" vbProcedure="0">[106]Data!$F$10</definedName>
    <definedName name="ertert" localSheetId="9" hidden="0" function="0" vbProcedure="0">[171]试压!#ref!</definedName>
    <definedName name="ES_pricelist" localSheetId="9" hidden="0" function="0" vbProcedure="0">[139]Pricelist!$A$8:$B$18</definedName>
    <definedName name="ex" localSheetId="9" hidden="0" function="0" vbProcedure="0">[151]!JointNumber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ra" localSheetId="9" hidden="0" function="0" vbProcedure="0">#ref!</definedName>
    <definedName name="EXT_LENGTH" localSheetId="9" hidden="0" function="0" vbProcedure="0">'[7]#ref'!#ref!</definedName>
    <definedName name="F" localSheetId="9" hidden="0" function="0" vbProcedure="0">[140]Parts!$A$1:$I$65536</definedName>
    <definedName name="FB" localSheetId="9" hidden="0" function="0" vbProcedure="0">[177]!Calculate_Pipe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'TALLY.'!FEWFW</definedName>
    <definedName name="fff" localSheetId="9" hidden="0" function="0" vbProcedure="0">'TALLY.'!fff</definedName>
    <definedName name="ffff" localSheetId="9" hidden="0" function="0" vbProcedure="0">[181]!Prev.Macro113</definedName>
    <definedName name="FIELD" localSheetId="9" hidden="0" function="0" vbProcedure="0">[184]References!$L$1:$M$7</definedName>
    <definedName name="final" localSheetId="9" hidden="0" function="0" vbProcedure="0">[151]!JointNumber</definedName>
    <definedName name="FJNDEF" localSheetId="9" hidden="0" function="0" vbProcedure="0">'TALLY.'!FJNDEF</definedName>
    <definedName name="Floatequipment" localSheetId="9" hidden="0" function="0" vbProcedure="0">[11]DATA!$AM$2:$AM$9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[57]data!#ref!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'[11]Metric Conversions'!$B$14</definedName>
    <definedName name="Gamma_Quadrant" localSheetId="9" hidden="0" function="0" vbProcedure="0">[129]RSS!$N$139:$N$144</definedName>
    <definedName name="gasrate" localSheetId="9" hidden="0" function="0" vbProcedure="0">'[96]well test sheet'!#ref!</definedName>
    <definedName name="gas_cumm" localSheetId="9" hidden="0" function="0" vbProcedure="0">'[96]well test sheet'!#ref!</definedName>
    <definedName name="Gauge" localSheetId="9" hidden="0" function="0" vbProcedure="0">'[7]Drop-Down Items'!$D$74:$D$92</definedName>
    <definedName name="Gaugecancel" localSheetId="9" hidden="0" function="0" vbProcedure="0">[29]!Gaugecancel</definedName>
    <definedName name="gaugeconok" localSheetId="9" hidden="0" function="0" vbProcedure="0">[29]!gaugeconok</definedName>
    <definedName name="gaugeconok2" localSheetId="9" hidden="0" function="0" vbProcedure="0">[29]!gaugeconok2</definedName>
    <definedName name="gaugeok" localSheetId="9" hidden="0" function="0" vbProcedure="0">[29]!gaugeok</definedName>
    <definedName name="gaugeok2" localSheetId="9" hidden="0" function="0" vbProcedure="0">[29]!gaugeok2</definedName>
    <definedName name="gaugeselect" localSheetId="9" hidden="0" function="0" vbProcedure="0">[29]!gaugeselect</definedName>
    <definedName name="gaugeselect2" localSheetId="9" hidden="0" function="0" vbProcedure="0">[29]!gaugeselect2</definedName>
    <definedName name="gdsg" localSheetId="9" hidden="1" function="0" vbProcedure="0">[103]Run!$C$16:$C$512</definedName>
    <definedName name="GFTTC" localSheetId="9" hidden="0" function="0" vbProcedure="0">[151]!JointNumber</definedName>
    <definedName name="GGGR" localSheetId="9" hidden="0" function="0" vbProcedure="0">'TALLY.'!GGGR</definedName>
    <definedName name="GL" localSheetId="9" hidden="0" function="0" vbProcedure="0">'[189]offset data'!#ref!</definedName>
    <definedName name="GLM" localSheetId="9" hidden="0" function="0" vbProcedure="0">[75]!Calculate_Pipe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'[96]well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'TALLY.'!GQGQ</definedName>
    <definedName name="GQQ" localSheetId="9" hidden="0" function="0" vbProcedure="0">'TALLY.'!GQQ</definedName>
    <definedName name="gravelsize" localSheetId="9" hidden="0" function="0" vbProcedure="0">[5]WTR!$G$82</definedName>
    <definedName name="GRAVEL_IN_CSG." localSheetId="9" hidden="0" function="0" vbProcedure="0">'[113]#REF'!XEP1048377</definedName>
    <definedName name="GroupID" localSheetId="9" hidden="0" function="0" vbProcedure="0">[11]DATA!$Q$2:$Q$268</definedName>
    <definedName name="Group_ID" localSheetId="9" hidden="0" function="0" vbProcedure="0">[57]DATA!$Q$2:$Q$268</definedName>
    <definedName name="GRQ" localSheetId="9" hidden="0" function="0" vbProcedure="0">'TALLY.'!GRQ</definedName>
    <definedName name="GUB24SECWELL" localSheetId="9" hidden="1" function="0" vbProcedure="0">[143]Sheet1!$A$181:$H$210</definedName>
    <definedName name="GudCont" localSheetId="9" hidden="0" function="0" vbProcedure="0">#ref!</definedName>
    <definedName name="Gun_Size" localSheetId="9" hidden="0" function="0" vbProcedure="0">'[108]TCP-BHA'!$F$5</definedName>
    <definedName name="GWS" localSheetId="9" hidden="0" function="0" vbProcedure="0">'TALLY.'!GWS</definedName>
    <definedName name="h" localSheetId="9" hidden="0" function="0" vbProcedure="0">[144]Tally!$A$5:$H$1064</definedName>
    <definedName name="H2S" localSheetId="9" hidden="0" function="0" vbProcedure="0">'[94]Job Technical Info'!$L$41</definedName>
    <definedName name="Hangerfunction" localSheetId="9" hidden="0" function="0" vbProcedure="0">[11]DATA!$AH$2:$AH$9</definedName>
    <definedName name="Hassan" localSheetId="9" hidden="0" function="0" vbProcedure="0">[192]!Macro1</definedName>
    <definedName name="HAUL_Thread" localSheetId="9" hidden="0" function="0" vbProcedure="0">[11]DATA!$BM$22:$BM$114</definedName>
    <definedName name="HEAD" localSheetId="9" hidden="0" function="0" vbProcedure="0">#ref!</definedName>
    <definedName name="hesfluid" localSheetId="9" hidden="0" function="0" vbProcedure="0">[57]data!#ref!</definedName>
    <definedName name="hgh" localSheetId="9" hidden="1" function="0" vbProcedure="0">[1]Run!$D$15:$D$512</definedName>
    <definedName name="HGR_OL_Packoff_In" localSheetId="9" hidden="0" function="0" vbProcedure="0">[11]Test!$M$36</definedName>
    <definedName name="hhp" localSheetId="9" hidden="0" function="0" vbProcedure="0">'[96]well test sheet'!#ref!</definedName>
    <definedName name="hj" localSheetId="9" hidden="0" function="0" vbProcedure="0">[194]bha!#ref!</definedName>
    <definedName name="HKWT" localSheetId="9" hidden="0" function="0" vbProcedure="0">[185]钻井日报表!$E$7</definedName>
    <definedName name="Hngr_Bst" localSheetId="9" hidden="0" function="0" vbProcedure="0">'[11]Metric Conversions'!$B$50</definedName>
    <definedName name="Hngr_Bstz" localSheetId="9" hidden="0" function="0" vbProcedure="0">'[11]Liner Job Info'!$D$39</definedName>
    <definedName name="Hngr_OL_PO_out" localSheetId="9" hidden="0" function="0" vbProcedure="0">[11]Test!$M$30</definedName>
    <definedName name="Hngr_Overload_Cmt_Setup" localSheetId="9" hidden="0" function="0" vbProcedure="0">[11]Test!$M$42</definedName>
    <definedName name="Hngr_Tens" localSheetId="9" hidden="0" function="0" vbProcedure="0">'[11]Liner Job Info'!$D$40</definedName>
    <definedName name="Hng_Cap" localSheetId="9" hidden="0" function="0" vbProcedure="0">'[11]Liner Job Info'!$D$41</definedName>
    <definedName name="holevol" localSheetId="9" hidden="0" function="0" vbProcedure="0">'[64]tool backload dt'!holevol</definedName>
    <definedName name="hpb" localSheetId="9" hidden="0" function="0" vbProcedure="0">'[96]well test sheet'!#ref!</definedName>
    <definedName name="HR_Turns" localSheetId="9" hidden="0" function="0" vbProcedure="0">'[11]Weight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[52]!Prev.Macro106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'[11]Weight Calculations'!$F$47</definedName>
    <definedName name="Hyd_force_element" localSheetId="9" hidden="0" function="0" vbProcedure="0">[11]Test!$M$17</definedName>
    <definedName name="HyfloSeatID" localSheetId="9" hidden="0" function="0" vbProcedure="0">[11]DATA!$AY$2:$AY$4</definedName>
    <definedName name="HyfloSeatNumber" localSheetId="9" hidden="0" function="0" vbProcedure="0">[11]DATA!$AZ$2:$AZ$5</definedName>
    <definedName name="HyfloSupplier" localSheetId="9" hidden="0" function="0" vbProcedure="0">[11]DATA!$BA$2:$BA$5</definedName>
    <definedName name="I" localSheetId="9" hidden="0" function="0" vbProcedure="0">#ref!</definedName>
    <definedName name="idlist" localSheetId="9" hidden="0" function="0" vbProcedure="0">[106]Data!$GD$2:$GE$237</definedName>
    <definedName name="IDUnit" localSheetId="9" hidden="0" function="0" vbProcedure="0">'[94]Job Technical Info'!$F$24</definedName>
    <definedName name="impdwg" localSheetId="9" hidden="0" function="0" vbProcedure="0">[29]!impdwg</definedName>
    <definedName name="impdwg_1" localSheetId="9" hidden="0" function="0" vbProcedure="0">'TALLY.'!impdwg</definedName>
    <definedName name="impdwg_10" localSheetId="9" hidden="0" function="0" vbProcedure="0">'TALLY.'!impdwg</definedName>
    <definedName name="impdwg_11" localSheetId="9" hidden="0" function="0" vbProcedure="0">'TALLY.'!impdwg</definedName>
    <definedName name="impdwg_2" localSheetId="9" hidden="0" function="0" vbProcedure="0">'TALLY.'!impdwg</definedName>
    <definedName name="impdwg_3" localSheetId="9" hidden="0" function="0" vbProcedure="0">'TALLY.'!impdwg</definedName>
    <definedName name="impdwg_4" localSheetId="9" hidden="0" function="0" vbProcedure="0">'TALLY.'!impdwg</definedName>
    <definedName name="impdwg_5" localSheetId="9" hidden="0" function="0" vbProcedure="0">'TALLY.'!impdwg</definedName>
    <definedName name="impdwg_6" localSheetId="9" hidden="0" function="0" vbProcedure="0">'TALLY.'!impdwg</definedName>
    <definedName name="impdwg_7" localSheetId="9" hidden="0" function="0" vbProcedure="0">'TALLY.'!impdwg</definedName>
    <definedName name="impdwg_8" localSheetId="9" hidden="0" function="0" vbProcedure="0">'TALLY.'!impdwg</definedName>
    <definedName name="impdwg_9" localSheetId="9" hidden="0" function="0" vbProcedure="0">'TALLY.'!impdwg</definedName>
    <definedName name="Inc" localSheetId="9" hidden="0" function="0" vbProcedure="0">[185]钻井日报表!$G$8</definedName>
    <definedName name="InclinationData" localSheetId="9" hidden="0" function="0" vbProcedure="0">OFFSET([29]!Inclination,2,0,COUNT(#ref!),1)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[44]!Insert_New_Page</definedName>
    <definedName name="Insert_New_Page_1" localSheetId="9" hidden="0" function="0" vbProcedure="0">'TALLY.'!Insert_New_Page</definedName>
    <definedName name="Insert_New_Page_10" localSheetId="9" hidden="0" function="0" vbProcedure="0">'TALLY.'!Insert_New_Page</definedName>
    <definedName name="Insert_New_Page_11" localSheetId="9" hidden="0" function="0" vbProcedure="0">'TALLY.'!Insert_New_Page</definedName>
    <definedName name="Insert_New_Page_2" localSheetId="9" hidden="0" function="0" vbProcedure="0">'TALLY.'!Insert_New_Page</definedName>
    <definedName name="Insert_New_Page_3" localSheetId="9" hidden="0" function="0" vbProcedure="0">'TALLY.'!Insert_New_Page</definedName>
    <definedName name="Insert_New_Page_4" localSheetId="9" hidden="0" function="0" vbProcedure="0">'TALLY.'!Insert_New_Page</definedName>
    <definedName name="Insert_New_Page_5" localSheetId="9" hidden="0" function="0" vbProcedure="0">'TALLY.'!Insert_New_Page</definedName>
    <definedName name="Insert_New_Page_6" localSheetId="9" hidden="0" function="0" vbProcedure="0">'TALLY.'!Insert_New_Page</definedName>
    <definedName name="Insert_New_Page_7" localSheetId="9" hidden="0" function="0" vbProcedure="0">'TALLY.'!Insert_New_Page</definedName>
    <definedName name="Insert_New_Page_8" localSheetId="9" hidden="0" function="0" vbProcedure="0">'TALLY.'!Insert_New_Page</definedName>
    <definedName name="Insert_New_Page_9" localSheetId="9" hidden="0" function="0" vbProcedure="0">'TALLY.'!Insert_New_Page</definedName>
    <definedName name="Inverse_Balloon_Area" localSheetId="9" hidden="0" function="0" vbProcedure="0">[11]Test!$M$19</definedName>
    <definedName name="isip" localSheetId="9" hidden="0" function="0" vbProcedure="0">[5]WTR!$G$41</definedName>
    <definedName name="Issue" localSheetId="9" hidden="0" function="0" vbProcedure="0">'[146]Title Page'!$Q$2:$Q$20</definedName>
    <definedName name="Item1" localSheetId="9" hidden="0" function="0" vbProcedure="0">INDEX(#ref!,0,MATCH('[59]ENG Input'!$A$12,Categories,0))</definedName>
    <definedName name="Item10" localSheetId="9" hidden="0" function="0" vbProcedure="0">INDEX(#ref!,0,MATCH('[59]ENG Input'!$A$128,Categories,0))</definedName>
    <definedName name="Item11" localSheetId="9" hidden="0" function="0" vbProcedure="0">INDEX(#ref!,0,MATCH('[59]ENG Input'!$A$139,Categories,0))</definedName>
    <definedName name="Item12" localSheetId="9" hidden="0" function="0" vbProcedure="0">INDEX(#ref!,0,MATCH('[59]ENG Input'!$A$155,Categories,0))</definedName>
    <definedName name="Item13" localSheetId="9" hidden="0" function="0" vbProcedure="0">INDEX(#ref!,0,MATCH('[59]ENG Input'!$A$171,Categories,0))</definedName>
    <definedName name="Item14" localSheetId="9" hidden="0" function="0" vbProcedure="0">INDEX(#ref!,0,MATCH('[59]ENG Input'!$A$182,Categories,0))</definedName>
    <definedName name="Item15" localSheetId="9" hidden="0" function="0" vbProcedure="0">INDEX(#ref!,0,MATCH('[59]ENG Input'!$A$193,Categories,0))</definedName>
    <definedName name="Item16" localSheetId="9" hidden="0" function="0" vbProcedure="0">INDEX(#ref!,0,MATCH('[59]ENG Input'!$A$204,Categories,0))</definedName>
    <definedName name="Item17" localSheetId="9" hidden="0" function="0" vbProcedure="0">INDEX(#ref!,0,MATCH('[59]ENG Input'!$A$215,Categories,0))</definedName>
    <definedName name="Item18" localSheetId="9" hidden="0" function="0" vbProcedure="0">INDEX(#ref!,0,MATCH('[59]ENG Input'!$A$226,Categories,0))</definedName>
    <definedName name="Item19" localSheetId="9" hidden="0" function="0" vbProcedure="0">INDEX(#ref!,0,MATCH('[59]ENG Input'!$A$237,Categories,0))</definedName>
    <definedName name="Item2" localSheetId="9" hidden="0" function="0" vbProcedure="0">INDEX(#ref!,0,MATCH('[59]ENG Input'!$A$32,Categories,0))</definedName>
    <definedName name="Item20" localSheetId="9" hidden="0" function="0" vbProcedure="0">INDEX(#ref!,0,MATCH('[59]ENG Input'!$A$248,Categories,0))</definedName>
    <definedName name="Item3" localSheetId="9" hidden="0" function="0" vbProcedure="0">INDEX(#ref!,0,MATCH('[59]ENG Input'!$A$48,Categories,0))</definedName>
    <definedName name="Item4" localSheetId="9" hidden="0" function="0" vbProcedure="0">INDEX(#ref!,0,MATCH('[59]ENG Input'!$A$59,Categories,0))</definedName>
    <definedName name="Item5" localSheetId="9" hidden="0" function="0" vbProcedure="0">INDEX(#ref!,0,MATCH('[59]ENG Input'!$A$73,Categories,0))</definedName>
    <definedName name="Item6" localSheetId="9" hidden="0" function="0" vbProcedure="0">INDEX(#ref!,0,MATCH('[59]ENG Input'!$A$84,Categories,0))</definedName>
    <definedName name="Item7" localSheetId="9" hidden="0" function="0" vbProcedure="0">INDEX(#ref!,0,MATCH('[59]ENG Input'!$A$95,Categories,0))</definedName>
    <definedName name="Item8" localSheetId="9" hidden="0" function="0" vbProcedure="0">INDEX(#ref!,0,MATCH('[59]ENG Input'!$A$106,Categories,0))</definedName>
    <definedName name="Item9" localSheetId="9" hidden="0" function="0" vbProcedure="0">INDEX(#ref!,0,MATCH('[59]ENG Input'!$A$117,Categories,0))</definedName>
    <definedName name="J" localSheetId="9" hidden="1" function="0" vbProcedure="0">#ref!</definedName>
    <definedName name="janrupees" localSheetId="9" hidden="0" function="0" vbProcedure="0">'[147]Cash Expense January-96'!$H$6</definedName>
    <definedName name="jena_9" localSheetId="9" hidden="0" function="0" vbProcedure="0">#ref!</definedName>
    <definedName name="JEYJD" localSheetId="9" hidden="0" function="0" vbProcedure="0">'TALLY.'!JEYJD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'[144]job info sheet'!#ref!</definedName>
    <definedName name="JobNumber" localSheetId="9" hidden="0" function="0" vbProcedure="0">'[129]Front Page Info'!$C$4</definedName>
    <definedName name="jobpurpose1" localSheetId="9" hidden="0" function="0" vbProcedure="0">[183]Data!$L$1:$L$65536</definedName>
    <definedName name="JobType" localSheetId="9" hidden="0" function="0" vbProcedure="0">[6]Sheet1!$A$11:$A$16</definedName>
    <definedName name="Jobtype1" localSheetId="9" hidden="0" function="0" vbProcedure="0">[183]Data!$N$1:$N$65536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[99]!JointNumber</definedName>
    <definedName name="JOINTNUMBER23" localSheetId="9" hidden="0" function="0" vbProcedure="0">[75]!JointNumber</definedName>
    <definedName name="JOINTNYMBER4" localSheetId="9" hidden="0" function="0" vbProcedure="0">[75]!JointNumber</definedName>
    <definedName name="JOYCE" localSheetId="9" hidden="1" function="0" vbProcedure="0">#ref!</definedName>
    <definedName name="JRJTRJT" localSheetId="9" hidden="0" function="0" vbProcedure="0">'TALLY.'!JRJTRJT</definedName>
    <definedName name="JT" localSheetId="9" hidden="0" function="0" vbProcedure="0">[204]!JointNumber</definedName>
    <definedName name="JtCount" localSheetId="9" hidden="0" function="0" vbProcedure="0">'[79]casing talley'!#ref!</definedName>
    <definedName name="JTNFN" localSheetId="9" hidden="0" function="0" vbProcedure="0">'TALLY.'!JTNFN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[29]!Macro1</definedName>
    <definedName name="KL" localSheetId="9" hidden="0" function="0" vbProcedure="0">[149]BHA!$C$4</definedName>
    <definedName name="KO" localSheetId="9" hidden="0" function="0" vbProcedure="0">'[148]CSG13'!$F$6</definedName>
    <definedName name="KRR" localSheetId="9" hidden="0" function="0" vbProcedure="0">'TALLY.'!KRR</definedName>
    <definedName name="KUYUKR" localSheetId="9" hidden="0" function="0" vbProcedure="0">'TALLY.'!KUYUKR</definedName>
    <definedName name="K_1" localSheetId="9" hidden="0" function="0" vbProcedure="0">#ref!</definedName>
    <definedName name="K_2" localSheetId="9" hidden="0" function="0" vbProcedure="0">#ref!</definedName>
    <definedName name="K_Dual" localSheetId="9" hidden="0" function="0" vbProcedure="0">#ref!</definedName>
    <definedName name="L" localSheetId="9" hidden="0" function="0" vbProcedure="0">#ref!</definedName>
    <definedName name="landoffshore" localSheetId="9" hidden="0" function="0" vbProcedure="0">[57]data!#ref!</definedName>
    <definedName name="LastCsgString" localSheetId="9" hidden="0" function="0" vbProcedure="0">[11]DATA!$AU$2:$AU$4</definedName>
    <definedName name="latlong" localSheetId="9" hidden="0" function="0" vbProcedure="0">'[34]Call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 localSheetId="9" hidden="0" function="0" vbProcedure="0">#ref!</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'[11]Metric Conversions'!$B$45</definedName>
    <definedName name="Liner1_Burstz" localSheetId="9" hidden="0" function="0" vbProcedure="0">'[11]Liner Job Info'!$J$17</definedName>
    <definedName name="Liner1_Cap" localSheetId="9" hidden="0" function="0" vbProcedure="0">'[11]Liner Job Info'!$P$17</definedName>
    <definedName name="Liner1_Collapsez" localSheetId="9" hidden="0" function="0" vbProcedure="0">'[11]Liner Job Info'!$L$17</definedName>
    <definedName name="Liner1_ID" localSheetId="9" hidden="0" function="0" vbProcedure="0">'[11]Liner Job Info'!$D$17</definedName>
    <definedName name="Liner1_Length" localSheetId="9" hidden="0" function="0" vbProcedure="0">'[130]Metric Conversions'!$B$17</definedName>
    <definedName name="Liner1_Lengthz" localSheetId="9" hidden="0" function="0" vbProcedure="0">'[11]Liner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'[11]Weight Calculations'!$H$16</definedName>
    <definedName name="Liner1_Wt_Per_Ft" localSheetId="9" hidden="0" function="0" vbProcedure="0">'[130]Liner Job Info'!$E$17</definedName>
    <definedName name="Liner2_Burst" localSheetId="9" hidden="0" function="0" vbProcedure="0">'[11]Metric Conversions'!$B$46</definedName>
    <definedName name="Liner2_Burstz" localSheetId="9" hidden="0" function="0" vbProcedure="0">'[11]Liner Job Info'!$J$18</definedName>
    <definedName name="Liner2_Cap" localSheetId="9" hidden="0" function="0" vbProcedure="0">'[11]Liner Job Info'!$P$18</definedName>
    <definedName name="Liner2_Collapsez" localSheetId="9" hidden="0" function="0" vbProcedure="0">'[11]Liner Job Info'!$L$18</definedName>
    <definedName name="Liner2_ID" localSheetId="9" hidden="0" function="0" vbProcedure="0">'[11]Liner Job Info'!$D$18</definedName>
    <definedName name="Liner2_Length" localSheetId="9" hidden="0" function="0" vbProcedure="0">'[130]Metric Conversions'!$B$18</definedName>
    <definedName name="Liner2_Lengthz" localSheetId="9" hidden="0" function="0" vbProcedure="0">'[11]Liner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'[11]Weight Calculations'!$H$17</definedName>
    <definedName name="Liner2_Wt_Per_FT" localSheetId="9" hidden="0" function="0" vbProcedure="0">'[130]Liner Job Info'!$E$18</definedName>
    <definedName name="Linertype" localSheetId="9" hidden="0" function="0" vbProcedure="0">[11]DATA!$W$2:$W$12</definedName>
    <definedName name="Liner_I.D." localSheetId="9" hidden="0" function="0" vbProcedure="0">'[108]Job Calculation Sheet'!$F$14</definedName>
    <definedName name="Liner_ID_Area" localSheetId="9" hidden="0" function="0" vbProcedure="0">[11]Test!$V$40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ithology" localSheetId="9" hidden="0" function="0" vbProcedure="0">#ref!</definedName>
    <definedName name="lkj" localSheetId="9" hidden="1" function="0" vbProcedure="0">[103]Run!$B$18:$B$512</definedName>
    <definedName name="Lnr1_Grade" localSheetId="9" hidden="0" function="0" vbProcedure="0">'[130]Liner Job Info'!$F$17</definedName>
    <definedName name="Lnr1_Vol" localSheetId="9" hidden="0" function="0" vbProcedure="0">'[11]Metric Conversions'!$B$77</definedName>
    <definedName name="Lnr1_Volz" localSheetId="9" hidden="0" function="0" vbProcedure="0">'[11]Metric Conversions'!$C$77</definedName>
    <definedName name="Lnr1_X_OH_Volz" localSheetId="9" hidden="0" function="0" vbProcedure="0">'[11]Metric Conversions'!$C$82</definedName>
    <definedName name="Lnr2_Grade" localSheetId="9" hidden="0" function="0" vbProcedure="0">'[130]Liner Job Info'!$F$18</definedName>
    <definedName name="Lnr2_Vol" localSheetId="9" hidden="0" function="0" vbProcedure="0">'[11]Metric Conversions'!$B$78</definedName>
    <definedName name="Lnr2_Volz" localSheetId="9" hidden="0" function="0" vbProcedure="0">'[11]Metric Conversions'!$C$78</definedName>
    <definedName name="Lnr2_X_OH_Volz" localSheetId="9" hidden="0" function="0" vbProcedure="0">'[11]Metric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[63]auf_screen!#ref!</definedName>
    <definedName name="LOGGER" localSheetId="9" hidden="0" function="0" vbProcedure="0">[209]!Calculate_Pipe</definedName>
    <definedName name="loudout" localSheetId="9" hidden="1" function="0" vbProcedure="0">[63]Run!$D$15:$D$512</definedName>
    <definedName name="LS" localSheetId="9" hidden="0" function="0" vbProcedure="0">'[196]amberjack a32ream'!#ref!</definedName>
    <definedName name="LSA" localSheetId="9" hidden="0" function="0" vbProcedure="0">[213]!Calculate_Pipe</definedName>
    <definedName name="LSD" localSheetId="9" hidden="0" function="0" vbProcedure="0">'[144]job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[18]!Macro1</definedName>
    <definedName name="Macro112" localSheetId="9" hidden="0" function="0" vbProcedure="0">[59]!Macro59</definedName>
    <definedName name="Macro2" localSheetId="9" hidden="0" function="0" vbProcedure="0">[29]!Macro2</definedName>
    <definedName name="Macro22" localSheetId="9" hidden="0" function="0" vbProcedure="0">[29]!Macro22</definedName>
    <definedName name="Macro22_1" localSheetId="9" hidden="0" function="0" vbProcedure="0">'TALLY.'!Macro22</definedName>
    <definedName name="Macro22_10" localSheetId="9" hidden="0" function="0" vbProcedure="0">'TALLY.'!Macro22</definedName>
    <definedName name="Macro22_11" localSheetId="9" hidden="0" function="0" vbProcedure="0">'TALLY.'!Macro22</definedName>
    <definedName name="Macro22_2" localSheetId="9" hidden="0" function="0" vbProcedure="0">'TALLY.'!Macro22</definedName>
    <definedName name="Macro22_3" localSheetId="9" hidden="0" function="0" vbProcedure="0">'TALLY.'!Macro22</definedName>
    <definedName name="Macro22_4" localSheetId="9" hidden="0" function="0" vbProcedure="0">'TALLY.'!Macro22</definedName>
    <definedName name="Macro22_5" localSheetId="9" hidden="0" function="0" vbProcedure="0">'TALLY.'!Macro22</definedName>
    <definedName name="Macro22_6" localSheetId="9" hidden="0" function="0" vbProcedure="0">'TALLY.'!Macro22</definedName>
    <definedName name="Macro22_7" localSheetId="9" hidden="0" function="0" vbProcedure="0">'TALLY.'!Macro22</definedName>
    <definedName name="Macro22_8" localSheetId="9" hidden="0" function="0" vbProcedure="0">'TALLY.'!Macro22</definedName>
    <definedName name="Macro22_9" localSheetId="9" hidden="0" function="0" vbProcedure="0">'TALLY.'!Macro22</definedName>
    <definedName name="Macro233" localSheetId="9" hidden="0" function="0" vbProcedure="0">[29]!Macro1</definedName>
    <definedName name="Macro2_1" localSheetId="9" hidden="0" function="0" vbProcedure="0">'TALLY.'!Macro2</definedName>
    <definedName name="Macro2_10" localSheetId="9" hidden="0" function="0" vbProcedure="0">'TALLY.'!Macro2</definedName>
    <definedName name="Macro2_11" localSheetId="9" hidden="0" function="0" vbProcedure="0">'TALLY.'!Macro2</definedName>
    <definedName name="Macro2_2" localSheetId="9" hidden="0" function="0" vbProcedure="0">'TALLY.'!Macro2</definedName>
    <definedName name="Macro2_3" localSheetId="9" hidden="0" function="0" vbProcedure="0">'TALLY.'!Macro2</definedName>
    <definedName name="Macro2_4" localSheetId="9" hidden="0" function="0" vbProcedure="0">'TALLY.'!Macro2</definedName>
    <definedName name="Macro2_5" localSheetId="9" hidden="0" function="0" vbProcedure="0">'TALLY.'!Macro2</definedName>
    <definedName name="Macro2_6" localSheetId="9" hidden="0" function="0" vbProcedure="0">'TALLY.'!Macro2</definedName>
    <definedName name="Macro2_7" localSheetId="9" hidden="0" function="0" vbProcedure="0">'TALLY.'!Macro2</definedName>
    <definedName name="Macro2_8" localSheetId="9" hidden="0" function="0" vbProcedure="0">'TALLY.'!Macro2</definedName>
    <definedName name="Macro2_9" localSheetId="9" hidden="0" function="0" vbProcedure="0">'TALLY.'!Macro2</definedName>
    <definedName name="Macro3" localSheetId="9" hidden="0" function="0" vbProcedure="0">[29]!Macro3</definedName>
    <definedName name="Macro3_1" localSheetId="9" hidden="0" function="0" vbProcedure="0">'TALLY.'!Macro3</definedName>
    <definedName name="Macro3_10" localSheetId="9" hidden="0" function="0" vbProcedure="0">'TALLY.'!Macro3</definedName>
    <definedName name="Macro3_11" localSheetId="9" hidden="0" function="0" vbProcedure="0">'TALLY.'!Macro3</definedName>
    <definedName name="Macro3_2" localSheetId="9" hidden="0" function="0" vbProcedure="0">'TALLY.'!Macro3</definedName>
    <definedName name="Macro3_3" localSheetId="9" hidden="0" function="0" vbProcedure="0">'TALLY.'!Macro3</definedName>
    <definedName name="Macro3_4" localSheetId="9" hidden="0" function="0" vbProcedure="0">'TALLY.'!Macro3</definedName>
    <definedName name="Macro3_5" localSheetId="9" hidden="0" function="0" vbProcedure="0">'TALLY.'!Macro3</definedName>
    <definedName name="Macro3_6" localSheetId="9" hidden="0" function="0" vbProcedure="0">'TALLY.'!Macro3</definedName>
    <definedName name="Macro3_7" localSheetId="9" hidden="0" function="0" vbProcedure="0">'TALLY.'!Macro3</definedName>
    <definedName name="Macro3_8" localSheetId="9" hidden="0" function="0" vbProcedure="0">'TALLY.'!Macro3</definedName>
    <definedName name="Macro3_9" localSheetId="9" hidden="0" function="0" vbProcedure="0">'TALLY.'!Macro3</definedName>
    <definedName name="Make_Up_Torque_Of_Weak_Link" localSheetId="9" hidden="0" function="0" vbProcedure="0">'[11]Liner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[11]DATA!$I$3:$I$22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'[11]Metric Conversions'!$B$59</definedName>
    <definedName name="Max_Bump_psiz" localSheetId="9" hidden="0" function="0" vbProcedure="0">'[11]Metric Conversions'!$C$59</definedName>
    <definedName name="Max_Test_Cmt_Setup" localSheetId="9" hidden="0" function="0" vbProcedure="0">'[11]Metric Conversions'!$B$62</definedName>
    <definedName name="Max_Test_Cmt_Setupz" localSheetId="9" hidden="0" function="0" vbProcedure="0">'[11]Metric Conversions'!$C$62</definedName>
    <definedName name="Max_Test_Seals_In" localSheetId="9" hidden="0" function="0" vbProcedure="0">'[11]Metric Conversions'!$B$61</definedName>
    <definedName name="Max_Test_Seals_Inz" localSheetId="9" hidden="0" function="0" vbProcedure="0">'[11]Metric Conversions'!$C$61</definedName>
    <definedName name="Max_test_seals_out" localSheetId="9" hidden="0" function="0" vbProcedure="0">'[11]Metric Conversions'!$B$60</definedName>
    <definedName name="Max_test_seals_outz" localSheetId="9" hidden="0" function="0" vbProcedure="0">'[11]Metric Conversions'!$C$60</definedName>
    <definedName name="Max_Turns" localSheetId="9" hidden="0" function="0" vbProcedure="0">'[11]Weight Calculations'!$T$36</definedName>
    <definedName name="MDData" localSheetId="9" hidden="0" function="0" vbProcedure="0">OFFSET([29]!MDForInclination,2,0,COUNT(#ref!),1)</definedName>
    <definedName name="MeteringTime" localSheetId="9" hidden="0" function="0" vbProcedure="0">[11]DATA!$BG$2:$BG$42</definedName>
    <definedName name="Min._Ten_Sett_Tool_Assy" localSheetId="9" hidden="0" function="0" vbProcedure="0">'[11]Weight Calculations'!$S$60</definedName>
    <definedName name="Min_DP_Tens" localSheetId="9" hidden="0" function="0" vbProcedure="0">'[11]Weight Calculations'!$W$61</definedName>
    <definedName name="Min_Ft_Release_RH" localSheetId="9" hidden="0" function="0" vbProcedure="0">'[11]Metric Conversions'!$B$39</definedName>
    <definedName name="Min_Ft_Release_RHz" localSheetId="9" hidden="0" function="0" vbProcedure="0">'[11]Metric Conversions'!$C$39</definedName>
    <definedName name="mobile" localSheetId="9" hidden="0" function="0" vbProcedure="0">'[34]Call Sheet'!$R$5</definedName>
    <definedName name="Module1.draw_productionfirst" localSheetId="9" hidden="0" function="0" vbProcedure="0">'TALLY.'!Module1.draw_productionfirst</definedName>
    <definedName name="Module1.draw_productionsecond" localSheetId="9" hidden="0" function="0" vbProcedure="0">'TALLY.'!Module1.draw_productionsecond</definedName>
    <definedName name="Module1.impdwg" localSheetId="9" hidden="0" function="0" vbProcedure="0">[29]!Module1.impdwg</definedName>
    <definedName name="Module1.impdwg_1" localSheetId="9" hidden="0" function="0" vbProcedure="0">'TALLY.'!Module1.impdwg</definedName>
    <definedName name="Module1.impdwg_10" localSheetId="9" hidden="0" function="0" vbProcedure="0">'TALLY.'!Module1.impdwg</definedName>
    <definedName name="Module1.impdwg_11" localSheetId="9" hidden="0" function="0" vbProcedure="0">'TALLY.'!Module1.impdwg</definedName>
    <definedName name="Module1.impdwg_2" localSheetId="9" hidden="0" function="0" vbProcedure="0">'TALLY.'!Module1.impdwg</definedName>
    <definedName name="Module1.impdwg_3" localSheetId="9" hidden="0" function="0" vbProcedure="0">'TALLY.'!Module1.impdwg</definedName>
    <definedName name="Module1.impdwg_4" localSheetId="9" hidden="0" function="0" vbProcedure="0">'TALLY.'!Module1.impdwg</definedName>
    <definedName name="Module1.impdwg_5" localSheetId="9" hidden="0" function="0" vbProcedure="0">'TALLY.'!Module1.impdwg</definedName>
    <definedName name="Module1.impdwg_6" localSheetId="9" hidden="0" function="0" vbProcedure="0">'TALLY.'!Module1.impdwg</definedName>
    <definedName name="Module1.impdwg_7" localSheetId="9" hidden="0" function="0" vbProcedure="0">'TALLY.'!Module1.impdwg</definedName>
    <definedName name="Module1.impdwg_8" localSheetId="9" hidden="0" function="0" vbProcedure="0">'TALLY.'!Module1.impdwg</definedName>
    <definedName name="Module1.impdwg_9" localSheetId="9" hidden="0" function="0" vbProcedure="0">'TALLY.'!Module1.impdwg</definedName>
    <definedName name="Module4.drawblanks" localSheetId="9" hidden="0" function="0" vbProcedure="0">'TALLY.'!Module4.drawblanks</definedName>
    <definedName name="Module4.drawlinerfirst" localSheetId="9" hidden="0" function="0" vbProcedure="0">'TALLY.'!Module4.drawlinerfirst</definedName>
    <definedName name="Module4.drawlinersecond" localSheetId="9" hidden="0" function="0" vbProcedure="0">'TALLY.'!Module4.drawlinersecond</definedName>
    <definedName name="Module4.drawmiscellaneous" localSheetId="9" hidden="0" function="0" vbProcedure="0">'TALLY.'!Module4.drawmiscellaneous</definedName>
    <definedName name="Module4.drawproductionfirst" localSheetId="9" hidden="0" function="0" vbProcedure="0">'TALLY.'!Module4.drawproductionfirst</definedName>
    <definedName name="Module4.drawproductionsecond" localSheetId="9" hidden="0" function="0" vbProcedure="0">'TALLY.'!Module4.drawproductionsecond</definedName>
    <definedName name="Module4.drawquantum" localSheetId="9" hidden="0" function="0" vbProcedure="0">'TALLY.'!Module4.drawquantum</definedName>
    <definedName name="Module4.drawscreens" localSheetId="9" hidden="0" function="0" vbProcedure="0">'TALLY.'!Module4.drawscreens</definedName>
    <definedName name="Module4.drawshearsubs" localSheetId="9" hidden="0" function="0" vbProcedure="0">'TALLY.'!Module4.drawshearsubs</definedName>
    <definedName name="Module4.drawsump" localSheetId="9" hidden="0" function="0" vbProcedure="0">'TALLY.'!Module4.drawsump</definedName>
    <definedName name="Module4.textfive" localSheetId="9" hidden="0" function="0" vbProcedure="0">'TALLY.'!Module4.textfive</definedName>
    <definedName name="Module4.textfivehalf" localSheetId="9" hidden="0" function="0" vbProcedure="0">'TALLY.'!Module4.textfivehalf</definedName>
    <definedName name="Module4.textninefiveeightfourfirst" localSheetId="9" hidden="0" function="0" vbProcedure="0">'TALLY.'!Module4.textninefiveeightfourfirst</definedName>
    <definedName name="Module4.textninefiveeightfoursecond" localSheetId="9" hidden="0" function="0" vbProcedure="0">'TALLY.'!Module4.textninefiveeightfoursecond</definedName>
    <definedName name="Module4.textninefiveeightsixfirst" localSheetId="9" hidden="0" function="0" vbProcedure="0">'TALLY.'!Module4.textninefiveeightsixfirst</definedName>
    <definedName name="Module4.textninefiveeightsixsecond" localSheetId="9" hidden="0" function="0" vbProcedure="0">'TALLY.'!Module4.textninefiveeightsixsecond</definedName>
    <definedName name="Module4.textsevenfiveeightfour" localSheetId="9" hidden="0" function="0" vbProcedure="0">'TALLY.'!Module4.textsevenfiveeightfour</definedName>
    <definedName name="Module4.textsevenfiveeightthree" localSheetId="9" hidden="0" function="0" vbProcedure="0">'TALLY.'!Module4.textsevenfiveeightthree</definedName>
    <definedName name="Module4.textsevenfour" localSheetId="9" hidden="0" function="0" vbProcedure="0">'TALLY.'!Module4.textsevenfour</definedName>
    <definedName name="Module4.textseventhree" localSheetId="9" hidden="0" function="0" vbProcedure="0">'TALLY.'!Module4.textseventhree</definedName>
    <definedName name="MOE" localSheetId="9" hidden="0" function="0" vbProcedure="0">#ref!</definedName>
    <definedName name="Month" localSheetId="9" hidden="0" function="0" vbProcedure="0">[63]auf_screen!#ref!</definedName>
    <definedName name="monthref" localSheetId="9" hidden="0" function="0" vbProcedure="0">[184]References!$H$1:$I$12</definedName>
    <definedName name="MorningReport" localSheetId="9" hidden="0" function="0" vbProcedure="0">'[218]morning report'!#ref!</definedName>
    <definedName name="mr" localSheetId="9" hidden="1" function="0" vbProcedure="0">{#N/A,#N/A,FALSE,"Sheet1"}</definedName>
    <definedName name="Mudtype" localSheetId="9" hidden="0" function="0" vbProcedure="0">[11]DATA!$N$2:$N$18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'[11]Liner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[151]!JointNumber</definedName>
    <definedName name="m_choke" localSheetId="9" hidden="0" function="0" vbProcedure="0">'[96]well test sheet'!#ref!</definedName>
    <definedName name="M_Dual" localSheetId="9" hidden="0" function="0" vbProcedure="0">#ref!</definedName>
    <definedName name="n" localSheetId="9" hidden="0" function="0" vbProcedure="0">'TALLY.'!n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'[186]井口装置示意图-4'!$E$1:$E$65536</definedName>
    <definedName name="NEBRIGS" localSheetId="9" hidden="0" function="0" vbProcedure="0">[184]References!$D$1:$D$15</definedName>
    <definedName name="netperf" localSheetId="9" hidden="0" function="0" vbProcedure="0">[5]WTR!$G$33</definedName>
    <definedName name="NET_PERFS" localSheetId="9" hidden="0" function="0" vbProcedure="0">'[113]#REF'!$F$20</definedName>
    <definedName name="NewData" localSheetId="9" hidden="0" function="0" vbProcedure="0">'[183]New Contract'!$A$1:$G$65536</definedName>
    <definedName name="NewDes" localSheetId="9" hidden="0" function="0" vbProcedure="0">'[183]New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'[7]#ref'!#ref!</definedName>
    <definedName name="Nipples" localSheetId="9" hidden="0" function="0" vbProcedure="0">#ref!</definedName>
    <definedName name="NM" localSheetId="9" hidden="0" function="0" vbProcedure="0">[18]!Macro1</definedName>
    <definedName name="No" localSheetId="9" hidden="0" function="0" vbProcedure="0">'[154]BPR LOG'!$A$1:$A$1048576</definedName>
    <definedName name="NOofTools" localSheetId="9" hidden="0" function="0" vbProcedure="0">[11]DATA!$BP$2:$BP$12</definedName>
    <definedName name="NosOfTubing" localSheetId="9" hidden="0" function="0" vbProcedure="0">#ref!</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'[34]Call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'[11]Liner Job Info'!$Q$14</definedName>
    <definedName name="oilrate" localSheetId="9" hidden="0" function="0" vbProcedure="0">'[96]well test sheet'!#ref!</definedName>
    <definedName name="oil_cumm" localSheetId="9" hidden="0" function="0" vbProcedure="0">'[96]well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[57]data!#ref!</definedName>
    <definedName name="OP_1" localSheetId="9" hidden="0" function="0" vbProcedure="0">[187]Inputs!$F$1:$F$3</definedName>
    <definedName name="Overbalance" localSheetId="9" hidden="0" function="0" vbProcedure="0">'[108]Pre-Job Info Sheet'!$D$34</definedName>
    <definedName name="Overlap" localSheetId="9" hidden="0" function="0" vbProcedure="0">'[11]Metric Conversions'!$B$16</definedName>
    <definedName name="Overlapz" localSheetId="9" hidden="0" function="0" vbProcedure="0">'[11]Liner Job Info'!$R$14</definedName>
    <definedName name="Overlap_Volz" localSheetId="9" hidden="0" function="0" vbProcedure="0">'[11]Metric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'[79]casing talley'!#ref!</definedName>
    <definedName name="PACKER_2" localSheetId="9" hidden="0" function="0" vbProcedure="0">INDEX([111]DRAW!$D$13:$E$14,MATCH([112]AUTO_DHWS!$AV$12,[111]DRAW!$D$13:$D$14,0),2)</definedName>
    <definedName name="Packer_Rotation" localSheetId="9" hidden="0" function="0" vbProcedure="0">'[11]Liner Job Info'!$P$40</definedName>
    <definedName name="Packer_Set_In" localSheetId="9" hidden="0" function="0" vbProcedure="0">'[108]Pre-Job Info Sheet'!$D$22</definedName>
    <definedName name="PackOff" localSheetId="9" hidden="0" function="0" vbProcedure="0">[11]DATA!$AP$2:$AP$6</definedName>
    <definedName name="PackoffXDP1_Pist_Area" localSheetId="9" hidden="0" function="0" vbProcedure="0">'[11]Liner Job Info'!$AF$2</definedName>
    <definedName name="PackoffXDP2_Pist_Area" localSheetId="9" hidden="0" function="0" vbProcedure="0">'[11]Liner Job Info'!$AF$3</definedName>
    <definedName name="PackoffXDP3_Pist_Area" localSheetId="9" hidden="0" function="0" vbProcedure="0">'[11]Liner Job Info'!$AG$28</definedName>
    <definedName name="PackoffXDP4_Pist_Area" localSheetId="9" hidden="0" function="0" vbProcedure="0">'[11]Liner Job Info'!$AG$29</definedName>
    <definedName name="PackoffXDP5_Pist_Area" localSheetId="9" hidden="0" function="0" vbProcedure="0">'[11]Liner Job Info'!$AG$30</definedName>
    <definedName name="Packoff_Pist_Area" localSheetId="9" hidden="0" function="0" vbProcedure="0">'[11]Liner Job Info'!$AG$31</definedName>
    <definedName name="Packoff_Stinger_OD" localSheetId="9" hidden="0" function="0" vbProcedure="0">'[11]Liner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arts" localSheetId="9" hidden="0" function="0" vbProcedure="0">#ref!</definedName>
    <definedName name="PBTD" localSheetId="9" hidden="0" function="0" vbProcedure="0">'[79]casing talley'!#ref!</definedName>
    <definedName name="Pckr_Body_Bst" localSheetId="9" hidden="0" function="0" vbProcedure="0">'[11]Metric Conversions'!$B$52</definedName>
    <definedName name="Pckr_Body_Bstz" localSheetId="9" hidden="0" function="0" vbProcedure="0">'[11]Liner Job Info'!$P$32</definedName>
    <definedName name="Pckr_Body_Collz" localSheetId="9" hidden="0" function="0" vbProcedure="0">'[11]Liner Job Info'!$P$33</definedName>
    <definedName name="Pckr_Body_Tens" localSheetId="9" hidden="0" function="0" vbProcedure="0">'[11]Liner Job Info'!$P$34</definedName>
    <definedName name="Pckr_Seal_Surf_OD" localSheetId="9" hidden="0" function="0" vbProcedure="0">'[11]Liner Job Info'!$P$31</definedName>
    <definedName name="Pckr_Sett_Force" localSheetId="9" hidden="0" function="0" vbProcedure="0">'[11]Liner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[241]index!#ref!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'[79]casing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[183]Data!$P$1:$P$65536</definedName>
    <definedName name="Perv.Macro140" localSheetId="9" hidden="0" function="0" vbProcedure="0">[52]!Prev.Macro102</definedName>
    <definedName name="PFIVE_TOTAL" localSheetId="9" hidden="0" function="0" vbProcedure="0">[241]index!#ref!</definedName>
    <definedName name="PFOUR_TOTAL" localSheetId="9" hidden="0" function="0" vbProcedure="0">[241]index!#ref!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'TALLY.'!pick1_958x475_system</definedName>
    <definedName name="pick1_958x6_system" localSheetId="9" hidden="0" function="0" vbProcedure="0">'TALLY.'!pick1_958x6_system</definedName>
    <definedName name="pick1_production" localSheetId="9" hidden="0" function="0" vbProcedure="0">'TALLY.'!pick1_production</definedName>
    <definedName name="pick2_958x475_system" localSheetId="9" hidden="0" function="0" vbProcedure="0">'TALLY.'!pick2_958x475_system</definedName>
    <definedName name="pick2_958x6_system" localSheetId="9" hidden="0" function="0" vbProcedure="0">'TALLY.'!pick2_958x6_system</definedName>
    <definedName name="pick2_production" localSheetId="9" hidden="0" function="0" vbProcedure="0">'TALLY.'!pick2_production</definedName>
    <definedName name="pick_512_system" localSheetId="9" hidden="0" function="0" vbProcedure="0">'TALLY.'!pick_512_system</definedName>
    <definedName name="pick_5_system" localSheetId="9" hidden="0" function="0" vbProcedure="0">'TALLY.'!pick_5_system</definedName>
    <definedName name="pick_758x314_system" localSheetId="9" hidden="0" function="0" vbProcedure="0">'TALLY.'!pick_758x314_system</definedName>
    <definedName name="pick_758x4_system" localSheetId="9" hidden="0" function="0" vbProcedure="0">'TALLY.'!pick_758x4_system</definedName>
    <definedName name="pick_7x314_system" localSheetId="9" hidden="0" function="0" vbProcedure="0">'TALLY.'!pick_7x314_system</definedName>
    <definedName name="pick_7x4_system" localSheetId="9" hidden="0" function="0" vbProcedure="0">'TALLY.'!pick_7x4_system</definedName>
    <definedName name="pick_blanks" localSheetId="9" hidden="0" function="0" vbProcedure="0">'TALLY.'!pick_blanks</definedName>
    <definedName name="pick_liner" localSheetId="9" hidden="0" function="0" vbProcedure="0">'TALLY.'!pick_liner</definedName>
    <definedName name="pick_liner2" localSheetId="9" hidden="0" function="0" vbProcedure="0">'TALLY.'!pick_liner2</definedName>
    <definedName name="pick_miscellaneous" localSheetId="9" hidden="0" function="0" vbProcedure="0">'TALLY.'!pick_miscellaneous</definedName>
    <definedName name="pick_quantum" localSheetId="9" hidden="0" function="0" vbProcedure="0">'TALLY.'!pick_quantum</definedName>
    <definedName name="pick_screens" localSheetId="9" hidden="0" function="0" vbProcedure="0">'TALLY.'!pick_screens</definedName>
    <definedName name="pick_shearsubs" localSheetId="9" hidden="0" function="0" vbProcedure="0">'TALLY.'!pick_shearsubs</definedName>
    <definedName name="pick_sump" localSheetId="9" hidden="0" function="0" vbProcedure="0">'TALLY.'!pick_sump</definedName>
    <definedName name="Pilot" localSheetId="9" hidden="0" function="0" vbProcedure="0">[242]!'[module4 formula].macro1'</definedName>
    <definedName name="PistArea_Packoff_to_DP_OD" localSheetId="9" hidden="0" function="0" vbProcedure="0">[11]Test!$M$16</definedName>
    <definedName name="Piston_Disp" localSheetId="9" hidden="0" function="0" vbProcedure="0">'[108]Tester Valve Calcs'!$M$16</definedName>
    <definedName name="Pist_Area_Csg_ID_to_DP1_OD" localSheetId="9" hidden="0" function="0" vbProcedure="0">[11]Test!$U$26</definedName>
    <definedName name="Pist_Area_Csg_ID_to_DP2_OD" localSheetId="9" hidden="0" function="0" vbProcedure="0">[11]Test!$U$27</definedName>
    <definedName name="Pist_Area_Csg_ID_to_DP3_OD" localSheetId="9" hidden="0" function="0" vbProcedure="0">[11]Test!$U$28</definedName>
    <definedName name="Pist_Area_Csg_ID_to_DP4_OD" localSheetId="9" hidden="0" function="0" vbProcedure="0">[11]Test!$U$29</definedName>
    <definedName name="Pist_Area_Csg_ID_to_DP5_OD" localSheetId="9" hidden="0" function="0" vbProcedure="0">[11]Test!$U$30</definedName>
    <definedName name="Pist_Area_from_CsgID_to_Packoff_OD" localSheetId="9" hidden="0" function="0" vbProcedure="0">[11]Test!$M$14</definedName>
    <definedName name="Pist_Area_PackoffOD_DP2_OD" localSheetId="9" hidden="0" function="0" vbProcedure="0">[11]Test!$Y$27</definedName>
    <definedName name="Pist_Area_PackoffOD_DP4_OD" localSheetId="9" hidden="0" function="0" vbProcedure="0">[11]Test!$Y$29</definedName>
    <definedName name="Pist_Area_PackoffOD_DP5_OD" localSheetId="9" hidden="0" function="0" vbProcedure="0">[11]Test!$Y$30</definedName>
    <definedName name="Pist_Area_PackoffOD_to_DP1_OD" localSheetId="9" hidden="0" function="0" vbProcedure="0">[11]Test!$Y$26</definedName>
    <definedName name="Pist_Area_PackoffOD_to_DP3_OD" localSheetId="9" hidden="0" function="0" vbProcedure="0">[11]Test!$Y$28</definedName>
    <definedName name="Pkrs" localSheetId="9" hidden="0" function="0" vbProcedure="0">#ref!</definedName>
    <definedName name="plotm" localSheetId="9" hidden="0" function="0" vbProcedure="0">'[64]tool backload dt'!plotm</definedName>
    <definedName name="PlugMethod" localSheetId="9" hidden="0" function="0" vbProcedure="0">[11]DATA!$BI$2:$BI$6</definedName>
    <definedName name="Plugs" localSheetId="9" hidden="0" function="0" vbProcedure="0">[11]DATA!$AL$2:$AL$13</definedName>
    <definedName name="Plug_Bmp_Hngr_Ovr_Ld" localSheetId="9" hidden="0" function="0" vbProcedure="0">[11]Test!$M$25</definedName>
    <definedName name="Plug_Bmp_psi_wo_DP" localSheetId="9" hidden="0" function="0" vbProcedure="0">[11]Test!$M$23</definedName>
    <definedName name="Plug_Bmp_psi_w_DP" localSheetId="9" hidden="0" function="0" vbProcedure="0">[11]Test!$M$24</definedName>
    <definedName name="Plug_Press_Rating" localSheetId="9" hidden="0" function="0" vbProcedure="0">'[11]Metric Conversions'!$B$51</definedName>
    <definedName name="Plug_Press_Ratingz" localSheetId="9" hidden="0" function="0" vbProcedure="0">'[11]Liner Job Info'!$D$43</definedName>
    <definedName name="Plug_Temp_Rating" localSheetId="9" hidden="0" function="0" vbProcedure="0">'[11]Liner Job Info'!$D$44</definedName>
    <definedName name="PNINE_TOTAL" localSheetId="9" hidden="0" function="0" vbProcedure="0">[241]index!#ref!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'[11]Metric Conversions'!$B$65</definedName>
    <definedName name="pph" localSheetId="9" hidden="0" function="0" vbProcedure="0">[43]!Calculate_Pipe</definedName>
    <definedName name="pre.Macro220" localSheetId="9" hidden="0" function="0" vbProcedure="0">[52]!Prev.Macro110</definedName>
    <definedName name="pregpstim" localSheetId="9" hidden="0" function="0" vbProcedure="0">[5]WTR!$G$48</definedName>
    <definedName name="PREPACK_MIX_RATIO" localSheetId="9" hidden="0" function="0" vbProcedure="0">'[113]#REF'!$K$44</definedName>
    <definedName name="Pressure" localSheetId="9" hidden="0" function="0" vbProcedure="0">#ref!</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ssure_1" localSheetId="9" hidden="0" function="0" vbProcedure="0">#ref!</definedName>
    <definedName name="Pressure_2" localSheetId="9" hidden="0" function="0" vbProcedure="0">#ref!</definedName>
    <definedName name="prev.Macro150" localSheetId="9" hidden="0" function="0" vbProcedure="0">[52]!Prev.Macro122</definedName>
    <definedName name="prev.Macro200" localSheetId="9" hidden="0" function="0" vbProcedure="0">[52]!Prev.Macro128</definedName>
    <definedName name="Prev.Macro242" localSheetId="9" hidden="0" function="0" vbProcedure="0">[52]!Prev.Macro106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INDEX([161]PKR!$A$2:$B$15,MATCH([161]INPUT!$H$37,[161]PKR!$A$2:$A$15,0),2)</definedName>
    <definedName name="production" localSheetId="9" hidden="0" function="0" vbProcedure="0">[162]WTR!$L$6</definedName>
    <definedName name="Production_History_by_Well" localSheetId="9" hidden="0" function="0" vbProcedure="0">'[250]neb-wells'!#ref!</definedName>
    <definedName name="profitcntr1" localSheetId="9" hidden="0" function="0" vbProcedure="0">[183]Data!$I$1:$I$65536</definedName>
    <definedName name="Prog" localSheetId="9" hidden="0" function="0" vbProcedure="0">[184]References!$E$1:$E$4</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[241]index!#ref!</definedName>
    <definedName name="PSI" localSheetId="9" hidden="0" function="0" vbProcedure="0">'[78]tester valve calcs'!#ref!</definedName>
    <definedName name="psia_array" localSheetId="9" hidden="0" function="0" vbProcedure="0">{"HMR","HMR-GT","ZI Probe","Spartek","Omega SP"}</definedName>
    <definedName name="psibarkpa" localSheetId="9" hidden="0" function="0" vbProcedure="0">'[11]Metric Conversions'!$B$42</definedName>
    <definedName name="psig_array" localSheetId="9" hidden="0" function="0" vbProcedure="0">{"RPG-3","RPG-4"}</definedName>
    <definedName name="PSIX_TOTAL" localSheetId="9" hidden="0" function="0" vbProcedure="0">[241]index!#ref!</definedName>
    <definedName name="psl" localSheetId="9" hidden="0" function="0" vbProcedure="0">[57]data!#ref!</definedName>
    <definedName name="Pstn_Force_Actual" localSheetId="9" hidden="0" function="0" vbProcedure="0">'[11]Weight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[241]index!#ref!</definedName>
    <definedName name="PTWO_TOTAL" localSheetId="9" hidden="0" function="0" vbProcedure="0">[241]index!#ref!</definedName>
    <definedName name="Pups" localSheetId="9" hidden="0" function="0" vbProcedure="0">#ref!</definedName>
    <definedName name="PU_Dogs" localSheetId="9" hidden="0" function="0" vbProcedure="0">'[11]Metric Conversions'!$B$25</definedName>
    <definedName name="PU_Dogsz" localSheetId="9" hidden="0" function="0" vbProcedure="0">'[11]Liner Job Info'!$P$47</definedName>
    <definedName name="PU_Packoffz" localSheetId="9" hidden="0" function="0" vbProcedure="0">'[11]Liner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[254]!Calculate_Pipe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'TALLY.'!quantum</definedName>
    <definedName name="Range1" localSheetId="9" hidden="0" function="0" vbProcedure="0">OFFSET([257]sheet1!$e$5, 1, 0,[257]sheet1!$e$2,1)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'[188]2B Raw Rig Tally'!$B$13:$D$501</definedName>
    <definedName name="raw_tally_upper" localSheetId="9" hidden="0" function="0" vbProcedure="0">'[188]2B Raw Rig Tally'!$F$13:$H$501</definedName>
    <definedName name="Reasons" localSheetId="9" hidden="0" function="0" vbProcedure="0">'[146]Title Page'!$O$2:$O$23</definedName>
    <definedName name="Recalc" localSheetId="9" hidden="0" function="0" vbProcedure="0">[120]!Recalc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'[11]Weight Calculations'!$W$53</definedName>
    <definedName name="Rem_DP2_Tens" localSheetId="9" hidden="0" function="0" vbProcedure="0">'[11]Weight Calculations'!$W$54</definedName>
    <definedName name="Rem_DP3_Tens" localSheetId="9" hidden="0" function="0" vbProcedure="0">'[11]Weight Calculations'!$W$55</definedName>
    <definedName name="Rem_DP4_Tens" localSheetId="9" hidden="0" function="0" vbProcedure="0">'[11]Weight Calculations'!$W$59</definedName>
    <definedName name="Rem_DP5_Tens" localSheetId="9" hidden="0" function="0" vbProcedure="0">'[11]Weight Calculations'!$W$60</definedName>
    <definedName name="Rentalequipment" localSheetId="9" hidden="0" function="0" vbProcedure="0">[11]DATA!$R$2:$R$79</definedName>
    <definedName name="Rental_Tool_ID" localSheetId="9" hidden="0" function="0" vbProcedure="0">[11]DATA!$S$2:$S$79</definedName>
    <definedName name="REPORT3" localSheetId="9" hidden="0" function="0" vbProcedure="0">'[2]run sheet'!#ref!</definedName>
    <definedName name="RESE" localSheetId="9" hidden="0" function="0" vbProcedure="0">'TALLY.'!RESE</definedName>
    <definedName name="reservoir15" localSheetId="9" hidden="0" function="0" vbProcedure="0">'[73]geological prognosis'!#ref!</definedName>
    <definedName name="reservoir16" localSheetId="9" hidden="0" function="0" vbProcedure="0">'[73]geological prognosis'!#ref!</definedName>
    <definedName name="reservoir17" localSheetId="9" hidden="0" function="0" vbProcedure="0">'[73]geological prognosis'!#ref!</definedName>
    <definedName name="reservoir18" localSheetId="9" hidden="0" function="0" vbProcedure="0">'[73]geological prognosis'!#ref!</definedName>
    <definedName name="reservoir19" localSheetId="9" hidden="0" function="0" vbProcedure="0">'[73]geological prognosis'!#ref!</definedName>
    <definedName name="reservoir20" localSheetId="9" hidden="0" function="0" vbProcedure="0">'[73]geological prognosis'!#ref!</definedName>
    <definedName name="reservoir21" localSheetId="9" hidden="0" function="0" vbProcedure="0">'[73]geological prognosis'!#ref!</definedName>
    <definedName name="reservoir22" localSheetId="9" hidden="0" function="0" vbProcedure="0">'[73]geological prognosis'!#ref!</definedName>
    <definedName name="reservoir23" localSheetId="9" hidden="0" function="0" vbProcedure="0">'[73]geological prognosis'!#ref!</definedName>
    <definedName name="reservoir24" localSheetId="9" hidden="0" function="0" vbProcedure="0">'[73]geological prognosis'!#ref!</definedName>
    <definedName name="reservoir25" localSheetId="9" hidden="0" function="0" vbProcedure="0">'[73]geological prognosis'!#ref!</definedName>
    <definedName name="reservoir26" localSheetId="9" hidden="0" function="0" vbProcedure="0">'[73]geological prognosis'!#ref!</definedName>
    <definedName name="reservoir27" localSheetId="9" hidden="0" function="0" vbProcedure="0">'[73]geological prognosis'!#ref!</definedName>
    <definedName name="reservoir28" localSheetId="9" hidden="0" function="0" vbProcedure="0">'[73]geological prognosis'!#ref!</definedName>
    <definedName name="reservoir29" localSheetId="9" hidden="0" function="0" vbProcedure="0">'[73]geological prognosis'!#ref!</definedName>
    <definedName name="resrevoir09" localSheetId="9" hidden="0" function="0" vbProcedure="0">'[73]geological prognosis'!#ref!</definedName>
    <definedName name="resrevoir10" localSheetId="9" hidden="0" function="0" vbProcedure="0">'[73]geological prognosis'!#ref!</definedName>
    <definedName name="resrevoir12" localSheetId="9" hidden="0" function="0" vbProcedure="0">'[73]geological prognosis'!#ref!</definedName>
    <definedName name="resrevoir13" localSheetId="9" hidden="0" function="0" vbProcedure="0">'[73]geological prognosis'!#ref!</definedName>
    <definedName name="resrevoir14" localSheetId="9" hidden="0" function="0" vbProcedure="0">'[73]geological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'[11]Metric Conversions'!$C$38</definedName>
    <definedName name="RH_SHEAR" localSheetId="9" hidden="0" function="0" vbProcedure="0">'[11]Weight Calculations'!$H$21</definedName>
    <definedName name="RH_SHEAR_LNGTH" localSheetId="9" hidden="0" function="0" vbProcedure="0">'[11]Metric Conversions'!$B$37</definedName>
    <definedName name="RH_SHEAR_LNGTHz" localSheetId="9" hidden="0" function="0" vbProcedure="0">'[11]Metric Conversions'!$C$37</definedName>
    <definedName name="Rig" localSheetId="9" hidden="0" function="0" vbProcedure="0">'[88]Report Long(Esso)'!$E$4</definedName>
    <definedName name="rigcontractor1" localSheetId="9" hidden="0" function="0" vbProcedure="0">[183]Data!$G$1:$G$65536</definedName>
    <definedName name="Rigname1" localSheetId="9" hidden="0" function="0" vbProcedure="0">[183]Data!$E$1:$E$65536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'[11]Displacement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MR" localSheetId="9" hidden="0" function="0" vbProcedure="0">[184]References!$A$1:$A$3</definedName>
    <definedName name="Rotation" localSheetId="9" hidden="0" function="0" vbProcedure="0">[11]DATA!$AK$2:$AK$10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thLth" localSheetId="9" hidden="0" function="0" vbProcedure="0">#ref!</definedName>
    <definedName name="Runningtool" localSheetId="9" hidden="0" function="0" vbProcedure="0">[11]DATA!$AO$2:$AO$8</definedName>
    <definedName name="Rupees" localSheetId="9" hidden="0" function="0" vbProcedure="0">'[141]Cash Expense March-96'!$H$6</definedName>
    <definedName name="R_Group_ID" localSheetId="9" hidden="0" function="0" vbProcedure="0">[11]DATA!$T$2:$T$79</definedName>
    <definedName name="S" localSheetId="9" hidden="0" function="0" vbProcedure="0">'[2]run sheet'!#ref!</definedName>
    <definedName name="Salesequipment" localSheetId="9" hidden="0" function="0" vbProcedure="0">[11]DATA!$O$2:$O$268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'[96]well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'[7]#ref'!#ref!</definedName>
    <definedName name="SAND_IN_CAS_EXT" localSheetId="9" hidden="0" function="0" vbProcedure="0">'[7]#ref'!#ref!</definedName>
    <definedName name="SAND_IN_CAS_PREPACK" localSheetId="9" hidden="0" function="0" vbProcedure="0">'[113]#REF'!$F$81</definedName>
    <definedName name="SAND_IN_CAS_SCR" localSheetId="9" hidden="0" function="0" vbProcedure="0">'[7]#ref'!#ref!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[29]!Save_Document</definedName>
    <definedName name="Save_Document_1" localSheetId="9" hidden="0" function="0" vbProcedure="0">'TALLY.'!Save_Document</definedName>
    <definedName name="Save_Document_10" localSheetId="9" hidden="0" function="0" vbProcedure="0">'TALLY.'!Save_Document</definedName>
    <definedName name="Save_Document_11" localSheetId="9" hidden="0" function="0" vbProcedure="0">'TALLY.'!Save_Document</definedName>
    <definedName name="Save_Document_2" localSheetId="9" hidden="0" function="0" vbProcedure="0">'TALLY.'!Save_Document</definedName>
    <definedName name="Save_Document_3" localSheetId="9" hidden="0" function="0" vbProcedure="0">'TALLY.'!Save_Document</definedName>
    <definedName name="Save_Document_4" localSheetId="9" hidden="0" function="0" vbProcedure="0">'TALLY.'!Save_Document</definedName>
    <definedName name="Save_Document_5" localSheetId="9" hidden="0" function="0" vbProcedure="0">'TALLY.'!Save_Document</definedName>
    <definedName name="Save_Document_6" localSheetId="9" hidden="0" function="0" vbProcedure="0">'TALLY.'!Save_Document</definedName>
    <definedName name="Save_Document_7" localSheetId="9" hidden="0" function="0" vbProcedure="0">'TALLY.'!Save_Document</definedName>
    <definedName name="Save_Document_8" localSheetId="9" hidden="0" function="0" vbProcedure="0">'TALLY.'!Save_Document</definedName>
    <definedName name="Save_Document_9" localSheetId="9" hidden="0" function="0" vbProcedure="0">'TALLY.'!Save_Document</definedName>
    <definedName name="SBE" localSheetId="9" hidden="0" function="0" vbProcedure="0">#ref!</definedName>
    <definedName name="SCB" localSheetId="9" hidden="0" function="0" vbProcedure="0">[129]RSS!$B$136:$B$144</definedName>
    <definedName name="SCHE" localSheetId="9" hidden="0" function="0" vbProcedure="0">[18]!Macro1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[75]!Calculate_Pipe</definedName>
    <definedName name="se" localSheetId="9" hidden="0" function="0" vbProcedure="0">'[270]calculo de gas total'!#ref!</definedName>
    <definedName name="Seals" localSheetId="9" hidden="0" function="0" vbProcedure="0">#ref!</definedName>
    <definedName name="SeatID" localSheetId="9" hidden="0" function="0" vbProcedure="0">[11]DATA!$BC$2:$BC$6</definedName>
    <definedName name="SeatNumber" localSheetId="9" hidden="0" function="0" vbProcedure="0">[11]DATA!$BD$2:$BD$7</definedName>
    <definedName name="SeatShear" localSheetId="9" hidden="0" function="0" vbProcedure="0">[11]DATA!$BE$2:$BE$4</definedName>
    <definedName name="SeatType" localSheetId="9" hidden="0" function="0" vbProcedure="0">[11]DATA!$BB$2:$BB$4</definedName>
    <definedName name="sep_press" localSheetId="9" hidden="0" function="0" vbProcedure="0">'[96]well test sheet'!#ref!</definedName>
    <definedName name="sep_temp" localSheetId="9" hidden="0" function="0" vbProcedure="0">'[96]well test sheet'!#ref!</definedName>
    <definedName name="serialselect1" localSheetId="9" hidden="0" function="0" vbProcedure="0">[29]!serialselect1</definedName>
    <definedName name="serialselect2" localSheetId="9" hidden="0" function="0" vbProcedure="0">[29]!serialselect2</definedName>
    <definedName name="serialselect3" localSheetId="9" hidden="0" function="0" vbProcedure="0">[29]!serialselect3</definedName>
    <definedName name="serialselect4" localSheetId="9" hidden="0" function="0" vbProcedure="0">[29]!serialselect4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'[11]Liner Job Info'!$P$44</definedName>
    <definedName name="Shear_HR_Mech_Release" localSheetId="9" hidden="0" function="0" vbProcedure="0">'[11]Liner Job Info'!$P$49</definedName>
    <definedName name="SHER" localSheetId="9" hidden="0" function="0" vbProcedure="0">'TALLY.'!SHER</definedName>
    <definedName name="shippedvia" localSheetId="9" hidden="0" function="0" vbProcedure="0">'[33]data '!#ref!</definedName>
    <definedName name="shit" localSheetId="9" hidden="1" function="0" vbProcedure="0">{#N/A,#N/A,FALSE,"Sheet1"}</definedName>
    <definedName name="SHO" localSheetId="9" hidden="0" function="0" vbProcedure="0">[185]钻井日报表!$G$3</definedName>
    <definedName name="ShoeTrack_Vol" localSheetId="9" hidden="0" function="0" vbProcedure="0">'[11]Metric Conversions'!$B$76</definedName>
    <definedName name="ShoeTrack_Volz" localSheetId="9" hidden="0" function="0" vbProcedure="0">'[11]Metric Conversions'!$C$76</definedName>
    <definedName name="Shoe_Track_Length" localSheetId="9" hidden="0" function="0" vbProcedure="0">'[11]Metric Conversions'!$B$19</definedName>
    <definedName name="Shoe_Track_Lengthz" localSheetId="9" hidden="0" function="0" vbProcedure="0">'[11]Liner Job Info'!$D$19</definedName>
    <definedName name="Show_1" localSheetId="9" hidden="0" function="0" vbProcedure="0">[44]!Show_1</definedName>
    <definedName name="Show_1_1" localSheetId="9" hidden="0" function="0" vbProcedure="0">'TALLY.'!Show_1</definedName>
    <definedName name="Show_1_10" localSheetId="9" hidden="0" function="0" vbProcedure="0">'TALLY.'!Show_1</definedName>
    <definedName name="Show_1_11" localSheetId="9" hidden="0" function="0" vbProcedure="0">'TALLY.'!Show_1</definedName>
    <definedName name="Show_1_2" localSheetId="9" hidden="0" function="0" vbProcedure="0">'TALLY.'!Show_1</definedName>
    <definedName name="Show_1_3" localSheetId="9" hidden="0" function="0" vbProcedure="0">'TALLY.'!Show_1</definedName>
    <definedName name="Show_1_4" localSheetId="9" hidden="0" function="0" vbProcedure="0">'TALLY.'!Show_1</definedName>
    <definedName name="Show_1_5" localSheetId="9" hidden="0" function="0" vbProcedure="0">'TALLY.'!Show_1</definedName>
    <definedName name="Show_1_6" localSheetId="9" hidden="0" function="0" vbProcedure="0">'TALLY.'!Show_1</definedName>
    <definedName name="Show_1_7" localSheetId="9" hidden="0" function="0" vbProcedure="0">'TALLY.'!Show_1</definedName>
    <definedName name="Show_1_8" localSheetId="9" hidden="0" function="0" vbProcedure="0">'TALLY.'!Show_1</definedName>
    <definedName name="Show_1_9" localSheetId="9" hidden="0" function="0" vbProcedure="0">'TALLY.'!Show_1</definedName>
    <definedName name="Show_2" localSheetId="9" hidden="0" function="0" vbProcedure="0">[44]!Show_2</definedName>
    <definedName name="Show_2_1" localSheetId="9" hidden="0" function="0" vbProcedure="0">'TALLY.'!Show_2</definedName>
    <definedName name="Show_2_10" localSheetId="9" hidden="0" function="0" vbProcedure="0">'TALLY.'!Show_2</definedName>
    <definedName name="Show_2_11" localSheetId="9" hidden="0" function="0" vbProcedure="0">'TALLY.'!Show_2</definedName>
    <definedName name="Show_2_2" localSheetId="9" hidden="0" function="0" vbProcedure="0">'TALLY.'!Show_2</definedName>
    <definedName name="Show_2_3" localSheetId="9" hidden="0" function="0" vbProcedure="0">'TALLY.'!Show_2</definedName>
    <definedName name="Show_2_4" localSheetId="9" hidden="0" function="0" vbProcedure="0">'TALLY.'!Show_2</definedName>
    <definedName name="Show_2_5" localSheetId="9" hidden="0" function="0" vbProcedure="0">'TALLY.'!Show_2</definedName>
    <definedName name="Show_2_6" localSheetId="9" hidden="0" function="0" vbProcedure="0">'TALLY.'!Show_2</definedName>
    <definedName name="Show_2_7" localSheetId="9" hidden="0" function="0" vbProcedure="0">'TALLY.'!Show_2</definedName>
    <definedName name="Show_2_8" localSheetId="9" hidden="0" function="0" vbProcedure="0">'TALLY.'!Show_2</definedName>
    <definedName name="Show_2_9" localSheetId="9" hidden="0" function="0" vbProcedure="0">'TALLY.'!Show_2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[11]DATA!$AV$2:$AV$4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'[34]Call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[11]DATA!$BK$2:$BK$7</definedName>
    <definedName name="Spiral_Type" localSheetId="9" hidden="0" function="0" vbProcedure="0">[11]DATA!$BM$2:$BM$5</definedName>
    <definedName name="SPM" localSheetId="9" hidden="0" function="0" vbProcedure="0">#ref!</definedName>
    <definedName name="SSA" localSheetId="9" hidden="0" function="0" vbProcedure="0">[275]!Macro46</definedName>
    <definedName name="SSDHGR" localSheetId="9" hidden="0" function="0" vbProcedure="0">#ref!</definedName>
    <definedName name="ssdsd" localSheetId="9" hidden="0" function="0" vbProcedure="0">'TALLY.'!ssdsd</definedName>
    <definedName name="SSID" localSheetId="9" hidden="0" function="0" vbProcedure="0">'[11]Liner Job Info'!$O$6</definedName>
    <definedName name="sss" localSheetId="9" hidden="1" function="0" vbProcedure="0">{#N/A,#N/A,FALSE,"Drlg Param Run 1-1";#N/A,#N/A,FALSE,"DDR (3)";#N/A,#N/A,FALSE,"BHA AT (1)";#N/A,#N/A,FALSE,"Downlinkbha";#N/A,#N/A,FALSE,"Job Status Report"}</definedName>
    <definedName name="SSSV" localSheetId="9" hidden="0" function="0" vbProcedure="0">#ref!</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'[11]Metric Conversions'!$B$30</definedName>
    <definedName name="Stretch_DP1_Lnr_Wtz" localSheetId="9" hidden="0" function="0" vbProcedure="0">'[11]Metric Conversions'!$C$30</definedName>
    <definedName name="Stretch_DP2_Lnr_Wt" localSheetId="9" hidden="0" function="0" vbProcedure="0">'[11]Metric Conversions'!$B$31</definedName>
    <definedName name="Stretch_DP2_Lnr_Wtz" localSheetId="9" hidden="0" function="0" vbProcedure="0">'[11]Metric Conversions'!$C$31</definedName>
    <definedName name="Stretch_DP3_Lnr_Wt" localSheetId="9" hidden="0" function="0" vbProcedure="0">'[11]Metric Conversions'!$B$32</definedName>
    <definedName name="Stretch_DP3_Lnr_Wtz" localSheetId="9" hidden="0" function="0" vbProcedure="0">'[11]Metric Conversions'!$C$32</definedName>
    <definedName name="Stretch_DP4_Lnr_Wt" localSheetId="9" hidden="0" function="0" vbProcedure="0">'[11]Metric Conversions'!$B$33</definedName>
    <definedName name="Stretch_DP4_Lnr_Wtz" localSheetId="9" hidden="0" function="0" vbProcedure="0">'[11]Metric Conversions'!$C$33</definedName>
    <definedName name="Stretch_DP5_Lnr_Wt" localSheetId="9" hidden="0" function="0" vbProcedure="0">'[11]Metric Conversions'!$B$34</definedName>
    <definedName name="Stretch_DP5_Lnr_Wtz" localSheetId="9" hidden="0" function="0" vbProcedure="0">'[11]Metric Conversions'!$C$34</definedName>
    <definedName name="Stretch_TTL_Lnr_Wt" localSheetId="9" hidden="0" function="0" vbProcedure="0">'[11]Metric Conversions'!$B$36</definedName>
    <definedName name="Stretch_TTL_Lnr_Wtz" localSheetId="9" hidden="0" function="0" vbProcedure="0">'[11]Metric Conversions'!$C$36</definedName>
    <definedName name="SUBJECT" localSheetId="9" hidden="0" function="0" vbProcedure="0">[184]References!$B$1:$B$15</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[11]DATA!$AQ$2:$AQ$11</definedName>
    <definedName name="surfacefracpressure" localSheetId="9" hidden="0" function="0" vbProcedure="0">[106]Data!$F$4</definedName>
    <definedName name="Surf_Equip_Tens" localSheetId="9" hidden="0" function="0" vbProcedure="0">'[11]Liner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#ref!</definedName>
    <definedName name="t." localSheetId="9" hidden="0" function="0" vbProcedure="0">[52]!Prev.Macro102</definedName>
    <definedName name="Tally" localSheetId="9" hidden="0" function="0" vbProcedure="0">#ref!</definedName>
    <definedName name="tallyc" localSheetId="9" hidden="0" function="0" vbProcedure="0">'[3]run sheet'!#ref!</definedName>
    <definedName name="Tally_2" localSheetId="9" hidden="0" function="0" vbProcedure="0">[189]Tally!$E$5:$G$1004</definedName>
    <definedName name="Tally_3" localSheetId="9" hidden="0" function="0" vbProcedure="0">[189]Tally!$I$5:$K$1004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[151]!Calculate_Pipe</definedName>
    <definedName name="Tbg" localSheetId="9" hidden="0" function="0" vbProcedure="0">#ref!</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#ref!</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ize" localSheetId="9" hidden="0" function="0" vbProcedure="0">#ref!</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'[11]Metric Conversions'!$B$55</definedName>
    <definedName name="TB_Ext_API_Collz" localSheetId="9" hidden="0" function="0" vbProcedure="0">'[11]Liner Job Info'!$P$37</definedName>
    <definedName name="TB_Ext_Bst" localSheetId="9" hidden="0" function="0" vbProcedure="0">'[11]Metric Conversions'!$B$54</definedName>
    <definedName name="TB_Ext_Bstz" localSheetId="9" hidden="0" function="0" vbProcedure="0">'[11]Liner Job Info'!$P$36</definedName>
    <definedName name="TB_EXT_ID" localSheetId="9" hidden="0" function="0" vbProcedure="0">'[11]Liner Job Info'!$P$35</definedName>
    <definedName name="TB_Ext_Yield_Collz" localSheetId="9" hidden="0" function="0" vbProcedure="0">'[11]Liner Job Info'!$P$38</definedName>
    <definedName name="TCPSTRING" localSheetId="9" hidden="0" function="0" vbProcedure="0">[287]!ADDSTAB</definedName>
    <definedName name="TD_Depth_md" localSheetId="9" hidden="0" function="0" vbProcedure="0">'[73]well specification'!#ref!</definedName>
    <definedName name="TD_md" localSheetId="9" hidden="0" function="0" vbProcedure="0">'[73]well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9" hidden="0" function="0" vbProcedure="0">#ref!</definedName>
    <definedName name="Temperature" localSheetId="9" hidden="0" function="0" vbProcedure="0">#ref!</definedName>
    <definedName name="TENDER" localSheetId="9" hidden="0" function="0" vbProcedure="0">'[88]Report Long(Esso)'!$E$4</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[11]Test!$M$28</definedName>
    <definedName name="Test_po_out_2" localSheetId="9" hidden="0" function="0" vbProcedure="0">[11]Test!$M$29</definedName>
    <definedName name="textfive" localSheetId="9" hidden="0" function="0" vbProcedure="0">'TALLY.'!textfive</definedName>
    <definedName name="textfivehalf" localSheetId="9" hidden="0" function="0" vbProcedure="0">'TALLY.'!textfivehalf</definedName>
    <definedName name="textninefiveeightfourfirst" localSheetId="9" hidden="0" function="0" vbProcedure="0">'TALLY.'!textninefiveeightfourfirst</definedName>
    <definedName name="textninefiveeightfoursecond" localSheetId="9" hidden="0" function="0" vbProcedure="0">'TALLY.'!textninefiveeightfoursecond</definedName>
    <definedName name="textninefiveeightsixfirst" localSheetId="9" hidden="0" function="0" vbProcedure="0">'TALLY.'!textninefiveeightsixfirst</definedName>
    <definedName name="textninefiveeightsixsecond" localSheetId="9" hidden="0" function="0" vbProcedure="0">'TALLY.'!textninefiveeightsixsecond</definedName>
    <definedName name="textsevenfiveeightfour" localSheetId="9" hidden="0" function="0" vbProcedure="0">'TALLY.'!textsevenfiveeightfour</definedName>
    <definedName name="textsevenfiveeightthree" localSheetId="9" hidden="0" function="0" vbProcedure="0">'TALLY.'!textsevenfiveeightthree</definedName>
    <definedName name="textsevenfour" localSheetId="9" hidden="0" function="0" vbProcedure="0">'TALLY.'!textsevenfour</definedName>
    <definedName name="textseventhree" localSheetId="9" hidden="0" function="0" vbProcedure="0">'TALLY.'!textseventhree</definedName>
    <definedName name="text_five" localSheetId="9" hidden="0" function="0" vbProcedure="0">'TALLY.'!text_five</definedName>
    <definedName name="text_fivehalf" localSheetId="9" hidden="0" function="0" vbProcedure="0">'TALLY.'!text_fivehalf</definedName>
    <definedName name="text_ninefiveeightfourfirst" localSheetId="9" hidden="0" function="0" vbProcedure="0">'TALLY.'!text_ninefiveeightfourfirst</definedName>
    <definedName name="text_ninefiveeightfoursecond" localSheetId="9" hidden="0" function="0" vbProcedure="0">'TALLY.'!text_ninefiveeightfoursecond</definedName>
    <definedName name="text_ninefiveeightsixfirst" localSheetId="9" hidden="0" function="0" vbProcedure="0">'TALLY.'!text_ninefiveeightsixfirst</definedName>
    <definedName name="text_ninefiveeightsixsecond" localSheetId="9" hidden="0" function="0" vbProcedure="0">'TALLY.'!text_ninefiveeightsixsecond</definedName>
    <definedName name="text_sevenfiveeightfour" localSheetId="9" hidden="0" function="0" vbProcedure="0">'TALLY.'!text_sevenfiveeightfour</definedName>
    <definedName name="text_sevenfiveeightthree" localSheetId="9" hidden="0" function="0" vbProcedure="0">'TALLY.'!text_sevenfiveeightthree</definedName>
    <definedName name="text_sevenfour" localSheetId="9" hidden="0" function="0" vbProcedure="0">'TALLY.'!text_sevenfour</definedName>
    <definedName name="text_seventhree" localSheetId="9" hidden="0" function="0" vbProcedure="0">'TALLY.'!text_seventhree</definedName>
    <definedName name="tgrade" localSheetId="9" hidden="0" function="0" vbProcedure="0">[157]Control!$D$9</definedName>
    <definedName name="TGW" localSheetId="9" hidden="0" function="0" vbProcedure="0">'TALLY.'!TGW</definedName>
    <definedName name="ThreadCon" localSheetId="9" hidden="0" function="0" vbProcedure="0">#ref!</definedName>
    <definedName name="ticketdate" localSheetId="9" hidden="0" function="0" vbProcedure="0">'[34]Call Sheet'!$AH$1</definedName>
    <definedName name="tickettype" localSheetId="9" hidden="0" function="0" vbProcedure="0">[57]data!#ref!</definedName>
    <definedName name="time" localSheetId="9" hidden="0" function="0" vbProcedure="0">'[96]well test sheet'!#ref!</definedName>
    <definedName name="Time_1" localSheetId="9" hidden="0" function="0" vbProcedure="0">#ref!</definedName>
    <definedName name="Time_1__Time_2" localSheetId="9" hidden="0" function="0" vbProcedure="0">'[290]k factor'!#ref!</definedName>
    <definedName name="Time_2" localSheetId="9" hidden="0" function="0" vbProcedure="0">#ref!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'[11]Liner Job Info'!$I$19</definedName>
    <definedName name="ToolMaterial" localSheetId="9" hidden="0" function="0" vbProcedure="0">[11]DATA!$BN$2:$BN$8</definedName>
    <definedName name="Tool_ID" localSheetId="9" hidden="0" function="0" vbProcedure="0">[11]DATA!$P$2:$P$268</definedName>
    <definedName name="TOPPKRIMG" localSheetId="9" hidden="0" function="0" vbProcedure="0">INDEX([172]PKR!$A$16:$B$17,MATCH([172]INPUT!$G$56,[172]PKR!$A$16:$A$17,0),2)</definedName>
    <definedName name="TOPPKRIMG_1" localSheetId="9" hidden="0" function="0" vbProcedure="0">INDEX([161]PKR!$A$16:$B$18,MATCH([161]INPUT!$G$56,[161]PKR!$A$16:$A$18,0),2)</definedName>
    <definedName name="Top_Drive_y_n" localSheetId="9" hidden="0" function="0" vbProcedure="0">'[49]liner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'[11]Weight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'[11]Metric Conversions'!$C$90</definedName>
    <definedName name="TOT_CAP_HOLE" localSheetId="9" hidden="0" function="0" vbProcedure="0">'[113]#REF'!$G$190</definedName>
    <definedName name="Tot_DP_Vol" localSheetId="9" hidden="0" function="0" vbProcedure="0">'[11]Metric Conversions'!$B$75</definedName>
    <definedName name="Tot_DP_Volz" localSheetId="9" hidden="0" function="0" vbProcedure="0">'[11]Metric Conversions'!$C$75</definedName>
    <definedName name="Tot_Liner_Wt" localSheetId="9" hidden="0" function="0" vbProcedure="0">'[11]Weight Calculations'!$H$18</definedName>
    <definedName name="Tot_Lnr_Vol_to_LC" localSheetId="9" hidden="0" function="0" vbProcedure="0">'[11]Metric Conversions'!$B$79</definedName>
    <definedName name="Tot_Lnr_Vol_to_LCz" localSheetId="9" hidden="0" function="0" vbProcedure="0">'[11]Metric Conversions'!$C$79</definedName>
    <definedName name="TOT_SAND_2B_PUMPED" localSheetId="9" hidden="0" function="0" vbProcedure="0">'[7]#ref'!#ref!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'[7]#ref'!#ref!</definedName>
    <definedName name="Tot_Vol_to_Bump_Plugs" localSheetId="9" hidden="0" function="0" vbProcedure="0">'[11]Metric Conversions'!$B$80</definedName>
    <definedName name="Tot_Vol_to_Bump_Plugsz" localSheetId="9" hidden="0" function="0" vbProcedure="0">'[11]Metric Conversions'!$C$80</definedName>
    <definedName name="Tot_Vol_to_Shoez" localSheetId="9" hidden="0" function="0" vbProcedure="0">'[11]Metric Conversions'!$C$81</definedName>
    <definedName name="tpermit" localSheetId="9" hidden="0" function="0" vbProcedure="0">[157]Control!$D$5</definedName>
    <definedName name="TQW" localSheetId="9" hidden="0" function="0" vbProcedure="0">'TALLY.'!TQW</definedName>
    <definedName name="tr" localSheetId="9" hidden="0" function="0" vbProcedure="0">null</definedName>
    <definedName name="transport" localSheetId="9" hidden="0" function="0" vbProcedure="0">[57]data!#ref!</definedName>
    <definedName name="treatment" localSheetId="9" hidden="0" function="0" vbProcedure="0">[57]data!#ref!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((SUM([29]!NosOfTubing))-(MakeupLoss*COUNT([29]!NosOfTubing)))/COUNT([29]!NosOfTubing)</definedName>
    <definedName name="tubingInfo" localSheetId="9" hidden="0" function="0" vbProcedure="0">#ref!</definedName>
    <definedName name="TubingLength" localSheetId="9" hidden="0" function="0" vbProcedure="0">#ref!</definedName>
    <definedName name="tubingmat" localSheetId="9" hidden="0" function="0" vbProcedure="0">#ref!</definedName>
    <definedName name="TubingOD" localSheetId="9" hidden="0" function="0" vbProcedure="0">[94]Lists!$AH$3:$AH$297</definedName>
    <definedName name="tubingSG" localSheetId="9" hidden="0" function="0" vbProcedure="0">#ref!</definedName>
    <definedName name="tubingsize" localSheetId="9" hidden="0" function="0" vbProcedure="0">#ref!</definedName>
    <definedName name="TubingSizes" localSheetId="9" hidden="0" function="0" vbProcedure="0">[94]Lists!$H$2:$H$14</definedName>
    <definedName name="tubingtype" localSheetId="9" hidden="0" function="0" vbProcedure="0">#ref!</definedName>
    <definedName name="tubingW" localSheetId="9" hidden="0" function="0" vbProcedure="0">#ref!</definedName>
    <definedName name="tubingweight" localSheetId="9" hidden="0" function="0" vbProcedure="0">[86]!TubTable[id LIST (in)]</definedName>
    <definedName name="tubingweigth" localSheetId="9" hidden="0" function="0" vbProcedure="0">#ref!</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'TALLY.'!TYJEJE</definedName>
    <definedName name="TYPE" localSheetId="9" hidden="0" function="0" vbProcedure="0">[184]References!$F$1:$F$2</definedName>
    <definedName name="TYPEOFPLUG" localSheetId="9" hidden="0" function="0" vbProcedure="0">'[190]DATA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'[50]12(762mm)套管'!#ref!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Dual" localSheetId="9" hidden="0" function="0" vbProcedure="0">#ref!</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[11]DATA!$AR$2:$AR$3</definedName>
    <definedName name="Using_Hanger" localSheetId="9" hidden="0" function="0" vbProcedure="0">'[11]Liner Job Info'!$D$38</definedName>
    <definedName name="Using_Packer" localSheetId="9" hidden="0" function="0" vbProcedure="0">'[11]Liner Job Info'!$P$30</definedName>
    <definedName name="VALIDCURR" localSheetId="9" hidden="0" function="0" vbProcedure="0">[177]Currency!$A$1:$A$170</definedName>
    <definedName name="Vallist" localSheetId="9" hidden="0" function="0" vbProcedure="0">'[11]Casing Info'!$A$2:$A$34</definedName>
    <definedName name="vallist2" localSheetId="9" hidden="0" function="0" vbProcedure="0">#N/A</definedName>
    <definedName name="vbcode.draw_blanks" localSheetId="9" hidden="0" function="0" vbProcedure="0">'TALLY.'!vbcode.draw_blanks</definedName>
    <definedName name="vbcode.draw_linerfirst" localSheetId="9" hidden="0" function="0" vbProcedure="0">'TALLY.'!vbcode.draw_linerfirst</definedName>
    <definedName name="vbcode.draw_linersecond" localSheetId="9" hidden="0" function="0" vbProcedure="0">'TALLY.'!vbcode.draw_linersecond</definedName>
    <definedName name="vbcode.draw_miscellaneous" localSheetId="9" hidden="0" function="0" vbProcedure="0">'TALLY.'!vbcode.draw_miscellaneous</definedName>
    <definedName name="vbcode.draw_productionfirst" localSheetId="9" hidden="0" function="0" vbProcedure="0">'TALLY.'!vbcode.draw_productionfirst</definedName>
    <definedName name="vbcode.draw_productionsecond" localSheetId="9" hidden="0" function="0" vbProcedure="0">'TALLY.'!vbcode.draw_productionsecond</definedName>
    <definedName name="vbcode.draw_quantum" localSheetId="9" hidden="0" function="0" vbProcedure="0">'TALLY.'!vbcode.draw_quantum</definedName>
    <definedName name="vbcode.draw_screens" localSheetId="9" hidden="0" function="0" vbProcedure="0">'TALLY.'!vbcode.draw_screens</definedName>
    <definedName name="vbcode.draw_shearsubs" localSheetId="9" hidden="0" function="0" vbProcedure="0">'TALLY.'!vbcode.draw_shearsubs</definedName>
    <definedName name="vbcode.draw_sump" localSheetId="9" hidden="0" function="0" vbProcedure="0">'TALLY.'!vbcode.draw_sump</definedName>
    <definedName name="vbcode.text_five" localSheetId="9" hidden="0" function="0" vbProcedure="0">'TALLY.'!vbcode.text_five</definedName>
    <definedName name="vbcode.text_fivehalf" localSheetId="9" hidden="0" function="0" vbProcedure="0">'TALLY.'!vbcode.text_fivehalf</definedName>
    <definedName name="vbcode.text_ninefiveeightfourfirst" localSheetId="9" hidden="0" function="0" vbProcedure="0">'TALLY.'!vbcode.text_ninefiveeightfourfirst</definedName>
    <definedName name="vbcode.text_ninefiveeightfoursecond" localSheetId="9" hidden="0" function="0" vbProcedure="0">'TALLY.'!vbcode.text_ninefiveeightfoursecond</definedName>
    <definedName name="vbcode.text_ninefiveeightsixfirst" localSheetId="9" hidden="0" function="0" vbProcedure="0">'TALLY.'!vbcode.text_ninefiveeightsixfirst</definedName>
    <definedName name="vbcode.text_ninefiveeightsixsecond" localSheetId="9" hidden="0" function="0" vbProcedure="0">'TALLY.'!vbcode.text_ninefiveeightsixsecond</definedName>
    <definedName name="vbcode.text_sevenfiveeightfour" localSheetId="9" hidden="0" function="0" vbProcedure="0">'TALLY.'!vbcode.text_sevenfiveeightfour</definedName>
    <definedName name="vbcode.text_sevenfiveeightthree" localSheetId="9" hidden="0" function="0" vbProcedure="0">'TALLY.'!vbcode.text_sevenfiveeightthree</definedName>
    <definedName name="vbcode.text_sevenfour" localSheetId="9" hidden="0" function="0" vbProcedure="0">'TALLY.'!vbcode.text_sevenfour</definedName>
    <definedName name="vbcode.text_seventhree" localSheetId="9" hidden="0" function="0" vbProcedure="0">'TALLY.'!vbcode.text_seventhree</definedName>
    <definedName name="Verticaldepth" localSheetId="9" hidden="0" function="0" vbProcedure="0">'[129]Front Page Info'!$C$18</definedName>
    <definedName name="vfdvf" localSheetId="9" hidden="0" function="0" vbProcedure="0">[181]!Macro61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[82]!Macro60</definedName>
    <definedName name="w" localSheetId="9" hidden="0" function="0" vbProcedure="0">'[306]run sheet'!#ref!</definedName>
    <definedName name="WBJobRev" localSheetId="9" hidden="0" function="0" vbProcedure="0">'[94]Job Technical Info'!$C$11</definedName>
    <definedName name="Weak_DP" localSheetId="9" hidden="0" function="0" vbProcedure="0">'[11]Weight Calculations'!$V$63</definedName>
    <definedName name="Weak_link" localSheetId="9" hidden="0" function="0" vbProcedure="0">'[11]Weight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[183]Data!$K$1:$K$65536</definedName>
    <definedName name="Welllocation1" localSheetId="9" hidden="0" function="0" vbProcedure="0">[183]Data!$M$1:$M$65536</definedName>
    <definedName name="WellMD" localSheetId="9" hidden="0" function="0" vbProcedure="0">'[94]Job Technical Info'!$H$41</definedName>
    <definedName name="WellNo" localSheetId="9" hidden="0" function="0" vbProcedure="0">'[88]Report Long(Esso)'!$E$2</definedName>
    <definedName name="Wells" localSheetId="9" hidden="0" function="0" vbProcedure="0">[307]welltest!#ref!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'[96]well test sheet'!#ref!</definedName>
    <definedName name="wiperplugunity" localSheetId="9" hidden="0" function="0" vbProcedure="0">[11]Test!$G$18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[86]!CasingTable[#data]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FULL._.DTL." localSheetId="9" hidden="1" function="0" vbProcedure="0">{"CF",#N/A,FALSE,"FULL COST";"MANUFACT",#N/A,FALSE,"FULL COST";"PAYNMENT",#N/A,FALSE,"FULL COST"}</definedName>
    <definedName name="wrn.FULLSUM." localSheetId="9" hidden="1" function="0" vbProcedure="0">{#N/A,#N/A,FALSE,"SUM-1";#N/A,#N/A,FALSE,"SUM-2";#N/A,#N/A,FALSE,"TENDER"}</definedName>
    <definedName name="wrn.ratios." localSheetId="9" hidden="1" function="0" vbProcedure="0">{"raatios",#N/A,FALSE,"A";"ratios",#N/A,FALSE,"B";"ratios",#N/A,FALSE,"C";"ratios",#N/A,FALSE,"D";"ratios",#N/A,FALSE,"F"}</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'[96]well test sheet'!#ref!</definedName>
    <definedName name="wtr_rate" localSheetId="9" hidden="0" function="0" vbProcedure="0">'[96]well test sheet'!#ref!</definedName>
    <definedName name="wtworkstring" localSheetId="9" hidden="0" function="0" vbProcedure="0">[106]Data!$W$21</definedName>
    <definedName name="Wtype" localSheetId="9" hidden="0" function="0" vbProcedure="0">'[11]Liner Job Info'!$E$9</definedName>
    <definedName name="Wt_Bouyant" localSheetId="9" hidden="0" function="0" vbProcedure="0">'[108]Packer Calculation Sheet'!$I$34</definedName>
    <definedName name="Wt_w_Cmt" localSheetId="9" hidden="0" function="0" vbProcedure="0">'[11]Liner Job Info'!$D$34</definedName>
    <definedName name="Wt_W_Pkr_Tst" localSheetId="9" hidden="0" function="0" vbProcedure="0">'[11]Liner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 localSheetId="9" hidden="0" function="0" vbProcedure="0">#ref!</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0" function="0" vbProcedure="0">[145]tonmiles!#ref!</definedName>
    <definedName name="xxxx" localSheetId="9" hidden="0" function="0" vbProcedure="0">[309]!Macro46</definedName>
    <definedName name="Y" localSheetId="9" hidden="0" function="0" vbProcedure="0">'[310]#ref'!#ref!</definedName>
    <definedName name="YESNO" localSheetId="9" hidden="0" function="0" vbProcedure="0">[129]RSS!$E$139:$E$141</definedName>
    <definedName name="YJEJD" localSheetId="9" hidden="0" function="0" vbProcedure="0">'TALLY.'!YJEJD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yyyyyyyyyyyy" localSheetId="9" hidden="1" function="0" vbProcedure="0">{"raatios",#N/A,FALSE,"A";"ratios",#N/A,FALSE,"B";"ratios",#N/A,FALSE,"C";"ratios",#N/A,FALSE,"D";"ratios",#N/A,FALSE,"F"}</definedName>
    <definedName name="Z" localSheetId="9" hidden="0" function="0" vbProcedure="0">#ref!</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[11]Test!$Z$38</definedName>
    <definedName name="zzzzzz" localSheetId="9" hidden="0" function="0" vbProcedure="0">[309]!'[module4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'[2]run sheet'!#ref!</definedName>
    <definedName name="_B" localSheetId="9" hidden="0" function="0" vbProcedure="0">#ref!</definedName>
    <definedName name="_C" localSheetId="9" hidden="0" function="0" vbProcedure="0">'[2]run sheet'!#ref!</definedName>
    <definedName name="_D" localSheetId="9" hidden="0" function="0" vbProcedure="0">'[2]run sheet'!#ref!</definedName>
    <definedName name="_E" localSheetId="9" hidden="0" function="0" vbProcedure="0">'[2]run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'[2]run sheet'!#ref!</definedName>
    <definedName name="_J" localSheetId="9" hidden="0" function="0" vbProcedure="0">'[2]run sheet'!#ref!</definedName>
    <definedName name="_L" localSheetId="9" hidden="0" function="0" vbProcedure="0">'[2]run sheet'!#ref!</definedName>
    <definedName name="_N" localSheetId="9" hidden="0" function="0" vbProcedure="0">'[2]run sheet'!#ref!</definedName>
    <definedName name="_q" localSheetId="9" hidden="0" function="0" vbProcedure="0">'[4]run sheet'!#ref!</definedName>
    <definedName name="_T" localSheetId="9" hidden="0" function="0" vbProcedure="0">{#N/A,#N/A,FALSE,"Volume"}</definedName>
    <definedName name="_V" localSheetId="9" hidden="0" function="0" vbProcedure="0">#ref!</definedName>
    <definedName name="_X" localSheetId="9" hidden="0" function="0" vbProcedure="0">'[2]run sheet'!#ref!</definedName>
    <definedName name="_Z" localSheetId="9" hidden="0" function="0" vbProcedure="0">'[2]run sheet'!#ref!</definedName>
    <definedName name="_" localSheetId="9" hidden="0" function="0" vbProcedure="0">[6]readings!#ref!</definedName>
    <definedName name="_1" localSheetId="9" hidden="0" function="0" vbProcedure="0">{#N/A,#N/A,FALSE,"Volume"}</definedName>
    <definedName name="_11Druckbereich" localSheetId="9" hidden="0" function="0" vbProcedure="0">[36]run_s!#ref!</definedName>
    <definedName name="_1234GRAPH_G" localSheetId="9" hidden="1" function="0" vbProcedure="0">[100]Run!$F$16:$F$514</definedName>
    <definedName name="_1Module2__2__.gaugeconok2" localSheetId="9" hidden="0" function="0" vbProcedure="0">[29]!_1Module2__2__.gaugeconok2</definedName>
    <definedName name="_2" localSheetId="9" hidden="0" function="0" vbProcedure="0">{#N/A,#N/A,FALSE,"Volume"}</definedName>
    <definedName name="_2Module2__2__.gaugeok2" localSheetId="9" hidden="0" function="0" vbProcedure="0">[29]!_2Module2__2__.gaugeok2</definedName>
    <definedName name="_3Module2__2__.gaugeselect2" localSheetId="9" hidden="0" function="0" vbProcedure="0">[29]!_3Module2__2__.gaugeselect2</definedName>
    <definedName name="_4Module2__2__.serialselect3" localSheetId="9" hidden="0" function="0" vbProcedure="0">[29]!_4Module2__2__.serialselect3</definedName>
    <definedName name="_5" localSheetId="9" hidden="0" function="0" vbProcedure="0">{#N/A,#N/A,FALSE,"Volume"}</definedName>
    <definedName name="_5Module2__2__.serialselect4" localSheetId="9" hidden="0" function="0" vbProcedure="0">[29]!_5Module2__2__.serialselect4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[100]Run!$B$18:$B$512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[10]!Calculate_Pipe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'[40]sap serv 06-02'!#ref!</definedName>
    <definedName name="_DAT17" localSheetId="9" hidden="0" function="0" vbProcedure="0">'[40]sap serv 06-02'!#ref!</definedName>
    <definedName name="_DAT19" localSheetId="9" hidden="0" function="0" vbProcedure="0">'[40]sap serv 06-02'!#ref!</definedName>
    <definedName name="_DAT20" localSheetId="9" hidden="0" function="0" vbProcedure="0">'[40]sap serv 06-02'!#ref!</definedName>
    <definedName name="_DAT25" localSheetId="9" hidden="0" function="0" vbProcedure="0">'[40]sap serv 06-02'!#ref!</definedName>
    <definedName name="_DAT26" localSheetId="9" hidden="0" function="0" vbProcedure="0">'[40]sap serv 06-02'!#ref!</definedName>
    <definedName name="_DAT27" localSheetId="9" hidden="0" function="0" vbProcedure="0">'[40]sap serv 06-02'!#ref!</definedName>
    <definedName name="_DAT28" localSheetId="9" hidden="0" function="0" vbProcedure="0">'[40]sap serv 06-02'!#ref!</definedName>
    <definedName name="_DAT29" localSheetId="9" hidden="0" function="0" vbProcedure="0">'[40]sap serv 06-02'!#ref!</definedName>
    <definedName name="_DAT31" localSheetId="9" hidden="0" function="0" vbProcedure="0">'[40]sap serv 06-02'!#ref!</definedName>
    <definedName name="_DAT32" localSheetId="9" hidden="0" function="0" vbProcedure="0">'[40]sap serv 06-02'!#ref!</definedName>
    <definedName name="_DAT34" localSheetId="9" hidden="0" function="0" vbProcedure="0">'[40]sap serv 06-02'!#ref!</definedName>
    <definedName name="_DAT35" localSheetId="9" hidden="0" function="0" vbProcedure="0">'[40]sap serv 06-02'!#ref!</definedName>
    <definedName name="_DAT36" localSheetId="9" hidden="0" function="0" vbProcedure="0">'[40]sap serv 06-02'!#ref!</definedName>
    <definedName name="_DAT40" localSheetId="9" hidden="0" function="0" vbProcedure="0">'[40]sap serv 06-02'!#ref!</definedName>
    <definedName name="_DAT41" localSheetId="9" hidden="0" function="0" vbProcedure="0">'[40]sap serv 06-02'!#ref!</definedName>
    <definedName name="_DAT42" localSheetId="9" hidden="0" function="0" vbProcedure="0">'[40]sap serv 06-02'!#ref!</definedName>
    <definedName name="_DAT44" localSheetId="9" hidden="0" function="0" vbProcedure="0">'[40]sap serv 06-02'!#ref!</definedName>
    <definedName name="_DAT45" localSheetId="9" hidden="0" function="0" vbProcedure="0">'[40]sap serv 06-02'!#ref!</definedName>
    <definedName name="_DAT46" localSheetId="9" hidden="0" function="0" vbProcedure="0">'[40]sap serv 06-02'!#ref!</definedName>
    <definedName name="_DAT47" localSheetId="9" hidden="0" function="0" vbProcedure="0">'[40]sap serv 06-02'!#ref!</definedName>
    <definedName name="_DAT48" localSheetId="9" hidden="0" function="0" vbProcedure="0">'[40]sap serv 06-02'!#ref!</definedName>
    <definedName name="_DAT49" localSheetId="9" hidden="0" function="0" vbProcedure="0">'[40]sap serv 06-02'!#ref!</definedName>
    <definedName name="_DAT50" localSheetId="9" hidden="0" function="0" vbProcedure="0">'[40]sap serv 06-02'!#ref!</definedName>
    <definedName name="_DAT52" localSheetId="9" hidden="0" function="0" vbProcedure="0">'[40]sap serv 06-02'!#ref!</definedName>
    <definedName name="_DAT53" localSheetId="9" hidden="0" function="0" vbProcedure="0">'[40]sap serv 06-02'!#ref!</definedName>
    <definedName name="_DAT54" localSheetId="9" hidden="0" function="0" vbProcedure="0">'[40]sap serv 06-02'!#ref!</definedName>
    <definedName name="_DAT56" localSheetId="9" hidden="0" function="0" vbProcedure="0">'[40]sap serv 06-02'!#ref!</definedName>
    <definedName name="_DAT57" localSheetId="9" hidden="0" function="0" vbProcedure="0">'[40]sap serv 06-02'!#ref!</definedName>
    <definedName name="_DAT62" localSheetId="9" hidden="0" function="0" vbProcedure="0">'[40]sap serv 06-02'!#ref!</definedName>
    <definedName name="_DAT63" localSheetId="9" hidden="0" function="0" vbProcedure="0">'[40]sap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'[33]data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[43]!Calculate_Pipe</definedName>
    <definedName name="_r06" localSheetId="9" hidden="0" function="0" vbProcedure="0">[44]!AutoCAD</definedName>
    <definedName name="_Sort" localSheetId="9" hidden="1" function="0" vbProcedure="0">#ref!</definedName>
    <definedName name="_SPM1" localSheetId="9" hidden="0" function="0" vbProcedure="0">[18]!Macro1</definedName>
    <definedName name="_SSA1" localSheetId="9" hidden="0" function="0" vbProcedure="0">[46]!Macro46</definedName>
    <definedName name="_Table1_In1" localSheetId="9" hidden="1" function="0" vbProcedure="0">[103]Run!$E$575</definedName>
    <definedName name="_Table1_Out" localSheetId="9" hidden="1" function="0" vbProcedure="0">[103]Run!$C$16:$E$577</definedName>
    <definedName name="_TST2" localSheetId="9" hidden="0" function="0" vbProcedure="0">'[11]Liner Job Info'!$O$7</definedName>
    <definedName name="_UA38" localSheetId="9" hidden="0" function="0" vbProcedure="0">[29]!_UA38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[29]!__1Module2__2__.gaugeconok2</definedName>
    <definedName name="__2Module2__2__.gaugeok2" localSheetId="9" hidden="0" function="0" vbProcedure="0">[29]!__2Module2__2__.gaugeok2</definedName>
    <definedName name="__3Module2__2__.gaugeselect2" localSheetId="9" hidden="0" function="0" vbProcedure="0">[29]!__3Module2__2__.gaugeselect2</definedName>
    <definedName name="__4Module2__2__.serialselect3" localSheetId="9" hidden="0" function="0" vbProcedure="0">[29]!__4Module2__2__.serialselect3</definedName>
    <definedName name="__5Module2__2__.serialselect4" localSheetId="9" hidden="0" function="0" vbProcedure="0">[29]!__5Module2__2__.serialselect4</definedName>
    <definedName name="__A4" localSheetId="9" hidden="1" function="0" vbProcedure="0">[100]Run!$B$18:$B$512</definedName>
    <definedName name="__bb2789" localSheetId="9" hidden="0" function="0" vbProcedure="0">[10]!Calculate_Pipe</definedName>
    <definedName name="__SPM1" localSheetId="9" hidden="0" function="0" vbProcedure="0">[18]!Macro1</definedName>
    <definedName name="__UA38" localSheetId="9" hidden="0" function="0" vbProcedure="0">[29]!__UA38</definedName>
    <definedName name="__wrn1" localSheetId="9" hidden="0" function="0" vbProcedure="0">{#N/A,#N/A,FALSE,"Volume"}</definedName>
    <definedName name="___A4" localSheetId="9" hidden="1" function="0" vbProcedure="0">[179]Run!$B$18:$B$512</definedName>
    <definedName name="___bb2789" localSheetId="9" hidden="0" function="0" vbProcedure="0">[10]!Calculate_Pipe</definedName>
    <definedName name="___SPM1" localSheetId="9" hidden="0" function="0" vbProcedure="0">[18]!Macro1</definedName>
    <definedName name="___wrn1" localSheetId="9" hidden="0" function="0" vbProcedure="0">{#N/A,#N/A,FALSE,"Volume"}</definedName>
    <definedName name="____A4" localSheetId="9" hidden="1" function="0" vbProcedure="0">[179]Run!$B$18:$B$512</definedName>
    <definedName name="____bb2789" localSheetId="9" hidden="0" function="0" vbProcedure="0">[10]!Calculate_Pipe</definedName>
    <definedName name="____SPM1" localSheetId="9" hidden="0" function="0" vbProcedure="0">[18]!Macro1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[16]!Calculate_Pipe</definedName>
    <definedName name="_____SPM1" localSheetId="9" hidden="0" function="0" vbProcedure="0">[18]!Macro1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[16]!Calculate_Pipe</definedName>
    <definedName name="______SPM1" localSheetId="9" hidden="0" function="0" vbProcedure="0">[18]!Macro1</definedName>
    <definedName name="_______A4" localSheetId="9" hidden="1" function="0" vbProcedure="0">[179]Run!$B$18:$B$512</definedName>
    <definedName name="_______bb2789" localSheetId="9" hidden="0" function="0" vbProcedure="0">[16]!Calculate_Pipe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[16]!Calculate_Pipe</definedName>
    <definedName name="_________A4" localSheetId="9" hidden="1" function="0" vbProcedure="0">[179]Run!$B$18:$B$512</definedName>
    <definedName name="_________bb2789" localSheetId="9" hidden="0" function="0" vbProcedure="0">[16]!Calculate_Pipe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[16]!Calculate_Pipe</definedName>
    <definedName name="___________A4" localSheetId="9" hidden="1" function="0" vbProcedure="0">[179]Run!$B$18:$B$512</definedName>
    <definedName name="___________bb2789" localSheetId="9" hidden="0" function="0" vbProcedure="0">[16]!Calculate_Pipe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[16]!Calculate_Pipe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[16]!Calculate_Pipe</definedName>
    <definedName name="______________A4" localSheetId="9" hidden="1" function="0" vbProcedure="0">[179]Run!$B$18:$B$512</definedName>
    <definedName name="______________bb2789" localSheetId="9" hidden="0" function="0" vbProcedure="0">[16]!Calculate_Pipe</definedName>
    <definedName name="_______________A4" localSheetId="9" hidden="1" function="0" vbProcedure="0">[179]Run!$B$18:$B$512</definedName>
    <definedName name="_______________bb2789" localSheetId="9" hidden="0" function="0" vbProcedure="0">[16]!Calculate_Pipe</definedName>
    <definedName name="________________A4" localSheetId="9" hidden="1" function="0" vbProcedure="0">[179]Run!$B$18:$B$512</definedName>
    <definedName name="________________bb2789" localSheetId="9" hidden="0" function="0" vbProcedure="0">[10]!Calculate_Pipe</definedName>
    <definedName name="_________________A4" localSheetId="9" hidden="1" function="0" vbProcedure="0">[179]Run!$B$18:$B$512</definedName>
    <definedName name="_________________bb2789" localSheetId="9" hidden="0" function="0" vbProcedure="0">[10]!Calculate_Pipe</definedName>
    <definedName name="__________________A4" localSheetId="9" hidden="1" function="0" vbProcedure="0">[179]Run!$B$18:$B$512</definedName>
    <definedName name="__________________bb2789" localSheetId="9" hidden="0" function="0" vbProcedure="0">[12]!Calculate_Pipe</definedName>
    <definedName name="___________________A4" localSheetId="9" hidden="1" function="0" vbProcedure="0">[179]Run!$B$18:$B$512</definedName>
    <definedName name="___________________bb2789" localSheetId="9" hidden="0" function="0" vbProcedure="0">[12]!Calculate_Pipe</definedName>
    <definedName name="____________________A4" localSheetId="9" hidden="1" function="0" vbProcedure="0">[191]Run!$B$18:$B$512</definedName>
    <definedName name="____________________bb2789" localSheetId="9" hidden="0" function="0" vbProcedure="0">[10]!Calculate_Pipe</definedName>
    <definedName name="_____________________A4" localSheetId="9" hidden="1" function="0" vbProcedure="0">[179]Run!$B$18:$B$512</definedName>
    <definedName name="_____________________bb2789" localSheetId="9" hidden="0" function="0" vbProcedure="0">[13]!Calculate_Pipe</definedName>
    <definedName name="______________________A4" localSheetId="9" hidden="1" function="0" vbProcedure="0">[179]Run!$B$18:$B$512</definedName>
    <definedName name="______________________bb2789" localSheetId="9" hidden="0" function="0" vbProcedure="0">[10]!Calculate_Pipe</definedName>
    <definedName name="_______________________A4" localSheetId="9" hidden="1" function="0" vbProcedure="0">[191]Run!$B$18:$B$512</definedName>
    <definedName name="_______________________bb2789" localSheetId="9" hidden="0" function="0" vbProcedure="0">[10]!Calculate_Pipe</definedName>
    <definedName name="________________________A4" localSheetId="9" hidden="1" function="0" vbProcedure="0">[179]Run!$B$18:$B$512</definedName>
    <definedName name="________________________bb2789" localSheetId="9" hidden="0" function="0" vbProcedure="0">[12]!Calculate_Pipe</definedName>
    <definedName name="_________________________bb2789" localSheetId="9" hidden="0" function="0" vbProcedure="0">[10]!Calculate_Pipe</definedName>
    <definedName name="__________________________A4" localSheetId="9" hidden="1" function="0" vbProcedure="0">[191]Run!$B$18:$B$512</definedName>
    <definedName name="歼击机" localSheetId="9" hidden="0" function="0" vbProcedure="0">[192]钻井日报表!$E$7</definedName>
    <definedName name="起始日期" localSheetId="9" hidden="0" function="0" vbProcedure="0">[181]钻井日报表!$B$1</definedName>
    <definedName name="_xlnm.Print_Area" localSheetId="9">'TALLY.'!$A$1:$H$423</definedName>
    <definedName name="a" localSheetId="10" hidden="1" function="0" vbProcedure="0">#ref!</definedName>
    <definedName name="AA" localSheetId="10" hidden="0" function="0" vbProcedure="0">#ref!</definedName>
    <definedName name="aa.macro111" localSheetId="10" hidden="0" function="0" vbProcedure="0">[51]!Prev.Macro111</definedName>
    <definedName name="aaaa" localSheetId="10" hidden="0" function="0" vbProcedure="0">[52]!Macro59</definedName>
    <definedName name="ABX" localSheetId="10" hidden="1" function="0" vbProcedure="0">[103]Run!$B$18:$B$512</definedName>
    <definedName name="addresstwo" localSheetId="10" hidden="0" function="0" vbProcedure="0">[56]data!#ref!</definedName>
    <definedName name="ADDSTAB" localSheetId="10" hidden="0" function="0" vbProcedure="0">[58]!ADDSTAB</definedName>
    <definedName name="adf" localSheetId="10" hidden="0" function="0" vbProcedure="0">[59]!Macro60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MACRO.n2foam" localSheetId="10" hidden="0" function="0" vbProcedure="0">'[64]tool backload dt'!amacro.n2foam</definedName>
    <definedName name="Ambient_temp" localSheetId="10" hidden="0" function="0" vbProcedure="0">'[7]#ref'!#ref!</definedName>
    <definedName name="amis" localSheetId="10" hidden="0" function="0" vbProcedure="0">[105]Tally!$A$5:$J$825</definedName>
    <definedName name="ANDERGAUGE" localSheetId="10" hidden="0" function="0" vbProcedure="0">[58]!ANDERGAUGE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'[73]well team goals'!#ref!</definedName>
    <definedName name="Approver_Well_Plan" localSheetId="10" hidden="0" function="0" vbProcedure="0">'[73]well team goals'!#ref!</definedName>
    <definedName name="ASDA" localSheetId="10" hidden="0" function="0" vbProcedure="0">[74]!Calculate_Pipe</definedName>
    <definedName name="ASS" localSheetId="10" hidden="0" function="0" vbProcedure="0">[75]!JointNumber</definedName>
    <definedName name="Assembly1" localSheetId="10" hidden="0" function="0" vbProcedure="0">[75]!Calculate_Pipe</definedName>
    <definedName name="assy.3" localSheetId="10" hidden="0" function="0" vbProcedure="0">[75]!Calculate_Pipe</definedName>
    <definedName name="ASSY.6" localSheetId="10" hidden="0" function="0" vbProcedure="0">[75]!Calculate_Pipe</definedName>
    <definedName name="ASSY2312" localSheetId="10" hidden="0" function="0" vbProcedure="0">[28]!Macro1</definedName>
    <definedName name="ASSY7" localSheetId="10" hidden="0" function="0" vbProcedure="0">[43]!Calculate_Pipe</definedName>
    <definedName name="ASSY_098" localSheetId="10" hidden="0" function="0" vbProcedure="0">[75]!JointNumber</definedName>
    <definedName name="ASSY_122" localSheetId="10" hidden="0" function="0" vbProcedure="0">[28]!Macro1</definedName>
    <definedName name="ASSY_123" localSheetId="10" hidden="0" function="0" vbProcedure="0">[75]!JointNumber</definedName>
    <definedName name="ASSY_2111" localSheetId="10" hidden="0" function="0" vbProcedure="0">[28]!Macro1</definedName>
    <definedName name="ASSY_231" localSheetId="10" hidden="0" function="0" vbProcedure="0">[28]!Macro1</definedName>
    <definedName name="ASSY_342" localSheetId="10" hidden="0" function="0" vbProcedure="0">[28]!Macro1</definedName>
    <definedName name="ASSY_36" localSheetId="10" hidden="0" function="0" vbProcedure="0">[28]!Macro1</definedName>
    <definedName name="ASSY_4" localSheetId="10" hidden="0" function="0" vbProcedure="0">[28]!Macro1</definedName>
    <definedName name="ASSY_432" localSheetId="10" hidden="0" function="0" vbProcedure="0">[28]!Macro1</definedName>
    <definedName name="assy_5" localSheetId="10" hidden="0" function="0" vbProcedure="0">[75]!JointNumber</definedName>
    <definedName name="assy_543" localSheetId="10" hidden="0" function="0" vbProcedure="0">[75]!JointNumber</definedName>
    <definedName name="Assy_765" localSheetId="10" hidden="0" function="0" vbProcedure="0">[75]!Calculate_Pipe</definedName>
    <definedName name="ASSy_blast" localSheetId="10" hidden="0" function="0" vbProcedure="0">[75]!Calculate_Pipe</definedName>
    <definedName name="ASSY_W2" localSheetId="10" hidden="0" function="0" vbProcedure="0">[75]!Calculate_Pipe</definedName>
    <definedName name="AutoCAD" localSheetId="10" hidden="0" function="0" vbProcedure="0">[44]!AutoCAD</definedName>
    <definedName name="AutoCAD_1" localSheetId="10" hidden="0" function="0" vbProcedure="0">[28]!AutoCAD</definedName>
    <definedName name="AutoCAD_10" localSheetId="10" hidden="0" function="0" vbProcedure="0">[28]!AutoCAD</definedName>
    <definedName name="AutoCAD_11" localSheetId="10" hidden="0" function="0" vbProcedure="0">[28]!AutoCAD</definedName>
    <definedName name="AutoCAD_2" localSheetId="10" hidden="0" function="0" vbProcedure="0">[28]!AutoCAD</definedName>
    <definedName name="AutoCAD_3" localSheetId="10" hidden="0" function="0" vbProcedure="0">[28]!AutoCAD</definedName>
    <definedName name="AutoCAD_4" localSheetId="10" hidden="0" function="0" vbProcedure="0">[28]!AutoCAD</definedName>
    <definedName name="AutoCAD_5" localSheetId="10" hidden="0" function="0" vbProcedure="0">[28]!AutoCAD</definedName>
    <definedName name="AutoCAD_6" localSheetId="10" hidden="0" function="0" vbProcedure="0">[28]!AutoCAD</definedName>
    <definedName name="AutoCAD_7" localSheetId="10" hidden="0" function="0" vbProcedure="0">[28]!AutoCAD</definedName>
    <definedName name="AutoCAD_8" localSheetId="10" hidden="0" function="0" vbProcedure="0">[28]!AutoCAD</definedName>
    <definedName name="AutoCAD_9" localSheetId="10" hidden="0" function="0" vbProcedure="0">[28]!AutoCAD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[109]DATA!$BO$2:$BO$9</definedName>
    <definedName name="AvgLength" localSheetId="10" hidden="0" function="0" vbProcedure="0">'[79]casing talley'!#ref!</definedName>
    <definedName name="axj" localSheetId="10" hidden="1" function="0" vbProcedure="0">{#N/A,#N/A,FALSE,"Sheet1"}</definedName>
    <definedName name="A_L" localSheetId="10" hidden="0" function="0" vbProcedure="0">'[50]12(762mm)套管'!#ref!</definedName>
    <definedName name="b" localSheetId="10" hidden="1" function="0" vbProcedure="0">#ref!</definedName>
    <definedName name="back" localSheetId="10" hidden="0" function="0" vbProcedure="0">'[64]tool backload dt'!back</definedName>
    <definedName name="BallMaterial" localSheetId="10" hidden="0" function="0" vbProcedure="0">[109]DATA!$BL$2:$BL$11</definedName>
    <definedName name="Ballooning_Area" localSheetId="10" hidden="0" function="0" vbProcedure="0">[109]Test!$M$18</definedName>
    <definedName name="Ballseat" localSheetId="10" hidden="0" function="0" vbProcedure="0">[109]DATA!$AG$2:$AG$9</definedName>
    <definedName name="BallSize" localSheetId="10" hidden="0" function="0" vbProcedure="0">[109]DATA!$BF$3:$BF$8</definedName>
    <definedName name="basicok" localSheetId="10" hidden="0" function="0" vbProcedure="0">'JOB ORDER '!basicok</definedName>
    <definedName name="BBB" localSheetId="10" hidden="0" function="0" vbProcedure="0">'[110]DD Worksheet'!$C$1</definedName>
    <definedName name="bbbbb" localSheetId="10" hidden="0" function="0" vbProcedure="0">[82]!Macro61</definedName>
    <definedName name="bbllm3" localSheetId="10" hidden="0" function="0" vbProcedure="0">'[109]Metric Conversions'!$B$69</definedName>
    <definedName name="bblstk" localSheetId="10" hidden="0" function="0" vbProcedure="0">'[109]Displacement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T" localSheetId="10" hidden="0" function="0" vbProcedure="0">'[94]Job Technical Info'!$D$42</definedName>
    <definedName name="Bitsize" localSheetId="10" hidden="0" function="0" vbProcedure="0">[109]DATA!$L$2:$L$41</definedName>
    <definedName name="bj_stroke" localSheetId="10" hidden="0" function="0" vbProcedure="0">'[109]Metric Conversions'!$B$35</definedName>
    <definedName name="bj_strokez" localSheetId="10" hidden="0" function="0" vbProcedure="0">'[109]Metric Conversions'!$C$35</definedName>
    <definedName name="BJ_Tens" localSheetId="10" hidden="0" function="0" vbProcedure="0">'[109]Liner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'[109]Weight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[86]!TubTable[[340]:[438]]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'[96]well test sheet'!#ref!</definedName>
    <definedName name="Budget_owner" localSheetId="10" hidden="0" function="0" vbProcedure="0">'[73]well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[86]!TubTable[[340]:[438]]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[75]!Calculate_Pipe</definedName>
    <definedName name="Calculate_Pipe" localSheetId="10" hidden="0" function="0" vbProcedure="0">[99]!Calculate_Pipe</definedName>
    <definedName name="Cancel" localSheetId="10" hidden="0" function="0" vbProcedure="0">[100]!Cancel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'[109]Liner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'[7]#ref'!#ref!</definedName>
    <definedName name="CAS_EXT_VOL" localSheetId="10" hidden="0" function="0" vbProcedure="0">'[7]#ref'!#ref!</definedName>
    <definedName name="CAS_ID" localSheetId="10" hidden="0" function="0" vbProcedure="0">'[113]#REF'!$H$11</definedName>
    <definedName name="CAS_OD" localSheetId="10" hidden="0" function="0" vbProcedure="0">'[113]#REF'!$J$11</definedName>
    <definedName name="CAS_SCR_VOL" localSheetId="10" hidden="0" function="0" vbProcedure="0">'[7]#ref'!#ref!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[82]!Macro59</definedName>
    <definedName name="cdr" localSheetId="10" hidden="0" function="0" vbProcedure="0">'[96]well test sheet'!#ref!</definedName>
    <definedName name="CDWimdbase" localSheetId="10" hidden="0" function="0" vbProcedure="0">'[120]CD''s'!$A$2:$G$374</definedName>
    <definedName name="CementCompany" localSheetId="10" hidden="0" function="0" vbProcedure="0">[109]DATA!$BJ$2:$BJ$8</definedName>
    <definedName name="CENG" localSheetId="10" hidden="0" function="0" vbProcedure="0">[193]Reference!$A$2:$A$4</definedName>
    <definedName name="Centralizers" localSheetId="10" hidden="0" function="0" vbProcedure="0">[109]DATA!$AI$2:$AI$9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'[64]tool backload dt'!chemmac</definedName>
    <definedName name="cim" localSheetId="10" hidden="0" function="0" vbProcedure="0">[117]!Calculate_Pipe</definedName>
    <definedName name="CIPMACRO.n2foam" localSheetId="10" hidden="0" function="0" vbProcedure="0">'[64]tool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[58]!CLAMPON</definedName>
    <definedName name="CLEARCONTENTS" localSheetId="10" hidden="0" function="0" vbProcedure="0">[120]!CLEARCONTENTS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OFFSET(INDIRECT(ADDRESS(MATCH('JOB ORDER '!CL_Wt,'JOB ORDER '!Objects,0)+1,2,,,"Casing Info")),0,1,COUNTIF('JOB ORDER '!Objects,'JOB ORDER '!CL_Wt),1)</definedName>
    <definedName name="CL_Wt" localSheetId="10" hidden="0" function="0" vbProcedure="0">'[109]Database Pg1'!$E$28</definedName>
    <definedName name="Objects" localSheetId="10" hidden="0" function="0" vbProcedure="0">'[109]Casing Info'!$B$2:$B$241</definedName>
    <definedName name="Clist2" localSheetId="10" hidden="0" function="0" vbProcedure="0">OFFSET(INDIRECT(ADDRESS(MATCH('JOB ORDER '!Hsize2,'JOB ORDER '!Objects,0)+1,2,,,"Casing Info")),0,1,COUNTIF('JOB ORDER '!Objects,'JOB ORDER '!Hsize2),1)</definedName>
    <definedName name="Hsize2" localSheetId="10" hidden="0" function="0" vbProcedure="0">'[109]Database Pg1'!$G$81</definedName>
    <definedName name="Clist3" localSheetId="10" hidden="0" function="0" vbProcedure="0">OFFSET(INDIRECT(ADDRESS(MATCH('JOB ORDER '!Hsize3,'JOB ORDER '!Objects,0)+1,2,,,"Casing Info")),0,1,COUNTIF('JOB ORDER '!Objects,'JOB ORDER '!Hsize3),1)</definedName>
    <definedName name="Hsize3" localSheetId="10" hidden="0" function="0" vbProcedure="0">'[109]Database Pg1'!$G$83</definedName>
    <definedName name="Clrmess" localSheetId="10" hidden="0" function="0" vbProcedure="0">[120]!Clrmess</definedName>
    <definedName name="CO2_" localSheetId="10" hidden="0" function="0" vbProcedure="0">'[94]Job Technical Info'!$L$42</definedName>
    <definedName name="CODELIST" localSheetId="10" hidden="0" function="0" vbProcedure="0">'[194]CODE SIN'!$A$3:$A$240</definedName>
    <definedName name="CODETAB" localSheetId="10" hidden="0" function="0" vbProcedure="0">'[194]CODE SIN'!$C$3:$AD$240</definedName>
    <definedName name="coections" localSheetId="10" hidden="0" function="0" vbProcedure="0">'JOB ORDER '!coections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'JOB ORDER '!conections</definedName>
    <definedName name="Conflict1" localSheetId="10" hidden="1" function="0" vbProcedure="0">{#N/A,#N/A,FALSE,"Drlg Param Run 1-1";#N/A,#N/A,FALSE,"DDR (3)";#N/A,#N/A,FALSE,"BHA AT (1)";#N/A,#N/A,FALSE,"Downlinkbha";#N/A,#N/A,FALSE,"Job Status Report"}</definedName>
    <definedName name="conref" localSheetId="10" hidden="0" function="0" vbProcedure="0">[124]Price!$A$1:$A$65536</definedName>
    <definedName name="consequence" localSheetId="10" hidden="0" function="0" vbProcedure="0">[125]Sheet2!$A$1:$A$5</definedName>
    <definedName name="contract" localSheetId="10" hidden="0" function="0" vbProcedure="0">'[126]Call Sheet'!$E$3</definedName>
    <definedName name="contractnum" localSheetId="10" hidden="0" function="0" vbProcedure="0">'[33]data '!#ref!</definedName>
    <definedName name="contractor" localSheetId="10" hidden="0" function="0" vbProcedure="0">'[126]Call Sheet'!$E$6</definedName>
    <definedName name="Coordinator" localSheetId="10" hidden="0" function="0" vbProcedure="0">'[94]Job Technical Info'!$G$10</definedName>
    <definedName name="COPYDESGN" localSheetId="10" hidden="0" function="0" vbProcedure="0">[58]!COPYDESGN</definedName>
    <definedName name="CoRep" localSheetId="10" hidden="0" function="0" vbProcedure="0">'[94]Job Technical Info'!$C$16</definedName>
    <definedName name="corrlist2" localSheetId="10" hidden="0" function="0" vbProcedure="0">OFFSET(INDIRECT(ADDRESS(MATCH('JOB ORDER '!Hsize2,'JOB ORDER '!Objects,0)+1,2,,,"Casing Info")),0,1,COUNTIF('JOB ORDER '!Objects,[28]!Liner1_OD),1)</definedName>
    <definedName name="corrlist4" localSheetId="10" hidden="0" function="0" vbProcedure="0">OFFSET(INDIRECT(ADDRESS(MATCH('JOB ORDER '!Hanger_Size,'JOB ORDER '!Objects,0)+1,2,,,"Casing Info")),0,1,COUNTIF('JOB ORDER '!Objects, 'JOB ORDER '!Hanger_Size),1)</definedName>
    <definedName name="Hanger_Size" localSheetId="10" hidden="0" function="0" vbProcedure="0">'[109]Database Pg1'!$G$79</definedName>
    <definedName name="Cotry" localSheetId="10" hidden="0" function="0" vbProcedure="0">'[109]Liner Job Info'!$E$10</definedName>
    <definedName name="Countries" localSheetId="10" hidden="0" function="0" vbProcedure="0">[109]DATA!$BR$1:$BR$196</definedName>
    <definedName name="COUNTRY" localSheetId="10" hidden="0" function="0" vbProcedure="0">'[127]Master data'!$A$2:$A$239</definedName>
    <definedName name="county" localSheetId="10" hidden="0" function="0" vbProcedure="0">'[40]CPS Call Sheet'!$P$7</definedName>
    <definedName name="Crack_DH" localSheetId="10" hidden="0" function="0" vbProcedure="0">'[108]Tester Valve Calcs'!$F$31</definedName>
    <definedName name="Crack_Press" localSheetId="10" hidden="0" function="0" vbProcedure="0">'[108]Tester Valve Calcs'!$F$13</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'[109]Metric Conversions'!$B$43</definedName>
    <definedName name="Csg_Burstz" localSheetId="10" hidden="0" function="0" vbProcedure="0">'[109]Liner Job Info'!$H$14</definedName>
    <definedName name="Csg_Dft" localSheetId="10" hidden="0" function="0" vbProcedure="0">'[109]Liner Job Info'!$L$14</definedName>
    <definedName name="CSG_DPTH" localSheetId="10" hidden="0" function="0" vbProcedure="0">'[130]Metric Conversions'!$B$15</definedName>
    <definedName name="CSG_DPTHz" localSheetId="10" hidden="0" function="0" vbProcedure="0">'[109]Liner Job Info'!$P$14</definedName>
    <definedName name="CSG_Grd" localSheetId="10" hidden="0" function="0" vbProcedure="0">'[130]Liner Job Info'!$D$14</definedName>
    <definedName name="CSG_ID" localSheetId="10" hidden="0" function="0" vbProcedure="0">'[109]Liner Job Info'!$B$14</definedName>
    <definedName name="CSG_ID_Area" localSheetId="10" hidden="0" function="0" vbProcedure="0">[109]Test!$Z$39</definedName>
    <definedName name="CSG_MYS" localSheetId="10" hidden="0" function="0" vbProcedure="0">[131]DATA!$J$3:$J$22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[56]data!#ref!</definedName>
    <definedName name="Customer" localSheetId="10" hidden="0" function="0" vbProcedure="0">'[94]Job Technical Info'!$C$12</definedName>
    <definedName name="customer1" localSheetId="10" hidden="0" function="0" vbProcedure="0">[132]Data!$A$1:$A$65536</definedName>
    <definedName name="Customer2" localSheetId="10" hidden="0" function="0" vbProcedure="0">[132]Data!$B$1:$B$65536</definedName>
    <definedName name="CustomerName" localSheetId="10" hidden="0" function="0" vbProcedure="0">'[144]job info sheet'!#ref!</definedName>
    <definedName name="customerrep" localSheetId="10" hidden="0" function="0" vbProcedure="0">'[113]#REF'!$E$6</definedName>
    <definedName name="Cyl_Yield" localSheetId="10" hidden="0" function="0" vbProcedure="0">'[48]liner job info'!#ref!</definedName>
    <definedName name="d" localSheetId="10" hidden="0" function="0" vbProcedure="0">'[2]run sheet'!#ref!</definedName>
    <definedName name="DAADA" localSheetId="10" hidden="0" function="0" vbProcedure="0">[117]!Calculate_Pipe</definedName>
    <definedName name="DAD" localSheetId="10" hidden="0" function="0" vbProcedure="0">'[146]tally checklist'!dad</definedName>
    <definedName name="DADAA" localSheetId="10" hidden="0" function="0" vbProcedure="0">'[146]tally checklist'!dadaa</definedName>
    <definedName name="DAEFF" localSheetId="10" hidden="0" function="0" vbProcedure="0">'[146]tally checklist'!daeff</definedName>
    <definedName name="DAPage" localSheetId="10" hidden="0" function="0" vbProcedure="0">'[94]Data Acq. Results'!$S$5</definedName>
    <definedName name="data1"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[148]试油成果记录!#ref!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iveredto" localSheetId="10" hidden="0" function="0" vbProcedure="0">'[33]data '!#ref!</definedName>
    <definedName name="deliverto" localSheetId="10" hidden="0" function="0" vbProcedure="0">[56]data!#ref!</definedName>
    <definedName name="delma" localSheetId="10" hidden="0" function="0" vbProcedure="0">[151]!JointNumber</definedName>
    <definedName name="DENG" localSheetId="10" hidden="0" function="0" vbProcedure="0">[193]Reference!$B$2:$B$12</definedName>
    <definedName name="DEPTH_TAGGED_PREPACK" localSheetId="10" hidden="0" function="0" vbProcedure="0">'[113]#REF'!$F$80</definedName>
    <definedName name="DEQ" localSheetId="10" hidden="0" function="0" vbProcedure="0">'[146]tally checklist'!deq</definedName>
    <definedName name="Desired_Set_Down" localSheetId="10" hidden="0" function="0" vbProcedure="0">'[108]Packer Calculation Sheet'!$G$47</definedName>
    <definedName name="Dev" localSheetId="10" hidden="0" function="0" vbProcedure="0">'[109]Liner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[109]DATA!$AJ$2:$AJ$12</definedName>
    <definedName name="DisplacementMethod" localSheetId="10" hidden="0" function="0" vbProcedure="0">[109]DATA!$AS$2:$AS$4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[109]DATA!$A$6:$A$437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[151]!JointNumber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'[109]Liner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'[109]Liner Job Info'!$E$22</definedName>
    <definedName name="DP1_Leng" localSheetId="10" hidden="0" function="0" vbProcedure="0">'[130]Metric Conversions'!$B$20</definedName>
    <definedName name="DP1_Lengz" localSheetId="10" hidden="0" function="0" vbProcedure="0">'[109]Liner Job Info'!$I$22</definedName>
    <definedName name="DP1_MYS" localSheetId="10" hidden="0" function="0" vbProcedure="0">'[109]Liner Job Info'!$AD$31</definedName>
    <definedName name="DP1_OD" localSheetId="10" hidden="0" function="0" vbProcedure="0">'[130]Liner Job Info'!$C$22</definedName>
    <definedName name="DP1_Tens" localSheetId="10" hidden="0" function="0" vbProcedure="0">'[109]Liner Job Info'!$M$22</definedName>
    <definedName name="DP1_Volz" localSheetId="10" hidden="0" function="0" vbProcedure="0">'[109]Metric Conversions'!$C$70</definedName>
    <definedName name="DP1_Wt_inmud" localSheetId="10" hidden="0" function="0" vbProcedure="0">'[109]Weight Calculations'!$H$8</definedName>
    <definedName name="DP1_Wt_Per_Ft" localSheetId="10" hidden="0" function="0" vbProcedure="0">'[130]Liner Job Info'!$D$22</definedName>
    <definedName name="DP1_X_Csg_Volz" localSheetId="10" hidden="0" function="0" vbProcedure="0">'[109]Metric Conversions'!$C$85</definedName>
    <definedName name="DP2_Cap" localSheetId="10" hidden="0" function="0" vbProcedure="0">'[109]Liner Job Info'!$G$23</definedName>
    <definedName name="DP2_conn" localSheetId="10" hidden="0" function="0" vbProcedure="0">'[130]Liner Job Info'!$J$23</definedName>
    <definedName name="DP2_Cross_Sect" localSheetId="10" hidden="0" function="0" vbProcedure="0">'[48]liner job info'!#ref!</definedName>
    <definedName name="DP2_Grd" localSheetId="10" hidden="0" function="0" vbProcedure="0">'[130]Liner Job Info'!$F$23</definedName>
    <definedName name="DP2_ID" localSheetId="10" hidden="0" function="0" vbProcedure="0">'[109]Liner Job Info'!$E$23</definedName>
    <definedName name="DP2_Leng" localSheetId="10" hidden="0" function="0" vbProcedure="0">'[130]Metric Conversions'!$B$21</definedName>
    <definedName name="DP2_Lengz" localSheetId="10" hidden="0" function="0" vbProcedure="0">'[109]Liner Job Info'!$I$23</definedName>
    <definedName name="DP2_MYS" localSheetId="10" hidden="0" function="0" vbProcedure="0">'[109]Liner Job Info'!$AD$32</definedName>
    <definedName name="DP2_OD" localSheetId="10" hidden="0" function="0" vbProcedure="0">'[130]Liner Job Info'!$C$23</definedName>
    <definedName name="DP2_Tens" localSheetId="10" hidden="0" function="0" vbProcedure="0">'[109]Liner Job Info'!$M$23</definedName>
    <definedName name="DP2_Volz" localSheetId="10" hidden="0" function="0" vbProcedure="0">'[109]Metric Conversions'!$C$71</definedName>
    <definedName name="DP2_Wt_inmud" localSheetId="10" hidden="0" function="0" vbProcedure="0">'[109]Weight Calculations'!$H$9</definedName>
    <definedName name="DP2_Wt_Per_Ft" localSheetId="10" hidden="0" function="0" vbProcedure="0">'[130]Liner Job Info'!$D$23</definedName>
    <definedName name="DP2_X_Csg_Volz" localSheetId="10" hidden="0" function="0" vbProcedure="0">'[109]Metric Conversions'!$C$86</definedName>
    <definedName name="DP3_bbl_per_ft" localSheetId="10" hidden="0" function="0" vbProcedure="0">'[48]liner job info'!#ref!</definedName>
    <definedName name="DP3_Cap" localSheetId="10" hidden="0" function="0" vbProcedure="0">'[109]Liner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'[109]Liner Job Info'!$E$24</definedName>
    <definedName name="DP3_Leng" localSheetId="10" hidden="0" function="0" vbProcedure="0">'[130]Metric Conversions'!$B$22</definedName>
    <definedName name="DP3_Lengz" localSheetId="10" hidden="0" function="0" vbProcedure="0">'[109]Liner Job Info'!$I$24</definedName>
    <definedName name="DP3_MYS" localSheetId="10" hidden="0" function="0" vbProcedure="0">'[109]Liner Job Info'!$AD$33</definedName>
    <definedName name="DP3_OD" localSheetId="10" hidden="0" function="0" vbProcedure="0">'[130]Liner Job Info'!$C$24</definedName>
    <definedName name="DP3_Tens" localSheetId="10" hidden="0" function="0" vbProcedure="0">'[109]Liner Job Info'!$M$24</definedName>
    <definedName name="DP3_Volz" localSheetId="10" hidden="0" function="0" vbProcedure="0">'[109]Metric Conversions'!$C$72</definedName>
    <definedName name="DP3_Wt_inmud" localSheetId="10" hidden="0" function="0" vbProcedure="0">'[109]Weight Calculations'!$H$10</definedName>
    <definedName name="DP3_Wt_Per_Ft" localSheetId="10" hidden="0" function="0" vbProcedure="0">'[130]Liner Job Info'!$D$24</definedName>
    <definedName name="DP3_X_Csg_Volz" localSheetId="10" hidden="0" function="0" vbProcedure="0">'[109]Metric Conversions'!$C$87</definedName>
    <definedName name="DP4_Cap" localSheetId="10" hidden="0" function="0" vbProcedure="0">'[109]Liner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'[109]Liner Job Info'!$E$25</definedName>
    <definedName name="DP4_Leng" localSheetId="10" hidden="0" function="0" vbProcedure="0">'[130]Metric Conversions'!$B$23</definedName>
    <definedName name="DP4_Lengz" localSheetId="10" hidden="0" function="0" vbProcedure="0">'[109]Liner Job Info'!$I$25</definedName>
    <definedName name="DP4_MYS" localSheetId="10" hidden="0" function="0" vbProcedure="0">'[109]Liner Job Info'!$AD$34</definedName>
    <definedName name="DP4_OD" localSheetId="10" hidden="0" function="0" vbProcedure="0">'[130]Liner Job Info'!$C$25</definedName>
    <definedName name="DP4_Tens" localSheetId="10" hidden="0" function="0" vbProcedure="0">'[109]Liner Job Info'!$M$25</definedName>
    <definedName name="DP4_Volz" localSheetId="10" hidden="0" function="0" vbProcedure="0">'[109]Metric Conversions'!$C$73</definedName>
    <definedName name="DP4_Wt_inmud" localSheetId="10" hidden="0" function="0" vbProcedure="0">'[109]Weight Calculations'!$H$11</definedName>
    <definedName name="DP4_Wt_Per_Ft" localSheetId="10" hidden="0" function="0" vbProcedure="0">'[130]Liner Job Info'!$D$25</definedName>
    <definedName name="DP4_X_Csg_Volz" localSheetId="10" hidden="0" function="0" vbProcedure="0">'[109]Metric Conversions'!$C$88</definedName>
    <definedName name="DP5_bbl_per_ft" localSheetId="10" hidden="0" function="0" vbProcedure="0">'[109]Liner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'[109]Liner Job Info'!$E$26</definedName>
    <definedName name="DP5_Leng" localSheetId="10" hidden="0" function="0" vbProcedure="0">'[130]Metric Conversions'!$B$24</definedName>
    <definedName name="DP5_Lengz" localSheetId="10" hidden="0" function="0" vbProcedure="0">'[109]Liner Job Info'!$I$26</definedName>
    <definedName name="DP5_MYS" localSheetId="10" hidden="0" function="0" vbProcedure="0">'[109]Liner Job Info'!$AD$35</definedName>
    <definedName name="DP5_OD" localSheetId="10" hidden="0" function="0" vbProcedure="0">'[130]Liner Job Info'!$C$26</definedName>
    <definedName name="DP5_Tens" localSheetId="10" hidden="0" function="0" vbProcedure="0">'[109]Liner Job Info'!$M$26</definedName>
    <definedName name="DP5_Volz" localSheetId="10" hidden="0" function="0" vbProcedure="0">'[109]Metric Conversions'!$C$74</definedName>
    <definedName name="DP5_Wt_inmud" localSheetId="10" hidden="0" function="0" vbProcedure="0">'[109]Weight Calculations'!$H$12</definedName>
    <definedName name="DP5_Wt_Per_Ft" localSheetId="10" hidden="0" function="0" vbProcedure="0">'[130]Liner Job Info'!$D$26</definedName>
    <definedName name="DP5_X_Csg_Volz" localSheetId="10" hidden="0" function="0" vbProcedure="0">'[109]Metric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[109]DATA!$AA$44:$AA$94</definedName>
    <definedName name="DPTTL_HYD_LENTH" localSheetId="10" hidden="0" function="0" vbProcedure="0">'[109]Weight Calculations'!$F$46</definedName>
    <definedName name="DP_MYS" localSheetId="10" hidden="0" function="0" vbProcedure="0">[109]DATA!$AB$2:$AB$6</definedName>
    <definedName name="DP_Plus_Block" localSheetId="10" hidden="0" function="0" vbProcedure="0">'[109]Weight Calculations'!$H$15</definedName>
    <definedName name="DP_PSI" localSheetId="10" hidden="0" function="0" vbProcedure="0">'[109]Metric Conversions'!$B$49</definedName>
    <definedName name="DP_PSIz" localSheetId="10" hidden="0" function="0" vbProcedure="0">'[109]Liner Job Info'!$D$35</definedName>
    <definedName name="DP_SF" localSheetId="10" hidden="0" function="0" vbProcedure="0">'[109]Liner Job Info'!$R$27</definedName>
    <definedName name="drawblanks" localSheetId="10" hidden="0" function="0" vbProcedure="0">'[146]tally checklist'!drawblanks</definedName>
    <definedName name="drawlinerfirst" localSheetId="10" hidden="0" function="0" vbProcedure="0">'[146]tally checklist'!drawlinerfirst</definedName>
    <definedName name="drawlinersecond" localSheetId="10" hidden="0" function="0" vbProcedure="0">'[146]tally checklist'!drawlinersecond</definedName>
    <definedName name="drawmiscellaneous" localSheetId="10" hidden="0" function="0" vbProcedure="0">'[146]tally checklist'!drawmiscellaneous</definedName>
    <definedName name="drawproductionfirst" localSheetId="10" hidden="0" function="0" vbProcedure="0">'[146]tally checklist'!drawproductionfirst</definedName>
    <definedName name="drawproductionsecond" localSheetId="10" hidden="0" function="0" vbProcedure="0">'[146]tally checklist'!drawproductionsecond</definedName>
    <definedName name="drawquantum" localSheetId="10" hidden="0" function="0" vbProcedure="0">'[146]tally checklist'!drawquantum</definedName>
    <definedName name="drawscreens" localSheetId="10" hidden="0" function="0" vbProcedure="0">'[146]tally checklist'!drawscreens</definedName>
    <definedName name="drawshearsubs" localSheetId="10" hidden="0" function="0" vbProcedure="0">'[146]tally checklist'!drawshearsubs</definedName>
    <definedName name="drawsump" localSheetId="10" hidden="0" function="0" vbProcedure="0">'[146]tally checklist'!drawsump</definedName>
    <definedName name="draw_blanks" localSheetId="10" hidden="0" function="0" vbProcedure="0">'[146]tally checklist'!draw_blanks</definedName>
    <definedName name="draw_linerfirst" localSheetId="10" hidden="0" function="0" vbProcedure="0">'[146]tally checklist'!draw_linerfirst</definedName>
    <definedName name="draw_linersecond" localSheetId="10" hidden="0" function="0" vbProcedure="0">'[146]tally checklist'!draw_linersecond</definedName>
    <definedName name="draw_miscellaneous" localSheetId="10" hidden="0" function="0" vbProcedure="0">'[146]tally checklist'!draw_miscellaneous</definedName>
    <definedName name="draw_productionfirst" localSheetId="10" hidden="0" function="0" vbProcedure="0">'[146]tally checklist'!draw_productionfirst</definedName>
    <definedName name="draw_productionsecond" localSheetId="10" hidden="0" function="0" vbProcedure="0">'[146]tally checklist'!draw_productionsecond</definedName>
    <definedName name="draw_quantum" localSheetId="10" hidden="0" function="0" vbProcedure="0">'[146]tally checklist'!draw_quantum</definedName>
    <definedName name="draw_screens" localSheetId="10" hidden="0" function="0" vbProcedure="0">'[146]tally checklist'!draw_screens</definedName>
    <definedName name="draw_shearsubs" localSheetId="10" hidden="0" function="0" vbProcedure="0">'[146]tally checklist'!draw_shearsubs</definedName>
    <definedName name="draw_sump" localSheetId="10" hidden="0" function="0" vbProcedure="0">'[146]tally checklist'!draw_sump</definedName>
    <definedName name="DRILLER" localSheetId="10" hidden="0" function="0" vbProcedure="0">#ref!</definedName>
    <definedName name="DRILLER2" localSheetId="10" hidden="0" function="0" vbProcedure="0">[162]!Calculate_Pipe</definedName>
    <definedName name="Drillpipesize" localSheetId="10" hidden="0" function="0" vbProcedure="0">[109]DATA!$X$2:$X$10</definedName>
    <definedName name="Drillpipetype" localSheetId="10" hidden="0" function="0" vbProcedure="0">[109]DATA!$AA$2:$AA$6</definedName>
    <definedName name="Drillpipeweight" localSheetId="10" hidden="0" function="0" vbProcedure="0">[109]DATA!$Z$2:$Z$36</definedName>
    <definedName name="Druckbereich_MI" localSheetId="10" hidden="0" function="0" vbProcedure="0">'[138]Dev-Baker'!$A$1:$J$46</definedName>
    <definedName name="Druckbereich_S3" localSheetId="10" hidden="0" function="0" vbProcedure="0">'[165]run_s.xls'!#ref!</definedName>
    <definedName name="dtr" localSheetId="10" hidden="0" function="0" vbProcedure="0">'[115]Max-Torq'!$P$77</definedName>
    <definedName name="DWS" localSheetId="10" hidden="0" function="0" vbProcedure="0">'[111]DWS2023'!$A$4:$AD$257</definedName>
    <definedName name="ED" localSheetId="10" hidden="0" function="0" vbProcedure="0">[75]!Calculate_Pipe</definedName>
    <definedName name="edd" localSheetId="10" hidden="0" function="0" vbProcedure="0">[167]!Calculate_Pipe</definedName>
    <definedName name="Eff_Date" localSheetId="10" hidden="0" function="0" vbProcedure="0">'[94]Job Technical Info'!$L$3</definedName>
    <definedName name="EJYETYJEJ" localSheetId="10" hidden="0" function="0" vbProcedure="0">'[146]tally checklist'!ejyetyjej</definedName>
    <definedName name="Element_Rating" localSheetId="10" hidden="0" function="0" vbProcedure="0">'[109]Metric Conversions'!$B$57</definedName>
    <definedName name="Element_Ratingz" localSheetId="10" hidden="0" function="0" vbProcedure="0">'[109]Liner Job Info'!$P$41</definedName>
    <definedName name="equipmenttype" localSheetId="10" hidden="0" function="0" vbProcedure="0">[56]data!#ref!</definedName>
    <definedName name="error" localSheetId="10" hidden="0" function="0" vbProcedure="0">[106]Data!$F$10</definedName>
    <definedName name="ertert" localSheetId="10" hidden="0" function="0" vbProcedure="0">[171]试压!#ref!</definedName>
    <definedName name="ES_pricelist" localSheetId="10" hidden="0" function="0" vbProcedure="0">[139]Pricelist!$A$8:$B$18</definedName>
    <definedName name="ex" localSheetId="10" hidden="0" function="0" vbProcedure="0">[151]!JointNumber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_LENGTH" localSheetId="10" hidden="0" function="0" vbProcedure="0">'[7]#ref'!#ref!</definedName>
    <definedName name="F" localSheetId="10" hidden="0" function="0" vbProcedure="0">[140]Parts!$A$1:$I$65536</definedName>
    <definedName name="FB" localSheetId="10" hidden="0" function="0" vbProcedure="0">[177]!Calculate_Pipe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'[146]tally checklist'!fewfw</definedName>
    <definedName name="fff" localSheetId="10" hidden="0" function="0" vbProcedure="0">'[146]tally checklist'!fff</definedName>
    <definedName name="ffff" localSheetId="10" hidden="0" function="0" vbProcedure="0">[181]!Prev.Macro113</definedName>
    <definedName name="final" localSheetId="10" hidden="0" function="0" vbProcedure="0">[151]!JointNumber</definedName>
    <definedName name="FJNDEF" localSheetId="10" hidden="0" function="0" vbProcedure="0">'[146]tally checklist'!fjndef</definedName>
    <definedName name="Floatequipment" localSheetId="10" hidden="0" function="0" vbProcedure="0">[109]DATA!$AM$2:$AM$9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[56]data!#ref!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'[109]Metric Conversions'!$B$14</definedName>
    <definedName name="Gamma_Quadrant" localSheetId="10" hidden="0" function="0" vbProcedure="0">[129]RSS!$N$139:$N$144</definedName>
    <definedName name="gasrate" localSheetId="10" hidden="0" function="0" vbProcedure="0">'[96]well test sheet'!#ref!</definedName>
    <definedName name="gas_cumm" localSheetId="10" hidden="0" function="0" vbProcedure="0">'[96]well test sheet'!#ref!</definedName>
    <definedName name="Gauge" localSheetId="10" hidden="0" function="0" vbProcedure="0">'[7]Drop-Down Items'!$D$74:$D$92</definedName>
    <definedName name="Gaugecancel" localSheetId="10" hidden="0" function="0" vbProcedure="0">'JOB ORDER '!Gaugecancel</definedName>
    <definedName name="gaugeconok" localSheetId="10" hidden="0" function="0" vbProcedure="0">'JOB ORDER '!gaugeconok</definedName>
    <definedName name="gaugeconok2" localSheetId="10" hidden="0" function="0" vbProcedure="0">'JOB ORDER '!gaugeconok2</definedName>
    <definedName name="gaugeok" localSheetId="10" hidden="0" function="0" vbProcedure="0">'JOB ORDER '!gaugeok</definedName>
    <definedName name="gaugeok2" localSheetId="10" hidden="0" function="0" vbProcedure="0">'JOB ORDER '!gaugeok2</definedName>
    <definedName name="gaugeselect" localSheetId="10" hidden="0" function="0" vbProcedure="0">'JOB ORDER '!gaugeselect</definedName>
    <definedName name="gaugeselect2" localSheetId="10" hidden="0" function="0" vbProcedure="0">'JOB ORDER '!gaugeselect2</definedName>
    <definedName name="gdsg" localSheetId="10" hidden="1" function="0" vbProcedure="0">[103]Run!$C$16:$C$512</definedName>
    <definedName name="GFTTC" localSheetId="10" hidden="0" function="0" vbProcedure="0">[151]!JointNumber</definedName>
    <definedName name="GGGR" localSheetId="10" hidden="0" function="0" vbProcedure="0">'[146]tally checklist'!gggr</definedName>
    <definedName name="GL" localSheetId="10" hidden="0" function="0" vbProcedure="0">'[189]offset data'!#ref!</definedName>
    <definedName name="GLM" localSheetId="10" hidden="0" function="0" vbProcedure="0">[75]!Calculate_Pipe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'[96]well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'[146]tally checklist'!gqgq</definedName>
    <definedName name="GQQ" localSheetId="10" hidden="0" function="0" vbProcedure="0">'[146]tally checklist'!gqq</definedName>
    <definedName name="gravelsize" localSheetId="10" hidden="0" function="0" vbProcedure="0">[5]WTR!$G$82</definedName>
    <definedName name="GRAVEL_IN_CSG." localSheetId="10" hidden="0" function="0" vbProcedure="0">'[113]#REF'!XEP1048377</definedName>
    <definedName name="GroupID" localSheetId="10" hidden="0" function="0" vbProcedure="0">[109]DATA!$Q$2:$Q$268</definedName>
    <definedName name="Group_ID" localSheetId="10" hidden="0" function="0" vbProcedure="0">[131]DATA!$Q$2:$Q$268</definedName>
    <definedName name="GRQ" localSheetId="10" hidden="0" function="0" vbProcedure="0">'[146]tally checklist'!grq</definedName>
    <definedName name="GUB24SECWELL" localSheetId="10" hidden="1" function="0" vbProcedure="0">[143]Sheet1!$A$181:$H$210</definedName>
    <definedName name="Gun_Size" localSheetId="10" hidden="0" function="0" vbProcedure="0">'[108]TCP-BHA'!$F$5</definedName>
    <definedName name="GWS" localSheetId="10" hidden="0" function="0" vbProcedure="0">'[146]tally checklist'!gws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[109]DATA!$AH$2:$AH$9</definedName>
    <definedName name="Hassan" localSheetId="10" hidden="0" function="0" vbProcedure="0">[192]!Macro1</definedName>
    <definedName name="HAUL_Thread" localSheetId="10" hidden="0" function="0" vbProcedure="0">[109]DATA!$BM$22:$BM$114</definedName>
    <definedName name="hesfluid" localSheetId="10" hidden="0" function="0" vbProcedure="0">[56]data!#ref!</definedName>
    <definedName name="hgh" localSheetId="10" hidden="1" function="0" vbProcedure="0">[103]Run!$D$15:$D$512</definedName>
    <definedName name="HGR_OL_Packoff_In" localSheetId="10" hidden="0" function="0" vbProcedure="0">[109]Test!$M$36</definedName>
    <definedName name="hhp" localSheetId="10" hidden="0" function="0" vbProcedure="0">'[96]well test sheet'!#ref!</definedName>
    <definedName name="hj" localSheetId="10" hidden="0" function="0" vbProcedure="0">[194]bha!#ref!</definedName>
    <definedName name="HKWT" localSheetId="10" hidden="0" function="0" vbProcedure="0">[119]钻井日报表!$E$7</definedName>
    <definedName name="Hngr_Bst" localSheetId="10" hidden="0" function="0" vbProcedure="0">'[109]Metric Conversions'!$B$50</definedName>
    <definedName name="Hngr_Bstz" localSheetId="10" hidden="0" function="0" vbProcedure="0">'[109]Liner Job Info'!$D$39</definedName>
    <definedName name="Hngr_OL_PO_out" localSheetId="10" hidden="0" function="0" vbProcedure="0">[109]Test!$M$30</definedName>
    <definedName name="Hngr_Overload_Cmt_Setup" localSheetId="10" hidden="0" function="0" vbProcedure="0">[109]Test!$M$42</definedName>
    <definedName name="Hngr_Tens" localSheetId="10" hidden="0" function="0" vbProcedure="0">'[109]Liner Job Info'!$D$40</definedName>
    <definedName name="Hng_Cap" localSheetId="10" hidden="0" function="0" vbProcedure="0">'[109]Liner Job Info'!$D$41</definedName>
    <definedName name="holevol" localSheetId="10" hidden="0" function="0" vbProcedure="0">'[64]tool backload dt'!holevol</definedName>
    <definedName name="hpb" localSheetId="10" hidden="0" function="0" vbProcedure="0">'[96]well test sheet'!#ref!</definedName>
    <definedName name="HR_Turns" localSheetId="10" hidden="0" function="0" vbProcedure="0">'[109]Weight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[52]!Prev.Macro106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'[109]Weight Calculations'!$F$47</definedName>
    <definedName name="Hyd_force_element" localSheetId="10" hidden="0" function="0" vbProcedure="0">[109]Test!$M$17</definedName>
    <definedName name="HyfloSeatID" localSheetId="10" hidden="0" function="0" vbProcedure="0">[109]DATA!$AY$2:$AY$4</definedName>
    <definedName name="HyfloSeatNumber" localSheetId="10" hidden="0" function="0" vbProcedure="0">[109]DATA!$AZ$2:$AZ$5</definedName>
    <definedName name="HyfloSupplier" localSheetId="10" hidden="0" function="0" vbProcedure="0">[109]DATA!$BA$2:$BA$5</definedName>
    <definedName name="idlist" localSheetId="10" hidden="0" function="0" vbProcedure="0">[106]Data!$GD$2:$GE$237</definedName>
    <definedName name="IDUnit" localSheetId="10" hidden="0" function="0" vbProcedure="0">'[94]Job Technical Info'!$F$24</definedName>
    <definedName name="impdwg" localSheetId="10" hidden="0" function="0" vbProcedure="0">[28]!impdwg</definedName>
    <definedName name="impdwg_1" localSheetId="10" hidden="0" function="0" vbProcedure="0">'JOB ORDER '!impdwg</definedName>
    <definedName name="impdwg_10" localSheetId="10" hidden="0" function="0" vbProcedure="0">'JOB ORDER '!impdwg</definedName>
    <definedName name="impdwg_11" localSheetId="10" hidden="0" function="0" vbProcedure="0">'JOB ORDER '!impdwg</definedName>
    <definedName name="impdwg_2" localSheetId="10" hidden="0" function="0" vbProcedure="0">'JOB ORDER '!impdwg</definedName>
    <definedName name="impdwg_3" localSheetId="10" hidden="0" function="0" vbProcedure="0">'JOB ORDER '!impdwg</definedName>
    <definedName name="impdwg_4" localSheetId="10" hidden="0" function="0" vbProcedure="0">'JOB ORDER '!impdwg</definedName>
    <definedName name="impdwg_5" localSheetId="10" hidden="0" function="0" vbProcedure="0">'JOB ORDER '!impdwg</definedName>
    <definedName name="impdwg_6" localSheetId="10" hidden="0" function="0" vbProcedure="0">'JOB ORDER '!impdwg</definedName>
    <definedName name="impdwg_7" localSheetId="10" hidden="0" function="0" vbProcedure="0">'JOB ORDER '!impdwg</definedName>
    <definedName name="impdwg_8" localSheetId="10" hidden="0" function="0" vbProcedure="0">'JOB ORDER '!impdwg</definedName>
    <definedName name="impdwg_9" localSheetId="10" hidden="0" function="0" vbProcedure="0">'JOB ORDER '!impdwg</definedName>
    <definedName name="Inc" localSheetId="10" hidden="0" function="0" vbProcedure="0">[119]钻井日报表!$G$8</definedName>
    <definedName name="InclinationData" localSheetId="10" hidden="0" function="0" vbProcedure="0">OFFSET([28]!Inclination,2,0,COUNT(#ref!),1)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[44]!Insert_New_Page</definedName>
    <definedName name="Insert_New_Page_1" localSheetId="10" hidden="0" function="0" vbProcedure="0">[28]!Insert_New_Page</definedName>
    <definedName name="Insert_New_Page_10" localSheetId="10" hidden="0" function="0" vbProcedure="0">[28]!Insert_New_Page</definedName>
    <definedName name="Insert_New_Page_11" localSheetId="10" hidden="0" function="0" vbProcedure="0">[28]!Insert_New_Page</definedName>
    <definedName name="Insert_New_Page_2" localSheetId="10" hidden="0" function="0" vbProcedure="0">[28]!Insert_New_Page</definedName>
    <definedName name="Insert_New_Page_3" localSheetId="10" hidden="0" function="0" vbProcedure="0">[28]!Insert_New_Page</definedName>
    <definedName name="Insert_New_Page_4" localSheetId="10" hidden="0" function="0" vbProcedure="0">[28]!Insert_New_Page</definedName>
    <definedName name="Insert_New_Page_5" localSheetId="10" hidden="0" function="0" vbProcedure="0">[28]!Insert_New_Page</definedName>
    <definedName name="Insert_New_Page_6" localSheetId="10" hidden="0" function="0" vbProcedure="0">[28]!Insert_New_Page</definedName>
    <definedName name="Insert_New_Page_7" localSheetId="10" hidden="0" function="0" vbProcedure="0">[28]!Insert_New_Page</definedName>
    <definedName name="Insert_New_Page_8" localSheetId="10" hidden="0" function="0" vbProcedure="0">[28]!Insert_New_Page</definedName>
    <definedName name="Insert_New_Page_9" localSheetId="10" hidden="0" function="0" vbProcedure="0">[28]!Insert_New_Page</definedName>
    <definedName name="Inverse_Balloon_Area" localSheetId="10" hidden="0" function="0" vbProcedure="0">[109]Test!$M$19</definedName>
    <definedName name="isip" localSheetId="10" hidden="0" function="0" vbProcedure="0">[5]WTR!$G$41</definedName>
    <definedName name="Issue" localSheetId="10" hidden="0" function="0" vbProcedure="0">'[146]Title Page'!$Q$2:$Q$20</definedName>
    <definedName name="J" localSheetId="10" hidden="1" function="0" vbProcedure="0">#ref!</definedName>
    <definedName name="janrupees" localSheetId="10" hidden="0" function="0" vbProcedure="0">'[147]Cash Expense January-96'!$H$6</definedName>
    <definedName name="JEYJD" localSheetId="10" hidden="0" function="0" vbProcedure="0">'[146]tally checklist'!jeyjd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'[144]job info sheet'!#ref!</definedName>
    <definedName name="JobNumber" localSheetId="10" hidden="0" function="0" vbProcedure="0">'[129]Front Page Info'!$C$4</definedName>
    <definedName name="jobpurpose1" localSheetId="10" hidden="0" function="0" vbProcedure="0">[132]Data!$L$1:$L$65536</definedName>
    <definedName name="JobType" localSheetId="10" hidden="0" function="0" vbProcedure="0">[6]Sheet1!$A$11:$A$16</definedName>
    <definedName name="Jobtype1" localSheetId="10" hidden="0" function="0" vbProcedure="0">[132]Data!$N$1:$N$65536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[99]!JointNumber</definedName>
    <definedName name="JOINTNUMBER23" localSheetId="10" hidden="0" function="0" vbProcedure="0">[75]!JointNumber</definedName>
    <definedName name="JOINTNYMBER4" localSheetId="10" hidden="0" function="0" vbProcedure="0">[75]!JointNumber</definedName>
    <definedName name="JOYCE" localSheetId="10" hidden="1" function="0" vbProcedure="0">#ref!</definedName>
    <definedName name="JRJTRJT" localSheetId="10" hidden="0" function="0" vbProcedure="0">'[146]tally checklist'!jrjtrjt</definedName>
    <definedName name="JT" localSheetId="10" hidden="0" function="0" vbProcedure="0">[204]!JointNumber</definedName>
    <definedName name="JtCount" localSheetId="10" hidden="0" function="0" vbProcedure="0">'[79]casing talley'!#ref!</definedName>
    <definedName name="JTNFN" localSheetId="10" hidden="0" function="0" vbProcedure="0">'[146]tally checklist'!jtnfn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[28]!Macro1</definedName>
    <definedName name="KL" localSheetId="10" hidden="0" function="0" vbProcedure="0">[149]BHA!$C$4</definedName>
    <definedName name="KO" localSheetId="10" hidden="0" function="0" vbProcedure="0">'[148]CSG13'!$F$6</definedName>
    <definedName name="KRR" localSheetId="10" hidden="0" function="0" vbProcedure="0">'[146]tally checklist'!krr</definedName>
    <definedName name="KUYUKR" localSheetId="10" hidden="0" function="0" vbProcedure="0">'[146]tally checklist'!kuyukr</definedName>
    <definedName name="landoffshore" localSheetId="10" hidden="0" function="0" vbProcedure="0">[56]data!#ref!</definedName>
    <definedName name="LastCsgString" localSheetId="10" hidden="0" function="0" vbProcedure="0">[109]DATA!$AU$2:$AU$4</definedName>
    <definedName name="latlong" localSheetId="10" hidden="0" function="0" vbProcedure="0">'[126]Call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'[109]Metric Conversions'!$B$45</definedName>
    <definedName name="Liner1_Burstz" localSheetId="10" hidden="0" function="0" vbProcedure="0">'[109]Liner Job Info'!$J$17</definedName>
    <definedName name="Liner1_Cap" localSheetId="10" hidden="0" function="0" vbProcedure="0">'[109]Liner Job Info'!$P$17</definedName>
    <definedName name="Liner1_Collapsez" localSheetId="10" hidden="0" function="0" vbProcedure="0">'[109]Liner Job Info'!$L$17</definedName>
    <definedName name="Liner1_ID" localSheetId="10" hidden="0" function="0" vbProcedure="0">'[109]Liner Job Info'!$D$17</definedName>
    <definedName name="Liner1_Length" localSheetId="10" hidden="0" function="0" vbProcedure="0">'[130]Metric Conversions'!$B$17</definedName>
    <definedName name="Liner1_Lengthz" localSheetId="10" hidden="0" function="0" vbProcedure="0">'[109]Liner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'[109]Weight Calculations'!$H$16</definedName>
    <definedName name="Liner1_Wt_Per_Ft" localSheetId="10" hidden="0" function="0" vbProcedure="0">'[130]Liner Job Info'!$E$17</definedName>
    <definedName name="Liner2_Burst" localSheetId="10" hidden="0" function="0" vbProcedure="0">'[109]Metric Conversions'!$B$46</definedName>
    <definedName name="Liner2_Burstz" localSheetId="10" hidden="0" function="0" vbProcedure="0">'[109]Liner Job Info'!$J$18</definedName>
    <definedName name="Liner2_Cap" localSheetId="10" hidden="0" function="0" vbProcedure="0">'[109]Liner Job Info'!$P$18</definedName>
    <definedName name="Liner2_Collapsez" localSheetId="10" hidden="0" function="0" vbProcedure="0">'[109]Liner Job Info'!$L$18</definedName>
    <definedName name="Liner2_ID" localSheetId="10" hidden="0" function="0" vbProcedure="0">'[109]Liner Job Info'!$D$18</definedName>
    <definedName name="Liner2_Length" localSheetId="10" hidden="0" function="0" vbProcedure="0">'[130]Metric Conversions'!$B$18</definedName>
    <definedName name="Liner2_Lengthz" localSheetId="10" hidden="0" function="0" vbProcedure="0">'[109]Liner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'[109]Weight Calculations'!$H$17</definedName>
    <definedName name="Liner2_Wt_Per_FT" localSheetId="10" hidden="0" function="0" vbProcedure="0">'[130]Liner Job Info'!$E$18</definedName>
    <definedName name="Linertype" localSheetId="10" hidden="0" function="0" vbProcedure="0">[109]DATA!$W$2:$W$12</definedName>
    <definedName name="Liner_I.D." localSheetId="10" hidden="0" function="0" vbProcedure="0">'[108]Job Calculation Sheet'!$F$14</definedName>
    <definedName name="Liner_ID_Area" localSheetId="10" hidden="0" function="0" vbProcedure="0">[109]Test!$V$40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kj" localSheetId="10" hidden="1" function="0" vbProcedure="0">[103]Run!$B$18:$B$512</definedName>
    <definedName name="Lnr1_Grade" localSheetId="10" hidden="0" function="0" vbProcedure="0">'[130]Liner Job Info'!$F$17</definedName>
    <definedName name="Lnr1_Vol" localSheetId="10" hidden="0" function="0" vbProcedure="0">'[109]Metric Conversions'!$B$77</definedName>
    <definedName name="Lnr1_Volz" localSheetId="10" hidden="0" function="0" vbProcedure="0">'[109]Metric Conversions'!$C$77</definedName>
    <definedName name="Lnr1_X_OH_Volz" localSheetId="10" hidden="0" function="0" vbProcedure="0">'[109]Metric Conversions'!$C$82</definedName>
    <definedName name="Lnr2_Grade" localSheetId="10" hidden="0" function="0" vbProcedure="0">'[130]Liner Job Info'!$F$18</definedName>
    <definedName name="Lnr2_Vol" localSheetId="10" hidden="0" function="0" vbProcedure="0">'[109]Metric Conversions'!$B$78</definedName>
    <definedName name="Lnr2_Volz" localSheetId="10" hidden="0" function="0" vbProcedure="0">'[109]Metric Conversions'!$C$78</definedName>
    <definedName name="Lnr2_X_OH_Volz" localSheetId="10" hidden="0" function="0" vbProcedure="0">'[109]Metric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[63]auf_screen!#ref!</definedName>
    <definedName name="LOGGER" localSheetId="10" hidden="0" function="0" vbProcedure="0">[209]!Calculate_Pipe</definedName>
    <definedName name="loudout" localSheetId="10" hidden="1" function="0" vbProcedure="0">[151]Run!$D$15:$D$512</definedName>
    <definedName name="LS" localSheetId="10" hidden="0" function="0" vbProcedure="0">'[196]amberjack a32ream'!#ref!</definedName>
    <definedName name="LSA" localSheetId="10" hidden="0" function="0" vbProcedure="0">[213]!Calculate_Pipe</definedName>
    <definedName name="LSD" localSheetId="10" hidden="0" function="0" vbProcedure="0">'[144]job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[18]!Macro1</definedName>
    <definedName name="Macro112" localSheetId="10" hidden="0" function="0" vbProcedure="0">[59]!Macro59</definedName>
    <definedName name="Macro2" localSheetId="10" hidden="0" function="0" vbProcedure="0">[28]!Macro2</definedName>
    <definedName name="Macro22" localSheetId="10" hidden="0" function="0" vbProcedure="0">[28]!Macro22</definedName>
    <definedName name="Macro22_1" localSheetId="10" hidden="0" function="0" vbProcedure="0">'JOB ORDER '!Macro22</definedName>
    <definedName name="Macro22_10" localSheetId="10" hidden="0" function="0" vbProcedure="0">'JOB ORDER '!Macro22</definedName>
    <definedName name="Macro22_11" localSheetId="10" hidden="0" function="0" vbProcedure="0">'JOB ORDER '!Macro22</definedName>
    <definedName name="Macro22_2" localSheetId="10" hidden="0" function="0" vbProcedure="0">'JOB ORDER '!Macro22</definedName>
    <definedName name="Macro22_3" localSheetId="10" hidden="0" function="0" vbProcedure="0">'JOB ORDER '!Macro22</definedName>
    <definedName name="Macro22_4" localSheetId="10" hidden="0" function="0" vbProcedure="0">'JOB ORDER '!Macro22</definedName>
    <definedName name="Macro22_5" localSheetId="10" hidden="0" function="0" vbProcedure="0">'JOB ORDER '!Macro22</definedName>
    <definedName name="Macro22_6" localSheetId="10" hidden="0" function="0" vbProcedure="0">'JOB ORDER '!Macro22</definedName>
    <definedName name="Macro22_7" localSheetId="10" hidden="0" function="0" vbProcedure="0">'JOB ORDER '!Macro22</definedName>
    <definedName name="Macro22_8" localSheetId="10" hidden="0" function="0" vbProcedure="0">'JOB ORDER '!Macro22</definedName>
    <definedName name="Macro22_9" localSheetId="10" hidden="0" function="0" vbProcedure="0">'JOB ORDER '!Macro22</definedName>
    <definedName name="Macro233" localSheetId="10" hidden="0" function="0" vbProcedure="0">[28]!Macro1</definedName>
    <definedName name="Macro2_1" localSheetId="10" hidden="0" function="0" vbProcedure="0">'JOB ORDER '!Macro2</definedName>
    <definedName name="Macro2_10" localSheetId="10" hidden="0" function="0" vbProcedure="0">'JOB ORDER '!Macro2</definedName>
    <definedName name="Macro2_11" localSheetId="10" hidden="0" function="0" vbProcedure="0">'JOB ORDER '!Macro2</definedName>
    <definedName name="Macro2_2" localSheetId="10" hidden="0" function="0" vbProcedure="0">'JOB ORDER '!Macro2</definedName>
    <definedName name="Macro2_3" localSheetId="10" hidden="0" function="0" vbProcedure="0">'JOB ORDER '!Macro2</definedName>
    <definedName name="Macro2_4" localSheetId="10" hidden="0" function="0" vbProcedure="0">'JOB ORDER '!Macro2</definedName>
    <definedName name="Macro2_5" localSheetId="10" hidden="0" function="0" vbProcedure="0">'JOB ORDER '!Macro2</definedName>
    <definedName name="Macro2_6" localSheetId="10" hidden="0" function="0" vbProcedure="0">'JOB ORDER '!Macro2</definedName>
    <definedName name="Macro2_7" localSheetId="10" hidden="0" function="0" vbProcedure="0">'JOB ORDER '!Macro2</definedName>
    <definedName name="Macro2_8" localSheetId="10" hidden="0" function="0" vbProcedure="0">'JOB ORDER '!Macro2</definedName>
    <definedName name="Macro2_9" localSheetId="10" hidden="0" function="0" vbProcedure="0">'JOB ORDER '!Macro2</definedName>
    <definedName name="Macro3" localSheetId="10" hidden="0" function="0" vbProcedure="0">[28]!Macro3</definedName>
    <definedName name="Macro3_1" localSheetId="10" hidden="0" function="0" vbProcedure="0">'JOB ORDER '!Macro3</definedName>
    <definedName name="Macro3_10" localSheetId="10" hidden="0" function="0" vbProcedure="0">'JOB ORDER '!Macro3</definedName>
    <definedName name="Macro3_11" localSheetId="10" hidden="0" function="0" vbProcedure="0">'JOB ORDER '!Macro3</definedName>
    <definedName name="Macro3_2" localSheetId="10" hidden="0" function="0" vbProcedure="0">'JOB ORDER '!Macro3</definedName>
    <definedName name="Macro3_3" localSheetId="10" hidden="0" function="0" vbProcedure="0">'JOB ORDER '!Macro3</definedName>
    <definedName name="Macro3_4" localSheetId="10" hidden="0" function="0" vbProcedure="0">'JOB ORDER '!Macro3</definedName>
    <definedName name="Macro3_5" localSheetId="10" hidden="0" function="0" vbProcedure="0">'JOB ORDER '!Macro3</definedName>
    <definedName name="Macro3_6" localSheetId="10" hidden="0" function="0" vbProcedure="0">'JOB ORDER '!Macro3</definedName>
    <definedName name="Macro3_7" localSheetId="10" hidden="0" function="0" vbProcedure="0">'JOB ORDER '!Macro3</definedName>
    <definedName name="Macro3_8" localSheetId="10" hidden="0" function="0" vbProcedure="0">'JOB ORDER '!Macro3</definedName>
    <definedName name="Macro3_9" localSheetId="10" hidden="0" function="0" vbProcedure="0">'JOB ORDER '!Macro3</definedName>
    <definedName name="Make_Up_Torque_Of_Weak_Link" localSheetId="10" hidden="0" function="0" vbProcedure="0">'[109]Liner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[109]DATA!$I$3:$I$22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'[109]Metric Conversions'!$B$59</definedName>
    <definedName name="Max_Bump_psiz" localSheetId="10" hidden="0" function="0" vbProcedure="0">'[109]Metric Conversions'!$C$59</definedName>
    <definedName name="Max_Test_Cmt_Setup" localSheetId="10" hidden="0" function="0" vbProcedure="0">'[109]Metric Conversions'!$B$62</definedName>
    <definedName name="Max_Test_Cmt_Setupz" localSheetId="10" hidden="0" function="0" vbProcedure="0">'[109]Metric Conversions'!$C$62</definedName>
    <definedName name="Max_Test_Seals_In" localSheetId="10" hidden="0" function="0" vbProcedure="0">'[109]Metric Conversions'!$B$61</definedName>
    <definedName name="Max_Test_Seals_Inz" localSheetId="10" hidden="0" function="0" vbProcedure="0">'[109]Metric Conversions'!$C$61</definedName>
    <definedName name="Max_test_seals_out" localSheetId="10" hidden="0" function="0" vbProcedure="0">'[109]Metric Conversions'!$B$60</definedName>
    <definedName name="Max_test_seals_outz" localSheetId="10" hidden="0" function="0" vbProcedure="0">'[109]Metric Conversions'!$C$60</definedName>
    <definedName name="Max_Turns" localSheetId="10" hidden="0" function="0" vbProcedure="0">'[109]Weight Calculations'!$T$36</definedName>
    <definedName name="MDData" localSheetId="10" hidden="0" function="0" vbProcedure="0">OFFSET([28]!MDForInclination,2,0,COUNT(#ref!),1)</definedName>
    <definedName name="MeteringTime" localSheetId="10" hidden="0" function="0" vbProcedure="0">[109]DATA!$BG$2:$BG$42</definedName>
    <definedName name="Min._Ten_Sett_Tool_Assy" localSheetId="10" hidden="0" function="0" vbProcedure="0">'[109]Weight Calculations'!$S$60</definedName>
    <definedName name="Min_DP_Tens" localSheetId="10" hidden="0" function="0" vbProcedure="0">'[109]Weight Calculations'!$W$61</definedName>
    <definedName name="Min_Ft_Release_RH" localSheetId="10" hidden="0" function="0" vbProcedure="0">'[109]Metric Conversions'!$B$39</definedName>
    <definedName name="Min_Ft_Release_RHz" localSheetId="10" hidden="0" function="0" vbProcedure="0">'[109]Metric Conversions'!$C$39</definedName>
    <definedName name="mobile" localSheetId="10" hidden="0" function="0" vbProcedure="0">'[126]Call Sheet'!$R$5</definedName>
    <definedName name="Module1.draw_productionfirst" localSheetId="10" hidden="0" function="0" vbProcedure="0">'[146]tally checklist'!module1.draw_productionfirst</definedName>
    <definedName name="Module1.draw_productionsecond" localSheetId="10" hidden="0" function="0" vbProcedure="0">'[146]tally checklist'!module1.draw_productionsecond</definedName>
    <definedName name="Module1.impdwg" localSheetId="10" hidden="0" function="0" vbProcedure="0">[28]!Module1.impdwg</definedName>
    <definedName name="Module1.impdwg_1" localSheetId="10" hidden="0" function="0" vbProcedure="0">'JOB ORDER '!Module1.impdwg</definedName>
    <definedName name="Module1.impdwg_10" localSheetId="10" hidden="0" function="0" vbProcedure="0">'JOB ORDER '!Module1.impdwg</definedName>
    <definedName name="Module1.impdwg_11" localSheetId="10" hidden="0" function="0" vbProcedure="0">'JOB ORDER '!Module1.impdwg</definedName>
    <definedName name="Module1.impdwg_2" localSheetId="10" hidden="0" function="0" vbProcedure="0">'JOB ORDER '!Module1.impdwg</definedName>
    <definedName name="Module1.impdwg_3" localSheetId="10" hidden="0" function="0" vbProcedure="0">'JOB ORDER '!Module1.impdwg</definedName>
    <definedName name="Module1.impdwg_4" localSheetId="10" hidden="0" function="0" vbProcedure="0">'JOB ORDER '!Module1.impdwg</definedName>
    <definedName name="Module1.impdwg_5" localSheetId="10" hidden="0" function="0" vbProcedure="0">'JOB ORDER '!Module1.impdwg</definedName>
    <definedName name="Module1.impdwg_6" localSheetId="10" hidden="0" function="0" vbProcedure="0">'JOB ORDER '!Module1.impdwg</definedName>
    <definedName name="Module1.impdwg_7" localSheetId="10" hidden="0" function="0" vbProcedure="0">'JOB ORDER '!Module1.impdwg</definedName>
    <definedName name="Module1.impdwg_8" localSheetId="10" hidden="0" function="0" vbProcedure="0">'JOB ORDER '!Module1.impdwg</definedName>
    <definedName name="Module1.impdwg_9" localSheetId="10" hidden="0" function="0" vbProcedure="0">'JOB ORDER '!Module1.impdwg</definedName>
    <definedName name="Module4.drawblanks" localSheetId="10" hidden="0" function="0" vbProcedure="0">'[146]tally checklist'!module4.drawblanks</definedName>
    <definedName name="Module4.drawlinerfirst" localSheetId="10" hidden="0" function="0" vbProcedure="0">'[146]tally checklist'!module4.drawlinerfirst</definedName>
    <definedName name="Module4.drawlinersecond" localSheetId="10" hidden="0" function="0" vbProcedure="0">'[146]tally checklist'!module4.drawlinersecond</definedName>
    <definedName name="Module4.drawmiscellaneous" localSheetId="10" hidden="0" function="0" vbProcedure="0">'[146]tally checklist'!module4.drawmiscellaneous</definedName>
    <definedName name="Module4.drawproductionfirst" localSheetId="10" hidden="0" function="0" vbProcedure="0">'[146]tally checklist'!module4.drawproductionfirst</definedName>
    <definedName name="Module4.drawproductionsecond" localSheetId="10" hidden="0" function="0" vbProcedure="0">'[146]tally checklist'!module4.drawproductionsecond</definedName>
    <definedName name="Module4.drawquantum" localSheetId="10" hidden="0" function="0" vbProcedure="0">'[146]tally checklist'!module4.drawquantum</definedName>
    <definedName name="Module4.drawscreens" localSheetId="10" hidden="0" function="0" vbProcedure="0">'[146]tally checklist'!module4.drawscreens</definedName>
    <definedName name="Module4.drawshearsubs" localSheetId="10" hidden="0" function="0" vbProcedure="0">'[146]tally checklist'!module4.drawshearsubs</definedName>
    <definedName name="Module4.drawsump" localSheetId="10" hidden="0" function="0" vbProcedure="0">'[146]tally checklist'!module4.drawsump</definedName>
    <definedName name="Module4.textfive" localSheetId="10" hidden="0" function="0" vbProcedure="0">'[146]tally checklist'!module4.textfive</definedName>
    <definedName name="Module4.textfivehalf" localSheetId="10" hidden="0" function="0" vbProcedure="0">'[146]tally checklist'!module4.textfivehalf</definedName>
    <definedName name="Module4.textninefiveeightfourfirst" localSheetId="10" hidden="0" function="0" vbProcedure="0">'[146]tally checklist'!module4.textninefiveeightfourfirst</definedName>
    <definedName name="Module4.textninefiveeightfoursecond" localSheetId="10" hidden="0" function="0" vbProcedure="0">'[146]tally checklist'!module4.textninefiveeightfoursecond</definedName>
    <definedName name="Module4.textninefiveeightsixfirst" localSheetId="10" hidden="0" function="0" vbProcedure="0">'[146]tally checklist'!module4.textninefiveeightsixfirst</definedName>
    <definedName name="Module4.textninefiveeightsixsecond" localSheetId="10" hidden="0" function="0" vbProcedure="0">'[146]tally checklist'!module4.textninefiveeightsixsecond</definedName>
    <definedName name="Module4.textsevenfiveeightfour" localSheetId="10" hidden="0" function="0" vbProcedure="0">'[146]tally checklist'!module4.textsevenfiveeightfour</definedName>
    <definedName name="Module4.textsevenfiveeightthree" localSheetId="10" hidden="0" function="0" vbProcedure="0">'[146]tally checklist'!module4.textsevenfiveeightthree</definedName>
    <definedName name="Module4.textsevenfour" localSheetId="10" hidden="0" function="0" vbProcedure="0">'[146]tally checklist'!module4.textsevenfour</definedName>
    <definedName name="Module4.textseventhree" localSheetId="10" hidden="0" function="0" vbProcedure="0">'[146]tally checklist'!module4.textseventhree</definedName>
    <definedName name="Month" localSheetId="10" hidden="0" function="0" vbProcedure="0">[63]auf_screen!#ref!</definedName>
    <definedName name="MorningReport" localSheetId="10" hidden="0" function="0" vbProcedure="0">'[218]morning report'!#ref!</definedName>
    <definedName name="mr" localSheetId="10" hidden="1" function="0" vbProcedure="0">{#N/A,#N/A,FALSE,"Sheet1"}</definedName>
    <definedName name="Mudtype" localSheetId="10" hidden="0" function="0" vbProcedure="0">[109]DATA!$N$2:$N$18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'[109]Liner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[151]!JointNumber</definedName>
    <definedName name="m_choke" localSheetId="10" hidden="0" function="0" vbProcedure="0">'[96]well test sheet'!#ref!</definedName>
    <definedName name="n" localSheetId="10" hidden="0" function="0" vbProcedure="0">'[146]tally checklist'!n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'[134]井口装置示意图-4'!$E$1:$E$65536</definedName>
    <definedName name="netperf" localSheetId="10" hidden="0" function="0" vbProcedure="0">[5]WTR!$G$33</definedName>
    <definedName name="NET_PERFS" localSheetId="10" hidden="0" function="0" vbProcedure="0">'[113]#REF'!$F$20</definedName>
    <definedName name="NewData" localSheetId="10" hidden="0" function="0" vbProcedure="0">'[132]New Contract'!$A$1:$G$65536</definedName>
    <definedName name="NewDes" localSheetId="10" hidden="0" function="0" vbProcedure="0">'[132]New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'[7]#ref'!#ref!</definedName>
    <definedName name="NM" localSheetId="10" hidden="0" function="0" vbProcedure="0">[18]!Macro1</definedName>
    <definedName name="No" localSheetId="10" hidden="0" function="0" vbProcedure="0">'[154]BPR LOG'!$A$1:$A$1048576</definedName>
    <definedName name="NOofTools" localSheetId="10" hidden="0" function="0" vbProcedure="0">[109]DATA!$BP$2:$BP$12</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'[126]Call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'[109]Liner Job Info'!$Q$14</definedName>
    <definedName name="oilrate" localSheetId="10" hidden="0" function="0" vbProcedure="0">'[96]well test sheet'!#ref!</definedName>
    <definedName name="oil_cumm" localSheetId="10" hidden="0" function="0" vbProcedure="0">'[96]well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[56]data!#ref!</definedName>
    <definedName name="OP_1" localSheetId="10" hidden="0" function="0" vbProcedure="0">[158]Data!$F$1:$F$3</definedName>
    <definedName name="Overbalance" localSheetId="10" hidden="0" function="0" vbProcedure="0">'[108]Pre-Job Info Sheet'!$D$34</definedName>
    <definedName name="Overlap" localSheetId="10" hidden="0" function="0" vbProcedure="0">'[109]Metric Conversions'!$B$16</definedName>
    <definedName name="Overlapz" localSheetId="10" hidden="0" function="0" vbProcedure="0">'[109]Liner Job Info'!$R$14</definedName>
    <definedName name="Overlap_Volz" localSheetId="10" hidden="0" function="0" vbProcedure="0">'[109]Metric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'[79]casing talley'!#ref!</definedName>
    <definedName name="PACKER_2" localSheetId="10" hidden="0" function="0" vbProcedure="0">INDEX([111]DRAW!$D$13:$E$14,MATCH([112]AUTO_DHWS!$AV$12,[111]DRAW!$D$13:$D$14,0),2)</definedName>
    <definedName name="Packer_Rotation" localSheetId="10" hidden="0" function="0" vbProcedure="0">'[109]Liner Job Info'!$P$40</definedName>
    <definedName name="Packer_Set_In" localSheetId="10" hidden="0" function="0" vbProcedure="0">'[108]Pre-Job Info Sheet'!$D$22</definedName>
    <definedName name="PackOff" localSheetId="10" hidden="0" function="0" vbProcedure="0">[109]DATA!$AP$2:$AP$6</definedName>
    <definedName name="PackoffXDP1_Pist_Area" localSheetId="10" hidden="0" function="0" vbProcedure="0">'[109]Liner Job Info'!$AF$2</definedName>
    <definedName name="PackoffXDP2_Pist_Area" localSheetId="10" hidden="0" function="0" vbProcedure="0">'[109]Liner Job Info'!$AF$3</definedName>
    <definedName name="PackoffXDP3_Pist_Area" localSheetId="10" hidden="0" function="0" vbProcedure="0">'[109]Liner Job Info'!$AG$28</definedName>
    <definedName name="PackoffXDP4_Pist_Area" localSheetId="10" hidden="0" function="0" vbProcedure="0">'[109]Liner Job Info'!$AG$29</definedName>
    <definedName name="PackoffXDP5_Pist_Area" localSheetId="10" hidden="0" function="0" vbProcedure="0">'[109]Liner Job Info'!$AG$30</definedName>
    <definedName name="Packoff_Pist_Area" localSheetId="10" hidden="0" function="0" vbProcedure="0">'[109]Liner Job Info'!$AG$31</definedName>
    <definedName name="Packoff_Stinger_OD" localSheetId="10" hidden="0" function="0" vbProcedure="0">'[109]Liner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BTD" localSheetId="10" hidden="0" function="0" vbProcedure="0">'[79]casing talley'!#ref!</definedName>
    <definedName name="Pckr_Body_Bst" localSheetId="10" hidden="0" function="0" vbProcedure="0">'[109]Metric Conversions'!$B$52</definedName>
    <definedName name="Pckr_Body_Bstz" localSheetId="10" hidden="0" function="0" vbProcedure="0">'[109]Liner Job Info'!$P$32</definedName>
    <definedName name="Pckr_Body_Collz" localSheetId="10" hidden="0" function="0" vbProcedure="0">'[109]Liner Job Info'!$P$33</definedName>
    <definedName name="Pckr_Body_Tens" localSheetId="10" hidden="0" function="0" vbProcedure="0">'[109]Liner Job Info'!$P$34</definedName>
    <definedName name="Pckr_Seal_Surf_OD" localSheetId="10" hidden="0" function="0" vbProcedure="0">'[109]Liner Job Info'!$P$31</definedName>
    <definedName name="Pckr_Sett_Force" localSheetId="10" hidden="0" function="0" vbProcedure="0">'[109]Liner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[241]index!#ref!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'[79]casing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[132]Data!$P$1:$P$65536</definedName>
    <definedName name="Perv.Macro140" localSheetId="10" hidden="0" function="0" vbProcedure="0">[52]!Prev.Macro102</definedName>
    <definedName name="PFIVE_TOTAL" localSheetId="10" hidden="0" function="0" vbProcedure="0">[241]index!#ref!</definedName>
    <definedName name="PFOUR_TOTAL" localSheetId="10" hidden="0" function="0" vbProcedure="0">[241]index!#ref!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'[146]tally checklist'!pick1_958x475_system</definedName>
    <definedName name="pick1_958x6_system" localSheetId="10" hidden="0" function="0" vbProcedure="0">'[146]tally checklist'!pick1_958x6_system</definedName>
    <definedName name="pick1_production" localSheetId="10" hidden="0" function="0" vbProcedure="0">'[146]tally checklist'!pick1_production</definedName>
    <definedName name="pick2_958x475_system" localSheetId="10" hidden="0" function="0" vbProcedure="0">'[146]tally checklist'!pick2_958x475_system</definedName>
    <definedName name="pick2_958x6_system" localSheetId="10" hidden="0" function="0" vbProcedure="0">'[146]tally checklist'!pick2_958x6_system</definedName>
    <definedName name="pick2_production" localSheetId="10" hidden="0" function="0" vbProcedure="0">'[146]tally checklist'!pick2_production</definedName>
    <definedName name="pick_512_system" localSheetId="10" hidden="0" function="0" vbProcedure="0">'[146]tally checklist'!pick_512_system</definedName>
    <definedName name="pick_5_system" localSheetId="10" hidden="0" function="0" vbProcedure="0">'[146]tally checklist'!pick_5_system</definedName>
    <definedName name="pick_758x314_system" localSheetId="10" hidden="0" function="0" vbProcedure="0">'[146]tally checklist'!pick_758x314_system</definedName>
    <definedName name="pick_758x4_system" localSheetId="10" hidden="0" function="0" vbProcedure="0">'[146]tally checklist'!pick_758x4_system</definedName>
    <definedName name="pick_7x314_system" localSheetId="10" hidden="0" function="0" vbProcedure="0">'[146]tally checklist'!pick_7x314_system</definedName>
    <definedName name="pick_7x4_system" localSheetId="10" hidden="0" function="0" vbProcedure="0">'[146]tally checklist'!pick_7x4_system</definedName>
    <definedName name="pick_blanks" localSheetId="10" hidden="0" function="0" vbProcedure="0">'[146]tally checklist'!pick_blanks</definedName>
    <definedName name="pick_liner" localSheetId="10" hidden="0" function="0" vbProcedure="0">'[146]tally checklist'!pick_liner</definedName>
    <definedName name="pick_liner2" localSheetId="10" hidden="0" function="0" vbProcedure="0">'[146]tally checklist'!pick_liner2</definedName>
    <definedName name="pick_miscellaneous" localSheetId="10" hidden="0" function="0" vbProcedure="0">'[146]tally checklist'!pick_miscellaneous</definedName>
    <definedName name="pick_quantum" localSheetId="10" hidden="0" function="0" vbProcedure="0">'[146]tally checklist'!pick_quantum</definedName>
    <definedName name="pick_screens" localSheetId="10" hidden="0" function="0" vbProcedure="0">'[146]tally checklist'!pick_screens</definedName>
    <definedName name="pick_shearsubs" localSheetId="10" hidden="0" function="0" vbProcedure="0">'[146]tally checklist'!pick_shearsubs</definedName>
    <definedName name="pick_sump" localSheetId="10" hidden="0" function="0" vbProcedure="0">'[146]tally checklist'!pick_sump</definedName>
    <definedName name="Pilot" localSheetId="10" hidden="0" function="0" vbProcedure="0">[242]!'[module4 formula].macro1'</definedName>
    <definedName name="PistArea_Packoff_to_DP_OD" localSheetId="10" hidden="0" function="0" vbProcedure="0">[109]Test!$M$16</definedName>
    <definedName name="Piston_Disp" localSheetId="10" hidden="0" function="0" vbProcedure="0">'[108]Tester Valve Calcs'!$M$16</definedName>
    <definedName name="Pist_Area_Csg_ID_to_DP1_OD" localSheetId="10" hidden="0" function="0" vbProcedure="0">[109]Test!$U$26</definedName>
    <definedName name="Pist_Area_Csg_ID_to_DP2_OD" localSheetId="10" hidden="0" function="0" vbProcedure="0">[109]Test!$U$27</definedName>
    <definedName name="Pist_Area_Csg_ID_to_DP3_OD" localSheetId="10" hidden="0" function="0" vbProcedure="0">[109]Test!$U$28</definedName>
    <definedName name="Pist_Area_Csg_ID_to_DP4_OD" localSheetId="10" hidden="0" function="0" vbProcedure="0">[109]Test!$U$29</definedName>
    <definedName name="Pist_Area_Csg_ID_to_DP5_OD" localSheetId="10" hidden="0" function="0" vbProcedure="0">[109]Test!$U$30</definedName>
    <definedName name="Pist_Area_from_CsgID_to_Packoff_OD" localSheetId="10" hidden="0" function="0" vbProcedure="0">[109]Test!$M$14</definedName>
    <definedName name="Pist_Area_PackoffOD_DP2_OD" localSheetId="10" hidden="0" function="0" vbProcedure="0">[109]Test!$Y$27</definedName>
    <definedName name="Pist_Area_PackoffOD_DP4_OD" localSheetId="10" hidden="0" function="0" vbProcedure="0">[109]Test!$Y$29</definedName>
    <definedName name="Pist_Area_PackoffOD_DP5_OD" localSheetId="10" hidden="0" function="0" vbProcedure="0">[109]Test!$Y$30</definedName>
    <definedName name="Pist_Area_PackoffOD_to_DP1_OD" localSheetId="10" hidden="0" function="0" vbProcedure="0">[109]Test!$Y$26</definedName>
    <definedName name="Pist_Area_PackoffOD_to_DP3_OD" localSheetId="10" hidden="0" function="0" vbProcedure="0">[109]Test!$Y$28</definedName>
    <definedName name="plotm" localSheetId="10" hidden="0" function="0" vbProcedure="0">'[64]tool backload dt'!plotm</definedName>
    <definedName name="PlugMethod" localSheetId="10" hidden="0" function="0" vbProcedure="0">[109]DATA!$BI$2:$BI$6</definedName>
    <definedName name="Plugs" localSheetId="10" hidden="0" function="0" vbProcedure="0">[109]DATA!$AL$2:$AL$13</definedName>
    <definedName name="Plug_Bmp_Hngr_Ovr_Ld" localSheetId="10" hidden="0" function="0" vbProcedure="0">[109]Test!$M$25</definedName>
    <definedName name="Plug_Bmp_psi_wo_DP" localSheetId="10" hidden="0" function="0" vbProcedure="0">[109]Test!$M$23</definedName>
    <definedName name="Plug_Bmp_psi_w_DP" localSheetId="10" hidden="0" function="0" vbProcedure="0">[109]Test!$M$24</definedName>
    <definedName name="Plug_Press_Rating" localSheetId="10" hidden="0" function="0" vbProcedure="0">'[109]Metric Conversions'!$B$51</definedName>
    <definedName name="Plug_Press_Ratingz" localSheetId="10" hidden="0" function="0" vbProcedure="0">'[109]Liner Job Info'!$D$43</definedName>
    <definedName name="Plug_Temp_Rating" localSheetId="10" hidden="0" function="0" vbProcedure="0">'[109]Liner Job Info'!$D$44</definedName>
    <definedName name="PNINE_TOTAL" localSheetId="10" hidden="0" function="0" vbProcedure="0">[241]index!#ref!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'[109]Metric Conversions'!$B$65</definedName>
    <definedName name="pph" localSheetId="10" hidden="0" function="0" vbProcedure="0">[43]!Calculate_Pipe</definedName>
    <definedName name="pre.Macro220" localSheetId="10" hidden="0" function="0" vbProcedure="0">[52]!Prev.Macro110</definedName>
    <definedName name="pregpstim" localSheetId="10" hidden="0" function="0" vbProcedure="0">[5]WTR!$G$48</definedName>
    <definedName name="PREPACK_MIX_RATIO" localSheetId="10" hidden="0" function="0" vbProcedure="0">'[113]#REF'!$K$44</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v.Macro150" localSheetId="10" hidden="0" function="0" vbProcedure="0">[52]!Prev.Macro122</definedName>
    <definedName name="prev.Macro200" localSheetId="10" hidden="0" function="0" vbProcedure="0">[52]!Prev.Macro128</definedName>
    <definedName name="Prev.Macro242" localSheetId="10" hidden="0" function="0" vbProcedure="0">[52]!Prev.Macro106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INDEX([78]PKR!$A$2:$B$15,MATCH([78]INPUT!$H$37,[78]PKR!$A$2:$A$15,0),2)</definedName>
    <definedName name="production" localSheetId="10" hidden="0" function="0" vbProcedure="0">[162]WTR!$L$6</definedName>
    <definedName name="Production_History_by_Well" localSheetId="10" hidden="0" function="0" vbProcedure="0">'[250]neb-wells'!#ref!</definedName>
    <definedName name="profitcntr1" localSheetId="10" hidden="0" function="0" vbProcedure="0">[132]Data!$I$1:$I$65536</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[241]index!#ref!</definedName>
    <definedName name="PSI" localSheetId="10" hidden="0" function="0" vbProcedure="0">'[78]tester valve calcs'!#ref!</definedName>
    <definedName name="psia_array" localSheetId="10" hidden="0" function="0" vbProcedure="0">{"HMR","HMR-GT","ZI Probe","Spartek","Omega SP"}</definedName>
    <definedName name="psibarkpa" localSheetId="10" hidden="0" function="0" vbProcedure="0">'[109]Metric Conversions'!$B$42</definedName>
    <definedName name="psig_array" localSheetId="10" hidden="0" function="0" vbProcedure="0">{"RPG-3","RPG-4"}</definedName>
    <definedName name="PSIX_TOTAL" localSheetId="10" hidden="0" function="0" vbProcedure="0">[241]index!#ref!</definedName>
    <definedName name="psl" localSheetId="10" hidden="0" function="0" vbProcedure="0">[56]data!#ref!</definedName>
    <definedName name="Pstn_Force_Actual" localSheetId="10" hidden="0" function="0" vbProcedure="0">'[109]Weight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[241]index!#ref!</definedName>
    <definedName name="PTWO_TOTAL" localSheetId="10" hidden="0" function="0" vbProcedure="0">[241]index!#ref!</definedName>
    <definedName name="PU_Dogs" localSheetId="10" hidden="0" function="0" vbProcedure="0">'[109]Metric Conversions'!$B$25</definedName>
    <definedName name="PU_Dogsz" localSheetId="10" hidden="0" function="0" vbProcedure="0">'[109]Liner Job Info'!$P$47</definedName>
    <definedName name="PU_Packoffz" localSheetId="10" hidden="0" function="0" vbProcedure="0">'[109]Liner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[254]!Calculate_Pipe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'[146]tally checklist'!quantum</definedName>
    <definedName name="Range1" localSheetId="10" hidden="0" function="0" vbProcedure="0">OFFSET([257]sheet1!$e$5, 1, 0,[257]sheet1!$e$2,1)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'[164]2B Raw Rig Tally'!$B$13:$D$501</definedName>
    <definedName name="raw_tally_upper" localSheetId="10" hidden="0" function="0" vbProcedure="0">'[164]2B Raw Rig Tally'!$F$13:$H$501</definedName>
    <definedName name="Reasons" localSheetId="10" hidden="0" function="0" vbProcedure="0">'[146]Title Page'!$O$2:$O$23</definedName>
    <definedName name="Recalc" localSheetId="10" hidden="0" function="0" vbProcedure="0">[120]!Recalc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'[109]Weight Calculations'!$W$53</definedName>
    <definedName name="Rem_DP2_Tens" localSheetId="10" hidden="0" function="0" vbProcedure="0">'[109]Weight Calculations'!$W$54</definedName>
    <definedName name="Rem_DP3_Tens" localSheetId="10" hidden="0" function="0" vbProcedure="0">'[109]Weight Calculations'!$W$55</definedName>
    <definedName name="Rem_DP4_Tens" localSheetId="10" hidden="0" function="0" vbProcedure="0">'[109]Weight Calculations'!$W$59</definedName>
    <definedName name="Rem_DP5_Tens" localSheetId="10" hidden="0" function="0" vbProcedure="0">'[109]Weight Calculations'!$W$60</definedName>
    <definedName name="Rentalequipment" localSheetId="10" hidden="0" function="0" vbProcedure="0">[109]DATA!$R$2:$R$79</definedName>
    <definedName name="Rental_Tool_ID" localSheetId="10" hidden="0" function="0" vbProcedure="0">[109]DATA!$S$2:$S$79</definedName>
    <definedName name="RESE" localSheetId="10" hidden="0" function="0" vbProcedure="0">'[146]tally checklist'!rese</definedName>
    <definedName name="reservoir15" localSheetId="10" hidden="0" function="0" vbProcedure="0">'[73]geological prognosis'!#ref!</definedName>
    <definedName name="reservoir16" localSheetId="10" hidden="0" function="0" vbProcedure="0">'[73]geological prognosis'!#ref!</definedName>
    <definedName name="reservoir17" localSheetId="10" hidden="0" function="0" vbProcedure="0">'[73]geological prognosis'!#ref!</definedName>
    <definedName name="reservoir18" localSheetId="10" hidden="0" function="0" vbProcedure="0">'[73]geological prognosis'!#ref!</definedName>
    <definedName name="reservoir19" localSheetId="10" hidden="0" function="0" vbProcedure="0">'[73]geological prognosis'!#ref!</definedName>
    <definedName name="reservoir20" localSheetId="10" hidden="0" function="0" vbProcedure="0">'[73]geological prognosis'!#ref!</definedName>
    <definedName name="reservoir21" localSheetId="10" hidden="0" function="0" vbProcedure="0">'[73]geological prognosis'!#ref!</definedName>
    <definedName name="reservoir22" localSheetId="10" hidden="0" function="0" vbProcedure="0">'[73]geological prognosis'!#ref!</definedName>
    <definedName name="reservoir23" localSheetId="10" hidden="0" function="0" vbProcedure="0">'[73]geological prognosis'!#ref!</definedName>
    <definedName name="reservoir24" localSheetId="10" hidden="0" function="0" vbProcedure="0">'[73]geological prognosis'!#ref!</definedName>
    <definedName name="reservoir25" localSheetId="10" hidden="0" function="0" vbProcedure="0">'[73]geological prognosis'!#ref!</definedName>
    <definedName name="reservoir26" localSheetId="10" hidden="0" function="0" vbProcedure="0">'[73]geological prognosis'!#ref!</definedName>
    <definedName name="reservoir27" localSheetId="10" hidden="0" function="0" vbProcedure="0">'[73]geological prognosis'!#ref!</definedName>
    <definedName name="reservoir28" localSheetId="10" hidden="0" function="0" vbProcedure="0">'[73]geological prognosis'!#ref!</definedName>
    <definedName name="reservoir29" localSheetId="10" hidden="0" function="0" vbProcedure="0">'[73]geological prognosis'!#ref!</definedName>
    <definedName name="resrevoir09" localSheetId="10" hidden="0" function="0" vbProcedure="0">'[73]geological prognosis'!#ref!</definedName>
    <definedName name="resrevoir10" localSheetId="10" hidden="0" function="0" vbProcedure="0">'[73]geological prognosis'!#ref!</definedName>
    <definedName name="resrevoir12" localSheetId="10" hidden="0" function="0" vbProcedure="0">'[73]geological prognosis'!#ref!</definedName>
    <definedName name="resrevoir13" localSheetId="10" hidden="0" function="0" vbProcedure="0">'[73]geological prognosis'!#ref!</definedName>
    <definedName name="resrevoir14" localSheetId="10" hidden="0" function="0" vbProcedure="0">'[73]geological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'[109]Metric Conversions'!$C$38</definedName>
    <definedName name="RH_SHEAR" localSheetId="10" hidden="0" function="0" vbProcedure="0">'[109]Weight Calculations'!$H$21</definedName>
    <definedName name="RH_SHEAR_LNGTH" localSheetId="10" hidden="0" function="0" vbProcedure="0">'[109]Metric Conversions'!$B$37</definedName>
    <definedName name="RH_SHEAR_LNGTHz" localSheetId="10" hidden="0" function="0" vbProcedure="0">'[109]Metric Conversions'!$C$37</definedName>
    <definedName name="Rig" localSheetId="10" hidden="0" function="0" vbProcedure="0">'[130]Liner Job Info'!$E$8</definedName>
    <definedName name="rigcontractor1" localSheetId="10" hidden="0" function="0" vbProcedure="0">[132]Data!$G$1:$G$65536</definedName>
    <definedName name="Rigname1" localSheetId="10" hidden="0" function="0" vbProcedure="0">[132]Data!$E$1:$E$65536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'[109]Displacement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tation" localSheetId="10" hidden="0" function="0" vbProcedure="0">[109]DATA!$AK$2:$AK$10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unningtool" localSheetId="10" hidden="0" function="0" vbProcedure="0">[109]DATA!$AO$2:$AO$8</definedName>
    <definedName name="Rupees" localSheetId="10" hidden="0" function="0" vbProcedure="0">'[141]Cash Expense March-96'!$H$6</definedName>
    <definedName name="R_Group_ID" localSheetId="10" hidden="0" function="0" vbProcedure="0">[109]DATA!$T$2:$T$79</definedName>
    <definedName name="S" localSheetId="10" hidden="0" function="0" vbProcedure="0">'[2]run sheet'!#ref!</definedName>
    <definedName name="Salesequipment" localSheetId="10" hidden="0" function="0" vbProcedure="0">[109]DATA!$O$2:$O$268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'[96]well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'[7]#ref'!#ref!</definedName>
    <definedName name="SAND_IN_CAS_EXT" localSheetId="10" hidden="0" function="0" vbProcedure="0">'[7]#ref'!#ref!</definedName>
    <definedName name="SAND_IN_CAS_PREPACK" localSheetId="10" hidden="0" function="0" vbProcedure="0">'[113]#REF'!$F$81</definedName>
    <definedName name="SAND_IN_CAS_SCR" localSheetId="10" hidden="0" function="0" vbProcedure="0">'[7]#ref'!#ref!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[28]!Save_Document</definedName>
    <definedName name="Save_Document_1" localSheetId="10" hidden="0" function="0" vbProcedure="0">'JOB ORDER '!Save_Document</definedName>
    <definedName name="Save_Document_10" localSheetId="10" hidden="0" function="0" vbProcedure="0">'JOB ORDER '!Save_Document</definedName>
    <definedName name="Save_Document_11" localSheetId="10" hidden="0" function="0" vbProcedure="0">'JOB ORDER '!Save_Document</definedName>
    <definedName name="Save_Document_2" localSheetId="10" hidden="0" function="0" vbProcedure="0">'JOB ORDER '!Save_Document</definedName>
    <definedName name="Save_Document_3" localSheetId="10" hidden="0" function="0" vbProcedure="0">'JOB ORDER '!Save_Document</definedName>
    <definedName name="Save_Document_4" localSheetId="10" hidden="0" function="0" vbProcedure="0">'JOB ORDER '!Save_Document</definedName>
    <definedName name="Save_Document_5" localSheetId="10" hidden="0" function="0" vbProcedure="0">'JOB ORDER '!Save_Document</definedName>
    <definedName name="Save_Document_6" localSheetId="10" hidden="0" function="0" vbProcedure="0">'JOB ORDER '!Save_Document</definedName>
    <definedName name="Save_Document_7" localSheetId="10" hidden="0" function="0" vbProcedure="0">'JOB ORDER '!Save_Document</definedName>
    <definedName name="Save_Document_8" localSheetId="10" hidden="0" function="0" vbProcedure="0">'JOB ORDER '!Save_Document</definedName>
    <definedName name="Save_Document_9" localSheetId="10" hidden="0" function="0" vbProcedure="0">'JOB ORDER '!Save_Document</definedName>
    <definedName name="SCB" localSheetId="10" hidden="0" function="0" vbProcedure="0">[129]RSS!$B$136:$B$144</definedName>
    <definedName name="SCHE" localSheetId="10" hidden="0" function="0" vbProcedure="0">[18]!Macro1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[75]!Calculate_Pipe</definedName>
    <definedName name="se" localSheetId="10" hidden="0" function="0" vbProcedure="0">'[270]calculo de gas total'!#ref!</definedName>
    <definedName name="SeatID" localSheetId="10" hidden="0" function="0" vbProcedure="0">[109]DATA!$BC$2:$BC$6</definedName>
    <definedName name="SeatNumber" localSheetId="10" hidden="0" function="0" vbProcedure="0">[109]DATA!$BD$2:$BD$7</definedName>
    <definedName name="SeatShear" localSheetId="10" hidden="0" function="0" vbProcedure="0">[109]DATA!$BE$2:$BE$4</definedName>
    <definedName name="SeatType" localSheetId="10" hidden="0" function="0" vbProcedure="0">[109]DATA!$BB$2:$BB$4</definedName>
    <definedName name="sep_press" localSheetId="10" hidden="0" function="0" vbProcedure="0">'[96]well test sheet'!#ref!</definedName>
    <definedName name="sep_temp" localSheetId="10" hidden="0" function="0" vbProcedure="0">'[96]well test sheet'!#ref!</definedName>
    <definedName name="serialselect1" localSheetId="10" hidden="0" function="0" vbProcedure="0">'JOB ORDER '!serialselect1</definedName>
    <definedName name="serialselect2" localSheetId="10" hidden="0" function="0" vbProcedure="0">'JOB ORDER '!serialselect2</definedName>
    <definedName name="serialselect3" localSheetId="10" hidden="0" function="0" vbProcedure="0">'JOB ORDER '!serialselect3</definedName>
    <definedName name="serialselect4" localSheetId="10" hidden="0" function="0" vbProcedure="0">'JOB ORDER '!serialselect4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'[109]Liner Job Info'!$P$44</definedName>
    <definedName name="Shear_HR_Mech_Release" localSheetId="10" hidden="0" function="0" vbProcedure="0">'[109]Liner Job Info'!$P$49</definedName>
    <definedName name="SHER" localSheetId="10" hidden="0" function="0" vbProcedure="0">'[146]tally checklist'!sher</definedName>
    <definedName name="shippedvia" localSheetId="10" hidden="0" function="0" vbProcedure="0">'[33]data '!#ref!</definedName>
    <definedName name="shit" localSheetId="10" hidden="1" function="0" vbProcedure="0">{#N/A,#N/A,FALSE,"Sheet1"}</definedName>
    <definedName name="SHO" localSheetId="10" hidden="0" function="0" vbProcedure="0">[119]钻井日报表!$G$3</definedName>
    <definedName name="ShoeTrack_Vol" localSheetId="10" hidden="0" function="0" vbProcedure="0">'[109]Metric Conversions'!$B$76</definedName>
    <definedName name="ShoeTrack_Volz" localSheetId="10" hidden="0" function="0" vbProcedure="0">'[109]Metric Conversions'!$C$76</definedName>
    <definedName name="Shoe_Track_Length" localSheetId="10" hidden="0" function="0" vbProcedure="0">'[109]Metric Conversions'!$B$19</definedName>
    <definedName name="Shoe_Track_Lengthz" localSheetId="10" hidden="0" function="0" vbProcedure="0">'[109]Liner Job Info'!$D$19</definedName>
    <definedName name="Show_1" localSheetId="10" hidden="0" function="0" vbProcedure="0">[44]!Show_1</definedName>
    <definedName name="Show_1_1" localSheetId="10" hidden="0" function="0" vbProcedure="0">[28]!Show_1</definedName>
    <definedName name="Show_1_10" localSheetId="10" hidden="0" function="0" vbProcedure="0">[28]!Show_1</definedName>
    <definedName name="Show_1_11" localSheetId="10" hidden="0" function="0" vbProcedure="0">[28]!Show_1</definedName>
    <definedName name="Show_1_2" localSheetId="10" hidden="0" function="0" vbProcedure="0">[28]!Show_1</definedName>
    <definedName name="Show_1_3" localSheetId="10" hidden="0" function="0" vbProcedure="0">[28]!Show_1</definedName>
    <definedName name="Show_1_4" localSheetId="10" hidden="0" function="0" vbProcedure="0">[28]!Show_1</definedName>
    <definedName name="Show_1_5" localSheetId="10" hidden="0" function="0" vbProcedure="0">[28]!Show_1</definedName>
    <definedName name="Show_1_6" localSheetId="10" hidden="0" function="0" vbProcedure="0">[28]!Show_1</definedName>
    <definedName name="Show_1_7" localSheetId="10" hidden="0" function="0" vbProcedure="0">[28]!Show_1</definedName>
    <definedName name="Show_1_8" localSheetId="10" hidden="0" function="0" vbProcedure="0">[28]!Show_1</definedName>
    <definedName name="Show_1_9" localSheetId="10" hidden="0" function="0" vbProcedure="0">[28]!Show_1</definedName>
    <definedName name="Show_2" localSheetId="10" hidden="0" function="0" vbProcedure="0">[44]!Show_2</definedName>
    <definedName name="Show_2_1" localSheetId="10" hidden="0" function="0" vbProcedure="0">[28]!Show_2</definedName>
    <definedName name="Show_2_10" localSheetId="10" hidden="0" function="0" vbProcedure="0">[28]!Show_2</definedName>
    <definedName name="Show_2_11" localSheetId="10" hidden="0" function="0" vbProcedure="0">[28]!Show_2</definedName>
    <definedName name="Show_2_2" localSheetId="10" hidden="0" function="0" vbProcedure="0">[28]!Show_2</definedName>
    <definedName name="Show_2_3" localSheetId="10" hidden="0" function="0" vbProcedure="0">[28]!Show_2</definedName>
    <definedName name="Show_2_4" localSheetId="10" hidden="0" function="0" vbProcedure="0">[28]!Show_2</definedName>
    <definedName name="Show_2_5" localSheetId="10" hidden="0" function="0" vbProcedure="0">[28]!Show_2</definedName>
    <definedName name="Show_2_6" localSheetId="10" hidden="0" function="0" vbProcedure="0">[28]!Show_2</definedName>
    <definedName name="Show_2_7" localSheetId="10" hidden="0" function="0" vbProcedure="0">[28]!Show_2</definedName>
    <definedName name="Show_2_8" localSheetId="10" hidden="0" function="0" vbProcedure="0">[28]!Show_2</definedName>
    <definedName name="Show_2_9" localSheetId="10" hidden="0" function="0" vbProcedure="0">[28]!Show_2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[109]DATA!$AV$2:$AV$4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'[126]Call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[109]DATA!$BK$2:$BK$7</definedName>
    <definedName name="Spiral_Type" localSheetId="10" hidden="0" function="0" vbProcedure="0">[109]DATA!$BM$2:$BM$5</definedName>
    <definedName name="SSA" localSheetId="10" hidden="0" function="0" vbProcedure="0">[275]!Macro46</definedName>
    <definedName name="ssdsd" localSheetId="10" hidden="0" function="0" vbProcedure="0">'[146]tally checklist'!ssdsd</definedName>
    <definedName name="SSID" localSheetId="10" hidden="0" function="0" vbProcedure="0">'[109]Liner Job Info'!$O$6</definedName>
    <definedName name="sss" localSheetId="10" hidden="1" function="0" vbProcedure="0">{#N/A,#N/A,FALSE,"Drlg Param Run 1-1";#N/A,#N/A,FALSE,"DDR (3)";#N/A,#N/A,FALSE,"BHA AT (1)";#N/A,#N/A,FALSE,"Downlinkbha";#N/A,#N/A,FALSE,"Job Status Report"}</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'[109]Metric Conversions'!$B$30</definedName>
    <definedName name="Stretch_DP1_Lnr_Wtz" localSheetId="10" hidden="0" function="0" vbProcedure="0">'[109]Metric Conversions'!$C$30</definedName>
    <definedName name="Stretch_DP2_Lnr_Wt" localSheetId="10" hidden="0" function="0" vbProcedure="0">'[109]Metric Conversions'!$B$31</definedName>
    <definedName name="Stretch_DP2_Lnr_Wtz" localSheetId="10" hidden="0" function="0" vbProcedure="0">'[109]Metric Conversions'!$C$31</definedName>
    <definedName name="Stretch_DP3_Lnr_Wt" localSheetId="10" hidden="0" function="0" vbProcedure="0">'[109]Metric Conversions'!$B$32</definedName>
    <definedName name="Stretch_DP3_Lnr_Wtz" localSheetId="10" hidden="0" function="0" vbProcedure="0">'[109]Metric Conversions'!$C$32</definedName>
    <definedName name="Stretch_DP4_Lnr_Wt" localSheetId="10" hidden="0" function="0" vbProcedure="0">'[109]Metric Conversions'!$B$33</definedName>
    <definedName name="Stretch_DP4_Lnr_Wtz" localSheetId="10" hidden="0" function="0" vbProcedure="0">'[109]Metric Conversions'!$C$33</definedName>
    <definedName name="Stretch_DP5_Lnr_Wt" localSheetId="10" hidden="0" function="0" vbProcedure="0">'[109]Metric Conversions'!$B$34</definedName>
    <definedName name="Stretch_DP5_Lnr_Wtz" localSheetId="10" hidden="0" function="0" vbProcedure="0">'[109]Metric Conversions'!$C$34</definedName>
    <definedName name="Stretch_TTL_Lnr_Wt" localSheetId="10" hidden="0" function="0" vbProcedure="0">'[109]Metric Conversions'!$B$36</definedName>
    <definedName name="Stretch_TTL_Lnr_Wtz" localSheetId="10" hidden="0" function="0" vbProcedure="0">'[109]Metric Conversions'!$C$36</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[109]DATA!$AQ$2:$AQ$11</definedName>
    <definedName name="surfacefracpressure" localSheetId="10" hidden="0" function="0" vbProcedure="0">[106]Data!$F$4</definedName>
    <definedName name="Surf_Equip_Tens" localSheetId="10" hidden="0" function="0" vbProcedure="0">'[109]Liner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[52]!Prev.Macro102</definedName>
    <definedName name="Tally" localSheetId="10" hidden="0" function="0" vbProcedure="0">[169]Tally!$A$5:$C$1004</definedName>
    <definedName name="Tally_2" localSheetId="10" hidden="0" function="0" vbProcedure="0">[169]Tally!$E$5:$G$1004</definedName>
    <definedName name="Tally_3" localSheetId="10" hidden="0" function="0" vbProcedure="0">[169]Tally!$I$5:$K$1004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[151]!Calculate_Pipe</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[170]MUT!$O$3:$O$4</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'[109]Metric Conversions'!$B$55</definedName>
    <definedName name="TB_Ext_API_Collz" localSheetId="10" hidden="0" function="0" vbProcedure="0">'[109]Liner Job Info'!$P$37</definedName>
    <definedName name="TB_Ext_Bst" localSheetId="10" hidden="0" function="0" vbProcedure="0">'[109]Metric Conversions'!$B$54</definedName>
    <definedName name="TB_Ext_Bstz" localSheetId="10" hidden="0" function="0" vbProcedure="0">'[109]Liner Job Info'!$P$36</definedName>
    <definedName name="TB_EXT_ID" localSheetId="10" hidden="0" function="0" vbProcedure="0">'[109]Liner Job Info'!$P$35</definedName>
    <definedName name="TB_Ext_Yield_Collz" localSheetId="10" hidden="0" function="0" vbProcedure="0">'[109]Liner Job Info'!$P$38</definedName>
    <definedName name="TCPSTRING" localSheetId="10" hidden="0" function="0" vbProcedure="0">[287]!ADDSTAB</definedName>
    <definedName name="TD_Depth_md" localSheetId="10" hidden="0" function="0" vbProcedure="0">'[73]well specification'!#ref!</definedName>
    <definedName name="TD_md" localSheetId="10" hidden="0" function="0" vbProcedure="0">'[73]well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[109]Test!$M$28</definedName>
    <definedName name="Test_po_out_2" localSheetId="10" hidden="0" function="0" vbProcedure="0">[109]Test!$M$29</definedName>
    <definedName name="textfive" localSheetId="10" hidden="0" function="0" vbProcedure="0">'[146]tally checklist'!textfive</definedName>
    <definedName name="textfivehalf" localSheetId="10" hidden="0" function="0" vbProcedure="0">'[146]tally checklist'!textfivehalf</definedName>
    <definedName name="textninefiveeightfourfirst" localSheetId="10" hidden="0" function="0" vbProcedure="0">'[146]tally checklist'!textninefiveeightfourfirst</definedName>
    <definedName name="textninefiveeightfoursecond" localSheetId="10" hidden="0" function="0" vbProcedure="0">'[146]tally checklist'!textninefiveeightfoursecond</definedName>
    <definedName name="textninefiveeightsixfirst" localSheetId="10" hidden="0" function="0" vbProcedure="0">'[146]tally checklist'!textninefiveeightsixfirst</definedName>
    <definedName name="textninefiveeightsixsecond" localSheetId="10" hidden="0" function="0" vbProcedure="0">'[146]tally checklist'!textninefiveeightsixsecond</definedName>
    <definedName name="textsevenfiveeightfour" localSheetId="10" hidden="0" function="0" vbProcedure="0">'[146]tally checklist'!textsevenfiveeightfour</definedName>
    <definedName name="textsevenfiveeightthree" localSheetId="10" hidden="0" function="0" vbProcedure="0">'[146]tally checklist'!textsevenfiveeightthree</definedName>
    <definedName name="textsevenfour" localSheetId="10" hidden="0" function="0" vbProcedure="0">'[146]tally checklist'!textsevenfour</definedName>
    <definedName name="textseventhree" localSheetId="10" hidden="0" function="0" vbProcedure="0">'[146]tally checklist'!textseventhree</definedName>
    <definedName name="text_five" localSheetId="10" hidden="0" function="0" vbProcedure="0">'[146]tally checklist'!text_five</definedName>
    <definedName name="text_fivehalf" localSheetId="10" hidden="0" function="0" vbProcedure="0">'[146]tally checklist'!text_fivehalf</definedName>
    <definedName name="text_ninefiveeightfourfirst" localSheetId="10" hidden="0" function="0" vbProcedure="0">'[146]tally checklist'!text_ninefiveeightfourfirst</definedName>
    <definedName name="text_ninefiveeightfoursecond" localSheetId="10" hidden="0" function="0" vbProcedure="0">'[146]tally checklist'!text_ninefiveeightfoursecond</definedName>
    <definedName name="text_ninefiveeightsixfirst" localSheetId="10" hidden="0" function="0" vbProcedure="0">'[146]tally checklist'!text_ninefiveeightsixfirst</definedName>
    <definedName name="text_ninefiveeightsixsecond" localSheetId="10" hidden="0" function="0" vbProcedure="0">'[146]tally checklist'!text_ninefiveeightsixsecond</definedName>
    <definedName name="text_sevenfiveeightfour" localSheetId="10" hidden="0" function="0" vbProcedure="0">'[146]tally checklist'!text_sevenfiveeightfour</definedName>
    <definedName name="text_sevenfiveeightthree" localSheetId="10" hidden="0" function="0" vbProcedure="0">'[146]tally checklist'!text_sevenfiveeightthree</definedName>
    <definedName name="text_sevenfour" localSheetId="10" hidden="0" function="0" vbProcedure="0">'[146]tally checklist'!text_sevenfour</definedName>
    <definedName name="text_seventhree" localSheetId="10" hidden="0" function="0" vbProcedure="0">'[146]tally checklist'!text_seventhree</definedName>
    <definedName name="tgrade" localSheetId="10" hidden="0" function="0" vbProcedure="0">[157]Control!$D$9</definedName>
    <definedName name="TGW" localSheetId="10" hidden="0" function="0" vbProcedure="0">'[146]tally checklist'!tgw</definedName>
    <definedName name="ThreadCon" localSheetId="10" hidden="0" function="0" vbProcedure="0">[171]MUT!$R$3:$R$9</definedName>
    <definedName name="ticketdate" localSheetId="10" hidden="0" function="0" vbProcedure="0">'[126]Call Sheet'!$AH$1</definedName>
    <definedName name="tickettype" localSheetId="10" hidden="0" function="0" vbProcedure="0">[56]data!#ref!</definedName>
    <definedName name="time" localSheetId="10" hidden="0" function="0" vbProcedure="0">'[96]well test sheet'!#ref!</definedName>
    <definedName name="TLCENG" localSheetId="10" hidden="0" function="0" vbProcedure="0">[193]Reference!$D$2</definedName>
    <definedName name="TLDENG" localSheetId="10" hidden="0" function="0" vbProcedure="0">[193]Reference!$C$2</definedName>
    <definedName name="TLDOPS" localSheetId="10" hidden="0" function="0" vbProcedure="0">[193]Reference!$E$2:$E$3</definedName>
    <definedName name="TOL" localSheetId="10" hidden="0" function="0" vbProcedure="0">'[130]Metric Conversions'!$B$28</definedName>
    <definedName name="TOLz" localSheetId="10" hidden="0" function="0" vbProcedure="0">'[109]Liner Job Info'!$I$19</definedName>
    <definedName name="ToolMaterial" localSheetId="10" hidden="0" function="0" vbProcedure="0">[109]DATA!$BN$2:$BN$8</definedName>
    <definedName name="Tool_ID" localSheetId="10" hidden="0" function="0" vbProcedure="0">[109]DATA!$P$2:$P$268</definedName>
    <definedName name="TOPPKRIMG" localSheetId="10" hidden="0" function="0" vbProcedure="0">INDEX([172]PKR!$A$16:$B$17,MATCH([172]INPUT!$G$56,[172]PKR!$A$16:$A$17,0),2)</definedName>
    <definedName name="TOPPKRIMG_1" localSheetId="10" hidden="0" function="0" vbProcedure="0">INDEX([78]PKR!$A$16:$B$18,MATCH([78]INPUT!$G$56,[78]PKR!$A$16:$A$18,0),2)</definedName>
    <definedName name="Top_Drive_y_n" localSheetId="10" hidden="0" function="0" vbProcedure="0">'[48]liner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'[109]Weight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'[109]Metric Conversions'!$C$90</definedName>
    <definedName name="TOT_CAP_HOLE" localSheetId="10" hidden="0" function="0" vbProcedure="0">'[113]#REF'!$G$190</definedName>
    <definedName name="Tot_DP_Vol" localSheetId="10" hidden="0" function="0" vbProcedure="0">'[109]Metric Conversions'!$B$75</definedName>
    <definedName name="Tot_DP_Volz" localSheetId="10" hidden="0" function="0" vbProcedure="0">'[109]Metric Conversions'!$C$75</definedName>
    <definedName name="Tot_Liner_Wt" localSheetId="10" hidden="0" function="0" vbProcedure="0">'[109]Weight Calculations'!$H$18</definedName>
    <definedName name="Tot_Lnr_Vol_to_LC" localSheetId="10" hidden="0" function="0" vbProcedure="0">'[109]Metric Conversions'!$B$79</definedName>
    <definedName name="Tot_Lnr_Vol_to_LCz" localSheetId="10" hidden="0" function="0" vbProcedure="0">'[109]Metric Conversions'!$C$79</definedName>
    <definedName name="TOT_SAND_2B_PUMPED" localSheetId="10" hidden="0" function="0" vbProcedure="0">'[7]#ref'!#ref!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'[7]#ref'!#ref!</definedName>
    <definedName name="Tot_Vol_to_Bump_Plugs" localSheetId="10" hidden="0" function="0" vbProcedure="0">'[109]Metric Conversions'!$B$80</definedName>
    <definedName name="Tot_Vol_to_Bump_Plugsz" localSheetId="10" hidden="0" function="0" vbProcedure="0">'[109]Metric Conversions'!$C$80</definedName>
    <definedName name="Tot_Vol_to_Shoez" localSheetId="10" hidden="0" function="0" vbProcedure="0">'[109]Metric Conversions'!$C$81</definedName>
    <definedName name="tpermit" localSheetId="10" hidden="0" function="0" vbProcedure="0">[157]Control!$D$5</definedName>
    <definedName name="TQW" localSheetId="10" hidden="0" function="0" vbProcedure="0">'[146]tally checklist'!tqw</definedName>
    <definedName name="tr" localSheetId="10" hidden="0" function="0" vbProcedure="0">null</definedName>
    <definedName name="transport" localSheetId="10" hidden="0" function="0" vbProcedure="0">[56]data!#ref!</definedName>
    <definedName name="treatment" localSheetId="10" hidden="0" function="0" vbProcedure="0">[56]data!#ref!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((SUM(NosOfTubing))-(MakeupLoss*COUNT(NosOfTubing)))/COUNT(NosOfTubing)</definedName>
    <definedName name="TubingOD" localSheetId="10" hidden="0" function="0" vbProcedure="0">[94]Lists!$AH$3:$AH$297</definedName>
    <definedName name="TubingSizes" localSheetId="10" hidden="0" function="0" vbProcedure="0">[94]Lists!$H$2:$H$14</definedName>
    <definedName name="tubingweight" localSheetId="10" hidden="0" function="0" vbProcedure="0">[86]!TubTable[id LIST (in)]</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'[146]tally checklist'!tyjeje</definedName>
    <definedName name="TYPE" localSheetId="10" hidden="0" function="0" vbProcedure="0">'[61]7-30-04'!#ref!</definedName>
    <definedName name="TYPEOFPLUG" localSheetId="10" hidden="0" function="0" vbProcedure="0">'[175]DATA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'[50]12(762mm)套管'!#ref!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[109]DATA!$AR$2:$AR$3</definedName>
    <definedName name="Using_Hanger" localSheetId="10" hidden="0" function="0" vbProcedure="0">'[109]Liner Job Info'!$D$38</definedName>
    <definedName name="Using_Packer" localSheetId="10" hidden="0" function="0" vbProcedure="0">'[109]Liner Job Info'!$P$30</definedName>
    <definedName name="VALIDCURR" localSheetId="10" hidden="0" function="0" vbProcedure="0">[177]Currency!$A$1:$A$170</definedName>
    <definedName name="Vallist" localSheetId="10" hidden="0" function="0" vbProcedure="0">'[109]Casing Info'!$A$2:$A$34</definedName>
    <definedName name="vallist2" localSheetId="10" hidden="0" function="0" vbProcedure="0">#N/A</definedName>
    <definedName name="vbcode.draw_blanks" localSheetId="10" hidden="0" function="0" vbProcedure="0">'[146]tally checklist'!vbcode.draw_blanks</definedName>
    <definedName name="vbcode.draw_linerfirst" localSheetId="10" hidden="0" function="0" vbProcedure="0">'[146]tally checklist'!vbcode.draw_linerfirst</definedName>
    <definedName name="vbcode.draw_linersecond" localSheetId="10" hidden="0" function="0" vbProcedure="0">'[146]tally checklist'!vbcode.draw_linersecond</definedName>
    <definedName name="vbcode.draw_miscellaneous" localSheetId="10" hidden="0" function="0" vbProcedure="0">'[146]tally checklist'!vbcode.draw_miscellaneous</definedName>
    <definedName name="vbcode.draw_productionfirst" localSheetId="10" hidden="0" function="0" vbProcedure="0">'[146]tally checklist'!vbcode.draw_productionfirst</definedName>
    <definedName name="vbcode.draw_productionsecond" localSheetId="10" hidden="0" function="0" vbProcedure="0">'[146]tally checklist'!vbcode.draw_productionsecond</definedName>
    <definedName name="vbcode.draw_quantum" localSheetId="10" hidden="0" function="0" vbProcedure="0">'[146]tally checklist'!vbcode.draw_quantum</definedName>
    <definedName name="vbcode.draw_screens" localSheetId="10" hidden="0" function="0" vbProcedure="0">'[146]tally checklist'!vbcode.draw_screens</definedName>
    <definedName name="vbcode.draw_shearsubs" localSheetId="10" hidden="0" function="0" vbProcedure="0">'[146]tally checklist'!vbcode.draw_shearsubs</definedName>
    <definedName name="vbcode.draw_sump" localSheetId="10" hidden="0" function="0" vbProcedure="0">'[146]tally checklist'!vbcode.draw_sump</definedName>
    <definedName name="vbcode.text_five" localSheetId="10" hidden="0" function="0" vbProcedure="0">'[146]tally checklist'!vbcode.text_five</definedName>
    <definedName name="vbcode.text_fivehalf" localSheetId="10" hidden="0" function="0" vbProcedure="0">'[146]tally checklist'!vbcode.text_fivehalf</definedName>
    <definedName name="vbcode.text_ninefiveeightfourfirst" localSheetId="10" hidden="0" function="0" vbProcedure="0">'[146]tally checklist'!vbcode.text_ninefiveeightfourfirst</definedName>
    <definedName name="vbcode.text_ninefiveeightfoursecond" localSheetId="10" hidden="0" function="0" vbProcedure="0">'[146]tally checklist'!vbcode.text_ninefiveeightfoursecond</definedName>
    <definedName name="vbcode.text_ninefiveeightsixfirst" localSheetId="10" hidden="0" function="0" vbProcedure="0">'[146]tally checklist'!vbcode.text_ninefiveeightsixfirst</definedName>
    <definedName name="vbcode.text_ninefiveeightsixsecond" localSheetId="10" hidden="0" function="0" vbProcedure="0">'[146]tally checklist'!vbcode.text_ninefiveeightsixsecond</definedName>
    <definedName name="vbcode.text_sevenfiveeightfour" localSheetId="10" hidden="0" function="0" vbProcedure="0">'[146]tally checklist'!vbcode.text_sevenfiveeightfour</definedName>
    <definedName name="vbcode.text_sevenfiveeightthree" localSheetId="10" hidden="0" function="0" vbProcedure="0">'[146]tally checklist'!vbcode.text_sevenfiveeightthree</definedName>
    <definedName name="vbcode.text_sevenfour" localSheetId="10" hidden="0" function="0" vbProcedure="0">'[146]tally checklist'!vbcode.text_sevenfour</definedName>
    <definedName name="vbcode.text_seventhree" localSheetId="10" hidden="0" function="0" vbProcedure="0">'[146]tally checklist'!vbcode.text_seventhree</definedName>
    <definedName name="Verticaldepth" localSheetId="10" hidden="0" function="0" vbProcedure="0">'[129]Front Page Info'!$C$18</definedName>
    <definedName name="vfdvf" localSheetId="10" hidden="0" function="0" vbProcedure="0">[181]!Macro61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[82]!Macro60</definedName>
    <definedName name="w" localSheetId="10" hidden="0" function="0" vbProcedure="0">'[306]run sheet'!#ref!</definedName>
    <definedName name="WBJobRev" localSheetId="10" hidden="0" function="0" vbProcedure="0">'[94]Job Technical Info'!$C$11</definedName>
    <definedName name="Weak_DP" localSheetId="10" hidden="0" function="0" vbProcedure="0">'[109]Weight Calculations'!$V$63</definedName>
    <definedName name="Weak_link" localSheetId="10" hidden="0" function="0" vbProcedure="0">'[109]Weight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[132]Data!$K$1:$K$65536</definedName>
    <definedName name="Welllocation1" localSheetId="10" hidden="0" function="0" vbProcedure="0">[132]Data!$M$1:$M$65536</definedName>
    <definedName name="WellMD" localSheetId="10" hidden="0" function="0" vbProcedure="0">'[94]Job Technical Info'!$H$41</definedName>
    <definedName name="WellNo" localSheetId="10" hidden="0" function="0" vbProcedure="0">'[30]Liner Job Info'!$E$6</definedName>
    <definedName name="Wells" localSheetId="10" hidden="0" function="0" vbProcedure="0">[307]welltest!#ref!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'[96]well test sheet'!#ref!</definedName>
    <definedName name="wiperplugunity" localSheetId="10" hidden="0" function="0" vbProcedure="0">[109]Test!$G$18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[86]!CasingTable[#data]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'[96]well test sheet'!#ref!</definedName>
    <definedName name="wtr_rate" localSheetId="10" hidden="0" function="0" vbProcedure="0">'[96]well test sheet'!#ref!</definedName>
    <definedName name="wtworkstring" localSheetId="10" hidden="0" function="0" vbProcedure="0">[106]Data!$W$21</definedName>
    <definedName name="Wtype" localSheetId="10" hidden="0" function="0" vbProcedure="0">'[109]Liner Job Info'!$E$9</definedName>
    <definedName name="Wt_Bouyant" localSheetId="10" hidden="0" function="0" vbProcedure="0">'[108]Packer Calculation Sheet'!$I$34</definedName>
    <definedName name="Wt_w_Cmt" localSheetId="10" hidden="0" function="0" vbProcedure="0">'[109]Liner Job Info'!$D$34</definedName>
    <definedName name="Wt_W_Pkr_Tst" localSheetId="10" hidden="0" function="0" vbProcedure="0">'[109]Liner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1" function="0" vbProcedure="0">{#N/A,#N/A,FALSE,"Sheet1"}</definedName>
    <definedName name="xxxx" localSheetId="10" hidden="0" function="0" vbProcedure="0">[309]!Macro46</definedName>
    <definedName name="Y" localSheetId="10" hidden="0" function="0" vbProcedure="0">'[310]#ref'!#ref!</definedName>
    <definedName name="YESNO" localSheetId="10" hidden="0" function="0" vbProcedure="0">[129]RSS!$E$139:$E$141</definedName>
    <definedName name="YJEJD" localSheetId="10" hidden="0" function="0" vbProcedure="0">'[146]tally checklist'!yjejd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[109]Test!$Z$38</definedName>
    <definedName name="zzzzzz" localSheetId="10" hidden="0" function="0" vbProcedure="0">[309]!'[module4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'[2]run sheet'!#ref!</definedName>
    <definedName name="_C" localSheetId="10" hidden="0" function="0" vbProcedure="0">'[2]run sheet'!#ref!</definedName>
    <definedName name="_D" localSheetId="10" hidden="0" function="0" vbProcedure="0">'[2]run sheet'!#ref!</definedName>
    <definedName name="_E" localSheetId="10" hidden="0" function="0" vbProcedure="0">'[2]run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'[2]run sheet'!#ref!</definedName>
    <definedName name="_L" localSheetId="10" hidden="0" function="0" vbProcedure="0">'[2]run sheet'!#ref!</definedName>
    <definedName name="_N" localSheetId="10" hidden="0" function="0" vbProcedure="0">'[2]run sheet'!#ref!</definedName>
    <definedName name="_q" localSheetId="10" hidden="0" function="0" vbProcedure="0">'[4]run sheet'!#ref!</definedName>
    <definedName name="_T" localSheetId="10" hidden="0" function="0" vbProcedure="0">{#N/A,#N/A,FALSE,"Volume"}</definedName>
    <definedName name="_Z" localSheetId="10" hidden="0" function="0" vbProcedure="0">'[2]run sheet'!#ref!</definedName>
    <definedName name="_" localSheetId="10" hidden="0" function="0" vbProcedure="0">[6]readings!#ref!</definedName>
    <definedName name="_1" localSheetId="10" hidden="0" function="0" vbProcedure="0">{#N/A,#N/A,FALSE,"Volume"}</definedName>
    <definedName name="_11Druckbereich" localSheetId="10" hidden="0" function="0" vbProcedure="0">[36]run_s!#ref!</definedName>
    <definedName name="_1234GRAPH_G" localSheetId="10" hidden="1" function="0" vbProcedure="0">[179]Run!$F$16:$F$514</definedName>
    <definedName name="_1Module2__2__.gaugeconok2" localSheetId="10" hidden="0" function="0" vbProcedure="0">'JOB ORDER '!_1Module2__2__.gaugeconok2</definedName>
    <definedName name="_2" localSheetId="10" hidden="0" function="0" vbProcedure="0">{#N/A,#N/A,FALSE,"Volume"}</definedName>
    <definedName name="_2Module2__2__.gaugeok2" localSheetId="10" hidden="0" function="0" vbProcedure="0">'JOB ORDER '!_2Module2__2__.gaugeok2</definedName>
    <definedName name="_3Module2__2__.gaugeselect2" localSheetId="10" hidden="0" function="0" vbProcedure="0">'JOB ORDER '!_3Module2__2__.gaugeselect2</definedName>
    <definedName name="_4Module2__2__.serialselect3" localSheetId="10" hidden="0" function="0" vbProcedure="0">'JOB ORDER '!_4Module2__2__.serialselect3</definedName>
    <definedName name="_5" localSheetId="10" hidden="0" function="0" vbProcedure="0">{#N/A,#N/A,FALSE,"Volume"}</definedName>
    <definedName name="_5Module2__2__.serialselect4" localSheetId="10" hidden="0" function="0" vbProcedure="0">'JOB ORDER '!_5Module2__2__.serialselect4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[179]Run!$B$18:$B$512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[10]!Calculate_Pipe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'[40]sap serv 06-02'!#ref!</definedName>
    <definedName name="_DAT17" localSheetId="10" hidden="0" function="0" vbProcedure="0">'[40]sap serv 06-02'!#ref!</definedName>
    <definedName name="_DAT19" localSheetId="10" hidden="0" function="0" vbProcedure="0">'[40]sap serv 06-02'!#ref!</definedName>
    <definedName name="_DAT20" localSheetId="10" hidden="0" function="0" vbProcedure="0">'[40]sap serv 06-02'!#ref!</definedName>
    <definedName name="_DAT25" localSheetId="10" hidden="0" function="0" vbProcedure="0">'[40]sap serv 06-02'!#ref!</definedName>
    <definedName name="_DAT26" localSheetId="10" hidden="0" function="0" vbProcedure="0">'[40]sap serv 06-02'!#ref!</definedName>
    <definedName name="_DAT27" localSheetId="10" hidden="0" function="0" vbProcedure="0">'[40]sap serv 06-02'!#ref!</definedName>
    <definedName name="_DAT28" localSheetId="10" hidden="0" function="0" vbProcedure="0">'[40]sap serv 06-02'!#ref!</definedName>
    <definedName name="_DAT29" localSheetId="10" hidden="0" function="0" vbProcedure="0">'[40]sap serv 06-02'!#ref!</definedName>
    <definedName name="_DAT31" localSheetId="10" hidden="0" function="0" vbProcedure="0">'[40]sap serv 06-02'!#ref!</definedName>
    <definedName name="_DAT32" localSheetId="10" hidden="0" function="0" vbProcedure="0">'[40]sap serv 06-02'!#ref!</definedName>
    <definedName name="_DAT34" localSheetId="10" hidden="0" function="0" vbProcedure="0">'[40]sap serv 06-02'!#ref!</definedName>
    <definedName name="_DAT35" localSheetId="10" hidden="0" function="0" vbProcedure="0">'[40]sap serv 06-02'!#ref!</definedName>
    <definedName name="_DAT36" localSheetId="10" hidden="0" function="0" vbProcedure="0">'[40]sap serv 06-02'!#ref!</definedName>
    <definedName name="_DAT40" localSheetId="10" hidden="0" function="0" vbProcedure="0">'[40]sap serv 06-02'!#ref!</definedName>
    <definedName name="_DAT41" localSheetId="10" hidden="0" function="0" vbProcedure="0">'[40]sap serv 06-02'!#ref!</definedName>
    <definedName name="_DAT42" localSheetId="10" hidden="0" function="0" vbProcedure="0">'[40]sap serv 06-02'!#ref!</definedName>
    <definedName name="_DAT44" localSheetId="10" hidden="0" function="0" vbProcedure="0">'[40]sap serv 06-02'!#ref!</definedName>
    <definedName name="_DAT45" localSheetId="10" hidden="0" function="0" vbProcedure="0">'[40]sap serv 06-02'!#ref!</definedName>
    <definedName name="_DAT46" localSheetId="10" hidden="0" function="0" vbProcedure="0">'[40]sap serv 06-02'!#ref!</definedName>
    <definedName name="_DAT47" localSheetId="10" hidden="0" function="0" vbProcedure="0">'[40]sap serv 06-02'!#ref!</definedName>
    <definedName name="_DAT48" localSheetId="10" hidden="0" function="0" vbProcedure="0">'[40]sap serv 06-02'!#ref!</definedName>
    <definedName name="_DAT49" localSheetId="10" hidden="0" function="0" vbProcedure="0">'[40]sap serv 06-02'!#ref!</definedName>
    <definedName name="_DAT50" localSheetId="10" hidden="0" function="0" vbProcedure="0">'[40]sap serv 06-02'!#ref!</definedName>
    <definedName name="_DAT52" localSheetId="10" hidden="0" function="0" vbProcedure="0">'[40]sap serv 06-02'!#ref!</definedName>
    <definedName name="_DAT53" localSheetId="10" hidden="0" function="0" vbProcedure="0">'[40]sap serv 06-02'!#ref!</definedName>
    <definedName name="_DAT54" localSheetId="10" hidden="0" function="0" vbProcedure="0">'[40]sap serv 06-02'!#ref!</definedName>
    <definedName name="_DAT56" localSheetId="10" hidden="0" function="0" vbProcedure="0">'[40]sap serv 06-02'!#ref!</definedName>
    <definedName name="_DAT57" localSheetId="10" hidden="0" function="0" vbProcedure="0">'[40]sap serv 06-02'!#ref!</definedName>
    <definedName name="_DAT62" localSheetId="10" hidden="0" function="0" vbProcedure="0">'[40]sap serv 06-02'!#ref!</definedName>
    <definedName name="_DAT63" localSheetId="10" hidden="0" function="0" vbProcedure="0">'[40]sap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'[33]data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[43]!Calculate_Pipe</definedName>
    <definedName name="_r06" localSheetId="10" hidden="0" function="0" vbProcedure="0">[44]!AutoCAD</definedName>
    <definedName name="_Sort" localSheetId="10" hidden="1" function="0" vbProcedure="0">#ref!</definedName>
    <definedName name="_SPM1" localSheetId="10" hidden="0" function="0" vbProcedure="0">[18]!Macro1</definedName>
    <definedName name="_SSA1" localSheetId="10" hidden="0" function="0" vbProcedure="0">[46]!Macro46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'[109]Liner Job Info'!$O$7</definedName>
    <definedName name="_UA38" localSheetId="10" hidden="0" function="0" vbProcedure="0">'JOB ORDER '!_UA38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'JOB ORDER '!__1Module2__2__.gaugeconok2</definedName>
    <definedName name="__2Module2__2__.gaugeok2" localSheetId="10" hidden="0" function="0" vbProcedure="0">'JOB ORDER '!__2Module2__2__.gaugeok2</definedName>
    <definedName name="__3Module2__2__.gaugeselect2" localSheetId="10" hidden="0" function="0" vbProcedure="0">'JOB ORDER '!__3Module2__2__.gaugeselect2</definedName>
    <definedName name="__4Module2__2__.serialselect3" localSheetId="10" hidden="0" function="0" vbProcedure="0">'JOB ORDER '!__4Module2__2__.serialselect3</definedName>
    <definedName name="__5Module2__2__.serialselect4" localSheetId="10" hidden="0" function="0" vbProcedure="0">'JOB ORDER '!__5Module2__2__.serialselect4</definedName>
    <definedName name="__A4" localSheetId="10" hidden="1" function="0" vbProcedure="0">[179]Run!$B$18:$B$512</definedName>
    <definedName name="__bb2789" localSheetId="10" hidden="0" function="0" vbProcedure="0">[10]!Calculate_Pipe</definedName>
    <definedName name="__SPM1" localSheetId="10" hidden="0" function="0" vbProcedure="0">[18]!Macro1</definedName>
    <definedName name="__UA38" localSheetId="10" hidden="0" function="0" vbProcedure="0">'JOB ORDER '!__UA38</definedName>
    <definedName name="__wrn1" localSheetId="10" hidden="0" function="0" vbProcedure="0">{#N/A,#N/A,FALSE,"Volume"}</definedName>
    <definedName name="___A4" localSheetId="10" hidden="1" function="0" vbProcedure="0">[179]Run!$B$18:$B$512</definedName>
    <definedName name="___bb2789" localSheetId="10" hidden="0" function="0" vbProcedure="0">[10]!Calculate_Pipe</definedName>
    <definedName name="___SPM1" localSheetId="10" hidden="0" function="0" vbProcedure="0">[18]!Macro1</definedName>
    <definedName name="___wrn1" localSheetId="10" hidden="0" function="0" vbProcedure="0">{#N/A,#N/A,FALSE,"Volume"}</definedName>
    <definedName name="____A4" localSheetId="10" hidden="1" function="0" vbProcedure="0">[179]Run!$B$18:$B$512</definedName>
    <definedName name="____bb2789" localSheetId="10" hidden="0" function="0" vbProcedure="0">[10]!Calculate_Pipe</definedName>
    <definedName name="____SPM1" localSheetId="10" hidden="0" function="0" vbProcedure="0">[18]!Macro1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[16]!Calculate_Pipe</definedName>
    <definedName name="_____SPM1" localSheetId="10" hidden="0" function="0" vbProcedure="0">[18]!Macro1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[16]!Calculate_Pipe</definedName>
    <definedName name="______SPM1" localSheetId="10" hidden="0" function="0" vbProcedure="0">[18]!Macro1</definedName>
    <definedName name="_______A4" localSheetId="10" hidden="1" function="0" vbProcedure="0">[179]Run!$B$18:$B$512</definedName>
    <definedName name="_______bb2789" localSheetId="10" hidden="0" function="0" vbProcedure="0">[16]!Calculate_Pipe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[16]!Calculate_Pipe</definedName>
    <definedName name="_________A4" localSheetId="10" hidden="1" function="0" vbProcedure="0">[179]Run!$B$18:$B$512</definedName>
    <definedName name="_________bb2789" localSheetId="10" hidden="0" function="0" vbProcedure="0">[16]!Calculate_Pipe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[16]!Calculate_Pipe</definedName>
    <definedName name="___________A4" localSheetId="10" hidden="1" function="0" vbProcedure="0">[179]Run!$B$18:$B$512</definedName>
    <definedName name="___________bb2789" localSheetId="10" hidden="0" function="0" vbProcedure="0">[16]!Calculate_Pipe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[16]!Calculate_Pipe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[16]!Calculate_Pipe</definedName>
    <definedName name="______________A4" localSheetId="10" hidden="1" function="0" vbProcedure="0">[179]Run!$B$18:$B$512</definedName>
    <definedName name="______________bb2789" localSheetId="10" hidden="0" function="0" vbProcedure="0">[16]!Calculate_Pipe</definedName>
    <definedName name="_______________A4" localSheetId="10" hidden="1" function="0" vbProcedure="0">[179]Run!$B$18:$B$512</definedName>
    <definedName name="_______________bb2789" localSheetId="10" hidden="0" function="0" vbProcedure="0">[16]!Calculate_Pipe</definedName>
    <definedName name="________________A4" localSheetId="10" hidden="1" function="0" vbProcedure="0">[179]Run!$B$18:$B$512</definedName>
    <definedName name="________________bb2789" localSheetId="10" hidden="0" function="0" vbProcedure="0">[10]!Calculate_Pipe</definedName>
    <definedName name="_________________A4" localSheetId="10" hidden="1" function="0" vbProcedure="0">[179]Run!$B$18:$B$512</definedName>
    <definedName name="_________________bb2789" localSheetId="10" hidden="0" function="0" vbProcedure="0">[10]!Calculate_Pipe</definedName>
    <definedName name="__________________A4" localSheetId="10" hidden="1" function="0" vbProcedure="0">[179]Run!$B$18:$B$512</definedName>
    <definedName name="__________________bb2789" localSheetId="10" hidden="0" function="0" vbProcedure="0">[12]!Calculate_Pipe</definedName>
    <definedName name="___________________A4" localSheetId="10" hidden="1" function="0" vbProcedure="0">[179]Run!$B$18:$B$512</definedName>
    <definedName name="___________________bb2789" localSheetId="10" hidden="0" function="0" vbProcedure="0">[12]!Calculate_Pipe</definedName>
    <definedName name="____________________A4" localSheetId="10" hidden="1" function="0" vbProcedure="0">[191]Run!$B$18:$B$512</definedName>
    <definedName name="____________________bb2789" localSheetId="10" hidden="0" function="0" vbProcedure="0">[10]!Calculate_Pipe</definedName>
    <definedName name="_____________________A4" localSheetId="10" hidden="1" function="0" vbProcedure="0">[179]Run!$B$18:$B$512</definedName>
    <definedName name="_____________________bb2789" localSheetId="10" hidden="0" function="0" vbProcedure="0">[13]!Calculate_Pipe</definedName>
    <definedName name="______________________A4" localSheetId="10" hidden="1" function="0" vbProcedure="0">[179]Run!$B$18:$B$512</definedName>
    <definedName name="______________________bb2789" localSheetId="10" hidden="0" function="0" vbProcedure="0">[10]!Calculate_Pipe</definedName>
    <definedName name="_______________________A4" localSheetId="10" hidden="1" function="0" vbProcedure="0">[191]Run!$B$18:$B$512</definedName>
    <definedName name="_______________________bb2789" localSheetId="10" hidden="0" function="0" vbProcedure="0">[10]!Calculate_Pipe</definedName>
    <definedName name="________________________A4" localSheetId="10" hidden="1" function="0" vbProcedure="0">[179]Run!$B$18:$B$512</definedName>
    <definedName name="________________________bb2789" localSheetId="10" hidden="0" function="0" vbProcedure="0">[12]!Calculate_Pipe</definedName>
    <definedName name="_________________________bb2789" localSheetId="10" hidden="0" function="0" vbProcedure="0">[10]!Calculate_Pipe</definedName>
    <definedName name="__________________________A4" localSheetId="10" hidden="1" function="0" vbProcedure="0">[191]Run!$B$18:$B$512</definedName>
    <definedName name="歼击机" localSheetId="10" hidden="0" function="0" vbProcedure="0">[119]钻井日报表!$E$7</definedName>
    <definedName name="起始日期" localSheetId="10" hidden="0" function="0" vbProcedure="0">[181]钻井日报表!$B$1</definedName>
    <definedName name="_xlnm.Print_Area" localSheetId="10">'JOB ORDER '!$A$1:$L$109</definedName>
    <definedName name="a" localSheetId="13" hidden="1" function="0" vbProcedure="0">#ref!</definedName>
    <definedName name="AA" localSheetId="13" hidden="0" function="0" vbProcedure="0">#ref!</definedName>
    <definedName name="aa.macro111" localSheetId="13" hidden="0" function="0" vbProcedure="0">[51]!Prev.Macro111</definedName>
    <definedName name="AAA" localSheetId="13" hidden="0" function="0" vbProcedure="0">#ref!</definedName>
    <definedName name="aaaa" localSheetId="13" hidden="0" function="0" vbProcedure="0">[52]!Macro59</definedName>
    <definedName name="Aboveballdb" localSheetId="13" hidden="0" function="0" vbProcedure="0">#ref!</definedName>
    <definedName name="Aboveballslb" localSheetId="13" hidden="0" function="0" vbProcedure="0">#ref!</definedName>
    <definedName name="Aboveballstring" localSheetId="13" hidden="0" function="0" vbProcedure="0">#ref!</definedName>
    <definedName name="Absexternalstring" localSheetId="13" hidden="0" function="0" vbProcedure="0">#ref!</definedName>
    <definedName name="Absinternalstring" localSheetId="13" hidden="0" function="0" vbProcedure="0">#ref!</definedName>
    <definedName name="Absoluteexternaldb" localSheetId="13" hidden="0" function="0" vbProcedure="0">#ref!</definedName>
    <definedName name="Absoluteexternalslb" localSheetId="13" hidden="0" function="0" vbProcedure="0">#ref!</definedName>
    <definedName name="Absoluteinternaldb" localSheetId="13" hidden="0" function="0" vbProcedure="0">#ref!</definedName>
    <definedName name="Absoluteinternalslb" localSheetId="13" hidden="0" function="0" vbProcedure="0">#ref!</definedName>
    <definedName name="ABX" localSheetId="13" hidden="1" function="0" vbProcedure="0">[103]Run!$B$18:$B$512</definedName>
    <definedName name="AddCtrl" localSheetId="13" hidden="0" function="0" vbProcedure="0">#ref!</definedName>
    <definedName name="addresstwo" localSheetId="13" hidden="0" function="0" vbProcedure="0">[57]data!#ref!</definedName>
    <definedName name="ADDSTAB" localSheetId="13" hidden="0" function="0" vbProcedure="0">[58]!ADDSTAB</definedName>
    <definedName name="AddWeight" localSheetId="13" hidden="0" function="0" vbProcedure="0">#ref!</definedName>
    <definedName name="adf" localSheetId="13" hidden="0" function="0" vbProcedure="0">[59]!Macro60</definedName>
    <definedName name="ADHDHDJKK" localSheetId="13" hidden="0" function="0" vbProcedure="0">#ref!</definedName>
    <definedName name="ADNOC" localSheetId="13" hidden="0" function="0" vbProcedure="0">#ref!</definedName>
    <definedName name="ae" localSheetId="13" hidden="0" function="0" vbProcedure="0">'[104]forecast 3YP'!$AD$6</definedName>
    <definedName name="AFE19R"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localSheetId="13" hidden="0" function="0" vbProcedure="0">#ref!</definedName>
    <definedName name="Ai" localSheetId="13" hidden="0" function="0" vbProcedure="0">#ref!</definedName>
    <definedName name="AirHW" localSheetId="13" hidden="0" function="0" vbProcedure="0">#ref!</definedName>
    <definedName name="AIR_WEIGHT" localSheetId="13" hidden="0" function="0" vbProcedure="0">#ref!</definedName>
    <definedName name="ALL" localSheetId="13" hidden="0" function="0" vbProcedure="0">'[44]7-30-04'!$W$55:$IV$7457</definedName>
    <definedName name="Altered" localSheetId="13" hidden="0" function="0" vbProcedure="0">[63]auf_screen!#ref!</definedName>
    <definedName name="Altered_by" localSheetId="13" hidden="0" function="0" vbProcedure="0">[63]auf_screen!#ref!</definedName>
    <definedName name="alwyn1" localSheetId="13" hidden="0" function="0" vbProcedure="0">#ref!</definedName>
    <definedName name="AMACRO.n2foam" localSheetId="13" hidden="0" function="0" vbProcedure="0">'[64]tool backload dt'!amacro.n2foam</definedName>
    <definedName name="Ambient_temp" localSheetId="13" hidden="0" function="0" vbProcedure="0">'[7]#ref'!#ref!</definedName>
    <definedName name="amis" localSheetId="13" hidden="0" function="0" vbProcedure="0">[105]Tally!$A$5:$J$825</definedName>
    <definedName name="ANA" localSheetId="13" hidden="0" function="0" vbProcedure="0">#ref!</definedName>
    <definedName name="Anc" localSheetId="13" hidden="0" function="0" vbProcedure="0">[20]sheet1!#ref!</definedName>
    <definedName name="ANDERGAUGE" localSheetId="13" hidden="0" function="0" vbProcedure="0">[58]!ANDERGAUGE</definedName>
    <definedName name="AnnFBot1" localSheetId="13" hidden="0" function="0" vbProcedure="0">#ref!</definedName>
    <definedName name="AnnFBot2" localSheetId="13" hidden="0" function="0" vbProcedure="0">#ref!</definedName>
    <definedName name="AnnFBot3" localSheetId="13" hidden="0" function="0" vbProcedure="0">#ref!</definedName>
    <definedName name="AnnFBot4" localSheetId="13" hidden="0" function="0" vbProcedure="0">#ref!</definedName>
    <definedName name="AnnFTop1" localSheetId="13" hidden="0" function="0" vbProcedure="0">#ref!</definedName>
    <definedName name="AnnFTop2" localSheetId="13" hidden="0" function="0" vbProcedure="0">#ref!</definedName>
    <definedName name="AnnFTop3" localSheetId="13" hidden="0" function="0" vbProcedure="0">#ref!</definedName>
    <definedName name="AnnFTop4" localSheetId="13" hidden="0" function="0" vbProcedure="0">#ref!</definedName>
    <definedName name="AnnFW1" localSheetId="13" hidden="0" function="0" vbProcedure="0">#ref!</definedName>
    <definedName name="AnnFW2" localSheetId="13" hidden="0" function="0" vbProcedure="0">#ref!</definedName>
    <definedName name="AnnFW3" localSheetId="13" hidden="0" function="0" vbProcedure="0">#ref!</definedName>
    <definedName name="AnnFW4" localSheetId="13" hidden="0" function="0" vbProcedure="0">#ref!</definedName>
    <definedName name="annularvol" localSheetId="13" hidden="0" function="0" vbProcedure="0">[106]Data!$F$13</definedName>
    <definedName name="annvol1" localSheetId="13" hidden="0" function="0" vbProcedure="0">#ref!</definedName>
    <definedName name="annvol2" localSheetId="13" hidden="0" function="0" vbProcedure="0">#ref!</definedName>
    <definedName name="Ao" localSheetId="13" hidden="0" function="0" vbProcedure="0">[107]Piston!$F$5</definedName>
    <definedName name="Ap" localSheetId="13" hidden="0" function="0" vbProcedure="0">[107]Piston!$F$6</definedName>
    <definedName name="API_Number" localSheetId="13" hidden="0" function="0" vbProcedure="0">#ref!</definedName>
    <definedName name="Approver_Objectives" localSheetId="13" hidden="0" function="0" vbProcedure="0">'[73]well team goals'!#ref!</definedName>
    <definedName name="Approver_Well_Plan" localSheetId="13" hidden="0" function="0" vbProcedure="0">'[73]well team goals'!#ref!</definedName>
    <definedName name="ARM" localSheetId="13" hidden="0" function="0" vbProcedure="0">#ref!</definedName>
    <definedName name="as" localSheetId="13" hidden="0" function="0" vbProcedure="0">#ref!</definedName>
    <definedName name="asd" localSheetId="13" hidden="1" function="0" vbProcedure="0">#ref!</definedName>
    <definedName name="ASDA" localSheetId="13" hidden="0" function="0" vbProcedure="0">[74]!Calculate_Pipe</definedName>
    <definedName name="ASDF" localSheetId="13" hidden="0" function="0" vbProcedure="0">#ref!</definedName>
    <definedName name="ASDFF" localSheetId="13" hidden="0" function="0" vbProcedure="0">#ref!</definedName>
    <definedName name="ASS" localSheetId="13" hidden="0" function="0" vbProcedure="0">[75]!JointNumber</definedName>
    <definedName name="Assembly1" localSheetId="13" hidden="0" function="0" vbProcedure="0">[75]!Calculate_Pipe</definedName>
    <definedName name="assy.3" localSheetId="13" hidden="0" function="0" vbProcedure="0">[75]!Calculate_Pipe</definedName>
    <definedName name="ASSY.6" localSheetId="13" hidden="0" function="0" vbProcedure="0">[75]!Calculate_Pipe</definedName>
    <definedName name="ASSY2312" localSheetId="13" hidden="0" function="0" vbProcedure="0">DATA!Macro1</definedName>
    <definedName name="Macro1" localSheetId="13" hidden="0" function="0" vbProcedure="0">[18]!Macro1</definedName>
    <definedName name="ASSY7" localSheetId="13" hidden="0" function="0" vbProcedure="0">[43]!Calculate_Pipe</definedName>
    <definedName name="ASSY_098" localSheetId="13" hidden="0" function="0" vbProcedure="0">[75]!JointNumber</definedName>
    <definedName name="ASSY_122" localSheetId="13" hidden="0" function="0" vbProcedure="0">DATA!Macro1</definedName>
    <definedName name="ASSY_123" localSheetId="13" hidden="0" function="0" vbProcedure="0">[75]!JointNumber</definedName>
    <definedName name="ASSY_2111" localSheetId="13" hidden="0" function="0" vbProcedure="0">DATA!Macro1</definedName>
    <definedName name="ASSY_231" localSheetId="13" hidden="0" function="0" vbProcedure="0">DATA!Macro1</definedName>
    <definedName name="ASSY_342" localSheetId="13" hidden="0" function="0" vbProcedure="0">DATA!Macro1</definedName>
    <definedName name="ASSY_36" localSheetId="13" hidden="0" function="0" vbProcedure="0">DATA!Macro1</definedName>
    <definedName name="ASSY_4" localSheetId="13" hidden="0" function="0" vbProcedure="0">DATA!Macro1</definedName>
    <definedName name="ASSY_432" localSheetId="13" hidden="0" function="0" vbProcedure="0">DATA!Macro1</definedName>
    <definedName name="assy_5" localSheetId="13" hidden="0" function="0" vbProcedure="0">[75]!JointNumber</definedName>
    <definedName name="assy_543" localSheetId="13" hidden="0" function="0" vbProcedure="0">[75]!JointNumber</definedName>
    <definedName name="Assy_765" localSheetId="13" hidden="0" function="0" vbProcedure="0">[75]!Calculate_Pipe</definedName>
    <definedName name="ASSy_blast" localSheetId="13" hidden="0" function="0" vbProcedure="0">[75]!Calculate_Pipe</definedName>
    <definedName name="ASSY_W2" localSheetId="13" hidden="0" function="0" vbProcedure="0">[75]!Calculate_Pipe</definedName>
    <definedName name="AutoCAD" localSheetId="13" hidden="0" function="0" vbProcedure="0">[44]!AutoCAD</definedName>
    <definedName name="AutoCAD_1" localSheetId="13" hidden="0" function="0" vbProcedure="0">DATA!AutoCAD</definedName>
    <definedName name="AutoCAD_10" localSheetId="13" hidden="0" function="0" vbProcedure="0">DATA!AutoCAD</definedName>
    <definedName name="AutoCAD_11" localSheetId="13" hidden="0" function="0" vbProcedure="0">DATA!AutoCAD</definedName>
    <definedName name="AutoCAD_2" localSheetId="13" hidden="0" function="0" vbProcedure="0">DATA!AutoCAD</definedName>
    <definedName name="AutoCAD_3" localSheetId="13" hidden="0" function="0" vbProcedure="0">DATA!AutoCAD</definedName>
    <definedName name="AutoCAD_4" localSheetId="13" hidden="0" function="0" vbProcedure="0">DATA!AutoCAD</definedName>
    <definedName name="AutoCAD_5" localSheetId="13" hidden="0" function="0" vbProcedure="0">DATA!AutoCAD</definedName>
    <definedName name="AutoCAD_6" localSheetId="13" hidden="0" function="0" vbProcedure="0">DATA!AutoCAD</definedName>
    <definedName name="AutoCAD_7" localSheetId="13" hidden="0" function="0" vbProcedure="0">DATA!AutoCAD</definedName>
    <definedName name="AutoCAD_8" localSheetId="13" hidden="0" function="0" vbProcedure="0">DATA!AutoCAD</definedName>
    <definedName name="AutoCAD_9" localSheetId="13" hidden="0" function="0" vbProcedure="0">DATA!AutoCAD</definedName>
    <definedName name="Aux_BHA_ID" localSheetId="13" hidden="0" function="0" vbProcedure="0">'[108]Job Calculation Sheet'!$F$20</definedName>
    <definedName name="Aux_BHA_OD" localSheetId="13" hidden="0" function="0" vbProcedure="0">'[108]Job Calculation Sheet'!$E$20</definedName>
    <definedName name="AvgLength" localSheetId="13" hidden="0" function="0" vbProcedure="0">'[79]casing talley'!#ref!</definedName>
    <definedName name="axj" localSheetId="13" hidden="1" function="0" vbProcedure="0">{#N/A,#N/A,FALSE,"Sheet1"}</definedName>
    <definedName name="AzimColumn" localSheetId="13" hidden="0" function="0" vbProcedure="0">!#ref!</definedName>
    <definedName name="AzimUnit" localSheetId="13" hidden="0" function="0" vbProcedure="0">#ref!</definedName>
    <definedName name="Azimuth" localSheetId="13" hidden="0" function="0" vbProcedure="0">#ref!</definedName>
    <definedName name="Azimuth_In" localSheetId="13" hidden="0" function="0" vbProcedure="0">#ref!</definedName>
    <definedName name="Azimuth_Out" localSheetId="13" hidden="0" function="0" vbProcedure="0">#ref!</definedName>
    <definedName name="A_L" localSheetId="13" hidden="0" function="0" vbProcedure="0">'[50]12(762mm)套管'!#ref!</definedName>
    <definedName name="b" localSheetId="13" hidden="1" function="0" vbProcedure="0">#ref!</definedName>
    <definedName name="back" localSheetId="13" hidden="0" function="0" vbProcedure="0">'[64]tool backload dt'!back</definedName>
    <definedName name="BACKLOAD" localSheetId="13" hidden="0" function="0" vbProcedure="0">[20]sheet1!#ref!</definedName>
    <definedName name="BallMaterial" localSheetId="13" hidden="0" function="0" vbProcedure="0">[11]DATA!$BL$2:$BL$11</definedName>
    <definedName name="Ballooning_Area" localSheetId="13" hidden="0" function="0" vbProcedure="0">[11]Test!$M$18</definedName>
    <definedName name="Ballseat" localSheetId="13" hidden="0" function="0" vbProcedure="0">[11]DATA!$AG$2:$AG$9</definedName>
    <definedName name="BallSize" localSheetId="13" hidden="0" function="0" vbProcedure="0">[11]DATA!$BF$3:$BF$8</definedName>
    <definedName name="Base" localSheetId="13" hidden="0" function="0" vbProcedure="0">#ref!</definedName>
    <definedName name="basicok" localSheetId="13" hidden="0" function="0" vbProcedure="0">DATA!basicok</definedName>
    <definedName name="BBB" localSheetId="13" hidden="0" function="0" vbProcedure="0">'[110]DD Worksheet'!$C$1</definedName>
    <definedName name="bbbbb" localSheetId="13" hidden="0" function="0" vbProcedure="0">[82]!Macro61</definedName>
    <definedName name="BD" localSheetId="13" hidden="0" function="0" vbProcedure="0">INDEX([111]DRAW!$A$2:$B$13,MATCH([112]AUTO_DHWS!$AV$15,[111]DRAW!$A$2:$A$13,0),2)</definedName>
    <definedName name="BD_SC" localSheetId="13" hidden="0" function="0" vbProcedure="0">INDEX([111]DRAW!$A$2:$B$13,MATCH([112]AUTO_DHWS!$AV$16,[111]DRAW!$A$2:$A$13,0),2)</definedName>
    <definedName name="BD_TB" localSheetId="13" hidden="0" function="0" vbProcedure="0">INDEX([111]DRAW!$A$2:$B$13,MATCH([112]AUTO_DHWS!$AV$9,[111]DRAW!$A$2:$A$13,0),2)</definedName>
    <definedName name="Belowballdb" localSheetId="13" hidden="0" function="0" vbProcedure="0">#ref!</definedName>
    <definedName name="Belowballslb" localSheetId="13" hidden="0" function="0" vbProcedure="0">#ref!</definedName>
    <definedName name="Belowballstring" localSheetId="13" hidden="0" function="0" vbProcedure="0">#ref!</definedName>
    <definedName name="BendInformation" localSheetId="13" hidden="0" function="0" vbProcedure="0">#ref!</definedName>
    <definedName name="bgn" localSheetId="13" hidden="1" function="0" vbProcedure="0">{#N/A,#N/A,FALSE,"Sheet1"}</definedName>
    <definedName name="BHA" localSheetId="13" hidden="0" function="0" vbProcedure="0">#ref!</definedName>
    <definedName name="BhaComments" localSheetId="13" hidden="0" function="0" vbProcedure="0">#ref!</definedName>
    <definedName name="BhaName" localSheetId="13" hidden="0" function="0" vbProcedure="0">#ref!</definedName>
    <definedName name="BhaSchematic" localSheetId="13" hidden="0" function="0" vbProcedure="0">#ref!</definedName>
    <definedName name="Bha_Range" localSheetId="13" hidden="0" function="0" vbProcedure="0">#ref!</definedName>
    <definedName name="BHP" localSheetId="13" hidden="0" function="0" vbProcedure="0">#ref!</definedName>
    <definedName name="bhr" localSheetId="13" hidden="0" function="0" vbProcedure="0">#ref!</definedName>
    <definedName name="BHRR" localSheetId="13" hidden="0" function="0" vbProcedure="0">#ref!</definedName>
    <definedName name="BHServRep" localSheetId="13" hidden="0" function="0" vbProcedure="0">#ref!</definedName>
    <definedName name="BHT" localSheetId="13" hidden="0" function="0" vbProcedure="0">'[94]Job Technical Info'!$D$42</definedName>
    <definedName name="BHTFlow" localSheetId="13" hidden="0" function="0" vbProcedure="0">#ref!</definedName>
    <definedName name="BHTStatic" localSheetId="13" hidden="0" function="0" vbProcedure="0">#ref!</definedName>
    <definedName name="BIT" localSheetId="13" hidden="0" function="0" vbProcedure="0">#ref!</definedName>
    <definedName name="BitNozzles" localSheetId="13" hidden="0" function="0" vbProcedure="0">#ref!</definedName>
    <definedName name="BitNozzleTFA" localSheetId="13" hidden="0" function="0" vbProcedure="0">#ref!</definedName>
    <definedName name="BitNozzleTFAUnits" localSheetId="13" hidden="0" function="0" vbProcedure="0">#ref!</definedName>
    <definedName name="BitNozzleUnit" localSheetId="13" hidden="0" function="0" vbProcedure="0">#ref!</definedName>
    <definedName name="Bitsize" localSheetId="13" hidden="0" function="0" vbProcedure="0">[11]DATA!$L$2:$L$41</definedName>
    <definedName name="BJ_Tens" localSheetId="13" hidden="0" function="0" vbProcedure="0">'[11]Liner Job Info'!$P$45</definedName>
    <definedName name="BlankCell" localSheetId="13" hidden="0" function="0" vbProcedure="0">#ref!</definedName>
    <definedName name="BlankCheck" localSheetId="13" hidden="0" function="0" vbProcedure="0">#ref!</definedName>
    <definedName name="blanklength" localSheetId="13" hidden="0" function="0" vbProcedure="0">'[113]#REF'!$J$13</definedName>
    <definedName name="blankod" localSheetId="13" hidden="0" function="0" vbProcedure="0">'[113]#REF'!$F$13</definedName>
    <definedName name="BLANK_COVERED_NV" localSheetId="13" hidden="0" function="0" vbProcedure="0">'[113]#REF'!$G$111</definedName>
    <definedName name="BLANK_LENGTH" localSheetId="13" hidden="0" function="0" vbProcedure="0">'[113]#REF'!$J$13</definedName>
    <definedName name="BLANK_OD" localSheetId="13" hidden="0" function="0" vbProcedure="0">'[113]#REF'!$F$13</definedName>
    <definedName name="BlFl" localSheetId="13" hidden="0" function="0" vbProcedure="0">#ref!</definedName>
    <definedName name="blnk2" localSheetId="13" hidden="0" function="0" vbProcedure="0">#ref!,#ref!,#ref!,#ref!,#ref!,#ref!,#ref!,#ref!,#ref!,#ref!,#ref!,#ref!</definedName>
    <definedName name="block" localSheetId="13" hidden="0" function="0" vbProcedure="0">[5]WTR!$I$5</definedName>
    <definedName name="Block_Field" localSheetId="13" hidden="0" function="0" vbProcedure="0">'[108]Pre-Job Info Sheet'!$D$7</definedName>
    <definedName name="BLock_TD_Wt" localSheetId="13" hidden="0" function="0" vbProcedure="0">'[30]Liner Job Info'!$D$33</definedName>
    <definedName name="Block_Wt" localSheetId="13" hidden="0" function="0" vbProcedure="0">'[11]Weight Calculations'!$H$14</definedName>
    <definedName name="bOB" localSheetId="13" hidden="0" function="0" vbProcedure="0">[114]Volumes!$K$1:$Y$76</definedName>
    <definedName name="Body" localSheetId="13" hidden="0" function="0" vbProcedure="0">#ref!</definedName>
    <definedName name="bonusticket" localSheetId="13" hidden="0" function="0" vbProcedure="0">'[91]k factor'!#ref!</definedName>
    <definedName name="BONUSVALUES" localSheetId="13" hidden="0" function="0" vbProcedure="0">#ref!</definedName>
    <definedName name="BOPDepth" localSheetId="13" hidden="0" function="0" vbProcedure="0">#ref!</definedName>
    <definedName name="BOPRams" localSheetId="13" hidden="0" function="0" vbProcedure="0">#ref!</definedName>
    <definedName name="Borehole" localSheetId="13" hidden="0" function="0" vbProcedure="0">#ref!</definedName>
    <definedName name="BoreholeName" localSheetId="13" hidden="0" function="0" vbProcedure="0">#ref!</definedName>
    <definedName name="BOT" localSheetId="13" hidden="0" function="0" vbProcedure="0">'[94]Job Technical Info'!$A$4</definedName>
    <definedName name="bottomdepthstring" localSheetId="13" hidden="0" function="0" vbProcedure="0">#ref!</definedName>
    <definedName name="bottomPinBoxdb" localSheetId="13" hidden="0" function="0" vbProcedure="0">#ref!</definedName>
    <definedName name="bottompinboxslb" localSheetId="13" hidden="0" function="0" vbProcedure="0">#ref!</definedName>
    <definedName name="bottomthreadstring" localSheetId="13" hidden="0" function="0" vbProcedure="0">#ref!</definedName>
    <definedName name="bottomTypedb" localSheetId="13" hidden="0" function="0" vbProcedure="0">#ref!</definedName>
    <definedName name="bottomtypeslb" localSheetId="13" hidden="0" function="0" vbProcedure="0">#ref!</definedName>
    <definedName name="Bottom_Hole_Temp." localSheetId="13" hidden="0" function="0" vbProcedure="0">'[108]Pre-Job Info Sheet'!$B$34</definedName>
    <definedName name="Bottom_Perforation" localSheetId="13" hidden="0" function="0" vbProcedure="0">'[108]Pre-Job Info Sheet'!$B$29</definedName>
    <definedName name="Bottom_Shot" localSheetId="13" hidden="0" function="0" vbProcedure="0">'[108]TCP-BHA'!$H$36</definedName>
    <definedName name="BPLimit" localSheetId="13" hidden="0" function="0" vbProcedure="0">[86]!TubTable[[340]:[438]]</definedName>
    <definedName name="BR_Column" localSheetId="13" hidden="0" function="0" vbProcedure="0">null</definedName>
    <definedName name="BR_Unit" localSheetId="13" hidden="0" function="0" vbProcedure="0">null</definedName>
    <definedName name="bs" localSheetId="13" hidden="0" function="0" vbProcedure="0">'[115]Max-Torq'!$Q$79</definedName>
    <definedName name="bsw" localSheetId="13" hidden="0" function="0" vbProcedure="0">'[96]well test sheet'!#ref!</definedName>
    <definedName name="Budget_owner" localSheetId="13" hidden="0" function="0" vbProcedure="0">'[73]well specification'!#ref!</definedName>
    <definedName name="Buoyancy" localSheetId="13" hidden="0" function="0" vbProcedure="0">#ref!</definedName>
    <definedName name="BuoyantWeightBelowJar" localSheetId="13" hidden="0" function="0" vbProcedure="0">#ref!</definedName>
    <definedName name="BuoyantWeightBelowJarUnits" localSheetId="13" hidden="0" function="0" vbProcedure="0">#ref!</definedName>
    <definedName name="Buoy_Factor" localSheetId="13" hidden="0" function="0" vbProcedure="0">'[30]Liner Job Info'!$D$32</definedName>
    <definedName name="Burstdb" localSheetId="13" hidden="0" function="0" vbProcedure="0">#ref!</definedName>
    <definedName name="Burstslb" localSheetId="13" hidden="0" function="0" vbProcedure="0">#ref!</definedName>
    <definedName name="burststring" localSheetId="13" hidden="0" function="0" vbProcedure="0">#ref!</definedName>
    <definedName name="bxf" localSheetId="13" hidden="0" function="0" vbProcedure="0">'[115]Max-Torq'!$P$62</definedName>
    <definedName name="BypassRate" localSheetId="13" hidden="0" function="0" vbProcedure="0">[86]!TubTable[[340]:[438]]</definedName>
    <definedName name="Ca" localSheetId="13" hidden="1" function="0" vbProcedure="0">{#N/A,#N/A,FALSE,"Drlg Param Run 1-1";#N/A,#N/A,FALSE,"DDR (3)";#N/A,#N/A,FALSE,"BHA AT (1)";#N/A,#N/A,FALSE,"Downlinkbha";#N/A,#N/A,FALSE,"Job Status Report"}</definedName>
    <definedName name="CABLE2_1" localSheetId="13" hidden="0" function="0" vbProcedure="0">INDEX([111]DRAW!$L$52:$M$54,MATCH([112]AUTO_DHWS!$AY$8,[111]DRAW!$L$52:$L$54,0),2)</definedName>
    <definedName name="CABLE2_2" localSheetId="13" hidden="0" function="0" vbProcedure="0">INDEX([111]DRAW!$L$52:$M$56,MATCH([112]AUTO_DHWS!$AY$9,[111]DRAW!$L$52:$L$56,0),2)</definedName>
    <definedName name="CABLE_1" localSheetId="13" hidden="0" function="0" vbProcedure="0">INDEX([111]DRAW!$L$52:$M$53,MATCH([112]AUTO_DHWS!$AY$4,[111]DRAW!$L$52:$L$53,0),2)</definedName>
    <definedName name="CABLE_2" localSheetId="13" hidden="0" function="0" vbProcedure="0">INDEX([111]DRAW!$L$52:$M$56,MATCH([112]AUTO_DHWS!$AY$5,[111]DRAW!$L$52:$L$56,0),2)</definedName>
    <definedName name="CABLE_3" localSheetId="13" hidden="0" function="0" vbProcedure="0">INDEX([111]DRAW!$M$57:$N$63,MATCH([112]AUTO_DHWS!$AY$6,[111]DRAW!$M$57:$M$63,0),2)</definedName>
    <definedName name="CalculatePipe" localSheetId="13" hidden="0" function="0" vbProcedure="0">[75]!Calculate_Pipe</definedName>
    <definedName name="Calculate_Pipe" localSheetId="13" hidden="0" function="0" vbProcedure="0">[99]!Calculate_Pipe</definedName>
    <definedName name="Cancel" localSheetId="13" hidden="0" function="0" vbProcedure="0">[100]!Cancel</definedName>
    <definedName name="Capacities" localSheetId="13"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3" hidden="0" function="0" vbProcedure="0">'[113]#REF'!$G$188</definedName>
    <definedName name="CARRIER_FL_WT" localSheetId="13" hidden="0" function="0" vbProcedure="0">'[113]#REF'!$F$67</definedName>
    <definedName name="CARR_FL_VISCOSITY" localSheetId="13" hidden="0" function="0" vbProcedure="0">'[113]#REF'!$I$106</definedName>
    <definedName name="CARR_FL_VOL_PREPACK" localSheetId="13" hidden="0" function="0" vbProcedure="0">'[113]#REF'!$F$47</definedName>
    <definedName name="Carr_fl_wt_prepack" localSheetId="13" hidden="0" function="0" vbProcedure="0">'[113]#REF'!$F$46</definedName>
    <definedName name="CasFluidInput" localSheetId="13" hidden="0" function="0" vbProcedure="0">#ref!</definedName>
    <definedName name="casidstring" localSheetId="13" hidden="0" function="0" vbProcedure="0">#ref!</definedName>
    <definedName name="casingcolumn" localSheetId="13" hidden="0" function="0" vbProcedure="0">[106]Data!$J$17</definedName>
    <definedName name="casingid" localSheetId="13" hidden="0" function="0" vbProcedure="0">'[113]#REF'!$H$11</definedName>
    <definedName name="casingidref" localSheetId="13" hidden="0" function="0" vbProcedure="0">[106]Data!$GC$1</definedName>
    <definedName name="casinginfuserate" localSheetId="13" hidden="0" function="0" vbProcedure="0">'[113]#REF'!$K$50</definedName>
    <definedName name="casingliner" localSheetId="13" hidden="0" function="0" vbProcedure="0">[106]Data!$E$45</definedName>
    <definedName name="casingod" localSheetId="13" hidden="0" function="0" vbProcedure="0">'[113]#REF'!$F$11</definedName>
    <definedName name="CasingSize" localSheetId="13" hidden="0" function="0" vbProcedure="0">'[117]Well Installation Drawing'!$E$15</definedName>
    <definedName name="CasingWeight" localSheetId="13" hidden="0" function="0" vbProcedure="0">'[117]Well Installation Drawing'!$G$15</definedName>
    <definedName name="casingwt" localSheetId="13" hidden="0" function="0" vbProcedure="0">'[113]#REF'!$J$11</definedName>
    <definedName name="Casing_I.D." localSheetId="13" hidden="0" function="0" vbProcedure="0">'[108]Job Calculation Sheet'!$F$13</definedName>
    <definedName name="Casing_Liner" localSheetId="13" hidden="0" function="0" vbProcedure="0">'[94]Installation Results #1'!$C$27</definedName>
    <definedName name="Casing_Size" localSheetId="13" hidden="0" function="0" vbProcedure="0">'[108]Pre-Job Info Sheet'!$D$15</definedName>
    <definedName name="Casing_Size_Weight" localSheetId="13" hidden="0" function="0" vbProcedure="0">'[108]TCP-BHA'!$I$5</definedName>
    <definedName name="Casing_Weight" localSheetId="13" hidden="0" function="0" vbProcedure="0">'[108]Pre-Job Info Sheet'!$D$16</definedName>
    <definedName name="CasTestInput" localSheetId="13" hidden="0" function="0" vbProcedure="0">#ref!</definedName>
    <definedName name="CasTestOutPut" localSheetId="13" hidden="0" function="0" vbProcedure="0">#ref!</definedName>
    <definedName name="CAS_BLNK_ANNULUS" localSheetId="13" hidden="0" function="0" vbProcedure="0">'[113]#REF'!$I$108</definedName>
    <definedName name="CAS_BLNK_VOL" localSheetId="13" hidden="0" function="0" vbProcedure="0">'[7]#ref'!#ref!</definedName>
    <definedName name="CAS_EXT_VOL" localSheetId="13" hidden="0" function="0" vbProcedure="0">'[7]#ref'!#ref!</definedName>
    <definedName name="CAS_ID" localSheetId="13" hidden="0" function="0" vbProcedure="0">'[113]#REF'!$H$11</definedName>
    <definedName name="CAS_OD" localSheetId="13" hidden="0" function="0" vbProcedure="0">'[113]#REF'!$J$11</definedName>
    <definedName name="CAS_SCR_VOL" localSheetId="13" hidden="0" function="0" vbProcedure="0">'[7]#ref'!#ref!</definedName>
    <definedName name="CAS_WT" localSheetId="13" hidden="0" function="0" vbProcedure="0">'[113]#REF'!$J$11</definedName>
    <definedName name="category" localSheetId="13" hidden="0" function="0" vbProcedure="0">[118]Sheet2!$A$70:$A$73</definedName>
    <definedName name="Cc" localSheetId="13" hidden="0" function="0" vbProcedure="0">0.3</definedName>
    <definedName name="ccc" localSheetId="13" hidden="0" function="0" vbProcedure="0">[119]钻井日报表!$I$7</definedName>
    <definedName name="ccccc" localSheetId="13" hidden="0" function="0" vbProcedure="0">[82]!Macro59</definedName>
    <definedName name="cdr" localSheetId="13" hidden="0" function="0" vbProcedure="0">'[96]well test sheet'!#ref!</definedName>
    <definedName name="CDWimdbase" localSheetId="13" hidden="0" function="0" vbProcedure="0">'[120]CD''s'!$A$2:$G$374</definedName>
    <definedName name="Celldb" localSheetId="13" hidden="0" function="0" vbProcedure="0">#ref!</definedName>
    <definedName name="CellLoco" localSheetId="13" hidden="0" function="0" vbProcedure="0">#ref!</definedName>
    <definedName name="Cellslb" localSheetId="13" hidden="0" function="0" vbProcedure="0">#ref!</definedName>
    <definedName name="CementCompany" localSheetId="13" hidden="0" function="0" vbProcedure="0">[11]DATA!$BJ$2:$BJ$8</definedName>
    <definedName name="CENG" localSheetId="13" hidden="0" function="0" vbProcedure="0">[182]Reference!$A$2:$A$4</definedName>
    <definedName name="Centralizers" localSheetId="13" hidden="0" function="0" vbProcedure="0">[11]DATA!$AI$2:$AI$9</definedName>
    <definedName name="cf" localSheetId="13" hidden="1" function="0" vbProcedure="0">{#N/A,#N/A,FALSE,"Sheet1"}</definedName>
    <definedName name="Chart" localSheetId="13" hidden="1" function="0" vbProcedure="0">{#N/A,#N/A,FALSE,"Sheet1"}</definedName>
    <definedName name="chart1" localSheetId="13" hidden="1" function="0" vbProcedure="0">{#N/A,#N/A,FALSE,"Sheet1"}</definedName>
    <definedName name="Chemmac" localSheetId="13" hidden="0" function="0" vbProcedure="0">'[64]tool backload dt'!chemmac</definedName>
    <definedName name="cim" localSheetId="13" hidden="0" function="0" vbProcedure="0">[118]!Calculate_Pipe</definedName>
    <definedName name="CIPMACRO.n2foam" localSheetId="13" hidden="0" function="0" vbProcedure="0">'[64]tool backload dt'!cipmacro.n2foam</definedName>
    <definedName name="circsqz" localSheetId="13" hidden="0" function="0" vbProcedure="0">[5]WTR!$M$86</definedName>
    <definedName name="CIR_RATE_RESTRESS" localSheetId="13" hidden="0" function="0" vbProcedure="0">'[113]#REF'!$I$109</definedName>
    <definedName name="CIV" localSheetId="13" hidden="0" function="0" vbProcedure="0">INDEX([111]DRAW!$A$2:$B$13,MATCH([112]AUTO_DHWS!$AV$10,[111]DRAW!$A$2:$A$13,0),2)</definedName>
    <definedName name="CIV_2" localSheetId="13" hidden="0" function="0" vbProcedure="0">INDEX([111]DRAW!$A$2:$B$14,MATCH([112]AUTO_DHWS!$AV$14,[111]DRAW!$A$2:$A$13,0),2)</definedName>
    <definedName name="CIV_PDHG" localSheetId="13" hidden="0" function="0" vbProcedure="0">INDEX([111]DRAW!$A$2:$B$13,MATCH([112]AUTO_DHWS!$AV$11,[111]DRAW!$A$2:$A$13,0),2)</definedName>
    <definedName name="CLAMPON" localSheetId="13" hidden="0" function="0" vbProcedure="0">[58]!CLAMPON</definedName>
    <definedName name="CLEARCONTENTS" localSheetId="13" hidden="0" function="0" vbProcedure="0">[120]!CLEARCONTENTS</definedName>
    <definedName name="CLFluid1" localSheetId="13" hidden="0" function="0" vbProcedure="0">'[94]Installation Results #1'!$E$270</definedName>
    <definedName name="CLFluid10" localSheetId="13" hidden="0" function="0" vbProcedure="0">'[94]Installation Results #1'!$E$279</definedName>
    <definedName name="CLFluid11" localSheetId="13" hidden="0" function="0" vbProcedure="0">'[94]Installation Results #1'!$E$280</definedName>
    <definedName name="CLFluid12" localSheetId="13" hidden="0" function="0" vbProcedure="0">'[94]Installation Results #1'!$E$281</definedName>
    <definedName name="CLFluid13" localSheetId="13" hidden="0" function="0" vbProcedure="0">'[94]Installation Results #1'!$E$282</definedName>
    <definedName name="CLFluid14" localSheetId="13" hidden="0" function="0" vbProcedure="0">'[94]Installation Results #1'!$E$283</definedName>
    <definedName name="CLFluid15" localSheetId="13" hidden="0" function="0" vbProcedure="0">'[94]Installation Results #1'!$E$284</definedName>
    <definedName name="CLFluid2" localSheetId="13" hidden="0" function="0" vbProcedure="0">'[94]Installation Results #1'!$E$271</definedName>
    <definedName name="CLFluid3" localSheetId="13" hidden="0" function="0" vbProcedure="0">'[94]Installation Results #1'!$E$272</definedName>
    <definedName name="CLFluid4" localSheetId="13" hidden="0" function="0" vbProcedure="0">'[94]Installation Results #1'!$E$273</definedName>
    <definedName name="CLFluid5" localSheetId="13" hidden="0" function="0" vbProcedure="0">'[94]Installation Results #1'!$E$274</definedName>
    <definedName name="CLFluid6" localSheetId="13" hidden="0" function="0" vbProcedure="0">'[94]Installation Results #1'!$E$275</definedName>
    <definedName name="CLFluid7" localSheetId="13" hidden="0" function="0" vbProcedure="0">'[94]Installation Results #1'!$E$276</definedName>
    <definedName name="CLFluid8" localSheetId="13" hidden="0" function="0" vbProcedure="0">'[94]Installation Results #1'!$E$277</definedName>
    <definedName name="CLFluid9" localSheetId="13" hidden="0" function="0" vbProcedure="0">'[94]Installation Results #1'!$E$278</definedName>
    <definedName name="Client" localSheetId="13" hidden="0" function="0" vbProcedure="0">#ref!</definedName>
    <definedName name="ClientFd" localSheetId="13" hidden="0" function="0" vbProcedure="0">#ref!</definedName>
    <definedName name="Clist" localSheetId="13" hidden="0" function="0" vbProcedure="0">OFFSET(INDIRECT(ADDRESS(MATCH(CL_Wt,DATA!Objects,0)+1,2,,,"Casing Info")),0,1,COUNTIF(DATA!Objects,CL_Wt),1)</definedName>
    <definedName name="Objects" localSheetId="13" hidden="0" function="0" vbProcedure="0">'[11]Casing Info'!$B$2:$B$241</definedName>
    <definedName name="Clist2" localSheetId="13" hidden="0" function="0" vbProcedure="0">OFFSET(INDIRECT(ADDRESS(MATCH(Hsize2,DATA!Objects,0)+1,2,,,"Casing Info")),0,1,COUNTIF(DATA!Objects,Hsize2),1)</definedName>
    <definedName name="Clist3" localSheetId="13" hidden="0" function="0" vbProcedure="0">OFFSET(INDIRECT(ADDRESS(MATCH(Hsize3,DATA!Objects,0)+1,2,,,"Casing Info")),0,1,COUNTIF(DATA!Objects,Hsize3),1)</definedName>
    <definedName name="ClosureAzimColumn" localSheetId="13" hidden="0" function="0" vbProcedure="0">#ref!</definedName>
    <definedName name="ClosureAzimUnit" localSheetId="13" hidden="0" function="0" vbProcedure="0">#ref!</definedName>
    <definedName name="ClosureColumn" localSheetId="13" hidden="0" function="0" vbProcedure="0">#ref!</definedName>
    <definedName name="ClosureUnit" localSheetId="13" hidden="0" function="0" vbProcedure="0">#ref!</definedName>
    <definedName name="Clrmess" localSheetId="13" hidden="0" function="0" vbProcedure="0">[120]!Clrmess</definedName>
    <definedName name="CO2_" localSheetId="13" hidden="0" function="0" vbProcedure="0">'[94]Job Technical Info'!$L$42</definedName>
    <definedName name="Code" localSheetId="13" hidden="0" function="0" vbProcedure="0">#ref!</definedName>
    <definedName name="CODETAB" localSheetId="13" hidden="0" function="0" vbProcedure="0">#ref!</definedName>
    <definedName name="coections" localSheetId="13" hidden="0" function="0" vbProcedure="0">DATA!coections</definedName>
    <definedName name="Col10_Name" localSheetId="13" hidden="0" function="0" vbProcedure="0">#ref!</definedName>
    <definedName name="Col10_Stat" localSheetId="13" hidden="0" function="0" vbProcedure="0">#ref!</definedName>
    <definedName name="Col10_Stat_Name" localSheetId="13" hidden="0" function="0" vbProcedure="0">#ref!</definedName>
    <definedName name="Col10_Unit" localSheetId="13" hidden="0" function="0" vbProcedure="0">#ref!</definedName>
    <definedName name="Col11_Name" localSheetId="13" hidden="0" function="0" vbProcedure="0">#ref!</definedName>
    <definedName name="Col11_Stat" localSheetId="13" hidden="0" function="0" vbProcedure="0">#ref!</definedName>
    <definedName name="Col11_Stat_Name" localSheetId="13" hidden="0" function="0" vbProcedure="0">#ref!</definedName>
    <definedName name="Col11_Unit" localSheetId="13" hidden="0" function="0" vbProcedure="0">#ref!</definedName>
    <definedName name="Col12_Name" localSheetId="13" hidden="0" function="0" vbProcedure="0">#ref!</definedName>
    <definedName name="Col12_Stat" localSheetId="13" hidden="0" function="0" vbProcedure="0">#ref!</definedName>
    <definedName name="Col12_Stat_Name" localSheetId="13" hidden="0" function="0" vbProcedure="0">#ref!</definedName>
    <definedName name="Col12_Unit" localSheetId="13" hidden="0" function="0" vbProcedure="0">#ref!</definedName>
    <definedName name="Col12_Unti" localSheetId="13" hidden="0" function="0" vbProcedure="0">#ref!</definedName>
    <definedName name="Col13_Name" localSheetId="13" hidden="0" function="0" vbProcedure="0">#ref!</definedName>
    <definedName name="Col13_Stat" localSheetId="13" hidden="0" function="0" vbProcedure="0">#ref!</definedName>
    <definedName name="Col13_Stat_Name" localSheetId="13" hidden="0" function="0" vbProcedure="0">#ref!</definedName>
    <definedName name="Col13_Unit" localSheetId="13" hidden="0" function="0" vbProcedure="0">#ref!</definedName>
    <definedName name="Col14_Name" localSheetId="13" hidden="0" function="0" vbProcedure="0">#ref!</definedName>
    <definedName name="Col14_Stat" localSheetId="13" hidden="0" function="0" vbProcedure="0">#ref!</definedName>
    <definedName name="Col14_Stat_Name" localSheetId="13" hidden="0" function="0" vbProcedure="0">#ref!</definedName>
    <definedName name="Col14_Unit" localSheetId="13" hidden="0" function="0" vbProcedure="0">#ref!</definedName>
    <definedName name="Col15_Name" localSheetId="13" hidden="0" function="0" vbProcedure="0">#ref!</definedName>
    <definedName name="Col15_Stat" localSheetId="13" hidden="0" function="0" vbProcedure="0">#ref!</definedName>
    <definedName name="Col15_Stat_Name" localSheetId="13" hidden="0" function="0" vbProcedure="0">#ref!</definedName>
    <definedName name="Col15_Unit" localSheetId="13" hidden="0" function="0" vbProcedure="0">#ref!</definedName>
    <definedName name="Col16_Name" localSheetId="13" hidden="0" function="0" vbProcedure="0">#ref!</definedName>
    <definedName name="Col16_Stat" localSheetId="13" hidden="0" function="0" vbProcedure="0">#ref!</definedName>
    <definedName name="Col16_Stat_Name" localSheetId="13" hidden="0" function="0" vbProcedure="0">#ref!</definedName>
    <definedName name="Col16_Unit" localSheetId="13" hidden="0" function="0" vbProcedure="0">#ref!</definedName>
    <definedName name="Col17_Name" localSheetId="13" hidden="0" function="0" vbProcedure="0">#ref!</definedName>
    <definedName name="Col17_Stat" localSheetId="13" hidden="0" function="0" vbProcedure="0">#ref!</definedName>
    <definedName name="Col17_Stat_Name" localSheetId="13" hidden="0" function="0" vbProcedure="0">#ref!</definedName>
    <definedName name="Col17_Unit" localSheetId="13" hidden="0" function="0" vbProcedure="0">#ref!</definedName>
    <definedName name="Col18_Name" localSheetId="13" hidden="0" function="0" vbProcedure="0">#ref!</definedName>
    <definedName name="Col18_Stat" localSheetId="13" hidden="0" function="0" vbProcedure="0">#ref!</definedName>
    <definedName name="Col18_Stat_Name" localSheetId="13" hidden="0" function="0" vbProcedure="0">#ref!</definedName>
    <definedName name="Col18_Unit" localSheetId="13" hidden="0" function="0" vbProcedure="0">#ref!</definedName>
    <definedName name="Col19_Name" localSheetId="13" hidden="0" function="0" vbProcedure="0">#ref!</definedName>
    <definedName name="Col19_Stat" localSheetId="13" hidden="0" function="0" vbProcedure="0">#ref!</definedName>
    <definedName name="Col19_Stat_Name" localSheetId="13" hidden="0" function="0" vbProcedure="0">#ref!</definedName>
    <definedName name="Col19_Unit" localSheetId="13" hidden="0" function="0" vbProcedure="0">#ref!</definedName>
    <definedName name="Col1_Name" localSheetId="13" hidden="0" function="0" vbProcedure="0">#ref!</definedName>
    <definedName name="Col1_Stat_Name" localSheetId="13" hidden="0" function="0" vbProcedure="0">#ref!</definedName>
    <definedName name="Col1_Unit" localSheetId="13" hidden="0" function="0" vbProcedure="0">#ref!</definedName>
    <definedName name="Col20_Name" localSheetId="13" hidden="0" function="0" vbProcedure="0">#ref!</definedName>
    <definedName name="Col20_Stat" localSheetId="13" hidden="0" function="0" vbProcedure="0">#ref!</definedName>
    <definedName name="Col20_Stat_Name" localSheetId="13" hidden="0" function="0" vbProcedure="0">#ref!</definedName>
    <definedName name="Col20_Unit" localSheetId="13" hidden="0" function="0" vbProcedure="0">#ref!</definedName>
    <definedName name="Col21_Name" localSheetId="13" hidden="0" function="0" vbProcedure="0">#ref!</definedName>
    <definedName name="Col21_Stat" localSheetId="13" hidden="0" function="0" vbProcedure="0">#ref!</definedName>
    <definedName name="Col21_Stat_Name" localSheetId="13" hidden="0" function="0" vbProcedure="0">#ref!</definedName>
    <definedName name="Col21_Unit" localSheetId="13" hidden="0" function="0" vbProcedure="0">#ref!</definedName>
    <definedName name="Col22_Name" localSheetId="13" hidden="0" function="0" vbProcedure="0">#ref!</definedName>
    <definedName name="Col22_Stat" localSheetId="13" hidden="0" function="0" vbProcedure="0">#ref!</definedName>
    <definedName name="Col22_Stat_Name" localSheetId="13" hidden="0" function="0" vbProcedure="0">#ref!</definedName>
    <definedName name="Col22_Unit" localSheetId="13" hidden="0" function="0" vbProcedure="0">#ref!</definedName>
    <definedName name="Col23_Name" localSheetId="13" hidden="0" function="0" vbProcedure="0">#ref!</definedName>
    <definedName name="Col23_Stat" localSheetId="13" hidden="0" function="0" vbProcedure="0">#ref!</definedName>
    <definedName name="Col23_Stat_Name" localSheetId="13" hidden="0" function="0" vbProcedure="0">#ref!</definedName>
    <definedName name="Col23_Unit" localSheetId="13" hidden="0" function="0" vbProcedure="0">#ref!</definedName>
    <definedName name="Col24_Name" localSheetId="13" hidden="0" function="0" vbProcedure="0">#ref!</definedName>
    <definedName name="Col24_Stat" localSheetId="13" hidden="0" function="0" vbProcedure="0">#ref!</definedName>
    <definedName name="Col24_Stat_Name" localSheetId="13" hidden="0" function="0" vbProcedure="0">#ref!</definedName>
    <definedName name="Col24_Unit" localSheetId="13" hidden="0" function="0" vbProcedure="0">#ref!</definedName>
    <definedName name="Col25_Name" localSheetId="13" hidden="0" function="0" vbProcedure="0">#ref!</definedName>
    <definedName name="Col25_Stat" localSheetId="13" hidden="0" function="0" vbProcedure="0">#ref!</definedName>
    <definedName name="Col25_Stat_Name" localSheetId="13" hidden="0" function="0" vbProcedure="0">#ref!</definedName>
    <definedName name="Col25_Unit" localSheetId="13" hidden="0" function="0" vbProcedure="0">#ref!</definedName>
    <definedName name="Col26_Name" localSheetId="13" hidden="0" function="0" vbProcedure="0">#ref!</definedName>
    <definedName name="Col26_Stat" localSheetId="13" hidden="0" function="0" vbProcedure="0">#ref!</definedName>
    <definedName name="Col26_Stat_Name" localSheetId="13" hidden="0" function="0" vbProcedure="0">#ref!</definedName>
    <definedName name="Col26_Unit" localSheetId="13" hidden="0" function="0" vbProcedure="0">#ref!</definedName>
    <definedName name="Col27_Name" localSheetId="13" hidden="0" function="0" vbProcedure="0">#ref!</definedName>
    <definedName name="Col27_Stat" localSheetId="13" hidden="0" function="0" vbProcedure="0">#ref!</definedName>
    <definedName name="Col27_Stat_Name" localSheetId="13" hidden="0" function="0" vbProcedure="0">#ref!</definedName>
    <definedName name="Col27_Unit" localSheetId="13" hidden="0" function="0" vbProcedure="0">#ref!</definedName>
    <definedName name="Col28_Name" localSheetId="13" hidden="0" function="0" vbProcedure="0">#ref!</definedName>
    <definedName name="Col28_Stat" localSheetId="13" hidden="0" function="0" vbProcedure="0">#ref!</definedName>
    <definedName name="Col28_Stat_Name" localSheetId="13" hidden="0" function="0" vbProcedure="0">#ref!</definedName>
    <definedName name="Col28_Unit" localSheetId="13" hidden="0" function="0" vbProcedure="0">#ref!</definedName>
    <definedName name="Col29_Name" localSheetId="13" hidden="0" function="0" vbProcedure="0">#ref!</definedName>
    <definedName name="Col29_Stat" localSheetId="13" hidden="0" function="0" vbProcedure="0">#ref!</definedName>
    <definedName name="Col29_Stat_Name" localSheetId="13" hidden="0" function="0" vbProcedure="0">#ref!</definedName>
    <definedName name="Col29_Unit" localSheetId="13" hidden="0" function="0" vbProcedure="0">#ref!</definedName>
    <definedName name="Col2_Name" localSheetId="13" hidden="0" function="0" vbProcedure="0">#ref!</definedName>
    <definedName name="Col2_Stat" localSheetId="13" hidden="0" function="0" vbProcedure="0">#ref!</definedName>
    <definedName name="Col2_Stat_Name" localSheetId="13" hidden="0" function="0" vbProcedure="0">#ref!</definedName>
    <definedName name="Col2_Unit" localSheetId="13" hidden="0" function="0" vbProcedure="0">#ref!</definedName>
    <definedName name="Col30_Name" localSheetId="13" hidden="0" function="0" vbProcedure="0">#ref!</definedName>
    <definedName name="Col30_Stat" localSheetId="13" hidden="0" function="0" vbProcedure="0">#ref!</definedName>
    <definedName name="Col30_Stat_Name" localSheetId="13" hidden="0" function="0" vbProcedure="0">#ref!</definedName>
    <definedName name="Col30_Unit" localSheetId="13" hidden="0" function="0" vbProcedure="0">#ref!</definedName>
    <definedName name="Col3_Name" localSheetId="13" hidden="0" function="0" vbProcedure="0">#ref!</definedName>
    <definedName name="Col3_Stat" localSheetId="13" hidden="0" function="0" vbProcedure="0">#ref!</definedName>
    <definedName name="Col3_Stat_Name" localSheetId="13" hidden="0" function="0" vbProcedure="0">#ref!</definedName>
    <definedName name="Col3_Unit" localSheetId="13" hidden="0" function="0" vbProcedure="0">#ref!</definedName>
    <definedName name="Col4_Name" localSheetId="13" hidden="0" function="0" vbProcedure="0">#ref!</definedName>
    <definedName name="Col4_Stat" localSheetId="13" hidden="0" function="0" vbProcedure="0">#ref!</definedName>
    <definedName name="Col4_Stat_Name" localSheetId="13" hidden="0" function="0" vbProcedure="0">#ref!</definedName>
    <definedName name="Col4_Unit" localSheetId="13" hidden="0" function="0" vbProcedure="0">#ref!</definedName>
    <definedName name="Col5_Name" localSheetId="13" hidden="0" function="0" vbProcedure="0">#ref!</definedName>
    <definedName name="Col5_Stat" localSheetId="13" hidden="0" function="0" vbProcedure="0">#ref!</definedName>
    <definedName name="Col5_Stat_Name" localSheetId="13" hidden="0" function="0" vbProcedure="0">#ref!</definedName>
    <definedName name="Col5_Unit" localSheetId="13" hidden="0" function="0" vbProcedure="0">#ref!</definedName>
    <definedName name="Col6_Name" localSheetId="13" hidden="0" function="0" vbProcedure="0">#ref!</definedName>
    <definedName name="Col6_Stat" localSheetId="13" hidden="0" function="0" vbProcedure="0">#ref!</definedName>
    <definedName name="Col6_Stat_Name" localSheetId="13" hidden="0" function="0" vbProcedure="0">#ref!</definedName>
    <definedName name="Col6_Unit" localSheetId="13" hidden="0" function="0" vbProcedure="0">#ref!</definedName>
    <definedName name="Col7_Name" localSheetId="13" hidden="0" function="0" vbProcedure="0">#ref!</definedName>
    <definedName name="Col7_Stat" localSheetId="13" hidden="0" function="0" vbProcedure="0">#ref!</definedName>
    <definedName name="Col7_Stat_Name" localSheetId="13" hidden="0" function="0" vbProcedure="0">#ref!</definedName>
    <definedName name="Col7_Unit" localSheetId="13" hidden="0" function="0" vbProcedure="0">#ref!</definedName>
    <definedName name="Col8_Name" localSheetId="13" hidden="0" function="0" vbProcedure="0">#ref!</definedName>
    <definedName name="Col8_Stat" localSheetId="13" hidden="0" function="0" vbProcedure="0">#ref!</definedName>
    <definedName name="Col8_Stat_Name" localSheetId="13" hidden="0" function="0" vbProcedure="0">#ref!</definedName>
    <definedName name="Col8_Unit" localSheetId="13" hidden="0" function="0" vbProcedure="0">#ref!</definedName>
    <definedName name="Col9_Name" localSheetId="13" hidden="0" function="0" vbProcedure="0">#ref!</definedName>
    <definedName name="Col9_Stat" localSheetId="13" hidden="0" function="0" vbProcedure="0">#ref!</definedName>
    <definedName name="Col9_Stat_Name" localSheetId="13" hidden="0" function="0" vbProcedure="0">#ref!</definedName>
    <definedName name="Col9_Unit" localSheetId="13" hidden="0" function="0" vbProcedure="0">#ref!</definedName>
    <definedName name="Collapsedb" localSheetId="13" hidden="0" function="0" vbProcedure="0">#ref!</definedName>
    <definedName name="Collapseslb" localSheetId="13" hidden="0" function="0" vbProcedure="0">#ref!</definedName>
    <definedName name="Collapsestring" localSheetId="13" hidden="0" function="0" vbProcedure="0">#ref!</definedName>
    <definedName name="Colordb" localSheetId="13" hidden="0" function="0" vbProcedure="0">#ref!</definedName>
    <definedName name="Colorslb" localSheetId="13" hidden="0" function="0" vbProcedure="0">#ref!</definedName>
    <definedName name="Col_16" localSheetId="13" hidden="0" function="0" vbProcedure="0">#ref!</definedName>
    <definedName name="ComDetails" localSheetId="13" hidden="0" function="0" vbProcedure="0">#ref!</definedName>
    <definedName name="ComLOg" localSheetId="13" hidden="0" function="0" vbProcedure="0">#ref!</definedName>
    <definedName name="CommentColumn" localSheetId="13" hidden="0" function="0" vbProcedure="0">!#ref!</definedName>
    <definedName name="CommSchemes" localSheetId="13" hidden="0" function="0" vbProcedure="0">#ref!</definedName>
    <definedName name="COMP" localSheetId="13" hidden="0" function="0" vbProcedure="0">#ref!</definedName>
    <definedName name="Companies" localSheetId="13" hidden="0" function="0" vbProcedure="0">#ref!</definedName>
    <definedName name="company" localSheetId="13" hidden="0" function="0" vbProcedure="0">'[40]CPS Call Sheet'!$E$4</definedName>
    <definedName name="Company_Man" localSheetId="13" hidden="0" function="0" vbProcedure="0">'[62]Liner Job Info'!$E$7</definedName>
    <definedName name="Company_Name" localSheetId="13" hidden="0" function="0" vbProcedure="0">'[123]Liner Job Info'!$E$4</definedName>
    <definedName name="compfluidwt" localSheetId="13" hidden="0" function="0" vbProcedure="0">'[113]#REF'!$L$27</definedName>
    <definedName name="Compl._Fluid_Type" localSheetId="13" hidden="0" function="0" vbProcedure="0">'[108]Pre-Job Info Sheet'!$D$32</definedName>
    <definedName name="Compl._Fluid_Wt." localSheetId="13" hidden="0" function="0" vbProcedure="0">'[108]Pre-Job Info Sheet'!$D$33</definedName>
    <definedName name="COMPL_FL_VOL" localSheetId="13" hidden="0" function="0" vbProcedure="0">'[113]#REF'!$F$68</definedName>
    <definedName name="COMPL_FL_WT" localSheetId="13" hidden="0" function="0" vbProcedure="0">'[113]#REF'!$K$27</definedName>
    <definedName name="ComponentTable" localSheetId="13" hidden="0" function="0" vbProcedure="0">#ref!</definedName>
    <definedName name="ComponentTableHeader" localSheetId="13" hidden="0" function="0" vbProcedure="0">#ref!</definedName>
    <definedName name="Compressionaldb" localSheetId="13" hidden="0" function="0" vbProcedure="0">#ref!</definedName>
    <definedName name="Compressionalslb" localSheetId="13" hidden="0" function="0" vbProcedure="0">#ref!</definedName>
    <definedName name="Compressionstring" localSheetId="13" hidden="0" function="0" vbProcedure="0">#ref!</definedName>
    <definedName name="conections" localSheetId="13" hidden="0" function="0" vbProcedure="0">DATA!conections</definedName>
    <definedName name="Conflict1" localSheetId="13" hidden="1" function="0" vbProcedure="0">{#N/A,#N/A,FALSE,"Drlg Param Run 1-1";#N/A,#N/A,FALSE,"DDR (3)";#N/A,#N/A,FALSE,"BHA AT (1)";#N/A,#N/A,FALSE,"Downlinkbha";#N/A,#N/A,FALSE,"Job Status Report"}</definedName>
    <definedName name="conical" localSheetId="13" hidden="0" function="0" vbProcedure="0">#ref!</definedName>
    <definedName name="ConnAll" localSheetId="13" hidden="0" function="0" vbProcedure="0">#ref!</definedName>
    <definedName name="ConnDn" localSheetId="13" hidden="0" function="0" vbProcedure="0">#ref!</definedName>
    <definedName name="Connect" localSheetId="13" hidden="0" function="0" vbProcedure="0">#ref!</definedName>
    <definedName name="ConnectionHeader" localSheetId="13" hidden="0" function="0" vbProcedure="0">#ref!</definedName>
    <definedName name="ConnectionUnits" localSheetId="13" hidden="0" function="0" vbProcedure="0">#ref!</definedName>
    <definedName name="ConnUp" localSheetId="13" hidden="0" function="0" vbProcedure="0">#ref!</definedName>
    <definedName name="conref" localSheetId="13" hidden="0" function="0" vbProcedure="0">[124]Price!$A$1:$A$65536</definedName>
    <definedName name="consequence" localSheetId="13" hidden="0" function="0" vbProcedure="0">[125]Sheet2!$A$1:$A$5</definedName>
    <definedName name="Consolidation" localSheetId="13" hidden="0" function="0" vbProcedure="0">[63]auf_screen!#ref!,[63]auf_screen!#ref!,[63]auf_screen!#ref!,[63]auf_screen!#ref!,[63]auf_screen!#ref!,[63]auf_screen!#ref!,[63]auf_screen!#ref!,[63]auf_screen!#ref!,[63]auf_screen!#ref!</definedName>
    <definedName name="Consolisdation" localSheetId="13" hidden="0" function="0" vbProcedure="0">[63]auf_screen!#ref!,[63]auf_screen!#ref!,[63]auf_screen!#ref!,[63]auf_screen!#ref!,[63]auf_screen!#ref!,[63]auf_screen!#ref!,[63]auf_screen!#ref!,[63]auf_screen!#ref!,[63]auf_screen!#ref!,[63]auf_screen!#ref!</definedName>
    <definedName name="Contraction" localSheetId="13" hidden="0" function="0" vbProcedure="0">#ref!</definedName>
    <definedName name="contractnum" localSheetId="13" hidden="0" function="0" vbProcedure="0">'[33]data '!#ref!</definedName>
    <definedName name="CoordinateReference" localSheetId="13" hidden="0" function="0" vbProcedure="0">#ref!</definedName>
    <definedName name="CoordinateSystem" localSheetId="13" hidden="0" function="0" vbProcedure="0">#ref!</definedName>
    <definedName name="Coordinator" localSheetId="13" hidden="0" function="0" vbProcedure="0">'[94]Job Technical Info'!$G$10</definedName>
    <definedName name="COPYDESGN" localSheetId="13" hidden="0" function="0" vbProcedure="0">[58]!COPYDESGN</definedName>
    <definedName name="CoRep" localSheetId="13" hidden="0" function="0" vbProcedure="0">'[94]Job Technical Info'!$C$16</definedName>
    <definedName name="corrlist2" localSheetId="13" hidden="0" function="0" vbProcedure="0">OFFSET(INDIRECT(ADDRESS(MATCH(Hsize2,DATA!Objects,0)+1,2,,,"Casing Info")),0,1,COUNTIF(DATA!Objects,[133]!liner1_od),1)</definedName>
    <definedName name="corrlist4" localSheetId="13" hidden="0" function="0" vbProcedure="0">OFFSET(INDIRECT(ADDRESS(MATCH(DATA!Hanger_Size,DATA!Objects,0)+1,2,,,"Casing Info")),0,1,COUNTIF(DATA!Objects, DATA!Hanger_Size),1)</definedName>
    <definedName name="Hanger_Size" localSheetId="13" hidden="0" function="0" vbProcedure="0">'[11]Database Pg1'!$G$79</definedName>
    <definedName name="COUNTRY" localSheetId="13" hidden="0" function="0" vbProcedure="0">'[127]Master data'!$A$2:$A$239</definedName>
    <definedName name="county" localSheetId="13" hidden="0" function="0" vbProcedure="0">'[40]CPS Call Sheet'!$P$7</definedName>
    <definedName name="Coupls" localSheetId="13" hidden="0" function="0" vbProcedure="0">#ref!</definedName>
    <definedName name="Crack_DH" localSheetId="13" hidden="0" function="0" vbProcedure="0">'[108]Tester Valve Calcs'!$F$31</definedName>
    <definedName name="Crack_Press" localSheetId="13" hidden="0" function="0" vbProcedure="0">'[108]Tester Valve Calcs'!$F$13</definedName>
    <definedName name="Created" localSheetId="13" hidden="0" function="0" vbProcedure="0">[63]auf_screen!#ref!</definedName>
    <definedName name="CreateDate" localSheetId="13" hidden="0" function="0" vbProcedure="0">#ref!</definedName>
    <definedName name="CreatedBy" localSheetId="13" hidden="0" function="0" vbProcedure="0">#ref!</definedName>
    <definedName name="Created_By" localSheetId="13" hidden="0" function="0" vbProcedure="0">[63]auf_screen!#ref!</definedName>
    <definedName name="Critical" localSheetId="13" hidden="0" function="0" vbProcedure="0">#ref!</definedName>
    <definedName name="crs" localSheetId="13" hidden="0" function="0" vbProcedure="0">[128]RSS!$E$199:$E$205</definedName>
    <definedName name="CRS_FLOAT_VALVE" localSheetId="13" hidden="0" function="0" vbProcedure="0">[129]RSS!$O$177:$O$180</definedName>
    <definedName name="CRS_FLOW_KIT" localSheetId="13" hidden="0" function="0" vbProcedure="0">[129]RSS!$E$181:$E$184</definedName>
    <definedName name="CRS_STAB" localSheetId="13" hidden="0" function="0" vbProcedure="0">[129]RSS!$E$191:$E$197</definedName>
    <definedName name="Csg" localSheetId="13" hidden="0" function="0" vbProcedure="0">[6]Sheet1!$G$1:$G$3</definedName>
    <definedName name="Csg1a" localSheetId="13" hidden="0" function="0" vbProcedure="0">#ref!</definedName>
    <definedName name="Csg2a" localSheetId="13" hidden="0" function="0" vbProcedure="0">#ref!</definedName>
    <definedName name="Csg3a" localSheetId="13" hidden="0" function="0" vbProcedure="0">#ref!</definedName>
    <definedName name="CsgDrift1" localSheetId="13" hidden="0" function="0" vbProcedure="0">'[94]Job Technical Info'!$G$25</definedName>
    <definedName name="CsgDrift2" localSheetId="13" hidden="0" function="0" vbProcedure="0">'[94]Job Technical Info'!$G$26</definedName>
    <definedName name="CsgDrift3" localSheetId="13" hidden="0" function="0" vbProcedure="0">'[94]Job Technical Info'!$G$27</definedName>
    <definedName name="CsgDrift4" localSheetId="13" hidden="0" function="0" vbProcedure="0">'[94]Job Technical Info'!$G$28</definedName>
    <definedName name="CsgGrd1" localSheetId="13" hidden="0" function="0" vbProcedure="0">'[94]Job Technical Info'!$H$25</definedName>
    <definedName name="CsgGrd2" localSheetId="13" hidden="0" function="0" vbProcedure="0">'[94]Job Technical Info'!$H$26</definedName>
    <definedName name="CsgGrd3" localSheetId="13" hidden="0" function="0" vbProcedure="0">'[94]Job Technical Info'!$H$27</definedName>
    <definedName name="CsgGrd4" localSheetId="13" hidden="0" function="0" vbProcedure="0">'[94]Job Technical Info'!$H$28</definedName>
    <definedName name="CsgID1" localSheetId="13" hidden="0" function="0" vbProcedure="0">'[94]Job Technical Info'!$F$25</definedName>
    <definedName name="CsgID2" localSheetId="13" hidden="0" function="0" vbProcedure="0">'[94]Job Technical Info'!$F$26</definedName>
    <definedName name="CsgID3" localSheetId="13" hidden="0" function="0" vbProcedure="0">'[94]Job Technical Info'!$F$27</definedName>
    <definedName name="CsgID4" localSheetId="13" hidden="0" function="0" vbProcedure="0">'[94]Job Technical Info'!$F$28</definedName>
    <definedName name="CsgPt" localSheetId="13" hidden="0" function="0" vbProcedure="0">#ref!</definedName>
    <definedName name="CsgSelect" localSheetId="13" hidden="0" function="0" vbProcedure="0">#ref!</definedName>
    <definedName name="CsgSz1" localSheetId="13" hidden="0" function="0" vbProcedure="0">'[94]Job Technical Info'!$D$25</definedName>
    <definedName name="CsgSz2" localSheetId="13" hidden="0" function="0" vbProcedure="0">'[94]Job Technical Info'!$D$26</definedName>
    <definedName name="CsgSz3" localSheetId="13" hidden="0" function="0" vbProcedure="0">'[94]Job Technical Info'!$D$27</definedName>
    <definedName name="CsgSz4" localSheetId="13" hidden="0" function="0" vbProcedure="0">'[94]Job Technical Info'!$D$28</definedName>
    <definedName name="CsgThd1" localSheetId="13" hidden="0" function="0" vbProcedure="0">'[94]Job Technical Info'!$J$25</definedName>
    <definedName name="CsgThd2" localSheetId="13" hidden="0" function="0" vbProcedure="0">'[94]Job Technical Info'!$J$26</definedName>
    <definedName name="CsgThd3" localSheetId="13" hidden="0" function="0" vbProcedure="0">'[94]Job Technical Info'!$J$27</definedName>
    <definedName name="CsgThd4" localSheetId="13" hidden="0" function="0" vbProcedure="0">'[94]Job Technical Info'!$J$28</definedName>
    <definedName name="CsgWt" localSheetId="13" hidden="0" function="0" vbProcedure="0">[6]Sheet1!$H$1:$H$10</definedName>
    <definedName name="CsgWt1" localSheetId="13" hidden="0" function="0" vbProcedure="0">'[94]Job Technical Info'!$E$25</definedName>
    <definedName name="CsgWt2" localSheetId="13" hidden="0" function="0" vbProcedure="0">'[94]Job Technical Info'!$E$26</definedName>
    <definedName name="CsgWt3" localSheetId="13" hidden="0" function="0" vbProcedure="0">'[94]Job Technical Info'!$E$27</definedName>
    <definedName name="CsgWt4" localSheetId="13" hidden="0" function="0" vbProcedure="0">'[94]Job Technical Info'!$E$28</definedName>
    <definedName name="Csg_Bst" localSheetId="13" hidden="0" function="0" vbProcedure="0">'[11]Metric Conversions'!$B$43</definedName>
    <definedName name="Csg_Dft" localSheetId="13" hidden="0" function="0" vbProcedure="0">'[11]Liner Job Info'!$L$14</definedName>
    <definedName name="CSG_DPTH" localSheetId="13" hidden="0" function="0" vbProcedure="0">'[130]Metric Conversions'!$B$15</definedName>
    <definedName name="CSG_Grd" localSheetId="13" hidden="0" function="0" vbProcedure="0">'[130]Liner Job Info'!$D$14</definedName>
    <definedName name="CSG_ID" localSheetId="13" hidden="0" function="0" vbProcedure="0">'[11]Liner Job Info'!$B$14</definedName>
    <definedName name="CSG_ID_Area" localSheetId="13" hidden="0" function="0" vbProcedure="0">[11]Test!$Z$39</definedName>
    <definedName name="CSG_MYS" localSheetId="13" hidden="0" function="0" vbProcedure="0">[57]DATA!$J$3:$J$22</definedName>
    <definedName name="CSG_OD" localSheetId="13" hidden="0" function="0" vbProcedure="0">'[130]Liner Job Info'!$A$14</definedName>
    <definedName name="CSG_Thread" localSheetId="13" hidden="0" function="0" vbProcedure="0">'[130]Liner Job Info'!$E$14</definedName>
    <definedName name="Csg_Wt" localSheetId="13" hidden="0" function="0" vbProcedure="0">'[130]Liner Job Info'!$C$14</definedName>
    <definedName name="cslipjoint" localSheetId="13" hidden="0" function="0" vbProcedure="0">#ref!</definedName>
    <definedName name="CSR" localSheetId="13" hidden="0" function="0" vbProcedure="0">#ref!</definedName>
    <definedName name="CsShoeDepth" localSheetId="13" hidden="0" function="0" vbProcedure="0">'[94]Job Technical Info'!$F$40</definedName>
    <definedName name="CU.FT." localSheetId="13" hidden="0" function="0" vbProcedure="0">'[113]#REF'!$E$23</definedName>
    <definedName name="CumLengthUnits" localSheetId="13" hidden="0" function="0" vbProcedure="0">#ref!</definedName>
    <definedName name="CumP1a" localSheetId="13" hidden="0" function="0" vbProcedure="0">#ref!</definedName>
    <definedName name="CumP1b" localSheetId="13" hidden="0" function="0" vbProcedure="0">#ref!</definedName>
    <definedName name="CumP1c" localSheetId="13" hidden="0" function="0" vbProcedure="0">#ref!</definedName>
    <definedName name="CumP1d" localSheetId="13" hidden="0" function="0" vbProcedure="0">#ref!</definedName>
    <definedName name="CumP1e" localSheetId="13" hidden="0" function="0" vbProcedure="0">#ref!</definedName>
    <definedName name="CumS1a" localSheetId="13" hidden="0" function="0" vbProcedure="0">#ref!</definedName>
    <definedName name="CumS1b" localSheetId="13" hidden="0" function="0" vbProcedure="0">#ref!</definedName>
    <definedName name="CumS1c" localSheetId="13" hidden="0" function="0" vbProcedure="0">#ref!</definedName>
    <definedName name="CumS1d" localSheetId="13" hidden="0" function="0" vbProcedure="0">#ref!</definedName>
    <definedName name="CumS1e" localSheetId="13" hidden="0" function="0" vbProcedure="0">#ref!</definedName>
    <definedName name="CumWeightUnits" localSheetId="13" hidden="0" function="0" vbProcedure="0">#ref!</definedName>
    <definedName name="currency" localSheetId="13" hidden="0" function="0" vbProcedure="0">[57]data!#ref!</definedName>
    <definedName name="CusCV" localSheetId="13" hidden="0" function="0" vbProcedure="0">#ref!</definedName>
    <definedName name="CusFBot1" localSheetId="13" hidden="0" function="0" vbProcedure="0">#ref!</definedName>
    <definedName name="CusFBot2" localSheetId="13" hidden="0" function="0" vbProcedure="0">#ref!</definedName>
    <definedName name="CusFBot3" localSheetId="13" hidden="0" function="0" vbProcedure="0">#ref!</definedName>
    <definedName name="CusFBot4" localSheetId="13" hidden="0" function="0" vbProcedure="0">#ref!</definedName>
    <definedName name="CusFTop1" localSheetId="13" hidden="0" function="0" vbProcedure="0">#ref!</definedName>
    <definedName name="CusFTop2" localSheetId="13" hidden="0" function="0" vbProcedure="0">#ref!</definedName>
    <definedName name="CusFTop3" localSheetId="13" hidden="0" function="0" vbProcedure="0">#ref!</definedName>
    <definedName name="CusFTop4" localSheetId="13" hidden="0" function="0" vbProcedure="0">#ref!</definedName>
    <definedName name="CusFW1" localSheetId="13" hidden="0" function="0" vbProcedure="0">#ref!</definedName>
    <definedName name="CusFW2" localSheetId="13" hidden="0" function="0" vbProcedure="0">#ref!</definedName>
    <definedName name="CusFW3" localSheetId="13" hidden="0" function="0" vbProcedure="0">#ref!</definedName>
    <definedName name="CusFW4" localSheetId="13" hidden="0" function="0" vbProcedure="0">#ref!</definedName>
    <definedName name="CushionHW" localSheetId="13" hidden="0" function="0" vbProcedure="0">#ref!</definedName>
    <definedName name="CusJar" localSheetId="13" hidden="0" function="0" vbProcedure="0">#ref!</definedName>
    <definedName name="CusPsk" localSheetId="13" hidden="0" function="0" vbProcedure="0">#ref!</definedName>
    <definedName name="CusPTV" localSheetId="13" hidden="0" function="0" vbProcedure="0">#ref!</definedName>
    <definedName name="CusRT" localSheetId="13" hidden="0" function="0" vbProcedure="0">#ref!</definedName>
    <definedName name="CusRV" localSheetId="13" hidden="0" function="0" vbProcedure="0">#ref!</definedName>
    <definedName name="CusSLPJ" localSheetId="13" hidden="0" function="0" vbProcedure="0">#ref!</definedName>
    <definedName name="Customer" localSheetId="13" hidden="0" function="0" vbProcedure="0">'[94]Job Technical Info'!$C$12</definedName>
    <definedName name="customer1" localSheetId="13" hidden="0" function="0" vbProcedure="0">[183]Data!$A$1:$A$65536</definedName>
    <definedName name="Customer2" localSheetId="13" hidden="0" function="0" vbProcedure="0">[183]Data!$B$1:$B$65536</definedName>
    <definedName name="CustomerName" localSheetId="13" hidden="0" function="0" vbProcedure="0">'[144]job info sheet'!#ref!</definedName>
    <definedName name="customerrep" localSheetId="13" hidden="0" function="0" vbProcedure="0">'[113]#REF'!$E$6</definedName>
    <definedName name="CusTV" localSheetId="13" hidden="0" function="0" vbProcedure="0">#ref!</definedName>
    <definedName name="CV" localSheetId="13" hidden="0" function="0" vbProcedure="0">#ref!</definedName>
    <definedName name="CVDepth" localSheetId="13" hidden="0" function="0" vbProcedure="0">#ref!</definedName>
    <definedName name="Cyl_Yield" localSheetId="13" hidden="0" function="0" vbProcedure="0">'[49]liner job info'!#ref!</definedName>
    <definedName name="C_" localSheetId="13" hidden="0" function="0" vbProcedure="0">#ref!</definedName>
    <definedName name="d" localSheetId="13" hidden="0" function="0" vbProcedure="0">'[2]run sheet'!#ref!</definedName>
    <definedName name="DAADA" localSheetId="13" hidden="0" function="0" vbProcedure="0">[118]!Calculate_Pipe</definedName>
    <definedName name="DAD" localSheetId="13" hidden="0" function="0" vbProcedure="0">'[38]final tally '!dad</definedName>
    <definedName name="DADAA" localSheetId="13" hidden="0" function="0" vbProcedure="0">'[38]final tally '!dadaa</definedName>
    <definedName name="DAEFF" localSheetId="13" hidden="0" function="0" vbProcedure="0">'[38]final tally '!daeff</definedName>
    <definedName name="DAPage" localSheetId="13" hidden="0" function="0" vbProcedure="0">'[94]Data Acq. Results'!$S$5</definedName>
    <definedName name="DATA" localSheetId="13" hidden="0" function="0" vbProcedure="0">#ref!</definedName>
    <definedName name="data1" localSheetId="13" hidden="0" function="0" vbProcedure="0">#ref!</definedName>
    <definedName name="DataBaseName" localSheetId="13" hidden="0" function="0" vbProcedure="0">#ref!</definedName>
    <definedName name="DataPipe" localSheetId="13" hidden="0" function="0" vbProcedure="0">#ref!</definedName>
    <definedName name="DataRowCenterAlignDark" localSheetId="13" hidden="0" function="0" vbProcedure="0">#ref!</definedName>
    <definedName name="DataRowCenterAlignDarkItalics" localSheetId="13" hidden="0" function="0" vbProcedure="0">#ref!</definedName>
    <definedName name="DataRowCenterAlignLight" localSheetId="13" hidden="0" function="0" vbProcedure="0">#ref!</definedName>
    <definedName name="DataRowCenterAlignLightItalics" localSheetId="13" hidden="0" function="0" vbProcedure="0">#ref!</definedName>
    <definedName name="DataRowCrossCenterLight" localSheetId="13" hidden="0" function="0" vbProcedure="0">#ref!</definedName>
    <definedName name="DataRowLeftAlignDark" localSheetId="13" hidden="0" function="0" vbProcedure="0">#ref!</definedName>
    <definedName name="DataRowLeftAlignDarkItalics" localSheetId="13" hidden="0" function="0" vbProcedure="0">#ref!</definedName>
    <definedName name="DataRowLeftAlignLight" localSheetId="13" hidden="0" function="0" vbProcedure="0">#ref!</definedName>
    <definedName name="DataRowLeftAlignLightItalics" localSheetId="13" hidden="0" function="0" vbProcedure="0">#ref!</definedName>
    <definedName name="DataRowRightAlignDark" localSheetId="13" hidden="0" function="0" vbProcedure="0">#ref!</definedName>
    <definedName name="DataRowRightAlignDark0" localSheetId="13" hidden="0" function="0" vbProcedure="0">#ref!</definedName>
    <definedName name="DataRowRightAlignDark1" localSheetId="13" hidden="0" function="0" vbProcedure="0">#ref!</definedName>
    <definedName name="DataRowRightAlignDark10" localSheetId="13" hidden="0" function="0" vbProcedure="0">#ref!</definedName>
    <definedName name="DataRowRightAlignDark2" localSheetId="13" hidden="0" function="0" vbProcedure="0">#ref!</definedName>
    <definedName name="DataRowRightAlignDark3" localSheetId="13" hidden="0" function="0" vbProcedure="0">#ref!</definedName>
    <definedName name="DataRowRightAlignDark4" localSheetId="13" hidden="0" function="0" vbProcedure="0">#ref!</definedName>
    <definedName name="DataRowRightAlignDark5" localSheetId="13" hidden="0" function="0" vbProcedure="0">#ref!</definedName>
    <definedName name="DataRowRightAlignDark6" localSheetId="13" hidden="0" function="0" vbProcedure="0">#ref!</definedName>
    <definedName name="DataRowRightAlignDark7" localSheetId="13" hidden="0" function="0" vbProcedure="0">#ref!</definedName>
    <definedName name="DataRowRightAlignDark8" localSheetId="13" hidden="0" function="0" vbProcedure="0">#ref!</definedName>
    <definedName name="DataRowRightAlignDark9" localSheetId="13" hidden="0" function="0" vbProcedure="0">#ref!</definedName>
    <definedName name="DataRowRightAlignDarkItalics" localSheetId="13" hidden="0" function="0" vbProcedure="0">#ref!</definedName>
    <definedName name="DataRowRightAlignDarkItalics0" localSheetId="13" hidden="0" function="0" vbProcedure="0">#ref!</definedName>
    <definedName name="DataRowRightAlignDarkItalics1" localSheetId="13" hidden="0" function="0" vbProcedure="0">#ref!</definedName>
    <definedName name="DataRowRightAlignDarkItalics10" localSheetId="13" hidden="0" function="0" vbProcedure="0">#ref!</definedName>
    <definedName name="DataRowRightAlignDarkItalics2" localSheetId="13" hidden="0" function="0" vbProcedure="0">#ref!</definedName>
    <definedName name="DataRowRightAlignDarkItalics3" localSheetId="13" hidden="0" function="0" vbProcedure="0">#ref!</definedName>
    <definedName name="DataRowRightAlignDarkItalics4" localSheetId="13" hidden="0" function="0" vbProcedure="0">#ref!</definedName>
    <definedName name="DataRowRightAlignDarkItalics5" localSheetId="13" hidden="0" function="0" vbProcedure="0">#ref!</definedName>
    <definedName name="DataRowRightAlignDarkItalics6" localSheetId="13" hidden="0" function="0" vbProcedure="0">#ref!</definedName>
    <definedName name="DataRowRightAlignDarkItalics7" localSheetId="13" hidden="0" function="0" vbProcedure="0">#ref!</definedName>
    <definedName name="DataRowRightAlignDarkItalics8" localSheetId="13" hidden="0" function="0" vbProcedure="0">#ref!</definedName>
    <definedName name="DataRowRightAlignDarkItalics9" localSheetId="13" hidden="0" function="0" vbProcedure="0">#ref!</definedName>
    <definedName name="DataRowRightAlignLight" localSheetId="13" hidden="0" function="0" vbProcedure="0">#ref!</definedName>
    <definedName name="DataRowRightAlignLight0" localSheetId="13" hidden="0" function="0" vbProcedure="0">#ref!</definedName>
    <definedName name="DataRowRightAlignLight1" localSheetId="13" hidden="0" function="0" vbProcedure="0">#ref!</definedName>
    <definedName name="DataRowRightAlignLight10" localSheetId="13" hidden="0" function="0" vbProcedure="0">#ref!</definedName>
    <definedName name="DataRowRightAlignLight2" localSheetId="13" hidden="0" function="0" vbProcedure="0">#ref!</definedName>
    <definedName name="DataRowRightAlignLight3" localSheetId="13" hidden="0" function="0" vbProcedure="0">#ref!</definedName>
    <definedName name="DataRowRightAlignLight4" localSheetId="13" hidden="0" function="0" vbProcedure="0">#ref!</definedName>
    <definedName name="DataRowRightAlignLight5" localSheetId="13" hidden="0" function="0" vbProcedure="0">#ref!</definedName>
    <definedName name="DataRowRightAlignLight6" localSheetId="13" hidden="0" function="0" vbProcedure="0">#ref!</definedName>
    <definedName name="DataRowRightAlignLight7" localSheetId="13" hidden="0" function="0" vbProcedure="0">#ref!</definedName>
    <definedName name="DataRowRightAlignLight8" localSheetId="13" hidden="0" function="0" vbProcedure="0">#ref!</definedName>
    <definedName name="DataRowRightAlignLight9" localSheetId="13" hidden="0" function="0" vbProcedure="0">#ref!</definedName>
    <definedName name="DataRowRightAlignLightItalics" localSheetId="13" hidden="0" function="0" vbProcedure="0">#ref!</definedName>
    <definedName name="DataRowRightAlignLightItalics0" localSheetId="13" hidden="0" function="0" vbProcedure="0">#ref!</definedName>
    <definedName name="DataRowRightAlignLightItalics1" localSheetId="13" hidden="0" function="0" vbProcedure="0">#ref!</definedName>
    <definedName name="DataRowRightAlignLightItalics10" localSheetId="13" hidden="0" function="0" vbProcedure="0">#ref!</definedName>
    <definedName name="DataRowRightAlignLightItalics2" localSheetId="13" hidden="0" function="0" vbProcedure="0">#ref!</definedName>
    <definedName name="DataRowRightAlignLightItalics3" localSheetId="13" hidden="0" function="0" vbProcedure="0">#ref!</definedName>
    <definedName name="DataRowRightAlignLightItalics4" localSheetId="13" hidden="0" function="0" vbProcedure="0">#ref!</definedName>
    <definedName name="DataRowRightAlignLightItalics5" localSheetId="13" hidden="0" function="0" vbProcedure="0">#ref!</definedName>
    <definedName name="DataRowRightAlignLightItalics6" localSheetId="13" hidden="0" function="0" vbProcedure="0">#ref!</definedName>
    <definedName name="DataRowRightAlignLightItalics7" localSheetId="13" hidden="0" function="0" vbProcedure="0">#ref!</definedName>
    <definedName name="DataRowRightAlignLightItalics8" localSheetId="13" hidden="0" function="0" vbProcedure="0">#ref!</definedName>
    <definedName name="DataRowRightAlignLightItalics9" localSheetId="13" hidden="0" function="0" vbProcedure="0">#ref!</definedName>
    <definedName name="DataStart" localSheetId="13" hidden="0" function="0" vbProcedure="0">!#ref!</definedName>
    <definedName name="datatable" localSheetId="13" hidden="0" function="0" vbProcedure="0">#ref!</definedName>
    <definedName name="datatabledb" localSheetId="13" hidden="0" function="0" vbProcedure="0">#ref!</definedName>
    <definedName name="datatableslb" localSheetId="13" hidden="0" function="0" vbProcedure="0">#ref!</definedName>
    <definedName name="Data_Ranges" localSheetId="13" hidden="0" function="0" vbProcedure="0">[63]auf_screen!#ref!</definedName>
    <definedName name="Date" localSheetId="13" hidden="0" function="0" vbProcedure="0">#ref!</definedName>
    <definedName name="DateFd" localSheetId="13" hidden="0" function="0" vbProcedure="0">#ref!</definedName>
    <definedName name="DAVCO" localSheetId="13" hidden="0" function="0" vbProcedure="0">#ref!</definedName>
    <definedName name="daysoff" localSheetId="13" hidden="0" function="0" vbProcedure="0">#ref!</definedName>
    <definedName name="DC" localSheetId="13" hidden="0" function="0" vbProcedure="0">'[44]7-30-04'!$GO$7457</definedName>
    <definedName name="dcicbbls" localSheetId="13" hidden="0" function="0" vbProcedure="0">#ref!</definedName>
    <definedName name="dcohbbls" localSheetId="13" hidden="0" function="0" vbProcedure="0">#ref!</definedName>
    <definedName name="dcohft" localSheetId="13" hidden="0" function="0" vbProcedure="0">#ref!</definedName>
    <definedName name="dd" localSheetId="13" hidden="0" function="0" vbProcedure="0">null</definedName>
    <definedName name="Dd1_Name" localSheetId="13" hidden="0" function="0" vbProcedure="0">#ref!</definedName>
    <definedName name="Dd2_Name" localSheetId="13" hidden="0" function="0" vbProcedure="0">#ref!</definedName>
    <definedName name="dddd" localSheetId="13" hidden="0" function="0" vbProcedure="0">[148]试油成果记录!#ref!</definedName>
    <definedName name="decdhm" localSheetId="13" hidden="0" function="0" vbProcedure="0">'[133]Personal Expense Dec-95 (MH)'!$K$5</definedName>
    <definedName name="decdlr" localSheetId="13" hidden="0" function="0" vbProcedure="0">'[133]Personal Expense Dec-95 (MH)'!$H$5</definedName>
    <definedName name="decfrc" localSheetId="13" hidden="0" function="0" vbProcedure="0">'[133]Personal Expense Dec-95 (MH)'!$I$5</definedName>
    <definedName name="decpnd" localSheetId="13" hidden="0" function="0" vbProcedure="0">'[133]Personal Expense Dec-95 (MH)'!$G$5</definedName>
    <definedName name="decrl" localSheetId="13" hidden="0" function="0" vbProcedure="0">'[133]Personal Expense Dec-95 (MH)'!$J$5</definedName>
    <definedName name="decrup" localSheetId="13" hidden="0" function="0" vbProcedure="0">'[133]Personal Expense Dec-95 (MH)'!$L$5</definedName>
    <definedName name="decrupees" localSheetId="13" hidden="0" function="0" vbProcedure="0">'[133]Cash Expense December-95'!$H$6</definedName>
    <definedName name="Delay" localSheetId="13" hidden="0" function="0" vbProcedure="0">#ref!</definedName>
    <definedName name="DelayDual1" localSheetId="13" hidden="0" function="0" vbProcedure="0">#ref!</definedName>
    <definedName name="DelayDual2" localSheetId="13" hidden="0" function="0" vbProcedure="0">#ref!</definedName>
    <definedName name="deliveredto" localSheetId="13" hidden="0" function="0" vbProcedure="0">'[33]data '!#ref!</definedName>
    <definedName name="deliverto" localSheetId="13" hidden="0" function="0" vbProcedure="0">[57]data!#ref!</definedName>
    <definedName name="delma" localSheetId="13" hidden="0" function="0" vbProcedure="0">[151]!JointNumber</definedName>
    <definedName name="DEM" localSheetId="13" hidden="0" function="0" vbProcedure="0">[182]Reference!$F$2:$F$3</definedName>
    <definedName name="DENG" localSheetId="13" hidden="0" function="0" vbProcedure="0">[182]Reference!$B$2:$B$12</definedName>
    <definedName name="DepthIn" localSheetId="13" hidden="0" function="0" vbProcedure="0">#ref!</definedName>
    <definedName name="DepthInput" localSheetId="13" hidden="0" function="0" vbProcedure="0">#ref!</definedName>
    <definedName name="DepthInUnits" localSheetId="13" hidden="0" function="0" vbProcedure="0">#ref!</definedName>
    <definedName name="depthlblstring" localSheetId="13" hidden="0" function="0" vbProcedure="0">#ref!</definedName>
    <definedName name="DepthOut" localSheetId="13" hidden="0" function="0" vbProcedure="0">#ref!</definedName>
    <definedName name="DepthOutUnits" localSheetId="13" hidden="0" function="0" vbProcedure="0">#ref!</definedName>
    <definedName name="DepthRefString" localSheetId="13" hidden="0" function="0" vbProcedure="0">#ref!</definedName>
    <definedName name="DepthUnit" localSheetId="13" hidden="0" function="0" vbProcedure="0">#ref!</definedName>
    <definedName name="Depth_In" localSheetId="13" hidden="0" function="0" vbProcedure="0">#ref!</definedName>
    <definedName name="Depth_Out" localSheetId="13" hidden="0" function="0" vbProcedure="0">#ref!</definedName>
    <definedName name="DEPTH_TAGGED_PREPACK" localSheetId="13" hidden="0" function="0" vbProcedure="0">'[113]#REF'!$F$80</definedName>
    <definedName name="DEQ" localSheetId="13" hidden="0" function="0" vbProcedure="0">'[38]final tally '!deq</definedName>
    <definedName name="Description1db" localSheetId="13" hidden="0" function="0" vbProcedure="0">#ref!</definedName>
    <definedName name="Description1slb" localSheetId="13" hidden="0" function="0" vbProcedure="0">#ref!</definedName>
    <definedName name="Description2db" localSheetId="13" hidden="0" function="0" vbProcedure="0">#ref!</definedName>
    <definedName name="Description2slb" localSheetId="13" hidden="0" function="0" vbProcedure="0">#ref!</definedName>
    <definedName name="descriptionstring" localSheetId="13" hidden="0" function="0" vbProcedure="0">#ref!</definedName>
    <definedName name="designpressurelimitsstringlbl" localSheetId="13" hidden="0" function="0" vbProcedure="0">#ref!</definedName>
    <definedName name="designtempstringlbl" localSheetId="13" hidden="0" function="0" vbProcedure="0">#ref!</definedName>
    <definedName name="designtensilelimitsstringlbl" localSheetId="13" hidden="0" function="0" vbProcedure="0">#ref!</definedName>
    <definedName name="Desired_Set_Down" localSheetId="13" hidden="0" function="0" vbProcedure="0">'[108]Packer Calculation Sheet'!$G$47</definedName>
    <definedName name="Dev" localSheetId="13" hidden="0" function="0" vbProcedure="0">'[11]Liner Job Info'!$D$30</definedName>
    <definedName name="DevFd" localSheetId="13" hidden="0" function="0" vbProcedure="0">#ref!</definedName>
    <definedName name="DEVIATION" localSheetId="13" hidden="0" function="0" vbProcedure="0">'[113]#REF'!$F$24</definedName>
    <definedName name="DeviationFd" localSheetId="13" hidden="0" function="0" vbProcedure="0">#ref!</definedName>
    <definedName name="dftg" localSheetId="13" hidden="0" function="0" vbProcedure="0">'[134]井口装置示意图-4'!$E$1:$E$65536</definedName>
    <definedName name="DHT" localSheetId="13" hidden="0" function="0" vbProcedure="0">#ref!</definedName>
    <definedName name="DHWS_BB1373" localSheetId="13" hidden="1" function="0" vbProcedure="0">#ref!</definedName>
    <definedName name="DiameterConversion" localSheetId="13" hidden="0" function="0" vbProcedure="0">[94]Lists!$AD$3</definedName>
    <definedName name="DiamUnit" localSheetId="13" hidden="0" function="0" vbProcedure="0">#ref!</definedName>
    <definedName name="DIESEL" localSheetId="13" hidden="0" function="0" vbProcedure="0">#ref!</definedName>
    <definedName name="Diff_Across_Ball" localSheetId="13" hidden="0" function="0" vbProcedure="0">'[108]Tester Valve Calcs'!$F$30</definedName>
    <definedName name="DigitNumber" localSheetId="13" hidden="0" function="0" vbProcedure="0">#ref!</definedName>
    <definedName name="Digit_Time" localSheetId="13" hidden="0" function="0" vbProcedure="0">#ref!</definedName>
    <definedName name="DipAngle" localSheetId="13" hidden="0" function="0" vbProcedure="0">#ref!</definedName>
    <definedName name="Disp._Fluid_Type" localSheetId="13" hidden="0" function="0" vbProcedure="0">'[108]Pre-Job Info Sheet'!$D$37</definedName>
    <definedName name="Disp._Fluid_Weight" localSheetId="13" hidden="0" function="0" vbProcedure="0">'[108]Pre-Job Info Sheet'!$D$38</definedName>
    <definedName name="Displacement" localSheetId="13" hidden="0" function="0" vbProcedure="0">[11]DATA!$AJ$2:$AJ$12</definedName>
    <definedName name="DisplacementMethod" localSheetId="13" hidden="0" function="0" vbProcedure="0">[11]DATA!$AS$2:$AS$4</definedName>
    <definedName name="DisplayFormat" localSheetId="13" hidden="0" function="0" vbProcedure="0">#ref!</definedName>
    <definedName name="DispP1a" localSheetId="13" hidden="0" function="0" vbProcedure="0">#ref!</definedName>
    <definedName name="DispP1b" localSheetId="13" hidden="0" function="0" vbProcedure="0">#ref!</definedName>
    <definedName name="DispP1c" localSheetId="13" hidden="0" function="0" vbProcedure="0">#ref!</definedName>
    <definedName name="DispP1d" localSheetId="13" hidden="0" function="0" vbProcedure="0">#ref!</definedName>
    <definedName name="DispP1e" localSheetId="13" hidden="0" function="0" vbProcedure="0">#ref!</definedName>
    <definedName name="DispS1a" localSheetId="13" hidden="0" function="0" vbProcedure="0">#ref!</definedName>
    <definedName name="DispS1b" localSheetId="13" hidden="0" function="0" vbProcedure="0">#ref!</definedName>
    <definedName name="DispS1c" localSheetId="13" hidden="0" function="0" vbProcedure="0">#ref!</definedName>
    <definedName name="DispS1d" localSheetId="13" hidden="0" function="0" vbProcedure="0">#ref!</definedName>
    <definedName name="DispS1e" localSheetId="13" hidden="0" function="0" vbProcedure="0">#ref!</definedName>
    <definedName name="Disp_Fluid_Wt" localSheetId="13" hidden="0" function="0" vbProcedure="0">'[108]Job Calculation Sheet'!$D$30</definedName>
    <definedName name="District" localSheetId="13" hidden="0" function="0" vbProcedure="0">'[30]Liner Job Info'!$O$4</definedName>
    <definedName name="DistrictPh" localSheetId="13" hidden="0" function="0" vbProcedure="0">'[94]Job Technical Info'!$G$11</definedName>
    <definedName name="Districts" localSheetId="13" hidden="0" function="0" vbProcedure="0">[11]DATA!$A$6:$A$437</definedName>
    <definedName name="Dist_Orient_Mode_1" localSheetId="13" hidden="0" function="0" vbProcedure="0">#ref!</definedName>
    <definedName name="Dist_Orient_Mode_1_Name" localSheetId="13" hidden="0" function="0" vbProcedure="0">#ref!</definedName>
    <definedName name="Dist_Orient_Mode_2" localSheetId="13" hidden="0" function="0" vbProcedure="0">#ref!</definedName>
    <definedName name="Dist_Orient_Mode_2_Name" localSheetId="13" hidden="0" function="0" vbProcedure="0">#ref!</definedName>
    <definedName name="Dist_Rotating" localSheetId="13" hidden="0" function="0" vbProcedure="0">#ref!</definedName>
    <definedName name="Dist_Steering" localSheetId="13" hidden="0" function="0" vbProcedure="0">#ref!</definedName>
    <definedName name="diverterlbs" localSheetId="13" hidden="0" function="0" vbProcedure="0">[5]WTR!$G$59</definedName>
    <definedName name="DIV_MIX_RATIO" localSheetId="13" hidden="0" function="0" vbProcedure="0">'[113]#REF'!$K$55</definedName>
    <definedName name="dk" localSheetId="13" hidden="1" function="0" vbProcedure="0">#ref!</definedName>
    <definedName name="DL" localSheetId="13" hidden="0" function="0" vbProcedure="0">[107]Piston!$F$21</definedName>
    <definedName name="Dlead" localSheetId="13" hidden="0" function="0" vbProcedure="0">#ref!</definedName>
    <definedName name="DLR" localSheetId="13" hidden="0" function="0" vbProcedure="0">#ref!</definedName>
    <definedName name="DLS_Column" localSheetId="13" hidden="0" function="0" vbProcedure="0">!#ref!</definedName>
    <definedName name="DLS_CompMethod" localSheetId="13" hidden="0" function="0" vbProcedure="0">#ref!</definedName>
    <definedName name="DLS_Unit" localSheetId="13" hidden="0" function="0" vbProcedure="0">#ref!</definedName>
    <definedName name="Dmsl" localSheetId="13" hidden="0" function="0" vbProcedure="0">#ref!</definedName>
    <definedName name="do" localSheetId="13" hidden="0" function="0" vbProcedure="0">[151]!JointNumber</definedName>
    <definedName name="docNum" localSheetId="13" hidden="0" function="0" vbProcedure="0">[49]Revision_History!$G$6&amp;" "&amp;[49]Revision_History!$H$6</definedName>
    <definedName name="DocRev" localSheetId="13" hidden="0" function="0" vbProcedure="0">#ref!</definedName>
    <definedName name="DocTitle" localSheetId="13" hidden="0" function="0" vbProcedure="0">'[94]Job Technical Info'!$C$2</definedName>
    <definedName name="Doc_Rev" localSheetId="13" hidden="0" function="0" vbProcedure="0">'[30]Liner Job Info'!$A$2</definedName>
    <definedName name="DP1_Cap" localSheetId="13" hidden="0" function="0" vbProcedure="0">'[11]Liner Job Info'!$G$22</definedName>
    <definedName name="DP1_conn" localSheetId="13" hidden="0" function="0" vbProcedure="0">'[130]Liner Job Info'!$J$22</definedName>
    <definedName name="DP1_Grd" localSheetId="13" hidden="0" function="0" vbProcedure="0">'[130]Liner Job Info'!$F$22</definedName>
    <definedName name="DP1_ID" localSheetId="13" hidden="0" function="0" vbProcedure="0">'[11]Liner Job Info'!$E$22</definedName>
    <definedName name="DP1_Leng" localSheetId="13" hidden="0" function="0" vbProcedure="0">'[130]Metric Conversions'!$B$20</definedName>
    <definedName name="DP1_MYS" localSheetId="13" hidden="0" function="0" vbProcedure="0">'[11]Liner Job Info'!$AD$31</definedName>
    <definedName name="DP1_OD" localSheetId="13" hidden="0" function="0" vbProcedure="0">'[130]Liner Job Info'!$C$22</definedName>
    <definedName name="DP1_Tens" localSheetId="13" hidden="0" function="0" vbProcedure="0">'[11]Liner Job Info'!$M$22</definedName>
    <definedName name="DP1_Wt_inmud" localSheetId="13" hidden="0" function="0" vbProcedure="0">'[11]Weight Calculations'!$H$8</definedName>
    <definedName name="DP1_Wt_Per_Ft" localSheetId="13" hidden="0" function="0" vbProcedure="0">'[130]Liner Job Info'!$D$22</definedName>
    <definedName name="DP2_Cap" localSheetId="13" hidden="0" function="0" vbProcedure="0">'[11]Liner Job Info'!$G$23</definedName>
    <definedName name="DP2_conn" localSheetId="13" hidden="0" function="0" vbProcedure="0">'[130]Liner Job Info'!$J$23</definedName>
    <definedName name="DP2_Cross_Sect" localSheetId="13" hidden="0" function="0" vbProcedure="0">'[49]liner job info'!#ref!</definedName>
    <definedName name="DP2_Grd" localSheetId="13" hidden="0" function="0" vbProcedure="0">'[130]Liner Job Info'!$F$23</definedName>
    <definedName name="DP2_ID" localSheetId="13" hidden="0" function="0" vbProcedure="0">'[11]Liner Job Info'!$E$23</definedName>
    <definedName name="DP2_Leng" localSheetId="13" hidden="0" function="0" vbProcedure="0">'[130]Metric Conversions'!$B$21</definedName>
    <definedName name="DP2_MYS" localSheetId="13" hidden="0" function="0" vbProcedure="0">'[11]Liner Job Info'!$AD$32</definedName>
    <definedName name="DP2_OD" localSheetId="13" hidden="0" function="0" vbProcedure="0">'[130]Liner Job Info'!$C$23</definedName>
    <definedName name="DP2_Tens" localSheetId="13" hidden="0" function="0" vbProcedure="0">'[11]Liner Job Info'!$M$23</definedName>
    <definedName name="DP2_Wt_inmud" localSheetId="13" hidden="0" function="0" vbProcedure="0">'[11]Weight Calculations'!$H$9</definedName>
    <definedName name="DP2_Wt_Per_Ft" localSheetId="13" hidden="0" function="0" vbProcedure="0">'[130]Liner Job Info'!$D$23</definedName>
    <definedName name="DP3_bbl_per_ft" localSheetId="13" hidden="0" function="0" vbProcedure="0">'[49]liner job info'!#ref!</definedName>
    <definedName name="DP3_Cap" localSheetId="13" hidden="0" function="0" vbProcedure="0">'[11]Liner Job Info'!$G$24</definedName>
    <definedName name="DP3_COnn" localSheetId="13" hidden="0" function="0" vbProcedure="0">'[130]Liner Job Info'!$J$24</definedName>
    <definedName name="DP3_Grd" localSheetId="13" hidden="0" function="0" vbProcedure="0">'[130]Liner Job Info'!$F$24</definedName>
    <definedName name="DP3_ID" localSheetId="13" hidden="0" function="0" vbProcedure="0">'[11]Liner Job Info'!$E$24</definedName>
    <definedName name="DP3_Leng" localSheetId="13" hidden="0" function="0" vbProcedure="0">'[130]Metric Conversions'!$B$22</definedName>
    <definedName name="DP3_MYS" localSheetId="13" hidden="0" function="0" vbProcedure="0">'[11]Liner Job Info'!$AD$33</definedName>
    <definedName name="DP3_OD" localSheetId="13" hidden="0" function="0" vbProcedure="0">'[130]Liner Job Info'!$C$24</definedName>
    <definedName name="DP3_Tens" localSheetId="13" hidden="0" function="0" vbProcedure="0">'[11]Liner Job Info'!$M$24</definedName>
    <definedName name="DP3_Wt_inmud" localSheetId="13" hidden="0" function="0" vbProcedure="0">'[11]Weight Calculations'!$H$10</definedName>
    <definedName name="DP3_Wt_Per_Ft" localSheetId="13" hidden="0" function="0" vbProcedure="0">'[130]Liner Job Info'!$D$24</definedName>
    <definedName name="DP4_Cap" localSheetId="13" hidden="0" function="0" vbProcedure="0">'[11]Liner Job Info'!$G$25</definedName>
    <definedName name="DP4_COnn" localSheetId="13" hidden="0" function="0" vbProcedure="0">'[130]Liner Job Info'!$J$25</definedName>
    <definedName name="DP4_Grd" localSheetId="13" hidden="0" function="0" vbProcedure="0">'[130]Liner Job Info'!$F$25</definedName>
    <definedName name="DP4_ID" localSheetId="13" hidden="0" function="0" vbProcedure="0">'[11]Liner Job Info'!$E$25</definedName>
    <definedName name="DP4_Leng" localSheetId="13" hidden="0" function="0" vbProcedure="0">'[130]Metric Conversions'!$B$23</definedName>
    <definedName name="DP4_MYS" localSheetId="13" hidden="0" function="0" vbProcedure="0">'[11]Liner Job Info'!$AD$34</definedName>
    <definedName name="DP4_OD" localSheetId="13" hidden="0" function="0" vbProcedure="0">'[130]Liner Job Info'!$C$25</definedName>
    <definedName name="DP4_Tens" localSheetId="13" hidden="0" function="0" vbProcedure="0">'[11]Liner Job Info'!$M$25</definedName>
    <definedName name="DP4_Wt_inmud" localSheetId="13" hidden="0" function="0" vbProcedure="0">'[11]Weight Calculations'!$H$11</definedName>
    <definedName name="DP4_Wt_Per_Ft" localSheetId="13" hidden="0" function="0" vbProcedure="0">'[130]Liner Job Info'!$D$25</definedName>
    <definedName name="DP5_bbl_per_ft" localSheetId="13" hidden="0" function="0" vbProcedure="0">'[11]Liner Job Info'!$AT$73</definedName>
    <definedName name="DP5_COnn" localSheetId="13" hidden="0" function="0" vbProcedure="0">'[130]Liner Job Info'!$J$26</definedName>
    <definedName name="DP5_Grd" localSheetId="13" hidden="0" function="0" vbProcedure="0">'[130]Liner Job Info'!$F$26</definedName>
    <definedName name="DP5_ID" localSheetId="13" hidden="0" function="0" vbProcedure="0">'[11]Liner Job Info'!$E$26</definedName>
    <definedName name="DP5_Leng" localSheetId="13" hidden="0" function="0" vbProcedure="0">'[130]Metric Conversions'!$B$24</definedName>
    <definedName name="DP5_MYS" localSheetId="13" hidden="0" function="0" vbProcedure="0">'[11]Liner Job Info'!$AD$35</definedName>
    <definedName name="DP5_OD" localSheetId="13" hidden="0" function="0" vbProcedure="0">'[130]Liner Job Info'!$C$26</definedName>
    <definedName name="DP5_Tens" localSheetId="13" hidden="0" function="0" vbProcedure="0">'[11]Liner Job Info'!$M$26</definedName>
    <definedName name="DP5_Wt_inmud" localSheetId="13" hidden="0" function="0" vbProcedure="0">'[11]Weight Calculations'!$H$12</definedName>
    <definedName name="DP5_Wt_Per_Ft" localSheetId="13" hidden="0" function="0" vbProcedure="0">'[130]Liner Job Info'!$D$26</definedName>
    <definedName name="dpdt" localSheetId="13" hidden="0" function="0" vbProcedure="0">'[136]WCT-Ft'!$Q$4:$X$18</definedName>
    <definedName name="DPi" localSheetId="13" hidden="0" function="0" vbProcedure="0">[107]Piston!$F$10</definedName>
    <definedName name="DPia" localSheetId="13" hidden="0" function="0" vbProcedure="0">[107]Balooning!$F$9</definedName>
    <definedName name="dpicbbls" localSheetId="13" hidden="0" function="0" vbProcedure="0">#ref!</definedName>
    <definedName name="DPNumber_35" localSheetId="13" hidden="0" function="0" vbProcedure="0">'[137]DP Length'!$A$3:$A$1000</definedName>
    <definedName name="DPNumber_5" localSheetId="13" hidden="0" function="0" vbProcedure="0">'[137]DP Length'!$C$3:$C$1000</definedName>
    <definedName name="DPo" localSheetId="13" hidden="0" function="0" vbProcedure="0">[107]Piston!$F$11</definedName>
    <definedName name="DPoa" localSheetId="13" hidden="0" function="0" vbProcedure="0">[107]Balooning!$F$10</definedName>
    <definedName name="dpohbbls" localSheetId="13" hidden="0" function="0" vbProcedure="0">#ref!</definedName>
    <definedName name="dpohft" localSheetId="13" hidden="0" function="0" vbProcedure="0">#ref!</definedName>
    <definedName name="DPTTL_HYD_LENTH" localSheetId="13" hidden="0" function="0" vbProcedure="0">'[11]Weight Calculations'!$F$46</definedName>
    <definedName name="DP_Plus_Block" localSheetId="13" hidden="0" function="0" vbProcedure="0">'[11]Weight Calculations'!$H$15</definedName>
    <definedName name="DP_PSI" localSheetId="13" hidden="0" function="0" vbProcedure="0">'[11]Metric Conversions'!$B$49</definedName>
    <definedName name="DP_SF" localSheetId="13" hidden="0" function="0" vbProcedure="0">'[11]Liner Job Info'!$R$27</definedName>
    <definedName name="DRAFT" localSheetId="13" hidden="0" function="0" vbProcedure="0">'[2]run sheet'!#ref!</definedName>
    <definedName name="drawblanks" localSheetId="13" hidden="0" function="0" vbProcedure="0">'[38]final tally '!drawblanks</definedName>
    <definedName name="drawlinerfirst" localSheetId="13" hidden="0" function="0" vbProcedure="0">'[38]final tally '!drawlinerfirst</definedName>
    <definedName name="drawlinersecond" localSheetId="13" hidden="0" function="0" vbProcedure="0">'[38]final tally '!drawlinersecond</definedName>
    <definedName name="drawmiscellaneous" localSheetId="13" hidden="0" function="0" vbProcedure="0">'[38]final tally '!drawmiscellaneous</definedName>
    <definedName name="drawproductionfirst" localSheetId="13" hidden="0" function="0" vbProcedure="0">'[38]final tally '!drawproductionfirst</definedName>
    <definedName name="drawproductionsecond" localSheetId="13" hidden="0" function="0" vbProcedure="0">'[38]final tally '!drawproductionsecond</definedName>
    <definedName name="drawquantum" localSheetId="13" hidden="0" function="0" vbProcedure="0">'[38]final tally '!drawquantum</definedName>
    <definedName name="drawscreens" localSheetId="13" hidden="0" function="0" vbProcedure="0">'[38]final tally '!drawscreens</definedName>
    <definedName name="drawshearsubs" localSheetId="13" hidden="0" function="0" vbProcedure="0">'[38]final tally '!drawshearsubs</definedName>
    <definedName name="drawsump" localSheetId="13" hidden="0" function="0" vbProcedure="0">'[38]final tally '!drawsump</definedName>
    <definedName name="draw_blanks" localSheetId="13" hidden="0" function="0" vbProcedure="0">'[38]final tally '!draw_blanks</definedName>
    <definedName name="draw_linerfirst" localSheetId="13" hidden="0" function="0" vbProcedure="0">'[38]final tally '!draw_linerfirst</definedName>
    <definedName name="draw_linersecond" localSheetId="13" hidden="0" function="0" vbProcedure="0">'[38]final tally '!draw_linersecond</definedName>
    <definedName name="draw_miscellaneous" localSheetId="13" hidden="0" function="0" vbProcedure="0">'[38]final tally '!draw_miscellaneous</definedName>
    <definedName name="draw_productionfirst" localSheetId="13" hidden="0" function="0" vbProcedure="0">'[38]final tally '!draw_productionfirst</definedName>
    <definedName name="draw_productionsecond" localSheetId="13" hidden="0" function="0" vbProcedure="0">'[38]final tally '!draw_productionsecond</definedName>
    <definedName name="draw_quantum" localSheetId="13" hidden="0" function="0" vbProcedure="0">'[38]final tally '!draw_quantum</definedName>
    <definedName name="draw_screens" localSheetId="13" hidden="0" function="0" vbProcedure="0">'[38]final tally '!draw_screens</definedName>
    <definedName name="draw_shearsubs" localSheetId="13" hidden="0" function="0" vbProcedure="0">'[38]final tally '!draw_shearsubs</definedName>
    <definedName name="draw_sump" localSheetId="13" hidden="0" function="0" vbProcedure="0">'[38]final tally '!draw_sump</definedName>
    <definedName name="DRILLER" localSheetId="13" hidden="0" function="0" vbProcedure="0">#ref!</definedName>
    <definedName name="DRILLER2" localSheetId="13" hidden="0" function="0" vbProcedure="0">[162]!Calculate_Pipe</definedName>
    <definedName name="Drillpipesize" localSheetId="13" hidden="0" function="0" vbProcedure="0">[11]DATA!$X$2:$X$10</definedName>
    <definedName name="Drillpipetype" localSheetId="13" hidden="0" function="0" vbProcedure="0">[11]DATA!$AA$2:$AA$6</definedName>
    <definedName name="Drillpipeweight" localSheetId="13" hidden="0" function="0" vbProcedure="0">[11]DATA!$Z$2:$Z$36</definedName>
    <definedName name="DrillSiteOrWellPad" localSheetId="13" hidden="0" function="0" vbProcedure="0">#ref!</definedName>
    <definedName name="Druckbereich_MI" localSheetId="13" hidden="0" function="0" vbProcedure="0">'[138]Dev-Baker'!$A$1:$J$46</definedName>
    <definedName name="Druckbereich_S3" localSheetId="13" hidden="0" function="0" vbProcedure="0">'[165]run_s.xls'!#ref!</definedName>
    <definedName name="Dshoe" localSheetId="13" hidden="0" function="0" vbProcedure="0">#ref!</definedName>
    <definedName name="dstrcap1" localSheetId="13" hidden="0" function="0" vbProcedure="0">#ref!</definedName>
    <definedName name="dstrcap2" localSheetId="13" hidden="0" function="0" vbProcedure="0">#ref!</definedName>
    <definedName name="DSTWeight" localSheetId="13" hidden="0" function="0" vbProcedure="0">#ref!</definedName>
    <definedName name="Dtail" localSheetId="13" hidden="0" function="0" vbProcedure="0">#ref!</definedName>
    <definedName name="dtr" localSheetId="13" hidden="0" function="0" vbProcedure="0">'[115]Max-Torq'!$P$77</definedName>
    <definedName name="DU" localSheetId="13" hidden="0" function="0" vbProcedure="0">#ref!</definedName>
    <definedName name="DualTally" localSheetId="13" hidden="0" function="0" vbProcedure="0">#ref!</definedName>
    <definedName name="DUCF" localSheetId="13" hidden="0" function="0" vbProcedure="0">#ref!</definedName>
    <definedName name="DWS" localSheetId="13" hidden="0" function="0" vbProcedure="0">'[111]DWS2023'!$A$4:$AD$257</definedName>
    <definedName name="D_I" localSheetId="13" hidden="0" function="0" vbProcedure="0">#ref!</definedName>
    <definedName name="D_t" localSheetId="13" hidden="0" function="0" vbProcedure="0">#ref!</definedName>
    <definedName name="D_t_pt" localSheetId="13" hidden="0" function="0" vbProcedure="0">#ref!</definedName>
    <definedName name="D_t_te" localSheetId="13" hidden="0" function="0" vbProcedure="0">#ref!</definedName>
    <definedName name="D_t_yp" localSheetId="13" hidden="0" function="0" vbProcedure="0">#ref!</definedName>
    <definedName name="E" localSheetId="13" hidden="0" function="0" vbProcedure="0">#ref!</definedName>
    <definedName name="EastingColumn" localSheetId="13" hidden="0" function="0" vbProcedure="0">!#ref!</definedName>
    <definedName name="EastingUnit" localSheetId="13" hidden="0" function="0" vbProcedure="0">#ref!</definedName>
    <definedName name="ED" localSheetId="13" hidden="0" function="0" vbProcedure="0">[75]!Calculate_Pipe</definedName>
    <definedName name="edd" localSheetId="13" hidden="0" function="0" vbProcedure="0">[167]!Calculate_Pipe</definedName>
    <definedName name="Eff_Date" localSheetId="13" hidden="0" function="0" vbProcedure="0">'[94]Job Technical Info'!$L$3</definedName>
    <definedName name="efwrf" localSheetId="13" hidden="0" function="0" vbProcedure="0">#ref!</definedName>
    <definedName name="EJYETYJEJ" localSheetId="13" hidden="0" function="0" vbProcedure="0">'[38]final tally '!ejyetyjej</definedName>
    <definedName name="EKIKO2" localSheetId="13" hidden="0" function="0" vbProcedure="0">#ref!</definedName>
    <definedName name="Element_Rating" localSheetId="13" hidden="0" function="0" vbProcedure="0">'[11]Metric Conversions'!$B$57</definedName>
    <definedName name="Elevation" localSheetId="13" hidden="0" function="0" vbProcedure="0">#ref!</definedName>
    <definedName name="ElevationReference" localSheetId="13" hidden="0" function="0" vbProcedure="0">#ref!</definedName>
    <definedName name="emilia" localSheetId="13" hidden="0" function="0" vbProcedure="0">'[30]calculo de gas total'!#ref!</definedName>
    <definedName name="Empty" localSheetId="13" hidden="0" function="0" vbProcedure="0">[63]auf_screen!#ref!</definedName>
    <definedName name="EmptyRow" localSheetId="13" hidden="0" function="0" vbProcedure="0">#ref!</definedName>
    <definedName name="equipmenttype" localSheetId="13" hidden="0" function="0" vbProcedure="0">[57]data!#ref!</definedName>
    <definedName name="erg" localSheetId="13" hidden="0" function="0" vbProcedure="0">#ref!</definedName>
    <definedName name="error" localSheetId="13" hidden="0" function="0" vbProcedure="0">[106]Data!$F$10</definedName>
    <definedName name="ertert" localSheetId="13" hidden="0" function="0" vbProcedure="0">[171]试压!#ref!</definedName>
    <definedName name="ESTPSjobs" localSheetId="13" hidden="0" function="0" vbProcedure="0">[63]auf_screen!#ref!</definedName>
    <definedName name="ES_Jobs" localSheetId="13" hidden="0" function="0" vbProcedure="0">[63]auf_screen!#ref!,[63]auf_screen!#ref!,[63]auf_screen!#ref!,[63]auf_screen!#ref!,[63]auf_screen!#ref!,[63]auf_screen!#ref!,[63]auf_screen!#ref!,[63]auf_screen!#ref!,[63]auf_screen!#ref!</definedName>
    <definedName name="ES_pricelist" localSheetId="13" hidden="0" function="0" vbProcedure="0">[139]Pricelist!$A$8:$B$18</definedName>
    <definedName name="ew" localSheetId="13" hidden="0" function="0" vbProcedure="0">#ref!</definedName>
    <definedName name="EW_Column" localSheetId="13" hidden="0" function="0" vbProcedure="0">!#ref!</definedName>
    <definedName name="EW_Unit" localSheetId="13" hidden="0" function="0" vbProcedure="0">#ref!</definedName>
    <definedName name="ex" localSheetId="13" hidden="0" function="0" vbProcedure="0">[151]!JointNumber</definedName>
    <definedName name="exceedlimit" localSheetId="13" hidden="0" function="0" vbProcedure="0">#ref!</definedName>
    <definedName name="Expansion" localSheetId="13" hidden="0" function="0" vbProcedure="0">#ref!</definedName>
    <definedName name="Expected_Job_Date" localSheetId="13" hidden="0" function="0" vbProcedure="0">'[108]Pre-Job Info Sheet'!$D$5</definedName>
    <definedName name="ExpJobDesig" localSheetId="13" hidden="0" function="0" vbProcedure="0">#ref!</definedName>
    <definedName name="ExplosiveData" localSheetId="13" hidden="0" function="0" vbProcedure="0">#ref!</definedName>
    <definedName name="ExplosiveData1to2" localSheetId="13" hidden="0" function="0" vbProcedure="0">#ref!</definedName>
    <definedName name="ExplosiveType" localSheetId="13" hidden="0" function="0" vbProcedure="0">#ref!</definedName>
    <definedName name="Explosive_Type" localSheetId="13" hidden="0" function="0" vbProcedure="0">'[108]TCP-BHA'!$E$7</definedName>
    <definedName name="EXP_1" localSheetId="13" hidden="0" function="0" vbProcedure="0">INDEX([111]DRAW!$A$2:$B$13,MATCH([112]AUTO_DHWS!$AV$7,[111]DRAW!$A$2:$A$13,0),2)</definedName>
    <definedName name="Externalvolstring" localSheetId="13" hidden="0" function="0" vbProcedure="0">#ref!</definedName>
    <definedName name="Extra" localSheetId="13" hidden="0" function="0" vbProcedure="0">#ref!</definedName>
    <definedName name="ExtraPressure" localSheetId="13" hidden="0" function="0" vbProcedure="0">#ref!</definedName>
    <definedName name="EXT_LENGTH" localSheetId="13" hidden="0" function="0" vbProcedure="0">'[7]#ref'!#ref!</definedName>
    <definedName name="F" localSheetId="13" hidden="0" function="0" vbProcedure="0">[140]Parts!$A$1:$I$65536</definedName>
    <definedName name="fasc" localSheetId="13" hidden="0" function="0" vbProcedure="0">#ref!</definedName>
    <definedName name="FB" localSheetId="13" hidden="0" function="0" vbProcedure="0">[177]!Calculate_Pipe</definedName>
    <definedName name="fdg" localSheetId="13" hidden="0" function="0" vbProcedure="0">[119]钻井日报表!$G$7</definedName>
    <definedName name="februpees" localSheetId="13" hidden="0" function="0" vbProcedure="0">'[141]Cash Expense March-96'!$H$6</definedName>
    <definedName name="fec"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3" hidden="0" function="0" vbProcedure="0">'[38]final tally '!fewfw</definedName>
    <definedName name="fff" localSheetId="13" hidden="0" function="0" vbProcedure="0">'[38]final tally '!fff</definedName>
    <definedName name="ffff" localSheetId="13" hidden="0" function="0" vbProcedure="0">[181]!Prev.Macro113</definedName>
    <definedName name="fgm" localSheetId="13" hidden="0" function="0" vbProcedure="0">#ref!</definedName>
    <definedName name="FHSelected" localSheetId="13" hidden="0" function="0" vbProcedure="0">#ref!</definedName>
    <definedName name="FHSen3" localSheetId="13" hidden="0" function="0" vbProcedure="0">#ref!</definedName>
    <definedName name="Field" localSheetId="13" hidden="0" function="0" vbProcedure="0">#ref!</definedName>
    <definedName name="FieldFd" localSheetId="13" hidden="0" function="0" vbProcedure="0">#ref!</definedName>
    <definedName name="FieldName" localSheetId="13" hidden="0" function="0" vbProcedure="0">#ref!</definedName>
    <definedName name="FieldStrength" localSheetId="13" hidden="0" function="0" vbProcedure="0">#ref!</definedName>
    <definedName name="Filename" localSheetId="13" hidden="0" function="0" vbProcedure="0">[63]auf_screen!#ref!</definedName>
    <definedName name="final" localSheetId="13" hidden="0" function="0" vbProcedure="0">[151]!JointNumber</definedName>
    <definedName name="FishNeckUnits" localSheetId="13" hidden="0" function="0" vbProcedure="0">#ref!</definedName>
    <definedName name="FJNDEF" localSheetId="13" hidden="0" function="0" vbProcedure="0">'[38]final tally '!fjndef</definedName>
    <definedName name="Floatequipment" localSheetId="13" hidden="0" function="0" vbProcedure="0">[11]DATA!$AM$2:$AM$9</definedName>
    <definedName name="FloatingStart" localSheetId="13" hidden="0" function="0" vbProcedure="0">#ref!</definedName>
    <definedName name="Flow" localSheetId="13" hidden="0" function="0" vbProcedure="0">#ref!</definedName>
    <definedName name="FlowRegime" localSheetId="13" hidden="0" function="0" vbProcedure="0">#ref!</definedName>
    <definedName name="FluidType" localSheetId="13" hidden="0" function="0" vbProcedure="0">'[94]Job Technical Info'!$F$42</definedName>
    <definedName name="FluidWeight" localSheetId="13" hidden="0" function="0" vbProcedure="0">#ref!</definedName>
    <definedName name="FluidWt" localSheetId="13" hidden="0" function="0" vbProcedure="0">'[94]Job Technical Info'!$H$42</definedName>
    <definedName name="Footer" localSheetId="13" hidden="0" function="0" vbProcedure="0">#ref!</definedName>
    <definedName name="Form._Pressure" localSheetId="13" hidden="0" function="0" vbProcedure="0">'[108]Pre-Job Info Sheet'!$B$33</definedName>
    <definedName name="formation" localSheetId="13" hidden="0" function="0" vbProcedure="0">[57]data!#ref!</definedName>
    <definedName name="fpm" localSheetId="13" hidden="0" function="0" vbProcedure="0">#ref!</definedName>
    <definedName name="fracgrad" localSheetId="13" hidden="0" function="0" vbProcedure="0">[5]WTR!$L$38</definedName>
    <definedName name="fracmw" localSheetId="13" hidden="0" function="0" vbProcedure="0">#ref!</definedName>
    <definedName name="fracpress" localSheetId="13" hidden="0" function="0" vbProcedure="0">'[113]#REF'!$L$25</definedName>
    <definedName name="Frequencies" localSheetId="13" hidden="0" function="0" vbProcedure="0">#ref!</definedName>
    <definedName name="frictionpressure" localSheetId="13" hidden="0" function="0" vbProcedure="0">[106]Data!$F$8</definedName>
    <definedName name="FRONT" localSheetId="13" hidden="0" function="0" vbProcedure="0">'[142]DAILY RPT'!$A$1:$Y$67</definedName>
    <definedName name="G" localSheetId="13" hidden="0" function="0" vbProcedure="0">#ref!</definedName>
    <definedName name="Gamma_Quadrant" localSheetId="13" hidden="0" function="0" vbProcedure="0">[129]RSS!$N$139:$N$144</definedName>
    <definedName name="gas" localSheetId="13" hidden="0" function="0" vbProcedure="0">#ref!</definedName>
    <definedName name="gasrate" localSheetId="13" hidden="0" function="0" vbProcedure="0">'[96]well test sheet'!#ref!</definedName>
    <definedName name="gas_cumm" localSheetId="13" hidden="0" function="0" vbProcedure="0">'[96]well test sheet'!#ref!</definedName>
    <definedName name="Gauge" localSheetId="13" hidden="0" function="0" vbProcedure="0">'[7]Drop-Down Items'!$D$74:$D$92</definedName>
    <definedName name="Gaugecancel" localSheetId="13" hidden="0" function="0" vbProcedure="0">DATA!Gaugecancel</definedName>
    <definedName name="gaugeconok" localSheetId="13" hidden="0" function="0" vbProcedure="0">DATA!gaugeconok</definedName>
    <definedName name="gaugeconok2" localSheetId="13" hidden="0" function="0" vbProcedure="0">DATA!gaugeconok2</definedName>
    <definedName name="gaugeok" localSheetId="13" hidden="0" function="0" vbProcedure="0">DATA!gaugeok</definedName>
    <definedName name="gaugeok2" localSheetId="13" hidden="0" function="0" vbProcedure="0">DATA!gaugeok2</definedName>
    <definedName name="gaugeselect" localSheetId="13" hidden="0" function="0" vbProcedure="0">DATA!gaugeselect</definedName>
    <definedName name="gaugeselect2" localSheetId="13" hidden="0" function="0" vbProcedure="0">DATA!gaugeselect2</definedName>
    <definedName name="gdsg" localSheetId="13" hidden="1" function="0" vbProcedure="0">[103]Run!$C$16:$C$512</definedName>
    <definedName name="GenderHeader" localSheetId="13" hidden="0" function="0" vbProcedure="0">#ref!</definedName>
    <definedName name="GeodeticLocation" localSheetId="13" hidden="0" function="0" vbProcedure="0">#ref!</definedName>
    <definedName name="GeomagInfoFirstRow" localSheetId="13" hidden="0" function="0" vbProcedure="0">#ref!</definedName>
    <definedName name="Geometry" localSheetId="13" hidden="0" function="0" vbProcedure="0">#ref!</definedName>
    <definedName name="GFTTC" localSheetId="13" hidden="0" function="0" vbProcedure="0">[151]!JointNumber</definedName>
    <definedName name="GGGR" localSheetId="13" hidden="0" function="0" vbProcedure="0">'[38]final tally '!gggr</definedName>
    <definedName name="gh" localSheetId="13" hidden="0" function="0" vbProcedure="0">#ref!</definedName>
    <definedName name="GL" localSheetId="13" hidden="0" function="0" vbProcedure="0">'[189]offset data'!#ref!</definedName>
    <definedName name="GLM" localSheetId="13" hidden="0" function="0" vbProcedure="0">[75]!Calculate_Pipe</definedName>
    <definedName name="GLM_1" localSheetId="13" hidden="0" function="0" vbProcedure="0">INDEX([111]DRAW!$A$2:$B$13,MATCH([112]AUTO_DHWS!$AV$3,[111]DRAW!$A$2:$A$13,0),2)</definedName>
    <definedName name="GLM_2" localSheetId="13" hidden="0" function="0" vbProcedure="0">INDEX([111]DRAW!$A$2:$B$13,MATCH([112]AUTO_DHWS!$AV$4,[111]DRAW!$A$2:$A$13,0),2)</definedName>
    <definedName name="GLM_3" localSheetId="13" hidden="0" function="0" vbProcedure="0">INDEX([111]DRAW!$A$2:$B$13,MATCH([112]AUTO_DHWS!$AV$5,[111]DRAW!$A$2:$A$13,0),2)</definedName>
    <definedName name="GLM_4" localSheetId="13" hidden="0" function="0" vbProcedure="0">INDEX([111]DRAW!$A$2:$B$13,MATCH([112]AUTO_DHWS!$AV$6,[111]DRAW!$A$2:$A$13,0),2)</definedName>
    <definedName name="Gmh" localSheetId="13" hidden="1" function="0" vbProcedure="0">{#N/A,#N/A,FALSE,"Sheet1"}</definedName>
    <definedName name="gor" localSheetId="13" hidden="0" function="0" vbProcedure="0">'[96]well test sheet'!#ref!</definedName>
    <definedName name="Goto_End_Ranges" localSheetId="13" hidden="0" function="0" vbProcedure="0">[63]auf_screen!#ref!</definedName>
    <definedName name="Goto_Home_Ranges" localSheetId="13" hidden="0" function="0" vbProcedure="0">[63]auf_screen!#ref!</definedName>
    <definedName name="Goto_Ranges" localSheetId="13" hidden="0" function="0" vbProcedure="0">[63]auf_screen!#ref!</definedName>
    <definedName name="gpbreakerconc" localSheetId="13" hidden="0" function="0" vbProcedure="0">'[113]#REF'!$K$68</definedName>
    <definedName name="gpbreakertype" localSheetId="13" hidden="0" function="0" vbProcedure="0">'[113]#REF'!$K$67</definedName>
    <definedName name="gpcarriertype" localSheetId="13" hidden="0" function="0" vbProcedure="0">[5]WTR!$G$83</definedName>
    <definedName name="gpcarriervis" localSheetId="13" hidden="0" function="0" vbProcedure="0">'[113]#REF'!$K$66</definedName>
    <definedName name="gpcarriervol" localSheetId="13" hidden="0" function="0" vbProcedure="0">'[113]#REF'!$F$69</definedName>
    <definedName name="gpcarrierwt" localSheetId="13" hidden="0" function="0" vbProcedure="0">'[113]#REF'!$F$67</definedName>
    <definedName name="gpextlength" localSheetId="13" hidden="0" function="0" vbProcedure="0">'[113]#REF'!$J$15</definedName>
    <definedName name="gpextod" localSheetId="13" hidden="0" function="0" vbProcedure="0">'[113]#REF'!$F$15</definedName>
    <definedName name="gpgel" localSheetId="13" hidden="0" function="0" vbProcedure="0">'[113]#REF'!$K$65</definedName>
    <definedName name="gplbs" localSheetId="13" hidden="0" function="0" vbProcedure="0">'[113]#REF'!$F$64</definedName>
    <definedName name="gpmixratio" localSheetId="13" hidden="0" function="0" vbProcedure="0">[5]WTR!$M$81</definedName>
    <definedName name="gppumprate" localSheetId="13" hidden="0" function="0" vbProcedure="0">[5]WTR!$F$88</definedName>
    <definedName name="gpslurrydens" localSheetId="13" hidden="0" function="0" vbProcedure="0">'[113]#REF'!$F$70</definedName>
    <definedName name="GP_EXT_OD" localSheetId="13" hidden="0" function="0" vbProcedure="0">'[113]#REF'!$F$15</definedName>
    <definedName name="GP_MIX_RATIO" localSheetId="13" hidden="0" function="0" vbProcedure="0">'[113]#REF'!$K$64</definedName>
    <definedName name="GP_SLURRY_VOL" localSheetId="13" hidden="0" function="0" vbProcedure="0">'[113]#REF'!$F$69</definedName>
    <definedName name="GQGQ" localSheetId="13" hidden="0" function="0" vbProcedure="0">'[38]final tally '!gqgq</definedName>
    <definedName name="GQQ" localSheetId="13" hidden="0" function="0" vbProcedure="0">'[38]final tally '!gqq</definedName>
    <definedName name="Grade" localSheetId="13" hidden="0" function="0" vbProcedure="0">#ref!</definedName>
    <definedName name="GrapHSVOverkill" localSheetId="13" hidden="0" function="0" vbProcedure="0">#ref!</definedName>
    <definedName name="GrapLSV" localSheetId="13" hidden="0" function="0" vbProcedure="0">#ref!</definedName>
    <definedName name="GrapOverkillExtra" localSheetId="13" hidden="0" function="0" vbProcedure="0">#ref!</definedName>
    <definedName name="GrapUBPres" localSheetId="13" hidden="0" function="0" vbProcedure="0">#ref!</definedName>
    <definedName name="GrapUBPress" localSheetId="13" hidden="0" function="0" vbProcedure="0">#ref!</definedName>
    <definedName name="gravelsize" localSheetId="13" hidden="0" function="0" vbProcedure="0">[5]WTR!$G$82</definedName>
    <definedName name="GRAVEL_IN_CSG." localSheetId="13" hidden="0" function="0" vbProcedure="0">'[113]#REF'!XEP1048377</definedName>
    <definedName name="GridConvergence" localSheetId="13" hidden="0" function="0" vbProcedure="0">#ref!</definedName>
    <definedName name="GridLocation" localSheetId="13" hidden="0" function="0" vbProcedure="0">#ref!</definedName>
    <definedName name="GroundLevelElevation" localSheetId="13" hidden="0" function="0" vbProcedure="0">#ref!</definedName>
    <definedName name="Groupdb" localSheetId="13" hidden="0" function="0" vbProcedure="0">#ref!</definedName>
    <definedName name="Groupslb" localSheetId="13" hidden="0" function="0" vbProcedure="0">#ref!</definedName>
    <definedName name="GRQ" localSheetId="13" hidden="0" function="0" vbProcedure="0">'[38]final tally '!grq</definedName>
    <definedName name="gsa" localSheetId="13" hidden="1" function="0" vbProcedure="0">#ref!</definedName>
    <definedName name="GUB24SECWELL" localSheetId="13" hidden="1" function="0" vbProcedure="0">[143]Sheet1!$A$181:$H$210</definedName>
    <definedName name="GUCF" localSheetId="13" hidden="0" function="0" vbProcedure="0">#ref!</definedName>
    <definedName name="GudCont" localSheetId="13" hidden="0" function="0" vbProcedure="0">#ref!</definedName>
    <definedName name="Gun" localSheetId="13" hidden="0" function="0" vbProcedure="0">#ref!</definedName>
    <definedName name="GunDatabase" localSheetId="13" hidden="0" function="0" vbProcedure="0">#ref!</definedName>
    <definedName name="GunLength" localSheetId="13" hidden="0" function="0" vbProcedure="0">#ref!</definedName>
    <definedName name="GunSize" localSheetId="13" hidden="0" function="0" vbProcedure="0">#ref!</definedName>
    <definedName name="GunSPF" localSheetId="13" hidden="0" function="0" vbProcedure="0">#ref!</definedName>
    <definedName name="GunsWeight" localSheetId="13" hidden="0" function="0" vbProcedure="0">#ref!</definedName>
    <definedName name="GunSystem" localSheetId="13" hidden="0" function="0" vbProcedure="0">#ref!</definedName>
    <definedName name="gunticket" localSheetId="13" hidden="0" function="0" vbProcedure="0">#ref!</definedName>
    <definedName name="Gun_Size" localSheetId="13" hidden="0" function="0" vbProcedure="0">'[108]TCP-BHA'!$F$5</definedName>
    <definedName name="GWS" localSheetId="13" hidden="0" function="0" vbProcedure="0">'[38]final tally '!gws</definedName>
    <definedName name="h" localSheetId="13" hidden="0" function="0" vbProcedure="0">[144]Tally!$A$5:$H$1064</definedName>
    <definedName name="H2S" localSheetId="13" hidden="0" function="0" vbProcedure="0">'[94]Job Technical Info'!$L$41</definedName>
    <definedName name="Hangerfunction" localSheetId="13" hidden="0" function="0" vbProcedure="0">[11]DATA!$AH$2:$AH$9</definedName>
    <definedName name="HangSelect" localSheetId="13" hidden="0" function="0" vbProcedure="0">#ref!</definedName>
    <definedName name="Hassan" localSheetId="13" hidden="0" function="0" vbProcedure="0">[192]!Macro1</definedName>
    <definedName name="HDFDepth" localSheetId="13" hidden="0" function="0" vbProcedure="0">#ref!</definedName>
    <definedName name="HEAD" localSheetId="13" hidden="0" function="0" vbProcedure="0">#ref!</definedName>
    <definedName name="hesfluid" localSheetId="13" hidden="0" function="0" vbProcedure="0">[57]data!#ref!</definedName>
    <definedName name="hgh" localSheetId="13" hidden="1" function="0" vbProcedure="0">[103]Run!$D$15:$D$512</definedName>
    <definedName name="HGR_OL_Packoff_In" localSheetId="13" hidden="0" function="0" vbProcedure="0">[11]Test!$M$36</definedName>
    <definedName name="hhd" localSheetId="13" hidden="0" function="0" vbProcedure="0">#ref!</definedName>
    <definedName name="hhp" localSheetId="13" hidden="0" function="0" vbProcedure="0">'[96]well test sheet'!#ref!</definedName>
    <definedName name="hj" localSheetId="13" hidden="0" function="0" vbProcedure="0">[194]bha!#ref!</definedName>
    <definedName name="HKWT" localSheetId="13" hidden="0" function="0" vbProcedure="0">[185]钻井日报表!$E$7</definedName>
    <definedName name="Hngr_Bst" localSheetId="13" hidden="0" function="0" vbProcedure="0">'[11]Metric Conversions'!$B$50</definedName>
    <definedName name="Hngr_OL_PO_out" localSheetId="13" hidden="0" function="0" vbProcedure="0">[11]Test!$M$30</definedName>
    <definedName name="Hngr_Overload_Cmt_Setup" localSheetId="13" hidden="0" function="0" vbProcedure="0">[11]Test!$M$42</definedName>
    <definedName name="Hngr_Tens" localSheetId="13" hidden="0" function="0" vbProcedure="0">'[11]Liner Job Info'!$D$40</definedName>
    <definedName name="Hng_Cap" localSheetId="13" hidden="0" function="0" vbProcedure="0">'[11]Liner Job Info'!$D$41</definedName>
    <definedName name="HoleSize" localSheetId="13" hidden="0" function="0" vbProcedure="0">#ref!</definedName>
    <definedName name="HoleSizeUnits" localSheetId="13" hidden="0" function="0" vbProcedure="0">#ref!</definedName>
    <definedName name="holevol" localSheetId="13" hidden="0" function="0" vbProcedure="0">'[64]tool backload dt'!holevol</definedName>
    <definedName name="Hole_depth" localSheetId="13" hidden="0" function="0" vbProcedure="0">#ref!</definedName>
    <definedName name="HoursMax" localSheetId="13" hidden="0" function="0" vbProcedure="0">#ref!</definedName>
    <definedName name="hpb" localSheetId="13" hidden="0" function="0" vbProcedure="0">'[96]well test sheet'!#ref!</definedName>
    <definedName name="HRS" localSheetId="13" hidden="0" function="0" vbProcedure="0">'[196]amberjack a32ream'!#ref!</definedName>
    <definedName name="hrt" localSheetId="13" hidden="0" function="0" vbProcedure="0">#ref!</definedName>
    <definedName name="HR_Turns" localSheetId="13" hidden="0" function="0" vbProcedure="0">'[11]Weight Calculations'!$Q$36</definedName>
    <definedName name="HSDT3" localSheetId="13" hidden="0" function="0" vbProcedure="0">#ref!</definedName>
    <definedName name="hslipjoint" localSheetId="13" hidden="0" function="0" vbProcedure="0">#ref!</definedName>
    <definedName name="HSVOverkill" localSheetId="13" hidden="0" function="0" vbProcedure="0">#ref!</definedName>
    <definedName name="HTML_Control" localSheetId="13" hidden="1" function="0" vbProcedure="0">{"'Operator &amp; Well Info.'!$A$1:$F$16"}</definedName>
    <definedName name="hwdpdt" localSheetId="13" hidden="0" function="0" vbProcedure="0">'[136]WCT-Ft'!$Q$19:$X$24</definedName>
    <definedName name="hy" localSheetId="13" hidden="0" function="0" vbProcedure="0">[52]!Prev.Macro106</definedName>
    <definedName name="Hyd._Pressure" localSheetId="13" hidden="0" function="0" vbProcedure="0">'[108]Job Calculation Sheet'!$H$28</definedName>
    <definedName name="Hyd_at_TV" localSheetId="13" hidden="0" function="0" vbProcedure="0">'[108]Tester Valve Calcs'!$F$21</definedName>
    <definedName name="Hyd_Effect_Force" localSheetId="13" hidden="0" function="0" vbProcedure="0">'[11]Weight Calculations'!$F$47</definedName>
    <definedName name="Hyd_force_element" localSheetId="13" hidden="0" function="0" vbProcedure="0">[11]Test!$M$17</definedName>
    <definedName name="HyfloSeatID" localSheetId="13" hidden="0" function="0" vbProcedure="0">[11]DATA!$AY$2:$AY$4</definedName>
    <definedName name="HyfloSeatNumber" localSheetId="13" hidden="0" function="0" vbProcedure="0">[11]DATA!$AZ$2:$AZ$5</definedName>
    <definedName name="HyfloSupplier" localSheetId="13" hidden="0" function="0" vbProcedure="0">[11]DATA!$BA$2:$BA$5</definedName>
    <definedName name="I" localSheetId="13" hidden="0" function="0" vbProcedure="0">#ref!</definedName>
    <definedName name="ID" localSheetId="13" hidden="0" function="0" vbProcedure="0">#ref!</definedName>
    <definedName name="IDdb" localSheetId="13" hidden="0" function="0" vbProcedure="0">#ref!</definedName>
    <definedName name="idlist" localSheetId="13" hidden="0" function="0" vbProcedure="0">[106]Data!$GD$2:$GE$237</definedName>
    <definedName name="idslb" localSheetId="13" hidden="0" function="0" vbProcedure="0">#ref!</definedName>
    <definedName name="idstring" localSheetId="13" hidden="0" function="0" vbProcedure="0">#ref!</definedName>
    <definedName name="IDUnit" localSheetId="13" hidden="0" function="0" vbProcedure="0">'[94]Job Technical Info'!$F$24</definedName>
    <definedName name="ik" localSheetId="13" hidden="0" function="0" vbProcedure="0">#ref!,#ref!</definedName>
    <definedName name="Imagedb" localSheetId="13" hidden="0" function="0" vbProcedure="0">#ref!</definedName>
    <definedName name="Imageslb" localSheetId="13" hidden="0" function="0" vbProcedure="0">#ref!</definedName>
    <definedName name="imagestring" localSheetId="13" hidden="0" function="0" vbProcedure="0">#ref!</definedName>
    <definedName name="impdwg_1" localSheetId="13" hidden="0" function="0" vbProcedure="0">data!impdwg</definedName>
    <definedName name="impdwg_10" localSheetId="13" hidden="0" function="0" vbProcedure="0">data!impdwg</definedName>
    <definedName name="impdwg_11" localSheetId="13" hidden="0" function="0" vbProcedure="0">data!impdwg</definedName>
    <definedName name="impdwg_2" localSheetId="13" hidden="0" function="0" vbProcedure="0">data!impdwg</definedName>
    <definedName name="impdwg_3" localSheetId="13" hidden="0" function="0" vbProcedure="0">data!impdwg</definedName>
    <definedName name="impdwg_4" localSheetId="13" hidden="0" function="0" vbProcedure="0">data!impdwg</definedName>
    <definedName name="impdwg_5" localSheetId="13" hidden="0" function="0" vbProcedure="0">data!impdwg</definedName>
    <definedName name="impdwg_6" localSheetId="13" hidden="0" function="0" vbProcedure="0">data!impdwg</definedName>
    <definedName name="impdwg_7" localSheetId="13" hidden="0" function="0" vbProcedure="0">data!impdwg</definedName>
    <definedName name="impdwg_8" localSheetId="13" hidden="0" function="0" vbProcedure="0">data!impdwg</definedName>
    <definedName name="impdwg_9" localSheetId="13" hidden="0" function="0" vbProcedure="0">data!impdwg</definedName>
    <definedName name="ImpExpStringLb" localSheetId="13" hidden="0" function="0" vbProcedure="0">#ref!</definedName>
    <definedName name="IMPflow" localSheetId="13" hidden="0" function="0" vbProcedure="0">#ref!</definedName>
    <definedName name="Inc" localSheetId="13" hidden="0" function="0" vbProcedure="0">[185]钻井日报表!$G$8</definedName>
    <definedName name="InclColumn" localSheetId="13" hidden="0" function="0" vbProcedure="0">!#ref!</definedName>
    <definedName name="Inclination" localSheetId="13" hidden="0" function="0" vbProcedure="0">#ref!</definedName>
    <definedName name="InclinationData" localSheetId="13" hidden="0" function="0" vbProcedure="0">OFFSET([133]!inclination,2,0,COUNT(#ref!),1)</definedName>
    <definedName name="Inclination_In" localSheetId="13" hidden="0" function="0" vbProcedure="0">#ref!</definedName>
    <definedName name="Inclination_Out" localSheetId="13" hidden="0" function="0" vbProcedure="0">#ref!</definedName>
    <definedName name="InclUnit" localSheetId="13" hidden="0" function="0" vbProcedure="0">#ref!</definedName>
    <definedName name="incrementa"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3" hidden="0" function="0" vbProcedure="0">'[145]Job File Index'!$B$7</definedName>
    <definedName name="Information" localSheetId="13" hidden="0" function="0" vbProcedure="0">[63]auf_screen!#ref!</definedName>
    <definedName name="Information_Range" localSheetId="13" hidden="0" function="0" vbProcedure="0">[63]auf_screen!#ref!</definedName>
    <definedName name="INFUSER_RATE" localSheetId="13" hidden="0" function="0" vbProcedure="0">'[113]#REF'!$F$71</definedName>
    <definedName name="INFUSER_RATE_PREPACK" localSheetId="13" hidden="0" function="0" vbProcedure="0">'[113]#REF'!$F$50</definedName>
    <definedName name="InLineConn" localSheetId="13" hidden="0" function="0" vbProcedure="0">#ref!</definedName>
    <definedName name="InsertPoint" localSheetId="13" hidden="0" function="0" vbProcedure="0">#ref!</definedName>
    <definedName name="Insert_New_Page" localSheetId="13" hidden="0" function="0" vbProcedure="0">[44]!Insert_New_Page</definedName>
    <definedName name="Insert_New_Page_1" localSheetId="13" hidden="0" function="0" vbProcedure="0">DATA!Insert_New_Page</definedName>
    <definedName name="Insert_New_Page_10" localSheetId="13" hidden="0" function="0" vbProcedure="0">DATA!Insert_New_Page</definedName>
    <definedName name="Insert_New_Page_11" localSheetId="13" hidden="0" function="0" vbProcedure="0">DATA!Insert_New_Page</definedName>
    <definedName name="Insert_New_Page_2" localSheetId="13" hidden="0" function="0" vbProcedure="0">DATA!Insert_New_Page</definedName>
    <definedName name="Insert_New_Page_3" localSheetId="13" hidden="0" function="0" vbProcedure="0">DATA!Insert_New_Page</definedName>
    <definedName name="Insert_New_Page_4" localSheetId="13" hidden="0" function="0" vbProcedure="0">DATA!Insert_New_Page</definedName>
    <definedName name="Insert_New_Page_5" localSheetId="13" hidden="0" function="0" vbProcedure="0">DATA!Insert_New_Page</definedName>
    <definedName name="Insert_New_Page_6" localSheetId="13" hidden="0" function="0" vbProcedure="0">DATA!Insert_New_Page</definedName>
    <definedName name="Insert_New_Page_7" localSheetId="13" hidden="0" function="0" vbProcedure="0">DATA!Insert_New_Page</definedName>
    <definedName name="Insert_New_Page_8" localSheetId="13" hidden="0" function="0" vbProcedure="0">DATA!Insert_New_Page</definedName>
    <definedName name="Insert_New_Page_9" localSheetId="13" hidden="0" function="0" vbProcedure="0">DATA!Insert_New_Page</definedName>
    <definedName name="INSTRUCTIONS" localSheetId="13" hidden="0" function="0" vbProcedure="0">#ref!</definedName>
    <definedName name="Internalvolstring" localSheetId="13" hidden="0" function="0" vbProcedure="0">#ref!</definedName>
    <definedName name="IntervalFd" localSheetId="13" hidden="0" function="0" vbProcedure="0">#ref!</definedName>
    <definedName name="IntFd" localSheetId="13" hidden="0" function="0" vbProcedure="0">#ref!</definedName>
    <definedName name="Inverse_Balloon_Area" localSheetId="13" hidden="0" function="0" vbProcedure="0">[11]Test!$M$19</definedName>
    <definedName name="iris" localSheetId="13" hidden="0" function="0" vbProcedure="0">#ref!</definedName>
    <definedName name="isip" localSheetId="13" hidden="0" function="0" vbProcedure="0">[5]WTR!$G$41</definedName>
    <definedName name="Issue" localSheetId="13" hidden="0" function="0" vbProcedure="0">'[146]Title Page'!$Q$2:$Q$20</definedName>
    <definedName name="Item1" localSheetId="13" hidden="0" function="0" vbProcedure="0">INDEX(#ref!,0,MATCH('[59]ENG Input'!$A$12,Categories,0))</definedName>
    <definedName name="Item10" localSheetId="13" hidden="0" function="0" vbProcedure="0">INDEX(#ref!,0,MATCH('[59]ENG Input'!$A$128,Categories,0))</definedName>
    <definedName name="Item11" localSheetId="13" hidden="0" function="0" vbProcedure="0">INDEX(#ref!,0,MATCH('[59]ENG Input'!$A$139,Categories,0))</definedName>
    <definedName name="Item12" localSheetId="13" hidden="0" function="0" vbProcedure="0">INDEX(#ref!,0,MATCH('[59]ENG Input'!$A$155,Categories,0))</definedName>
    <definedName name="Item13" localSheetId="13" hidden="0" function="0" vbProcedure="0">INDEX(#ref!,0,MATCH('[59]ENG Input'!$A$171,Categories,0))</definedName>
    <definedName name="Item14" localSheetId="13" hidden="0" function="0" vbProcedure="0">INDEX(#ref!,0,MATCH('[59]ENG Input'!$A$182,Categories,0))</definedName>
    <definedName name="Item15" localSheetId="13" hidden="0" function="0" vbProcedure="0">INDEX(#ref!,0,MATCH('[59]ENG Input'!$A$193,Categories,0))</definedName>
    <definedName name="Item16" localSheetId="13" hidden="0" function="0" vbProcedure="0">INDEX(#ref!,0,MATCH('[59]ENG Input'!$A$204,Categories,0))</definedName>
    <definedName name="Item17" localSheetId="13" hidden="0" function="0" vbProcedure="0">INDEX(#ref!,0,MATCH('[59]ENG Input'!$A$215,Categories,0))</definedName>
    <definedName name="Item18" localSheetId="13" hidden="0" function="0" vbProcedure="0">INDEX(#ref!,0,MATCH('[59]ENG Input'!$A$226,Categories,0))</definedName>
    <definedName name="Item19" localSheetId="13" hidden="0" function="0" vbProcedure="0">INDEX(#ref!,0,MATCH('[59]ENG Input'!$A$237,Categories,0))</definedName>
    <definedName name="Item2" localSheetId="13" hidden="0" function="0" vbProcedure="0">INDEX(#ref!,0,MATCH('[59]ENG Input'!$A$32,Categories,0))</definedName>
    <definedName name="Item20" localSheetId="13" hidden="0" function="0" vbProcedure="0">INDEX(#ref!,0,MATCH('[59]ENG Input'!$A$248,Categories,0))</definedName>
    <definedName name="Item3" localSheetId="13" hidden="0" function="0" vbProcedure="0">INDEX(#ref!,0,MATCH('[59]ENG Input'!$A$48,Categories,0))</definedName>
    <definedName name="Item4" localSheetId="13" hidden="0" function="0" vbProcedure="0">INDEX(#ref!,0,MATCH('[59]ENG Input'!$A$59,Categories,0))</definedName>
    <definedName name="Item5" localSheetId="13" hidden="0" function="0" vbProcedure="0">INDEX(#ref!,0,MATCH('[59]ENG Input'!$A$73,Categories,0))</definedName>
    <definedName name="Item6" localSheetId="13" hidden="0" function="0" vbProcedure="0">INDEX(#ref!,0,MATCH('[59]ENG Input'!$A$84,Categories,0))</definedName>
    <definedName name="Item7" localSheetId="13" hidden="0" function="0" vbProcedure="0">INDEX(#ref!,0,MATCH('[59]ENG Input'!$A$95,Categories,0))</definedName>
    <definedName name="Item8" localSheetId="13" hidden="0" function="0" vbProcedure="0">INDEX(#ref!,0,MATCH('[59]ENG Input'!$A$106,Categories,0))</definedName>
    <definedName name="Item9" localSheetId="13" hidden="0" function="0" vbProcedure="0">INDEX(#ref!,0,MATCH('[59]ENG Input'!$A$117,Categories,0))</definedName>
    <definedName name="itemnumberstring" localSheetId="13" hidden="0" function="0" vbProcedure="0">#ref!</definedName>
    <definedName name="itemnumberstring2" localSheetId="13" hidden="0" function="0" vbProcedure="0">#ref!</definedName>
    <definedName name="J" localSheetId="13" hidden="1" function="0" vbProcedure="0">#ref!</definedName>
    <definedName name="janrupees" localSheetId="13" hidden="0" function="0" vbProcedure="0">'[147]Cash Expense January-96'!$H$6</definedName>
    <definedName name="JAR" localSheetId="13" hidden="0" function="0" vbProcedure="0">#ref!</definedName>
    <definedName name="JARDepth" localSheetId="13" hidden="0" function="0" vbProcedure="0">#ref!</definedName>
    <definedName name="JE" localSheetId="13" hidden="0" function="0" vbProcedure="0">#ref!</definedName>
    <definedName name="jena_9" localSheetId="13" hidden="0" function="0" vbProcedure="0">#ref!</definedName>
    <definedName name="JEYJD" localSheetId="13" hidden="0" function="0" vbProcedure="0">'[38]final tally '!jeyjd</definedName>
    <definedName name="jj" localSheetId="13" hidden="1" function="0" vbProcedure="0">#ref!</definedName>
    <definedName name="JK" localSheetId="13" hidden="0" function="0" vbProcedure="0">'[148]CSG13'!$B$5</definedName>
    <definedName name="Job" localSheetId="13" hidden="0" function="0" vbProcedure="0">#ref!</definedName>
    <definedName name="JobCenterID" localSheetId="13" hidden="0" function="0" vbProcedure="0">'[94]Job Technical Info'!$C$10</definedName>
    <definedName name="JobEndDate" localSheetId="13" hidden="0" function="0" vbProcedure="0">'[144]job info sheet'!#ref!</definedName>
    <definedName name="JobFd" localSheetId="13" hidden="0" function="0" vbProcedure="0">#ref!</definedName>
    <definedName name="JobLogCustSig" localSheetId="13" hidden="0" function="0" vbProcedure="0">#ref!</definedName>
    <definedName name="JobNumber" localSheetId="13" hidden="0" function="0" vbProcedure="0">'[129]Front Page Info'!$C$4</definedName>
    <definedName name="jobpurpose1" localSheetId="13" hidden="0" function="0" vbProcedure="0">[183]Data!$L$1:$L$65536</definedName>
    <definedName name="JobQuest" localSheetId="13" hidden="0" function="0" vbProcedure="0">#ref!</definedName>
    <definedName name="JobRefFd" localSheetId="13" hidden="0" function="0" vbProcedure="0">#ref!</definedName>
    <definedName name="JobType" localSheetId="13" hidden="0" function="0" vbProcedure="0">[6]Sheet1!$A$11:$A$16</definedName>
    <definedName name="Jobtype1" localSheetId="13" hidden="0" function="0" vbProcedure="0">[183]Data!$N$1:$N$65536</definedName>
    <definedName name="Job_date" localSheetId="13" hidden="0" function="0" vbProcedure="0">'[108]TCP-BHA'!$D$5</definedName>
    <definedName name="Job_Name" localSheetId="13" hidden="0" function="0" vbProcedure="0">'[30]Liner Job Info'!$E$5</definedName>
    <definedName name="Job_Number" localSheetId="13" hidden="0" function="0" vbProcedure="0">#ref!</definedName>
    <definedName name="Job_Quality" localSheetId="13" hidden="0" function="0" vbProcedure="0">[63]auf_screen!#ref!</definedName>
    <definedName name="Job_Type" localSheetId="13" hidden="0" function="0" vbProcedure="0">'[12]JCSI 12'!$AB$29:$AB$42</definedName>
    <definedName name="JointNumber" localSheetId="13" hidden="0" function="0" vbProcedure="0">[99]!JointNumber</definedName>
    <definedName name="JOINTNUMBER23" localSheetId="13" hidden="0" function="0" vbProcedure="0">[75]!JointNumber</definedName>
    <definedName name="JOINTNYMBER4" localSheetId="13" hidden="0" function="0" vbProcedure="0">[75]!JointNumber</definedName>
    <definedName name="JOYCE" localSheetId="13" hidden="1" function="0" vbProcedure="0">#ref!</definedName>
    <definedName name="JRJTRJT" localSheetId="13" hidden="0" function="0" vbProcedure="0">'[38]final tally '!jrjtrjt</definedName>
    <definedName name="JSA" localSheetId="13" hidden="0" function="0" vbProcedure="0">#ref!</definedName>
    <definedName name="JT" localSheetId="13" hidden="0" function="0" vbProcedure="0">[204]!JointNumber</definedName>
    <definedName name="JtCount" localSheetId="13" hidden="0" function="0" vbProcedure="0">'[79]casing talley'!#ref!</definedName>
    <definedName name="JTNFN" localSheetId="13" hidden="0" function="0" vbProcedure="0">'[38]final tally '!jtnfn</definedName>
    <definedName name="jun" localSheetId="13" hidden="1" function="0" vbProcedure="0">{#N/A,#N/A,FALSE,"Sheet1"}</definedName>
    <definedName name="June" localSheetId="13" hidden="1" function="0" vbProcedure="0">{#N/A,#N/A,FALSE,"Sheet1"}</definedName>
    <definedName name="June1" localSheetId="13" hidden="1" function="0" vbProcedure="0">{#N/A,#N/A,FALSE,"Sheet1"}</definedName>
    <definedName name="junk" localSheetId="13" hidden="0" function="0" vbProcedure="0">{#N/A,#N/A,FALSE,"Volume"}</definedName>
    <definedName name="junk1" localSheetId="13" hidden="0" function="0" vbProcedure="0">{#N/A,#N/A,FALSE,"Volume"}</definedName>
    <definedName name="junk2" localSheetId="13" hidden="0" function="0" vbProcedure="0">{#N/A,#N/A,FALSE,"Volume"}</definedName>
    <definedName name="junk3" localSheetId="13" hidden="0" function="0" vbProcedure="0">{#N/A,#N/A,FALSE,"Volume"}</definedName>
    <definedName name="junk4" localSheetId="13" hidden="0" function="0" vbProcedure="0">{#N/A,#N/A,FALSE,"Volume"}</definedName>
    <definedName name="k" localSheetId="13" hidden="1" function="0" vbProcedure="0">#ref!</definedName>
    <definedName name="Kelly_Dwn" localSheetId="13" hidden="0" function="0" vbProcedure="0">#ref!</definedName>
    <definedName name="KFactor" localSheetId="13" hidden="0" function="0" vbProcedure="0">#ref!</definedName>
    <definedName name="Kill_Fluid_Type" localSheetId="13" hidden="0" function="0" vbProcedure="0">'[108]TCP-BHA'!$G$7</definedName>
    <definedName name="Kill_Fluid_Wt" localSheetId="13" hidden="0" function="0" vbProcedure="0">'[108]TCP-BHA'!$F$7</definedName>
    <definedName name="KK" localSheetId="13" hidden="0" function="0" vbProcedure="0">DATA!Macro1</definedName>
    <definedName name="KL" localSheetId="13" hidden="0" function="0" vbProcedure="0">[149]BHA!$C$4</definedName>
    <definedName name="KO" localSheetId="13" hidden="0" function="0" vbProcedure="0">'[148]CSG13'!$F$6</definedName>
    <definedName name="kriteria" localSheetId="13" hidden="0" function="0" vbProcedure="0">[205]events!#ref!</definedName>
    <definedName name="KRR" localSheetId="13" hidden="0" function="0" vbProcedure="0">'[38]final tally '!krr</definedName>
    <definedName name="KUYUKR" localSheetId="13" hidden="0" function="0" vbProcedure="0">'[38]final tally '!kuyukr</definedName>
    <definedName name="K_1" localSheetId="13" hidden="0" function="0" vbProcedure="0">#ref!</definedName>
    <definedName name="K_2" localSheetId="13" hidden="0" function="0" vbProcedure="0">#ref!</definedName>
    <definedName name="K_Dual" localSheetId="13" hidden="0" function="0" vbProcedure="0">#ref!</definedName>
    <definedName name="L" localSheetId="13" hidden="0" function="0" vbProcedure="0">#ref!</definedName>
    <definedName name="landoffshore" localSheetId="13" hidden="0" function="0" vbProcedure="0">[57]data!#ref!</definedName>
    <definedName name="LastCsgString" localSheetId="13" hidden="0" function="0" vbProcedure="0">[11]DATA!$AU$2:$AU$4</definedName>
    <definedName name="LatColumn" localSheetId="13" hidden="0" function="0" vbProcedure="0">!#ref!</definedName>
    <definedName name="LC" localSheetId="13" hidden="0" function="0" vbProcedure="0">INDEX([111]DRAW!$J$13:$K$22,MATCH([112]AUTO_DHWS!$BC$4,[111]DRAW!$J$13:$J$22,0),2)</definedName>
    <definedName name="LCJobType" localSheetId="13" hidden="0" function="0" vbProcedure="0">'[94]Installation Results #1'!$C$306</definedName>
    <definedName name="LC_TYPE" localSheetId="13" hidden="0" function="0" vbProcedure="0">INDEX([111]DRAW!$P$68:$Q$70,MATCH([111]DRAW!$Q$67,[111]DRAW!$P$68:$P$70,0),2)</definedName>
    <definedName name="Lead_Slurry_in_12.25__OH" localSheetId="13" hidden="0" function="0" vbProcedure="0">'[150]Cmt Csg'!$C$6</definedName>
    <definedName name="lease" localSheetId="13" hidden="0" function="0" vbProcedure="0">[5]WTR!$I$6</definedName>
    <definedName name="Lease1" localSheetId="13" hidden="0" function="0" vbProcedure="0">'[108]TCP-BHA'!$A$7</definedName>
    <definedName name="Legal" localSheetId="13" hidden="0" function="0" vbProcedure="0">#ref!</definedName>
    <definedName name="Length" localSheetId="13" hidden="0" function="0" vbProcedure="0">#ref!</definedName>
    <definedName name="Lengthdb" localSheetId="13" hidden="0" function="0" vbProcedure="0">#ref!</definedName>
    <definedName name="Lengths" localSheetId="13"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engthslb" localSheetId="13" hidden="0" function="0" vbProcedure="0">#ref!</definedName>
    <definedName name="lengthstring" localSheetId="13" hidden="0" function="0" vbProcedure="0">#ref!</definedName>
    <definedName name="LengthUnit" localSheetId="13" hidden="0" function="0" vbProcedure="0">#ref!</definedName>
    <definedName name="LengthUnits" localSheetId="13" hidden="0" function="0" vbProcedure="0">#ref!</definedName>
    <definedName name="LFTS" localSheetId="13" hidden="0" function="0" vbProcedure="0">#ref!</definedName>
    <definedName name="Likelihood" localSheetId="13" hidden="0" function="0" vbProcedure="0">[125]Sheet2!$C$1:$C$5</definedName>
    <definedName name="Liner1_Burst" localSheetId="13" hidden="0" function="0" vbProcedure="0">'[11]Metric Conversions'!$B$45</definedName>
    <definedName name="Liner1_Cap" localSheetId="13" hidden="0" function="0" vbProcedure="0">'[11]Liner Job Info'!$P$17</definedName>
    <definedName name="Liner1_ID" localSheetId="13" hidden="0" function="0" vbProcedure="0">'[11]Liner Job Info'!$D$17</definedName>
    <definedName name="Liner1_Length" localSheetId="13" hidden="0" function="0" vbProcedure="0">'[130]Metric Conversions'!$B$17</definedName>
    <definedName name="Liner1_OD" localSheetId="13" hidden="0" function="0" vbProcedure="0">'[130]Liner Job Info'!$C$17</definedName>
    <definedName name="Liner1_Thread" localSheetId="13" hidden="0" function="0" vbProcedure="0">'[130]Liner Job Info'!$H$17</definedName>
    <definedName name="Liner1_Wt_in_Mud" localSheetId="13" hidden="0" function="0" vbProcedure="0">'[11]Weight Calculations'!$H$16</definedName>
    <definedName name="Liner1_Wt_Per_Ft" localSheetId="13" hidden="0" function="0" vbProcedure="0">'[130]Liner Job Info'!$E$17</definedName>
    <definedName name="Liner2_Burst" localSheetId="13" hidden="0" function="0" vbProcedure="0">'[11]Metric Conversions'!$B$46</definedName>
    <definedName name="Liner2_Cap" localSheetId="13" hidden="0" function="0" vbProcedure="0">'[11]Liner Job Info'!$P$18</definedName>
    <definedName name="Liner2_ID" localSheetId="13" hidden="0" function="0" vbProcedure="0">'[11]Liner Job Info'!$D$18</definedName>
    <definedName name="Liner2_Length" localSheetId="13" hidden="0" function="0" vbProcedure="0">'[130]Metric Conversions'!$B$18</definedName>
    <definedName name="Liner2_OD" localSheetId="13" hidden="0" function="0" vbProcedure="0">'[130]Liner Job Info'!$C$18</definedName>
    <definedName name="Liner2_Thread" localSheetId="13" hidden="0" function="0" vbProcedure="0">'[130]Liner Job Info'!$H$18</definedName>
    <definedName name="Liner2_Wt_in_Mud" localSheetId="13" hidden="0" function="0" vbProcedure="0">'[11]Weight Calculations'!$H$17</definedName>
    <definedName name="Liner2_Wt_Per_FT" localSheetId="13" hidden="0" function="0" vbProcedure="0">'[130]Liner Job Info'!$E$18</definedName>
    <definedName name="Linertype" localSheetId="13" hidden="0" function="0" vbProcedure="0">[11]DATA!$W$2:$W$12</definedName>
    <definedName name="Liner_I.D." localSheetId="13" hidden="0" function="0" vbProcedure="0">'[108]Job Calculation Sheet'!$F$14</definedName>
    <definedName name="Liner_ID_Area" localSheetId="13" hidden="0" function="0" vbProcedure="0">[11]Test!$V$40</definedName>
    <definedName name="Liner_Size" localSheetId="13" hidden="0" function="0" vbProcedure="0">'[108]Pre-Job Info Sheet'!$D$17</definedName>
    <definedName name="Liner_Top__MD" localSheetId="13" hidden="0" function="0" vbProcedure="0">'[108]Pre-Job Info Sheet'!$D$19</definedName>
    <definedName name="Liner_Weight" localSheetId="13" hidden="0" function="0" vbProcedure="0">'[108]Pre-Job Info Sheet'!$D$18</definedName>
    <definedName name="listcode" localSheetId="13" hidden="0" function="0" vbProcedure="0">#ref!</definedName>
    <definedName name="Lithology" localSheetId="13" hidden="0" function="0" vbProcedure="0">#ref!</definedName>
    <definedName name="lkj" localSheetId="13" hidden="1" function="0" vbProcedure="0">[103]Run!$B$18:$B$512</definedName>
    <definedName name="ll" localSheetId="13" hidden="0" function="0" vbProcedure="0">#ref!</definedName>
    <definedName name="Lnr1_Grade" localSheetId="13" hidden="0" function="0" vbProcedure="0">'[130]Liner Job Info'!$F$17</definedName>
    <definedName name="Lnr1_Vol" localSheetId="13" hidden="0" function="0" vbProcedure="0">'[11]Metric Conversions'!$B$77</definedName>
    <definedName name="Lnr2_Grade" localSheetId="13" hidden="0" function="0" vbProcedure="0">'[130]Liner Job Info'!$F$18</definedName>
    <definedName name="Lnr2_Vol" localSheetId="13" hidden="0" function="0" vbProcedure="0">'[11]Metric Conversions'!$B$78</definedName>
    <definedName name="LnrDrift1" localSheetId="13" hidden="0" function="0" vbProcedure="0">'[94]Job Technical Info'!$G$29</definedName>
    <definedName name="LnrDrift2" localSheetId="13" hidden="0" function="0" vbProcedure="0">'[94]Job Technical Info'!$G$30</definedName>
    <definedName name="LnrGrd1" localSheetId="13" hidden="0" function="0" vbProcedure="0">'[94]Job Technical Info'!$H$29</definedName>
    <definedName name="LnrGrd2" localSheetId="13" hidden="0" function="0" vbProcedure="0">'[94]Job Technical Info'!$H$30</definedName>
    <definedName name="LnrID1" localSheetId="13" hidden="0" function="0" vbProcedure="0">'[94]Job Technical Info'!$F$29</definedName>
    <definedName name="LnrID2" localSheetId="13" hidden="0" function="0" vbProcedure="0">'[94]Job Technical Info'!$F$30</definedName>
    <definedName name="LnrSz1" localSheetId="13" hidden="0" function="0" vbProcedure="0">'[94]Job Technical Info'!$D$29</definedName>
    <definedName name="LnrSz2" localSheetId="13" hidden="0" function="0" vbProcedure="0">'[94]Job Technical Info'!$D$30</definedName>
    <definedName name="LnrThd1" localSheetId="13" hidden="0" function="0" vbProcedure="0">'[94]Job Technical Info'!$J$29</definedName>
    <definedName name="LnrThd2" localSheetId="13" hidden="0" function="0" vbProcedure="0">'[94]Job Technical Info'!$J$30</definedName>
    <definedName name="LnrWt1" localSheetId="13" hidden="0" function="0" vbProcedure="0">'[94]Job Technical Info'!$E$29</definedName>
    <definedName name="LnrWt2" localSheetId="13" hidden="0" function="0" vbProcedure="0">'[94]Job Technical Info'!$E$30</definedName>
    <definedName name="Lnr_Shoe_Depth" localSheetId="13" hidden="0" function="0" vbProcedure="0">'[130]Metric Conversions'!$B$29</definedName>
    <definedName name="Loaded" localSheetId="13" hidden="0" function="0" vbProcedure="0">'[108]Pre-Job Info Sheet'!$B$19</definedName>
    <definedName name="Location" localSheetId="13" hidden="0" function="0" vbProcedure="0">[63]auf_screen!#ref!</definedName>
    <definedName name="LodSheet" localSheetId="13" hidden="0" function="0" vbProcedure="0">#ref!</definedName>
    <definedName name="LOGGER" localSheetId="13" hidden="0" function="0" vbProcedure="0">[209]!Calculate_Pipe</definedName>
    <definedName name="Logo" localSheetId="13" hidden="0" function="0" vbProcedure="0">#ref!</definedName>
    <definedName name="Logoo" localSheetId="13" hidden="0" function="0" vbProcedure="0">#ref!</definedName>
    <definedName name="LongColumn" localSheetId="13" hidden="0" function="0" vbProcedure="0">!#ref!</definedName>
    <definedName name="lotd" localSheetId="13" hidden="0" function="0" vbProcedure="0">#ref!</definedName>
    <definedName name="lotmw" localSheetId="13" hidden="0" function="0" vbProcedure="0">#ref!</definedName>
    <definedName name="lotp" localSheetId="13" hidden="0" function="0" vbProcedure="0">#ref!</definedName>
    <definedName name="loudout" localSheetId="13" hidden="1" function="0" vbProcedure="0">[151]Run!$D$15:$D$512</definedName>
    <definedName name="LS" localSheetId="13" hidden="0" function="0" vbProcedure="0">'[196]amberjack a32ream'!#ref!</definedName>
    <definedName name="LSA" localSheetId="13" hidden="0" function="0" vbProcedure="0">[213]!Calculate_Pipe</definedName>
    <definedName name="LSD" localSheetId="13" hidden="0" function="0" vbProcedure="0">'[144]job info sheet'!#ref!</definedName>
    <definedName name="LStringW" localSheetId="13" hidden="0" function="0" vbProcedure="0">#ref!</definedName>
    <definedName name="LSV" localSheetId="13" hidden="0" function="0" vbProcedure="0">#ref!</definedName>
    <definedName name="LTP" localSheetId="13" hidden="0" function="0" vbProcedure="0">INDEX([111]DRAW!$D$14:$E$15,MATCH([112]AUTO_DHWS!$BB$7,[111]DRAW!$D$14:$D$15,0),2)</definedName>
    <definedName name="LTV" localSheetId="13" hidden="0" function="0" vbProcedure="0">#ref!</definedName>
    <definedName name="LTVCor" localSheetId="13" hidden="0" function="0" vbProcedure="0">#ref!</definedName>
    <definedName name="LU" localSheetId="13" hidden="0" function="0" vbProcedure="0">#ref!</definedName>
    <definedName name="LUCF" localSheetId="13" hidden="0" function="0" vbProcedure="0">#ref!</definedName>
    <definedName name="LWD_Conns" localSheetId="13" hidden="0" function="0" vbProcedure="0">#ref!</definedName>
    <definedName name="LWD_Sizes" localSheetId="13" hidden="0" function="0" vbProcedure="0">#ref!</definedName>
    <definedName name="M" localSheetId="13" hidden="1" function="0" vbProcedure="0">#ref!</definedName>
    <definedName name="Macro112" localSheetId="13" hidden="0" function="0" vbProcedure="0">[59]!Macro59</definedName>
    <definedName name="Macro22_1" localSheetId="13" hidden="0" function="0" vbProcedure="0">data!macro22</definedName>
    <definedName name="Macro22_10" localSheetId="13" hidden="0" function="0" vbProcedure="0">data!macro22</definedName>
    <definedName name="Macro22_11" localSheetId="13" hidden="0" function="0" vbProcedure="0">data!macro22</definedName>
    <definedName name="Macro22_2" localSheetId="13" hidden="0" function="0" vbProcedure="0">data!macro22</definedName>
    <definedName name="Macro22_3" localSheetId="13" hidden="0" function="0" vbProcedure="0">data!macro22</definedName>
    <definedName name="Macro22_4" localSheetId="13" hidden="0" function="0" vbProcedure="0">data!macro22</definedName>
    <definedName name="Macro22_5" localSheetId="13" hidden="0" function="0" vbProcedure="0">data!macro22</definedName>
    <definedName name="Macro22_6" localSheetId="13" hidden="0" function="0" vbProcedure="0">data!macro22</definedName>
    <definedName name="Macro22_7" localSheetId="13" hidden="0" function="0" vbProcedure="0">data!macro22</definedName>
    <definedName name="Macro22_8" localSheetId="13" hidden="0" function="0" vbProcedure="0">data!macro22</definedName>
    <definedName name="Macro22_9" localSheetId="13" hidden="0" function="0" vbProcedure="0">data!macro22</definedName>
    <definedName name="Macro233" localSheetId="13" hidden="0" function="0" vbProcedure="0">DATA!Macro1</definedName>
    <definedName name="Macro2_1" localSheetId="13" hidden="0" function="0" vbProcedure="0">data!macro2</definedName>
    <definedName name="Macro2_10" localSheetId="13" hidden="0" function="0" vbProcedure="0">data!macro2</definedName>
    <definedName name="Macro2_11" localSheetId="13" hidden="0" function="0" vbProcedure="0">data!macro2</definedName>
    <definedName name="Macro2_2" localSheetId="13" hidden="0" function="0" vbProcedure="0">data!macro2</definedName>
    <definedName name="Macro2_3" localSheetId="13" hidden="0" function="0" vbProcedure="0">data!macro2</definedName>
    <definedName name="Macro2_4" localSheetId="13" hidden="0" function="0" vbProcedure="0">data!macro2</definedName>
    <definedName name="Macro2_5" localSheetId="13" hidden="0" function="0" vbProcedure="0">data!macro2</definedName>
    <definedName name="Macro2_6" localSheetId="13" hidden="0" function="0" vbProcedure="0">data!macro2</definedName>
    <definedName name="Macro2_7" localSheetId="13" hidden="0" function="0" vbProcedure="0">data!macro2</definedName>
    <definedName name="Macro2_8" localSheetId="13" hidden="0" function="0" vbProcedure="0">data!macro2</definedName>
    <definedName name="Macro2_9" localSheetId="13" hidden="0" function="0" vbProcedure="0">data!macro2</definedName>
    <definedName name="Macro3_1" localSheetId="13" hidden="0" function="0" vbProcedure="0">data!macro3</definedName>
    <definedName name="Macro3_10" localSheetId="13" hidden="0" function="0" vbProcedure="0">data!macro3</definedName>
    <definedName name="Macro3_11" localSheetId="13" hidden="0" function="0" vbProcedure="0">data!macro3</definedName>
    <definedName name="Macro3_2" localSheetId="13" hidden="0" function="0" vbProcedure="0">data!macro3</definedName>
    <definedName name="Macro3_3" localSheetId="13" hidden="0" function="0" vbProcedure="0">data!macro3</definedName>
    <definedName name="Macro3_4" localSheetId="13" hidden="0" function="0" vbProcedure="0">data!macro3</definedName>
    <definedName name="Macro3_5" localSheetId="13" hidden="0" function="0" vbProcedure="0">data!macro3</definedName>
    <definedName name="Macro3_6" localSheetId="13" hidden="0" function="0" vbProcedure="0">data!macro3</definedName>
    <definedName name="Macro3_7" localSheetId="13" hidden="0" function="0" vbProcedure="0">data!macro3</definedName>
    <definedName name="Macro3_8" localSheetId="13" hidden="0" function="0" vbProcedure="0">data!macro3</definedName>
    <definedName name="Macro3_9" localSheetId="13" hidden="0" function="0" vbProcedure="0">data!macro3</definedName>
    <definedName name="Macro46" localSheetId="13" hidden="0" function="0" vbProcedure="0">[38]!Macro46</definedName>
    <definedName name="Macro59" localSheetId="13" hidden="0" function="0" vbProcedure="0">[38]!Macro59</definedName>
    <definedName name="Macro60" localSheetId="13" hidden="0" function="0" vbProcedure="0">[38]!Macro60</definedName>
    <definedName name="Macro61" localSheetId="13" hidden="0" function="0" vbProcedure="0">[38]!Macro61</definedName>
    <definedName name="MagDec" localSheetId="13" hidden="0" function="0" vbProcedure="0">#ref!</definedName>
    <definedName name="MagDip" localSheetId="13" hidden="0" function="0" vbProcedure="0">#ref!</definedName>
    <definedName name="MagneticDeclDate" localSheetId="13" hidden="0" function="0" vbProcedure="0">#ref!</definedName>
    <definedName name="MagneticDeclination" localSheetId="13" hidden="0" function="0" vbProcedure="0">#ref!</definedName>
    <definedName name="MagneticDeclModel" localSheetId="13" hidden="0" function="0" vbProcedure="0">#ref!</definedName>
    <definedName name="Make_Up_Torque_Of_Weak_Link" localSheetId="13" hidden="0" function="0" vbProcedure="0">'[11]Liner Job Info'!$P$50</definedName>
    <definedName name="MaPSDensity" localSheetId="13" hidden="0" function="0" vbProcedure="0">'[94]SetUp Tab'!$G$25</definedName>
    <definedName name="MaPSDiameter" localSheetId="13" hidden="0" function="0" vbProcedure="0">'[94]SetUp Tab'!$G$23</definedName>
    <definedName name="MaPSFlowRate" localSheetId="13" hidden="0" function="0" vbProcedure="0">'[94]SetUp Tab'!$G$26</definedName>
    <definedName name="MaPSLength" localSheetId="13" hidden="0" function="0" vbProcedure="0">'[94]SetUp Tab'!$E$23</definedName>
    <definedName name="MaPSMass" localSheetId="13" hidden="0" function="0" vbProcedure="0">[94]Lists!$BJ$3</definedName>
    <definedName name="MaPSPressure" localSheetId="13" hidden="0" function="0" vbProcedure="0">'[94]SetUp Tab'!$G$24</definedName>
    <definedName name="MaPSTemp" localSheetId="13" hidden="0" function="0" vbProcedure="0">'[94]SetUp Tab'!$E$26</definedName>
    <definedName name="MaPSWeight" localSheetId="13" hidden="0" function="0" vbProcedure="0">'[94]SetUp Tab'!$E$24</definedName>
    <definedName name="marrupees" localSheetId="13" hidden="0" function="0" vbProcedure="0">'[152]Cash Expsense March-96'!$H$6</definedName>
    <definedName name="masp" localSheetId="13" hidden="0" function="0" vbProcedure="0">#ref!</definedName>
    <definedName name="Material" localSheetId="13" hidden="0" function="0" vbProcedure="0">[11]DATA!$I$3:$I$22</definedName>
    <definedName name="Max" localSheetId="13" hidden="0" function="0" vbProcedure="0">#ref!</definedName>
    <definedName name="Max._Deviation" localSheetId="13" hidden="0" function="0" vbProcedure="0">'[108]Pre-Job Info Sheet'!$B$36</definedName>
    <definedName name="MaxDev" localSheetId="13" hidden="0" function="0" vbProcedure="0">'[94]Job Technical Info'!$F$41</definedName>
    <definedName name="MaxDeviationFd" localSheetId="13" hidden="0" function="0" vbProcedure="0">#ref!</definedName>
    <definedName name="MaxDHole" localSheetId="13" hidden="0" function="0" vbProcedure="0">#ref!</definedName>
    <definedName name="MaxOdUnits" localSheetId="13" hidden="0" function="0" vbProcedure="0">#ref!</definedName>
    <definedName name="MaxSurface" localSheetId="13" hidden="0" function="0" vbProcedure="0">#ref!</definedName>
    <definedName name="MaxTempdb" localSheetId="13" hidden="0" function="0" vbProcedure="0">#ref!</definedName>
    <definedName name="MaxTempslb" localSheetId="13" hidden="0" function="0" vbProcedure="0">#ref!</definedName>
    <definedName name="maxtempstring" localSheetId="13" hidden="0" function="0" vbProcedure="0">#ref!</definedName>
    <definedName name="Max_Bump_psi" localSheetId="13" hidden="0" function="0" vbProcedure="0">'[11]Metric Conversions'!$B$59</definedName>
    <definedName name="Max_Test_Cmt_Setup" localSheetId="13" hidden="0" function="0" vbProcedure="0">'[11]Metric Conversions'!$B$62</definedName>
    <definedName name="Max_Test_Seals_In" localSheetId="13" hidden="0" function="0" vbProcedure="0">'[11]Metric Conversions'!$B$61</definedName>
    <definedName name="Max_test_seals_out" localSheetId="13" hidden="0" function="0" vbProcedure="0">'[11]Metric Conversions'!$B$60</definedName>
    <definedName name="Max_Turns" localSheetId="13" hidden="0" function="0" vbProcedure="0">'[11]Weight Calculations'!$T$36</definedName>
    <definedName name="mccv" localSheetId="13" hidden="0" function="0" vbProcedure="0">#ref!</definedName>
    <definedName name="MDData" localSheetId="13" hidden="0" function="0" vbProcedure="0">OFFSET([133]!mdforinclination,2,0,COUNT(#ref!),1)</definedName>
    <definedName name="MD_Column" localSheetId="13" hidden="0" function="0" vbProcedure="0">!#ref!</definedName>
    <definedName name="MD_Unit" localSheetId="13" hidden="0" function="0" vbProcedure="0">#ref!</definedName>
    <definedName name="MENU" localSheetId="13" hidden="0" function="0" vbProcedure="0">#ref!</definedName>
    <definedName name="MeteringTime" localSheetId="13" hidden="0" function="0" vbProcedure="0">[11]DATA!$BG$2:$BG$42</definedName>
    <definedName name="MFS" localSheetId="13" hidden="0" function="0" vbProcedure="0">#ref!</definedName>
    <definedName name="Min" localSheetId="13" hidden="0" function="0" vbProcedure="0">#ref!</definedName>
    <definedName name="Min._Ten_Sett_Tool_Assy" localSheetId="13" hidden="0" function="0" vbProcedure="0">'[11]Weight Calculations'!$S$60</definedName>
    <definedName name="Mind" localSheetId="13" hidden="0" function="0" vbProcedure="0">#ref!</definedName>
    <definedName name="MinDHole" localSheetId="13" hidden="0" function="0" vbProcedure="0">#ref!</definedName>
    <definedName name="MinDownhole" localSheetId="13" hidden="0" function="0" vbProcedure="0">#ref!</definedName>
    <definedName name="MinE" localSheetId="13" hidden="0" function="0" vbProcedure="0">#ref!</definedName>
    <definedName name="MinSurface" localSheetId="13" hidden="0" function="0" vbProcedure="0">#ref!</definedName>
    <definedName name="Min_DP_Tens" localSheetId="13" hidden="0" function="0" vbProcedure="0">'[11]Weight Calculations'!$W$61</definedName>
    <definedName name="MiStringW" localSheetId="13" hidden="0" function="0" vbProcedure="0">#ref!</definedName>
    <definedName name="Module1.draw_productionfirst" localSheetId="13" hidden="0" function="0" vbProcedure="0">'[38]final tally '!module1.draw_productionfirst</definedName>
    <definedName name="Module1.draw_productionsecond" localSheetId="13" hidden="0" function="0" vbProcedure="0">'[38]final tally '!module1.draw_productionsecond</definedName>
    <definedName name="Module1.impdwg_1" localSheetId="13" hidden="0" function="0" vbProcedure="0">data!module1.impdwg</definedName>
    <definedName name="Module1.impdwg_10" localSheetId="13" hidden="0" function="0" vbProcedure="0">data!module1.impdwg</definedName>
    <definedName name="Module1.impdwg_11" localSheetId="13" hidden="0" function="0" vbProcedure="0">data!module1.impdwg</definedName>
    <definedName name="Module1.impdwg_2" localSheetId="13" hidden="0" function="0" vbProcedure="0">data!module1.impdwg</definedName>
    <definedName name="Module1.impdwg_3" localSheetId="13" hidden="0" function="0" vbProcedure="0">data!module1.impdwg</definedName>
    <definedName name="Module1.impdwg_4" localSheetId="13" hidden="0" function="0" vbProcedure="0">data!module1.impdwg</definedName>
    <definedName name="Module1.impdwg_5" localSheetId="13" hidden="0" function="0" vbProcedure="0">data!module1.impdwg</definedName>
    <definedName name="Module1.impdwg_6" localSheetId="13" hidden="0" function="0" vbProcedure="0">data!module1.impdwg</definedName>
    <definedName name="Module1.impdwg_7" localSheetId="13" hidden="0" function="0" vbProcedure="0">data!module1.impdwg</definedName>
    <definedName name="Module1.impdwg_8" localSheetId="13" hidden="0" function="0" vbProcedure="0">data!module1.impdwg</definedName>
    <definedName name="Module1.impdwg_9" localSheetId="13" hidden="0" function="0" vbProcedure="0">data!module1.impdwg</definedName>
    <definedName name="Module4.drawblanks" localSheetId="13" hidden="0" function="0" vbProcedure="0">'[38]final tally '!module4.drawblanks</definedName>
    <definedName name="Module4.drawlinerfirst" localSheetId="13" hidden="0" function="0" vbProcedure="0">'[38]final tally '!module4.drawlinerfirst</definedName>
    <definedName name="Module4.drawlinersecond" localSheetId="13" hidden="0" function="0" vbProcedure="0">'[38]final tally '!module4.drawlinersecond</definedName>
    <definedName name="Module4.drawmiscellaneous" localSheetId="13" hidden="0" function="0" vbProcedure="0">'[38]final tally '!module4.drawmiscellaneous</definedName>
    <definedName name="Module4.drawproductionfirst" localSheetId="13" hidden="0" function="0" vbProcedure="0">'[38]final tally '!module4.drawproductionfirst</definedName>
    <definedName name="Module4.drawproductionsecond" localSheetId="13" hidden="0" function="0" vbProcedure="0">'[38]final tally '!module4.drawproductionsecond</definedName>
    <definedName name="Module4.drawquantum" localSheetId="13" hidden="0" function="0" vbProcedure="0">'[38]final tally '!module4.drawquantum</definedName>
    <definedName name="Module4.drawscreens" localSheetId="13" hidden="0" function="0" vbProcedure="0">'[38]final tally '!module4.drawscreens</definedName>
    <definedName name="Module4.drawshearsubs" localSheetId="13" hidden="0" function="0" vbProcedure="0">'[38]final tally '!module4.drawshearsubs</definedName>
    <definedName name="Module4.drawsump" localSheetId="13" hidden="0" function="0" vbProcedure="0">'[38]final tally '!module4.drawsump</definedName>
    <definedName name="Module4.textfive" localSheetId="13" hidden="0" function="0" vbProcedure="0">'[38]final tally '!module4.textfive</definedName>
    <definedName name="Module4.textfivehalf" localSheetId="13" hidden="0" function="0" vbProcedure="0">'[38]final tally '!module4.textfivehalf</definedName>
    <definedName name="Module4.textninefiveeightfourfirst" localSheetId="13" hidden="0" function="0" vbProcedure="0">'[38]final tally '!module4.textninefiveeightfourfirst</definedName>
    <definedName name="Module4.textninefiveeightfoursecond" localSheetId="13" hidden="0" function="0" vbProcedure="0">'[38]final tally '!module4.textninefiveeightfoursecond</definedName>
    <definedName name="Module4.textninefiveeightsixfirst" localSheetId="13" hidden="0" function="0" vbProcedure="0">'[38]final tally '!module4.textninefiveeightsixfirst</definedName>
    <definedName name="Module4.textninefiveeightsixsecond" localSheetId="13" hidden="0" function="0" vbProcedure="0">'[38]final tally '!module4.textninefiveeightsixsecond</definedName>
    <definedName name="Module4.textsevenfiveeightfour" localSheetId="13" hidden="0" function="0" vbProcedure="0">'[38]final tally '!module4.textsevenfiveeightfour</definedName>
    <definedName name="Module4.textsevenfiveeightthree" localSheetId="13" hidden="0" function="0" vbProcedure="0">'[38]final tally '!module4.textsevenfiveeightthree</definedName>
    <definedName name="Module4.textsevenfour" localSheetId="13" hidden="0" function="0" vbProcedure="0">'[38]final tally '!module4.textsevenfour</definedName>
    <definedName name="Module4.textseventhree" localSheetId="13" hidden="0" function="0" vbProcedure="0">'[38]final tally '!module4.textseventhree</definedName>
    <definedName name="MOE" localSheetId="13" hidden="0" function="0" vbProcedure="0">#ref!</definedName>
    <definedName name="Month" localSheetId="13" hidden="0" function="0" vbProcedure="0">[63]auf_screen!#ref!</definedName>
    <definedName name="monthref" localSheetId="13" hidden="0" function="0" vbProcedure="0">[184]References!$H$1:$I$12</definedName>
    <definedName name="MorningReport" localSheetId="13" hidden="0" function="0" vbProcedure="0">'[218]morning report'!#ref!</definedName>
    <definedName name="MotorYN" localSheetId="13" hidden="0" function="0" vbProcedure="0">#ref!</definedName>
    <definedName name="MOTOR_LENGTH" localSheetId="13" hidden="0" function="0" vbProcedure="0">#ref!</definedName>
    <definedName name="MOTOR_WEIGHT" localSheetId="13" hidden="0" function="0" vbProcedure="0">#ref!</definedName>
    <definedName name="mr" localSheetId="13" hidden="1" function="0" vbProcedure="0">{#N/A,#N/A,FALSE,"Sheet1"}</definedName>
    <definedName name="mrjanstring" localSheetId="13" hidden="0" function="0" vbProcedure="0">#ref!</definedName>
    <definedName name="MStringW" localSheetId="13" hidden="0" function="0" vbProcedure="0">#ref!</definedName>
    <definedName name="MudFunnelViscosity" localSheetId="13" hidden="0" function="0" vbProcedure="0">#ref!</definedName>
    <definedName name="MudFunnelViscosityUnits" localSheetId="13" hidden="0" function="0" vbProcedure="0">#ref!</definedName>
    <definedName name="MudHW" localSheetId="13" hidden="0" function="0" vbProcedure="0">#ref!</definedName>
    <definedName name="MudPV" localSheetId="13" hidden="0" function="0" vbProcedure="0">#ref!</definedName>
    <definedName name="MudPVUnits" localSheetId="13" hidden="0" function="0" vbProcedure="0">#ref!</definedName>
    <definedName name="Mudtype" localSheetId="13" hidden="0" function="0" vbProcedure="0">[11]DATA!$N$2:$N$18</definedName>
    <definedName name="MudTypeFd" localSheetId="13" hidden="0" function="0" vbProcedure="0">#ref!</definedName>
    <definedName name="MudTypes" localSheetId="13" hidden="0" function="0" vbProcedure="0">#ref!</definedName>
    <definedName name="MudUnit" localSheetId="13" hidden="0" function="0" vbProcedure="0">#ref!</definedName>
    <definedName name="MudWeight" localSheetId="13" hidden="0" function="0" vbProcedure="0">#ref!</definedName>
    <definedName name="MudWeightUnits" localSheetId="13" hidden="0" function="0" vbProcedure="0">#ref!</definedName>
    <definedName name="Mudwt" localSheetId="13" hidden="0" function="0" vbProcedure="0">"Dialog2_Edit Box 5"</definedName>
    <definedName name="MudYP" localSheetId="13" hidden="0" function="0" vbProcedure="0">#ref!</definedName>
    <definedName name="MudYPUnits" localSheetId="13" hidden="0" function="0" vbProcedure="0">#ref!</definedName>
    <definedName name="Mud_Type" localSheetId="13" hidden="0" function="0" vbProcedure="0">'[7]Drop-Down Items'!$D$4:$D$14</definedName>
    <definedName name="Mud_Wt" localSheetId="13" hidden="0" function="0" vbProcedure="0">'[130]Metric Conversions'!$B$66</definedName>
    <definedName name="MULE_SHOE_DEPTH" localSheetId="13" hidden="0" function="0" vbProcedure="0">'[113]#REF'!$F$182</definedName>
    <definedName name="MW" localSheetId="13" hidden="0" function="0" vbProcedure="0">#ref!,#ref!,#ref!,#ref!,#ref!</definedName>
    <definedName name="MWD" localSheetId="13" hidden="0" function="0" vbProcedure="0">[6]Sheet1!$F$10:$F$12</definedName>
    <definedName name="MWD_Bottom_Conn" localSheetId="13" hidden="0" function="0" vbProcedure="0">#ref!</definedName>
    <definedName name="MWD_Flows" localSheetId="13" hidden="0" function="0" vbProcedure="0">#ref!</definedName>
    <definedName name="MWD_Sizes" localSheetId="13" hidden="0" function="0" vbProcedure="0">#ref!</definedName>
    <definedName name="MWD_Top_Conn" localSheetId="13" hidden="0" function="0" vbProcedure="0">#ref!</definedName>
    <definedName name="my" localSheetId="13" hidden="0" function="0" vbProcedure="0">[151]!JointNumber</definedName>
    <definedName name="m_choke" localSheetId="13" hidden="0" function="0" vbProcedure="0">'[96]well test sheet'!#ref!</definedName>
    <definedName name="M_Dual" localSheetId="13" hidden="0" function="0" vbProcedure="0">#ref!</definedName>
    <definedName name="M___Malabo" localSheetId="13" hidden="0" function="0" vbProcedure="0">#ref!</definedName>
    <definedName name="n" localSheetId="13" hidden="0" function="0" vbProcedure="0">'[38]final tally '!n</definedName>
    <definedName name="N2_Precharge" localSheetId="13" hidden="0" function="0" vbProcedure="0">'[108]Tester Valve Calcs'!$F$16</definedName>
    <definedName name="N2_Press_DH" localSheetId="13" hidden="0" function="0" vbProcedure="0">'[108]Tester Valve Calcs'!$F$29</definedName>
    <definedName name="N2_Stroke" localSheetId="13" hidden="0" function="0" vbProcedure="0">'[108]Tester Valve Calcs'!$M$18</definedName>
    <definedName name="N2_Temp_DH" localSheetId="13" hidden="0" function="0" vbProcedure="0">'[108]Tester Valve Calcs'!$F$22</definedName>
    <definedName name="N2_Temp_Surf" localSheetId="13" hidden="0" function="0" vbProcedure="0">'[108]Tester Valve Calcs'!$F$17</definedName>
    <definedName name="N2_Vol_DH" localSheetId="13" hidden="0" function="0" vbProcedure="0">'[108]Tester Valve Calcs'!$F$25</definedName>
    <definedName name="N2_Vol_Surf" localSheetId="13" hidden="0" function="0" vbProcedure="0">'[108]Tester Valve Calcs'!$F$14</definedName>
    <definedName name="name" localSheetId="13" hidden="0" function="0" vbProcedure="0">#ref!</definedName>
    <definedName name="nb" localSheetId="13" hidden="0" function="0" vbProcedure="0">'[186]井口装置示意图-4'!$E$1:$E$65536</definedName>
    <definedName name="NEBRIGS" localSheetId="13" hidden="0" function="0" vbProcedure="0">[184]References!$D$1:$D$15</definedName>
    <definedName name="Neck" localSheetId="13" hidden="0" function="0" vbProcedure="0">#ref!</definedName>
    <definedName name="netperf" localSheetId="13" hidden="0" function="0" vbProcedure="0">[5]WTR!$G$33</definedName>
    <definedName name="NET_PERFS" localSheetId="13" hidden="0" function="0" vbProcedure="0">'[113]#REF'!$F$20</definedName>
    <definedName name="NewData" localSheetId="13" hidden="0" function="0" vbProcedure="0">'[183]New Contract'!$A$1:$G$65536</definedName>
    <definedName name="NewDes" localSheetId="13" hidden="0" function="0" vbProcedure="0">'[183]New Contract'!$A$1:$A$65536</definedName>
    <definedName name="newrisk" localSheetId="13" hidden="0" function="0" vbProcedure="0">[125]Sheet2!$D$1:$D$3</definedName>
    <definedName name="NextTD" localSheetId="13" hidden="0" function="0" vbProcedure="0">'[153]Lookahd EA'!$E$1:$N$3</definedName>
    <definedName name="ng"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3" hidden="0" function="0" vbProcedure="0">'[7]#ref'!#ref!</definedName>
    <definedName name="Nipples" localSheetId="13" hidden="0" function="0" vbProcedure="0">#ref!</definedName>
    <definedName name="NM" localSheetId="13" hidden="0" function="0" vbProcedure="0">[18]!Macro1</definedName>
    <definedName name="NNomLength" localSheetId="13" hidden="0" function="0" vbProcedure="0">#ref!</definedName>
    <definedName name="No" localSheetId="13" hidden="0" function="0" vbProcedure="0">'[154]BPR LOG'!$A$1:$A$1048576</definedName>
    <definedName name="NorthingColumn" localSheetId="13" hidden="0" function="0" vbProcedure="0">!#ref!</definedName>
    <definedName name="NorthingUnit" localSheetId="13" hidden="0" function="0" vbProcedure="0">#ref!</definedName>
    <definedName name="NorthReference" localSheetId="13" hidden="0" function="0" vbProcedure="0">#ref!</definedName>
    <definedName name="NosOfTubing" localSheetId="13" hidden="0" function="0" vbProcedure="0">#ref!</definedName>
    <definedName name="NoSystem" localSheetId="13" hidden="0" function="0" vbProcedure="0">#ref!,#ref!</definedName>
    <definedName name="noz_5" localSheetId="13" hidden="0" function="0" vbProcedure="0">#ref!</definedName>
    <definedName name="noz_6" localSheetId="13" hidden="0" function="0" vbProcedure="0">#ref!</definedName>
    <definedName name="NS_Column" localSheetId="13" hidden="0" function="0" vbProcedure="0">!#ref!</definedName>
    <definedName name="NS_Unit" localSheetId="13" hidden="0" function="0" vbProcedure="0">#ref!</definedName>
    <definedName name="NuclearTools" localSheetId="13" hidden="0" function="0" vbProcedure="0">#ref!</definedName>
    <definedName name="O" localSheetId="13" hidden="0" function="0" vbProcedure="0">'[155]Report Long(Esso)'!$E$4</definedName>
    <definedName name="OD" localSheetId="13" hidden="0" function="0" vbProcedure="0">#ref!</definedName>
    <definedName name="OD1_Rotating_Name" localSheetId="13" hidden="0" function="0" vbProcedure="0">#ref!</definedName>
    <definedName name="OD2_Rotating_Name" localSheetId="13" hidden="0" function="0" vbProcedure="0">#ref!</definedName>
    <definedName name="odcasing" localSheetId="13" hidden="0" function="0" vbProcedure="0">[106]Data!$J$16</definedName>
    <definedName name="ODdb" localSheetId="13" hidden="0" function="0" vbProcedure="0">#ref!</definedName>
    <definedName name="OdIdUnits" localSheetId="13" hidden="0" function="0" vbProcedure="0">#ref!</definedName>
    <definedName name="ODSizes" localSheetId="13" hidden="0" function="0" vbProcedure="0">[94]Lists!$AF$3:$AF$42</definedName>
    <definedName name="odslb" localSheetId="13" hidden="0" function="0" vbProcedure="0">#ref!</definedName>
    <definedName name="odstring" localSheetId="13" hidden="0" function="0" vbProcedure="0">#ref!</definedName>
    <definedName name="ODUnit" localSheetId="13" hidden="0" function="0" vbProcedure="0">'[94]Job Technical Info'!$D$24</definedName>
    <definedName name="odworkstring" localSheetId="13" hidden="0" function="0" vbProcedure="0">[106]Data!$W$18</definedName>
    <definedName name="Offshore_Block" localSheetId="13" hidden="0" function="0" vbProcedure="0">'[108]TCP-BHA'!$A$9</definedName>
    <definedName name="ogr" localSheetId="13" hidden="0" function="0" vbProcedure="0">'[156]Test Data'!$T$8:$T$16,'[156]Test Data'!$T$18:$T$122,'[156]Test Data'!$T$132:$T$247</definedName>
    <definedName name="OHoleID" localSheetId="13" hidden="0" function="0" vbProcedure="0">'[94]Job Technical Info'!$B$40</definedName>
    <definedName name="OHoleLength" localSheetId="13" hidden="0" function="0" vbProcedure="0">'[94]Job Technical Info'!$D$40</definedName>
    <definedName name="OH_Dia" localSheetId="13" hidden="0" function="0" vbProcedure="0">'[11]Liner Job Info'!$Q$14</definedName>
    <definedName name="oilM" localSheetId="13" hidden="0" function="0" vbProcedure="0">#ref!</definedName>
    <definedName name="oilrate" localSheetId="13" hidden="0" function="0" vbProcedure="0">'[96]well test sheet'!#ref!</definedName>
    <definedName name="oilT" localSheetId="13" hidden="0" function="0" vbProcedure="0">[233]oilt!#ref!</definedName>
    <definedName name="oil_cumm" localSheetId="13" hidden="0" function="0" vbProcedure="0">'[96]well test sheet'!#ref!</definedName>
    <definedName name="Okill" localSheetId="13" hidden="0" function="0" vbProcedure="0">#ref!</definedName>
    <definedName name="ol" localSheetId="13" hidden="0" function="0" vbProcedure="0">#ref!</definedName>
    <definedName name="Oldready" localSheetId="13" hidden="0" function="0" vbProcedure="0">#ref!</definedName>
    <definedName name="omdo"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3" hidden="0" function="0" vbProcedure="0">'[157]Initial Tally'!$G$4</definedName>
    <definedName name="onefive" localSheetId="13" hidden="0" function="0" vbProcedure="0">[57]data!#ref!</definedName>
    <definedName name="OpenEndString" localSheetId="13" hidden="0" function="0" vbProcedure="0">#ref!</definedName>
    <definedName name="OptimumTorquedb" localSheetId="13" hidden="0" function="0" vbProcedure="0">#ref!</definedName>
    <definedName name="OptimumTorqueslb" localSheetId="13" hidden="0" function="0" vbProcedure="0">#ref!</definedName>
    <definedName name="OptimumTorqueString" localSheetId="13" hidden="0" function="0" vbProcedure="0">#ref!</definedName>
    <definedName name="OptimumTorqueUntdb" localSheetId="13" hidden="0" function="0" vbProcedure="0">#ref!</definedName>
    <definedName name="OptimumTorqueUntslb" localSheetId="13" hidden="0" function="0" vbProcedure="0">#ref!</definedName>
    <definedName name="OP_1" localSheetId="13" hidden="0" function="0" vbProcedure="0">[187]Inputs!$F$1:$F$3</definedName>
    <definedName name="OrderedLength" localSheetId="13" hidden="0" function="0" vbProcedure="0">#ref!</definedName>
    <definedName name="Orientation" localSheetId="13" hidden="0" function="0" vbProcedure="0">[63]auf_screen!#ref!</definedName>
    <definedName name="OrificieCal" localSheetId="13" hidden="0" function="0" vbProcedure="0">#ref!</definedName>
    <definedName name="oslipjoint" localSheetId="13" hidden="0" function="0" vbProcedure="0">#ref!</definedName>
    <definedName name="Overbalance" localSheetId="13" hidden="0" function="0" vbProcedure="0">'[108]Pre-Job Info Sheet'!$D$34</definedName>
    <definedName name="Overlap" localSheetId="13" hidden="0" function="0" vbProcedure="0">'[11]Metric Conversions'!$B$16</definedName>
    <definedName name="Override_Figures" localSheetId="13" hidden="0" function="0" vbProcedure="0">[63]auf_screen!#ref!</definedName>
    <definedName name="P" localSheetId="13" hidden="1" function="0" vbProcedure="0">{#N/A,#N/A,FALSE,"Drlg Param Run 1-1";#N/A,#N/A,FALSE,"DDR (3)";#N/A,#N/A,FALSE,"BHA AT (1)";#N/A,#N/A,FALSE,"Downlinkbha";#N/A,#N/A,FALSE,"Job Status Report"}</definedName>
    <definedName name="PACKER" localSheetId="13" hidden="0" function="0" vbProcedure="0">INDEX([111]DRAW!$A$2:$B$13,MATCH([112]AUTO_DHWS!$AV$8,[111]DRAW!$A$2:$A$13,0),2)</definedName>
    <definedName name="PackerDepth" localSheetId="13" hidden="0" function="0" vbProcedure="0">'[79]casing talley'!#ref!</definedName>
    <definedName name="PACKER_2" localSheetId="13" hidden="0" function="0" vbProcedure="0">INDEX([111]DRAW!$D$13:$E$14,MATCH([112]AUTO_DHWS!$AV$12,[111]DRAW!$D$13:$D$14,0),2)</definedName>
    <definedName name="Packer_Rotation" localSheetId="13" hidden="0" function="0" vbProcedure="0">'[11]Liner Job Info'!$P$40</definedName>
    <definedName name="Packer_Set_In" localSheetId="13" hidden="0" function="0" vbProcedure="0">'[108]Pre-Job Info Sheet'!$D$22</definedName>
    <definedName name="PackOff" localSheetId="13" hidden="0" function="0" vbProcedure="0">[11]DATA!$AP$2:$AP$6</definedName>
    <definedName name="PackoffXDP1_Pist_Area" localSheetId="13" hidden="0" function="0" vbProcedure="0">'[11]Liner Job Info'!$AF$2</definedName>
    <definedName name="PackoffXDP2_Pist_Area" localSheetId="13" hidden="0" function="0" vbProcedure="0">'[11]Liner Job Info'!$AF$3</definedName>
    <definedName name="PackoffXDP3_Pist_Area" localSheetId="13" hidden="0" function="0" vbProcedure="0">'[11]Liner Job Info'!$AG$28</definedName>
    <definedName name="PackoffXDP4_Pist_Area" localSheetId="13" hidden="0" function="0" vbProcedure="0">'[11]Liner Job Info'!$AG$29</definedName>
    <definedName name="PackoffXDP5_Pist_Area" localSheetId="13" hidden="0" function="0" vbProcedure="0">'[11]Liner Job Info'!$AG$30</definedName>
    <definedName name="Packoff_Pist_Area" localSheetId="13" hidden="0" function="0" vbProcedure="0">'[11]Liner Job Info'!$AG$31</definedName>
    <definedName name="Packoff_Stinger_OD" localSheetId="13" hidden="0" function="0" vbProcedure="0">'[11]Liner Job Info'!$P$42</definedName>
    <definedName name="PAdd" localSheetId="13" hidden="0" function="0" vbProcedure="0">#ref!</definedName>
    <definedName name="PAdd1" localSheetId="13" hidden="0" function="0" vbProcedure="0">#ref!</definedName>
    <definedName name="PageTop3" localSheetId="13" hidden="0" function="0" vbProcedure="0">#ref!</definedName>
    <definedName name="PageTop4" localSheetId="13" hidden="0" function="0" vbProcedure="0">#ref!</definedName>
    <definedName name="PAR" localSheetId="13" hidden="0" function="0" vbProcedure="0">#ref!</definedName>
    <definedName name="Para3" localSheetId="13" hidden="1" function="0" vbProcedure="0">{#N/A,#N/A,FALSE,"Drlg Param Run 1-1";#N/A,#N/A,FALSE,"DDR (3)";#N/A,#N/A,FALSE,"BHA AT (1)";#N/A,#N/A,FALSE,"Downlinkbha";#N/A,#N/A,FALSE,"Job Status Report"}</definedName>
    <definedName name="Parish" localSheetId="13" hidden="0" function="0" vbProcedure="0">'[108]TCP-BHA'!$C$9</definedName>
    <definedName name="Parish_County" localSheetId="13" hidden="0" function="0" vbProcedure="0">'[108]Pre-Job Info Sheet'!$D$9</definedName>
    <definedName name="Parts" localSheetId="13" hidden="0" function="0" vbProcedure="0">#ref!</definedName>
    <definedName name="Pavg3" localSheetId="13" hidden="0" function="0" vbProcedure="0">#ref!</definedName>
    <definedName name="PaycheckDate" localSheetId="13" hidden="0" function="0" vbProcedure="0">#ref!</definedName>
    <definedName name="PBTD" localSheetId="13" hidden="0" function="0" vbProcedure="0">'[79]casing talley'!#ref!</definedName>
    <definedName name="Pckr_Body_Bst" localSheetId="13" hidden="0" function="0" vbProcedure="0">'[11]Metric Conversions'!$B$52</definedName>
    <definedName name="Pckr_Body_Tens" localSheetId="13" hidden="0" function="0" vbProcedure="0">'[11]Liner Job Info'!$P$34</definedName>
    <definedName name="Pckr_Seal_Surf_OD" localSheetId="13" hidden="0" function="0" vbProcedure="0">'[11]Liner Job Info'!$P$31</definedName>
    <definedName name="Pckr_Sett_Force" localSheetId="13" hidden="0" function="0" vbProcedure="0">'[11]Liner Job Info'!$P$39</definedName>
    <definedName name="pct" localSheetId="13" hidden="0" function="0" vbProcedure="0">#ref!</definedName>
    <definedName name="PCTDepth" localSheetId="13" hidden="0" function="0" vbProcedure="0">#ref!</definedName>
    <definedName name="pcthoop" localSheetId="13" hidden="0" function="0" vbProcedure="0">#ref!</definedName>
    <definedName name="PDFlowRestrictor" localSheetId="13" hidden="0" function="0" vbProcedure="0">#ref!</definedName>
    <definedName name="PDFlowRestrictorUnit" localSheetId="13" hidden="0" function="0" vbProcedure="0">#ref!</definedName>
    <definedName name="PDHG_2" localSheetId="13" hidden="0" function="0" vbProcedure="0">INDEX([111]DRAW!$A$2:$B$13,MATCH([112]AUTO_DHWS!$AV$13,[111]DRAW!$A$2:$A$13,0),2)</definedName>
    <definedName name="Pdiff" localSheetId="13" hidden="0" function="0" vbProcedure="0">#ref!</definedName>
    <definedName name="PD_SOFTWARE" localSheetId="13" hidden="0" function="0" vbProcedure="0">[129]RSS!$J$148:$J$152</definedName>
    <definedName name="PD_STAB" localSheetId="13" hidden="0" function="0" vbProcedure="0">[129]RSS!$R$131:$R$160</definedName>
    <definedName name="Pe" localSheetId="13" hidden="0" function="0" vbProcedure="0">#ref!</definedName>
    <definedName name="PEIGHT_TOTAL" localSheetId="13" hidden="0" function="0" vbProcedure="0">[241]index!#ref!</definedName>
    <definedName name="Perf._Interval" localSheetId="13" hidden="0" function="0" vbProcedure="0">'[108]Pre-Job Info Sheet'!$B$17</definedName>
    <definedName name="Perf._Interval_2" localSheetId="13" hidden="0" function="0" vbProcedure="0">'[108]Pre-Job Info Sheet'!$B$18</definedName>
    <definedName name="perfbottom" localSheetId="13" hidden="0" function="0" vbProcedure="0">[5]WTR!$I$32</definedName>
    <definedName name="PerfDepth" localSheetId="13" hidden="0" function="0" vbProcedure="0">'[79]casing talley'!#ref!</definedName>
    <definedName name="perftop" localSheetId="13" hidden="0" function="0" vbProcedure="0">[5]WTR!$G$32</definedName>
    <definedName name="PERF_BOTTOM" localSheetId="13" hidden="0" function="0" vbProcedure="0">'[113]#REF'!$H$19</definedName>
    <definedName name="PERF_SLURRY" localSheetId="13" hidden="0" function="0" vbProcedure="0">'[113]#REF'!$H$198</definedName>
    <definedName name="PERF_TOP" localSheetId="13" hidden="0" function="0" vbProcedure="0">'[113]#REF'!$F$19</definedName>
    <definedName name="PERF_VOL" localSheetId="13" hidden="0" function="0" vbProcedure="0">'[113]#REF'!$J$12</definedName>
    <definedName name="perm" localSheetId="13" hidden="0" function="0" vbProcedure="0">[106]Data!$G$56</definedName>
    <definedName name="perm1" localSheetId="13" hidden="0" function="0" vbProcedure="0">[106]Data!$G$57</definedName>
    <definedName name="Personnel1" localSheetId="13" hidden="0" function="0" vbProcedure="0">[183]Data!$P$1:$P$65536</definedName>
    <definedName name="Perv.Macro140" localSheetId="13" hidden="0" function="0" vbProcedure="0">[52]!Prev.Macro102</definedName>
    <definedName name="Per_Dist_Orient_Mode_1" localSheetId="13" hidden="0" function="0" vbProcedure="0">#ref!</definedName>
    <definedName name="Per_Dist_Orient_Mode_1_Name" localSheetId="13" hidden="0" function="0" vbProcedure="0">#ref!</definedName>
    <definedName name="Per_Dist_Orient_Mode_2" localSheetId="13" hidden="0" function="0" vbProcedure="0">#ref!</definedName>
    <definedName name="Per_Dist_Orient_Mode_2_Name" localSheetId="13" hidden="0" function="0" vbProcedure="0">#ref!</definedName>
    <definedName name="Per_Dist_Rotating" localSheetId="13" hidden="0" function="0" vbProcedure="0">#ref!</definedName>
    <definedName name="Per_Dist_Steering" localSheetId="13" hidden="0" function="0" vbProcedure="0">#ref!</definedName>
    <definedName name="Per_Rot_OD1" localSheetId="13" hidden="0" function="0" vbProcedure="0">#ref!</definedName>
    <definedName name="Per_Rot_OD1_Name" localSheetId="13" hidden="0" function="0" vbProcedure="0">#ref!</definedName>
    <definedName name="Per_Rot_OD2" localSheetId="13" hidden="0" function="0" vbProcedure="0">#ref!</definedName>
    <definedName name="Per_Rot_OD2_Name" localSheetId="13" hidden="0" function="0" vbProcedure="0">#ref!</definedName>
    <definedName name="Per_Time_Rot" localSheetId="13" hidden="0" function="0" vbProcedure="0">#ref!</definedName>
    <definedName name="Per_Time_Rot_Name" localSheetId="13" hidden="0" function="0" vbProcedure="0">#ref!</definedName>
    <definedName name="Per_Time_Steering" localSheetId="13" hidden="0" function="0" vbProcedure="0">#ref!</definedName>
    <definedName name="Per_Time_Steering_Name" localSheetId="13" hidden="0" function="0" vbProcedure="0">#ref!</definedName>
    <definedName name="Pf" localSheetId="13" hidden="0" function="0" vbProcedure="0">#ref!</definedName>
    <definedName name="PFIVE_TOTAL" localSheetId="13" hidden="0" function="0" vbProcedure="0">[241]index!#ref!</definedName>
    <definedName name="PFOUR_TOTAL" localSheetId="13" hidden="0" function="0" vbProcedure="0">[241]index!#ref!</definedName>
    <definedName name="PgDn_Ranges" localSheetId="13" hidden="0" function="0" vbProcedure="0">[63]auf_screen!#ref!</definedName>
    <definedName name="Ph" localSheetId="13" hidden="0" function="0" vbProcedure="0">#ref!</definedName>
    <definedName name="Phasing" localSheetId="13" hidden="0" function="0" vbProcedure="0">'[108]Pre-Job Info Sheet'!$B$23</definedName>
    <definedName name="PhCV" localSheetId="13" hidden="0" function="0" vbProcedure="0">#ref!</definedName>
    <definedName name="PhFH" localSheetId="13" hidden="0" function="0" vbProcedure="0">#ref!</definedName>
    <definedName name="PhJAR" localSheetId="13" hidden="0" function="0" vbProcedure="0">#ref!</definedName>
    <definedName name="Phone" localSheetId="13" hidden="0" function="0" vbProcedure="0">'[117]Well Installation Drawing'!$K$11</definedName>
    <definedName name="PhOutput" localSheetId="13" hidden="0" function="0" vbProcedure="0">#ref!</definedName>
    <definedName name="PhPsk" localSheetId="13" hidden="0" function="0" vbProcedure="0">#ref!</definedName>
    <definedName name="PhPTV" localSheetId="13" hidden="0" function="0" vbProcedure="0">#ref!</definedName>
    <definedName name="PhRT" localSheetId="13" hidden="0" function="0" vbProcedure="0">#ref!</definedName>
    <definedName name="PhRV" localSheetId="13" hidden="0" function="0" vbProcedure="0">#ref!</definedName>
    <definedName name="PhSLPJ" localSheetId="13" hidden="0" function="0" vbProcedure="0">#ref!</definedName>
    <definedName name="PhTV" localSheetId="13" hidden="0" function="0" vbProcedure="0">#ref!</definedName>
    <definedName name="pick1_958x475_system" localSheetId="13" hidden="0" function="0" vbProcedure="0">'[38]final tally '!pick1_958x475_system</definedName>
    <definedName name="pick1_958x6_system" localSheetId="13" hidden="0" function="0" vbProcedure="0">'[38]final tally '!pick1_958x6_system</definedName>
    <definedName name="pick1_production" localSheetId="13" hidden="0" function="0" vbProcedure="0">'[38]final tally '!pick1_production</definedName>
    <definedName name="pick2_958x475_system" localSheetId="13" hidden="0" function="0" vbProcedure="0">'[38]final tally '!pick2_958x475_system</definedName>
    <definedName name="pick2_958x6_system" localSheetId="13" hidden="0" function="0" vbProcedure="0">'[38]final tally '!pick2_958x6_system</definedName>
    <definedName name="pick2_production" localSheetId="13" hidden="0" function="0" vbProcedure="0">'[38]final tally '!pick2_production</definedName>
    <definedName name="pick_512_system" localSheetId="13" hidden="0" function="0" vbProcedure="0">'[38]final tally '!pick_512_system</definedName>
    <definedName name="pick_5_system" localSheetId="13" hidden="0" function="0" vbProcedure="0">'[38]final tally '!pick_5_system</definedName>
    <definedName name="pick_758x314_system" localSheetId="13" hidden="0" function="0" vbProcedure="0">'[38]final tally '!pick_758x314_system</definedName>
    <definedName name="pick_758x4_system" localSheetId="13" hidden="0" function="0" vbProcedure="0">'[38]final tally '!pick_758x4_system</definedName>
    <definedName name="pick_7x314_system" localSheetId="13" hidden="0" function="0" vbProcedure="0">'[38]final tally '!pick_7x314_system</definedName>
    <definedName name="pick_7x4_system" localSheetId="13" hidden="0" function="0" vbProcedure="0">'[38]final tally '!pick_7x4_system</definedName>
    <definedName name="pick_blanks" localSheetId="13" hidden="0" function="0" vbProcedure="0">'[38]final tally '!pick_blanks</definedName>
    <definedName name="pick_liner" localSheetId="13" hidden="0" function="0" vbProcedure="0">'[38]final tally '!pick_liner</definedName>
    <definedName name="pick_liner2" localSheetId="13" hidden="0" function="0" vbProcedure="0">'[38]final tally '!pick_liner2</definedName>
    <definedName name="pick_miscellaneous" localSheetId="13" hidden="0" function="0" vbProcedure="0">'[38]final tally '!pick_miscellaneous</definedName>
    <definedName name="pick_quantum" localSheetId="13" hidden="0" function="0" vbProcedure="0">'[38]final tally '!pick_quantum</definedName>
    <definedName name="pick_screens" localSheetId="13" hidden="0" function="0" vbProcedure="0">'[38]final tally '!pick_screens</definedName>
    <definedName name="pick_shearsubs" localSheetId="13" hidden="0" function="0" vbProcedure="0">'[38]final tally '!pick_shearsubs</definedName>
    <definedName name="pick_sump" localSheetId="13" hidden="0" function="0" vbProcedure="0">'[38]final tally '!pick_sump</definedName>
    <definedName name="Pilot" localSheetId="13" hidden="0" function="0" vbProcedure="0">[242]!'[module4 formula].macro1'</definedName>
    <definedName name="PipeList" localSheetId="13" hidden="0" function="0" vbProcedure="0">#ref!</definedName>
    <definedName name="PistArea_Packoff_to_DP_OD" localSheetId="13" hidden="0" function="0" vbProcedure="0">[11]Test!$M$16</definedName>
    <definedName name="Piston_Disp" localSheetId="13" hidden="0" function="0" vbProcedure="0">'[108]Tester Valve Calcs'!$M$16</definedName>
    <definedName name="Pist_Area_Csg_ID_to_DP1_OD" localSheetId="13" hidden="0" function="0" vbProcedure="0">[11]Test!$U$26</definedName>
    <definedName name="Pist_Area_Csg_ID_to_DP2_OD" localSheetId="13" hidden="0" function="0" vbProcedure="0">[11]Test!$U$27</definedName>
    <definedName name="Pist_Area_Csg_ID_to_DP3_OD" localSheetId="13" hidden="0" function="0" vbProcedure="0">[11]Test!$U$28</definedName>
    <definedName name="Pist_Area_Csg_ID_to_DP4_OD" localSheetId="13" hidden="0" function="0" vbProcedure="0">[11]Test!$U$29</definedName>
    <definedName name="Pist_Area_Csg_ID_to_DP5_OD" localSheetId="13" hidden="0" function="0" vbProcedure="0">[11]Test!$U$30</definedName>
    <definedName name="Pist_Area_from_CsgID_to_Packoff_OD" localSheetId="13" hidden="0" function="0" vbProcedure="0">[11]Test!$M$14</definedName>
    <definedName name="Pist_Area_PackoffOD_DP2_OD" localSheetId="13" hidden="0" function="0" vbProcedure="0">[11]Test!$Y$27</definedName>
    <definedName name="Pist_Area_PackoffOD_DP4_OD" localSheetId="13" hidden="0" function="0" vbProcedure="0">[11]Test!$Y$29</definedName>
    <definedName name="Pist_Area_PackoffOD_DP5_OD" localSheetId="13" hidden="0" function="0" vbProcedure="0">[11]Test!$Y$30</definedName>
    <definedName name="Pist_Area_PackoffOD_to_DP1_OD" localSheetId="13" hidden="0" function="0" vbProcedure="0">[11]Test!$Y$26</definedName>
    <definedName name="Pist_Area_PackoffOD_to_DP3_OD" localSheetId="13" hidden="0" function="0" vbProcedure="0">[11]Test!$Y$28</definedName>
    <definedName name="PKFactor" localSheetId="13" hidden="0" function="0" vbProcedure="0">#ref!</definedName>
    <definedName name="Pkrs" localSheetId="13" hidden="0" function="0" vbProcedure="0">#ref!</definedName>
    <definedName name="plotm" localSheetId="13" hidden="0" function="0" vbProcedure="0">'[64]tool backload dt'!plotm</definedName>
    <definedName name="PlugMethod" localSheetId="13" hidden="0" function="0" vbProcedure="0">[11]DATA!$BI$2:$BI$6</definedName>
    <definedName name="Plugs" localSheetId="13" hidden="0" function="0" vbProcedure="0">[11]DATA!$AL$2:$AL$13</definedName>
    <definedName name="Plug_Bmp_Hngr_Ovr_Ld" localSheetId="13" hidden="0" function="0" vbProcedure="0">[11]Test!$M$25</definedName>
    <definedName name="Plug_Bmp_psi_wo_DP" localSheetId="13" hidden="0" function="0" vbProcedure="0">[11]Test!$M$23</definedName>
    <definedName name="Plug_Bmp_psi_w_DP" localSheetId="13" hidden="0" function="0" vbProcedure="0">[11]Test!$M$24</definedName>
    <definedName name="Plug_Press_Rating" localSheetId="13" hidden="0" function="0" vbProcedure="0">'[11]Metric Conversions'!$B$51</definedName>
    <definedName name="Plug_Temp_Rating" localSheetId="13" hidden="0" function="0" vbProcedure="0">'[11]Liner Job Info'!$D$44</definedName>
    <definedName name="pmp1blstk" localSheetId="13" hidden="0" function="0" vbProcedure="0">#ref!</definedName>
    <definedName name="pmp2blstk" localSheetId="13" hidden="0" function="0" vbProcedure="0">#ref!</definedName>
    <definedName name="PNINE_TOTAL" localSheetId="13" hidden="0" function="0" vbProcedure="0">[241]index!#ref!</definedName>
    <definedName name="PNumber" localSheetId="13" hidden="0" function="0" vbProcedure="0">#ref!</definedName>
    <definedName name="po" localSheetId="13" hidden="0" function="0" vbProcedure="0">[159]Drillers!$O$20</definedName>
    <definedName name="port" localSheetId="13" hidden="0" function="0" vbProcedure="0">#ref!</definedName>
    <definedName name="Ported_Sub" localSheetId="13" hidden="0" function="0" vbProcedure="0">'[108]TCP-BHA'!$H$30</definedName>
    <definedName name="PostJob" localSheetId="13" hidden="0" function="0" vbProcedure="0">#ref!</definedName>
    <definedName name="Pos_of_Ball" localSheetId="13" hidden="0" function="0" vbProcedure="0">'[108]Tester Valve Calcs'!$F$12</definedName>
    <definedName name="PoundConversion" localSheetId="13" hidden="0" function="0" vbProcedure="0">[94]Lists!$AD$4</definedName>
    <definedName name="POWERV_TO" localSheetId="13" hidden="0" function="0" vbProcedure="0">[129]RSS!$A$206</definedName>
    <definedName name="Pp" localSheetId="13" hidden="0" function="0" vbProcedure="0">#ref!</definedName>
    <definedName name="PPF" localSheetId="13" hidden="0" function="0" vbProcedure="0">#ref!</definedName>
    <definedName name="pph" localSheetId="13" hidden="0" function="0" vbProcedure="0">[43]!Calculate_Pipe</definedName>
    <definedName name="PrDelay" localSheetId="13" hidden="0" function="0" vbProcedure="0">#ref!</definedName>
    <definedName name="pre.Macro220" localSheetId="13" hidden="0" function="0" vbProcedure="0">[52]!Prev.Macro110</definedName>
    <definedName name="pregpstim" localSheetId="13" hidden="0" function="0" vbProcedure="0">[5]WTR!$G$48</definedName>
    <definedName name="PreJob" localSheetId="13" hidden="0" function="0" vbProcedure="0">#ref!</definedName>
    <definedName name="PREPACK_MIX_RATIO" localSheetId="13" hidden="0" function="0" vbProcedure="0">'[113]#REF'!$K$44</definedName>
    <definedName name="Pres1a" localSheetId="13" hidden="0" function="0" vbProcedure="0">#ref!</definedName>
    <definedName name="Pres1b" localSheetId="13" hidden="0" function="0" vbProcedure="0">#ref!</definedName>
    <definedName name="Pres1c" localSheetId="13" hidden="0" function="0" vbProcedure="0">#ref!</definedName>
    <definedName name="Pres1d" localSheetId="13" hidden="0" function="0" vbProcedure="0">#ref!</definedName>
    <definedName name="Pres1e" localSheetId="13" hidden="0" function="0" vbProcedure="0">#ref!</definedName>
    <definedName name="PRESENCE_November_Liste" localSheetId="13" hidden="0" function="0" vbProcedure="0">#ref!</definedName>
    <definedName name="presmw" localSheetId="13" hidden="0" function="0" vbProcedure="0">#ref!</definedName>
    <definedName name="Pressure" localSheetId="13" hidden="0" function="0" vbProcedure="0">#ref!</definedName>
    <definedName name="pressure1" localSheetId="13" hidden="0" function="0" vbProcedure="0">[106]Data!$C$2</definedName>
    <definedName name="pressure10" localSheetId="13" hidden="0" function="0" vbProcedure="0">[106]Data!$C$11</definedName>
    <definedName name="pressure2" localSheetId="13" hidden="0" function="0" vbProcedure="0">[106]Data!$C$3</definedName>
    <definedName name="pressure3" localSheetId="13" hidden="0" function="0" vbProcedure="0">[106]Data!$C$4</definedName>
    <definedName name="pressure4" localSheetId="13" hidden="0" function="0" vbProcedure="0">[106]Data!$C$5</definedName>
    <definedName name="pressure5" localSheetId="13" hidden="0" function="0" vbProcedure="0">[106]Data!$C$6</definedName>
    <definedName name="pressure6" localSheetId="13" hidden="0" function="0" vbProcedure="0">[106]Data!$C$7</definedName>
    <definedName name="pressure7" localSheetId="13" hidden="0" function="0" vbProcedure="0">[106]Data!$C$8</definedName>
    <definedName name="pressure8" localSheetId="13" hidden="0" function="0" vbProcedure="0">[106]Data!$C$9</definedName>
    <definedName name="pressure9" localSheetId="13" hidden="0" function="0" vbProcedure="0">[106]Data!$C$10</definedName>
    <definedName name="pressurea" localSheetId="13" hidden="0" function="0" vbProcedure="0">[106]Data!$D$2</definedName>
    <definedName name="pressureb" localSheetId="13" hidden="0" function="0" vbProcedure="0">[106]Data!$D$3</definedName>
    <definedName name="pressurec" localSheetId="13" hidden="0" function="0" vbProcedure="0">[106]Data!$D$4</definedName>
    <definedName name="pressured" localSheetId="13" hidden="0" function="0" vbProcedure="0">[106]Data!$D$5</definedName>
    <definedName name="pressuree" localSheetId="13" hidden="0" function="0" vbProcedure="0">[106]Data!$D$6</definedName>
    <definedName name="pressuref" localSheetId="13" hidden="0" function="0" vbProcedure="0">[106]Data!$D$7</definedName>
    <definedName name="pressureg" localSheetId="13" hidden="0" function="0" vbProcedure="0">[106]Data!$D$8</definedName>
    <definedName name="pressureh" localSheetId="13" hidden="0" function="0" vbProcedure="0">[106]Data!$D$9</definedName>
    <definedName name="pressurei" localSheetId="13" hidden="0" function="0" vbProcedure="0">[106]Data!$D$10</definedName>
    <definedName name="pressurej" localSheetId="13" hidden="0" function="0" vbProcedure="0">[106]Data!$D$11</definedName>
    <definedName name="Pressures" localSheetId="13" hidden="0" function="0" vbProcedure="0">'[116]Kill Sheet - Horizontal'!$W$27,'[116]Kill Sheet - Horizontal'!$W$31,'[116]Kill Sheet - Horizontal'!$W$32</definedName>
    <definedName name="PressureUnit" localSheetId="13" hidden="0" function="0" vbProcedure="0">#ref!</definedName>
    <definedName name="Pressure_1" localSheetId="13" hidden="0" function="0" vbProcedure="0">#ref!</definedName>
    <definedName name="Pressure_2" localSheetId="13" hidden="0" function="0" vbProcedure="0">#ref!</definedName>
    <definedName name="PresUnit" localSheetId="13" hidden="0" function="0" vbProcedure="0">#ref!</definedName>
    <definedName name="Prev.Macro101" localSheetId="13" hidden="0" function="0" vbProcedure="0">[38]!Prev.Macro101</definedName>
    <definedName name="Prev.Macro102" localSheetId="13" hidden="0" function="0" vbProcedure="0">[38]!Prev.Macro102</definedName>
    <definedName name="Prev.Macro103" localSheetId="13" hidden="0" function="0" vbProcedure="0">[38]!Prev.Macro103</definedName>
    <definedName name="Prev.Macro104" localSheetId="13" hidden="0" function="0" vbProcedure="0">[38]!Prev.Macro104</definedName>
    <definedName name="Prev.Macro105" localSheetId="13" hidden="0" function="0" vbProcedure="0">[38]!Prev.Macro105</definedName>
    <definedName name="Prev.Macro106" localSheetId="13" hidden="0" function="0" vbProcedure="0">[38]!Prev.Macro106</definedName>
    <definedName name="Prev.Macro107" localSheetId="13" hidden="0" function="0" vbProcedure="0">[38]!Prev.Macro107</definedName>
    <definedName name="Prev.Macro108" localSheetId="13" hidden="0" function="0" vbProcedure="0">[38]!Prev.Macro108</definedName>
    <definedName name="Prev.Macro109" localSheetId="13" hidden="0" function="0" vbProcedure="0">[38]!Prev.Macro109</definedName>
    <definedName name="Prev.Macro110" localSheetId="13" hidden="0" function="0" vbProcedure="0">[38]!Prev.Macro110</definedName>
    <definedName name="Prev.Macro111" localSheetId="13" hidden="0" function="0" vbProcedure="0">[38]!Prev.Macro111</definedName>
    <definedName name="Prev.Macro112" localSheetId="13" hidden="0" function="0" vbProcedure="0">[38]!Prev.Macro112</definedName>
    <definedName name="Prev.Macro113" localSheetId="13" hidden="0" function="0" vbProcedure="0">[38]!Prev.Macro113</definedName>
    <definedName name="Prev.Macro114" localSheetId="13" hidden="0" function="0" vbProcedure="0">[38]!Prev.Macro114</definedName>
    <definedName name="Prev.Macro115" localSheetId="13" hidden="0" function="0" vbProcedure="0">[38]!Prev.Macro115</definedName>
    <definedName name="Prev.Macro116" localSheetId="13" hidden="0" function="0" vbProcedure="0">[38]!Prev.Macro116</definedName>
    <definedName name="Prev.Macro117" localSheetId="13" hidden="0" function="0" vbProcedure="0">[38]!Prev.Macro117</definedName>
    <definedName name="Prev.Macro118" localSheetId="13" hidden="0" function="0" vbProcedure="0">[38]!Prev.Macro118</definedName>
    <definedName name="Prev.Macro120" localSheetId="13" hidden="0" function="0" vbProcedure="0">[38]!Prev.Macro120</definedName>
    <definedName name="Prev.Macro121" localSheetId="13" hidden="0" function="0" vbProcedure="0">[38]!Prev.Macro121</definedName>
    <definedName name="Prev.Macro122" localSheetId="13" hidden="0" function="0" vbProcedure="0">[38]!Prev.Macro122</definedName>
    <definedName name="Prev.Macro123" localSheetId="13" hidden="0" function="0" vbProcedure="0">[38]!Prev.Macro123</definedName>
    <definedName name="Prev.Macro124" localSheetId="13" hidden="0" function="0" vbProcedure="0">[38]!Prev.Macro124</definedName>
    <definedName name="Prev.Macro125" localSheetId="13" hidden="0" function="0" vbProcedure="0">[38]!Prev.Macro125</definedName>
    <definedName name="Prev.Macro126" localSheetId="13" hidden="0" function="0" vbProcedure="0">[38]!Prev.Macro126</definedName>
    <definedName name="Prev.Macro127" localSheetId="13" hidden="0" function="0" vbProcedure="0">[38]!Prev.Macro127</definedName>
    <definedName name="Prev.Macro128" localSheetId="13" hidden="0" function="0" vbProcedure="0">[38]!Prev.Macro128</definedName>
    <definedName name="Prev.Macro129" localSheetId="13" hidden="0" function="0" vbProcedure="0">[38]!Prev.Macro129</definedName>
    <definedName name="Prev.Macro130" localSheetId="13" hidden="0" function="0" vbProcedure="0">[38]!Prev.Macro130</definedName>
    <definedName name="Prev.Macro131" localSheetId="13" hidden="0" function="0" vbProcedure="0">[38]!Prev.Macro131</definedName>
    <definedName name="prev.macro131." localSheetId="13" hidden="0" function="0" vbProcedure="0">[38]!prev.macro131.</definedName>
    <definedName name="Prev.Macro132" localSheetId="13" hidden="0" function="0" vbProcedure="0">[38]!Prev.Macro132</definedName>
    <definedName name="Prev.Macro133" localSheetId="13" hidden="0" function="0" vbProcedure="0">[38]!Prev.Macro133</definedName>
    <definedName name="Prev.Macro134" localSheetId="13" hidden="0" function="0" vbProcedure="0">[38]!Prev.Macro134</definedName>
    <definedName name="Prev.Macro135" localSheetId="13" hidden="0" function="0" vbProcedure="0">[38]!Prev.Macro135</definedName>
    <definedName name="Prev.Macro136" localSheetId="13" hidden="0" function="0" vbProcedure="0">[38]!Prev.Macro136</definedName>
    <definedName name="Prev.Macro137" localSheetId="13" hidden="0" function="0" vbProcedure="0">[38]!Prev.Macro137</definedName>
    <definedName name="Prev.Macro138" localSheetId="13" hidden="0" function="0" vbProcedure="0">[38]!Prev.Macro138</definedName>
    <definedName name="Prev.Macro139" localSheetId="13" hidden="0" function="0" vbProcedure="0">[38]!Prev.Macro139</definedName>
    <definedName name="Prev.Macro140" localSheetId="13" hidden="0" function="0" vbProcedure="0">[38]!Prev.Macro140</definedName>
    <definedName name="Prev.Macro141" localSheetId="13" hidden="0" function="0" vbProcedure="0">[38]!Prev.Macro141</definedName>
    <definedName name="Prev.Macro142" localSheetId="13" hidden="0" function="0" vbProcedure="0">[38]!Prev.Macro142</definedName>
    <definedName name="Prev.Macro143" localSheetId="13" hidden="0" function="0" vbProcedure="0">[38]!Prev.Macro143</definedName>
    <definedName name="Prev.Macro144" localSheetId="13" hidden="0" function="0" vbProcedure="0">[38]!Prev.Macro144</definedName>
    <definedName name="Prev.Macro145" localSheetId="13" hidden="0" function="0" vbProcedure="0">[38]!Prev.Macro145</definedName>
    <definedName name="Prev.Macro146" localSheetId="13" hidden="0" function="0" vbProcedure="0">[38]!Prev.Macro146</definedName>
    <definedName name="Prev.Macro147" localSheetId="13" hidden="0" function="0" vbProcedure="0">[38]!Prev.Macro147</definedName>
    <definedName name="Prev.Macro149" localSheetId="13" hidden="0" function="0" vbProcedure="0">[38]!Prev.Macro149</definedName>
    <definedName name="prev.Macro150" localSheetId="13" hidden="0" function="0" vbProcedure="0">[52]!Prev.Macro122</definedName>
    <definedName name="prev.Macro200" localSheetId="13" hidden="0" function="0" vbProcedure="0">[52]!Prev.Macro128</definedName>
    <definedName name="Prev.Macro242" localSheetId="13" hidden="0" function="0" vbProcedure="0">[52]!Prev.Macro106</definedName>
    <definedName name="pricelist" localSheetId="13" hidden="0" function="0" vbProcedure="0">[139]Pricelist!$A$8:$B$11</definedName>
    <definedName name="print" localSheetId="13" hidden="0" function="0" vbProcedure="0">'[160]2003 SSWE LINE ITEMS'!$A$1:$V$302</definedName>
    <definedName name="Print_Area_MI" localSheetId="13" hidden="0" function="0" vbProcedure="0">#ref!</definedName>
    <definedName name="print_DJT" localSheetId="13" hidden="0" function="0" vbProcedure="0">#ref!</definedName>
    <definedName name="print_DTM" localSheetId="13" hidden="0" function="0" vbProcedure="0">#ref!</definedName>
    <definedName name="Print_Titles_MI" localSheetId="13" hidden="0" function="0" vbProcedure="0">#ref!</definedName>
    <definedName name="PRODPKR" localSheetId="13" hidden="0" function="0" vbProcedure="0">INDEX([161]PKR!$A$2:$B$15,MATCH([161]INPUT!$H$37,[161]PKR!$A$2:$A$15,0),2)</definedName>
    <definedName name="production" localSheetId="13" hidden="0" function="0" vbProcedure="0">[162]WTR!$L$6</definedName>
    <definedName name="Production_History_by_Well" localSheetId="13" hidden="0" function="0" vbProcedure="0">'[250]neb-wells'!#ref!</definedName>
    <definedName name="profitcntr1" localSheetId="13" hidden="0" function="0" vbProcedure="0">[183]Data!$I$1:$I$65536</definedName>
    <definedName name="Prog" localSheetId="13" hidden="0" function="0" vbProcedure="0">[184]References!$E$1:$E$4</definedName>
    <definedName name="PROJAZI" localSheetId="13" hidden="0" function="0" vbProcedure="0">#ref!</definedName>
    <definedName name="Project" localSheetId="13" hidden="0" function="0" vbProcedure="0">'[94]Job Technical Info'!$G$12</definedName>
    <definedName name="ProppantName" localSheetId="13" hidden="0" function="0" vbProcedure="0">'[94]Installation Results #1'!$B$326</definedName>
    <definedName name="PSEVEN_TOTAL" localSheetId="13" hidden="0" function="0" vbProcedure="0">[241]index!#ref!</definedName>
    <definedName name="PSI" localSheetId="13" hidden="0" function="0" vbProcedure="0">'[78]tester valve calcs'!#ref!</definedName>
    <definedName name="psia_array" localSheetId="13" hidden="0" function="0" vbProcedure="0">{"HMR","HMR-GT","ZI Probe","Spartek","Omega SP"}</definedName>
    <definedName name="psig_array" localSheetId="13" hidden="0" function="0" vbProcedure="0">{"RPG-3","RPG-4"}</definedName>
    <definedName name="PSIX_TOTAL" localSheetId="13" hidden="0" function="0" vbProcedure="0">[241]index!#ref!</definedName>
    <definedName name="PSK" localSheetId="13" hidden="0" function="0" vbProcedure="0">#ref!</definedName>
    <definedName name="PskDepth" localSheetId="13" hidden="0" function="0" vbProcedure="0">#ref!</definedName>
    <definedName name="psl" localSheetId="13" hidden="0" function="0" vbProcedure="0">[57]data!#ref!</definedName>
    <definedName name="Pstn_Force_Actual" localSheetId="13" hidden="0" function="0" vbProcedure="0">'[11]Weight Calculations'!$H$26</definedName>
    <definedName name="PS_pricelist" localSheetId="13" hidden="0" function="0" vbProcedure="0">[139]Pricelist!$A$22:$B$35</definedName>
    <definedName name="Pt" localSheetId="13" hidden="0" function="0" vbProcedure="0">#ref!</definedName>
    <definedName name="ptdtr" localSheetId="13" hidden="0" function="0" vbProcedure="0">'[115]Max-Torq'!$P$71</definedName>
    <definedName name="PTHREE_TOTAL" localSheetId="13" hidden="0" function="0" vbProcedure="0">[241]index!#ref!</definedName>
    <definedName name="ptsv" localSheetId="13" hidden="0" function="0" vbProcedure="0">#ref!</definedName>
    <definedName name="PTV" localSheetId="13" hidden="0" function="0" vbProcedure="0">#ref!</definedName>
    <definedName name="PTVDepth" localSheetId="13" hidden="0" function="0" vbProcedure="0">#ref!</definedName>
    <definedName name="PTWO_TOTAL" localSheetId="13" hidden="0" function="0" vbProcedure="0">[241]index!#ref!</definedName>
    <definedName name="PU" localSheetId="13" hidden="0" function="0" vbProcedure="0">#ref!</definedName>
    <definedName name="PUCF" localSheetId="13" hidden="0" function="0" vbProcedure="0">#ref!</definedName>
    <definedName name="PumpInput" localSheetId="13" hidden="0" function="0" vbProcedure="0">#ref!</definedName>
    <definedName name="Pups" localSheetId="13" hidden="0" function="0" vbProcedure="0">#ref!</definedName>
    <definedName name="PU_Dogs" localSheetId="13" hidden="0" function="0" vbProcedure="0">'[11]Metric Conversions'!$B$25</definedName>
    <definedName name="pv" localSheetId="13" hidden="0" function="0" vbProcedure="0">'[7]Drop-Down Items'!$R$7:$R$9</definedName>
    <definedName name="PWD_Ranges" localSheetId="13" hidden="0" function="0" vbProcedure="0">#ref!</definedName>
    <definedName name="PWD_Ratings" localSheetId="13" hidden="0" function="0" vbProcedure="0">#ref!</definedName>
    <definedName name="Pyp" localSheetId="13" hidden="0" function="0" vbProcedure="0">#ref!</definedName>
    <definedName name="q" localSheetId="13" hidden="0" function="0" vbProcedure="0">'[88]Report Long(Esso)'!$E$2</definedName>
    <definedName name="qewadc" localSheetId="13" hidden="0" function="0" vbProcedure="0">[254]!Calculate_Pipe</definedName>
    <definedName name="QPNum" localSheetId="13" hidden="0" function="0" vbProcedure="0">'[94]Job Technical Info'!$K$11</definedName>
    <definedName name="qqq" localSheetId="13" hidden="1" function="0" vbProcedure="0">{#N/A,#N/A,FALSE,"Drlg Param Run 1-1";#N/A,#N/A,FALSE,"DDR (3)";#N/A,#N/A,FALSE,"BHA AT (1)";#N/A,#N/A,FALSE,"Downlinkbha";#N/A,#N/A,FALSE,"Job Status Report"}</definedName>
    <definedName name="quantum" localSheetId="13" hidden="0" function="0" vbProcedure="0">'[38]final tally '!quantum</definedName>
    <definedName name="R.DLR" localSheetId="13" hidden="0" function="0" vbProcedure="0">#ref!</definedName>
    <definedName name="ra" localSheetId="13" hidden="0" function="0" vbProcedure="0">#ref!</definedName>
    <definedName name="rami" localSheetId="13" hidden="0" function="0" vbProcedure="0">#ref!</definedName>
    <definedName name="Range1" localSheetId="13" hidden="0" function="0" vbProcedure="0">OFFSET([257]sheet1!$e$5, 1, 0,[257]sheet1!$e$2,1)</definedName>
    <definedName name="rate" localSheetId="13" hidden="0" function="0" vbProcedure="0">[106]Data!$F$7</definedName>
    <definedName name="rate1" localSheetId="13" hidden="0" function="0" vbProcedure="0">[106]Data!$A$2</definedName>
    <definedName name="rate10" localSheetId="13" hidden="0" function="0" vbProcedure="0">[106]Data!$A$11</definedName>
    <definedName name="rate2" localSheetId="13" hidden="0" function="0" vbProcedure="0">[106]Data!$A$3</definedName>
    <definedName name="rate3" localSheetId="13" hidden="0" function="0" vbProcedure="0">[106]Data!$A$4</definedName>
    <definedName name="rate4" localSheetId="13" hidden="0" function="0" vbProcedure="0">[106]Data!$A$5</definedName>
    <definedName name="rate5" localSheetId="13" hidden="0" function="0" vbProcedure="0">[106]Data!$A$6</definedName>
    <definedName name="rate6" localSheetId="13" hidden="0" function="0" vbProcedure="0">[106]Data!$A$7</definedName>
    <definedName name="rate7" localSheetId="13" hidden="0" function="0" vbProcedure="0">[106]Data!$A$8</definedName>
    <definedName name="rate8" localSheetId="13" hidden="0" function="0" vbProcedure="0">[106]Data!$A$9</definedName>
    <definedName name="rate9" localSheetId="13" hidden="0" function="0" vbProcedure="0">[106]Data!$A$10</definedName>
    <definedName name="raw_tally_lower" localSheetId="13" hidden="0" function="0" vbProcedure="0">'[188]2B Raw Rig Tally'!$B$13:$D$501</definedName>
    <definedName name="raw_tally_upper" localSheetId="13" hidden="0" function="0" vbProcedure="0">'[188]2B Raw Rig Tally'!$F$13:$H$501</definedName>
    <definedName name="rb" localSheetId="13" hidden="0" function="0" vbProcedure="0">#ref!</definedName>
    <definedName name="RE" localSheetId="13" hidden="0" function="0" vbProcedure="0">'[260]calculo de gas total'!#ref!</definedName>
    <definedName name="reading" localSheetId="13" hidden="0" function="0" vbProcedure="0">#ref!</definedName>
    <definedName name="Ready" localSheetId="13" hidden="0" function="0" vbProcedure="0">[261]master!#ref!</definedName>
    <definedName name="Ready1" localSheetId="13" hidden="0" function="0" vbProcedure="0">#ref!</definedName>
    <definedName name="ReamerNozzles" localSheetId="13" hidden="0" function="0" vbProcedure="0">#ref!</definedName>
    <definedName name="ReamerNozzleTFA" localSheetId="13" hidden="0" function="0" vbProcedure="0">#ref!</definedName>
    <definedName name="ReamerNozzleUnit" localSheetId="13" hidden="0" function="0" vbProcedure="0">#ref!</definedName>
    <definedName name="ReamerTFAUnits" localSheetId="13" hidden="0" function="0" vbProcedure="0">#ref!</definedName>
    <definedName name="Reasons" localSheetId="13" hidden="0" function="0" vbProcedure="0">'[146]Title Page'!$O$2:$O$23</definedName>
    <definedName name="Recalc" localSheetId="13" hidden="0" function="0" vbProcedure="0">[120]!Recalc</definedName>
    <definedName name="Recorddb" localSheetId="13" hidden="0" function="0" vbProcedure="0">#ref!</definedName>
    <definedName name="Recordslb" localSheetId="13" hidden="0" function="0" vbProcedure="0">#ref!</definedName>
    <definedName name="Region" localSheetId="13" hidden="0" function="0" vbProcedure="0">'[94]SetUp Tab'!$D$15</definedName>
    <definedName name="Regions" localSheetId="13" hidden="0" function="0" vbProcedure="0">[18]Criteria!$B$2:$B$11</definedName>
    <definedName name="ReloadChk" localSheetId="13" hidden="0" function="0" vbProcedure="0">#ref!</definedName>
    <definedName name="Rem_DP1_Tens" localSheetId="13" hidden="0" function="0" vbProcedure="0">'[11]Weight Calculations'!$W$53</definedName>
    <definedName name="Rem_DP2_Tens" localSheetId="13" hidden="0" function="0" vbProcedure="0">'[11]Weight Calculations'!$W$54</definedName>
    <definedName name="Rem_DP3_Tens" localSheetId="13" hidden="0" function="0" vbProcedure="0">'[11]Weight Calculations'!$W$55</definedName>
    <definedName name="Rem_DP4_Tens" localSheetId="13" hidden="0" function="0" vbProcedure="0">'[11]Weight Calculations'!$W$59</definedName>
    <definedName name="Rem_DP5_Tens" localSheetId="13" hidden="0" function="0" vbProcedure="0">'[11]Weight Calculations'!$W$60</definedName>
    <definedName name="Rentalequipment" localSheetId="13" hidden="0" function="0" vbProcedure="0">[11]DATA!$R$2:$R$79</definedName>
    <definedName name="REPORT3" localSheetId="13" hidden="0" function="0" vbProcedure="0">'[2]run sheet'!#ref!</definedName>
    <definedName name="ReportApprovedBy" localSheetId="13" hidden="0" function="0" vbProcedure="0">#ref!</definedName>
    <definedName name="ReportDate" localSheetId="13" hidden="0" function="0" vbProcedure="0">#ref!</definedName>
    <definedName name="ReportDesignedBy" localSheetId="13" hidden="0" function="0" vbProcedure="0">#ref!</definedName>
    <definedName name="ReportTitle" localSheetId="13" hidden="0" function="0" vbProcedure="0">#ref!</definedName>
    <definedName name="Report_Title" localSheetId="13" hidden="0" function="0" vbProcedure="0">#ref!</definedName>
    <definedName name="RESE" localSheetId="13" hidden="0" function="0" vbProcedure="0">'[38]final tally '!rese</definedName>
    <definedName name="reservoir15" localSheetId="13" hidden="0" function="0" vbProcedure="0">'[73]geological prognosis'!#ref!</definedName>
    <definedName name="reservoir16" localSheetId="13" hidden="0" function="0" vbProcedure="0">'[73]geological prognosis'!#ref!</definedName>
    <definedName name="reservoir17" localSheetId="13" hidden="0" function="0" vbProcedure="0">'[73]geological prognosis'!#ref!</definedName>
    <definedName name="reservoir18" localSheetId="13" hidden="0" function="0" vbProcedure="0">'[73]geological prognosis'!#ref!</definedName>
    <definedName name="reservoir19" localSheetId="13" hidden="0" function="0" vbProcedure="0">'[73]geological prognosis'!#ref!</definedName>
    <definedName name="reservoir20" localSheetId="13" hidden="0" function="0" vbProcedure="0">'[73]geological prognosis'!#ref!</definedName>
    <definedName name="reservoir21" localSheetId="13" hidden="0" function="0" vbProcedure="0">'[73]geological prognosis'!#ref!</definedName>
    <definedName name="reservoir22" localSheetId="13" hidden="0" function="0" vbProcedure="0">'[73]geological prognosis'!#ref!</definedName>
    <definedName name="reservoir23" localSheetId="13" hidden="0" function="0" vbProcedure="0">'[73]geological prognosis'!#ref!</definedName>
    <definedName name="reservoir24" localSheetId="13" hidden="0" function="0" vbProcedure="0">'[73]geological prognosis'!#ref!</definedName>
    <definedName name="reservoir25" localSheetId="13" hidden="0" function="0" vbProcedure="0">'[73]geological prognosis'!#ref!</definedName>
    <definedName name="reservoir26" localSheetId="13" hidden="0" function="0" vbProcedure="0">'[73]geological prognosis'!#ref!</definedName>
    <definedName name="reservoir27" localSheetId="13" hidden="0" function="0" vbProcedure="0">'[73]geological prognosis'!#ref!</definedName>
    <definedName name="reservoir28" localSheetId="13" hidden="0" function="0" vbProcedure="0">'[73]geological prognosis'!#ref!</definedName>
    <definedName name="reservoir29" localSheetId="13" hidden="0" function="0" vbProcedure="0">'[73]geological prognosis'!#ref!</definedName>
    <definedName name="resrevoir09" localSheetId="13" hidden="0" function="0" vbProcedure="0">'[73]geological prognosis'!#ref!</definedName>
    <definedName name="resrevoir10" localSheetId="13" hidden="0" function="0" vbProcedure="0">'[73]geological prognosis'!#ref!</definedName>
    <definedName name="resrevoir12" localSheetId="13" hidden="0" function="0" vbProcedure="0">'[73]geological prognosis'!#ref!</definedName>
    <definedName name="resrevoir13" localSheetId="13" hidden="0" function="0" vbProcedure="0">'[73]geological prognosis'!#ref!</definedName>
    <definedName name="resrevoir14" localSheetId="13" hidden="0" function="0" vbProcedure="0">'[73]geological prognosis'!#ref!</definedName>
    <definedName name="ret" localSheetId="13" hidden="0" function="0" vbProcedure="0">[119]钻井日报表!$G$3</definedName>
    <definedName name="Return_to_seabed" localSheetId="13" hidden="0" function="0" vbProcedure="0">#ref!</definedName>
    <definedName name="RevDate" localSheetId="13" hidden="0" function="0" vbProcedure="0">#ref!</definedName>
    <definedName name="RevNb" localSheetId="13" hidden="0" function="0" vbProcedure="0">#ref!</definedName>
    <definedName name="Rev_XX" localSheetId="13" hidden="0" function="0" vbProcedure="0">'[94]Job Technical Info'!$L$4</definedName>
    <definedName name="rho_ahead_cement" localSheetId="13" hidden="0" function="0" vbProcedure="0">#ref!</definedName>
    <definedName name="rho_chase" localSheetId="13" hidden="0" function="0" vbProcedure="0">#ref!</definedName>
    <definedName name="rho_lead" localSheetId="13" hidden="0" function="0" vbProcedure="0">#ref!</definedName>
    <definedName name="rho_tail" localSheetId="13" hidden="0" function="0" vbProcedure="0">#ref!</definedName>
    <definedName name="RH_SHEAR" localSheetId="13" hidden="0" function="0" vbProcedure="0">'[11]Weight Calculations'!$H$21</definedName>
    <definedName name="RH_SHEAR_LNGTH" localSheetId="13" hidden="0" function="0" vbProcedure="0">'[11]Metric Conversions'!$B$37</definedName>
    <definedName name="Rig" localSheetId="13" hidden="0" function="0" vbProcedure="0">'[130]Liner Job Info'!$E$8</definedName>
    <definedName name="rigcontractor1" localSheetId="13" hidden="0" function="0" vbProcedure="0">[183]Data!$G$1:$G$65536</definedName>
    <definedName name="RigFd" localSheetId="13" hidden="0" function="0" vbProcedure="0">#ref!</definedName>
    <definedName name="Rigname1" localSheetId="13" hidden="0" function="0" vbProcedure="0">[183]Data!$E$1:$E$65536</definedName>
    <definedName name="RigPh" localSheetId="13" hidden="0" function="0" vbProcedure="0">'[94]Job Technical Info'!$G$17</definedName>
    <definedName name="Rig_Name" localSheetId="13" hidden="0" function="0" vbProcedure="0">'[108]Pre-Job Info Sheet'!$D$11</definedName>
    <definedName name="Rig_Output" localSheetId="13" hidden="0" function="0" vbProcedure="0">'[11]Displacement Cal.'!$G$7</definedName>
    <definedName name="RiseID" localSheetId="13" hidden="0" function="0" vbProcedure="0">#ref!</definedName>
    <definedName name="RI_LC_Z2_ANSWERS_SCPacker1" localSheetId="13" hidden="0" function="0" vbProcedure="0">'[165]LowerCompletions - Risk Index'!$G$56</definedName>
    <definedName name="RI_LC_Z3_ANSWERS_SCPacker1" localSheetId="13" hidden="0" function="0" vbProcedure="0">'[165]LowerCompletions - Risk Index'!$G$69</definedName>
    <definedName name="RI_LC_Z4_ANSWERS_SCPacker1" localSheetId="13" hidden="0" function="0" vbProcedure="0">'[165]LowerCompletions - Risk Index'!$G$82</definedName>
    <definedName name="RI_LC_Z5_ANSWERS_SCPacker1" localSheetId="13" hidden="0" function="0" vbProcedure="0">'[165]LowerCompletions - Risk Index'!$G$95</definedName>
    <definedName name="Rollover" localSheetId="13" hidden="0" function="0" vbProcedure="0">[63]auf_screen!#ref!</definedName>
    <definedName name="ROMR" localSheetId="13" hidden="0" function="0" vbProcedure="0">[184]References!$A$1:$A$3</definedName>
    <definedName name="Rop_Orient_Mode_1" localSheetId="13" hidden="0" function="0" vbProcedure="0">#ref!</definedName>
    <definedName name="Rop_Orient_Mode_1_Name" localSheetId="13" hidden="0" function="0" vbProcedure="0">#ref!</definedName>
    <definedName name="Rop_Orient_Mode_2" localSheetId="13" hidden="0" function="0" vbProcedure="0">#ref!</definedName>
    <definedName name="Rop_Orient_Mode_2_Name" localSheetId="13" hidden="0" function="0" vbProcedure="0">#ref!</definedName>
    <definedName name="ROP_Survey" localSheetId="13" hidden="0" function="0" vbProcedure="0">#ref!</definedName>
    <definedName name="Rotary" localSheetId="13" hidden="0" function="0" vbProcedure="0">#ref!</definedName>
    <definedName name="Rotation" localSheetId="13" hidden="0" function="0" vbProcedure="0">[11]DATA!$AK$2:$AK$10</definedName>
    <definedName name="RotorByPassNozzleTFA" localSheetId="13" hidden="0" function="0" vbProcedure="0">#ref!</definedName>
    <definedName name="RotorByPassNozzleTFAUnits" localSheetId="13" hidden="0" function="0" vbProcedure="0">#ref!</definedName>
    <definedName name="RowCount" localSheetId="13" hidden="0" function="0" vbProcedure="0">#ref!</definedName>
    <definedName name="RowPage" localSheetId="13" hidden="0" function="0" vbProcedure="0">#ref!</definedName>
    <definedName name="rowq" localSheetId="13" hidden="0" function="0" vbProcedure="0">#ref!</definedName>
    <definedName name="Rpt_Activity_Data" localSheetId="13" hidden="0" function="0" vbProcedure="0">#ref!</definedName>
    <definedName name="Rpt_Annu_AnnulusData" localSheetId="13" hidden="0" function="0" vbProcedure="0">#ref!</definedName>
    <definedName name="Rpt_Annu_AnnulusOD_Unit" localSheetId="13" hidden="0" function="0" vbProcedure="0">#ref!</definedName>
    <definedName name="Rpt_Annu_BHA_Data" localSheetId="13" hidden="0" function="0" vbProcedure="0">#ref!</definedName>
    <definedName name="Rpt_Annu_CTR_Unit" localSheetId="13" hidden="0" function="0" vbProcedure="0">#ref!</definedName>
    <definedName name="Rpt_Annu_Date" localSheetId="13" hidden="0" function="0" vbProcedure="0">#ref!</definedName>
    <definedName name="Rpt_Annu_Flowrate" localSheetId="13" hidden="0" function="0" vbProcedure="0">#ref!</definedName>
    <definedName name="Rpt_Annu_Flowrate_Unit" localSheetId="13" hidden="0" function="0" vbProcedure="0">#ref!</definedName>
    <definedName name="Rpt_Annu_Flow_Unit" localSheetId="13" hidden="0" function="0" vbProcedure="0">#ref!</definedName>
    <definedName name="Rpt_Annu_HCI_Unit" localSheetId="13" hidden="0" function="0" vbProcedure="0">#ref!</definedName>
    <definedName name="Rpt_Annu_Incl_Unit" localSheetId="13" hidden="0" function="0" vbProcedure="0">#ref!</definedName>
    <definedName name="Rpt_Annu_Length_Unit" localSheetId="13" hidden="0" function="0" vbProcedure="0">#ref!</definedName>
    <definedName name="Rpt_Annu_MD_Unit" localSheetId="13" hidden="0" function="0" vbProcedure="0">#ref!</definedName>
    <definedName name="Rpt_Annu_StringOD_Unit" localSheetId="13" hidden="0" function="0" vbProcedure="0">#ref!</definedName>
    <definedName name="Rpt_Annu_Survey_Data" localSheetId="13" hidden="0" function="0" vbProcedure="0">#ref!</definedName>
    <definedName name="Rpt_Annu_TVD_Unit" localSheetId="13" hidden="0" function="0" vbProcedure="0">#ref!</definedName>
    <definedName name="Rpt_Annu_Velocity_Unit" localSheetId="13" hidden="0" function="0" vbProcedure="0">#ref!</definedName>
    <definedName name="Rpt_Annu_Wellbore_Data" localSheetId="13" hidden="0" function="0" vbProcedure="0">#ref!</definedName>
    <definedName name="Rpt_Ann_Back_Pres" localSheetId="13" hidden="0" function="0" vbProcedure="0">#ref!</definedName>
    <definedName name="Rpt_Ann_Back_Pres_Unit" localSheetId="13" hidden="0" function="0" vbProcedure="0">#ref!</definedName>
    <definedName name="Rpt_API_Number" localSheetId="13" hidden="0" function="0" vbProcedure="0">#ref!</definedName>
    <definedName name="Rpt_Average_Header1" localSheetId="13" hidden="0" function="0" vbProcedure="0">#ref!</definedName>
    <definedName name="Rpt_Average_Header2" localSheetId="13" hidden="0" function="0" vbProcedure="0">#ref!</definedName>
    <definedName name="Rpt_AzimIn" localSheetId="13" hidden="0" function="0" vbProcedure="0">#ref!</definedName>
    <definedName name="Rpt_AzimIn_Header" localSheetId="13" hidden="0" function="0" vbProcedure="0">#ref!</definedName>
    <definedName name="Rpt_AzimOut" localSheetId="13" hidden="0" function="0" vbProcedure="0">#ref!</definedName>
    <definedName name="Rpt_AzimOut_Header" localSheetId="13" hidden="0" function="0" vbProcedure="0">#ref!</definedName>
    <definedName name="Rpt_BHARun" localSheetId="13" hidden="0" function="0" vbProcedure="0">#ref!</definedName>
    <definedName name="Rpt_BHA_CumLen_Unit" localSheetId="13" hidden="0" function="0" vbProcedure="0">#ref!</definedName>
    <definedName name="Rpt_BHA_Data" localSheetId="13" hidden="0" function="0" vbProcedure="0">#ref!</definedName>
    <definedName name="Rpt_BHA_Desc_Data" localSheetId="13" hidden="0" function="0" vbProcedure="0">#ref!</definedName>
    <definedName name="Rpt_BHA_ID_Unit" localSheetId="13" hidden="0" function="0" vbProcedure="0">#ref!</definedName>
    <definedName name="Rpt_BHA_Length_Unit" localSheetId="13" hidden="0" function="0" vbProcedure="0">#ref!</definedName>
    <definedName name="Rpt_BHA_OD_Unit" localSheetId="13" hidden="0" function="0" vbProcedure="0">#ref!</definedName>
    <definedName name="Rpt_BHA_Picture_Start" localSheetId="13" hidden="0" function="0" vbProcedure="0">#ref!</definedName>
    <definedName name="Rpt_BHA_PressDrop_Unit" localSheetId="13" hidden="0" function="0" vbProcedure="0">#ref!</definedName>
    <definedName name="Rpt_BitBearingsIN" localSheetId="13" hidden="0" function="0" vbProcedure="0">#ref!</definedName>
    <definedName name="Rpt_BitBearingsOut" localSheetId="13" hidden="0" function="0" vbProcedure="0">#ref!</definedName>
    <definedName name="Rpt_BitDullCharIN" localSheetId="13" hidden="0" function="0" vbProcedure="0">#ref!</definedName>
    <definedName name="Rpt_BitDullCharOut" localSheetId="13" hidden="0" function="0" vbProcedure="0">#ref!</definedName>
    <definedName name="Rpt_BitGaugeIN" localSheetId="13" hidden="0" function="0" vbProcedure="0">#ref!</definedName>
    <definedName name="Rpt_BitGaugeOut" localSheetId="13" hidden="0" function="0" vbProcedure="0">#ref!</definedName>
    <definedName name="Rpt_BitIADC" localSheetId="13" hidden="0" function="0" vbProcedure="0">#ref!</definedName>
    <definedName name="Rpt_BitInRowIN" localSheetId="13" hidden="0" function="0" vbProcedure="0">#ref!</definedName>
    <definedName name="Rpt_BitLocationIN" localSheetId="13" hidden="0" function="0" vbProcedure="0">#ref!</definedName>
    <definedName name="Rpt_BitLocationOut" localSheetId="13" hidden="0" function="0" vbProcedure="0">#ref!</definedName>
    <definedName name="Rpt_BitOtherIN" localSheetId="13" hidden="0" function="0" vbProcedure="0">#ref!</definedName>
    <definedName name="Rpt_BitOtherOut" localSheetId="13" hidden="0" function="0" vbProcedure="0">#ref!</definedName>
    <definedName name="Rpt_BitOutRowIN" localSheetId="13" hidden="0" function="0" vbProcedure="0">#ref!</definedName>
    <definedName name="Rpt_BitOutRowOut" localSheetId="13" hidden="0" function="0" vbProcedure="0">#ref!</definedName>
    <definedName name="Rpt_BitReasonIN" localSheetId="13" hidden="0" function="0" vbProcedure="0">#ref!</definedName>
    <definedName name="Rpt_BitReasonOUT" localSheetId="13" hidden="0" function="0" vbProcedure="0">#ref!</definedName>
    <definedName name="Rpt_BitRun" localSheetId="13" hidden="0" function="0" vbProcedure="0">#ref!</definedName>
    <definedName name="Rpt_BitSN" localSheetId="13" hidden="0" function="0" vbProcedure="0">#ref!</definedName>
    <definedName name="Rpt_BitTFA" localSheetId="13" hidden="0" function="0" vbProcedure="0">#ref!</definedName>
    <definedName name="Rpt_BitTFA_Header" localSheetId="13" hidden="0" function="0" vbProcedure="0">#ref!</definedName>
    <definedName name="Rpt_BitTYPE" localSheetId="13" hidden="0" function="0" vbProcedure="0">#ref!</definedName>
    <definedName name="Rpt_Bit_Dia" localSheetId="13" hidden="0" function="0" vbProcedure="0">#ref!</definedName>
    <definedName name="Rpt_Bit_Dia_Unit" localSheetId="13" hidden="0" function="0" vbProcedure="0">#ref!</definedName>
    <definedName name="Rpt_Bit_FlowRate" localSheetId="13" hidden="0" function="0" vbProcedure="0">#ref!</definedName>
    <definedName name="Rpt_Bit_FlowRate_Unit" localSheetId="13" hidden="0" function="0" vbProcedure="0">#ref!</definedName>
    <definedName name="Rpt_Bit_HSI" localSheetId="13" hidden="0" function="0" vbProcedure="0">#ref!</definedName>
    <definedName name="Rpt_Bit_HSI_Unit" localSheetId="13" hidden="0" function="0" vbProcedure="0">#ref!</definedName>
    <definedName name="Rpt_Bit_Hyd_Pow" localSheetId="13" hidden="0" function="0" vbProcedure="0">#ref!</definedName>
    <definedName name="Rpt_Bit_Hyd_Pow_Unit" localSheetId="13" hidden="0" function="0" vbProcedure="0">#ref!</definedName>
    <definedName name="Rpt_Bit_JetVelocity" localSheetId="13" hidden="0" function="0" vbProcedure="0">#ref!</definedName>
    <definedName name="Rpt_Bit_JetVelocity_Unit" localSheetId="13" hidden="0" function="0" vbProcedure="0">#ref!</definedName>
    <definedName name="Rpt_Bit_Jet_Imp_Force" localSheetId="13" hidden="0" function="0" vbProcedure="0">#ref!</definedName>
    <definedName name="Rpt_Bit_Jet_Imp_Force_Unit" localSheetId="13" hidden="0" function="0" vbProcedure="0">#ref!</definedName>
    <definedName name="Rpt_Bit_Name" localSheetId="13" hidden="0" function="0" vbProcedure="0">#ref!</definedName>
    <definedName name="Rpt_Bit_Name_Duplicated" localSheetId="13" hidden="0" function="0" vbProcedure="0">#ref!</definedName>
    <definedName name="Rpt_Bit_PressureDrop" localSheetId="13" hidden="0" function="0" vbProcedure="0">#ref!</definedName>
    <definedName name="Rpt_Bit_Pressure_Drop_Unit" localSheetId="13" hidden="0" function="0" vbProcedure="0">#ref!</definedName>
    <definedName name="Rpt_Bit_TFA" localSheetId="13" hidden="0" function="0" vbProcedure="0">#ref!</definedName>
    <definedName name="Rpt_Bit_TFA_Unit" localSheetId="13" hidden="0" function="0" vbProcedure="0">#ref!</definedName>
    <definedName name="Rpt_Bit_Type" localSheetId="13" hidden="0" function="0" vbProcedure="0">#ref!</definedName>
    <definedName name="Rpt_Borehole" localSheetId="13" hidden="0" function="0" vbProcedure="0">#ref!</definedName>
    <definedName name="Rpt_BoreholeName" localSheetId="13" hidden="0" function="0" vbProcedure="0">#ref!</definedName>
    <definedName name="Rpt_Borehole_CumLen_Unit" localSheetId="13" hidden="0" function="0" vbProcedure="0">#ref!</definedName>
    <definedName name="Rpt_BoreHole_Desc_Data" localSheetId="13" hidden="0" function="0" vbProcedure="0">#ref!</definedName>
    <definedName name="Rpt_Borehole_ID_Unit" localSheetId="13" hidden="0" function="0" vbProcedure="0">#ref!</definedName>
    <definedName name="Rpt_Borehole_Length_Unit" localSheetId="13" hidden="0" function="0" vbProcedure="0">#ref!</definedName>
    <definedName name="Rpt_BRTHours" localSheetId="13" hidden="0" function="0" vbProcedure="0">#ref!</definedName>
    <definedName name="Rpt_CasingShoe" localSheetId="13" hidden="0" function="0" vbProcedure="0">#ref!</definedName>
    <definedName name="Rpt_CasingShoe_Header" localSheetId="13" hidden="0" function="0" vbProcedure="0">#ref!</definedName>
    <definedName name="Rpt_CasingSize" localSheetId="13" hidden="0" function="0" vbProcedure="0">#ref!</definedName>
    <definedName name="Rpt_CasingSize_Header" localSheetId="13" hidden="0" function="0" vbProcedure="0">#ref!</definedName>
    <definedName name="Rpt_CasingWT" localSheetId="13" hidden="0" function="0" vbProcedure="0">#ref!</definedName>
    <definedName name="Rpt_CasingWT_Header" localSheetId="13" hidden="0" function="0" vbProcedure="0">#ref!</definedName>
    <definedName name="Rpt_Client" localSheetId="13" hidden="0" function="0" vbProcedure="0">#ref!</definedName>
    <definedName name="Rpt_ClientName" localSheetId="13" hidden="0" function="0" vbProcedure="0">#ref!</definedName>
    <definedName name="Rpt_ClientRep1" localSheetId="13" hidden="0" function="0" vbProcedure="0">#ref!</definedName>
    <definedName name="Rpt_ClientRep2" localSheetId="13" hidden="0" function="0" vbProcedure="0">#ref!</definedName>
    <definedName name="Rpt_Comments" localSheetId="13" hidden="0" function="0" vbProcedure="0">#ref!</definedName>
    <definedName name="Rpt_Company_Name" localSheetId="13" hidden="0" function="0" vbProcedure="0">#ref!</definedName>
    <definedName name="Rpt_CoordinateReference" localSheetId="13" hidden="0" function="0" vbProcedure="0">#ref!</definedName>
    <definedName name="Rpt_CoordinateSystem" localSheetId="13" hidden="0" function="0" vbProcedure="0">#ref!</definedName>
    <definedName name="Rpt_Cuttings_Bit_ECD_Increase" localSheetId="13" hidden="0" function="0" vbProcedure="0">#ref!</definedName>
    <definedName name="Rpt_Cuttings_Bit_ECD_Increase_Unit" localSheetId="13" hidden="0" function="0" vbProcedure="0">#ref!</definedName>
    <definedName name="Rpt_Cuttings_Concentration" localSheetId="13" hidden="0" function="0" vbProcedure="0">#ref!</definedName>
    <definedName name="Rpt_Cuttings_Density" localSheetId="13" hidden="0" function="0" vbProcedure="0">#ref!</definedName>
    <definedName name="Rpt_Cuttings_Dia" localSheetId="13" hidden="0" function="0" vbProcedure="0">#ref!</definedName>
    <definedName name="Rpt_Cuttings_Dia_Unit" localSheetId="13" hidden="0" function="0" vbProcedure="0">#ref!</definedName>
    <definedName name="Rpt_Cuttings_ROP" localSheetId="13" hidden="0" function="0" vbProcedure="0">#ref!</definedName>
    <definedName name="Rpt_Cuttings_ROP_Unit" localSheetId="13" hidden="0" function="0" vbProcedure="0">#ref!</definedName>
    <definedName name="Rpt_Cuttings_Weight" localSheetId="13" hidden="0" function="0" vbProcedure="0">#ref!</definedName>
    <definedName name="Rpt_Cuttings_Weight_Unit" localSheetId="13" hidden="0" function="0" vbProcedure="0">#ref!</definedName>
    <definedName name="Rpt_Date" localSheetId="13" hidden="0" function="0" vbProcedure="0">#ref!</definedName>
    <definedName name="Rpt_DateTD" localSheetId="13" hidden="0" function="0" vbProcedure="0">#ref!</definedName>
    <definedName name="Rpt_DepthIn" localSheetId="13" hidden="0" function="0" vbProcedure="0">#ref!</definedName>
    <definedName name="Rpt_DepthIn_Header" localSheetId="13" hidden="0" function="0" vbProcedure="0">#ref!</definedName>
    <definedName name="Rpt_DepthOut" localSheetId="13" hidden="0" function="0" vbProcedure="0">#ref!</definedName>
    <definedName name="Rpt_DepthOut_Header" localSheetId="13" hidden="0" function="0" vbProcedure="0">#ref!</definedName>
    <definedName name="Rpt_Detail_Annulus_Desc_Data" localSheetId="13" hidden="0" function="0" vbProcedure="0">#ref!</definedName>
    <definedName name="Rpt_Detail_Annulus_Strokes" localSheetId="13" hidden="0" function="0" vbProcedure="0">#ref!</definedName>
    <definedName name="Rpt_Detail_Annulus_Time" localSheetId="13" hidden="0" function="0" vbProcedure="0">#ref!</definedName>
    <definedName name="Rpt_Detail_Annulus_Volume" localSheetId="13" hidden="0" function="0" vbProcedure="0">#ref!</definedName>
    <definedName name="Rpt_Detail_Ann_Annulus_OD_Unit" localSheetId="13" hidden="0" function="0" vbProcedure="0">#ref!</definedName>
    <definedName name="Rpt_Detail_Ann_CumLen_Unit" localSheetId="13" hidden="0" function="0" vbProcedure="0">#ref!</definedName>
    <definedName name="Rpt_Detail_Ann_Length_Unit" localSheetId="13" hidden="0" function="0" vbProcedure="0">#ref!</definedName>
    <definedName name="Rpt_Detail_Ann_PressDrop_Unit" localSheetId="13" hidden="0" function="0" vbProcedure="0">#ref!</definedName>
    <definedName name="Rpt_Detail_Ann_String_OD_Unit" localSheetId="13" hidden="0" function="0" vbProcedure="0">#ref!</definedName>
    <definedName name="Rpt_Detail_Ann_Velocity_Unit" localSheetId="13" hidden="0" function="0" vbProcedure="0">#ref!</definedName>
    <definedName name="Rpt_Detail_BHA_CumLen_Unit" localSheetId="13" hidden="0" function="0" vbProcedure="0">#ref!</definedName>
    <definedName name="Rpt_Detail_BHA_Data" localSheetId="13" hidden="0" function="0" vbProcedure="0">#ref!</definedName>
    <definedName name="Rpt_Detail_BHA_Desc_Data" localSheetId="13" hidden="0" function="0" vbProcedure="0">#ref!</definedName>
    <definedName name="Rpt_Detail_BHA_ID_Unit" localSheetId="13" hidden="0" function="0" vbProcedure="0">#ref!</definedName>
    <definedName name="Rpt_Detail_BHA_Length_Unit" localSheetId="13" hidden="0" function="0" vbProcedure="0">#ref!</definedName>
    <definedName name="Rpt_Detail_BHA_PD_Unit" localSheetId="13" hidden="0" function="0" vbProcedure="0">#ref!</definedName>
    <definedName name="Rpt_Detail_BHA_Velocity_Unit" localSheetId="13" hidden="0" function="0" vbProcedure="0">#ref!</definedName>
    <definedName name="Rpt_Detail_BitNozzle_PDrop" localSheetId="13" hidden="0" function="0" vbProcedure="0">#ref!</definedName>
    <definedName name="Rpt_Detail_BitNozzle_PDrop_Unit" localSheetId="13" hidden="0" function="0" vbProcedure="0">#ref!</definedName>
    <definedName name="Rpt_Detail_BitShoe_Strokes" localSheetId="13" hidden="0" function="0" vbProcedure="0">#ref!</definedName>
    <definedName name="Rpt_Detail_BitShoe_Time" localSheetId="13" hidden="0" function="0" vbProcedure="0">#ref!</definedName>
    <definedName name="Rpt_Detail_BitShoe_Volume" localSheetId="13" hidden="0" function="0" vbProcedure="0">#ref!</definedName>
    <definedName name="Rpt_Detail_Borehole_Desc_Data" localSheetId="13" hidden="0" function="0" vbProcedure="0">#ref!</definedName>
    <definedName name="Rpt_Detail_Borehole_ID_Unit" localSheetId="13" hidden="0" function="0" vbProcedure="0">#ref!</definedName>
    <definedName name="Rpt_Detail_Borehole_Length_Unit" localSheetId="13" hidden="0" function="0" vbProcedure="0">#ref!</definedName>
    <definedName name="Rpt_Detail_Borehole_MD_Unit" localSheetId="13" hidden="0" function="0" vbProcedure="0">#ref!</definedName>
    <definedName name="Rpt_Detail_Borehole_PD_Unit" localSheetId="13" hidden="0" function="0" vbProcedure="0">#ref!</definedName>
    <definedName name="Rpt_Detail_Circulation_Strokes" localSheetId="13" hidden="0" function="0" vbProcedure="0">#ref!</definedName>
    <definedName name="Rpt_Detail_Circulation_Time" localSheetId="13" hidden="0" function="0" vbProcedure="0">#ref!</definedName>
    <definedName name="Rpt_Detail_Circulation_Volume" localSheetId="13" hidden="0" function="0" vbProcedure="0">#ref!</definedName>
    <definedName name="Rpt_Detail_Cuttings_Concentration" localSheetId="13" hidden="0" function="0" vbProcedure="0">#ref!</definedName>
    <definedName name="Rpt_Detail_Cuttings_Density" localSheetId="13" hidden="0" function="0" vbProcedure="0">#ref!</definedName>
    <definedName name="Rpt_Detail_Cuttings_Weight" localSheetId="13" hidden="0" function="0" vbProcedure="0">#ref!</definedName>
    <definedName name="Rpt_Detail_Cuttings_Weight_Unit" localSheetId="13" hidden="0" function="0" vbProcedure="0">#ref!</definedName>
    <definedName name="Rpt_Detail_Date" localSheetId="13" hidden="0" function="0" vbProcedure="0">#ref!</definedName>
    <definedName name="Rpt_Detail_DrillString_Strokes" localSheetId="13" hidden="0" function="0" vbProcedure="0">#ref!</definedName>
    <definedName name="Rpt_Detail_DrillString_Time" localSheetId="13" hidden="0" function="0" vbProcedure="0">#ref!</definedName>
    <definedName name="Rpt_Detail_DrillString_Volume" localSheetId="13" hidden="0" function="0" vbProcedure="0">#ref!</definedName>
    <definedName name="Rpt_Detail_Flowrate" localSheetId="13" hidden="0" function="0" vbProcedure="0">#ref!</definedName>
    <definedName name="Rpt_Detail_Flowrate_Unit" localSheetId="13" hidden="0" function="0" vbProcedure="0">#ref!</definedName>
    <definedName name="Rpt_Detail_FlowRestrictor_PDrop" localSheetId="13" hidden="0" function="0" vbProcedure="0">#ref!</definedName>
    <definedName name="Rpt_Detail_FlowRestrictor_PDrop_Unit" localSheetId="13" hidden="0" function="0" vbProcedure="0">#ref!</definedName>
    <definedName name="Rpt_Detail_Motor_PDrop" localSheetId="13" hidden="0" function="0" vbProcedure="0">#ref!</definedName>
    <definedName name="Rpt_Detail_Motor_PDrop_Unit" localSheetId="13" hidden="0" function="0" vbProcedure="0">#ref!</definedName>
    <definedName name="Rpt_Detail_PPower" localSheetId="13" hidden="0" function="0" vbProcedure="0">#ref!</definedName>
    <definedName name="Rpt_Detail_PPower_Unit" localSheetId="13" hidden="0" function="0" vbProcedure="0">#ref!</definedName>
    <definedName name="Rpt_Detail_Press_Drop_Header" localSheetId="13" hidden="0" function="0" vbProcedure="0">#ref!</definedName>
    <definedName name="Rpt_Detail_PSVolume" localSheetId="13" hidden="0" function="0" vbProcedure="0">#ref!</definedName>
    <definedName name="Rpt_Detail_PSVolume_Unit" localSheetId="13" hidden="0" function="0" vbProcedure="0">#ref!</definedName>
    <definedName name="Rpt_Detail_ShoeSurface_Strokes" localSheetId="13" hidden="0" function="0" vbProcedure="0">#ref!</definedName>
    <definedName name="Rpt_Detail_ShoeSurface_Time" localSheetId="13" hidden="0" function="0" vbProcedure="0">#ref!</definedName>
    <definedName name="Rpt_Detail_ShoeSurface_Volume" localSheetId="13" hidden="0" function="0" vbProcedure="0">#ref!</definedName>
    <definedName name="Rpt_Detail_SubTotal_PDrop" localSheetId="13" hidden="0" function="0" vbProcedure="0">#ref!</definedName>
    <definedName name="Rpt_Detail_SubTotal_PDrop_Unit" localSheetId="13" hidden="0" function="0" vbProcedure="0">#ref!</definedName>
    <definedName name="Rpt_Detail_Survey_Data" localSheetId="13" hidden="0" function="0" vbProcedure="0">#ref!</definedName>
    <definedName name="Rpt_Detail_Time_Unit" localSheetId="13" hidden="0" function="0" vbProcedure="0">#ref!</definedName>
    <definedName name="Rpt_Detail_TJ_Ann_PD" localSheetId="13" hidden="0" function="0" vbProcedure="0">#ref!</definedName>
    <definedName name="Rpt_Detail_TJ_Percentage" localSheetId="13" hidden="0" function="0" vbProcedure="0">#ref!</definedName>
    <definedName name="Rpt_Detail_ToolJoint_PDrop" localSheetId="13" hidden="0" function="0" vbProcedure="0">#ref!</definedName>
    <definedName name="Rpt_Detail_ToolJoint_PDrop_Unit" localSheetId="13" hidden="0" function="0" vbProcedure="0">#ref!</definedName>
    <definedName name="Rpt_Detail_Tools_PDrop" localSheetId="13" hidden="0" function="0" vbProcedure="0">#ref!</definedName>
    <definedName name="Rpt_Detail_Tools_PDrop_Unit" localSheetId="13" hidden="0" function="0" vbProcedure="0">#ref!</definedName>
    <definedName name="Rpt_Detail_Total_Ann_PD" localSheetId="13" hidden="0" function="0" vbProcedure="0">#ref!</definedName>
    <definedName name="Rpt_Detail_Total_PDrop" localSheetId="13" hidden="0" function="0" vbProcedure="0">#ref!</definedName>
    <definedName name="Rpt_Detail_Total_PDrop_Unit" localSheetId="13" hidden="0" function="0" vbProcedure="0">#ref!</definedName>
    <definedName name="Rpt_Detail_Tubular_PDrop" localSheetId="13" hidden="0" function="0" vbProcedure="0">#ref!</definedName>
    <definedName name="Rpt_Detail_Tubular_PDrop_Unit" localSheetId="13" hidden="0" function="0" vbProcedure="0">#ref!</definedName>
    <definedName name="Rpt_Detail_Volume_Unit" localSheetId="13" hidden="0" function="0" vbProcedure="0">#ref!</definedName>
    <definedName name="Rpt_Detail_Wellbore_Data" localSheetId="13" hidden="0" function="0" vbProcedure="0">#ref!</definedName>
    <definedName name="Rpt_DipAngle" localSheetId="13" hidden="0" function="0" vbProcedure="0">#ref!</definedName>
    <definedName name="Rpt_District" localSheetId="13" hidden="0" function="0" vbProcedure="0">#ref!</definedName>
    <definedName name="Rpt_DrillingHours" localSheetId="13" hidden="0" function="0" vbProcedure="0">#ref!</definedName>
    <definedName name="Rpt_Drillsheet_Data_Date" localSheetId="13" hidden="0" function="0" vbProcedure="0">#ref!</definedName>
    <definedName name="Rpt_Drillsheet_Header1_Date" localSheetId="13" hidden="0" function="0" vbProcedure="0">#ref!</definedName>
    <definedName name="Rpt_Drillsheet_Header2_Date" localSheetId="13" hidden="0" function="0" vbProcedure="0">#ref!</definedName>
    <definedName name="Rpt_DrillSiteOrWellPad" localSheetId="13" hidden="0" function="0" vbProcedure="0">#ref!</definedName>
    <definedName name="Rpt_ECD_Depth_Title" localSheetId="13" hidden="0" function="0" vbProcedure="0">#ref!</definedName>
    <definedName name="Rpt_Elevation" localSheetId="13" hidden="0" function="0" vbProcedure="0">#ref!</definedName>
    <definedName name="Rpt_ElevationReference" localSheetId="13" hidden="0" function="0" vbProcedure="0">#ref!</definedName>
    <definedName name="Rpt_EndMW" localSheetId="13" hidden="0" function="0" vbProcedure="0">#ref!</definedName>
    <definedName name="Rpt_EndMW_Header" localSheetId="13" hidden="0" function="0" vbProcedure="0">#ref!</definedName>
    <definedName name="Rpt_Fann100" localSheetId="13" hidden="0" function="0" vbProcedure="0">#ref!</definedName>
    <definedName name="Rpt_Fann100_Unit" localSheetId="13" hidden="0" function="0" vbProcedure="0">#ref!</definedName>
    <definedName name="Rpt_Fann200" localSheetId="13" hidden="0" function="0" vbProcedure="0">#ref!</definedName>
    <definedName name="Rpt_Fann200_Unit" localSheetId="13" hidden="0" function="0" vbProcedure="0">#ref!</definedName>
    <definedName name="Rpt_Fann3" localSheetId="13" hidden="0" function="0" vbProcedure="0">#ref!</definedName>
    <definedName name="Rpt_Fann300" localSheetId="13" hidden="0" function="0" vbProcedure="0">#ref!</definedName>
    <definedName name="Rpt_Fann300_Unit" localSheetId="13" hidden="0" function="0" vbProcedure="0">#ref!</definedName>
    <definedName name="Rpt_Fann3_Unit" localSheetId="13" hidden="0" function="0" vbProcedure="0">#ref!</definedName>
    <definedName name="Rpt_Fann6" localSheetId="13" hidden="0" function="0" vbProcedure="0">#ref!</definedName>
    <definedName name="Rpt_Fann600" localSheetId="13" hidden="0" function="0" vbProcedure="0">#ref!</definedName>
    <definedName name="Rpt_Fann600_Unit" localSheetId="13" hidden="0" function="0" vbProcedure="0">#ref!</definedName>
    <definedName name="Rpt_Fann6_Unit" localSheetId="13" hidden="0" function="0" vbProcedure="0">#ref!</definedName>
    <definedName name="Rpt_Field" localSheetId="13" hidden="0" function="0" vbProcedure="0">#ref!</definedName>
    <definedName name="Rpt_FieldName" localSheetId="13" hidden="0" function="0" vbProcedure="0">#ref!</definedName>
    <definedName name="Rpt_FieldStrength" localSheetId="13" hidden="0" function="0" vbProcedure="0">#ref!</definedName>
    <definedName name="Rpt_FirstDD" localSheetId="13" hidden="0" function="0" vbProcedure="0">#ref!</definedName>
    <definedName name="Rpt_Flowrate" localSheetId="13" hidden="0" function="0" vbProcedure="0">#ref!</definedName>
    <definedName name="Rpt_Flowrate_Unit" localSheetId="13" hidden="0" function="0" vbProcedure="0">#ref!</definedName>
    <definedName name="Rpt_FR_Bit_ECD" localSheetId="13" hidden="0" function="0" vbProcedure="0">#ref!</definedName>
    <definedName name="Rpt_FR_Bit_ECD_Unit" localSheetId="13" hidden="0" function="0" vbProcedure="0">#ref!</definedName>
    <definedName name="Rpt_FR_Bit_MD" localSheetId="13" hidden="0" function="0" vbProcedure="0">#ref!</definedName>
    <definedName name="Rpt_FR_Bit_MD_Unit" localSheetId="13" hidden="0" function="0" vbProcedure="0">#ref!</definedName>
    <definedName name="Rpt_FR_Bit_TVD" localSheetId="13" hidden="0" function="0" vbProcedure="0">#ref!</definedName>
    <definedName name="Rpt_FR_Bit_TVD_Unit" localSheetId="13" hidden="0" function="0" vbProcedure="0">#ref!</definedName>
    <definedName name="Rpt_FR_CasingShoe_MD" localSheetId="13" hidden="0" function="0" vbProcedure="0">#ref!</definedName>
    <definedName name="Rpt_FR_CasingShoe_MD_Unit" localSheetId="13" hidden="0" function="0" vbProcedure="0">#ref!</definedName>
    <definedName name="Rpt_FR_Depth_ECD" localSheetId="13" hidden="0" function="0" vbProcedure="0">#ref!</definedName>
    <definedName name="Rpt_FR_Depth_ECD_Unit" localSheetId="13" hidden="0" function="0" vbProcedure="0">#ref!</definedName>
    <definedName name="Rpt_FR_Depth_In" localSheetId="13" hidden="0" function="0" vbProcedure="0">#ref!</definedName>
    <definedName name="Rpt_FR_Depth_In_Unit" localSheetId="13" hidden="0" function="0" vbProcedure="0">#ref!</definedName>
    <definedName name="Rpt_FR_Depth_Out" localSheetId="13" hidden="0" function="0" vbProcedure="0">#ref!</definedName>
    <definedName name="Rpt_FR_Depth_Out_Unit" localSheetId="13" hidden="0" function="0" vbProcedure="0">#ref!</definedName>
    <definedName name="Rpt_FR_ShoeECD" localSheetId="13" hidden="0" function="0" vbProcedure="0">#ref!</definedName>
    <definedName name="Rpt_FR_ShoeECD_Unit" localSheetId="13" hidden="0" function="0" vbProcedure="0">#ref!</definedName>
    <definedName name="Rpt_GeodeticLocation" localSheetId="13" hidden="0" function="0" vbProcedure="0">#ref!</definedName>
    <definedName name="Rpt_Gravity" localSheetId="13" hidden="0" function="0" vbProcedure="0">#ref!</definedName>
    <definedName name="Rpt_GravityModel" localSheetId="13" hidden="0" function="0" vbProcedure="0">#ref!</definedName>
    <definedName name="Rpt_GridConvergence" localSheetId="13" hidden="0" function="0" vbProcedure="0">#ref!</definedName>
    <definedName name="Rpt_GridCorrection" localSheetId="13" hidden="0" function="0" vbProcedure="0">#ref!</definedName>
    <definedName name="Rpt_GridLocation" localSheetId="13" hidden="0" function="0" vbProcedure="0">#ref!</definedName>
    <definedName name="Rpt_GroundLevelElevation" localSheetId="13" hidden="0" function="0" vbProcedure="0">#ref!</definedName>
    <definedName name="Rpt_HBYS" localSheetId="13" hidden="0" function="0" vbProcedure="0">#ref!</definedName>
    <definedName name="Rpt_HBYS_Unit" localSheetId="13" hidden="0" function="0" vbProcedure="0">#ref!</definedName>
    <definedName name="Rpt_HC_Annular_Flow" localSheetId="13" hidden="0" function="0" vbProcedure="0">#ref!</definedName>
    <definedName name="Rpt_HC_Annular_Flow_Unit" localSheetId="13" hidden="0" function="0" vbProcedure="0">#ref!</definedName>
    <definedName name="Rpt_HC_Critical_MD" localSheetId="13" hidden="0" function="0" vbProcedure="0">#ref!</definedName>
    <definedName name="Rpt_HC_Critical_MD_Unit" localSheetId="13" hidden="0" function="0" vbProcedure="0">#ref!</definedName>
    <definedName name="Rpt_HC_Critical_Rate" localSheetId="13" hidden="0" function="0" vbProcedure="0">#ref!</definedName>
    <definedName name="Rpt_HC_Critical_Rate_Flag" localSheetId="13" hidden="0" function="0" vbProcedure="0">#ref!</definedName>
    <definedName name="Rpt_HC_Critical_Rate_Unit" localSheetId="13" hidden="0" function="0" vbProcedure="0">#ref!</definedName>
    <definedName name="Rpt_HC_Hole_Inclination" localSheetId="13" hidden="0" function="0" vbProcedure="0">#ref!</definedName>
    <definedName name="Rpt_HC_Hole_Inclination_Unit" localSheetId="13" hidden="0" function="0" vbProcedure="0">#ref!</definedName>
    <definedName name="Rpt_HC_Riser_Boost_Flow" localSheetId="13" hidden="0" function="0" vbProcedure="0">#ref!</definedName>
    <definedName name="Rpt_HC_Riser_Boost_Flow_Unit" localSheetId="13" hidden="0" function="0" vbProcedure="0">#ref!</definedName>
    <definedName name="Rpt_HC_RPM" localSheetId="13" hidden="0" function="0" vbProcedure="0">#ref!</definedName>
    <definedName name="Rpt_HoleSize" localSheetId="13" hidden="0" function="0" vbProcedure="0">#ref!</definedName>
    <definedName name="Rpt_HoleSize_Header" localSheetId="13" hidden="0" function="0" vbProcedure="0">#ref!</definedName>
    <definedName name="Rpt_InclIn" localSheetId="13" hidden="0" function="0" vbProcedure="0">#ref!</definedName>
    <definedName name="Rpt_InclIn_Header" localSheetId="13" hidden="0" function="0" vbProcedure="0">#ref!</definedName>
    <definedName name="Rpt_InclOut" localSheetId="13" hidden="0" function="0" vbProcedure="0">#ref!</definedName>
    <definedName name="Rpt_InclOut_Header" localSheetId="13" hidden="0" function="0" vbProcedure="0">#ref!</definedName>
    <definedName name="Rpt_InRowOut" localSheetId="13" hidden="0" function="0" vbProcedure="0">#ref!</definedName>
    <definedName name="Rpt_Jets" localSheetId="13" hidden="0" function="0" vbProcedure="0">#ref!</definedName>
    <definedName name="Rpt_Jets_Header" localSheetId="13" hidden="0" function="0" vbProcedure="0">#ref!</definedName>
    <definedName name="Rpt_K" localSheetId="13" hidden="0" function="0" vbProcedure="0">#ref!</definedName>
    <definedName name="Rpt_K_Unit" localSheetId="13" hidden="0" function="0" vbProcedure="0">#ref!</definedName>
    <definedName name="Rpt_LeftLogo" localSheetId="13" hidden="0" function="0" vbProcedure="0">#ref!</definedName>
    <definedName name="Rpt_Location" localSheetId="13" hidden="0" function="0" vbProcedure="0">#ref!</definedName>
    <definedName name="Rpt_LocationName" localSheetId="13" hidden="0" function="0" vbProcedure="0">#ref!</definedName>
    <definedName name="Rpt_Logo_Left" localSheetId="13" hidden="0" function="0" vbProcedure="0">#ref!</definedName>
    <definedName name="Rpt_Logo_Right" localSheetId="13" hidden="0" function="0" vbProcedure="0">#ref!</definedName>
    <definedName name="Rpt_MagneticDeclDate" localSheetId="13" hidden="0" function="0" vbProcedure="0">#ref!</definedName>
    <definedName name="Rpt_MagneticDeclination" localSheetId="13" hidden="0" function="0" vbProcedure="0">#ref!</definedName>
    <definedName name="Rpt_MagneticDeclModel" localSheetId="13" hidden="0" function="0" vbProcedure="0">#ref!</definedName>
    <definedName name="Rpt_Manuf" localSheetId="13" hidden="0" function="0" vbProcedure="0">#ref!</definedName>
    <definedName name="Rpt_Max_WOB" localSheetId="13" hidden="0" function="0" vbProcedure="0">#ref!</definedName>
    <definedName name="Rpt_Max_WOB_Unit" localSheetId="13" hidden="0" function="0" vbProcedure="0">#ref!</definedName>
    <definedName name="Rpt_Model" localSheetId="13" hidden="0" function="0" vbProcedure="0">#ref!</definedName>
    <definedName name="Rpt_Motor_Bearing_Comment" localSheetId="13" hidden="0" function="0" vbProcedure="0">#ref!</definedName>
    <definedName name="Rpt_Motor_Bearing_Flow" localSheetId="13" hidden="0" function="0" vbProcedure="0">#ref!</definedName>
    <definedName name="Rpt_Motor_Bearing_FlowPercent" localSheetId="13" hidden="0" function="0" vbProcedure="0">#ref!</definedName>
    <definedName name="Rpt_Motor_Bearing_Flow_Unit" localSheetId="13" hidden="0" function="0" vbProcedure="0">#ref!</definedName>
    <definedName name="Rpt_Motor_Bearing_PDrop" localSheetId="13" hidden="0" function="0" vbProcedure="0">#ref!</definedName>
    <definedName name="Rpt_Motor_Bearing_PDrop_Unit" localSheetId="13" hidden="0" function="0" vbProcedure="0">#ref!</definedName>
    <definedName name="Rpt_Motor_BHA_Data" localSheetId="13" hidden="0" function="0" vbProcedure="0">#ref!</definedName>
    <definedName name="Rpt_Motor_Date" localSheetId="13" hidden="0" function="0" vbProcedure="0">#ref!</definedName>
    <definedName name="Rpt_Motor_Flow_Max" localSheetId="13" hidden="0" function="0" vbProcedure="0">#ref!</definedName>
    <definedName name="Rpt_Motor_Flow_Max_Unit" localSheetId="13" hidden="0" function="0" vbProcedure="0">#ref!</definedName>
    <definedName name="Rpt_Motor_Flow_Min" localSheetId="13" hidden="0" function="0" vbProcedure="0">#ref!</definedName>
    <definedName name="Rpt_Motor_Flow_Min_Unit" localSheetId="13" hidden="0" function="0" vbProcedure="0">#ref!</definedName>
    <definedName name="Rpt_Motor_Flow_Nozzle" localSheetId="13" hidden="0" function="0" vbProcedure="0">#ref!</definedName>
    <definedName name="Rpt_Motor_Flow_Nozzle_Unit" localSheetId="13" hidden="0" function="0" vbProcedure="0">#ref!</definedName>
    <definedName name="Rpt_Motor_Flow_Power" localSheetId="13" hidden="0" function="0" vbProcedure="0">#ref!</definedName>
    <definedName name="Rpt_Motor_Flow_Power_Unit" localSheetId="13" hidden="0" function="0" vbProcedure="0">#ref!</definedName>
    <definedName name="Rpt_Motor_MaxEff" localSheetId="13" hidden="0" function="0" vbProcedure="0">#ref!</definedName>
    <definedName name="Rpt_Motor_MaxEff_DiffP" localSheetId="13" hidden="0" function="0" vbProcedure="0">#ref!</definedName>
    <definedName name="Rpt_Motor_MaxEff_DiffP_Unit" localSheetId="13" hidden="0" function="0" vbProcedure="0">#ref!</definedName>
    <definedName name="Rpt_Motor_MaxHP" localSheetId="13" hidden="0" function="0" vbProcedure="0">#ref!</definedName>
    <definedName name="Rpt_Motor_MaxHP_DiffP" localSheetId="13" hidden="0" function="0" vbProcedure="0">#ref!</definedName>
    <definedName name="Rpt_Motor_MaxHP_DiffP_Unit" localSheetId="13" hidden="0" function="0" vbProcedure="0">#ref!</definedName>
    <definedName name="Rpt_Motor_MaxHP_Unit" localSheetId="13" hidden="0" function="0" vbProcedure="0">#ref!</definedName>
    <definedName name="Rpt_Motor_Max_Title" localSheetId="13" hidden="0" function="0" vbProcedure="0">#ref!</definedName>
    <definedName name="Rpt_Motor_ModelName" localSheetId="13" hidden="0" function="0" vbProcedure="0">#ref!</definedName>
    <definedName name="Rpt_Motor_MotorWear" localSheetId="13" hidden="0" function="0" vbProcedure="0">#ref!</definedName>
    <definedName name="Rpt_Motor_NozzleDiameter" localSheetId="13" hidden="0" function="0" vbProcedure="0">#ref!</definedName>
    <definedName name="Rpt_Motor_NozzleDiameter_Unit" localSheetId="13" hidden="0" function="0" vbProcedure="0">#ref!</definedName>
    <definedName name="Rpt_Motor_OffBottom_NozzleFlow" localSheetId="13" hidden="0" function="0" vbProcedure="0">#ref!</definedName>
    <definedName name="Rpt_Motor_OffBottom_NozzleFlow_Unit" localSheetId="13" hidden="0" function="0" vbProcedure="0">#ref!</definedName>
    <definedName name="Rpt_Motor_OffBottom_PDrop" localSheetId="13" hidden="0" function="0" vbProcedure="0">#ref!</definedName>
    <definedName name="Rpt_Motor_OffBottom_PDrop_Unit" localSheetId="13" hidden="0" function="0" vbProcedure="0">#ref!</definedName>
    <definedName name="Rpt_Motor_OffBottom_PowerFlow" localSheetId="13" hidden="0" function="0" vbProcedure="0">#ref!</definedName>
    <definedName name="Rpt_Motor_OffBottom_PowerFlow_Unit" localSheetId="13" hidden="0" function="0" vbProcedure="0">#ref!</definedName>
    <definedName name="Rpt_Motor_OffBottom_RPM" localSheetId="13" hidden="0" function="0" vbProcedure="0">#ref!</definedName>
    <definedName name="Rpt_Motor_OnBottom_Capacity" localSheetId="13" hidden="0" function="0" vbProcedure="0">#ref!</definedName>
    <definedName name="Rpt_Motor_OnBottom_Capacity_Unit" localSheetId="13" hidden="0" function="0" vbProcedure="0">#ref!</definedName>
    <definedName name="Rpt_Motor_OnBottom_DiffP" localSheetId="13" hidden="0" function="0" vbProcedure="0">#ref!</definedName>
    <definedName name="Rpt_Motor_OnBottom_DiffP_Unit" localSheetId="13" hidden="0" function="0" vbProcedure="0">#ref!</definedName>
    <definedName name="Rpt_Motor_OnBottom_DTOR" localSheetId="13" hidden="0" function="0" vbProcedure="0">#ref!</definedName>
    <definedName name="Rpt_Motor_OnBottom_DTOR_Unit" localSheetId="13" hidden="0" function="0" vbProcedure="0">#ref!</definedName>
    <definedName name="Rpt_Motor_OnBottom_Efficiency" localSheetId="13" hidden="0" function="0" vbProcedure="0">#ref!</definedName>
    <definedName name="Rpt_Motor_OnBottom_HydHP" localSheetId="13" hidden="0" function="0" vbProcedure="0">#ref!</definedName>
    <definedName name="Rpt_Motor_OnBottom_HydHP_Unit" localSheetId="13" hidden="0" function="0" vbProcedure="0">#ref!</definedName>
    <definedName name="Rpt_Motor_OnBottom_MaxOverpull" localSheetId="13" hidden="0" function="0" vbProcedure="0">#ref!</definedName>
    <definedName name="Rpt_Motor_OnBottom_MaxOverpull_Unit" localSheetId="13" hidden="0" function="0" vbProcedure="0">#ref!</definedName>
    <definedName name="Rpt_Motor_OnBottom_MaxWOB" localSheetId="13" hidden="0" function="0" vbProcedure="0">#ref!</definedName>
    <definedName name="Rpt_Motor_OnBottom_MaxWOB_Unit" localSheetId="13" hidden="0" function="0" vbProcedure="0">#ref!</definedName>
    <definedName name="Rpt_Motor_OnBottom_MechHP" localSheetId="13" hidden="0" function="0" vbProcedure="0">#ref!</definedName>
    <definedName name="Rpt_Motor_OnBottom_MechHP_Unit" localSheetId="13" hidden="0" function="0" vbProcedure="0">#ref!</definedName>
    <definedName name="Rpt_Motor_OnBottom_PDrop" localSheetId="13" hidden="0" function="0" vbProcedure="0">#ref!</definedName>
    <definedName name="Rpt_Motor_OnBottom_PDrop_Unit" localSheetId="13" hidden="0" function="0" vbProcedure="0">#ref!</definedName>
    <definedName name="Rpt_Motor_OnBottom_RPM" localSheetId="13" hidden="0" function="0" vbProcedure="0">#ref!</definedName>
    <definedName name="Rpt_Motor_OnBottom_Thrust" localSheetId="13" hidden="0" function="0" vbProcedure="0">#ref!</definedName>
    <definedName name="Rpt_Motor_OnBottom_Thrust_Unit" localSheetId="13" hidden="0" function="0" vbProcedure="0">#ref!</definedName>
    <definedName name="Rpt_Motor_OnBottom_WOB" localSheetId="13" hidden="0" function="0" vbProcedure="0">#ref!</definedName>
    <definedName name="Rpt_Motor_OnBottom_WOB_Unit" localSheetId="13" hidden="0" function="0" vbProcedure="0">#ref!</definedName>
    <definedName name="Rpt_Motor_PumpFlowrate" localSheetId="13" hidden="0" function="0" vbProcedure="0">#ref!</definedName>
    <definedName name="Rpt_Motor_PumpFlowrate_Unit" localSheetId="13" hidden="0" function="0" vbProcedure="0">#ref!</definedName>
    <definedName name="Rpt_Motor_Stall_DiffP" localSheetId="13" hidden="0" function="0" vbProcedure="0">#ref!</definedName>
    <definedName name="Rpt_Motor_Stall_DiffP_Unit" localSheetId="13" hidden="0" function="0" vbProcedure="0">#ref!</definedName>
    <definedName name="Rpt_Motor_Stall_DTOR" localSheetId="13" hidden="0" function="0" vbProcedure="0">#ref!</definedName>
    <definedName name="Rpt_Motor_Stall_DTOR_Unit" localSheetId="13" hidden="0" function="0" vbProcedure="0">#ref!</definedName>
    <definedName name="Rpt_Motor_Stall_MaxDiffP" localSheetId="13" hidden="0" function="0" vbProcedure="0">#ref!</definedName>
    <definedName name="Rpt_Motor_Stall_MaxDiffP_Unit" localSheetId="13" hidden="0" function="0" vbProcedure="0">#ref!</definedName>
    <definedName name="Rpt_Motor_Stall_MaxTitle" localSheetId="13" hidden="0" function="0" vbProcedure="0">#ref!</definedName>
    <definedName name="Rpt_Motor_Stall_MinDiffP" localSheetId="13" hidden="0" function="0" vbProcedure="0">#ref!</definedName>
    <definedName name="Rpt_Motor_Stall_MinDiffP_Unit" localSheetId="13" hidden="0" function="0" vbProcedure="0">#ref!</definedName>
    <definedName name="Rpt_Motor_Stall_MinTitle" localSheetId="13" hidden="0" function="0" vbProcedure="0">#ref!</definedName>
    <definedName name="Rpt_Motor_Stall_NozzleFlow" localSheetId="13" hidden="0" function="0" vbProcedure="0">#ref!</definedName>
    <definedName name="Rpt_Motor_Stall_NozzleFlow_Unit" localSheetId="13" hidden="0" function="0" vbProcedure="0">#ref!</definedName>
    <definedName name="Rpt_Motor_Stall_PowerFlow" localSheetId="13" hidden="0" function="0" vbProcedure="0">#ref!</definedName>
    <definedName name="Rpt_Motor_Stall_PowerFlow_Unit" localSheetId="13" hidden="0" function="0" vbProcedure="0">#ref!</definedName>
    <definedName name="Rpt_Motor_Stall_WOB" localSheetId="13" hidden="0" function="0" vbProcedure="0">#ref!</definedName>
    <definedName name="Rpt_Motor_Stall_WOB_Unit" localSheetId="13" hidden="0" function="0" vbProcedure="0">#ref!</definedName>
    <definedName name="Rpt_Motor_Survey_Data" localSheetId="13" hidden="0" function="0" vbProcedure="0">#ref!</definedName>
    <definedName name="Rpt_Motor_Wellbore_Data" localSheetId="13" hidden="0" function="0" vbProcedure="0">#ref!</definedName>
    <definedName name="Rpt_Mot_Bearing_FR" localSheetId="13" hidden="0" function="0" vbProcedure="0">#ref!</definedName>
    <definedName name="Rpt_Mot_Bearing_FR_Unit" localSheetId="13" hidden="0" function="0" vbProcedure="0">#ref!</definedName>
    <definedName name="Rpt_Mot_DeltaP" localSheetId="13" hidden="0" function="0" vbProcedure="0">#ref!</definedName>
    <definedName name="Rpt_Mot_DeltaP_Unit" localSheetId="13" hidden="0" function="0" vbProcedure="0">#ref!</definedName>
    <definedName name="Rpt_Mot_DTOR" localSheetId="13" hidden="0" function="0" vbProcedure="0">#ref!</definedName>
    <definedName name="Rpt_Mot_DTOR_Unit" localSheetId="13" hidden="0" function="0" vbProcedure="0">#ref!</definedName>
    <definedName name="Rpt_Mot_FR" localSheetId="13" hidden="0" function="0" vbProcedure="0">#ref!</definedName>
    <definedName name="Rpt_Mot_FR_Unit" localSheetId="13" hidden="0" function="0" vbProcedure="0">#ref!</definedName>
    <definedName name="Rpt_Mot_Max_Overpull" localSheetId="13" hidden="0" function="0" vbProcedure="0">#ref!</definedName>
    <definedName name="Rpt_Mot_Max_Overpull_Unit" localSheetId="13" hidden="0" function="0" vbProcedure="0">#ref!</definedName>
    <definedName name="Rpt_Mot_Name" localSheetId="13" hidden="0" function="0" vbProcedure="0">#ref!</definedName>
    <definedName name="Rpt_Mot_Nozzle_FR" localSheetId="13" hidden="0" function="0" vbProcedure="0">#ref!</definedName>
    <definedName name="Rpt_Mot_Nozzle_FR_Unit" localSheetId="13" hidden="0" function="0" vbProcedure="0">#ref!</definedName>
    <definedName name="Rpt_Mot_OnBottom_RPM" localSheetId="13" hidden="0" function="0" vbProcedure="0">#ref!</definedName>
    <definedName name="Rpt_Mot_RSS_Act_Flow" localSheetId="13" hidden="0" function="0" vbProcedure="0">#ref!</definedName>
    <definedName name="Rpt_Mot_RSS_FR" localSheetId="13" hidden="0" function="0" vbProcedure="0">#ref!</definedName>
    <definedName name="Rpt_Mot_RSS_FR_Size" localSheetId="13" hidden="0" function="0" vbProcedure="0">#ref!</definedName>
    <definedName name="Rpt_Mot_RSS_FR_Size_Unit" localSheetId="13" hidden="0" function="0" vbProcedure="0">#ref!</definedName>
    <definedName name="Rpt_Mot_RSS_FR_Unit" localSheetId="13" hidden="0" function="0" vbProcedure="0">#ref!</definedName>
    <definedName name="Rpt_Mot_RSS_Pad_PD" localSheetId="13" hidden="0" function="0" vbProcedure="0">#ref!</definedName>
    <definedName name="Rpt_Mot_RSS_Pad_PD_Unit" localSheetId="13" hidden="0" function="0" vbProcedure="0">#ref!</definedName>
    <definedName name="Rpt_Mot_WOM" localSheetId="13" hidden="0" function="0" vbProcedure="0">#ref!</definedName>
    <definedName name="Rpt_Mot_WOM_Unit" localSheetId="13" hidden="0" function="0" vbProcedure="0">#ref!</definedName>
    <definedName name="Rpt_MudType" localSheetId="13" hidden="0" function="0" vbProcedure="0">#ref!</definedName>
    <definedName name="Rpt_Mud_Type" localSheetId="13" hidden="0" function="0" vbProcedure="0">#ref!</definedName>
    <definedName name="Rpt_Mud_wt" localSheetId="13" hidden="0" function="0" vbProcedure="0">#ref!</definedName>
    <definedName name="Rpt_Mud_Wt_Unit" localSheetId="13" hidden="0" function="0" vbProcedure="0">#ref!</definedName>
    <definedName name="Rpt_Multi_BHA_Data" localSheetId="13" hidden="0" function="0" vbProcedure="0">#ref!</definedName>
    <definedName name="Rpt_Multi_Date" localSheetId="13" hidden="0" function="0" vbProcedure="0">#ref!</definedName>
    <definedName name="Rpt_Multi_Survey_Data" localSheetId="13" hidden="0" function="0" vbProcedure="0">#ref!</definedName>
    <definedName name="Rpt_Multi_Table1A_Depth_Unit" localSheetId="13" hidden="0" function="0" vbProcedure="0">#ref!</definedName>
    <definedName name="Rpt_Multi_Table1A_FR1" localSheetId="13" hidden="0" function="0" vbProcedure="0">#ref!</definedName>
    <definedName name="Rpt_Multi_Table1A_FR1_Unit" localSheetId="13" hidden="0" function="0" vbProcedure="0">#ref!</definedName>
    <definedName name="Rpt_Multi_Table1A_FR2" localSheetId="13" hidden="0" function="0" vbProcedure="0">#ref!</definedName>
    <definedName name="Rpt_Multi_Table1A_FR2_Unit" localSheetId="13" hidden="0" function="0" vbProcedure="0">#ref!</definedName>
    <definedName name="Rpt_Multi_Table1A_FR3" localSheetId="13" hidden="0" function="0" vbProcedure="0">#ref!</definedName>
    <definedName name="Rpt_Multi_Table1A_FR3_Unit" localSheetId="13" hidden="0" function="0" vbProcedure="0">#ref!</definedName>
    <definedName name="Rpt_Multi_Table1A_FR4" localSheetId="13" hidden="0" function="0" vbProcedure="0">#ref!</definedName>
    <definedName name="Rpt_Multi_Table1A_FR4_Unit" localSheetId="13" hidden="0" function="0" vbProcedure="0">#ref!</definedName>
    <definedName name="Rpt_Multi_Table1A_FR5" localSheetId="13" hidden="0" function="0" vbProcedure="0">#ref!</definedName>
    <definedName name="Rpt_Multi_Table1A_FR5_Unit" localSheetId="13" hidden="0" function="0" vbProcedure="0">#ref!</definedName>
    <definedName name="Rpt_Multi_Table1A_FR6" localSheetId="13" hidden="0" function="0" vbProcedure="0">#ref!</definedName>
    <definedName name="Rpt_Multi_Table1A_FR6_Unit" localSheetId="13" hidden="0" function="0" vbProcedure="0">#ref!</definedName>
    <definedName name="Rpt_Multi_Table1A_Title" localSheetId="13" hidden="0" function="0" vbProcedure="0">#ref!</definedName>
    <definedName name="Rpt_Multi_Table1B_Depth_Unit" localSheetId="13" hidden="0" function="0" vbProcedure="0">#ref!</definedName>
    <definedName name="Rpt_Multi_Table1B_FR1" localSheetId="13" hidden="0" function="0" vbProcedure="0">#ref!</definedName>
    <definedName name="Rpt_Multi_Table1B_FR1_Unit" localSheetId="13" hidden="0" function="0" vbProcedure="0">#ref!</definedName>
    <definedName name="Rpt_Multi_Table1B_FR2" localSheetId="13" hidden="0" function="0" vbProcedure="0">#ref!</definedName>
    <definedName name="Rpt_Multi_Table1B_FR2_Unit" localSheetId="13" hidden="0" function="0" vbProcedure="0">#ref!</definedName>
    <definedName name="Rpt_Multi_Table1B_FR3" localSheetId="13" hidden="0" function="0" vbProcedure="0">#ref!</definedName>
    <definedName name="Rpt_Multi_Table1B_FR3_Unit" localSheetId="13" hidden="0" function="0" vbProcedure="0">#ref!</definedName>
    <definedName name="Rpt_Multi_Table1B_FR4" localSheetId="13" hidden="0" function="0" vbProcedure="0">#ref!</definedName>
    <definedName name="Rpt_Multi_Table1B_FR4_Unit" localSheetId="13" hidden="0" function="0" vbProcedure="0">#ref!</definedName>
    <definedName name="Rpt_Multi_Table1B_FR5" localSheetId="13" hidden="0" function="0" vbProcedure="0">#ref!</definedName>
    <definedName name="Rpt_Multi_Table1B_FR5_Unit" localSheetId="13" hidden="0" function="0" vbProcedure="0">#ref!</definedName>
    <definedName name="Rpt_Multi_Table1B_FR6" localSheetId="13" hidden="0" function="0" vbProcedure="0">#ref!</definedName>
    <definedName name="Rpt_Multi_Table1B_FR6_Unit" localSheetId="13" hidden="0" function="0" vbProcedure="0">#ref!</definedName>
    <definedName name="Rpt_Multi_Table1B_Title" localSheetId="13" hidden="0" function="0" vbProcedure="0">#ref!</definedName>
    <definedName name="Rpt_Multi_Table1Data" localSheetId="13" hidden="0" function="0" vbProcedure="0">#ref!</definedName>
    <definedName name="Rpt_Multi_Table2A_Depth_Unit" localSheetId="13" hidden="0" function="0" vbProcedure="0">#ref!</definedName>
    <definedName name="Rpt_Multi_Table2A_FR1" localSheetId="13" hidden="0" function="0" vbProcedure="0">#ref!</definedName>
    <definedName name="Rpt_Multi_Table2A_FR1_Unit" localSheetId="13" hidden="0" function="0" vbProcedure="0">#ref!</definedName>
    <definedName name="Rpt_Multi_Table2A_FR2" localSheetId="13" hidden="0" function="0" vbProcedure="0">#ref!</definedName>
    <definedName name="Rpt_Multi_Table2A_FR2_Unit" localSheetId="13" hidden="0" function="0" vbProcedure="0">#ref!</definedName>
    <definedName name="Rpt_Multi_Table2A_FR3" localSheetId="13" hidden="0" function="0" vbProcedure="0">#ref!</definedName>
    <definedName name="Rpt_Multi_Table2A_FR3_Unit" localSheetId="13" hidden="0" function="0" vbProcedure="0">#ref!</definedName>
    <definedName name="Rpt_Multi_Table2A_FR4" localSheetId="13" hidden="0" function="0" vbProcedure="0">#ref!</definedName>
    <definedName name="Rpt_Multi_Table2A_FR4_Unit" localSheetId="13" hidden="0" function="0" vbProcedure="0">#ref!</definedName>
    <definedName name="Rpt_Multi_Table2A_FR5" localSheetId="13" hidden="0" function="0" vbProcedure="0">#ref!</definedName>
    <definedName name="Rpt_Multi_Table2A_FR5_Unit" localSheetId="13" hidden="0" function="0" vbProcedure="0">#ref!</definedName>
    <definedName name="Rpt_Multi_Table2A_FR6" localSheetId="13" hidden="0" function="0" vbProcedure="0">#ref!</definedName>
    <definedName name="Rpt_Multi_Table2A_FR6_Unit" localSheetId="13" hidden="0" function="0" vbProcedure="0">#ref!</definedName>
    <definedName name="Rpt_Multi_Table2A_Title" localSheetId="13" hidden="0" function="0" vbProcedure="0">#ref!</definedName>
    <definedName name="Rpt_Multi_Table2B_Depth_Unit" localSheetId="13" hidden="0" function="0" vbProcedure="0">#ref!</definedName>
    <definedName name="Rpt_Multi_Table2B_FR1" localSheetId="13" hidden="0" function="0" vbProcedure="0">#ref!</definedName>
    <definedName name="Rpt_Multi_Table2B_FR1_Unit" localSheetId="13" hidden="0" function="0" vbProcedure="0">#ref!</definedName>
    <definedName name="Rpt_Multi_Table2B_FR2" localSheetId="13" hidden="0" function="0" vbProcedure="0">#ref!</definedName>
    <definedName name="Rpt_Multi_Table2B_FR2_Unit" localSheetId="13" hidden="0" function="0" vbProcedure="0">#ref!</definedName>
    <definedName name="Rpt_Multi_Table2B_FR3" localSheetId="13" hidden="0" function="0" vbProcedure="0">#ref!</definedName>
    <definedName name="Rpt_Multi_Table2B_FR3_Unit" localSheetId="13" hidden="0" function="0" vbProcedure="0">#ref!</definedName>
    <definedName name="Rpt_Multi_Table2B_FR4" localSheetId="13" hidden="0" function="0" vbProcedure="0">#ref!</definedName>
    <definedName name="Rpt_Multi_Table2B_FR4_Unit" localSheetId="13" hidden="0" function="0" vbProcedure="0">#ref!</definedName>
    <definedName name="Rpt_Multi_Table2B_FR5" localSheetId="13" hidden="0" function="0" vbProcedure="0">#ref!</definedName>
    <definedName name="Rpt_Multi_Table2B_FR5_Unit" localSheetId="13" hidden="0" function="0" vbProcedure="0">#ref!</definedName>
    <definedName name="Rpt_Multi_Table2B_FR6" localSheetId="13" hidden="0" function="0" vbProcedure="0">#ref!</definedName>
    <definedName name="Rpt_Multi_Table2B_FR6_Unit" localSheetId="13" hidden="0" function="0" vbProcedure="0">#ref!</definedName>
    <definedName name="Rpt_Multi_Table2B_Title" localSheetId="13" hidden="0" function="0" vbProcedure="0">#ref!</definedName>
    <definedName name="Rpt_Multi_Table2Data" localSheetId="13" hidden="0" function="0" vbProcedure="0">#ref!</definedName>
    <definedName name="Rpt_Multi_Wellbore_Data" localSheetId="13" hidden="0" function="0" vbProcedure="0">#ref!</definedName>
    <definedName name="Rpt_n" localSheetId="13" hidden="0" function="0" vbProcedure="0">#ref!</definedName>
    <definedName name="Rpt_NorthReference" localSheetId="13" hidden="0" function="0" vbProcedure="0">#ref!</definedName>
    <definedName name="Rpt_NoteCTR" localSheetId="13" hidden="0" function="0" vbProcedure="0">#ref!</definedName>
    <definedName name="Rpt_NoteECD" localSheetId="13" hidden="0" function="0" vbProcedure="0">#ref!</definedName>
    <definedName name="Rpt_NoteESDECD" localSheetId="13" hidden="0" function="0" vbProcedure="0">#ref!</definedName>
    <definedName name="Rpt_NoteHCI" localSheetId="13" hidden="0" function="0" vbProcedure="0">#ref!</definedName>
    <definedName name="Rpt_NoteNozzleOptimization" localSheetId="13" hidden="0" function="0" vbProcedure="0">#ref!</definedName>
    <definedName name="Rpt_NotePressureDrop" localSheetId="13" hidden="0" function="0" vbProcedure="0">#ref!</definedName>
    <definedName name="Rpt_NotePTMD" localSheetId="13" hidden="0" function="0" vbProcedure="0">#ref!</definedName>
    <definedName name="Rpt_NoteRheology" localSheetId="13" hidden="0" function="0" vbProcedure="0">#ref!</definedName>
    <definedName name="Rpt_Nozzle_Data" localSheetId="13" hidden="0" function="0" vbProcedure="0">#ref!</definedName>
    <definedName name="Rpt_Operator" localSheetId="13" hidden="0" function="0" vbProcedure="0">#ref!</definedName>
    <definedName name="RPT_Pres_Annulus" localSheetId="13" hidden="0" function="0" vbProcedure="0">#ref!</definedName>
    <definedName name="RPT_Pres_Annulus_Unit" localSheetId="13" hidden="0" function="0" vbProcedure="0">#ref!</definedName>
    <definedName name="Rpt_Pres_Bit_Nozzle" localSheetId="13" hidden="0" function="0" vbProcedure="0">#ref!</definedName>
    <definedName name="Rpt_Pres_Bit_Nozzle_Unit" localSheetId="13" hidden="0" function="0" vbProcedure="0">#ref!</definedName>
    <definedName name="Rpt_Pres_Chokeline" localSheetId="13" hidden="0" function="0" vbProcedure="0">#ref!</definedName>
    <definedName name="Rpt_Pres_Chokeline_Unit" localSheetId="13" hidden="0" function="0" vbProcedure="0">#ref!</definedName>
    <definedName name="Rpt_Pres_Flow_Restrictor" localSheetId="13" hidden="0" function="0" vbProcedure="0">#ref!</definedName>
    <definedName name="Rpt_Pres_Flow_Restrictor_Unit" localSheetId="13" hidden="0" function="0" vbProcedure="0">#ref!</definedName>
    <definedName name="Rpt_Pres_High_Imbalance" localSheetId="13" hidden="0" function="0" vbProcedure="0">#ref!</definedName>
    <definedName name="Rpt_Pres_High_Imbalance_Unit" localSheetId="13" hidden="0" function="0" vbProcedure="0">#ref!</definedName>
    <definedName name="Rpt_Pres_Inside_DrillStr" localSheetId="13" hidden="0" function="0" vbProcedure="0">#ref!</definedName>
    <definedName name="Rpt_Pres_Inside_DrillStr_Unit" localSheetId="13" hidden="0" function="0" vbProcedure="0">#ref!</definedName>
    <definedName name="Rpt_Pres_Motor" localSheetId="13" hidden="0" function="0" vbProcedure="0">#ref!</definedName>
    <definedName name="Rpt_Pres_Motor_Unit" localSheetId="13" hidden="0" function="0" vbProcedure="0">#ref!</definedName>
    <definedName name="Rpt_Pres_RSS" localSheetId="13" hidden="0" function="0" vbProcedure="0">#ref!</definedName>
    <definedName name="Rpt_Pres_RSS_Unit" localSheetId="13" hidden="0" function="0" vbProcedure="0">#ref!</definedName>
    <definedName name="Rpt_Pres_Surf_Eqpt" localSheetId="13" hidden="0" function="0" vbProcedure="0">#ref!</definedName>
    <definedName name="Rpt_Pres_Surf_Eqpt_Unit" localSheetId="13" hidden="0" function="0" vbProcedure="0">#ref!</definedName>
    <definedName name="Rpt_Pres_Tools" localSheetId="13" hidden="0" function="0" vbProcedure="0">#ref!</definedName>
    <definedName name="Rpt_Pres_Tools_Unit" localSheetId="13" hidden="0" function="0" vbProcedure="0">#ref!</definedName>
    <definedName name="Rpt_Pres_Total" localSheetId="13" hidden="0" function="0" vbProcedure="0">#ref!</definedName>
    <definedName name="RPT_Pres_Total_Flag" localSheetId="13" hidden="0" function="0" vbProcedure="0">#ref!</definedName>
    <definedName name="Rpt_Pres_Total_Unit" localSheetId="13" hidden="0" function="0" vbProcedure="0">#ref!</definedName>
    <definedName name="Rpt_PT" localSheetId="13" hidden="0" function="0" vbProcedure="0">#ref!</definedName>
    <definedName name="Rpt_PT_Actual_API_PV_Unit" localSheetId="13" hidden="0" function="0" vbProcedure="0">#ref!</definedName>
    <definedName name="Rpt_PT_Actual_API_YP_Unit" localSheetId="13" hidden="0" function="0" vbProcedure="0">#ref!</definedName>
    <definedName name="Rpt_PT_Actual_Fann100_Unit" localSheetId="13" hidden="0" function="0" vbProcedure="0">#ref!</definedName>
    <definedName name="Rpt_PT_Actual_Fann200_Unit" localSheetId="13" hidden="0" function="0" vbProcedure="0">#ref!</definedName>
    <definedName name="Rpt_PT_Actual_Fann300_Unit" localSheetId="13" hidden="0" function="0" vbProcedure="0">#ref!</definedName>
    <definedName name="Rpt_PT_Actual_Fann3_Unit" localSheetId="13" hidden="0" function="0" vbProcedure="0">#ref!</definedName>
    <definedName name="Rpt_PT_Actual_Fann600_Unit" localSheetId="13" hidden="0" function="0" vbProcedure="0">#ref!</definedName>
    <definedName name="Rpt_PT_Actual_Fann6_Unit" localSheetId="13" hidden="0" function="0" vbProcedure="0">#ref!</definedName>
    <definedName name="Rpt_PT_Actual_HBYS_Label" localSheetId="13" hidden="0" function="0" vbProcedure="0">#ref!</definedName>
    <definedName name="Rpt_PT_Actual_HBYS_Unit" localSheetId="13" hidden="0" function="0" vbProcedure="0">#ref!</definedName>
    <definedName name="Rpt_PT_Actual_K_Label" localSheetId="13" hidden="0" function="0" vbProcedure="0">#ref!</definedName>
    <definedName name="Rpt_PT_Actual_n_Label" localSheetId="13" hidden="0" function="0" vbProcedure="0">#ref!</definedName>
    <definedName name="Rpt_PT_Actual_Ref_Pres_Unit" localSheetId="13" hidden="0" function="0" vbProcedure="0">#ref!</definedName>
    <definedName name="Rpt_PT_Actual_Ref_Temp_Unit" localSheetId="13" hidden="0" function="0" vbProcedure="0">#ref!</definedName>
    <definedName name="Rpt_PT_API_PV" localSheetId="13" hidden="0" function="0" vbProcedure="0">#ref!</definedName>
    <definedName name="Rpt_PT_API_PV_Unit" localSheetId="13" hidden="0" function="0" vbProcedure="0">#ref!</definedName>
    <definedName name="Rpt_PT_API_YP" localSheetId="13" hidden="0" function="0" vbProcedure="0">#ref!</definedName>
    <definedName name="Rpt_PT_API_YP_Unit" localSheetId="13" hidden="0" function="0" vbProcedure="0">#ref!</definedName>
    <definedName name="Rpt_PT_Fann100" localSheetId="13" hidden="0" function="0" vbProcedure="0">#ref!</definedName>
    <definedName name="Rpt_PT_Fann100_Unit" localSheetId="13" hidden="0" function="0" vbProcedure="0">#ref!</definedName>
    <definedName name="Rpt_PT_Fann200" localSheetId="13" hidden="0" function="0" vbProcedure="0">#ref!</definedName>
    <definedName name="Rpt_PT_Fann200_Unit" localSheetId="13" hidden="0" function="0" vbProcedure="0">#ref!</definedName>
    <definedName name="Rpt_PT_Fann3" localSheetId="13" hidden="0" function="0" vbProcedure="0">#ref!</definedName>
    <definedName name="Rpt_PT_Fann300" localSheetId="13" hidden="0" function="0" vbProcedure="0">#ref!</definedName>
    <definedName name="Rpt_PT_Fann300_Unit" localSheetId="13" hidden="0" function="0" vbProcedure="0">#ref!</definedName>
    <definedName name="Rpt_PT_Fann3_Unit" localSheetId="13" hidden="0" function="0" vbProcedure="0">#ref!</definedName>
    <definedName name="Rpt_PT_Fann6" localSheetId="13" hidden="0" function="0" vbProcedure="0">#ref!</definedName>
    <definedName name="Rpt_PT_Fann600" localSheetId="13" hidden="0" function="0" vbProcedure="0">#ref!</definedName>
    <definedName name="Rpt_PT_Fann600_Unit" localSheetId="13" hidden="0" function="0" vbProcedure="0">#ref!</definedName>
    <definedName name="Rpt_PT_Fann6_Unit" localSheetId="13" hidden="0" function="0" vbProcedure="0">#ref!</definedName>
    <definedName name="Rpt_PT_Formation_Temp_Data" localSheetId="13" hidden="0" function="0" vbProcedure="0">#ref!</definedName>
    <definedName name="Rpt_PT_Formation_Temp_Unit" localSheetId="13" hidden="0" function="0" vbProcedure="0">#ref!</definedName>
    <definedName name="Rpt_PT_Geothermal_Gradient" localSheetId="13" hidden="0" function="0" vbProcedure="0">#ref!</definedName>
    <definedName name="Rpt_PT_Geothermal_Gradient_Unit" localSheetId="13" hidden="0" function="0" vbProcedure="0">#ref!</definedName>
    <definedName name="Rpt_PT_HBYS_Label" localSheetId="13" hidden="0" function="0" vbProcedure="0">#ref!</definedName>
    <definedName name="Rpt_PT_HB_YS" localSheetId="13" hidden="0" function="0" vbProcedure="0">#ref!</definedName>
    <definedName name="Rpt_PT_HB_YS_Unit" localSheetId="13" hidden="0" function="0" vbProcedure="0">#ref!</definedName>
    <definedName name="Rpt_PT_K" localSheetId="13" hidden="0" function="0" vbProcedure="0">#ref!</definedName>
    <definedName name="Rpt_PT_K_Label" localSheetId="13" hidden="0" function="0" vbProcedure="0">#ref!</definedName>
    <definedName name="Rpt_PT_Model_Type" localSheetId="13" hidden="0" function="0" vbProcedure="0">#ref!</definedName>
    <definedName name="Rpt_PT_Mud_Temp" localSheetId="13" hidden="0" function="0" vbProcedure="0">#ref!</definedName>
    <definedName name="Rpt_PT_Mud_Temp_Unit" localSheetId="13" hidden="0" function="0" vbProcedure="0">#ref!</definedName>
    <definedName name="Rpt_PT_Mud_Type" localSheetId="13" hidden="0" function="0" vbProcedure="0">#ref!</definedName>
    <definedName name="Rpt_PT_Mud_Weight" localSheetId="13" hidden="0" function="0" vbProcedure="0">#ref!</definedName>
    <definedName name="Rpt_PT_Mud_Weight_Unit" localSheetId="13" hidden="0" function="0" vbProcedure="0">#ref!</definedName>
    <definedName name="Rpt_PT_n" localSheetId="13" hidden="0" function="0" vbProcedure="0">#ref!</definedName>
    <definedName name="Rpt_PT_n_Label" localSheetId="13" hidden="0" function="0" vbProcedure="0">#ref!</definedName>
    <definedName name="Rpt_PT_Oil_Water_Ratio" localSheetId="13" hidden="0" function="0" vbProcedure="0">#ref!</definedName>
    <definedName name="Rpt_PT_PT_Type" localSheetId="13" hidden="0" function="0" vbProcedure="0">#ref!</definedName>
    <definedName name="Rpt_PT_Raw_Data_Label" localSheetId="13" hidden="0" function="0" vbProcedure="0">#ref!</definedName>
    <definedName name="Rpt_PT_Raw_PV" localSheetId="13" hidden="0" function="0" vbProcedure="0">#ref!</definedName>
    <definedName name="Rpt_PT_Raw_YP" localSheetId="13" hidden="0" function="0" vbProcedure="0">#ref!</definedName>
    <definedName name="Rpt_PT_Ref_Pres" localSheetId="13" hidden="0" function="0" vbProcedure="0">#ref!</definedName>
    <definedName name="Rpt_PT_Ref_Pres_Unit" localSheetId="13" hidden="0" function="0" vbProcedure="0">#ref!</definedName>
    <definedName name="Rpt_PT_Ref_Temp" localSheetId="13" hidden="0" function="0" vbProcedure="0">#ref!</definedName>
    <definedName name="Rpt_PT_Ref_Temp_Unit" localSheetId="13" hidden="0" function="0" vbProcedure="0">#ref!</definedName>
    <definedName name="Rpt_PT_Rheo_Data" localSheetId="13" hidden="0" function="0" vbProcedure="0">#ref!</definedName>
    <definedName name="Rpt_PT_Rheo_Model" localSheetId="13" hidden="0" function="0" vbProcedure="0">#ref!</definedName>
    <definedName name="Rpt_PT_Rheo_Model_Index" localSheetId="13" hidden="0" function="0" vbProcedure="0">#ref!</definedName>
    <definedName name="Rpt_PT_Rheo_Table_Title" localSheetId="13" hidden="0" function="0" vbProcedure="0">#ref!</definedName>
    <definedName name="Rpt_PT_Seafloor_Temp" localSheetId="13" hidden="0" function="0" vbProcedure="0">#ref!</definedName>
    <definedName name="Rpt_PT_Seafloor_Temp_Unit" localSheetId="13" hidden="0" function="0" vbProcedure="0">#ref!</definedName>
    <definedName name="Rpt_PT_Surface_Ambient" localSheetId="13" hidden="0" function="0" vbProcedure="0">#ref!</definedName>
    <definedName name="Rpt_PT_Surface_Ambient_Unit" localSheetId="13" hidden="0" function="0" vbProcedure="0">#ref!</definedName>
    <definedName name="Rpt_PT_Temp_Type" localSheetId="13" hidden="0" function="0" vbProcedure="0">#ref!</definedName>
    <definedName name="Rpt_PT_Thermocline_Depth" localSheetId="13" hidden="0" function="0" vbProcedure="0">#ref!</definedName>
    <definedName name="Rpt_PT_Thermocline_Depth_Unit" localSheetId="13" hidden="0" function="0" vbProcedure="0">#ref!</definedName>
    <definedName name="Rpt_PT_Thermocline_Temp" localSheetId="13" hidden="0" function="0" vbProcedure="0">#ref!</definedName>
    <definedName name="Rpt_PT_Thermocline_Temp_Unit" localSheetId="13" hidden="0" function="0" vbProcedure="0">#ref!</definedName>
    <definedName name="Rpt_PT_TVD_Unit" localSheetId="13" hidden="0" function="0" vbProcedure="0">#ref!</definedName>
    <definedName name="Rpt_PumpingHours" localSheetId="13" hidden="0" function="0" vbProcedure="0">#ref!</definedName>
    <definedName name="Rpt_PV" localSheetId="13" hidden="0" function="0" vbProcedure="0">#ref!</definedName>
    <definedName name="Rpt_PV_Unit" localSheetId="13" hidden="0" function="0" vbProcedure="0">#ref!</definedName>
    <definedName name="Rpt_Reamer0_Dia" localSheetId="13" hidden="0" function="0" vbProcedure="0">#ref!</definedName>
    <definedName name="Rpt_Reamer0_Flowrate" localSheetId="13" hidden="0" function="0" vbProcedure="0">#ref!</definedName>
    <definedName name="Rpt_Reamer0_HSI" localSheetId="13" hidden="0" function="0" vbProcedure="0">#ref!</definedName>
    <definedName name="Rpt_Reamer0_Hyd_Pow" localSheetId="13" hidden="0" function="0" vbProcedure="0">#ref!</definedName>
    <definedName name="Rpt_Reamer0_JetVelocity" localSheetId="13" hidden="0" function="0" vbProcedure="0">#ref!</definedName>
    <definedName name="Rpt_Reamer0_Jet_Imp_Force" localSheetId="13" hidden="0" function="0" vbProcedure="0">#ref!</definedName>
    <definedName name="Rpt_Reamer0_Name" localSheetId="13" hidden="0" function="0" vbProcedure="0">#ref!</definedName>
    <definedName name="Rpt_Reamer0_Name_Duplicated" localSheetId="13" hidden="0" function="0" vbProcedure="0">#ref!</definedName>
    <definedName name="Rpt_Reamer0_PressureDrop" localSheetId="13" hidden="0" function="0" vbProcedure="0">#ref!</definedName>
    <definedName name="Rpt_Reamer0_TFA" localSheetId="13" hidden="0" function="0" vbProcedure="0">#ref!</definedName>
    <definedName name="Rpt_Reamer0_Type" localSheetId="13" hidden="0" function="0" vbProcedure="0">#ref!</definedName>
    <definedName name="Rpt_Reamer1_Dia" localSheetId="13" hidden="0" function="0" vbProcedure="0">#ref!</definedName>
    <definedName name="Rpt_Reamer1_Flowrate" localSheetId="13" hidden="0" function="0" vbProcedure="0">#ref!</definedName>
    <definedName name="Rpt_Reamer1_HSI" localSheetId="13" hidden="0" function="0" vbProcedure="0">#ref!</definedName>
    <definedName name="Rpt_Reamer1_Hyd_Pow" localSheetId="13" hidden="0" function="0" vbProcedure="0">#ref!</definedName>
    <definedName name="Rpt_Reamer1_JetVelocity" localSheetId="13" hidden="0" function="0" vbProcedure="0">#ref!</definedName>
    <definedName name="Rpt_Reamer1_Jet_Imp_Force" localSheetId="13" hidden="0" function="0" vbProcedure="0">#ref!</definedName>
    <definedName name="Rpt_Reamer1_Name" localSheetId="13" hidden="0" function="0" vbProcedure="0">#ref!</definedName>
    <definedName name="Rpt_Reamer1_Name_Duplicated" localSheetId="13" hidden="0" function="0" vbProcedure="0">#ref!</definedName>
    <definedName name="Rpt_Reamer1_PressureDrop" localSheetId="13" hidden="0" function="0" vbProcedure="0">#ref!</definedName>
    <definedName name="Rpt_Reamer1_TFA" localSheetId="13" hidden="0" function="0" vbProcedure="0">#ref!</definedName>
    <definedName name="Rpt_Reamer1_Type" localSheetId="13" hidden="0" function="0" vbProcedure="0">#ref!</definedName>
    <definedName name="Rpt_Reamer2_Dia" localSheetId="13" hidden="0" function="0" vbProcedure="0">#ref!</definedName>
    <definedName name="Rpt_Reamer2_Flowrate" localSheetId="13" hidden="0" function="0" vbProcedure="0">#ref!</definedName>
    <definedName name="Rpt_Reamer2_HSI" localSheetId="13" hidden="0" function="0" vbProcedure="0">#ref!</definedName>
    <definedName name="Rpt_Reamer2_Hyd_Pow" localSheetId="13" hidden="0" function="0" vbProcedure="0">#ref!</definedName>
    <definedName name="Rpt_Reamer2_JetVelocity" localSheetId="13" hidden="0" function="0" vbProcedure="0">#ref!</definedName>
    <definedName name="Rpt_Reamer2_Jet_Imp_Force" localSheetId="13" hidden="0" function="0" vbProcedure="0">#ref!</definedName>
    <definedName name="Rpt_Reamer2_Name" localSheetId="13" hidden="0" function="0" vbProcedure="0">#ref!</definedName>
    <definedName name="Rpt_Reamer2_Name_Duplicated" localSheetId="13" hidden="0" function="0" vbProcedure="0">#ref!</definedName>
    <definedName name="Rpt_Reamer2_PressureDrop" localSheetId="13" hidden="0" function="0" vbProcedure="0">#ref!</definedName>
    <definedName name="Rpt_Reamer2_TFA" localSheetId="13" hidden="0" function="0" vbProcedure="0">#ref!</definedName>
    <definedName name="Rpt_Reamer2_Type" localSheetId="13" hidden="0" function="0" vbProcedure="0">#ref!</definedName>
    <definedName name="Rpt_Rheo_API_PV_Unit" localSheetId="13" hidden="0" function="0" vbProcedure="0">#ref!</definedName>
    <definedName name="Rpt_Rheo_API_YP_Unit" localSheetId="13" hidden="0" function="0" vbProcedure="0">#ref!</definedName>
    <definedName name="Rpt_Rheo_BHA_Data" localSheetId="13" hidden="0" function="0" vbProcedure="0">#ref!</definedName>
    <definedName name="Rpt_Rheo_Date" localSheetId="13" hidden="0" function="0" vbProcedure="0">#ref!</definedName>
    <definedName name="Rpt_Rheo_ECD_Unit" localSheetId="13" hidden="0" function="0" vbProcedure="0">#ref!</definedName>
    <definedName name="Rpt_Rheo_ESD_Unit" localSheetId="13" hidden="0" function="0" vbProcedure="0">#ref!</definedName>
    <definedName name="Rpt_Rheo_Flowrate" localSheetId="13" hidden="0" function="0" vbProcedure="0">#ref!</definedName>
    <definedName name="Rpt_Rheo_Flowrate_Unit" localSheetId="13" hidden="0" function="0" vbProcedure="0">#ref!</definedName>
    <definedName name="Rpt_Rheo_HBYS_Unit" localSheetId="13" hidden="0" function="0" vbProcedure="0">#ref!</definedName>
    <definedName name="Rpt_Rheo_Index_Unit" localSheetId="13" hidden="0" function="0" vbProcedure="0">#ref!</definedName>
    <definedName name="Rpt_Rheo_K_Unit" localSheetId="13" hidden="0" function="0" vbProcedure="0">#ref!</definedName>
    <definedName name="Rpt_Rheo_MD_Unit" localSheetId="13" hidden="0" function="0" vbProcedure="0">#ref!</definedName>
    <definedName name="Rpt_Rheo_MudWeight_Unit" localSheetId="13" hidden="0" function="0" vbProcedure="0">#ref!</definedName>
    <definedName name="Rpt_Rheo_N_Unit" localSheetId="13" hidden="0" function="0" vbProcedure="0">#ref!</definedName>
    <definedName name="Rpt_Rheo_Pressure_Unit" localSheetId="13" hidden="0" function="0" vbProcedure="0">#ref!</definedName>
    <definedName name="Rpt_Rheo_RheologyData_Ann" localSheetId="13" hidden="0" function="0" vbProcedure="0">#ref!</definedName>
    <definedName name="Rpt_Rheo_RheologyData_BHA" localSheetId="13" hidden="0" function="0" vbProcedure="0">#ref!</definedName>
    <definedName name="Rpt_Rheo_Survey_Data" localSheetId="13" hidden="0" function="0" vbProcedure="0">#ref!</definedName>
    <definedName name="Rpt_Rheo_Temperature_Unit" localSheetId="13" hidden="0" function="0" vbProcedure="0">#ref!</definedName>
    <definedName name="Rpt_Rheo_Wellbore_Data" localSheetId="13" hidden="0" function="0" vbProcedure="0">#ref!</definedName>
    <definedName name="Rpt_RightLogo" localSheetId="13" hidden="0" function="0" vbProcedure="0">#ref!</definedName>
    <definedName name="Rpt_RigName" localSheetId="13" hidden="0" function="0" vbProcedure="0">#ref!</definedName>
    <definedName name="Rpt_RSS_Name" localSheetId="13" hidden="0" function="0" vbProcedure="0">#ref!</definedName>
    <definedName name="Rpt_ScaleFactor" localSheetId="13" hidden="0" function="0" vbProcedure="0">#ref!</definedName>
    <definedName name="Rpt_SecondDD" localSheetId="13" hidden="0" function="0" vbProcedure="0">#ref!</definedName>
    <definedName name="Rpt_Sens_ActualHSI_BO0" localSheetId="13" hidden="0" function="0" vbProcedure="0">#ref!</definedName>
    <definedName name="Rpt_Sens_ActualHSI_BO1" localSheetId="13" hidden="0" function="0" vbProcedure="0">#ref!</definedName>
    <definedName name="Rpt_Sens_ActualHSI_BO10" localSheetId="13" hidden="0" function="0" vbProcedure="0">#ref!</definedName>
    <definedName name="Rpt_Sens_ActualHSI_BO2" localSheetId="13" hidden="0" function="0" vbProcedure="0">#ref!</definedName>
    <definedName name="Rpt_Sens_ActualHSI_BO3" localSheetId="13" hidden="0" function="0" vbProcedure="0">#ref!</definedName>
    <definedName name="Rpt_Sens_ActualHSI_BO4" localSheetId="13" hidden="0" function="0" vbProcedure="0">#ref!</definedName>
    <definedName name="Rpt_Sens_ActualHSI_BO5" localSheetId="13" hidden="0" function="0" vbProcedure="0">#ref!</definedName>
    <definedName name="Rpt_Sens_ActualHSI_BO6" localSheetId="13" hidden="0" function="0" vbProcedure="0">#ref!</definedName>
    <definedName name="Rpt_Sens_ActualHSI_BO7" localSheetId="13" hidden="0" function="0" vbProcedure="0">#ref!</definedName>
    <definedName name="Rpt_Sens_ActualHSI_BO8" localSheetId="13" hidden="0" function="0" vbProcedure="0">#ref!</definedName>
    <definedName name="Rpt_Sens_ActualHSI_BO9" localSheetId="13" hidden="0" function="0" vbProcedure="0">#ref!</definedName>
    <definedName name="Rpt_Sens_ActualHSI_BO_Current" localSheetId="13" hidden="0" function="0" vbProcedure="0">#ref!</definedName>
    <definedName name="Rpt_Sens_ActualHSI_BO_Unit" localSheetId="13" hidden="0" function="0" vbProcedure="0">#ref!</definedName>
    <definedName name="Rpt_Sens_ActualJIF_BO0" localSheetId="13" hidden="0" function="0" vbProcedure="0">#ref!</definedName>
    <definedName name="Rpt_Sens_ActualJIF_BO1" localSheetId="13" hidden="0" function="0" vbProcedure="0">#ref!</definedName>
    <definedName name="Rpt_Sens_ActualJIF_BO10" localSheetId="13" hidden="0" function="0" vbProcedure="0">#ref!</definedName>
    <definedName name="Rpt_Sens_ActualJIF_BO2" localSheetId="13" hidden="0" function="0" vbProcedure="0">#ref!</definedName>
    <definedName name="Rpt_Sens_ActualJIF_BO3" localSheetId="13" hidden="0" function="0" vbProcedure="0">#ref!</definedName>
    <definedName name="Rpt_Sens_ActualJIF_BO4" localSheetId="13" hidden="0" function="0" vbProcedure="0">#ref!</definedName>
    <definedName name="Rpt_Sens_ActualJIF_BO5" localSheetId="13" hidden="0" function="0" vbProcedure="0">#ref!</definedName>
    <definedName name="Rpt_Sens_ActualJIF_BO6" localSheetId="13" hidden="0" function="0" vbProcedure="0">#ref!</definedName>
    <definedName name="Rpt_Sens_ActualJIF_BO7" localSheetId="13" hidden="0" function="0" vbProcedure="0">#ref!</definedName>
    <definedName name="Rpt_Sens_ActualJIF_BO8" localSheetId="13" hidden="0" function="0" vbProcedure="0">#ref!</definedName>
    <definedName name="Rpt_Sens_ActualJIF_BO9" localSheetId="13" hidden="0" function="0" vbProcedure="0">#ref!</definedName>
    <definedName name="Rpt_Sens_ActualJIF_BO_Current" localSheetId="13" hidden="0" function="0" vbProcedure="0">#ref!</definedName>
    <definedName name="Rpt_Sens_ActualJIF_BO_Unit" localSheetId="13" hidden="0" function="0" vbProcedure="0">#ref!</definedName>
    <definedName name="Rpt_Sens_Annulus_PDrop0" localSheetId="13" hidden="0" function="0" vbProcedure="0">#ref!</definedName>
    <definedName name="Rpt_Sens_Annulus_PDrop1" localSheetId="13" hidden="0" function="0" vbProcedure="0">#ref!</definedName>
    <definedName name="Rpt_Sens_Annulus_PDrop10" localSheetId="13" hidden="0" function="0" vbProcedure="0">#ref!</definedName>
    <definedName name="Rpt_Sens_Annulus_PDrop2" localSheetId="13" hidden="0" function="0" vbProcedure="0">#ref!</definedName>
    <definedName name="Rpt_Sens_Annulus_PDrop3" localSheetId="13" hidden="0" function="0" vbProcedure="0">#ref!</definedName>
    <definedName name="Rpt_Sens_Annulus_PDrop4" localSheetId="13" hidden="0" function="0" vbProcedure="0">#ref!</definedName>
    <definedName name="Rpt_Sens_Annulus_PDrop5" localSheetId="13" hidden="0" function="0" vbProcedure="0">#ref!</definedName>
    <definedName name="Rpt_Sens_Annulus_PDrop6" localSheetId="13" hidden="0" function="0" vbProcedure="0">#ref!</definedName>
    <definedName name="Rpt_Sens_Annulus_PDrop7" localSheetId="13" hidden="0" function="0" vbProcedure="0">#ref!</definedName>
    <definedName name="Rpt_Sens_Annulus_PDrop8" localSheetId="13" hidden="0" function="0" vbProcedure="0">#ref!</definedName>
    <definedName name="Rpt_Sens_Annulus_PDrop9" localSheetId="13" hidden="0" function="0" vbProcedure="0">#ref!</definedName>
    <definedName name="Rpt_Sens_Annulus_PDrop_Current" localSheetId="13" hidden="0" function="0" vbProcedure="0">#ref!</definedName>
    <definedName name="Rpt_Sens_Annulus_PDrop_Unit" localSheetId="13" hidden="0" function="0" vbProcedure="0">#ref!</definedName>
    <definedName name="Rpt_Sens_BHA_Data" localSheetId="13" hidden="0" function="0" vbProcedure="0">#ref!</definedName>
    <definedName name="Rpt_Sens_BitFlowRes_PDrop0" localSheetId="13" hidden="0" function="0" vbProcedure="0">#ref!</definedName>
    <definedName name="Rpt_Sens_BitFlowRes_PDrop1" localSheetId="13" hidden="0" function="0" vbProcedure="0">#ref!</definedName>
    <definedName name="Rpt_Sens_BitFlowRes_PDrop10" localSheetId="13" hidden="0" function="0" vbProcedure="0">#ref!</definedName>
    <definedName name="Rpt_Sens_BitFlowRes_PDrop2" localSheetId="13" hidden="0" function="0" vbProcedure="0">#ref!</definedName>
    <definedName name="Rpt_Sens_BitFlowRes_PDrop3" localSheetId="13" hidden="0" function="0" vbProcedure="0">#ref!</definedName>
    <definedName name="Rpt_Sens_BitFlowRes_PDrop4" localSheetId="13" hidden="0" function="0" vbProcedure="0">#ref!</definedName>
    <definedName name="Rpt_Sens_BitFlowRes_PDrop5" localSheetId="13" hidden="0" function="0" vbProcedure="0">#ref!</definedName>
    <definedName name="Rpt_Sens_BitFlowRes_PDrop6" localSheetId="13" hidden="0" function="0" vbProcedure="0">#ref!</definedName>
    <definedName name="Rpt_Sens_BitFlowRes_PDrop7" localSheetId="13" hidden="0" function="0" vbProcedure="0">#ref!</definedName>
    <definedName name="Rpt_Sens_BitFlowRes_PDrop8" localSheetId="13" hidden="0" function="0" vbProcedure="0">#ref!</definedName>
    <definedName name="Rpt_Sens_BitFlowRes_PDrop9" localSheetId="13" hidden="0" function="0" vbProcedure="0">#ref!</definedName>
    <definedName name="Rpt_Sens_BitFlowRes_PDrop_Current" localSheetId="13" hidden="0" function="0" vbProcedure="0">#ref!</definedName>
    <definedName name="Rpt_Sens_BitFlowRes_PDrop_Unit" localSheetId="13" hidden="0" function="0" vbProcedure="0">#ref!</definedName>
    <definedName name="Rpt_Sens_BitNozzle_PDrop0" localSheetId="13" hidden="0" function="0" vbProcedure="0">#ref!</definedName>
    <definedName name="Rpt_Sens_BitNozzle_PDrop1" localSheetId="13" hidden="0" function="0" vbProcedure="0">#ref!</definedName>
    <definedName name="Rpt_Sens_BitNozzle_PDrop10" localSheetId="13" hidden="0" function="0" vbProcedure="0">#ref!</definedName>
    <definedName name="Rpt_Sens_BitNozzle_PDrop2" localSheetId="13" hidden="0" function="0" vbProcedure="0">#ref!</definedName>
    <definedName name="Rpt_Sens_BitNozzle_PDrop3" localSheetId="13" hidden="0" function="0" vbProcedure="0">#ref!</definedName>
    <definedName name="Rpt_Sens_BitNozzle_PDrop4" localSheetId="13" hidden="0" function="0" vbProcedure="0">#ref!</definedName>
    <definedName name="Rpt_Sens_BitNozzle_PDrop5" localSheetId="13" hidden="0" function="0" vbProcedure="0">#ref!</definedName>
    <definedName name="Rpt_Sens_BitNozzle_PDrop6" localSheetId="13" hidden="0" function="0" vbProcedure="0">#ref!</definedName>
    <definedName name="Rpt_Sens_BitNozzle_PDrop7" localSheetId="13" hidden="0" function="0" vbProcedure="0">#ref!</definedName>
    <definedName name="Rpt_Sens_BitNozzle_PDrop8" localSheetId="13" hidden="0" function="0" vbProcedure="0">#ref!</definedName>
    <definedName name="Rpt_Sens_BitNozzle_PDrop9" localSheetId="13" hidden="0" function="0" vbProcedure="0">#ref!</definedName>
    <definedName name="Rpt_Sens_BitNozzle_PDrop_Current" localSheetId="13" hidden="0" function="0" vbProcedure="0">#ref!</definedName>
    <definedName name="Rpt_Sens_BitNozzle_PDrop_Unit" localSheetId="13" hidden="0" function="0" vbProcedure="0">#ref!</definedName>
    <definedName name="Rpt_Sens_Bit_ECD0" localSheetId="13" hidden="0" function="0" vbProcedure="0">#ref!</definedName>
    <definedName name="Rpt_Sens_Bit_ECD1" localSheetId="13" hidden="0" function="0" vbProcedure="0">#ref!</definedName>
    <definedName name="Rpt_Sens_Bit_ECD10" localSheetId="13" hidden="0" function="0" vbProcedure="0">#ref!</definedName>
    <definedName name="Rpt_Sens_Bit_ECD2" localSheetId="13" hidden="0" function="0" vbProcedure="0">#ref!</definedName>
    <definedName name="Rpt_Sens_Bit_ECD3" localSheetId="13" hidden="0" function="0" vbProcedure="0">#ref!</definedName>
    <definedName name="Rpt_Sens_Bit_ECD4" localSheetId="13" hidden="0" function="0" vbProcedure="0">#ref!</definedName>
    <definedName name="Rpt_Sens_Bit_ECD5" localSheetId="13" hidden="0" function="0" vbProcedure="0">#ref!</definedName>
    <definedName name="Rpt_Sens_Bit_ECD6" localSheetId="13" hidden="0" function="0" vbProcedure="0">#ref!</definedName>
    <definedName name="Rpt_Sens_Bit_ECD7" localSheetId="13" hidden="0" function="0" vbProcedure="0">#ref!</definedName>
    <definedName name="Rpt_Sens_Bit_ECD8" localSheetId="13" hidden="0" function="0" vbProcedure="0">#ref!</definedName>
    <definedName name="Rpt_Sens_Bit_ECD9" localSheetId="13" hidden="0" function="0" vbProcedure="0">#ref!</definedName>
    <definedName name="Rpt_Sens_Bit_ECD_Current" localSheetId="13" hidden="0" function="0" vbProcedure="0">#ref!</definedName>
    <definedName name="Rpt_Sens_Bit_ECD_Unit" localSheetId="13" hidden="0" function="0" vbProcedure="0">#ref!</definedName>
    <definedName name="Rpt_Sens_Bit_Flowrate0" localSheetId="13" hidden="0" function="0" vbProcedure="0">#ref!</definedName>
    <definedName name="Rpt_Sens_Bit_Flowrate1" localSheetId="13" hidden="0" function="0" vbProcedure="0">#ref!</definedName>
    <definedName name="Rpt_Sens_Bit_Flowrate10" localSheetId="13" hidden="0" function="0" vbProcedure="0">#ref!</definedName>
    <definedName name="Rpt_Sens_Bit_Flowrate2" localSheetId="13" hidden="0" function="0" vbProcedure="0">#ref!</definedName>
    <definedName name="Rpt_Sens_Bit_Flowrate3" localSheetId="13" hidden="0" function="0" vbProcedure="0">#ref!</definedName>
    <definedName name="Rpt_Sens_Bit_Flowrate4" localSheetId="13" hidden="0" function="0" vbProcedure="0">#ref!</definedName>
    <definedName name="Rpt_Sens_Bit_Flowrate5" localSheetId="13" hidden="0" function="0" vbProcedure="0">#ref!</definedName>
    <definedName name="Rpt_Sens_Bit_Flowrate6" localSheetId="13" hidden="0" function="0" vbProcedure="0">#ref!</definedName>
    <definedName name="Rpt_Sens_Bit_Flowrate7" localSheetId="13" hidden="0" function="0" vbProcedure="0">#ref!</definedName>
    <definedName name="Rpt_Sens_Bit_Flowrate8" localSheetId="13" hidden="0" function="0" vbProcedure="0">#ref!</definedName>
    <definedName name="Rpt_Sens_Bit_Flowrate9" localSheetId="13" hidden="0" function="0" vbProcedure="0">#ref!</definedName>
    <definedName name="Rpt_Sens_Bit_Flowrate_Current" localSheetId="13" hidden="0" function="0" vbProcedure="0">#ref!</definedName>
    <definedName name="Rpt_Sens_Bit_Flowrate_Unit" localSheetId="13" hidden="0" function="0" vbProcedure="0">#ref!</definedName>
    <definedName name="Rpt_Sens_Chokeline_PDrop0" localSheetId="13" hidden="0" function="0" vbProcedure="0">#ref!</definedName>
    <definedName name="Rpt_Sens_Chokeline_PDrop1" localSheetId="13" hidden="0" function="0" vbProcedure="0">#ref!</definedName>
    <definedName name="Rpt_Sens_Chokeline_PDrop10" localSheetId="13" hidden="0" function="0" vbProcedure="0">#ref!</definedName>
    <definedName name="Rpt_Sens_Chokeline_PDrop2" localSheetId="13" hidden="0" function="0" vbProcedure="0">#ref!</definedName>
    <definedName name="Rpt_Sens_Chokeline_PDrop3" localSheetId="13" hidden="0" function="0" vbProcedure="0">#ref!</definedName>
    <definedName name="Rpt_Sens_Chokeline_PDrop4" localSheetId="13" hidden="0" function="0" vbProcedure="0">#ref!</definedName>
    <definedName name="Rpt_Sens_Chokeline_PDrop5" localSheetId="13" hidden="0" function="0" vbProcedure="0">#ref!</definedName>
    <definedName name="Rpt_Sens_Chokeline_PDrop6" localSheetId="13" hidden="0" function="0" vbProcedure="0">#ref!</definedName>
    <definedName name="Rpt_Sens_Chokeline_PDrop7" localSheetId="13" hidden="0" function="0" vbProcedure="0">#ref!</definedName>
    <definedName name="Rpt_Sens_Chokeline_PDrop8" localSheetId="13" hidden="0" function="0" vbProcedure="0">#ref!</definedName>
    <definedName name="Rpt_Sens_Chokeline_PDrop9" localSheetId="13" hidden="0" function="0" vbProcedure="0">#ref!</definedName>
    <definedName name="Rpt_Sens_Chokeline_PDrop_Current" localSheetId="13" hidden="0" function="0" vbProcedure="0">#ref!</definedName>
    <definedName name="Rpt_Sens_Chokeline_PDrop_Unit" localSheetId="13" hidden="0" function="0" vbProcedure="0">#ref!</definedName>
    <definedName name="Rpt_Sens_Date" localSheetId="13" hidden="0" function="0" vbProcedure="0">#ref!</definedName>
    <definedName name="Rpt_Sens_Depth_ECD0" localSheetId="13" hidden="0" function="0" vbProcedure="0">#ref!</definedName>
    <definedName name="Rpt_Sens_Depth_ECD1" localSheetId="13" hidden="0" function="0" vbProcedure="0">#ref!</definedName>
    <definedName name="Rpt_Sens_Depth_ECD10" localSheetId="13" hidden="0" function="0" vbProcedure="0">#ref!</definedName>
    <definedName name="Rpt_Sens_Depth_ECD2" localSheetId="13" hidden="0" function="0" vbProcedure="0">#ref!</definedName>
    <definedName name="Rpt_Sens_Depth_ECD3" localSheetId="13" hidden="0" function="0" vbProcedure="0">#ref!</definedName>
    <definedName name="Rpt_Sens_Depth_ECD4" localSheetId="13" hidden="0" function="0" vbProcedure="0">#ref!</definedName>
    <definedName name="Rpt_Sens_Depth_ECD5" localSheetId="13" hidden="0" function="0" vbProcedure="0">#ref!</definedName>
    <definedName name="Rpt_Sens_Depth_ECD6" localSheetId="13" hidden="0" function="0" vbProcedure="0">#ref!</definedName>
    <definedName name="Rpt_Sens_Depth_ECD7" localSheetId="13" hidden="0" function="0" vbProcedure="0">#ref!</definedName>
    <definedName name="Rpt_Sens_Depth_ECD8" localSheetId="13" hidden="0" function="0" vbProcedure="0">#ref!</definedName>
    <definedName name="Rpt_Sens_Depth_ECD9" localSheetId="13" hidden="0" function="0" vbProcedure="0">#ref!</definedName>
    <definedName name="Rpt_Sens_Depth_ECD_Current" localSheetId="13" hidden="0" function="0" vbProcedure="0">#ref!</definedName>
    <definedName name="Rpt_Sens_Depth_ECD_Label" localSheetId="13" hidden="0" function="0" vbProcedure="0">#ref!</definedName>
    <definedName name="Rpt_Sens_Depth_ECD_Unit" localSheetId="13" hidden="0" function="0" vbProcedure="0">#ref!</definedName>
    <definedName name="Rpt_Sens_DrillString_PDrop0" localSheetId="13" hidden="0" function="0" vbProcedure="0">#ref!</definedName>
    <definedName name="Rpt_Sens_DrillString_PDrop1" localSheetId="13" hidden="0" function="0" vbProcedure="0">#ref!</definedName>
    <definedName name="Rpt_Sens_DrillString_PDrop10" localSheetId="13" hidden="0" function="0" vbProcedure="0">#ref!</definedName>
    <definedName name="Rpt_Sens_DrillString_PDrop2" localSheetId="13" hidden="0" function="0" vbProcedure="0">#ref!</definedName>
    <definedName name="Rpt_Sens_DrillString_PDrop3" localSheetId="13" hidden="0" function="0" vbProcedure="0">#ref!</definedName>
    <definedName name="Rpt_Sens_DrillString_PDrop4" localSheetId="13" hidden="0" function="0" vbProcedure="0">#ref!</definedName>
    <definedName name="Rpt_Sens_DrillString_PDrop5" localSheetId="13" hidden="0" function="0" vbProcedure="0">#ref!</definedName>
    <definedName name="Rpt_Sens_DrillString_PDrop6" localSheetId="13" hidden="0" function="0" vbProcedure="0">#ref!</definedName>
    <definedName name="Rpt_Sens_DrillString_PDrop7" localSheetId="13" hidden="0" function="0" vbProcedure="0">#ref!</definedName>
    <definedName name="Rpt_Sens_DrillString_PDrop8" localSheetId="13" hidden="0" function="0" vbProcedure="0">#ref!</definedName>
    <definedName name="Rpt_Sens_DrillString_PDrop9" localSheetId="13" hidden="0" function="0" vbProcedure="0">#ref!</definedName>
    <definedName name="Rpt_Sens_DrillString_PDrop_Current" localSheetId="13" hidden="0" function="0" vbProcedure="0">#ref!</definedName>
    <definedName name="Rpt_Sens_DrillString_PDrop_Unit" localSheetId="13" hidden="0" function="0" vbProcedure="0">#ref!</definedName>
    <definedName name="Rpt_Sens_FlowPerc_Reamer0" localSheetId="13" hidden="0" function="0" vbProcedure="0">#ref!</definedName>
    <definedName name="Rpt_Sens_FlowPerc_Reamer1" localSheetId="13" hidden="0" function="0" vbProcedure="0">#ref!</definedName>
    <definedName name="Rpt_Sens_FlowPerc_Reamer10" localSheetId="13" hidden="0" function="0" vbProcedure="0">#ref!</definedName>
    <definedName name="Rpt_Sens_FlowPerc_Reamer2" localSheetId="13" hidden="0" function="0" vbProcedure="0">#ref!</definedName>
    <definedName name="Rpt_Sens_FlowPerc_Reamer3" localSheetId="13" hidden="0" function="0" vbProcedure="0">#ref!</definedName>
    <definedName name="Rpt_Sens_FlowPerc_Reamer4" localSheetId="13" hidden="0" function="0" vbProcedure="0">#ref!</definedName>
    <definedName name="Rpt_Sens_FlowPerc_Reamer5" localSheetId="13" hidden="0" function="0" vbProcedure="0">#ref!</definedName>
    <definedName name="Rpt_Sens_FlowPerc_Reamer6" localSheetId="13" hidden="0" function="0" vbProcedure="0">#ref!</definedName>
    <definedName name="Rpt_Sens_FlowPerc_Reamer7" localSheetId="13" hidden="0" function="0" vbProcedure="0">#ref!</definedName>
    <definedName name="Rpt_Sens_FlowPerc_Reamer8" localSheetId="13" hidden="0" function="0" vbProcedure="0">#ref!</definedName>
    <definedName name="Rpt_Sens_FlowPerc_Reamer9" localSheetId="13" hidden="0" function="0" vbProcedure="0">#ref!</definedName>
    <definedName name="Rpt_Sens_FlowPerc_Reamer_Current" localSheetId="13" hidden="0" function="0" vbProcedure="0">#ref!</definedName>
    <definedName name="Rpt_Sens_Flowrate_BO0" localSheetId="13" hidden="0" function="0" vbProcedure="0">#ref!</definedName>
    <definedName name="Rpt_Sens_Flowrate_BO1" localSheetId="13" hidden="0" function="0" vbProcedure="0">#ref!</definedName>
    <definedName name="Rpt_Sens_Flowrate_BO10" localSheetId="13" hidden="0" function="0" vbProcedure="0">#ref!</definedName>
    <definedName name="Rpt_Sens_Flowrate_BO2" localSheetId="13" hidden="0" function="0" vbProcedure="0">#ref!</definedName>
    <definedName name="Rpt_Sens_Flowrate_BO3" localSheetId="13" hidden="0" function="0" vbProcedure="0">#ref!</definedName>
    <definedName name="Rpt_Sens_Flowrate_BO4" localSheetId="13" hidden="0" function="0" vbProcedure="0">#ref!</definedName>
    <definedName name="Rpt_Sens_Flowrate_BO5" localSheetId="13" hidden="0" function="0" vbProcedure="0">#ref!</definedName>
    <definedName name="Rpt_Sens_Flowrate_BO6" localSheetId="13" hidden="0" function="0" vbProcedure="0">#ref!</definedName>
    <definedName name="Rpt_Sens_Flowrate_BO7" localSheetId="13" hidden="0" function="0" vbProcedure="0">#ref!</definedName>
    <definedName name="Rpt_Sens_Flowrate_BO8" localSheetId="13" hidden="0" function="0" vbProcedure="0">#ref!</definedName>
    <definedName name="Rpt_Sens_Flowrate_BO9" localSheetId="13" hidden="0" function="0" vbProcedure="0">#ref!</definedName>
    <definedName name="Rpt_Sens_Flowrate_BO_Current" localSheetId="13" hidden="0" function="0" vbProcedure="0">#ref!</definedName>
    <definedName name="Rpt_Sens_Flowrate_BO_Unit" localSheetId="13" hidden="0" function="0" vbProcedure="0">#ref!</definedName>
    <definedName name="Rpt_Sens_Flowrate_Reamer0" localSheetId="13" hidden="0" function="0" vbProcedure="0">#ref!</definedName>
    <definedName name="Rpt_Sens_Flowrate_Reamer1" localSheetId="13" hidden="0" function="0" vbProcedure="0">#ref!</definedName>
    <definedName name="Rpt_Sens_Flowrate_Reamer10" localSheetId="13" hidden="0" function="0" vbProcedure="0">#ref!</definedName>
    <definedName name="Rpt_Sens_Flowrate_Reamer2" localSheetId="13" hidden="0" function="0" vbProcedure="0">#ref!</definedName>
    <definedName name="Rpt_Sens_Flowrate_Reamer3" localSheetId="13" hidden="0" function="0" vbProcedure="0">#ref!</definedName>
    <definedName name="Rpt_Sens_Flowrate_Reamer4" localSheetId="13" hidden="0" function="0" vbProcedure="0">#ref!</definedName>
    <definedName name="Rpt_Sens_Flowrate_Reamer5" localSheetId="13" hidden="0" function="0" vbProcedure="0">#ref!</definedName>
    <definedName name="Rpt_Sens_Flowrate_Reamer6" localSheetId="13" hidden="0" function="0" vbProcedure="0">#ref!</definedName>
    <definedName name="Rpt_Sens_Flowrate_Reamer7" localSheetId="13" hidden="0" function="0" vbProcedure="0">#ref!</definedName>
    <definedName name="Rpt_Sens_Flowrate_Reamer8" localSheetId="13" hidden="0" function="0" vbProcedure="0">#ref!</definedName>
    <definedName name="Rpt_Sens_Flowrate_Reamer9" localSheetId="13" hidden="0" function="0" vbProcedure="0">#ref!</definedName>
    <definedName name="Rpt_Sens_Flowrate_Reamer_Current" localSheetId="13" hidden="0" function="0" vbProcedure="0">#ref!</definedName>
    <definedName name="Rpt_Sens_Flowrate_Reamer_Unit" localSheetId="13" hidden="0" function="0" vbProcedure="0">#ref!</definedName>
    <definedName name="Rpt_Sens_FlowRes_PDrop0" localSheetId="13" hidden="0" function="0" vbProcedure="0">#ref!</definedName>
    <definedName name="Rpt_Sens_FlowRes_PDrop1" localSheetId="13" hidden="0" function="0" vbProcedure="0">#ref!</definedName>
    <definedName name="Rpt_Sens_FlowRes_PDrop10" localSheetId="13" hidden="0" function="0" vbProcedure="0">#ref!</definedName>
    <definedName name="Rpt_Sens_FlowRes_PDrop2" localSheetId="13" hidden="0" function="0" vbProcedure="0">#ref!</definedName>
    <definedName name="Rpt_Sens_FlowRes_PDrop3" localSheetId="13" hidden="0" function="0" vbProcedure="0">#ref!</definedName>
    <definedName name="Rpt_Sens_FlowRes_PDrop4" localSheetId="13" hidden="0" function="0" vbProcedure="0">#ref!</definedName>
    <definedName name="Rpt_Sens_FlowRes_PDrop5" localSheetId="13" hidden="0" function="0" vbProcedure="0">#ref!</definedName>
    <definedName name="Rpt_Sens_FlowRes_PDrop6" localSheetId="13" hidden="0" function="0" vbProcedure="0">#ref!</definedName>
    <definedName name="Rpt_Sens_FlowRes_PDrop7" localSheetId="13" hidden="0" function="0" vbProcedure="0">#ref!</definedName>
    <definedName name="Rpt_Sens_FlowRes_PDrop8" localSheetId="13" hidden="0" function="0" vbProcedure="0">#ref!</definedName>
    <definedName name="Rpt_Sens_FlowRes_PDrop9" localSheetId="13" hidden="0" function="0" vbProcedure="0">#ref!</definedName>
    <definedName name="Rpt_Sens_FlowRes_PDrop_Current" localSheetId="13" hidden="0" function="0" vbProcedure="0">#ref!</definedName>
    <definedName name="Rpt_Sens_FlowRes_PDrop_Unit" localSheetId="13" hidden="0" function="0" vbProcedure="0">#ref!</definedName>
    <definedName name="Rpt_Sens_HPSI_BO0" localSheetId="13" hidden="0" function="0" vbProcedure="0">#ref!</definedName>
    <definedName name="Rpt_Sens_HPSI_BO1" localSheetId="13" hidden="0" function="0" vbProcedure="0">#ref!</definedName>
    <definedName name="Rpt_Sens_HPSI_BO10" localSheetId="13" hidden="0" function="0" vbProcedure="0">#ref!</definedName>
    <definedName name="Rpt_Sens_HPSI_BO2" localSheetId="13" hidden="0" function="0" vbProcedure="0">#ref!</definedName>
    <definedName name="Rpt_Sens_HPSI_BO3" localSheetId="13" hidden="0" function="0" vbProcedure="0">#ref!</definedName>
    <definedName name="Rpt_Sens_HPSI_BO4" localSheetId="13" hidden="0" function="0" vbProcedure="0">#ref!</definedName>
    <definedName name="Rpt_Sens_HPSI_BO5" localSheetId="13" hidden="0" function="0" vbProcedure="0">#ref!</definedName>
    <definedName name="Rpt_Sens_HPSI_BO6" localSheetId="13" hidden="0" function="0" vbProcedure="0">#ref!</definedName>
    <definedName name="Rpt_Sens_HPSI_BO7" localSheetId="13" hidden="0" function="0" vbProcedure="0">#ref!</definedName>
    <definedName name="Rpt_Sens_HPSI_BO8" localSheetId="13" hidden="0" function="0" vbProcedure="0">#ref!</definedName>
    <definedName name="Rpt_Sens_HPSI_BO9" localSheetId="13" hidden="0" function="0" vbProcedure="0">#ref!</definedName>
    <definedName name="Rpt_Sens_HPSI_BO_Current" localSheetId="13" hidden="0" function="0" vbProcedure="0">#ref!</definedName>
    <definedName name="Rpt_Sens_HPSI_BO_Unit" localSheetId="13" hidden="0" function="0" vbProcedure="0">#ref!</definedName>
    <definedName name="Rpt_Sens_HydPow_BO0" localSheetId="13" hidden="0" function="0" vbProcedure="0">#ref!</definedName>
    <definedName name="Rpt_Sens_HydPow_BO1" localSheetId="13" hidden="0" function="0" vbProcedure="0">#ref!</definedName>
    <definedName name="Rpt_Sens_HydPow_BO10" localSheetId="13" hidden="0" function="0" vbProcedure="0">#ref!</definedName>
    <definedName name="Rpt_Sens_HydPow_BO2" localSheetId="13" hidden="0" function="0" vbProcedure="0">#ref!</definedName>
    <definedName name="Rpt_Sens_HydPow_BO3" localSheetId="13" hidden="0" function="0" vbProcedure="0">#ref!</definedName>
    <definedName name="Rpt_Sens_HydPow_BO4" localSheetId="13" hidden="0" function="0" vbProcedure="0">#ref!</definedName>
    <definedName name="Rpt_Sens_HydPow_BO5" localSheetId="13" hidden="0" function="0" vbProcedure="0">#ref!</definedName>
    <definedName name="Rpt_Sens_HydPow_BO6" localSheetId="13" hidden="0" function="0" vbProcedure="0">#ref!</definedName>
    <definedName name="Rpt_Sens_HydPow_BO7" localSheetId="13" hidden="0" function="0" vbProcedure="0">#ref!</definedName>
    <definedName name="Rpt_Sens_HydPow_BO8" localSheetId="13" hidden="0" function="0" vbProcedure="0">#ref!</definedName>
    <definedName name="Rpt_Sens_HydPow_BO9" localSheetId="13" hidden="0" function="0" vbProcedure="0">#ref!</definedName>
    <definedName name="Rpt_Sens_HydPow_BO_Current" localSheetId="13" hidden="0" function="0" vbProcedure="0">#ref!</definedName>
    <definedName name="Rpt_Sens_HydPow_BO_Unit" localSheetId="13" hidden="0" function="0" vbProcedure="0">#ref!</definedName>
    <definedName name="Rpt_Sens_HydPow_Reamer0" localSheetId="13" hidden="0" function="0" vbProcedure="0">#ref!</definedName>
    <definedName name="Rpt_Sens_HydPow_Reamer1" localSheetId="13" hidden="0" function="0" vbProcedure="0">#ref!</definedName>
    <definedName name="Rpt_Sens_HydPow_Reamer10" localSheetId="13" hidden="0" function="0" vbProcedure="0">#ref!</definedName>
    <definedName name="Rpt_Sens_HydPow_Reamer2" localSheetId="13" hidden="0" function="0" vbProcedure="0">#ref!</definedName>
    <definedName name="Rpt_Sens_HydPow_Reamer3" localSheetId="13" hidden="0" function="0" vbProcedure="0">#ref!</definedName>
    <definedName name="Rpt_Sens_HydPow_Reamer4" localSheetId="13" hidden="0" function="0" vbProcedure="0">#ref!</definedName>
    <definedName name="Rpt_Sens_HydPow_Reamer5" localSheetId="13" hidden="0" function="0" vbProcedure="0">#ref!</definedName>
    <definedName name="Rpt_Sens_HydPow_Reamer6" localSheetId="13" hidden="0" function="0" vbProcedure="0">#ref!</definedName>
    <definedName name="Rpt_Sens_HydPow_Reamer7" localSheetId="13" hidden="0" function="0" vbProcedure="0">#ref!</definedName>
    <definedName name="Rpt_Sens_HydPow_Reamer8" localSheetId="13" hidden="0" function="0" vbProcedure="0">#ref!</definedName>
    <definedName name="Rpt_Sens_HydPow_Reamer9" localSheetId="13" hidden="0" function="0" vbProcedure="0">#ref!</definedName>
    <definedName name="Rpt_Sens_HydPow_Reamer_Current" localSheetId="13" hidden="0" function="0" vbProcedure="0">#ref!</definedName>
    <definedName name="Rpt_Sens_HydPow_Reamer_Unit" localSheetId="13" hidden="0" function="0" vbProcedure="0">#ref!</definedName>
    <definedName name="Rpt_Sens_Imbalance_PDrop0" localSheetId="13" hidden="0" function="0" vbProcedure="0">#ref!</definedName>
    <definedName name="Rpt_Sens_Imbalance_PDrop1" localSheetId="13" hidden="0" function="0" vbProcedure="0">#ref!</definedName>
    <definedName name="Rpt_Sens_Imbalance_PDrop10" localSheetId="13" hidden="0" function="0" vbProcedure="0">#ref!</definedName>
    <definedName name="Rpt_Sens_Imbalance_PDrop2" localSheetId="13" hidden="0" function="0" vbProcedure="0">#ref!</definedName>
    <definedName name="Rpt_Sens_Imbalance_PDrop3" localSheetId="13" hidden="0" function="0" vbProcedure="0">#ref!</definedName>
    <definedName name="Rpt_Sens_Imbalance_PDrop4" localSheetId="13" hidden="0" function="0" vbProcedure="0">#ref!</definedName>
    <definedName name="Rpt_Sens_Imbalance_PDrop5" localSheetId="13" hidden="0" function="0" vbProcedure="0">#ref!</definedName>
    <definedName name="Rpt_Sens_Imbalance_PDrop6" localSheetId="13" hidden="0" function="0" vbProcedure="0">#ref!</definedName>
    <definedName name="Rpt_Sens_Imbalance_PDrop7" localSheetId="13" hidden="0" function="0" vbProcedure="0">#ref!</definedName>
    <definedName name="Rpt_Sens_Imbalance_PDrop8" localSheetId="13" hidden="0" function="0" vbProcedure="0">#ref!</definedName>
    <definedName name="Rpt_Sens_Imbalance_PDrop9" localSheetId="13" hidden="0" function="0" vbProcedure="0">#ref!</definedName>
    <definedName name="Rpt_Sens_Imbalance_PDrop_Current" localSheetId="13" hidden="0" function="0" vbProcedure="0">#ref!</definedName>
    <definedName name="Rpt_Sens_Imbalance_PDrop_Unit" localSheetId="13" hidden="0" function="0" vbProcedure="0">#ref!</definedName>
    <definedName name="Rpt_Sens_JetVelocity_BO0" localSheetId="13" hidden="0" function="0" vbProcedure="0">#ref!</definedName>
    <definedName name="Rpt_Sens_JetVelocity_BO1" localSheetId="13" hidden="0" function="0" vbProcedure="0">#ref!</definedName>
    <definedName name="Rpt_Sens_JetVelocity_BO10" localSheetId="13" hidden="0" function="0" vbProcedure="0">#ref!</definedName>
    <definedName name="Rpt_Sens_JetVelocity_BO2" localSheetId="13" hidden="0" function="0" vbProcedure="0">#ref!</definedName>
    <definedName name="Rpt_Sens_JetVelocity_BO3" localSheetId="13" hidden="0" function="0" vbProcedure="0">#ref!</definedName>
    <definedName name="Rpt_Sens_JetVelocity_BO4" localSheetId="13" hidden="0" function="0" vbProcedure="0">#ref!</definedName>
    <definedName name="Rpt_Sens_JetVelocity_BO5" localSheetId="13" hidden="0" function="0" vbProcedure="0">#ref!</definedName>
    <definedName name="Rpt_Sens_JetVelocity_BO6" localSheetId="13" hidden="0" function="0" vbProcedure="0">#ref!</definedName>
    <definedName name="Rpt_Sens_JetVelocity_BO7" localSheetId="13" hidden="0" function="0" vbProcedure="0">#ref!</definedName>
    <definedName name="Rpt_Sens_JetVelocity_BO8" localSheetId="13" hidden="0" function="0" vbProcedure="0">#ref!</definedName>
    <definedName name="Rpt_Sens_JetVelocity_BO9" localSheetId="13" hidden="0" function="0" vbProcedure="0">#ref!</definedName>
    <definedName name="Rpt_Sens_JetVelocity_BO_Current" localSheetId="13" hidden="0" function="0" vbProcedure="0">#ref!</definedName>
    <definedName name="Rpt_Sens_JetVelocity_BO_Unit" localSheetId="13" hidden="0" function="0" vbProcedure="0">#ref!</definedName>
    <definedName name="Rpt_Sens_JetVelocity_Reamer0" localSheetId="13" hidden="0" function="0" vbProcedure="0">#ref!</definedName>
    <definedName name="Rpt_Sens_JetVelocity_Reamer1" localSheetId="13" hidden="0" function="0" vbProcedure="0">#ref!</definedName>
    <definedName name="Rpt_Sens_JetVelocity_Reamer10" localSheetId="13" hidden="0" function="0" vbProcedure="0">#ref!</definedName>
    <definedName name="Rpt_Sens_JetVelocity_Reamer2" localSheetId="13" hidden="0" function="0" vbProcedure="0">#ref!</definedName>
    <definedName name="Rpt_Sens_JetVelocity_Reamer3" localSheetId="13" hidden="0" function="0" vbProcedure="0">#ref!</definedName>
    <definedName name="Rpt_Sens_JetVelocity_Reamer4" localSheetId="13" hidden="0" function="0" vbProcedure="0">#ref!</definedName>
    <definedName name="Rpt_Sens_JetVelocity_Reamer5" localSheetId="13" hidden="0" function="0" vbProcedure="0">#ref!</definedName>
    <definedName name="Rpt_Sens_JetVelocity_Reamer6" localSheetId="13" hidden="0" function="0" vbProcedure="0">#ref!</definedName>
    <definedName name="Rpt_Sens_JetVelocity_Reamer7" localSheetId="13" hidden="0" function="0" vbProcedure="0">#ref!</definedName>
    <definedName name="Rpt_Sens_JetVelocity_Reamer8" localSheetId="13" hidden="0" function="0" vbProcedure="0">#ref!</definedName>
    <definedName name="Rpt_Sens_JetVelocity_Reamer9" localSheetId="13" hidden="0" function="0" vbProcedure="0">#ref!</definedName>
    <definedName name="Rpt_Sens_JetVelocity_Reamer_Current" localSheetId="13" hidden="0" function="0" vbProcedure="0">#ref!</definedName>
    <definedName name="Rpt_Sens_JetVelocity_Reamer_Unit" localSheetId="13" hidden="0" function="0" vbProcedure="0">#ref!</definedName>
    <definedName name="Rpt_Sens_JIF_BO0" localSheetId="13" hidden="0" function="0" vbProcedure="0">#ref!</definedName>
    <definedName name="Rpt_Sens_JIF_BO1" localSheetId="13" hidden="0" function="0" vbProcedure="0">#ref!</definedName>
    <definedName name="Rpt_Sens_JIF_BO10" localSheetId="13" hidden="0" function="0" vbProcedure="0">#ref!</definedName>
    <definedName name="Rpt_Sens_JIF_BO2" localSheetId="13" hidden="0" function="0" vbProcedure="0">#ref!</definedName>
    <definedName name="Rpt_Sens_JIF_BO3" localSheetId="13" hidden="0" function="0" vbProcedure="0">#ref!</definedName>
    <definedName name="Rpt_Sens_JIF_BO4" localSheetId="13" hidden="0" function="0" vbProcedure="0">#ref!</definedName>
    <definedName name="Rpt_Sens_JIF_BO5" localSheetId="13" hidden="0" function="0" vbProcedure="0">#ref!</definedName>
    <definedName name="Rpt_Sens_JIF_BO6" localSheetId="13" hidden="0" function="0" vbProcedure="0">#ref!</definedName>
    <definedName name="Rpt_Sens_JIF_BO7" localSheetId="13" hidden="0" function="0" vbProcedure="0">#ref!</definedName>
    <definedName name="Rpt_Sens_JIF_BO8" localSheetId="13" hidden="0" function="0" vbProcedure="0">#ref!</definedName>
    <definedName name="Rpt_Sens_JIF_BO9" localSheetId="13" hidden="0" function="0" vbProcedure="0">#ref!</definedName>
    <definedName name="Rpt_Sens_JIF_BO_Current" localSheetId="13" hidden="0" function="0" vbProcedure="0">#ref!</definedName>
    <definedName name="Rpt_Sens_JIF_BO_Unit" localSheetId="13" hidden="0" function="0" vbProcedure="0">#ref!</definedName>
    <definedName name="Rpt_Sens_MotorBearing_Flowrate0" localSheetId="13" hidden="0" function="0" vbProcedure="0">#ref!</definedName>
    <definedName name="Rpt_Sens_MotorBearing_Flowrate1" localSheetId="13" hidden="0" function="0" vbProcedure="0">#ref!</definedName>
    <definedName name="Rpt_Sens_MotorBearing_Flowrate10" localSheetId="13" hidden="0" function="0" vbProcedure="0">#ref!</definedName>
    <definedName name="Rpt_Sens_MotorBearing_Flowrate2" localSheetId="13" hidden="0" function="0" vbProcedure="0">#ref!</definedName>
    <definedName name="Rpt_Sens_MotorBearing_Flowrate3" localSheetId="13" hidden="0" function="0" vbProcedure="0">#ref!</definedName>
    <definedName name="Rpt_Sens_MotorBearing_Flowrate4" localSheetId="13" hidden="0" function="0" vbProcedure="0">#ref!</definedName>
    <definedName name="Rpt_Sens_MotorBearing_Flowrate5" localSheetId="13" hidden="0" function="0" vbProcedure="0">#ref!</definedName>
    <definedName name="Rpt_Sens_MotorBearing_Flowrate6" localSheetId="13" hidden="0" function="0" vbProcedure="0">#ref!</definedName>
    <definedName name="Rpt_Sens_MotorBearing_Flowrate7" localSheetId="13" hidden="0" function="0" vbProcedure="0">#ref!</definedName>
    <definedName name="Rpt_Sens_MotorBearing_Flowrate8" localSheetId="13" hidden="0" function="0" vbProcedure="0">#ref!</definedName>
    <definedName name="Rpt_Sens_MotorBearing_Flowrate9" localSheetId="13" hidden="0" function="0" vbProcedure="0">#ref!</definedName>
    <definedName name="Rpt_Sens_MotorBearing_Flowrate_Current" localSheetId="13" hidden="0" function="0" vbProcedure="0">#ref!</definedName>
    <definedName name="Rpt_Sens_MotorBearing_Flowrate_Unit" localSheetId="13" hidden="0" function="0" vbProcedure="0">#ref!</definedName>
    <definedName name="Rpt_Sens_MotorPower_Flowrate0" localSheetId="13" hidden="0" function="0" vbProcedure="0">#ref!</definedName>
    <definedName name="Rpt_Sens_MotorPower_Flowrate1" localSheetId="13" hidden="0" function="0" vbProcedure="0">#ref!</definedName>
    <definedName name="Rpt_Sens_MotorPower_Flowrate10" localSheetId="13" hidden="0" function="0" vbProcedure="0">#ref!</definedName>
    <definedName name="Rpt_Sens_MotorPower_Flowrate2" localSheetId="13" hidden="0" function="0" vbProcedure="0">#ref!</definedName>
    <definedName name="Rpt_Sens_MotorPower_Flowrate3" localSheetId="13" hidden="0" function="0" vbProcedure="0">#ref!</definedName>
    <definedName name="Rpt_Sens_MotorPower_Flowrate4" localSheetId="13" hidden="0" function="0" vbProcedure="0">#ref!</definedName>
    <definedName name="Rpt_Sens_MotorPower_Flowrate5" localSheetId="13" hidden="0" function="0" vbProcedure="0">#ref!</definedName>
    <definedName name="Rpt_Sens_MotorPower_Flowrate6" localSheetId="13" hidden="0" function="0" vbProcedure="0">#ref!</definedName>
    <definedName name="Rpt_Sens_MotorPower_Flowrate7" localSheetId="13" hidden="0" function="0" vbProcedure="0">#ref!</definedName>
    <definedName name="Rpt_Sens_MotorPower_Flowrate8" localSheetId="13" hidden="0" function="0" vbProcedure="0">#ref!</definedName>
    <definedName name="Rpt_Sens_MotorPower_Flowrate9" localSheetId="13" hidden="0" function="0" vbProcedure="0">#ref!</definedName>
    <definedName name="Rpt_Sens_MotorPower_Flowrate_Current" localSheetId="13" hidden="0" function="0" vbProcedure="0">#ref!</definedName>
    <definedName name="Rpt_Sens_MotorPower_Flowrate_Unit" localSheetId="13" hidden="0" function="0" vbProcedure="0">#ref!</definedName>
    <definedName name="Rpt_Sens_MotorRSS_PDrop0" localSheetId="13" hidden="0" function="0" vbProcedure="0">#ref!</definedName>
    <definedName name="Rpt_Sens_MotorRSS_PDrop1" localSheetId="13" hidden="0" function="0" vbProcedure="0">#ref!</definedName>
    <definedName name="Rpt_Sens_MotorRSS_PDrop10" localSheetId="13" hidden="0" function="0" vbProcedure="0">#ref!</definedName>
    <definedName name="Rpt_Sens_MotorRSS_PDrop2" localSheetId="13" hidden="0" function="0" vbProcedure="0">#ref!</definedName>
    <definedName name="Rpt_Sens_MotorRSS_PDrop3" localSheetId="13" hidden="0" function="0" vbProcedure="0">#ref!</definedName>
    <definedName name="Rpt_Sens_MotorRSS_PDrop4" localSheetId="13" hidden="0" function="0" vbProcedure="0">#ref!</definedName>
    <definedName name="Rpt_Sens_MotorRSS_PDrop5" localSheetId="13" hidden="0" function="0" vbProcedure="0">#ref!</definedName>
    <definedName name="Rpt_Sens_MotorRSS_PDrop6" localSheetId="13" hidden="0" function="0" vbProcedure="0">#ref!</definedName>
    <definedName name="Rpt_Sens_MotorRSS_PDrop7" localSheetId="13" hidden="0" function="0" vbProcedure="0">#ref!</definedName>
    <definedName name="Rpt_Sens_MotorRSS_PDrop8" localSheetId="13" hidden="0" function="0" vbProcedure="0">#ref!</definedName>
    <definedName name="Rpt_Sens_MotorRSS_PDrop9" localSheetId="13" hidden="0" function="0" vbProcedure="0">#ref!</definedName>
    <definedName name="Rpt_Sens_MotorRSS_PDrop_Current" localSheetId="13" hidden="0" function="0" vbProcedure="0">#ref!</definedName>
    <definedName name="Rpt_Sens_MotorRSS_PDrop_Unit" localSheetId="13" hidden="0" function="0" vbProcedure="0">#ref!</definedName>
    <definedName name="Rpt_Sens_PLoss_Reamer0" localSheetId="13" hidden="0" function="0" vbProcedure="0">#ref!</definedName>
    <definedName name="Rpt_Sens_PLoss_Reamer1" localSheetId="13" hidden="0" function="0" vbProcedure="0">#ref!</definedName>
    <definedName name="Rpt_Sens_PLoss_Reamer10" localSheetId="13" hidden="0" function="0" vbProcedure="0">#ref!</definedName>
    <definedName name="Rpt_Sens_PLoss_Reamer2" localSheetId="13" hidden="0" function="0" vbProcedure="0">#ref!</definedName>
    <definedName name="Rpt_Sens_PLoss_Reamer3" localSheetId="13" hidden="0" function="0" vbProcedure="0">#ref!</definedName>
    <definedName name="Rpt_Sens_PLoss_Reamer4" localSheetId="13" hidden="0" function="0" vbProcedure="0">#ref!</definedName>
    <definedName name="Rpt_Sens_PLoss_Reamer5" localSheetId="13" hidden="0" function="0" vbProcedure="0">#ref!</definedName>
    <definedName name="Rpt_Sens_PLoss_Reamer6" localSheetId="13" hidden="0" function="0" vbProcedure="0">#ref!</definedName>
    <definedName name="Rpt_Sens_PLoss_Reamer7" localSheetId="13" hidden="0" function="0" vbProcedure="0">#ref!</definedName>
    <definedName name="Rpt_Sens_PLoss_Reamer8" localSheetId="13" hidden="0" function="0" vbProcedure="0">#ref!</definedName>
    <definedName name="Rpt_Sens_PLoss_Reamer9" localSheetId="13" hidden="0" function="0" vbProcedure="0">#ref!</definedName>
    <definedName name="Rpt_Sens_PLoss_Reamer_Current" localSheetId="13" hidden="0" function="0" vbProcedure="0">#ref!</definedName>
    <definedName name="Rpt_Sens_PLoss_Reamer_Unit" localSheetId="13" hidden="0" function="0" vbProcedure="0">#ref!</definedName>
    <definedName name="Rpt_Sens_Pump_Flowrate0" localSheetId="13" hidden="0" function="0" vbProcedure="0">#ref!</definedName>
    <definedName name="Rpt_Sens_Pump_Flowrate1" localSheetId="13" hidden="0" function="0" vbProcedure="0">#ref!</definedName>
    <definedName name="Rpt_Sens_Pump_Flowrate10" localSheetId="13" hidden="0" function="0" vbProcedure="0">#ref!</definedName>
    <definedName name="Rpt_Sens_Pump_Flowrate2" localSheetId="13" hidden="0" function="0" vbProcedure="0">#ref!</definedName>
    <definedName name="Rpt_Sens_Pump_Flowrate3" localSheetId="13" hidden="0" function="0" vbProcedure="0">#ref!</definedName>
    <definedName name="Rpt_Sens_Pump_Flowrate4" localSheetId="13" hidden="0" function="0" vbProcedure="0">#ref!</definedName>
    <definedName name="Rpt_Sens_Pump_Flowrate5" localSheetId="13" hidden="0" function="0" vbProcedure="0">#ref!</definedName>
    <definedName name="Rpt_Sens_Pump_Flowrate6" localSheetId="13" hidden="0" function="0" vbProcedure="0">#ref!</definedName>
    <definedName name="Rpt_Sens_Pump_Flowrate7" localSheetId="13" hidden="0" function="0" vbProcedure="0">#ref!</definedName>
    <definedName name="Rpt_Sens_Pump_Flowrate8" localSheetId="13" hidden="0" function="0" vbProcedure="0">#ref!</definedName>
    <definedName name="Rpt_Sens_Pump_Flowrate9" localSheetId="13" hidden="0" function="0" vbProcedure="0">#ref!</definedName>
    <definedName name="Rpt_Sens_Pump_Flowrate_Current" localSheetId="13" hidden="0" function="0" vbProcedure="0">#ref!</definedName>
    <definedName name="Rpt_Sens_Pump_Flowrate_Unit" localSheetId="13" hidden="0" function="0" vbProcedure="0">#ref!</definedName>
    <definedName name="Rpt_Sens_Reamer_Flowrate0" localSheetId="13" hidden="0" function="0" vbProcedure="0">#ref!</definedName>
    <definedName name="Rpt_Sens_Reamer_Flowrate1" localSheetId="13" hidden="0" function="0" vbProcedure="0">#ref!</definedName>
    <definedName name="Rpt_Sens_Reamer_Flowrate10" localSheetId="13" hidden="0" function="0" vbProcedure="0">#ref!</definedName>
    <definedName name="Rpt_Sens_Reamer_Flowrate2" localSheetId="13" hidden="0" function="0" vbProcedure="0">#ref!</definedName>
    <definedName name="Rpt_Sens_Reamer_Flowrate3" localSheetId="13" hidden="0" function="0" vbProcedure="0">#ref!</definedName>
    <definedName name="Rpt_Sens_Reamer_Flowrate4" localSheetId="13" hidden="0" function="0" vbProcedure="0">#ref!</definedName>
    <definedName name="Rpt_Sens_Reamer_Flowrate5" localSheetId="13" hidden="0" function="0" vbProcedure="0">#ref!</definedName>
    <definedName name="Rpt_Sens_Reamer_Flowrate6" localSheetId="13" hidden="0" function="0" vbProcedure="0">#ref!</definedName>
    <definedName name="Rpt_Sens_Reamer_Flowrate7" localSheetId="13" hidden="0" function="0" vbProcedure="0">#ref!</definedName>
    <definedName name="Rpt_Sens_Reamer_Flowrate8" localSheetId="13" hidden="0" function="0" vbProcedure="0">#ref!</definedName>
    <definedName name="Rpt_Sens_Reamer_Flowrate9" localSheetId="13" hidden="0" function="0" vbProcedure="0">#ref!</definedName>
    <definedName name="Rpt_Sens_Reamer_Flowrate_Current" localSheetId="13" hidden="0" function="0" vbProcedure="0">#ref!</definedName>
    <definedName name="Rpt_Sens_Reamer_Flowrate_Unit" localSheetId="13" hidden="0" function="0" vbProcedure="0">#ref!</definedName>
    <definedName name="Rpt_Sens_Shoe_ECD0" localSheetId="13" hidden="0" function="0" vbProcedure="0">#ref!</definedName>
    <definedName name="Rpt_Sens_Shoe_ECD1" localSheetId="13" hidden="0" function="0" vbProcedure="0">#ref!</definedName>
    <definedName name="Rpt_Sens_Shoe_ECD10" localSheetId="13" hidden="0" function="0" vbProcedure="0">#ref!</definedName>
    <definedName name="Rpt_Sens_Shoe_ECD2" localSheetId="13" hidden="0" function="0" vbProcedure="0">#ref!</definedName>
    <definedName name="Rpt_Sens_Shoe_ECD3" localSheetId="13" hidden="0" function="0" vbProcedure="0">#ref!</definedName>
    <definedName name="Rpt_Sens_Shoe_ECD4" localSheetId="13" hidden="0" function="0" vbProcedure="0">#ref!</definedName>
    <definedName name="Rpt_Sens_Shoe_ECD5" localSheetId="13" hidden="0" function="0" vbProcedure="0">#ref!</definedName>
    <definedName name="Rpt_Sens_Shoe_ECD6" localSheetId="13" hidden="0" function="0" vbProcedure="0">#ref!</definedName>
    <definedName name="Rpt_Sens_Shoe_ECD7" localSheetId="13" hidden="0" function="0" vbProcedure="0">#ref!</definedName>
    <definedName name="Rpt_Sens_Shoe_ECD8" localSheetId="13" hidden="0" function="0" vbProcedure="0">#ref!</definedName>
    <definedName name="Rpt_Sens_Shoe_ECD9" localSheetId="13" hidden="0" function="0" vbProcedure="0">#ref!</definedName>
    <definedName name="Rpt_Sens_Shoe_ECD_Current" localSheetId="13" hidden="0" function="0" vbProcedure="0">#ref!</definedName>
    <definedName name="Rpt_Sens_Shoe_ECD_Unit" localSheetId="13" hidden="0" function="0" vbProcedure="0">#ref!</definedName>
    <definedName name="Rpt_Sens_SurEquip_PDrop0" localSheetId="13" hidden="0" function="0" vbProcedure="0">#ref!</definedName>
    <definedName name="Rpt_Sens_SurEquip_PDrop1" localSheetId="13" hidden="0" function="0" vbProcedure="0">#ref!</definedName>
    <definedName name="Rpt_Sens_SurEquip_PDrop10" localSheetId="13" hidden="0" function="0" vbProcedure="0">#ref!</definedName>
    <definedName name="Rpt_Sens_SurEquip_PDrop2" localSheetId="13" hidden="0" function="0" vbProcedure="0">#ref!</definedName>
    <definedName name="Rpt_Sens_SurEquip_PDrop3" localSheetId="13" hidden="0" function="0" vbProcedure="0">#ref!</definedName>
    <definedName name="Rpt_Sens_SurEquip_PDrop4" localSheetId="13" hidden="0" function="0" vbProcedure="0">#ref!</definedName>
    <definedName name="Rpt_Sens_SurEquip_PDrop5" localSheetId="13" hidden="0" function="0" vbProcedure="0">#ref!</definedName>
    <definedName name="Rpt_Sens_SurEquip_PDrop6" localSheetId="13" hidden="0" function="0" vbProcedure="0">#ref!</definedName>
    <definedName name="Rpt_Sens_SurEquip_PDrop7" localSheetId="13" hidden="0" function="0" vbProcedure="0">#ref!</definedName>
    <definedName name="Rpt_Sens_SurEquip_PDrop8" localSheetId="13" hidden="0" function="0" vbProcedure="0">#ref!</definedName>
    <definedName name="Rpt_Sens_SurEquip_PDrop9" localSheetId="13" hidden="0" function="0" vbProcedure="0">#ref!</definedName>
    <definedName name="Rpt_Sens_SurEquip_PDrop_Current" localSheetId="13" hidden="0" function="0" vbProcedure="0">#ref!</definedName>
    <definedName name="Rpt_Sens_SurEquip_PDrop_Unit" localSheetId="13" hidden="0" function="0" vbProcedure="0">#ref!</definedName>
    <definedName name="Rpt_Sens_Survey_Data" localSheetId="13" hidden="0" function="0" vbProcedure="0">#ref!</definedName>
    <definedName name="Rpt_Sens_Tool_PDrop0" localSheetId="13" hidden="0" function="0" vbProcedure="0">#ref!</definedName>
    <definedName name="Rpt_Sens_Tool_PDrop1" localSheetId="13" hidden="0" function="0" vbProcedure="0">#ref!</definedName>
    <definedName name="Rpt_Sens_Tool_PDrop10" localSheetId="13" hidden="0" function="0" vbProcedure="0">#ref!</definedName>
    <definedName name="Rpt_Sens_Tool_PDrop2" localSheetId="13" hidden="0" function="0" vbProcedure="0">#ref!</definedName>
    <definedName name="Rpt_Sens_Tool_PDrop3" localSheetId="13" hidden="0" function="0" vbProcedure="0">#ref!</definedName>
    <definedName name="Rpt_Sens_Tool_PDrop4" localSheetId="13" hidden="0" function="0" vbProcedure="0">#ref!</definedName>
    <definedName name="Rpt_Sens_Tool_PDrop5" localSheetId="13" hidden="0" function="0" vbProcedure="0">#ref!</definedName>
    <definedName name="Rpt_Sens_Tool_PDrop6" localSheetId="13" hidden="0" function="0" vbProcedure="0">#ref!</definedName>
    <definedName name="Rpt_Sens_Tool_PDrop7" localSheetId="13" hidden="0" function="0" vbProcedure="0">#ref!</definedName>
    <definedName name="Rpt_Sens_Tool_PDrop8" localSheetId="13" hidden="0" function="0" vbProcedure="0">#ref!</definedName>
    <definedName name="Rpt_Sens_Tool_PDrop9" localSheetId="13" hidden="0" function="0" vbProcedure="0">#ref!</definedName>
    <definedName name="Rpt_Sens_Tool_PDrop_Current" localSheetId="13" hidden="0" function="0" vbProcedure="0">#ref!</definedName>
    <definedName name="Rpt_Sens_Tool_PDrop_Unit" localSheetId="13" hidden="0" function="0" vbProcedure="0">#ref!</definedName>
    <definedName name="Rpt_Sens_Total_PDrop0" localSheetId="13" hidden="0" function="0" vbProcedure="0">#ref!</definedName>
    <definedName name="Rpt_Sens_Total_PDrop1" localSheetId="13" hidden="0" function="0" vbProcedure="0">#ref!</definedName>
    <definedName name="Rpt_Sens_Total_PDrop10" localSheetId="13" hidden="0" function="0" vbProcedure="0">#ref!</definedName>
    <definedName name="Rpt_Sens_Total_PDrop2" localSheetId="13" hidden="0" function="0" vbProcedure="0">#ref!</definedName>
    <definedName name="Rpt_Sens_Total_PDrop3" localSheetId="13" hidden="0" function="0" vbProcedure="0">#ref!</definedName>
    <definedName name="Rpt_Sens_Total_PDrop4" localSheetId="13" hidden="0" function="0" vbProcedure="0">#ref!</definedName>
    <definedName name="Rpt_Sens_Total_PDrop5" localSheetId="13" hidden="0" function="0" vbProcedure="0">#ref!</definedName>
    <definedName name="Rpt_Sens_Total_PDrop6" localSheetId="13" hidden="0" function="0" vbProcedure="0">#ref!</definedName>
    <definedName name="Rpt_Sens_Total_PDrop7" localSheetId="13" hidden="0" function="0" vbProcedure="0">#ref!</definedName>
    <definedName name="Rpt_Sens_Total_PDrop8" localSheetId="13" hidden="0" function="0" vbProcedure="0">#ref!</definedName>
    <definedName name="Rpt_Sens_Total_PDrop9" localSheetId="13" hidden="0" function="0" vbProcedure="0">#ref!</definedName>
    <definedName name="Rpt_Sens_Total_PDrop_Current" localSheetId="13" hidden="0" function="0" vbProcedure="0">#ref!</definedName>
    <definedName name="Rpt_Sens_Total_PDrop_Unit" localSheetId="13" hidden="0" function="0" vbProcedure="0">#ref!</definedName>
    <definedName name="Rpt_Sens_Wellbore_Data" localSheetId="13" hidden="0" function="0" vbProcedure="0">#ref!</definedName>
    <definedName name="Rpt_Structure" localSheetId="13" hidden="0" function="0" vbProcedure="0">#ref!</definedName>
    <definedName name="Rpt_SurveyCompMethod" localSheetId="13" hidden="0" function="0" vbProcedure="0">#ref!</definedName>
    <definedName name="Rpt_SurveyDate" localSheetId="13" hidden="0" function="0" vbProcedure="0">#ref!</definedName>
    <definedName name="Rpt_SurveyName" localSheetId="13" hidden="0" function="0" vbProcedure="0">#ref!</definedName>
    <definedName name="Rpt_SurveyStats" localSheetId="13" hidden="0" function="0" vbProcedure="0">#ref!</definedName>
    <definedName name="Rpt_Survey_Data" localSheetId="13" hidden="0" function="0" vbProcedure="0">#ref!</definedName>
    <definedName name="rpt_TestSheet2" localSheetId="13" hidden="0" function="0" vbProcedure="0">#ref!</definedName>
    <definedName name="Rpt_TimeIn" localSheetId="13" hidden="0" function="0" vbProcedure="0">#ref!</definedName>
    <definedName name="Rpt_TimeOut" localSheetId="13" hidden="0" function="0" vbProcedure="0">#ref!</definedName>
    <definedName name="Rpt_Title" localSheetId="13" hidden="0" function="0" vbProcedure="0">#ref!</definedName>
    <definedName name="Rpt_Title2" localSheetId="13" hidden="0" function="0" vbProcedure="0">#ref!</definedName>
    <definedName name="Rpt_Tool_Joint_Percentage" localSheetId="13" hidden="0" function="0" vbProcedure="0">#ref!</definedName>
    <definedName name="Rpt_Tool_Joint_Percentage_Header" localSheetId="13" hidden="0" function="0" vbProcedure="0">#ref!</definedName>
    <definedName name="Rpt_Tool_Joint_Percentage_Unit" localSheetId="13" hidden="0" function="0" vbProcedure="0">#ref!</definedName>
    <definedName name="Rpt_TotalCorrection" localSheetId="13" hidden="0" function="0" vbProcedure="0">#ref!</definedName>
    <definedName name="Rpt_TotalCorrectionLabel" localSheetId="13" hidden="0" function="0" vbProcedure="0">#ref!</definedName>
    <definedName name="Rpt_Version" localSheetId="13" hidden="0" function="0" vbProcedure="0">#ref!</definedName>
    <definedName name="Rpt_VSEC_Azim" localSheetId="13" hidden="0" function="0" vbProcedure="0">#ref!</definedName>
    <definedName name="Rpt_VSEC_Origin" localSheetId="13" hidden="0" function="0" vbProcedure="0">#ref!</definedName>
    <definedName name="Rpt_Well" localSheetId="13" hidden="0" function="0" vbProcedure="0">#ref!</definedName>
    <definedName name="Rpt_Wellbore_Data" localSheetId="13" hidden="0" function="0" vbProcedure="0">#ref!</definedName>
    <definedName name="Rpt_WellName" localSheetId="13" hidden="0" function="0" vbProcedure="0">#ref!</definedName>
    <definedName name="Rpt_YP" localSheetId="13" hidden="0" function="0" vbProcedure="0">#ref!</definedName>
    <definedName name="Rpt_YP_Unit" localSheetId="13" hidden="0" function="0" vbProcedure="0">#ref!</definedName>
    <definedName name="RQC" localSheetId="13" hidden="0" function="0" vbProcedure="0">#ref!</definedName>
    <definedName name="rrr" localSheetId="13" hidden="1" function="0" vbProcedure="0">{#N/A,#N/A,FALSE,"Sheet1"}</definedName>
    <definedName name="rshdsrhj" localSheetId="13" hidden="0" function="0" vbProcedure="0">#ref!</definedName>
    <definedName name="RSS_TO_COMPLETE" localSheetId="13" hidden="0" function="0" vbProcedure="0">[129]RSS!$K$197</definedName>
    <definedName name="RT" localSheetId="13" hidden="0" function="0" vbProcedure="0">#ref!</definedName>
    <definedName name="rtb" localSheetId="13" hidden="0" function="0" vbProcedure="0">'[115]Max-Torq'!$P$61</definedName>
    <definedName name="RTDepth" localSheetId="13" hidden="0" function="0" vbProcedure="0">#ref!</definedName>
    <definedName name="RthLth" localSheetId="13" hidden="0" function="0" vbProcedure="0">#ref!</definedName>
    <definedName name="RunFd" localSheetId="13" hidden="0" function="0" vbProcedure="0">#ref!</definedName>
    <definedName name="Runningtool" localSheetId="13" hidden="0" function="0" vbProcedure="0">[11]DATA!$AO$2:$AO$8</definedName>
    <definedName name="Run_Statistics_Name" localSheetId="13" hidden="0" function="0" vbProcedure="0">#ref!</definedName>
    <definedName name="Rupees" localSheetId="13" hidden="0" function="0" vbProcedure="0">'[141]Cash Expense March-96'!$H$6</definedName>
    <definedName name="RV" localSheetId="13" hidden="0" function="0" vbProcedure="0">#ref!</definedName>
    <definedName name="RVDepth" localSheetId="13" hidden="0" function="0" vbProcedure="0">#ref!</definedName>
    <definedName name="R____rig" localSheetId="13" hidden="0" function="0" vbProcedure="0">#ref!</definedName>
    <definedName name="S" localSheetId="13" hidden="0" function="0" vbProcedure="0">'[2]run sheet'!#ref!</definedName>
    <definedName name="SA" localSheetId="13" hidden="0" function="0" vbProcedure="0">#ref!</definedName>
    <definedName name="SafetySpace" localSheetId="13" hidden="0" function="0" vbProcedure="0">#ref!</definedName>
    <definedName name="SafetySpacer" localSheetId="13" hidden="0" function="0" vbProcedure="0">#ref!</definedName>
    <definedName name="Salesequipment" localSheetId="13" hidden="0" function="0" vbProcedure="0">[11]DATA!$O$2:$O$268</definedName>
    <definedName name="Salesman" localSheetId="13" hidden="0" function="0" vbProcedure="0">'[108]Pre-Job Info Sheet'!$B$7</definedName>
    <definedName name="Sales_Explosive_Type" localSheetId="13" hidden="0" function="0" vbProcedure="0">'[108]Pre-Job Info Sheet'!$B$24</definedName>
    <definedName name="Sales_Gun_Size" localSheetId="13" hidden="0" function="0" vbProcedure="0">'[108]Pre-Job Info Sheet'!$B$21</definedName>
    <definedName name="Sales_Lease" localSheetId="13" hidden="0" function="0" vbProcedure="0">'[108]Pre-Job Info Sheet'!$D$8</definedName>
    <definedName name="Sales_SPF" localSheetId="13" hidden="0" function="0" vbProcedure="0">'[108]Pre-Job Info Sheet'!$B$22</definedName>
    <definedName name="Sales_Ticket_Number" localSheetId="13" hidden="0" function="0" vbProcedure="0">'[30]Liner Job Info'!$E$11</definedName>
    <definedName name="Sales_Underbalance" localSheetId="13" hidden="0" function="0" vbProcedure="0">'[108]Pre-Job Info Sheet'!$D$35</definedName>
    <definedName name="Sales_Well_Name" localSheetId="13" hidden="0" function="0" vbProcedure="0">'[108]Pre-Job Info Sheet'!$D$6</definedName>
    <definedName name="salinity" localSheetId="13" hidden="0" function="0" vbProcedure="0">'[96]well test sheet'!#ref!</definedName>
    <definedName name="SANDOUT_PRESSURE" localSheetId="13" hidden="0" function="0" vbProcedure="0">'[113]#REF'!$I$107</definedName>
    <definedName name="SAND_ABOVE_PERFS_PREPACK" localSheetId="13" hidden="0" function="0" vbProcedure="0">'[113]#REF'!$F$175</definedName>
    <definedName name="SAND_DIVERTER" localSheetId="13" hidden="0" function="0" vbProcedure="0">'[113]#REF'!$F$56</definedName>
    <definedName name="SAND_GP" localSheetId="13" hidden="0" function="0" vbProcedure="0">'[113]#REF'!$F$64</definedName>
    <definedName name="SAND_IN_CAS_BLNK" localSheetId="13" hidden="0" function="0" vbProcedure="0">'[7]#ref'!#ref!</definedName>
    <definedName name="SAND_IN_CAS_EXT" localSheetId="13" hidden="0" function="0" vbProcedure="0">'[7]#ref'!#ref!</definedName>
    <definedName name="SAND_IN_CAS_PREPACK" localSheetId="13" hidden="0" function="0" vbProcedure="0">'[113]#REF'!$F$81</definedName>
    <definedName name="SAND_IN_CAS_SCR" localSheetId="13" hidden="0" function="0" vbProcedure="0">'[7]#ref'!#ref!</definedName>
    <definedName name="SAND_IN_PERFS" localSheetId="13" hidden="0" function="0" vbProcedure="0">'[113]#REF'!$I$185</definedName>
    <definedName name="SAND_IN_PERFS_PP" localSheetId="13" hidden="0" function="0" vbProcedure="0">'[113]#REF'!$F$82</definedName>
    <definedName name="SAND_PASS_XO_PORT" localSheetId="13" hidden="0" function="0" vbProcedure="0">'[113]#REF'!$E$195</definedName>
    <definedName name="SAND_PERMEABILITY" localSheetId="13" hidden="0" function="0" vbProcedure="0">'[113]#REF'!$I$105</definedName>
    <definedName name="SAND_PLACED_GP" localSheetId="13" hidden="0" function="0" vbProcedure="0">'[113]#REF'!$F$95</definedName>
    <definedName name="SAND_PREPACK" localSheetId="13" hidden="0" function="0" vbProcedure="0">'[113]#REF'!$F$44</definedName>
    <definedName name="SAND_PUMPED_GP" localSheetId="13" hidden="0" function="0" vbProcedure="0">'[113]#REF'!$F$92</definedName>
    <definedName name="SAND_PUMPED_PREPACK" localSheetId="13" hidden="0" function="0" vbProcedure="0">'[113]#REF'!$F$78</definedName>
    <definedName name="SAND_REVOUT_GP" localSheetId="13" hidden="0" function="0" vbProcedure="0">'[113]#REF'!$F$93</definedName>
    <definedName name="SAND_REVOUT_PREPACK" localSheetId="13" hidden="0" function="0" vbProcedure="0">'[113]#REF'!$F$79</definedName>
    <definedName name="Save_Document_1" localSheetId="13" hidden="0" function="0" vbProcedure="0">data!save_document</definedName>
    <definedName name="Save_Document_10" localSheetId="13" hidden="0" function="0" vbProcedure="0">data!save_document</definedName>
    <definedName name="Save_Document_11" localSheetId="13" hidden="0" function="0" vbProcedure="0">data!save_document</definedName>
    <definedName name="Save_Document_2" localSheetId="13" hidden="0" function="0" vbProcedure="0">data!save_document</definedName>
    <definedName name="Save_Document_3" localSheetId="13" hidden="0" function="0" vbProcedure="0">data!save_document</definedName>
    <definedName name="Save_Document_4" localSheetId="13" hidden="0" function="0" vbProcedure="0">data!save_document</definedName>
    <definedName name="Save_Document_5" localSheetId="13" hidden="0" function="0" vbProcedure="0">data!save_document</definedName>
    <definedName name="Save_Document_6" localSheetId="13" hidden="0" function="0" vbProcedure="0">data!save_document</definedName>
    <definedName name="Save_Document_7" localSheetId="13" hidden="0" function="0" vbProcedure="0">data!save_document</definedName>
    <definedName name="Save_Document_8" localSheetId="13" hidden="0" function="0" vbProcedure="0">data!save_document</definedName>
    <definedName name="Save_Document_9" localSheetId="13" hidden="0" function="0" vbProcedure="0">data!save_document</definedName>
    <definedName name="SBE" localSheetId="13" hidden="0" function="0" vbProcedure="0">#ref!</definedName>
    <definedName name="sbsv" localSheetId="13" hidden="0" function="0" vbProcedure="0">#ref!</definedName>
    <definedName name="ScaleFactor" localSheetId="13" hidden="0" function="0" vbProcedure="0">#ref!</definedName>
    <definedName name="SCB" localSheetId="13" hidden="0" function="0" vbProcedure="0">[129]RSS!$B$136:$B$144</definedName>
    <definedName name="SCHE" localSheetId="13" hidden="0" function="0" vbProcedure="0">[18]!Macro1</definedName>
    <definedName name="Schematic"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13" hidden="1" function="0" vbProcedure="0">#ref!</definedName>
    <definedName name="screenguage" localSheetId="13" hidden="0" function="0" vbProcedure="0">'[113]#REF'!$H$14</definedName>
    <definedName name="screenidlist" localSheetId="13" hidden="0" function="0" vbProcedure="0">[106]Data!$E$79:$F$127</definedName>
    <definedName name="screenlength" localSheetId="13" hidden="0" function="0" vbProcedure="0">'[113]#REF'!$J$14</definedName>
    <definedName name="screenod" localSheetId="13" hidden="0" function="0" vbProcedure="0">'[113]#REF'!$F$14</definedName>
    <definedName name="screentype" localSheetId="13" hidden="0" function="0" vbProcedure="0">'[113]#REF'!$M$14</definedName>
    <definedName name="SCREEN_LENGTH" localSheetId="13" hidden="0" function="0" vbProcedure="0">'[113]#REF'!$J$13</definedName>
    <definedName name="SCREEN_OD" localSheetId="13" hidden="0" function="0" vbProcedure="0">'[113]#REF'!$F$14</definedName>
    <definedName name="sd" localSheetId="13" hidden="0" function="0" vbProcedure="0">null</definedName>
    <definedName name="SDE_23" localSheetId="13" hidden="0" function="0" vbProcedure="0">[75]!Calculate_Pipe</definedName>
    <definedName name="SDrag" localSheetId="13" hidden="0" function="0" vbProcedure="0">#ref!</definedName>
    <definedName name="se" localSheetId="13" hidden="0" function="0" vbProcedure="0">'[270]calculo de gas total'!#ref!</definedName>
    <definedName name="Seals" localSheetId="13" hidden="0" function="0" vbProcedure="0">#ref!</definedName>
    <definedName name="SeatID" localSheetId="13" hidden="0" function="0" vbProcedure="0">[11]DATA!$BC$2:$BC$6</definedName>
    <definedName name="SeatNumber" localSheetId="13" hidden="0" function="0" vbProcedure="0">[11]DATA!$BD$2:$BD$7</definedName>
    <definedName name="SeatShear" localSheetId="13" hidden="0" function="0" vbProcedure="0">[11]DATA!$BE$2:$BE$4</definedName>
    <definedName name="SeatType" localSheetId="13" hidden="0" function="0" vbProcedure="0">[11]DATA!$BB$2:$BB$4</definedName>
    <definedName name="Section" localSheetId="13" hidden="0" function="0" vbProcedure="0">#ref!</definedName>
    <definedName name="SeDelay" localSheetId="13" hidden="0" function="0" vbProcedure="0">#ref!</definedName>
    <definedName name="SensorDistanceToBit" localSheetId="13" hidden="0" function="0" vbProcedure="0">#ref!</definedName>
    <definedName name="SensorDistanceToBitUnit" localSheetId="13" hidden="0" function="0" vbProcedure="0">#ref!</definedName>
    <definedName name="Sensors" localSheetId="13" hidden="0" function="0" vbProcedure="0">#ref!</definedName>
    <definedName name="SensorType" localSheetId="13" hidden="0" function="0" vbProcedure="0">#ref!</definedName>
    <definedName name="sep_press" localSheetId="13" hidden="0" function="0" vbProcedure="0">'[96]well test sheet'!#ref!</definedName>
    <definedName name="sep_temp" localSheetId="13" hidden="0" function="0" vbProcedure="0">'[96]well test sheet'!#ref!</definedName>
    <definedName name="SeqEvents" localSheetId="13" hidden="0" function="0" vbProcedure="0">#ref!</definedName>
    <definedName name="SerialNumber" localSheetId="13" hidden="0" function="0" vbProcedure="0">#ref!</definedName>
    <definedName name="SerialNumberdb" localSheetId="13" hidden="0" function="0" vbProcedure="0">#ref!</definedName>
    <definedName name="SerialNumberslb" localSheetId="13" hidden="0" function="0" vbProcedure="0">#ref!</definedName>
    <definedName name="SerialNumberTb" localSheetId="13" hidden="0" function="0" vbProcedure="0">#ref!</definedName>
    <definedName name="serialselect1" localSheetId="13" hidden="0" function="0" vbProcedure="0">DATA!serialselect1</definedName>
    <definedName name="serialselect2" localSheetId="13" hidden="0" function="0" vbProcedure="0">DATA!serialselect2</definedName>
    <definedName name="serialselect3" localSheetId="13" hidden="0" function="0" vbProcedure="0">DATA!serialselect3</definedName>
    <definedName name="serialselect4" localSheetId="13" hidden="0" function="0" vbProcedure="0">DATA!serialselect4</definedName>
    <definedName name="ServiceCenter" localSheetId="13" hidden="0" function="0" vbProcedure="0">'[117]Well Installation Drawing'!$L$13</definedName>
    <definedName name="ServiceTypes" localSheetId="13" hidden="0" function="0" vbProcedure="0">#ref!</definedName>
    <definedName name="ServRep" localSheetId="13" hidden="0" function="0" vbProcedure="0">#ref!</definedName>
    <definedName name="SETTLEMENT_RATE" localSheetId="13" hidden="0" function="0" vbProcedure="0">'[113]#REF'!$I$120</definedName>
    <definedName name="Sett_Tool_Tens" localSheetId="13" hidden="0" function="0" vbProcedure="0">'[11]Liner Job Info'!$P$44</definedName>
    <definedName name="Setup" localSheetId="13" hidden="0" function="0" vbProcedure="0">[63]auf_screen!#ref!</definedName>
    <definedName name="ShearPinbyHand" localSheetId="13" hidden="0" function="0" vbProcedure="0">#ref!</definedName>
    <definedName name="ShearPinElect" localSheetId="13" hidden="0" function="0" vbProcedure="0">#ref!</definedName>
    <definedName name="Shear_HR_Mech_Release" localSheetId="13" hidden="0" function="0" vbProcedure="0">'[11]Liner Job Info'!$P$49</definedName>
    <definedName name="SHER" localSheetId="13" hidden="0" function="0" vbProcedure="0">'[38]final tally '!sher</definedName>
    <definedName name="ShiftHOver" localSheetId="13" hidden="0" function="0" vbProcedure="0">#ref!</definedName>
    <definedName name="shippedvia" localSheetId="13" hidden="0" function="0" vbProcedure="0">'[33]data '!#ref!</definedName>
    <definedName name="shit" localSheetId="13" hidden="1" function="0" vbProcedure="0">{#N/A,#N/A,FALSE,"Sheet1"}</definedName>
    <definedName name="SHO" localSheetId="13" hidden="0" function="0" vbProcedure="0">[185]钻井日报表!$G$3</definedName>
    <definedName name="ShoeTrack_Vol" localSheetId="13" hidden="0" function="0" vbProcedure="0">'[11]Metric Conversions'!$B$76</definedName>
    <definedName name="shoe_height" localSheetId="13" hidden="0" function="0" vbProcedure="0">#ref!</definedName>
    <definedName name="Shoe_Track_Length" localSheetId="13" hidden="0" function="0" vbProcedure="0">'[11]Metric Conversions'!$B$19</definedName>
    <definedName name="short" localSheetId="13" hidden="0" function="0" vbProcedure="0">#ref!</definedName>
    <definedName name="Shot1" localSheetId="13" hidden="0" function="0" vbProcedure="0">#ref!</definedName>
    <definedName name="Shot2" localSheetId="13" hidden="0" function="0" vbProcedure="0">#ref!</definedName>
    <definedName name="Shot3" localSheetId="13" hidden="0" function="0" vbProcedure="0">#ref!</definedName>
    <definedName name="Shot4" localSheetId="13" hidden="0" function="0" vbProcedure="0">#ref!</definedName>
    <definedName name="Shot5" localSheetId="13" hidden="0" function="0" vbProcedure="0">#ref!</definedName>
    <definedName name="Shot6" localSheetId="13" hidden="0" function="0" vbProcedure="0">#ref!</definedName>
    <definedName name="Shot7" localSheetId="13" hidden="0" function="0" vbProcedure="0">#ref!</definedName>
    <definedName name="Shot8" localSheetId="13" hidden="0" function="0" vbProcedure="0">#ref!</definedName>
    <definedName name="Show_1" localSheetId="13" hidden="0" function="0" vbProcedure="0">[44]!Show_1</definedName>
    <definedName name="Show_1_1" localSheetId="13" hidden="0" function="0" vbProcedure="0">DATA!Show_1</definedName>
    <definedName name="Show_1_10" localSheetId="13" hidden="0" function="0" vbProcedure="0">DATA!Show_1</definedName>
    <definedName name="Show_1_11" localSheetId="13" hidden="0" function="0" vbProcedure="0">DATA!Show_1</definedName>
    <definedName name="Show_1_2" localSheetId="13" hidden="0" function="0" vbProcedure="0">DATA!Show_1</definedName>
    <definedName name="Show_1_3" localSheetId="13" hidden="0" function="0" vbProcedure="0">DATA!Show_1</definedName>
    <definedName name="Show_1_4" localSheetId="13" hidden="0" function="0" vbProcedure="0">DATA!Show_1</definedName>
    <definedName name="Show_1_5" localSheetId="13" hidden="0" function="0" vbProcedure="0">DATA!Show_1</definedName>
    <definedName name="Show_1_6" localSheetId="13" hidden="0" function="0" vbProcedure="0">DATA!Show_1</definedName>
    <definedName name="Show_1_7" localSheetId="13" hidden="0" function="0" vbProcedure="0">DATA!Show_1</definedName>
    <definedName name="Show_1_8" localSheetId="13" hidden="0" function="0" vbProcedure="0">DATA!Show_1</definedName>
    <definedName name="Show_1_9" localSheetId="13" hidden="0" function="0" vbProcedure="0">DATA!Show_1</definedName>
    <definedName name="Show_2" localSheetId="13" hidden="0" function="0" vbProcedure="0">[44]!Show_2</definedName>
    <definedName name="Show_2_1" localSheetId="13" hidden="0" function="0" vbProcedure="0">DATA!Show_2</definedName>
    <definedName name="Show_2_10" localSheetId="13" hidden="0" function="0" vbProcedure="0">DATA!Show_2</definedName>
    <definedName name="Show_2_11" localSheetId="13" hidden="0" function="0" vbProcedure="0">DATA!Show_2</definedName>
    <definedName name="Show_2_2" localSheetId="13" hidden="0" function="0" vbProcedure="0">DATA!Show_2</definedName>
    <definedName name="Show_2_3" localSheetId="13" hidden="0" function="0" vbProcedure="0">DATA!Show_2</definedName>
    <definedName name="Show_2_4" localSheetId="13" hidden="0" function="0" vbProcedure="0">DATA!Show_2</definedName>
    <definedName name="Show_2_5" localSheetId="13" hidden="0" function="0" vbProcedure="0">DATA!Show_2</definedName>
    <definedName name="Show_2_6" localSheetId="13" hidden="0" function="0" vbProcedure="0">DATA!Show_2</definedName>
    <definedName name="Show_2_7" localSheetId="13" hidden="0" function="0" vbProcedure="0">DATA!Show_2</definedName>
    <definedName name="Show_2_8" localSheetId="13" hidden="0" function="0" vbProcedure="0">DATA!Show_2</definedName>
    <definedName name="Show_2_9" localSheetId="13" hidden="0" function="0" vbProcedure="0">DATA!Show_2</definedName>
    <definedName name="Size" localSheetId="13" hidden="0" function="0" vbProcedure="0">#ref!</definedName>
    <definedName name="sjoint" localSheetId="13" hidden="0" function="0" vbProcedure="0">#ref!</definedName>
    <definedName name="SJT_DEPTH" localSheetId="13" hidden="0" function="0" vbProcedure="0">'[113]#REF'!$F$22</definedName>
    <definedName name="SJ_DEPTH" localSheetId="13" hidden="0" function="0" vbProcedure="0">'[113]#REF'!$F$22</definedName>
    <definedName name="SKFactor" localSheetId="13" hidden="0" function="0" vbProcedure="0">#ref!</definedName>
    <definedName name="SL" localSheetId="13" hidden="0" function="0" vbProcedure="0">[149]BHA!$C$3</definedName>
    <definedName name="SLC" localSheetId="13" hidden="0" function="0" vbProcedure="0">#ref!</definedName>
    <definedName name="SleeveLength" localSheetId="13" hidden="0" function="0" vbProcedure="0">[11]DATA!$AV$2:$AV$4</definedName>
    <definedName name="SlipClosed" localSheetId="13" hidden="0" function="0" vbProcedure="0">#ref!</definedName>
    <definedName name="SlipOpen" localSheetId="13" hidden="0" function="0" vbProcedure="0">#ref!</definedName>
    <definedName name="SLPJ" localSheetId="13" hidden="0" function="0" vbProcedure="0">#ref!</definedName>
    <definedName name="SLPJDepth" localSheetId="13" hidden="0" function="0" vbProcedure="0">#ref!</definedName>
    <definedName name="SLURRY_DENSITY" localSheetId="13" hidden="0" function="0" vbProcedure="0">'[113]#REF'!$F$70</definedName>
    <definedName name="SLURRY_VOL_PREPACK" localSheetId="13" hidden="0" function="0" vbProcedure="0">'[113]#REF'!$F$48</definedName>
    <definedName name="SM" localSheetId="13" hidden="0" function="0" vbProcedure="0">#ref!</definedName>
    <definedName name="SO" localSheetId="13" hidden="0" function="0" vbProcedure="0">#ref!</definedName>
    <definedName name="solver_adj" localSheetId="13" hidden="1" function="0" vbProcedure="0">#ref!</definedName>
    <definedName name="solver_opt" localSheetId="13" hidden="1" function="0" vbProcedure="0">#ref!</definedName>
    <definedName name="sort" localSheetId="13" hidden="1" function="0" vbProcedure="0">[166]Sheet1!$A$181:$H$210</definedName>
    <definedName name="SORT_AREA" localSheetId="13" hidden="0" function="0" vbProcedure="0">'[167]DI-ESTI'!$A$8:$R$489</definedName>
    <definedName name="Spacedout" localSheetId="13" hidden="1" function="0" vbProcedure="0">{#N/A,#N/A,FALSE,"Drlg Param Run 1-1";#N/A,#N/A,FALSE,"DDR (3)";#N/A,#N/A,FALSE,"BHA AT (1)";#N/A,#N/A,FALSE,"Downlinkbha";#N/A,#N/A,FALSE,"Job Status Report"}</definedName>
    <definedName name="SpacerType" localSheetId="13" hidden="0" function="0" vbProcedure="0">[11]DATA!$BK$2:$BK$7</definedName>
    <definedName name="Specialist" localSheetId="13" hidden="0" function="0" vbProcedure="0">#ref!</definedName>
    <definedName name="Spiral_Type" localSheetId="13" hidden="0" function="0" vbProcedure="0">[11]DATA!$BM$2:$BM$5</definedName>
    <definedName name="SPM" localSheetId="13" hidden="0" function="0" vbProcedure="0">#ref!</definedName>
    <definedName name="SSA" localSheetId="13" hidden="0" function="0" vbProcedure="0">[275]!Macro46</definedName>
    <definedName name="SSDHGR" localSheetId="13" hidden="0" function="0" vbProcedure="0">#ref!</definedName>
    <definedName name="ssdsd" localSheetId="13" hidden="0" function="0" vbProcedure="0">'[38]final tally '!ssdsd</definedName>
    <definedName name="sss" localSheetId="13" hidden="1" function="0" vbProcedure="0">{#N/A,#N/A,FALSE,"Drlg Param Run 1-1";#N/A,#N/A,FALSE,"DDR (3)";#N/A,#N/A,FALSE,"BHA AT (1)";#N/A,#N/A,FALSE,"Downlinkbha";#N/A,#N/A,FALSE,"Job Status Report"}</definedName>
    <definedName name="SSSV" localSheetId="13" hidden="0" function="0" vbProcedure="0">#ref!</definedName>
    <definedName name="StabilizerBladeLengthUnits" localSheetId="13" hidden="0" function="0" vbProcedure="0">#ref!</definedName>
    <definedName name="StabilizerMidPtToBitUnits" localSheetId="13" hidden="0" function="0" vbProcedure="0">#ref!</definedName>
    <definedName name="StabilizerSummary" localSheetId="13" hidden="0" function="0" vbProcedure="0">#ref!</definedName>
    <definedName name="stages" localSheetId="13" hidden="0" function="0" vbProcedure="0">[5]WTR!$G$52</definedName>
    <definedName name="Stage_Number" localSheetId="13" hidden="0" function="0" vbProcedure="0">'[108]Pre-Job Info Sheet'!$B$15</definedName>
    <definedName name="StartingSunday" localSheetId="13" hidden="0" function="0" vbProcedure="0">#ref!</definedName>
    <definedName name="Start_Here" localSheetId="13" hidden="0" function="0" vbProcedure="0">'[168]9.625 TCP String'!$B$10</definedName>
    <definedName name="state" localSheetId="13" hidden="0" function="0" vbProcedure="0">'[40]CPS Call Sheet'!$AC$7</definedName>
    <definedName name="status" localSheetId="13" hidden="0" function="0" vbProcedure="0">'[154]BPR LOG'!$H$1:$H$1048576</definedName>
    <definedName name="Stickup" localSheetId="13" hidden="0" function="0" vbProcedure="0">#ref!</definedName>
    <definedName name="StrengthUnit" localSheetId="13" hidden="0" function="0" vbProcedure="0">#ref!</definedName>
    <definedName name="Stretch" localSheetId="13" hidden="0" function="0" vbProcedure="0">#ref!</definedName>
    <definedName name="Stretch_TTL_Lnr_Wt" localSheetId="13" hidden="0" function="0" vbProcedure="0">'[11]Metric Conversions'!$B$36</definedName>
    <definedName name="String1" localSheetId="13" hidden="0" function="0" vbProcedure="0">#ref!</definedName>
    <definedName name="String2" localSheetId="13" hidden="0" function="0" vbProcedure="0">#ref!</definedName>
    <definedName name="String3" localSheetId="13" hidden="0" function="0" vbProcedure="0">#ref!</definedName>
    <definedName name="StringBot1" localSheetId="13" hidden="0" function="0" vbProcedure="0">#ref!</definedName>
    <definedName name="StringBot2" localSheetId="13" hidden="0" function="0" vbProcedure="0">#ref!</definedName>
    <definedName name="StringBot3" localSheetId="13" hidden="0" function="0" vbProcedure="0">#ref!</definedName>
    <definedName name="StringDiag" localSheetId="13" hidden="0" function="0" vbProcedure="0">#ref!</definedName>
    <definedName name="StringTable" localSheetId="13" hidden="0" function="0" vbProcedure="0">#ref!</definedName>
    <definedName name="StringTop1" localSheetId="13" hidden="0" function="0" vbProcedure="0">#ref!</definedName>
    <definedName name="StringTop2" localSheetId="13" hidden="0" function="0" vbProcedure="0">#ref!</definedName>
    <definedName name="StringTop3" localSheetId="13" hidden="0" function="0" vbProcedure="0">#ref!</definedName>
    <definedName name="strlen" localSheetId="13" hidden="0" function="0" vbProcedure="0">#ref!</definedName>
    <definedName name="strlen1" localSheetId="13" hidden="0" function="0" vbProcedure="0">#ref!</definedName>
    <definedName name="Structure" localSheetId="13" hidden="0" function="0" vbProcedure="0">#ref!</definedName>
    <definedName name="StructureName" localSheetId="13" hidden="0" function="0" vbProcedure="0">#ref!</definedName>
    <definedName name="STV" localSheetId="13" hidden="0" function="0" vbProcedure="0">#ref!</definedName>
    <definedName name="STVCor" localSheetId="13" hidden="0" function="0" vbProcedure="0">#ref!</definedName>
    <definedName name="SubGroupdb" localSheetId="13" hidden="0" function="0" vbProcedure="0">#ref!</definedName>
    <definedName name="SubGroupslb" localSheetId="13" hidden="0" function="0" vbProcedure="0">#ref!</definedName>
    <definedName name="SUBJECT" localSheetId="13" hidden="0" function="0" vbProcedure="0">[184]References!$B$1:$B$15</definedName>
    <definedName name="SubSeaTVD_Column" localSheetId="13" hidden="0" function="0" vbProcedure="0">null</definedName>
    <definedName name="SubSeaTVD_Unit" localSheetId="13" hidden="0" function="0" vbProcedure="0">null</definedName>
    <definedName name="SUMP_DEPTH" localSheetId="13" hidden="0" function="0" vbProcedure="0">'[113]#REF'!$F$23</definedName>
    <definedName name="Surfaceequipment" localSheetId="13" hidden="0" function="0" vbProcedure="0">[11]DATA!$AQ$2:$AQ$11</definedName>
    <definedName name="surfacefracpressure" localSheetId="13" hidden="0" function="0" vbProcedure="0">[106]Data!$F$4</definedName>
    <definedName name="Surf_Equip_Tens" localSheetId="13" hidden="0" function="0" vbProcedure="0">'[11]Liner Job Info'!$P$46</definedName>
    <definedName name="Survey" localSheetId="13" hidden="0" function="0" vbProcedure="0">#ref!</definedName>
    <definedName name="SurveyCompMethod" localSheetId="13" hidden="0" function="0" vbProcedure="0">#ref!</definedName>
    <definedName name="SurveyDate" localSheetId="13" hidden="0" function="0" vbProcedure="0">#ref!</definedName>
    <definedName name="SurveyProgram" localSheetId="13" hidden="0" function="0" vbProcedure="0">!#ref!</definedName>
    <definedName name="SurveyProgramFormatA" localSheetId="13" hidden="0" function="0" vbProcedure="0">#ref!</definedName>
    <definedName name="SurveyProgramFormatB" localSheetId="13" hidden="0" function="0" vbProcedure="0">#ref!</definedName>
    <definedName name="SurveyProgramHeader" localSheetId="13" hidden="0" function="0" vbProcedure="0">#ref!</definedName>
    <definedName name="SurveyStats" localSheetId="13" hidden="0" function="0" vbProcedure="0">#ref!</definedName>
    <definedName name="SvyDLSCompMethod" localSheetId="13" hidden="0" function="0" vbProcedure="0">#ref!</definedName>
    <definedName name="SVY_OFF" localSheetId="13" hidden="0" function="0" vbProcedure="0">#ref!</definedName>
    <definedName name="Svy_Print_Area" localSheetId="13" hidden="0" function="0" vbProcedure="0">'[168]9.625 TCP String'!$B$12:$I$3772</definedName>
    <definedName name="SWELL_PKR" localSheetId="13" hidden="0" function="0" vbProcedure="0">INDEX([111]PKR!$F$2:$G$10,MATCH([111]PKR!$H$1,[111]PKR!$F$2:$F$10,0),2)</definedName>
    <definedName name="Sy" localSheetId="13" hidden="0" function="0" vbProcedure="0">#ref!</definedName>
    <definedName name="S___sick" localSheetId="13" hidden="0" function="0" vbProcedure="0">#ref!</definedName>
    <definedName name="T" localSheetId="13" hidden="0" function="0" vbProcedure="0">#ref!</definedName>
    <definedName name="t." localSheetId="13" hidden="0" function="0" vbProcedure="0">[52]!Prev.Macro102</definedName>
    <definedName name="T10Crtl" localSheetId="13" hidden="0" function="0" vbProcedure="0">#ref!</definedName>
    <definedName name="T1a" localSheetId="13" hidden="0" function="0" vbProcedure="0">#ref!</definedName>
    <definedName name="T1b" localSheetId="13" hidden="0" function="0" vbProcedure="0">#ref!</definedName>
    <definedName name="T1c" localSheetId="13" hidden="0" function="0" vbProcedure="0">#ref!</definedName>
    <definedName name="T1cCell" localSheetId="13" hidden="0" function="0" vbProcedure="0">#ref!</definedName>
    <definedName name="T1d" localSheetId="13" hidden="0" function="0" vbProcedure="0">#ref!</definedName>
    <definedName name="T1DCell" localSheetId="13" hidden="0" function="0" vbProcedure="0">#ref!</definedName>
    <definedName name="T1e" localSheetId="13" hidden="0" function="0" vbProcedure="0">#ref!</definedName>
    <definedName name="T1ECell" localSheetId="13" hidden="0" function="0" vbProcedure="0">#ref!</definedName>
    <definedName name="TABLE2_LIV_TFE_31102003" localSheetId="13" hidden="0" function="0" vbProcedure="0">#ref!</definedName>
    <definedName name="TableHeaderCenter" localSheetId="13" hidden="0" function="0" vbProcedure="0">#ref!</definedName>
    <definedName name="TableHeaderCrossCenter" localSheetId="13" hidden="0" function="0" vbProcedure="0">#ref!</definedName>
    <definedName name="TableHeaderCrossRight" localSheetId="13" hidden="0" function="0" vbProcedure="0">#ref!</definedName>
    <definedName name="TableHeaderLeft" localSheetId="13" hidden="0" function="0" vbProcedure="0">#ref!</definedName>
    <definedName name="TableHeaderRight" localSheetId="13" hidden="0" function="0" vbProcedure="0">#ref!</definedName>
    <definedName name="TAD" localSheetId="13" hidden="0" function="0" vbProcedure="0">#ref!</definedName>
    <definedName name="TAD_SUMURY" localSheetId="13" hidden="0" function="0" vbProcedure="0">#ref!</definedName>
    <definedName name="TailPipeWeight" localSheetId="13" hidden="0" function="0" vbProcedure="0">#ref!</definedName>
    <definedName name="Tally" localSheetId="13" hidden="0" function="0" vbProcedure="0">[169]Tally!$A$5:$C$1004</definedName>
    <definedName name="tallyc" localSheetId="13" hidden="0" function="0" vbProcedure="0">'[3]run sheet'!#ref!</definedName>
    <definedName name="TallyLengthUnit" localSheetId="13" hidden="0" function="0" vbProcedure="0">#ref!</definedName>
    <definedName name="Tally_2" localSheetId="13" hidden="0" function="0" vbProcedure="0">[189]Tally!$E$5:$G$1004</definedName>
    <definedName name="Tally_3" localSheetId="13" hidden="0" function="0" vbProcedure="0">[189]Tally!$I$5:$K$1004</definedName>
    <definedName name="TANQUES" localSheetId="13" hidden="0" function="0" vbProcedure="0">#ref!</definedName>
    <definedName name="Taper_String_Grade" localSheetId="13" hidden="0" function="0" vbProcedure="0">'[108]Pre-Job Info Sheet'!$D$31</definedName>
    <definedName name="Taper_String_Size" localSheetId="13" hidden="0" function="0" vbProcedure="0">'[108]Pre-Job Info Sheet'!$D$29</definedName>
    <definedName name="Taper_String_Type" localSheetId="13" hidden="0" function="0" vbProcedure="0">'[108]Pre-Job Info Sheet'!$D$28</definedName>
    <definedName name="Taper_String_Wt._Ft." localSheetId="13" hidden="0" function="0" vbProcedure="0">'[108]Pre-Job Info Sheet'!$D$30</definedName>
    <definedName name="TAR" localSheetId="13" hidden="0" function="0" vbProcedure="0">#ref!</definedName>
    <definedName name="targe"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3" hidden="0" function="0" vbProcedure="0">#ref!,#ref!</definedName>
    <definedName name="TARIQ" localSheetId="13" hidden="0" function="0" vbProcedure="0">[151]!Calculate_Pipe</definedName>
    <definedName name="Tbg" localSheetId="13" hidden="0" function="0" vbProcedure="0">#ref!</definedName>
    <definedName name="TbgDrift1" localSheetId="13" hidden="0" function="0" vbProcedure="0">'[94]Job Technical Info'!$G$35</definedName>
    <definedName name="TbgDrift2" localSheetId="13" hidden="0" function="0" vbProcedure="0">'[94]Job Technical Info'!$G$36</definedName>
    <definedName name="TbgDrift3" localSheetId="13" hidden="0" function="0" vbProcedure="0">'[94]Job Technical Info'!$G$37</definedName>
    <definedName name="TbgDrift4" localSheetId="13" hidden="0" function="0" vbProcedure="0">'[94]Job Technical Info'!$G$38</definedName>
    <definedName name="TbgGrade" localSheetId="13" hidden="0" function="0" vbProcedure="0">#ref!</definedName>
    <definedName name="TbgGrd1" localSheetId="13" hidden="0" function="0" vbProcedure="0">'[94]Job Technical Info'!$H$35</definedName>
    <definedName name="TbgGrd2" localSheetId="13" hidden="0" function="0" vbProcedure="0">'[94]Job Technical Info'!$H$36</definedName>
    <definedName name="TbgGrd3" localSheetId="13" hidden="0" function="0" vbProcedure="0">'[94]Job Technical Info'!$H$37</definedName>
    <definedName name="TbgGrd4" localSheetId="13" hidden="0" function="0" vbProcedure="0">'[94]Job Technical Info'!$H$38</definedName>
    <definedName name="TbgID1" localSheetId="13" hidden="0" function="0" vbProcedure="0">'[94]Job Technical Info'!$F$35</definedName>
    <definedName name="TbgID2" localSheetId="13" hidden="0" function="0" vbProcedure="0">'[94]Job Technical Info'!$F$36</definedName>
    <definedName name="TbgID3" localSheetId="13" hidden="0" function="0" vbProcedure="0">'[94]Job Technical Info'!$F$37</definedName>
    <definedName name="TbgID4" localSheetId="13" hidden="0" function="0" vbProcedure="0">'[94]Job Technical Info'!$F$38</definedName>
    <definedName name="TbgPt" localSheetId="13" hidden="0" function="0" vbProcedure="0">#ref!</definedName>
    <definedName name="TbgSize" localSheetId="13" hidden="0" function="0" vbProcedure="0">#ref!</definedName>
    <definedName name="TbgSz1" localSheetId="13" hidden="0" function="0" vbProcedure="0">'[94]Job Technical Info'!$D$35</definedName>
    <definedName name="TbgSz2" localSheetId="13" hidden="0" function="0" vbProcedure="0">'[94]Job Technical Info'!$D$36</definedName>
    <definedName name="TbgSz3" localSheetId="13" hidden="0" function="0" vbProcedure="0">'[94]Job Technical Info'!$D$37</definedName>
    <definedName name="TbgSz4" localSheetId="13" hidden="0" function="0" vbProcedure="0">'[94]Job Technical Info'!$D$38</definedName>
    <definedName name="TbgThd1" localSheetId="13" hidden="0" function="0" vbProcedure="0">'[94]Job Technical Info'!$J$35</definedName>
    <definedName name="TbgThd2" localSheetId="13" hidden="0" function="0" vbProcedure="0">'[94]Job Technical Info'!$J$36</definedName>
    <definedName name="TbgThd3" localSheetId="13" hidden="0" function="0" vbProcedure="0">'[94]Job Technical Info'!$J$37</definedName>
    <definedName name="TbgThd4" localSheetId="13" hidden="0" function="0" vbProcedure="0">'[94]Job Technical Info'!$J$38</definedName>
    <definedName name="TbgWt1" localSheetId="13" hidden="0" function="0" vbProcedure="0">'[94]Job Technical Info'!$E$35</definedName>
    <definedName name="TbgWt2" localSheetId="13" hidden="0" function="0" vbProcedure="0">'[94]Job Technical Info'!$E$36</definedName>
    <definedName name="TbgWt3" localSheetId="13" hidden="0" function="0" vbProcedure="0">'[94]Job Technical Info'!$E$37</definedName>
    <definedName name="TbgWt4" localSheetId="13" hidden="0" function="0" vbProcedure="0">'[94]Job Technical Info'!$E$38</definedName>
    <definedName name="TB_Ext_API_Coll" localSheetId="13" hidden="0" function="0" vbProcedure="0">'[11]Metric Conversions'!$B$55</definedName>
    <definedName name="TB_Ext_Bst" localSheetId="13" hidden="0" function="0" vbProcedure="0">'[11]Metric Conversions'!$B$54</definedName>
    <definedName name="TB_EXT_ID" localSheetId="13" hidden="0" function="0" vbProcedure="0">'[11]Liner Job Info'!$P$35</definedName>
    <definedName name="TCPSTRING" localSheetId="13" hidden="0" function="0" vbProcedure="0">[287]!ADDSTAB</definedName>
    <definedName name="TDH" localSheetId="13" hidden="0" function="0" vbProcedure="0">#ref!</definedName>
    <definedName name="TD_Depth_md" localSheetId="13" hidden="0" function="0" vbProcedure="0">'[73]well specification'!#ref!</definedName>
    <definedName name="TD_md" localSheetId="13" hidden="0" function="0" vbProcedure="0">'[73]well specification'!#ref!</definedName>
    <definedName name="tedtr" localSheetId="13" hidden="0" function="0" vbProcedure="0">'[115]Max-Torq'!$P$72</definedName>
    <definedName name="teks"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3" hidden="0" function="0" vbProcedure="0">#ref!</definedName>
    <definedName name="TEM" localSheetId="13" hidden="0" function="0" vbProcedure="0">#ref!</definedName>
    <definedName name="Temp" localSheetId="13" hidden="0" function="0" vbProcedure="0">#ref!</definedName>
    <definedName name="Temperature" localSheetId="13" hidden="0" function="0" vbProcedure="0">#ref!</definedName>
    <definedName name="TempF" localSheetId="13" hidden="0" function="0" vbProcedure="0">#ref!</definedName>
    <definedName name="TempFac" localSheetId="13" hidden="0" function="0" vbProcedure="0">#ref!</definedName>
    <definedName name="TempFd" localSheetId="13" hidden="0" function="0" vbProcedure="0">#ref!</definedName>
    <definedName name="TempInput" localSheetId="13" hidden="0" function="0" vbProcedure="0">#ref!</definedName>
    <definedName name="TempMax" localSheetId="13" hidden="0" function="0" vbProcedure="0">#ref!</definedName>
    <definedName name="TempTable" localSheetId="13" hidden="0" function="0" vbProcedure="0">#ref!</definedName>
    <definedName name="TempU" localSheetId="13" hidden="0" function="0" vbProcedure="0">#ref!</definedName>
    <definedName name="TempUnit" localSheetId="13" hidden="0" function="0" vbProcedure="0">#ref!</definedName>
    <definedName name="TempUnitFd" localSheetId="13" hidden="0" function="0" vbProcedure="0">#ref!</definedName>
    <definedName name="tens" localSheetId="13" hidden="0" function="0" vbProcedure="0">'[115]Max-Torq'!$N$58</definedName>
    <definedName name="Tensiledb" localSheetId="13" hidden="0" function="0" vbProcedure="0">#ref!</definedName>
    <definedName name="Tensileslb" localSheetId="13" hidden="0" function="0" vbProcedure="0">#ref!</definedName>
    <definedName name="tensilestring" localSheetId="13" hidden="0" function="0" vbProcedure="0">#ref!</definedName>
    <definedName name="terry1" localSheetId="13" hidden="0" function="0" vbProcedure="0">{#N/A,#N/A,FALSE,"Volume"}</definedName>
    <definedName name="terry2" localSheetId="13" hidden="0" function="0" vbProcedure="0">{#N/A,#N/A,FALSE,"Volume"}</definedName>
    <definedName name="terry3" localSheetId="13" hidden="0" function="0" vbProcedure="0">{#N/A,#N/A,FALSE,"Volume"}</definedName>
    <definedName name="terry4" localSheetId="13" hidden="0" function="0" vbProcedure="0">{#N/A,#N/A,FALSE,"Volume"}</definedName>
    <definedName name="terry5" localSheetId="13" hidden="0" function="0" vbProcedure="0">{#N/A,#N/A,FALSE,"Volume"}</definedName>
    <definedName name="TEST" localSheetId="13" hidden="0" function="0" vbProcedure="0">#ref!</definedName>
    <definedName name="test1" localSheetId="13" hidden="1" function="0" vbProcedure="0">#ref!</definedName>
    <definedName name="TEST_IMG" localSheetId="13" hidden="0" function="0" vbProcedure="0">INDEX(#ref!,MATCH(#ref!,#ref!,0),2)</definedName>
    <definedName name="Test_po_out_1" localSheetId="13" hidden="0" function="0" vbProcedure="0">[11]Test!$M$28</definedName>
    <definedName name="Test_po_out_2" localSheetId="13" hidden="0" function="0" vbProcedure="0">[11]Test!$M$29</definedName>
    <definedName name="textfive" localSheetId="13" hidden="0" function="0" vbProcedure="0">'[38]final tally '!textfive</definedName>
    <definedName name="textfivehalf" localSheetId="13" hidden="0" function="0" vbProcedure="0">'[38]final tally '!textfivehalf</definedName>
    <definedName name="textninefiveeightfourfirst" localSheetId="13" hidden="0" function="0" vbProcedure="0">'[38]final tally '!textninefiveeightfourfirst</definedName>
    <definedName name="textninefiveeightfoursecond" localSheetId="13" hidden="0" function="0" vbProcedure="0">'[38]final tally '!textninefiveeightfoursecond</definedName>
    <definedName name="textninefiveeightsixfirst" localSheetId="13" hidden="0" function="0" vbProcedure="0">'[38]final tally '!textninefiveeightsixfirst</definedName>
    <definedName name="textninefiveeightsixsecond" localSheetId="13" hidden="0" function="0" vbProcedure="0">'[38]final tally '!textninefiveeightsixsecond</definedName>
    <definedName name="textsevenfiveeightfour" localSheetId="13" hidden="0" function="0" vbProcedure="0">'[38]final tally '!textsevenfiveeightfour</definedName>
    <definedName name="textsevenfiveeightthree" localSheetId="13" hidden="0" function="0" vbProcedure="0">'[38]final tally '!textsevenfiveeightthree</definedName>
    <definedName name="textsevenfour" localSheetId="13" hidden="0" function="0" vbProcedure="0">'[38]final tally '!textsevenfour</definedName>
    <definedName name="textseventhree" localSheetId="13" hidden="0" function="0" vbProcedure="0">'[38]final tally '!textseventhree</definedName>
    <definedName name="text_five" localSheetId="13" hidden="0" function="0" vbProcedure="0">'[38]final tally '!text_five</definedName>
    <definedName name="text_fivehalf" localSheetId="13" hidden="0" function="0" vbProcedure="0">'[38]final tally '!text_fivehalf</definedName>
    <definedName name="text_ninefiveeightfourfirst" localSheetId="13" hidden="0" function="0" vbProcedure="0">'[38]final tally '!text_ninefiveeightfourfirst</definedName>
    <definedName name="text_ninefiveeightfoursecond" localSheetId="13" hidden="0" function="0" vbProcedure="0">'[38]final tally '!text_ninefiveeightfoursecond</definedName>
    <definedName name="text_ninefiveeightsixfirst" localSheetId="13" hidden="0" function="0" vbProcedure="0">'[38]final tally '!text_ninefiveeightsixfirst</definedName>
    <definedName name="text_ninefiveeightsixsecond" localSheetId="13" hidden="0" function="0" vbProcedure="0">'[38]final tally '!text_ninefiveeightsixsecond</definedName>
    <definedName name="text_sevenfiveeightfour" localSheetId="13" hidden="0" function="0" vbProcedure="0">'[38]final tally '!text_sevenfiveeightfour</definedName>
    <definedName name="text_sevenfiveeightthree" localSheetId="13" hidden="0" function="0" vbProcedure="0">'[38]final tally '!text_sevenfiveeightthree</definedName>
    <definedName name="text_sevenfour" localSheetId="13" hidden="0" function="0" vbProcedure="0">'[38]final tally '!text_sevenfour</definedName>
    <definedName name="text_seventhree" localSheetId="13" hidden="0" function="0" vbProcedure="0">'[38]final tally '!text_seventhree</definedName>
    <definedName name="TFactor" localSheetId="13" hidden="0" function="0" vbProcedure="0">#ref!</definedName>
    <definedName name="TFactorOutput" localSheetId="13" hidden="0" function="0" vbProcedure="0">#ref!</definedName>
    <definedName name="tftv" localSheetId="13" hidden="0" function="0" vbProcedure="0">#ref!</definedName>
    <definedName name="TF_Column" localSheetId="13" hidden="0" function="0" vbProcedure="0">#ref!</definedName>
    <definedName name="TF_Unit" localSheetId="13" hidden="0" function="0" vbProcedure="0">#ref!</definedName>
    <definedName name="tgrade" localSheetId="13" hidden="0" function="0" vbProcedure="0">[157]Control!$D$9</definedName>
    <definedName name="TGW" localSheetId="13" hidden="0" function="0" vbProcedure="0">'[38]final tally '!tgw</definedName>
    <definedName name="ThreadCon" localSheetId="13" hidden="0" function="0" vbProcedure="0">#ref!</definedName>
    <definedName name="ticket" localSheetId="13" hidden="0" function="0" vbProcedure="0">#ref!</definedName>
    <definedName name="tickettype" localSheetId="13" hidden="0" function="0" vbProcedure="0">[57]data!#ref!</definedName>
    <definedName name="TICKIT" localSheetId="13" hidden="0" function="0" vbProcedure="0">#ref!</definedName>
    <definedName name="time" localSheetId="13" hidden="0" function="0" vbProcedure="0">'[96]well test sheet'!#ref!</definedName>
    <definedName name="TimeT1a" localSheetId="13" hidden="0" function="0" vbProcedure="0">#ref!</definedName>
    <definedName name="TimeT1b" localSheetId="13" hidden="0" function="0" vbProcedure="0">#ref!</definedName>
    <definedName name="TimeT1c" localSheetId="13" hidden="0" function="0" vbProcedure="0">#ref!</definedName>
    <definedName name="TimeT1d" localSheetId="13" hidden="0" function="0" vbProcedure="0">#ref!</definedName>
    <definedName name="TimeT1e" localSheetId="13" hidden="0" function="0" vbProcedure="0">#ref!</definedName>
    <definedName name="Time_1" localSheetId="13" hidden="0" function="0" vbProcedure="0">#ref!</definedName>
    <definedName name="Time_1__Time_2" localSheetId="13" hidden="0" function="0" vbProcedure="0">'[290]k factor'!#ref!</definedName>
    <definedName name="Time_2" localSheetId="13" hidden="0" function="0" vbProcedure="0">#ref!</definedName>
    <definedName name="Time_Orient_Mode_1" localSheetId="13" hidden="0" function="0" vbProcedure="0">#ref!</definedName>
    <definedName name="Time_Orient_Mode_1_Name" localSheetId="13" hidden="0" function="0" vbProcedure="0">#ref!</definedName>
    <definedName name="Time_Orient_Mode_2" localSheetId="13" hidden="0" function="0" vbProcedure="0">#ref!</definedName>
    <definedName name="Time_Orient_Mode_2_Name" localSheetId="13" hidden="0" function="0" vbProcedure="0">#ref!</definedName>
    <definedName name="Time_Rot" localSheetId="13" hidden="0" function="0" vbProcedure="0">#ref!</definedName>
    <definedName name="Time_Rot_Name" localSheetId="13" hidden="0" function="0" vbProcedure="0">#ref!</definedName>
    <definedName name="Time_Steering" localSheetId="13" hidden="0" function="0" vbProcedure="0">#ref!</definedName>
    <definedName name="Time_Steering_Name" localSheetId="13" hidden="0" function="0" vbProcedure="0">#ref!</definedName>
    <definedName name="TIPE" localSheetId="13" hidden="0" function="0" vbProcedure="0">#ref!</definedName>
    <definedName name="TIPN" localSheetId="13" hidden="0" function="0" vbProcedure="0">#ref!</definedName>
    <definedName name="Title" localSheetId="13" hidden="0" function="0" vbProcedure="0">#ref!</definedName>
    <definedName name="TLCENG" localSheetId="13" hidden="0" function="0" vbProcedure="0">[182]Reference!$D$2</definedName>
    <definedName name="TLDENG" localSheetId="13" hidden="0" function="0" vbProcedure="0">[182]Reference!$C$2</definedName>
    <definedName name="TLDOPS" localSheetId="13" hidden="0" function="0" vbProcedure="0">[182]Reference!$E$2:$E$3</definedName>
    <definedName name="TOL" localSheetId="13" hidden="0" function="0" vbProcedure="0">'[130]Metric Conversions'!$B$28</definedName>
    <definedName name="Tool" localSheetId="13" hidden="0" function="0" vbProcedure="0">#ref!</definedName>
    <definedName name="ToolAboveSurvey" localSheetId="13" hidden="0" function="0" vbProcedure="0">#ref!</definedName>
    <definedName name="ToolBelowSurvey" localSheetId="13" hidden="0" function="0" vbProcedure="0">#ref!</definedName>
    <definedName name="ToolName" localSheetId="13" hidden="0" function="0" vbProcedure="0">#ref!</definedName>
    <definedName name="ToolPos" localSheetId="13" hidden="0" function="0" vbProcedure="0">#ref!</definedName>
    <definedName name="Tools" localSheetId="13" hidden="0" function="0" vbProcedure="0">#ref!</definedName>
    <definedName name="ToolType" localSheetId="13" hidden="0" function="0" vbProcedure="0">#ref!</definedName>
    <definedName name="ToolWeightAirString" localSheetId="13" hidden="0" function="0" vbProcedure="0">#ref!</definedName>
    <definedName name="ToolWeightCshString" localSheetId="13" hidden="0" function="0" vbProcedure="0">#ref!</definedName>
    <definedName name="ToolWeightdb" localSheetId="13" hidden="0" function="0" vbProcedure="0">#ref!</definedName>
    <definedName name="ToolWeightMudString" localSheetId="13" hidden="0" function="0" vbProcedure="0">#ref!</definedName>
    <definedName name="ToolWeightslb" localSheetId="13" hidden="0" function="0" vbProcedure="0">#ref!</definedName>
    <definedName name="ToolWeightString" localSheetId="13" hidden="0" function="0" vbProcedure="0">#ref!</definedName>
    <definedName name="ToolWeightString2" localSheetId="13" hidden="0" function="0" vbProcedure="0">#ref!</definedName>
    <definedName name="ToolWeightUntdb" localSheetId="13" hidden="0" function="0" vbProcedure="0">#ref!</definedName>
    <definedName name="ToolWeightUntslb" localSheetId="13" hidden="0" function="0" vbProcedure="0">#ref!</definedName>
    <definedName name="ToolWeightUntString" localSheetId="13" hidden="0" function="0" vbProcedure="0">#ref!</definedName>
    <definedName name="topdepthstring" localSheetId="13" hidden="0" function="0" vbProcedure="0">#ref!</definedName>
    <definedName name="topPinBoxdb" localSheetId="13" hidden="0" function="0" vbProcedure="0">#ref!</definedName>
    <definedName name="toppinboxslb" localSheetId="13" hidden="0" function="0" vbProcedure="0">#ref!</definedName>
    <definedName name="TOPPKRIMG" localSheetId="13" hidden="0" function="0" vbProcedure="0">INDEX([172]PKR!$A$16:$B$17,MATCH([172]INPUT!$G$56,[172]PKR!$A$16:$A$17,0),2)</definedName>
    <definedName name="TOPPKRIMG_1" localSheetId="13" hidden="0" function="0" vbProcedure="0">INDEX([161]PKR!$A$16:$B$18,MATCH([161]INPUT!$G$56,[161]PKR!$A$16:$A$18,0),2)</definedName>
    <definedName name="topthreadstring" localSheetId="13" hidden="0" function="0" vbProcedure="0">#ref!</definedName>
    <definedName name="topTypedb" localSheetId="13" hidden="0" function="0" vbProcedure="0">#ref!</definedName>
    <definedName name="toptypelocdb" localSheetId="13" hidden="0" function="0" vbProcedure="0">#ref!</definedName>
    <definedName name="toptypeslb" localSheetId="13" hidden="0" function="0" vbProcedure="0">#ref!</definedName>
    <definedName name="Top_Drive_y_n" localSheetId="13" hidden="0" function="0" vbProcedure="0">'[49]liner job info'!#ref!</definedName>
    <definedName name="Top_Perf._TVD" localSheetId="13" hidden="0" function="0" vbProcedure="0">'[108]Pre-Job Info Sheet'!$B$30</definedName>
    <definedName name="Top_Perforation" localSheetId="13" hidden="0" function="0" vbProcedure="0">'[108]Pre-Job Info Sheet'!$B$28</definedName>
    <definedName name="Top_Shot" localSheetId="13" hidden="0" function="0" vbProcedure="0">#ref!</definedName>
    <definedName name="TorqUnit" localSheetId="13" hidden="0" function="0" vbProcedure="0">#ref!</definedName>
    <definedName name="TOServiceTypes" localSheetId="13" hidden="0" function="0" vbProcedure="0">#ref!</definedName>
    <definedName name="TotalBuoyantWeight" localSheetId="13" hidden="0" function="0" vbProcedure="0">#ref!</definedName>
    <definedName name="TotalBuoyantWeightUnits" localSheetId="13" hidden="0" function="0" vbProcedure="0">#ref!</definedName>
    <definedName name="TotalCorrection" localSheetId="13" hidden="0" function="0" vbProcedure="0">#ref!</definedName>
    <definedName name="TotalCorrectionLbl" localSheetId="13" hidden="0" function="0" vbProcedure="0">#ref!</definedName>
    <definedName name="TotalCsg" localSheetId="13" hidden="0" function="0" vbProcedure="0">#ref!</definedName>
    <definedName name="TotalCsga" localSheetId="13" hidden="0" function="0" vbProcedure="0">#ref!</definedName>
    <definedName name="TotalLength" localSheetId="13" hidden="0" function="0" vbProcedure="0">#ref!</definedName>
    <definedName name="TotalLengthUnits" localSheetId="13" hidden="0" function="0" vbProcedure="0">#ref!</definedName>
    <definedName name="TotalPresOutput" localSheetId="13" hidden="0" function="0" vbProcedure="0">#ref!</definedName>
    <definedName name="TotalWeightInAir" localSheetId="13" hidden="0" function="0" vbProcedure="0">#ref!</definedName>
    <definedName name="TotalWeightInAirUnits" localSheetId="13" hidden="0" function="0" vbProcedure="0">#ref!</definedName>
    <definedName name="Total_Actual_Lease_Charges" localSheetId="13" hidden="0" function="0" vbProcedure="0">#ref!</definedName>
    <definedName name="Total_DP_Wt" localSheetId="13" hidden="0" function="0" vbProcedure="0">'[11]Weight Calculations'!$H$13</definedName>
    <definedName name="Total_Length_of_BHA" localSheetId="13" hidden="0" function="0" vbProcedure="0">'[108]TCP-BHA'!$H$47</definedName>
    <definedName name="TOT_ANN_CAP" localSheetId="13" hidden="0" function="0" vbProcedure="0">'[113]#REF'!$G$189</definedName>
    <definedName name="TOT_CAP_HOLE" localSheetId="13" hidden="0" function="0" vbProcedure="0">'[113]#REF'!$G$190</definedName>
    <definedName name="Tot_Distance" localSheetId="13" hidden="0" function="0" vbProcedure="0">#ref!</definedName>
    <definedName name="Tot_DP_Vol" localSheetId="13" hidden="0" function="0" vbProcedure="0">'[11]Metric Conversions'!$B$75</definedName>
    <definedName name="Tot_Liner_Wt" localSheetId="13" hidden="0" function="0" vbProcedure="0">'[11]Weight Calculations'!$H$18</definedName>
    <definedName name="Tot_Lnr_Vol_to_LC" localSheetId="13" hidden="0" function="0" vbProcedure="0">'[11]Metric Conversions'!$B$79</definedName>
    <definedName name="Tot_Rop" localSheetId="13" hidden="0" function="0" vbProcedure="0">#ref!</definedName>
    <definedName name="Tot_Rop_Name" localSheetId="13" hidden="0" function="0" vbProcedure="0">#ref!</definedName>
    <definedName name="TOT_SAND_2B_PUMPED" localSheetId="13" hidden="0" function="0" vbProcedure="0">'[7]#ref'!#ref!</definedName>
    <definedName name="TOT_SAND_COV_BLANK" localSheetId="13" hidden="0" function="0" vbProcedure="0">'[113]#REF'!$H$136</definedName>
    <definedName name="TOT_SAND_COV_SCREEN" localSheetId="13" hidden="0" function="0" vbProcedure="0">'[113]#REF'!$H$135</definedName>
    <definedName name="TOT_SAND_IN_PERFS" localSheetId="13" hidden="0" function="0" vbProcedure="0">'[113]#REF'!$F$137</definedName>
    <definedName name="TOT_SAND_PLACED" localSheetId="13" hidden="0" function="0" vbProcedure="0">'[113]#REF'!$F$131</definedName>
    <definedName name="TOT_SAND_REVOUT" localSheetId="13" hidden="0" function="0" vbProcedure="0">'[7]#ref'!#ref!</definedName>
    <definedName name="Tot_Time" localSheetId="13" hidden="0" function="0" vbProcedure="0">#ref!</definedName>
    <definedName name="Tot_Time_Name" localSheetId="13" hidden="0" function="0" vbProcedure="0">#ref!</definedName>
    <definedName name="Tot_Vol_to_Bump_Plugs" localSheetId="13" hidden="0" function="0" vbProcedure="0">'[11]Metric Conversions'!$B$80</definedName>
    <definedName name="tpermit" localSheetId="13" hidden="0" function="0" vbProcedure="0">[157]Control!$D$5</definedName>
    <definedName name="TQW" localSheetId="13" hidden="0" function="0" vbProcedure="0">'[38]final tally '!tqw</definedName>
    <definedName name="tr" localSheetId="13" hidden="0" function="0" vbProcedure="0">null</definedName>
    <definedName name="transport" localSheetId="13" hidden="0" function="0" vbProcedure="0">[57]data!#ref!</definedName>
    <definedName name="treatment" localSheetId="13" hidden="0" function="0" vbProcedure="0">[57]data!#ref!</definedName>
    <definedName name="try" localSheetId="13" hidden="0" function="0" vbProcedure="0">[173]Calculos!$K$3:$V$31</definedName>
    <definedName name="TR_Column" localSheetId="13" hidden="0" function="0" vbProcedure="0">null</definedName>
    <definedName name="TR_Unit" localSheetId="13" hidden="0" function="0" vbProcedure="0">null</definedName>
    <definedName name="tshoe" localSheetId="13" hidden="0" function="0" vbProcedure="0">[157]Drillers!$Q$20</definedName>
    <definedName name="tsize" localSheetId="13" hidden="0" function="0" vbProcedure="0">[157]Control!$D$7</definedName>
    <definedName name="TST" localSheetId="13" hidden="0" function="0" vbProcedure="0">'[30]Liner Job Info'!$O$5</definedName>
    <definedName name="tstickup" localSheetId="13" hidden="0" function="0" vbProcedure="0">[157]Drillers!$O$20</definedName>
    <definedName name="TStringW" localSheetId="13" hidden="0" function="0" vbProcedure="0">#ref!</definedName>
    <definedName name="TS_pricelist" localSheetId="13" hidden="0" function="0" vbProcedure="0">[139]Pricelist!$A$57:$B$65</definedName>
    <definedName name="TU" localSheetId="13" hidden="0" function="0" vbProcedure="0">#ref!</definedName>
    <definedName name="Tubing" localSheetId="13" hidden="0" function="0" vbProcedure="0">[174]Tubing!$B$7:$I$142</definedName>
    <definedName name="TubingAverage" localSheetId="13" hidden="0" function="0" vbProcedure="0">((SUM([38]!NosOfTubing))-(MakeupLoss*COUNT([38]!NosOfTubing)))/COUNT([38]!NosOfTubing)</definedName>
    <definedName name="tubingInfo" localSheetId="13" hidden="0" function="0" vbProcedure="0">#ref!</definedName>
    <definedName name="TubingLength" localSheetId="13" hidden="0" function="0" vbProcedure="0">#ref!</definedName>
    <definedName name="tubingmat" localSheetId="13" hidden="0" function="0" vbProcedure="0">#ref!</definedName>
    <definedName name="TubingOD" localSheetId="13" hidden="0" function="0" vbProcedure="0">[94]Lists!$AH$3:$AH$297</definedName>
    <definedName name="tubingSG" localSheetId="13" hidden="0" function="0" vbProcedure="0">#ref!</definedName>
    <definedName name="tubingsize" localSheetId="13" hidden="0" function="0" vbProcedure="0">#ref!</definedName>
    <definedName name="TubingSizes" localSheetId="13" hidden="0" function="0" vbProcedure="0">[94]Lists!$H$2:$H$14</definedName>
    <definedName name="tubingtype" localSheetId="13" hidden="0" function="0" vbProcedure="0">#ref!</definedName>
    <definedName name="tubingW" localSheetId="13" hidden="0" function="0" vbProcedure="0">#ref!</definedName>
    <definedName name="tubingweight" localSheetId="13" hidden="0" function="0" vbProcedure="0">[86]!TubTable[id LIST (in)]</definedName>
    <definedName name="tubingweigth" localSheetId="13" hidden="0" function="0" vbProcedure="0">#ref!</definedName>
    <definedName name="TUCF" localSheetId="13" hidden="0" function="0" vbProcedure="0">#ref!</definedName>
    <definedName name="TV" localSheetId="13" hidden="0" function="0" vbProcedure="0">#ref!</definedName>
    <definedName name="TVD" localSheetId="13" hidden="0" function="0" vbProcedure="0">#ref!</definedName>
    <definedName name="TVDCV" localSheetId="13" hidden="0" function="0" vbProcedure="0">#ref!</definedName>
    <definedName name="TVDRV" localSheetId="13" hidden="0" function="0" vbProcedure="0">#ref!</definedName>
    <definedName name="TVDSLPJ" localSheetId="13" hidden="0" function="0" vbProcedure="0">#ref!</definedName>
    <definedName name="TVD_Column" localSheetId="13" hidden="0" function="0" vbProcedure="0">!#ref!</definedName>
    <definedName name="TVD_MID_PERF" localSheetId="13" hidden="0" function="0" vbProcedure="0">'[113]#REF'!$F$25</definedName>
    <definedName name="TVD_Reference" localSheetId="13" hidden="0" function="0" vbProcedure="0">#ref!</definedName>
    <definedName name="TVD_ReferenceValue" localSheetId="13" hidden="0" function="0" vbProcedure="0">#ref!</definedName>
    <definedName name="TVD_Unit" localSheetId="13" hidden="0" function="0" vbProcedure="0">#ref!</definedName>
    <definedName name="TV_TVD" localSheetId="13" hidden="0" function="0" vbProcedure="0">'[108]Tester Valve Calcs'!$F$20</definedName>
    <definedName name="TV_Vol" localSheetId="13" hidden="0" function="0" vbProcedure="0">'[108]Tester Valve Calcs'!$M$17</definedName>
    <definedName name="tweight" localSheetId="13" hidden="0" function="0" vbProcedure="0">[157]Control!$D$8</definedName>
    <definedName name="twell" localSheetId="13" hidden="0" function="0" vbProcedure="0">[157]Control!$D$4</definedName>
    <definedName name="twstest"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 localSheetId="13" hidden="0" function="0" vbProcedure="0">#ref!</definedName>
    <definedName name="TYJEJE" localSheetId="13" hidden="0" function="0" vbProcedure="0">'[38]final tally '!tyjeje</definedName>
    <definedName name="TYPE" localSheetId="13" hidden="0" function="0" vbProcedure="0">[184]References!$F$1:$F$2</definedName>
    <definedName name="TYPEOFPLUG" localSheetId="13" hidden="0" function="0" vbProcedure="0">'[190]DATA CALL OUT'!$C$1:$C$65536</definedName>
    <definedName name="T_ABOP" localSheetId="13" hidden="0" function="0" vbProcedure="0">'[94]Physical Barrier Check Form'!$B$15</definedName>
    <definedName name="T_BFluidColumn" localSheetId="13" hidden="0" function="0" vbProcedure="0">'[94]Physical Barrier Check Form'!$B$19</definedName>
    <definedName name="T_BHFieldRep" localSheetId="13" hidden="0" function="0" vbProcedure="0">#ref!</definedName>
    <definedName name="T_BHP" localSheetId="13" hidden="0" function="0" vbProcedure="0">'[94]Job Technical Info'!$A$42</definedName>
    <definedName name="T_BHRepNamePrinted" localSheetId="13" hidden="0" function="0" vbProcedure="0">#ref!</definedName>
    <definedName name="T_BHRepSignatureJobLog" localSheetId="13" hidden="0" function="0" vbProcedure="0">#ref!</definedName>
    <definedName name="T_BHT" localSheetId="13" hidden="0" function="0" vbProcedure="0">'[94]Job Technical Info'!$C$42</definedName>
    <definedName name="T_Casing1" localSheetId="13" hidden="0" function="0" vbProcedure="0">'[94]Job Technical Info'!$B$25</definedName>
    <definedName name="T_Casing2" localSheetId="13" hidden="0" function="0" vbProcedure="0">'[94]Job Technical Info'!$B$26</definedName>
    <definedName name="T_Casing3" localSheetId="13" hidden="0" function="0" vbProcedure="0">'[94]Job Technical Info'!$B$27</definedName>
    <definedName name="T_Casing4" localSheetId="13" hidden="0" function="0" vbProcedure="0">'[94]Job Technical Info'!$B$28</definedName>
    <definedName name="T_Ccasing" localSheetId="13" hidden="0" function="0" vbProcedure="0">'[94]Physical Barrier Check Form'!$B$23</definedName>
    <definedName name="T_Customer" localSheetId="13" hidden="0" function="0" vbProcedure="0">#ref!</definedName>
    <definedName name="T_CustomerNamePrinted" localSheetId="13" hidden="0" function="0" vbProcedure="0">#ref!</definedName>
    <definedName name="T_CustomerProject" localSheetId="13" hidden="0" function="0" vbProcedure="0">[94]Schematic!$A$8</definedName>
    <definedName name="T_CustomerRep" localSheetId="13" hidden="0" function="0" vbProcedure="0">#ref!</definedName>
    <definedName name="T_CustomerSignatureJobLog" localSheetId="13" hidden="0" function="0" vbProcedure="0">#ref!</definedName>
    <definedName name="T_C_H" localSheetId="13" hidden="0" function="0" vbProcedure="0">'[50]12(762mm)套管'!#ref!</definedName>
    <definedName name="T_Date" localSheetId="13" hidden="0" function="0" vbProcedure="0">#ref!</definedName>
    <definedName name="T_Description" localSheetId="13" hidden="0" function="0" vbProcedure="0">[94]Schematic!$D$31</definedName>
    <definedName name="T_District" localSheetId="13" hidden="0" function="0" vbProcedure="0">'[94]Physical Barrier Check Form'!$B$4</definedName>
    <definedName name="T_DistrictPh" localSheetId="13" hidden="0" function="0" vbProcedure="0">#ref!</definedName>
    <definedName name="T_DProductionPacker" localSheetId="13" hidden="0" function="0" vbProcedure="0">'[94]Physical Barrier Check Form'!$B$27</definedName>
    <definedName name="T_Drift" localSheetId="13" hidden="0" function="0" vbProcedure="0">'[94]Job Technical Info'!$G$23</definedName>
    <definedName name="T_Dual" localSheetId="13" hidden="0" function="0" vbProcedure="0">#ref!</definedName>
    <definedName name="T_DUEL" localSheetId="13" hidden="0" function="0" vbProcedure="0">#ref!</definedName>
    <definedName name="T_EBridgePlug" localSheetId="13" hidden="0" function="0" vbProcedure="0">'[94]Physical Barrier Check Form'!$B$31</definedName>
    <definedName name="T_FluidType" localSheetId="13" hidden="0" function="0" vbProcedure="0">'[94]Job Technical Info'!$E$42</definedName>
    <definedName name="T_FluidWeight" localSheetId="13" hidden="0" function="0" vbProcedure="0">'[94]Job Technical Info'!$G$42</definedName>
    <definedName name="T_FOtherBarriers" localSheetId="13" hidden="0" function="0" vbProcedure="0">'[94]Physical Barrier Check Form'!$B$35</definedName>
    <definedName name="T_Grade" localSheetId="13" hidden="0" function="0" vbProcedure="0">'[94]Job Technical Info'!$H$23</definedName>
    <definedName name="T_ID" localSheetId="13" hidden="0" function="0" vbProcedure="0">'[94]Job Technical Info'!$F$23</definedName>
    <definedName name="T_JCID" localSheetId="13" hidden="0" function="0" vbProcedure="0">#ref!</definedName>
    <definedName name="T_JobLog" localSheetId="13" hidden="0" function="0" vbProcedure="0">#ref!</definedName>
    <definedName name="T_Length" localSheetId="13" hidden="0" function="0" vbProcedure="0">[94]Schematic!$M$31</definedName>
    <definedName name="T_Liner1" localSheetId="13" hidden="0" function="0" vbProcedure="0">'[94]Job Technical Info'!$B$29</definedName>
    <definedName name="T_Liner2" localSheetId="13" hidden="0" function="0" vbProcedure="0">'[94]Job Technical Info'!$B$30</definedName>
    <definedName name="T_MaxDev" localSheetId="13" hidden="0" function="0" vbProcedure="0">[94]Schematic!$M$10</definedName>
    <definedName name="T_No" localSheetId="13" hidden="0" function="0" vbProcedure="0">[94]Schematic!$C$31</definedName>
    <definedName name="T_Notes" localSheetId="13" hidden="0" function="0" vbProcedure="0">'[94]Physical Barrier Check Form'!$H$13</definedName>
    <definedName name="T_OD" localSheetId="13" hidden="0" function="0" vbProcedure="0">'[94]Job Technical Info'!$D$23</definedName>
    <definedName name="T_OperationsRemarks" localSheetId="13" hidden="0" function="0" vbProcedure="0">#ref!</definedName>
    <definedName name="T_Project" localSheetId="13" hidden="0" function="0" vbProcedure="0">#ref!</definedName>
    <definedName name="T_Rig" localSheetId="13" hidden="0" function="0" vbProcedure="0">#ref!</definedName>
    <definedName name="T_SDC" localSheetId="13" hidden="0" function="0" vbProcedure="0">#ref!</definedName>
    <definedName name="T_Thread" localSheetId="13" hidden="0" function="0" vbProcedure="0">'[94]Job Technical Info'!$J$23</definedName>
    <definedName name="T_Time" localSheetId="13" hidden="0" function="0" vbProcedure="0">#ref!</definedName>
    <definedName name="T_Tubing1" localSheetId="13" hidden="0" function="0" vbProcedure="0">'[94]Job Technical Info'!$B$35</definedName>
    <definedName name="T_Tubing2" localSheetId="13" hidden="0" function="0" vbProcedure="0">'[94]Job Technical Info'!$B$36</definedName>
    <definedName name="T_Tubing3" localSheetId="13" hidden="0" function="0" vbProcedure="0">'[94]Job Technical Info'!$B$37</definedName>
    <definedName name="T_Tubing4" localSheetId="13" hidden="0" function="0" vbProcedure="0">'[94]Job Technical Info'!$B$38</definedName>
    <definedName name="T_Tubulars" localSheetId="13" hidden="0" function="0" vbProcedure="0">'[94]Job Technical Info'!$B$23</definedName>
    <definedName name="T_Weight" localSheetId="13" hidden="0" function="0" vbProcedure="0">'[94]Job Technical Info'!$E$23</definedName>
    <definedName name="T_Well" localSheetId="13" hidden="0" function="0" vbProcedure="0">#ref!</definedName>
    <definedName name="T_Workstring1" localSheetId="13" hidden="0" function="0" vbProcedure="0">'[94]Job Technical Info'!$B$31</definedName>
    <definedName name="T_Workstring2" localSheetId="13" hidden="0" function="0" vbProcedure="0">'[94]Job Technical Info'!$B$32</definedName>
    <definedName name="T_Workstring3" localSheetId="13" hidden="0" function="0" vbProcedure="0">'[94]Job Technical Info'!$B$33</definedName>
    <definedName name="T_Workstring4" localSheetId="13" hidden="0" function="0" vbProcedure="0">'[94]Job Technical Info'!$B$34</definedName>
    <definedName name="T____training" localSheetId="13" hidden="0" function="0" vbProcedure="0">#ref!</definedName>
    <definedName name="U" localSheetId="13" hidden="0" function="0" vbProcedure="0">[176]Lists!$A$1:$A$3</definedName>
    <definedName name="UB" localSheetId="13" hidden="0" function="0" vbProcedure="0">#ref!</definedName>
    <definedName name="UBDpDw" localSheetId="13" hidden="0" function="0" vbProcedure="0">#ref!</definedName>
    <definedName name="UBPressure" localSheetId="13" hidden="0" function="0" vbProcedure="0">#ref!</definedName>
    <definedName name="uk" localSheetId="13" hidden="0" function="0" vbProcedure="0">#ref!</definedName>
    <definedName name="Underbalance" localSheetId="13" hidden="0" function="0" vbProcedure="0">'[108]Job Calculation Sheet'!$H$34</definedName>
    <definedName name="UnitDb" localSheetId="13" hidden="0" function="0" vbProcedure="0">#ref!</definedName>
    <definedName name="UnitLength" localSheetId="13" hidden="0" function="0" vbProcedure="0">#ref!</definedName>
    <definedName name="UnitPressure" localSheetId="13" hidden="0" function="0" vbProcedure="0">#ref!</definedName>
    <definedName name="UnitTemp" localSheetId="13" hidden="0" function="0" vbProcedure="0">#ref!</definedName>
    <definedName name="UnitTemperature" localSheetId="13" hidden="0" function="0" vbProcedure="0">#ref!</definedName>
    <definedName name="UnitWeigth" localSheetId="13" hidden="0" function="0" vbProcedure="0">#ref!</definedName>
    <definedName name="UNI_AA_VERSION" localSheetId="13" hidden="1" function="0" vbProcedure="0">"322.2.0"</definedName>
    <definedName name="Update" localSheetId="13" hidden="0" function="0" vbProcedure="0">#ref!</definedName>
    <definedName name="UpdateCrtl" localSheetId="13" hidden="0" function="0" vbProcedure="0">#ref!</definedName>
    <definedName name="UpdateFlag" localSheetId="13" hidden="0" function="0" vbProcedure="0">#ref!</definedName>
    <definedName name="Used" localSheetId="13" hidden="0" function="0" vbProcedure="0">[11]DATA!$AR$2:$AR$3</definedName>
    <definedName name="VALIDCURR" localSheetId="13" hidden="0" function="0" vbProcedure="0">[177]Currency!$A$1:$A$170</definedName>
    <definedName name="Vallist" localSheetId="13" hidden="0" function="0" vbProcedure="0">'[11]Casing Info'!$A$2:$A$34</definedName>
    <definedName name="vallist2" localSheetId="13" hidden="0" function="0" vbProcedure="0">#N/A</definedName>
    <definedName name="vbcode.draw_blanks" localSheetId="13" hidden="0" function="0" vbProcedure="0">'[38]final tally '!vbcode.draw_blanks</definedName>
    <definedName name="vbcode.draw_linerfirst" localSheetId="13" hidden="0" function="0" vbProcedure="0">'[38]final tally '!vbcode.draw_linerfirst</definedName>
    <definedName name="vbcode.draw_linersecond" localSheetId="13" hidden="0" function="0" vbProcedure="0">'[38]final tally '!vbcode.draw_linersecond</definedName>
    <definedName name="vbcode.draw_miscellaneous" localSheetId="13" hidden="0" function="0" vbProcedure="0">'[38]final tally '!vbcode.draw_miscellaneous</definedName>
    <definedName name="vbcode.draw_productionfirst" localSheetId="13" hidden="0" function="0" vbProcedure="0">'[38]final tally '!vbcode.draw_productionfirst</definedName>
    <definedName name="vbcode.draw_productionsecond" localSheetId="13" hidden="0" function="0" vbProcedure="0">'[38]final tally '!vbcode.draw_productionsecond</definedName>
    <definedName name="vbcode.draw_quantum" localSheetId="13" hidden="0" function="0" vbProcedure="0">'[38]final tally '!vbcode.draw_quantum</definedName>
    <definedName name="vbcode.draw_screens" localSheetId="13" hidden="0" function="0" vbProcedure="0">'[38]final tally '!vbcode.draw_screens</definedName>
    <definedName name="vbcode.draw_shearsubs" localSheetId="13" hidden="0" function="0" vbProcedure="0">'[38]final tally '!vbcode.draw_shearsubs</definedName>
    <definedName name="vbcode.draw_sump" localSheetId="13" hidden="0" function="0" vbProcedure="0">'[38]final tally '!vbcode.draw_sump</definedName>
    <definedName name="vbcode.text_five" localSheetId="13" hidden="0" function="0" vbProcedure="0">'[38]final tally '!vbcode.text_five</definedName>
    <definedName name="vbcode.text_fivehalf" localSheetId="13" hidden="0" function="0" vbProcedure="0">'[38]final tally '!vbcode.text_fivehalf</definedName>
    <definedName name="vbcode.text_ninefiveeightfourfirst" localSheetId="13" hidden="0" function="0" vbProcedure="0">'[38]final tally '!vbcode.text_ninefiveeightfourfirst</definedName>
    <definedName name="vbcode.text_ninefiveeightfoursecond" localSheetId="13" hidden="0" function="0" vbProcedure="0">'[38]final tally '!vbcode.text_ninefiveeightfoursecond</definedName>
    <definedName name="vbcode.text_ninefiveeightsixfirst" localSheetId="13" hidden="0" function="0" vbProcedure="0">'[38]final tally '!vbcode.text_ninefiveeightsixfirst</definedName>
    <definedName name="vbcode.text_ninefiveeightsixsecond" localSheetId="13" hidden="0" function="0" vbProcedure="0">'[38]final tally '!vbcode.text_ninefiveeightsixsecond</definedName>
    <definedName name="vbcode.text_sevenfiveeightfour" localSheetId="13" hidden="0" function="0" vbProcedure="0">'[38]final tally '!vbcode.text_sevenfiveeightfour</definedName>
    <definedName name="vbcode.text_sevenfiveeightthree" localSheetId="13" hidden="0" function="0" vbProcedure="0">'[38]final tally '!vbcode.text_sevenfiveeightthree</definedName>
    <definedName name="vbcode.text_sevenfour" localSheetId="13" hidden="0" function="0" vbProcedure="0">'[38]final tally '!vbcode.text_sevenfour</definedName>
    <definedName name="vbcode.text_seventhree" localSheetId="13" hidden="0" function="0" vbProcedure="0">'[38]final tally '!vbcode.text_seventhree</definedName>
    <definedName name="Verticaldepth" localSheetId="13" hidden="0" function="0" vbProcedure="0">'[129]Front Page Info'!$C$18</definedName>
    <definedName name="vfdvf" localSheetId="13" hidden="0" function="0" vbProcedure="0">[181]!Macro61</definedName>
    <definedName name="VirginSheet" localSheetId="13" hidden="0" function="0" vbProcedure="0">#ref!</definedName>
    <definedName name="volume1" localSheetId="13" hidden="0" function="0" vbProcedure="0">{#N/A,#N/A,FALSE,"Volume"}</definedName>
    <definedName name="VolUnit" localSheetId="13" hidden="0" function="0" vbProcedure="0">#ref!</definedName>
    <definedName name="VOL_MULE_SHOE" localSheetId="13" hidden="0" function="0" vbProcedure="0">'[113]#REF'!$F$178</definedName>
    <definedName name="VS" localSheetId="13" hidden="0" function="0" vbProcedure="0">'[95]MACRO125 '!$F$6</definedName>
    <definedName name="VSEC_Azim" localSheetId="13" hidden="0" function="0" vbProcedure="0">#ref!</definedName>
    <definedName name="VSEC_Column" localSheetId="13" hidden="0" function="0" vbProcedure="0">!#ref!</definedName>
    <definedName name="VSEC_Origin" localSheetId="13" hidden="0" function="0" vbProcedure="0">#ref!</definedName>
    <definedName name="VSEC_Unit" localSheetId="13" hidden="0" function="0" vbProcedure="0">#ref!</definedName>
    <definedName name="vvv" localSheetId="13" hidden="0" function="0" vbProcedure="0">[119]钻井日报表!$E$7</definedName>
    <definedName name="vvvdf" localSheetId="13" hidden="0" function="0" vbProcedure="0">[119]钻井日报表!$G$8</definedName>
    <definedName name="vvvvv" localSheetId="13" hidden="0" function="0" vbProcedure="0">[82]!Macro60</definedName>
    <definedName name="w" localSheetId="13" hidden="0" function="0" vbProcedure="0">'[306]run sheet'!#ref!</definedName>
    <definedName name="water" localSheetId="13" hidden="0" function="0" vbProcedure="0">#ref!</definedName>
    <definedName name="WBJobRev" localSheetId="13" hidden="0" function="0" vbProcedure="0">'[94]Job Technical Info'!$C$11</definedName>
    <definedName name="we" localSheetId="13" hidden="0" function="0" vbProcedure="0">#ref!</definedName>
    <definedName name="Weak_DP" localSheetId="13" hidden="0" function="0" vbProcedure="0">'[11]Weight Calculations'!$V$63</definedName>
    <definedName name="Weak_link" localSheetId="13" hidden="0" function="0" vbProcedure="0">'[11]Weight Calculations'!$R$61</definedName>
    <definedName name="wedx" localSheetId="13" hidden="0" function="0" vbProcedure="0">#ref!</definedName>
    <definedName name="Week" localSheetId="13" hidden="0" function="0" vbProcedure="0">[18]Criteria!$A$2:$A$51</definedName>
    <definedName name="weight" localSheetId="13" hidden="0" function="0" vbProcedure="0">'[7]Drop-Down Items'!$M$7:$M$10</definedName>
    <definedName name="WeightInAirBelowJar" localSheetId="13" hidden="0" function="0" vbProcedure="0">#ref!</definedName>
    <definedName name="WeightInAirBelowJarUnits" localSheetId="13" hidden="0" function="0" vbProcedure="0">#ref!</definedName>
    <definedName name="WeightUni" localSheetId="13" hidden="0" function="0" vbProcedure="0">#ref!</definedName>
    <definedName name="WeightUnit" localSheetId="13" hidden="0" function="0" vbProcedure="0">#ref!</definedName>
    <definedName name="WeigthInput" localSheetId="13" hidden="0" function="0" vbProcedure="0">#ref!</definedName>
    <definedName name="well" localSheetId="13" hidden="0" function="0" vbProcedure="0">#ref!</definedName>
    <definedName name="well1"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localSheetId="13" hidden="0" function="0" vbProcedure="0">#ref!</definedName>
    <definedName name="wellcategory1" localSheetId="13" hidden="0" function="0" vbProcedure="0">[183]Data!$K$1:$K$65536</definedName>
    <definedName name="WellDegree" localSheetId="13" hidden="0" function="0" vbProcedure="0">#ref!</definedName>
    <definedName name="WellFd" localSheetId="13" hidden="0" function="0" vbProcedure="0">#ref!</definedName>
    <definedName name="Welllocation1" localSheetId="13" hidden="0" function="0" vbProcedure="0">[183]Data!$M$1:$M$65536</definedName>
    <definedName name="WellMD" localSheetId="13" hidden="0" function="0" vbProcedure="0">'[94]Job Technical Info'!$H$41</definedName>
    <definedName name="WellName" localSheetId="13" hidden="0" function="0" vbProcedure="0">#ref!</definedName>
    <definedName name="WellNo" localSheetId="13" hidden="0" function="0" vbProcedure="0">'[30]Liner Job Info'!$E$6</definedName>
    <definedName name="Wells" localSheetId="13" hidden="0" function="0" vbProcedure="0">[307]welltest!#ref!</definedName>
    <definedName name="WellTVD" localSheetId="13" hidden="0" function="0" vbProcedure="0">'[94]Job Technical Info'!$J$41</definedName>
    <definedName name="welltype" localSheetId="13" hidden="0" function="0" vbProcedure="0">'[113]#REF'!$F$18</definedName>
    <definedName name="Welltype2" localSheetId="13" hidden="0" function="0" vbProcedure="0">[178]Data!$H$1:$H$65536</definedName>
    <definedName name="Well_Name" localSheetId="13" hidden="0" function="0" vbProcedure="0">'[108]TCP-BHA'!$C$7</definedName>
    <definedName name="Well_Number" localSheetId="13" hidden="0" function="0" vbProcedure="0">'[62]Liner Job Info'!$E$6</definedName>
    <definedName name="well_type" localSheetId="13" hidden="0" function="0" vbProcedure="0">'[7]Drop-Down Items'!$D$43:$D$48</definedName>
    <definedName name="Well_Type__Oil_Gas" localSheetId="13" hidden="0" function="0" vbProcedure="0">'[108]Pre-Job Info Sheet'!$B$31</definedName>
    <definedName name="WHP" localSheetId="13" hidden="0" function="0" vbProcedure="0">#ref!</definedName>
    <definedName name="wht" localSheetId="13" hidden="0" function="0" vbProcedure="0">'[96]well test sheet'!#ref!</definedName>
    <definedName name="WHTFlow" localSheetId="13" hidden="0" function="0" vbProcedure="0">#ref!</definedName>
    <definedName name="WHTStatic" localSheetId="13" hidden="0" function="0" vbProcedure="0">#ref!</definedName>
    <definedName name="Withinlimit" localSheetId="13" hidden="0" function="0" vbProcedure="0">#ref!</definedName>
    <definedName name="WkstrDrift1" localSheetId="13" hidden="0" function="0" vbProcedure="0">'[94]Job Technical Info'!$G$31</definedName>
    <definedName name="WkstrDrift2" localSheetId="13" hidden="0" function="0" vbProcedure="0">'[94]Job Technical Info'!$G$32</definedName>
    <definedName name="WkstrDrift3" localSheetId="13" hidden="0" function="0" vbProcedure="0">'[94]Job Technical Info'!$G$33</definedName>
    <definedName name="WkstrDrift4" localSheetId="13" hidden="0" function="0" vbProcedure="0">'[94]Job Technical Info'!$G$34</definedName>
    <definedName name="WkstrGrd1" localSheetId="13" hidden="0" function="0" vbProcedure="0">'[94]Job Technical Info'!$H$31</definedName>
    <definedName name="WkstrGrd2" localSheetId="13" hidden="0" function="0" vbProcedure="0">'[94]Job Technical Info'!$H$32</definedName>
    <definedName name="WkstrGrd3" localSheetId="13" hidden="0" function="0" vbProcedure="0">'[94]Job Technical Info'!$H$33</definedName>
    <definedName name="WkstrGrd4" localSheetId="13" hidden="0" function="0" vbProcedure="0">'[94]Job Technical Info'!$H$34</definedName>
    <definedName name="WkstrID1" localSheetId="13" hidden="0" function="0" vbProcedure="0">'[94]Job Technical Info'!$F$31</definedName>
    <definedName name="WkstrID2" localSheetId="13" hidden="0" function="0" vbProcedure="0">'[94]Job Technical Info'!$F$32</definedName>
    <definedName name="WkstrID3" localSheetId="13" hidden="0" function="0" vbProcedure="0">'[94]Job Technical Info'!$F$33</definedName>
    <definedName name="WkstrID4" localSheetId="13" hidden="0" function="0" vbProcedure="0">'[94]Job Technical Info'!$F$34</definedName>
    <definedName name="WkstrSz1" localSheetId="13" hidden="0" function="0" vbProcedure="0">'[94]Job Technical Info'!$D$31</definedName>
    <definedName name="WkstrSz2" localSheetId="13" hidden="0" function="0" vbProcedure="0">'[94]Job Technical Info'!$D$32</definedName>
    <definedName name="WkstrSz3" localSheetId="13" hidden="0" function="0" vbProcedure="0">'[94]Job Technical Info'!$D$33</definedName>
    <definedName name="WkstrSz4" localSheetId="13" hidden="0" function="0" vbProcedure="0">'[94]Job Technical Info'!$D$34</definedName>
    <definedName name="WkstrThd1" localSheetId="13" hidden="0" function="0" vbProcedure="0">'[94]Job Technical Info'!$J$31</definedName>
    <definedName name="WkstrThd2" localSheetId="13" hidden="0" function="0" vbProcedure="0">'[94]Job Technical Info'!$J$32</definedName>
    <definedName name="WkstrThd3" localSheetId="13" hidden="0" function="0" vbProcedure="0">'[94]Job Technical Info'!$J$33</definedName>
    <definedName name="WkstrThd4" localSheetId="13" hidden="0" function="0" vbProcedure="0">'[94]Job Technical Info'!$J$34</definedName>
    <definedName name="WkstrWt1" localSheetId="13" hidden="0" function="0" vbProcedure="0">'[94]Job Technical Info'!$E$31</definedName>
    <definedName name="WkstrWt2" localSheetId="13" hidden="0" function="0" vbProcedure="0">'[94]Job Technical Info'!$E$32</definedName>
    <definedName name="WkstrWt3" localSheetId="13" hidden="0" function="0" vbProcedure="0">'[94]Job Technical Info'!$E$33</definedName>
    <definedName name="WkstrWt4" localSheetId="13" hidden="0" function="0" vbProcedure="0">'[94]Job Technical Info'!$E$34</definedName>
    <definedName name="workstringid" localSheetId="13" hidden="0" function="0" vbProcedure="0">'[113]#REF'!$H$12</definedName>
    <definedName name="workstringidref" localSheetId="13" hidden="0" function="0" vbProcedure="0">[106]Data!$GC$3</definedName>
    <definedName name="workstringlength" localSheetId="13" hidden="0" function="0" vbProcedure="0">'[113]#REF'!$J$12</definedName>
    <definedName name="workstringod" localSheetId="13" hidden="0" function="0" vbProcedure="0">'[113]#REF'!$F$12</definedName>
    <definedName name="workstringtable" localSheetId="13" hidden="0" function="0" vbProcedure="0">[86]!CasingTable[#data]</definedName>
    <definedName name="workstringwt" localSheetId="13" hidden="0" function="0" vbProcedure="0">'[113]#REF'!$M$12</definedName>
    <definedName name="Workstring_Grade" localSheetId="13" hidden="0" function="0" vbProcedure="0">'[108]Pre-Job Info Sheet'!$D$27</definedName>
    <definedName name="Workstring_ID" localSheetId="13" hidden="0" function="0" vbProcedure="0">'[108]Job Calculation Sheet'!$F$16</definedName>
    <definedName name="Workstring_Length" localSheetId="13" hidden="0" function="0" vbProcedure="0">'[108]TCP-BHA'!$G$12</definedName>
    <definedName name="Workstring_Size" localSheetId="13" hidden="0" function="0" vbProcedure="0">'[108]Pre-Job Info Sheet'!$D$25</definedName>
    <definedName name="Workstring_Type" localSheetId="13" hidden="0" function="0" vbProcedure="0">'[108]Pre-Job Info Sheet'!$D$24</definedName>
    <definedName name="Workstring_Wt._Ft." localSheetId="13" hidden="0" function="0" vbProcedure="0">'[108]Pre-Job Info Sheet'!$D$26</definedName>
    <definedName name="WPsk" localSheetId="13" hidden="0" function="0" vbProcedure="0">#ref!</definedName>
    <definedName name="wrn.ASDF." localSheetId="13" hidden="1" function="0" vbProcedure="0">{#N/A,#N/A,FALSE,"SHEET 1";#N/A,#N/A,FALSE,"Sheet4"}</definedName>
    <definedName name="wrn.AT._.Reports." localSheetId="13" hidden="1" function="0" vbProcedure="0">{#N/A,#N/A,FALSE,"Drlg Param Run 1-1";#N/A,#N/A,FALSE,"DDR (3)";#N/A,#N/A,FALSE,"BHA AT (1)";#N/A,#N/A,FALSE,"Downlinkbha";#N/A,#N/A,FALSE,"Job Status Report"}</definedName>
    <definedName name="wrn.CD_MST." localSheetId="13" hidden="1" function="0" vbProcedure="0">{#N/A,#N/A,FALSE,"Sheet1"}</definedName>
    <definedName name="wrn.DST_TCP." localSheetId="13" hidden="1" function="0" vbProcedure="0">{#N/A,#N/A,FALSE,"INFO";#N/A,#N/A,FALSE,"PCT";#N/A,#N/A,FALSE,"DISCS";#N/A,#N/A,FALSE,"DISC TABLE";#N/A,#N/A,FALSE,"CUSHION";#N/A,#N/A,FALSE,"HYDRAULICS";#N/A,#N/A,FALSE,"MCCV";#N/A,#N/A,FALSE,"HDF";#N/A,#N/A,FALSE,"GUNS";#N/A,#N/A,FALSE,"GUNDATA"}</definedName>
    <definedName name="wrn.FULL._.DTL." localSheetId="13" hidden="1" function="0" vbProcedure="0">{"CF",#N/A,FALSE,"FULL COST";"MANUFACT",#N/A,FALSE,"FULL COST";"PAYNMENT",#N/A,FALSE,"FULL COST"}</definedName>
    <definedName name="wrn.FULLSUM." localSheetId="13" hidden="1" function="0" vbProcedure="0">{#N/A,#N/A,FALSE,"SUM-1";#N/A,#N/A,FALSE,"SUM-2";#N/A,#N/A,FALSE,"TENDER"}</definedName>
    <definedName name="wrn.ratios." localSheetId="13" hidden="1" function="0" vbProcedure="0">{"raatios",#N/A,FALSE,"A";"ratios",#N/A,FALSE,"B";"ratios",#N/A,FALSE,"C";"ratios",#N/A,FALSE,"D";"ratios",#N/A,FALSE,"F"}</definedName>
    <definedName name="wrn.SUMMARY." localSheetId="13" hidden="1" function="0" vbProcedure="0">{#N/A,#N/A,FALSE,"JUNK"}</definedName>
    <definedName name="wrn.VOLUME." localSheetId="13" hidden="0" function="0" vbProcedure="0">{#N/A,#N/A,FALSE,"Volume"}</definedName>
    <definedName name="wrn.volume.2" localSheetId="13" hidden="0" function="0" vbProcedure="0">{#N/A,#N/A,FALSE,"Volume"}</definedName>
    <definedName name="wrn.volume.2_1" localSheetId="13" hidden="0" function="0" vbProcedure="0">{#N/A,#N/A,FALSE,"Volume"}</definedName>
    <definedName name="wrn.volume.2_2" localSheetId="13" hidden="0" function="0" vbProcedure="0">{#N/A,#N/A,FALSE,"Volume"}</definedName>
    <definedName name="wrn.volume.2_3" localSheetId="13" hidden="0" function="0" vbProcedure="0">{#N/A,#N/A,FALSE,"Volume"}</definedName>
    <definedName name="wrn.volume.2_4" localSheetId="13" hidden="0" function="0" vbProcedure="0">{#N/A,#N/A,FALSE,"Volume"}</definedName>
    <definedName name="wrn.volume.2_5" localSheetId="13" hidden="0" function="0" vbProcedure="0">{#N/A,#N/A,FALSE,"Volume"}</definedName>
    <definedName name="wrn.volume.3" localSheetId="13" hidden="0" function="0" vbProcedure="0">{#N/A,#N/A,FALSE,"Volume"}</definedName>
    <definedName name="wrn.volume.3_1" localSheetId="13" hidden="0" function="0" vbProcedure="0">{#N/A,#N/A,FALSE,"Volume"}</definedName>
    <definedName name="wrn.volume.3_2" localSheetId="13" hidden="0" function="0" vbProcedure="0">{#N/A,#N/A,FALSE,"Volume"}</definedName>
    <definedName name="wrn.volume.3_3" localSheetId="13" hidden="0" function="0" vbProcedure="0">{#N/A,#N/A,FALSE,"Volume"}</definedName>
    <definedName name="wrn.volume.3_4" localSheetId="13" hidden="0" function="0" vbProcedure="0">{#N/A,#N/A,FALSE,"Volume"}</definedName>
    <definedName name="wrn.volume.3_5" localSheetId="13" hidden="0" function="0" vbProcedure="0">{#N/A,#N/A,FALSE,"Volume"}</definedName>
    <definedName name="wrn.VOLUME._1" localSheetId="13" hidden="0" function="0" vbProcedure="0">{#N/A,#N/A,FALSE,"Volume"}</definedName>
    <definedName name="wrn.VOLUME._2" localSheetId="13" hidden="0" function="0" vbProcedure="0">{#N/A,#N/A,FALSE,"Volume"}</definedName>
    <definedName name="wrn.VOLUME._3" localSheetId="13" hidden="0" function="0" vbProcedure="0">{#N/A,#N/A,FALSE,"Volume"}</definedName>
    <definedName name="wrn.VOLUME._4" localSheetId="13" hidden="0" function="0" vbProcedure="0">{#N/A,#N/A,FALSE,"Volume"}</definedName>
    <definedName name="wrn.VOLUME._5" localSheetId="13" hidden="0" function="0" vbProcedure="0">{#N/A,#N/A,FALSE,"Volume"}</definedName>
    <definedName name="WRN.VULUME" localSheetId="13" hidden="0" function="0" vbProcedure="0">{#N/A,#N/A,FALSE,"Volume"}</definedName>
    <definedName name="wrn.Wellplan." localSheetId="13"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3" hidden="1" function="0" vbProcedure="0">{#N/A,#N/A,FALSE,"SHEET 1";#N/A,#N/A,FALSE,"Sheet4"}</definedName>
    <definedName name="wscolumn" localSheetId="13" hidden="0" function="0" vbProcedure="0">[106]Data!$W$19</definedName>
    <definedName name="WS_ID" localSheetId="13" hidden="0" function="0" vbProcedure="0">'[113]#REF'!$H$12</definedName>
    <definedName name="WS_LENGTH" localSheetId="13" hidden="0" function="0" vbProcedure="0">'[113]#REF'!$J$12</definedName>
    <definedName name="WS_OD" localSheetId="13" hidden="0" function="0" vbProcedure="0">'[113]#REF'!$F$12</definedName>
    <definedName name="wt" localSheetId="13" hidden="0" function="0" vbProcedure="0">'[115]Max-Torq'!$P$64</definedName>
    <definedName name="wtcasing" localSheetId="13" hidden="0" function="0" vbProcedure="0">[106]Data!$J$19</definedName>
    <definedName name="wtr_cumm" localSheetId="13" hidden="0" function="0" vbProcedure="0">'[96]well test sheet'!#ref!</definedName>
    <definedName name="wtr_rate" localSheetId="13" hidden="0" function="0" vbProcedure="0">'[96]well test sheet'!#ref!</definedName>
    <definedName name="wtworkstring" localSheetId="13" hidden="0" function="0" vbProcedure="0">[106]Data!$W$21</definedName>
    <definedName name="Wt_Bouyant" localSheetId="13" hidden="0" function="0" vbProcedure="0">'[108]Packer Calculation Sheet'!$I$34</definedName>
    <definedName name="Wt_w_Cmt" localSheetId="13" hidden="0" function="0" vbProcedure="0">'[11]Liner Job Info'!$D$34</definedName>
    <definedName name="Wt_W_Pkr_Tst" localSheetId="13" hidden="0" function="0" vbProcedure="0">'[11]Liner Job Info'!$D$36</definedName>
    <definedName name="X" localSheetId="13" hidden="0" function="0" vbProcedure="0">#ref!</definedName>
    <definedName name="X5_TO" localSheetId="13" hidden="0" function="0" vbProcedure="0">[129]RSS!$C$197</definedName>
    <definedName name="XCEED_TO" localSheetId="13" hidden="0" function="0" vbProcedure="0">[129]RSS!$G$201</definedName>
    <definedName name="XO" localSheetId="13" hidden="0" function="0" vbProcedure="0">#ref!</definedName>
    <definedName name="xoportdepth" localSheetId="13" hidden="0" function="0" vbProcedure="0">'[113]#REF'!$F$21</definedName>
    <definedName name="XO_DEPTH" localSheetId="13" hidden="0" function="0" vbProcedure="0">'[113]#REF'!$F$21</definedName>
    <definedName name="XO_PORT_DEPTH" localSheetId="13" hidden="0" function="0" vbProcedure="0">'[113]#REF'!$F$21</definedName>
    <definedName name="XTRA_TO" localSheetId="13" hidden="0" function="0" vbProcedure="0">[129]RSS!$E$201</definedName>
    <definedName name="xxx" localSheetId="13" hidden="0" function="0" vbProcedure="0">[145]tonmiles!#ref!</definedName>
    <definedName name="xxxx" localSheetId="13" hidden="0" function="0" vbProcedure="0">[309]!Macro46</definedName>
    <definedName name="Y" localSheetId="13" hidden="0" function="0" vbProcedure="0">'[310]#ref'!#ref!</definedName>
    <definedName name="YESNO" localSheetId="13" hidden="0" function="0" vbProcedure="0">[129]RSS!$E$139:$E$141</definedName>
    <definedName name="YJEJD" localSheetId="13" hidden="0" function="0" vbProcedure="0">'[38]final tally '!yjejd</definedName>
    <definedName name="YN" localSheetId="13" hidden="0" function="0" vbProcedure="0">#ref!</definedName>
    <definedName name="yp" localSheetId="13" hidden="0" function="0" vbProcedure="0">'[115]Max-Torq'!$N$59</definedName>
    <definedName name="ypa" localSheetId="13" hidden="0" function="0" vbProcedure="0">'[115]Max-Torq'!$P$63</definedName>
    <definedName name="ypdtr" localSheetId="13" hidden="0" function="0" vbProcedure="0">'[115]Max-Torq'!$P$70</definedName>
    <definedName name="yyyyyyyyyyyy" localSheetId="13" hidden="1" function="0" vbProcedure="0">{"raatios",#N/A,FALSE,"A";"ratios",#N/A,FALSE,"B";"ratios",#N/A,FALSE,"C";"ratios",#N/A,FALSE,"D";"ratios",#N/A,FALSE,"F"}</definedName>
    <definedName name="Z" localSheetId="13" hidden="0" function="0" vbProcedure="0">#ref!</definedName>
    <definedName name="zone" localSheetId="13" hidden="0" function="0" vbProcedure="0">[5]WTR!$L$4</definedName>
    <definedName name="Zone1BHP" localSheetId="13" hidden="0" function="0" vbProcedure="0">'[94]Job Technical Info'!$G$49</definedName>
    <definedName name="Zone1BHT" localSheetId="13" hidden="0" function="0" vbProcedure="0">'[94]Job Technical Info'!$H$49</definedName>
    <definedName name="Zone1Bottom" localSheetId="13" hidden="0" function="0" vbProcedure="0">'[94]Job Technical Info'!$E$49</definedName>
    <definedName name="Zone1Dev" localSheetId="13" hidden="0" function="0" vbProcedure="0">'[94]Job Technical Info'!$F$49</definedName>
    <definedName name="Zone1FluidType" localSheetId="13" hidden="0" function="0" vbProcedure="0">'[94]Job Technical Info'!$I$49</definedName>
    <definedName name="Zone1FluidWt" localSheetId="13" hidden="0" function="0" vbProcedure="0">'[94]Job Technical Info'!$J$49</definedName>
    <definedName name="Zone1Name" localSheetId="13" hidden="0" function="0" vbProcedure="0">'[94]Job Technical Info'!$C$49</definedName>
    <definedName name="Zone1Top" localSheetId="13" hidden="0" function="0" vbProcedure="0">'[94]Job Technical Info'!$D$49</definedName>
    <definedName name="Zone2BHP" localSheetId="13" hidden="0" function="0" vbProcedure="0">'[94]Job Technical Info'!$G$50</definedName>
    <definedName name="Zone2BHT" localSheetId="13" hidden="0" function="0" vbProcedure="0">'[94]Job Technical Info'!$H$50</definedName>
    <definedName name="Zone2Bottom" localSheetId="13" hidden="0" function="0" vbProcedure="0">'[94]Job Technical Info'!$E$50</definedName>
    <definedName name="Zone2Dev" localSheetId="13" hidden="0" function="0" vbProcedure="0">'[94]Job Technical Info'!$F$50</definedName>
    <definedName name="Zone2FluidType" localSheetId="13" hidden="0" function="0" vbProcedure="0">'[94]Job Technical Info'!$I$50</definedName>
    <definedName name="Zone2FluidWt" localSheetId="13" hidden="0" function="0" vbProcedure="0">'[94]Job Technical Info'!$J$50</definedName>
    <definedName name="Zone2Name" localSheetId="13" hidden="0" function="0" vbProcedure="0">'[94]Job Technical Info'!$C$50</definedName>
    <definedName name="Zone2Top" localSheetId="13" hidden="0" function="0" vbProcedure="0">'[94]Job Technical Info'!$D$50</definedName>
    <definedName name="Zone3BHP" localSheetId="13" hidden="0" function="0" vbProcedure="0">'[94]Job Technical Info'!$G$51</definedName>
    <definedName name="Zone3BHT" localSheetId="13" hidden="0" function="0" vbProcedure="0">'[94]Job Technical Info'!$H$51</definedName>
    <definedName name="Zone3Bottom" localSheetId="13" hidden="0" function="0" vbProcedure="0">'[94]Job Technical Info'!$E$51</definedName>
    <definedName name="Zone3Dev" localSheetId="13" hidden="0" function="0" vbProcedure="0">'[94]Job Technical Info'!$F$51</definedName>
    <definedName name="Zone3FluidType" localSheetId="13" hidden="0" function="0" vbProcedure="0">'[94]Job Technical Info'!$I$51</definedName>
    <definedName name="Zone3FluidWt" localSheetId="13" hidden="0" function="0" vbProcedure="0">'[94]Job Technical Info'!$J$51</definedName>
    <definedName name="Zone3Name" localSheetId="13" hidden="0" function="0" vbProcedure="0">'[94]Job Technical Info'!$C$51</definedName>
    <definedName name="Zone3Top" localSheetId="13" hidden="0" function="0" vbProcedure="0">'[94]Job Technical Info'!$D$51</definedName>
    <definedName name="Zone4BHP" localSheetId="13" hidden="0" function="0" vbProcedure="0">'[94]Job Technical Info'!$G$52</definedName>
    <definedName name="Zone4BHT" localSheetId="13" hidden="0" function="0" vbProcedure="0">'[94]Job Technical Info'!$H$52</definedName>
    <definedName name="Zone4Bottom" localSheetId="13" hidden="0" function="0" vbProcedure="0">'[94]Job Technical Info'!$E$52</definedName>
    <definedName name="Zone4Dev" localSheetId="13" hidden="0" function="0" vbProcedure="0">'[94]Job Technical Info'!$F$52</definedName>
    <definedName name="Zone4FluidType" localSheetId="13" hidden="0" function="0" vbProcedure="0">'[94]Job Technical Info'!$I$52</definedName>
    <definedName name="Zone4FluidWt" localSheetId="13" hidden="0" function="0" vbProcedure="0">'[94]Job Technical Info'!$J$52</definedName>
    <definedName name="Zone4Name" localSheetId="13" hidden="0" function="0" vbProcedure="0">'[94]Job Technical Info'!$C$52</definedName>
    <definedName name="Zone4Top" localSheetId="13" hidden="0" function="0" vbProcedure="0">'[94]Job Technical Info'!$D$52</definedName>
    <definedName name="Zone5BHP" localSheetId="13" hidden="0" function="0" vbProcedure="0">'[94]Job Technical Info'!$G$53</definedName>
    <definedName name="Zone5BHT" localSheetId="13" hidden="0" function="0" vbProcedure="0">'[94]Job Technical Info'!$H$53</definedName>
    <definedName name="Zone5Bottom" localSheetId="13" hidden="0" function="0" vbProcedure="0">'[94]Job Technical Info'!$E$53</definedName>
    <definedName name="Zone5Dev" localSheetId="13" hidden="0" function="0" vbProcedure="0">'[94]Job Technical Info'!$F$53</definedName>
    <definedName name="Zone5FluidType" localSheetId="13" hidden="0" function="0" vbProcedure="0">'[94]Job Technical Info'!$I$53</definedName>
    <definedName name="Zone5FluidWt" localSheetId="13" hidden="0" function="0" vbProcedure="0">'[94]Job Technical Info'!$J$53</definedName>
    <definedName name="Zone5Name" localSheetId="13" hidden="0" function="0" vbProcedure="0">'[94]Job Technical Info'!$C$53</definedName>
    <definedName name="Zone5Top" localSheetId="13" hidden="0" function="0" vbProcedure="0">'[94]Job Technical Info'!$D$53</definedName>
    <definedName name="ZXP_Seal_Area" localSheetId="13" hidden="0" function="0" vbProcedure="0">[11]Test!$Z$38</definedName>
    <definedName name="zzzzzz" localSheetId="13" hidden="0" function="0" vbProcedure="0">[309]!'[module4 formula].macro1'</definedName>
    <definedName name="Z_Fact_DH" localSheetId="13" hidden="0" function="0" vbProcedure="0">'[108]Tester Valve Calcs'!$F$23</definedName>
    <definedName name="Z_Fact_Surf" localSheetId="13" hidden="0" function="0" vbProcedure="0">'[108]Tester Valve Calcs'!$F$18</definedName>
    <definedName name="_A" localSheetId="13" hidden="0" function="0" vbProcedure="0">'[2]run sheet'!#ref!</definedName>
    <definedName name="_B" localSheetId="13" hidden="0" function="0" vbProcedure="0">#ref!</definedName>
    <definedName name="_C" localSheetId="13" hidden="0" function="0" vbProcedure="0">'[2]run sheet'!#ref!</definedName>
    <definedName name="_D" localSheetId="13" hidden="0" function="0" vbProcedure="0">'[2]run sheet'!#ref!</definedName>
    <definedName name="_E" localSheetId="13" hidden="0" function="0" vbProcedure="0">'[2]run sheet'!#ref!</definedName>
    <definedName name="_f" localSheetId="13" hidden="0" function="0" vbProcedure="0">{#N/A,#N/A,FALSE,"Volume"}</definedName>
    <definedName name="_g" localSheetId="13" hidden="0" function="0" vbProcedure="0">{#N/A,#N/A,FALSE,"Volume"}</definedName>
    <definedName name="_h" localSheetId="13" hidden="0" function="0" vbProcedure="0">{#N/A,#N/A,FALSE,"Volume"}</definedName>
    <definedName name="_I" localSheetId="13" hidden="0" function="0" vbProcedure="0">'[2]run sheet'!#ref!</definedName>
    <definedName name="_L" localSheetId="13" hidden="0" function="0" vbProcedure="0">'[2]run sheet'!#ref!</definedName>
    <definedName name="_N" localSheetId="13" hidden="0" function="0" vbProcedure="0">'[2]run sheet'!#ref!</definedName>
    <definedName name="_P" localSheetId="13" hidden="0" function="0" vbProcedure="0">{#N/A,#N/A,FALSE,"Volume"}</definedName>
    <definedName name="_q" localSheetId="13" hidden="0" function="0" vbProcedure="0">'[4]run sheet'!#ref!</definedName>
    <definedName name="_s" localSheetId="13" hidden="0" function="0" vbProcedure="0">#ref!</definedName>
    <definedName name="_T" localSheetId="13" hidden="0" function="0" vbProcedure="0">{#N/A,#N/A,FALSE,"Volume"}</definedName>
    <definedName name="_V" localSheetId="13" hidden="0" function="0" vbProcedure="0">#ref!</definedName>
    <definedName name="_X" localSheetId="13" hidden="0" function="0" vbProcedure="0">'[2]run sheet'!#ref!</definedName>
    <definedName name="_Z" localSheetId="13" hidden="0" function="0" vbProcedure="0">'[2]run sheet'!#ref!</definedName>
    <definedName name="_" localSheetId="13" hidden="0" function="0" vbProcedure="0">[6]readings!#ref!</definedName>
    <definedName name="_1" localSheetId="13" hidden="0" function="0" vbProcedure="0">{#N/A,#N/A,FALSE,"Volume"}</definedName>
    <definedName name="_11Druckbereich" localSheetId="13" hidden="0" function="0" vbProcedure="0">[36]run_s!#ref!</definedName>
    <definedName name="_1234GRAPH_G" localSheetId="13" hidden="1" function="0" vbProcedure="0">[179]Run!$F$16:$F$514</definedName>
    <definedName name="_1Module2__2__.gaugeconok2" localSheetId="13" hidden="0" function="0" vbProcedure="0">DATA!_1Module2__2__.gaugeconok2</definedName>
    <definedName name="_1_" localSheetId="13" hidden="0" function="0" vbProcedure="0">#ref!</definedName>
    <definedName name="_1__123Graph_ACHART_1" localSheetId="13" hidden="1" function="0" vbProcedure="0">[21]mkn06!#ref!</definedName>
    <definedName name="_2" localSheetId="13" hidden="0" function="0" vbProcedure="0">{#N/A,#N/A,FALSE,"Volume"}</definedName>
    <definedName name="_2Module2__2__.gaugeok2" localSheetId="13" hidden="0" function="0" vbProcedure="0">DATA!_2Module2__2__.gaugeok2</definedName>
    <definedName name="_3Module2__2__.gaugeselect2" localSheetId="13" hidden="0" function="0" vbProcedure="0">DATA!_3Module2__2__.gaugeselect2</definedName>
    <definedName name="_3Module4_Formula_.Macro1" localSheetId="13" hidden="0" function="0" vbProcedure="0">[38]!_3Module4_Formula_.Macro1</definedName>
    <definedName name="_3__123Graph_ACHART_1" localSheetId="13" hidden="1" function="0" vbProcedure="0">[37]mkn06!#ref!</definedName>
    <definedName name="_3__123Graph_ACHART_2" localSheetId="13" hidden="1" function="0" vbProcedure="0">'[22]case sjac 19'!#ref!</definedName>
    <definedName name="_3__123Graph_XCHART_1" localSheetId="13" hidden="1" function="0" vbProcedure="0">[21]mkn06!#ref!</definedName>
    <definedName name="_4Module2__2__.serialselect3" localSheetId="13" hidden="0" function="0" vbProcedure="0">DATA!_4Module2__2__.serialselect3</definedName>
    <definedName name="_4__123Graph_ACHART_1" localSheetId="13" hidden="1" function="0" vbProcedure="0">[34]mkn06!#ref!</definedName>
    <definedName name="_4__123Graph_ACHART_2" localSheetId="13" hidden="1" function="0" vbProcedure="0">'[22]case sjac 19'!#ref!</definedName>
    <definedName name="_4__123Graph_BCHART_1" localSheetId="13" hidden="1" function="0" vbProcedure="0">[24]mkn06!#ref!</definedName>
    <definedName name="_5" localSheetId="13" hidden="0" function="0" vbProcedure="0">{#N/A,#N/A,FALSE,"Volume"}</definedName>
    <definedName name="_5Module2__2__.serialselect4" localSheetId="13" hidden="0" function="0" vbProcedure="0">DATA!_5Module2__2__.serialselect4</definedName>
    <definedName name="_6__123Graph_ACHART_2" localSheetId="13" hidden="1" function="0" vbProcedure="0">'[22]case sjac 19'!#ref!</definedName>
    <definedName name="_6__123Graph_BCHART_1" localSheetId="13" hidden="1" function="0" vbProcedure="0">[37]mkn06!#ref!</definedName>
    <definedName name="_6__123Graph_BCHART_2" localSheetId="13" hidden="1" function="0" vbProcedure="0">'[22]case sjac 19'!#ref!</definedName>
    <definedName name="_a" localSheetId="13" hidden="0" function="0" vbProcedure="0">{#N/A,#N/A,FALSE,"Volume"}</definedName>
    <definedName name="_a1" localSheetId="13" hidden="0" function="0" vbProcedure="0">{#N/A,#N/A,FALSE,"Volume"}</definedName>
    <definedName name="_a2" localSheetId="13" hidden="0" function="0" vbProcedure="0">{#N/A,#N/A,FALSE,"Volume"}</definedName>
    <definedName name="_a3" localSheetId="13" hidden="0" function="0" vbProcedure="0">{#N/A,#N/A,FALSE,"Volume"}</definedName>
    <definedName name="_A4" localSheetId="13" hidden="1" function="0" vbProcedure="0">[179]Run!$B$18:$B$512</definedName>
    <definedName name="_aa" localSheetId="13" hidden="0" function="0" vbProcedure="0">{#N/A,#N/A,FALSE,"Volume"}</definedName>
    <definedName name="_aaa" localSheetId="13" hidden="0" function="0" vbProcedure="0">{#N/A,#N/A,FALSE,"Volume"}</definedName>
    <definedName name="_aaaaa" localSheetId="13" hidden="0" function="0" vbProcedure="0">{#N/A,#N/A,FALSE,"Volume"}</definedName>
    <definedName name="_aaaaaa" localSheetId="13" hidden="0" function="0" vbProcedure="0">{#N/A,#N/A,FALSE,"Volume"}</definedName>
    <definedName name="_ab" localSheetId="13" hidden="0" function="0" vbProcedure="0">{#N/A,#N/A,FALSE,"Volume"}</definedName>
    <definedName name="_ac" localSheetId="13" hidden="0" function="0" vbProcedure="0">{#N/A,#N/A,FALSE,"Volume"}</definedName>
    <definedName name="_acasdf" localSheetId="13" hidden="0" function="0" vbProcedure="0">{#N/A,#N/A,FALSE,"Volume"}</definedName>
    <definedName name="_acc" localSheetId="13" hidden="0" function="0" vbProcedure="0">{#N/A,#N/A,FALSE,"Volume"}</definedName>
    <definedName name="_ap1" localSheetId="13" hidden="0" function="0" vbProcedure="0">{#N/A,#N/A,FALSE,"Volume"}</definedName>
    <definedName name="_ap2" localSheetId="13" hidden="0" function="0" vbProcedure="0">{#N/A,#N/A,FALSE,"Volume"}</definedName>
    <definedName name="_ap3" localSheetId="13" hidden="0" function="0" vbProcedure="0">{#N/A,#N/A,FALSE,"Volume"}</definedName>
    <definedName name="_app1" localSheetId="13" hidden="0" function="0" vbProcedure="0">{#N/A,#N/A,FALSE,"Volume"}</definedName>
    <definedName name="_app2" localSheetId="13" hidden="0" function="0" vbProcedure="0">{#N/A,#N/A,FALSE,"Volume"}</definedName>
    <definedName name="_app3" localSheetId="13" hidden="0" function="0" vbProcedure="0">{#N/A,#N/A,FALSE,"Volume"}</definedName>
    <definedName name="_app4" localSheetId="13" hidden="0" function="0" vbProcedure="0">{#N/A,#N/A,FALSE,"Volume"}</definedName>
    <definedName name="_app5" localSheetId="13" hidden="0" function="0" vbProcedure="0">{#N/A,#N/A,FALSE,"Volume"}</definedName>
    <definedName name="_asdfas" localSheetId="13" hidden="0" function="0" vbProcedure="0">{#N/A,#N/A,FALSE,"Volume"}</definedName>
    <definedName name="_b" localSheetId="13" hidden="0" function="0" vbProcedure="0">{#N/A,#N/A,FALSE,"Volume"}</definedName>
    <definedName name="_b1" localSheetId="13" hidden="0" function="0" vbProcedure="0">{#N/A,#N/A,FALSE,"Volume"}</definedName>
    <definedName name="_b2" localSheetId="13" hidden="0" function="0" vbProcedure="0">{#N/A,#N/A,FALSE,"Volume"}</definedName>
    <definedName name="_b3" localSheetId="13" hidden="0" function="0" vbProcedure="0">{#N/A,#N/A,FALSE,"Volume"}</definedName>
    <definedName name="_b4" localSheetId="13" hidden="0" function="0" vbProcedure="0">{#N/A,#N/A,FALSE,"Volume"}</definedName>
    <definedName name="_b5" localSheetId="13" hidden="0" function="0" vbProcedure="0">{#N/A,#N/A,FALSE,"Volume"}</definedName>
    <definedName name="_bb2789" localSheetId="13" hidden="0" function="0" vbProcedure="0">[10]!Calculate_Pipe</definedName>
    <definedName name="_bgn1" localSheetId="13" hidden="1" function="0" vbProcedure="0">{#N/A,#N/A,FALSE,"Sheet1"}</definedName>
    <definedName name="_c" localSheetId="13" hidden="0" function="0" vbProcedure="0">{#N/A,#N/A,FALSE,"Volume"}</definedName>
    <definedName name="_c1" localSheetId="13" hidden="0" function="0" vbProcedure="0">{#N/A,#N/A,FALSE,"Volume"}</definedName>
    <definedName name="_c2" localSheetId="13" hidden="0" function="0" vbProcedure="0">{#N/A,#N/A,FALSE,"Volume"}</definedName>
    <definedName name="_c3" localSheetId="13" hidden="0" function="0" vbProcedure="0">{#N/A,#N/A,FALSE,"Volume"}</definedName>
    <definedName name="_c4" localSheetId="13" hidden="0" function="0" vbProcedure="0">{#N/A,#N/A,FALSE,"Volume"}</definedName>
    <definedName name="_cd1" localSheetId="13" hidden="1" function="0" vbProcedure="0">{#N/A,#N/A,FALSE,"Sheet1"}</definedName>
    <definedName name="_cf1" localSheetId="13" hidden="1" function="0" vbProcedure="0">{#N/A,#N/A,FALSE,"Sheet1"}</definedName>
    <definedName name="_Col10" localSheetId="13" hidden="0" function="0" vbProcedure="0">#ref!</definedName>
    <definedName name="_Col11" localSheetId="13" hidden="0" function="0" vbProcedure="0">#ref!</definedName>
    <definedName name="_Col12" localSheetId="13" hidden="0" function="0" vbProcedure="0">#ref!</definedName>
    <definedName name="_Col13" localSheetId="13" hidden="0" function="0" vbProcedure="0">#ref!</definedName>
    <definedName name="_Col14" localSheetId="13" hidden="0" function="0" vbProcedure="0">#ref!</definedName>
    <definedName name="_Col15" localSheetId="13" hidden="0" function="0" vbProcedure="0">#ref!</definedName>
    <definedName name="_Col16" localSheetId="13" hidden="0" function="0" vbProcedure="0">#ref!</definedName>
    <definedName name="_Col17" localSheetId="13" hidden="0" function="0" vbProcedure="0">#ref!</definedName>
    <definedName name="_Col18" localSheetId="13" hidden="0" function="0" vbProcedure="0">#ref!</definedName>
    <definedName name="_Col19" localSheetId="13" hidden="0" function="0" vbProcedure="0">#ref!</definedName>
    <definedName name="_Col2" localSheetId="13" hidden="0" function="0" vbProcedure="0">#ref!</definedName>
    <definedName name="_Col20" localSheetId="13" hidden="0" function="0" vbProcedure="0">#ref!</definedName>
    <definedName name="_Col21" localSheetId="13" hidden="0" function="0" vbProcedure="0">#ref!</definedName>
    <definedName name="_Col22" localSheetId="13" hidden="0" function="0" vbProcedure="0">#ref!</definedName>
    <definedName name="_Col23" localSheetId="13" hidden="0" function="0" vbProcedure="0">#ref!</definedName>
    <definedName name="_Col24" localSheetId="13" hidden="0" function="0" vbProcedure="0">#ref!</definedName>
    <definedName name="_Col25" localSheetId="13" hidden="0" function="0" vbProcedure="0">#ref!</definedName>
    <definedName name="_Col26" localSheetId="13" hidden="0" function="0" vbProcedure="0">#ref!</definedName>
    <definedName name="_Col27" localSheetId="13" hidden="0" function="0" vbProcedure="0">#ref!</definedName>
    <definedName name="_Col28" localSheetId="13" hidden="0" function="0" vbProcedure="0">#ref!</definedName>
    <definedName name="_Col29" localSheetId="13" hidden="0" function="0" vbProcedure="0">#ref!</definedName>
    <definedName name="_Col3" localSheetId="13" hidden="0" function="0" vbProcedure="0">#ref!</definedName>
    <definedName name="_Col30" localSheetId="13" hidden="0" function="0" vbProcedure="0">#ref!</definedName>
    <definedName name="_Col4" localSheetId="13" hidden="0" function="0" vbProcedure="0">#ref!</definedName>
    <definedName name="_Col5" localSheetId="13" hidden="0" function="0" vbProcedure="0">#ref!</definedName>
    <definedName name="_Col6" localSheetId="13" hidden="0" function="0" vbProcedure="0">#ref!</definedName>
    <definedName name="_Col7" localSheetId="13" hidden="0" function="0" vbProcedure="0">#ref!</definedName>
    <definedName name="_Col8" localSheetId="13" hidden="0" function="0" vbProcedure="0">#ref!</definedName>
    <definedName name="_Col9" localSheetId="13" hidden="0" function="0" vbProcedure="0">#ref!</definedName>
    <definedName name="_Csg1" localSheetId="13" hidden="0" function="0" vbProcedure="0">#ref!</definedName>
    <definedName name="_Csg2" localSheetId="13" hidden="0" function="0" vbProcedure="0">#ref!</definedName>
    <definedName name="_Csg3" localSheetId="13" hidden="0" function="0" vbProcedure="0">#ref!</definedName>
    <definedName name="_d" localSheetId="13" hidden="0" function="0" vbProcedure="0">{#N/A,#N/A,FALSE,"Volume"}</definedName>
    <definedName name="_d1" localSheetId="13" hidden="0" function="0" vbProcedure="0">{#N/A,#N/A,FALSE,"Volume"}</definedName>
    <definedName name="_d2_" localSheetId="13" hidden="0" function="0" vbProcedure="0">{#N/A,#N/A,FALSE,"Volume"}</definedName>
    <definedName name="_d3" localSheetId="13" hidden="0" function="0" vbProcedure="0">{#N/A,#N/A,FALSE,"Volume"}</definedName>
    <definedName name="_d4" localSheetId="13" hidden="0" function="0" vbProcedure="0">{#N/A,#N/A,FALSE,"Volume"}</definedName>
    <definedName name="_DAT16" localSheetId="13" hidden="0" function="0" vbProcedure="0">'[40]sap serv 06-02'!#ref!</definedName>
    <definedName name="_DAT17" localSheetId="13" hidden="0" function="0" vbProcedure="0">'[40]sap serv 06-02'!#ref!</definedName>
    <definedName name="_DAT19" localSheetId="13" hidden="0" function="0" vbProcedure="0">'[40]sap serv 06-02'!#ref!</definedName>
    <definedName name="_DAT20" localSheetId="13" hidden="0" function="0" vbProcedure="0">'[40]sap serv 06-02'!#ref!</definedName>
    <definedName name="_DAT25" localSheetId="13" hidden="0" function="0" vbProcedure="0">'[40]sap serv 06-02'!#ref!</definedName>
    <definedName name="_DAT26" localSheetId="13" hidden="0" function="0" vbProcedure="0">'[40]sap serv 06-02'!#ref!</definedName>
    <definedName name="_DAT27" localSheetId="13" hidden="0" function="0" vbProcedure="0">'[40]sap serv 06-02'!#ref!</definedName>
    <definedName name="_DAT28" localSheetId="13" hidden="0" function="0" vbProcedure="0">'[40]sap serv 06-02'!#ref!</definedName>
    <definedName name="_DAT29" localSheetId="13" hidden="0" function="0" vbProcedure="0">'[40]sap serv 06-02'!#ref!</definedName>
    <definedName name="_DAT31" localSheetId="13" hidden="0" function="0" vbProcedure="0">'[40]sap serv 06-02'!#ref!</definedName>
    <definedName name="_DAT32" localSheetId="13" hidden="0" function="0" vbProcedure="0">'[40]sap serv 06-02'!#ref!</definedName>
    <definedName name="_DAT34" localSheetId="13" hidden="0" function="0" vbProcedure="0">'[40]sap serv 06-02'!#ref!</definedName>
    <definedName name="_DAT35" localSheetId="13" hidden="0" function="0" vbProcedure="0">'[40]sap serv 06-02'!#ref!</definedName>
    <definedName name="_DAT36" localSheetId="13" hidden="0" function="0" vbProcedure="0">'[40]sap serv 06-02'!#ref!</definedName>
    <definedName name="_DAT40" localSheetId="13" hidden="0" function="0" vbProcedure="0">'[40]sap serv 06-02'!#ref!</definedName>
    <definedName name="_DAT41" localSheetId="13" hidden="0" function="0" vbProcedure="0">'[40]sap serv 06-02'!#ref!</definedName>
    <definedName name="_DAT42" localSheetId="13" hidden="0" function="0" vbProcedure="0">'[40]sap serv 06-02'!#ref!</definedName>
    <definedName name="_DAT44" localSheetId="13" hidden="0" function="0" vbProcedure="0">'[40]sap serv 06-02'!#ref!</definedName>
    <definedName name="_DAT45" localSheetId="13" hidden="0" function="0" vbProcedure="0">'[40]sap serv 06-02'!#ref!</definedName>
    <definedName name="_DAT46" localSheetId="13" hidden="0" function="0" vbProcedure="0">'[40]sap serv 06-02'!#ref!</definedName>
    <definedName name="_DAT47" localSheetId="13" hidden="0" function="0" vbProcedure="0">'[40]sap serv 06-02'!#ref!</definedName>
    <definedName name="_DAT48" localSheetId="13" hidden="0" function="0" vbProcedure="0">'[40]sap serv 06-02'!#ref!</definedName>
    <definedName name="_DAT49" localSheetId="13" hidden="0" function="0" vbProcedure="0">'[40]sap serv 06-02'!#ref!</definedName>
    <definedName name="_DAT50" localSheetId="13" hidden="0" function="0" vbProcedure="0">'[40]sap serv 06-02'!#ref!</definedName>
    <definedName name="_DAT52" localSheetId="13" hidden="0" function="0" vbProcedure="0">'[40]sap serv 06-02'!#ref!</definedName>
    <definedName name="_DAT53" localSheetId="13" hidden="0" function="0" vbProcedure="0">'[40]sap serv 06-02'!#ref!</definedName>
    <definedName name="_DAT54" localSheetId="13" hidden="0" function="0" vbProcedure="0">'[40]sap serv 06-02'!#ref!</definedName>
    <definedName name="_DAT56" localSheetId="13" hidden="0" function="0" vbProcedure="0">'[40]sap serv 06-02'!#ref!</definedName>
    <definedName name="_DAT57" localSheetId="13" hidden="0" function="0" vbProcedure="0">'[40]sap serv 06-02'!#ref!</definedName>
    <definedName name="_DAT62" localSheetId="13" hidden="0" function="0" vbProcedure="0">'[40]sap serv 06-02'!#ref!</definedName>
    <definedName name="_DAT63" localSheetId="13" hidden="0" function="0" vbProcedure="0">'[40]sap serv 06-02'!#ref!</definedName>
    <definedName name="_e" localSheetId="13" hidden="0" function="0" vbProcedure="0">{#N/A,#N/A,FALSE,"Volume"}</definedName>
    <definedName name="_e1" localSheetId="13" hidden="0" function="0" vbProcedure="0">{#N/A,#N/A,FALSE,"Volume"}</definedName>
    <definedName name="_e2" localSheetId="13" hidden="0" function="0" vbProcedure="0">{#N/A,#N/A,FALSE,"Volume"}</definedName>
    <definedName name="_e3" localSheetId="13" hidden="0" function="0" vbProcedure="0">{#N/A,#N/A,FALSE,"Volume"}</definedName>
    <definedName name="_e4" localSheetId="13" hidden="0" function="0" vbProcedure="0">{#N/A,#N/A,FALSE,"Volume"}</definedName>
    <definedName name="_f1" localSheetId="13" hidden="0" function="0" vbProcedure="0">{#N/A,#N/A,FALSE,"Volume"}</definedName>
    <definedName name="_f2" localSheetId="13" hidden="0" function="0" vbProcedure="0">{#N/A,#N/A,FALSE,"Volume"}</definedName>
    <definedName name="_f3" localSheetId="13" hidden="0" function="0" vbProcedure="0">{#N/A,#N/A,FALSE,"Volume"}</definedName>
    <definedName name="_f4" localSheetId="13" hidden="0" function="0" vbProcedure="0">{#N/A,#N/A,FALSE,"Volume"}</definedName>
    <definedName name="_f5" localSheetId="13" hidden="0" function="0" vbProcedure="0">{#N/A,#N/A,FALSE,"Volume"}</definedName>
    <definedName name="_f6" localSheetId="13" hidden="0" function="0" vbProcedure="0">{#N/A,#N/A,FALSE,"Volume"}</definedName>
    <definedName name="_f7" localSheetId="13" hidden="0" function="0" vbProcedure="0">{#N/A,#N/A,FALSE,"Volume"}</definedName>
    <definedName name="_Fill" localSheetId="13" hidden="1" function="0" vbProcedure="0">#ref!</definedName>
    <definedName name="_gmh1" localSheetId="13" hidden="1" function="0" vbProcedure="0">{#N/A,#N/A,FALSE,"Sheet1"}</definedName>
    <definedName name="_i" localSheetId="13" hidden="0" function="0" vbProcedure="0">{#N/A,#N/A,FALSE,"Volume"}</definedName>
    <definedName name="_JE" localSheetId="13" hidden="0" function="0" vbProcedure="0">#ref!</definedName>
    <definedName name="_Key1" localSheetId="13" hidden="1" function="0" vbProcedure="0">#ref!</definedName>
    <definedName name="_lyc7" localSheetId="13" hidden="0" function="0" vbProcedure="0">[119]钻井日报表!$G$5</definedName>
    <definedName name="_Mes1" localSheetId="13" hidden="0" function="0" vbProcedure="0">#ref!</definedName>
    <definedName name="_Mes2" localSheetId="13" hidden="0" function="0" vbProcedure="0">#ref!</definedName>
    <definedName name="_Mes3" localSheetId="13" hidden="0" function="0" vbProcedure="0">#ref!</definedName>
    <definedName name="_Mes4" localSheetId="13" hidden="0" function="0" vbProcedure="0">#ref!</definedName>
    <definedName name="_num15" localSheetId="13" hidden="0" function="0" vbProcedure="0">'[33]data '!#ref!</definedName>
    <definedName name="_Order2" localSheetId="13" hidden="1" function="0" vbProcedure="0">255</definedName>
    <definedName name="_P1" localSheetId="13" hidden="0" function="0" vbProcedure="0">{#N/A,#N/A,FALSE,"Volume"}</definedName>
    <definedName name="_P2" localSheetId="13" hidden="0" function="0" vbProcedure="0">{#N/A,#N/A,FALSE,"Volume"}</definedName>
    <definedName name="_P3" localSheetId="13" hidden="0" function="0" vbProcedure="0">{#N/A,#N/A,FALSE,"Volume"}</definedName>
    <definedName name="_P4" localSheetId="13" hidden="0" function="0" vbProcedure="0">{#N/A,#N/A,FALSE,"Volume"}</definedName>
    <definedName name="_pap1" localSheetId="13" hidden="0" function="0" vbProcedure="0">{#N/A,#N/A,FALSE,"Volume"}</definedName>
    <definedName name="_pap2" localSheetId="13" hidden="0" function="0" vbProcedure="0">{#N/A,#N/A,FALSE,"Volume"}</definedName>
    <definedName name="_pap3" localSheetId="13" hidden="0" function="0" vbProcedure="0">{#N/A,#N/A,FALSE,"Volume"}</definedName>
    <definedName name="_pap4" localSheetId="13" hidden="0" function="0" vbProcedure="0">{#N/A,#N/A,FALSE,"Volume"}</definedName>
    <definedName name="_pap5" localSheetId="13" hidden="0" function="0" vbProcedure="0">{#N/A,#N/A,FALSE,"Volume"}</definedName>
    <definedName name="_PPH1" localSheetId="13" hidden="0" function="0" vbProcedure="0">[43]!Calculate_Pipe</definedName>
    <definedName name="_r06" localSheetId="13" hidden="0" function="0" vbProcedure="0">[44]!AutoCAD</definedName>
    <definedName name="_Regression_Out" localSheetId="13" hidden="1" function="0" vbProcedure="0">#ref!</definedName>
    <definedName name="_Regression_X" localSheetId="13" hidden="1" function="0" vbProcedure="0">#ref!</definedName>
    <definedName name="_Regression_Y" localSheetId="13" hidden="1" function="0" vbProcedure="0">#ref!</definedName>
    <definedName name="_Rmk1" localSheetId="13" hidden="0" function="0" vbProcedure="0">#ref!</definedName>
    <definedName name="_Rmk11" localSheetId="13" hidden="0" function="0" vbProcedure="0">#ref!</definedName>
    <definedName name="_Rmk12" localSheetId="13" hidden="0" function="0" vbProcedure="0">#ref!</definedName>
    <definedName name="_Rmk13" localSheetId="13" hidden="0" function="0" vbProcedure="0">#ref!</definedName>
    <definedName name="_Rmk14" localSheetId="13" hidden="0" function="0" vbProcedure="0">#ref!</definedName>
    <definedName name="_Rmk15" localSheetId="13" hidden="0" function="0" vbProcedure="0">#ref!</definedName>
    <definedName name="_Rmk16" localSheetId="13" hidden="0" function="0" vbProcedure="0">#ref!</definedName>
    <definedName name="_Rmk17" localSheetId="13" hidden="0" function="0" vbProcedure="0">#ref!</definedName>
    <definedName name="_Rmk18" localSheetId="13" hidden="0" function="0" vbProcedure="0">#ref!</definedName>
    <definedName name="_Rmk19" localSheetId="13" hidden="0" function="0" vbProcedure="0">#ref!</definedName>
    <definedName name="_Rmk2" localSheetId="13" hidden="0" function="0" vbProcedure="0">#ref!</definedName>
    <definedName name="_Rmk3" localSheetId="13" hidden="0" function="0" vbProcedure="0">#ref!</definedName>
    <definedName name="_Rmk4" localSheetId="13" hidden="0" function="0" vbProcedure="0">#ref!</definedName>
    <definedName name="_Rmk5" localSheetId="13" hidden="0" function="0" vbProcedure="0">#ref!</definedName>
    <definedName name="_Rmk6" localSheetId="13" hidden="0" function="0" vbProcedure="0">#ref!</definedName>
    <definedName name="_Rmk7" localSheetId="13" hidden="0" function="0" vbProcedure="0">#ref!</definedName>
    <definedName name="_Rmk8" localSheetId="13" hidden="0" function="0" vbProcedure="0">#ref!</definedName>
    <definedName name="_Rmk9" localSheetId="13" hidden="0" function="0" vbProcedure="0">#ref!</definedName>
    <definedName name="_Sort" localSheetId="13" hidden="1" function="0" vbProcedure="0">#ref!</definedName>
    <definedName name="_SPM1" localSheetId="13" hidden="0" function="0" vbProcedure="0">[18]!Macro1</definedName>
    <definedName name="_SSA1" localSheetId="13" hidden="0" function="0" vbProcedure="0">[46]!Macro46</definedName>
    <definedName name="_Table1_In1" localSheetId="13" hidden="1" function="0" vbProcedure="0">[103]Run!$E$575</definedName>
    <definedName name="_Table1_Out" localSheetId="13" hidden="1" function="0" vbProcedure="0">[103]Run!$C$16:$E$577</definedName>
    <definedName name="_Table2_In1" localSheetId="13" hidden="1" function="0" vbProcedure="0">#ref!</definedName>
    <definedName name="_Table2_Out" localSheetId="13" hidden="1" function="0" vbProcedure="0">#ref!</definedName>
    <definedName name="_TST2" localSheetId="13" hidden="0" function="0" vbProcedure="0">'[11]Liner Job Info'!$O$7</definedName>
    <definedName name="_UA38" localSheetId="13" hidden="0" function="0" vbProcedure="0">DATA!_UA38</definedName>
    <definedName name="_wrn1" localSheetId="13" hidden="0" function="0" vbProcedure="0">{#N/A,#N/A,FALSE,"Volume"}</definedName>
    <definedName name="_x" localSheetId="13" hidden="0" function="0" vbProcedure="0">{#N/A,#N/A,FALSE,"Volume"}</definedName>
    <definedName name="_xa" localSheetId="13" hidden="0" function="0" vbProcedure="0">{#N/A,#N/A,FALSE,"Volume"}</definedName>
    <definedName name="_xb" localSheetId="13" hidden="0" function="0" vbProcedure="0">{#N/A,#N/A,FALSE,"Volume"}</definedName>
    <definedName name="_xc" localSheetId="13" hidden="0" function="0" vbProcedure="0">{#N/A,#N/A,FALSE,"Volume"}</definedName>
    <definedName name="_xlnm.Database" localSheetId="13" hidden="0" function="0" vbProcedure="0">#ref!</definedName>
    <definedName name="_z" localSheetId="13" hidden="0" function="0" vbProcedure="0">{#N/A,#N/A,FALSE,"Volume"}</definedName>
    <definedName name="_z1" localSheetId="13" hidden="0" function="0" vbProcedure="0">{#N/A,#N/A,FALSE,"Volume"}</definedName>
    <definedName name="_z2" localSheetId="13" hidden="0" function="0" vbProcedure="0">{#N/A,#N/A,FALSE,"Volume"}</definedName>
    <definedName name="_z3" localSheetId="13" hidden="0" function="0" vbProcedure="0">{#N/A,#N/A,FALSE,"Volume"}</definedName>
    <definedName name="_z4" localSheetId="13" hidden="0" function="0" vbProcedure="0">{#N/A,#N/A,FALSE,"Volume"}</definedName>
    <definedName name="__" localSheetId="13" hidden="0" function="0" vbProcedure="0">'[113]#REF'!$E$29</definedName>
    <definedName name="__123Graph_A" localSheetId="13" hidden="1" function="0" vbProcedure="0">[103]Run!$B$18:$B$512</definedName>
    <definedName name="__123Graph_B" localSheetId="13" hidden="1" function="0" vbProcedure="0">'[102]Minimum Curve Method'!$K$9:$K$152</definedName>
    <definedName name="__123Graph_C" localSheetId="13" hidden="1" function="0" vbProcedure="0">[103]Run!$C$16:$C$512</definedName>
    <definedName name="__123Graph_D" localSheetId="13" hidden="1" function="0" vbProcedure="0">[103]Run!$D$15:$D$512</definedName>
    <definedName name="__123Graph_E" localSheetId="13" hidden="1" function="0" vbProcedure="0">[103]Run!$E$16:$E$514</definedName>
    <definedName name="__123Graph_F" localSheetId="13" hidden="1" function="0" vbProcedure="0">[103]Run!$F$16:$F$514</definedName>
    <definedName name="__123Graph_X" localSheetId="13" hidden="1" function="0" vbProcedure="0">'[102]Minimum Curve Method'!$K$9:$K$152</definedName>
    <definedName name="__1Module2__2__.gaugeconok2" localSheetId="13" hidden="0" function="0" vbProcedure="0">DATA!__1Module2__2__.gaugeconok2</definedName>
    <definedName name="__2Module2__2__.gaugeok2" localSheetId="13" hidden="0" function="0" vbProcedure="0">DATA!__2Module2__2__.gaugeok2</definedName>
    <definedName name="__2__123Graph_ACHART_1" localSheetId="13" hidden="1" function="0" vbProcedure="0">[27]mkn06!#ref!</definedName>
    <definedName name="__2__123Graph_BCHART_1" localSheetId="13" hidden="1" function="0" vbProcedure="0">[21]mkn06!#ref!</definedName>
    <definedName name="__3Module2__2__.gaugeselect2" localSheetId="13" hidden="0" function="0" vbProcedure="0">DATA!__3Module2__2__.gaugeselect2</definedName>
    <definedName name="__3__123Graph_XCHART_1" localSheetId="13" hidden="1" function="0" vbProcedure="0">[21]mkn06!#ref!</definedName>
    <definedName name="__4Module2__2__.serialselect3" localSheetId="13" hidden="0" function="0" vbProcedure="0">DATA!__4Module2__2__.serialselect3</definedName>
    <definedName name="__4__123Graph_ACHART_2" localSheetId="13" hidden="1" function="0" vbProcedure="0">'[23]case sjac 19'!#ref!</definedName>
    <definedName name="__5Module2__2__.serialselect4" localSheetId="13" hidden="0" function="0" vbProcedure="0">DATA!__5Module2__2__.serialselect4</definedName>
    <definedName name="__5__123Graph_ACHART_2" localSheetId="13" hidden="1" function="0" vbProcedure="0">'[22]case sjac 19'!#ref!</definedName>
    <definedName name="__6__123Graph_BCHART_1" localSheetId="13" hidden="1" function="0" vbProcedure="0">[24]mkn06!#ref!</definedName>
    <definedName name="__8__123Graph_BCHART_2" localSheetId="13" hidden="1" function="0" vbProcedure="0">'[23]case sjac 19'!#ref!</definedName>
    <definedName name="__A4" localSheetId="13" hidden="1" function="0" vbProcedure="0">[179]Run!$B$18:$B$512</definedName>
    <definedName name="__bb2789" localSheetId="13" hidden="0" function="0" vbProcedure="0">[10]!Calculate_Pipe</definedName>
    <definedName name="__Csg1" localSheetId="13" hidden="0" function="0" vbProcedure="0">#ref!</definedName>
    <definedName name="__Csg2" localSheetId="13" hidden="0" function="0" vbProcedure="0">#ref!</definedName>
    <definedName name="__Csg3" localSheetId="13" hidden="0" function="0" vbProcedure="0">#ref!</definedName>
    <definedName name="__gas1013" localSheetId="13" hidden="0" function="0" vbProcedure="0">'[30]calculo de gas total'!#ref!</definedName>
    <definedName name="__GAS1016" localSheetId="13" hidden="0" function="0" vbProcedure="0">'[31]calculo de gas total'!#ref!</definedName>
    <definedName name="__GAS1017" localSheetId="13" hidden="0" function="0" vbProcedure="0">'[31]calculo de gas total'!#ref!</definedName>
    <definedName name="__GAS1101" localSheetId="13" hidden="0" function="0" vbProcedure="0">'[31]calculo de gas total'!#ref!</definedName>
    <definedName name="__GAS1102" localSheetId="13" hidden="0" function="0" vbProcedure="0">'[31]calculo de gas total'!#ref!</definedName>
    <definedName name="__Mes1" localSheetId="13" hidden="0" function="0" vbProcedure="0">#ref!</definedName>
    <definedName name="__Mes2" localSheetId="13" hidden="0" function="0" vbProcedure="0">#ref!</definedName>
    <definedName name="__Mes3" localSheetId="13" hidden="0" function="0" vbProcedure="0">#ref!</definedName>
    <definedName name="__Mes4" localSheetId="13" hidden="0" function="0" vbProcedure="0">#ref!</definedName>
    <definedName name="__PET1" localSheetId="13" hidden="0" function="0" vbProcedure="0">#ref!</definedName>
    <definedName name="__REG1773" localSheetId="13" hidden="0" function="0" vbProcedure="0">'[31]calculo de gas total'!#ref!</definedName>
    <definedName name="__Rmk1" localSheetId="13" hidden="0" function="0" vbProcedure="0">#ref!</definedName>
    <definedName name="__Rmk11" localSheetId="13" hidden="0" function="0" vbProcedure="0">#ref!</definedName>
    <definedName name="__Rmk12" localSheetId="13" hidden="0" function="0" vbProcedure="0">#ref!</definedName>
    <definedName name="__Rmk13" localSheetId="13" hidden="0" function="0" vbProcedure="0">#ref!</definedName>
    <definedName name="__Rmk14" localSheetId="13" hidden="0" function="0" vbProcedure="0">#ref!</definedName>
    <definedName name="__Rmk15" localSheetId="13" hidden="0" function="0" vbProcedure="0">#ref!</definedName>
    <definedName name="__Rmk16" localSheetId="13" hidden="0" function="0" vbProcedure="0">#ref!</definedName>
    <definedName name="__Rmk17" localSheetId="13" hidden="0" function="0" vbProcedure="0">#ref!</definedName>
    <definedName name="__Rmk18" localSheetId="13" hidden="0" function="0" vbProcedure="0">#ref!</definedName>
    <definedName name="__Rmk19" localSheetId="13" hidden="0" function="0" vbProcedure="0">#ref!</definedName>
    <definedName name="__Rmk2" localSheetId="13" hidden="0" function="0" vbProcedure="0">#ref!</definedName>
    <definedName name="__Rmk3" localSheetId="13" hidden="0" function="0" vbProcedure="0">#ref!</definedName>
    <definedName name="__Rmk4" localSheetId="13" hidden="0" function="0" vbProcedure="0">#ref!</definedName>
    <definedName name="__Rmk5" localSheetId="13" hidden="0" function="0" vbProcedure="0">#ref!</definedName>
    <definedName name="__Rmk6" localSheetId="13" hidden="0" function="0" vbProcedure="0">#ref!</definedName>
    <definedName name="__Rmk7" localSheetId="13" hidden="0" function="0" vbProcedure="0">#ref!</definedName>
    <definedName name="__Rmk8" localSheetId="13" hidden="0" function="0" vbProcedure="0">#ref!</definedName>
    <definedName name="__Rmk9" localSheetId="13" hidden="0" function="0" vbProcedure="0">#ref!</definedName>
    <definedName name="__SPM1" localSheetId="13" hidden="0" function="0" vbProcedure="0">[18]!Macro1</definedName>
    <definedName name="__UA38" localSheetId="13" hidden="0" function="0" vbProcedure="0">DATA!__UA38</definedName>
    <definedName name="__wrn1" localSheetId="13" hidden="0" function="0" vbProcedure="0">{#N/A,#N/A,FALSE,"Volume"}</definedName>
    <definedName name="___A4" localSheetId="13" hidden="1" function="0" vbProcedure="0">[179]Run!$B$18:$B$512</definedName>
    <definedName name="___bb2789" localSheetId="13" hidden="0" function="0" vbProcedure="0">[10]!Calculate_Pipe</definedName>
    <definedName name="___SPM1" localSheetId="13" hidden="0" function="0" vbProcedure="0">[18]!Macro1</definedName>
    <definedName name="___wrn1" localSheetId="13" hidden="0" function="0" vbProcedure="0">{#N/A,#N/A,FALSE,"Volume"}</definedName>
    <definedName name="____A4" localSheetId="13" hidden="1" function="0" vbProcedure="0">[179]Run!$B$18:$B$512</definedName>
    <definedName name="____bb2789" localSheetId="13" hidden="0" function="0" vbProcedure="0">[10]!Calculate_Pipe</definedName>
    <definedName name="____SPM1" localSheetId="13" hidden="0" function="0" vbProcedure="0">[18]!Macro1</definedName>
    <definedName name="____wrn1" localSheetId="13" hidden="0" function="0" vbProcedure="0">{#N/A,#N/A,FALSE,"Volume"}</definedName>
    <definedName name="_____A4" localSheetId="13" hidden="1" function="0" vbProcedure="0">[179]Run!$B$18:$B$512</definedName>
    <definedName name="_____bb2789" localSheetId="13" hidden="0" function="0" vbProcedure="0">[16]!Calculate_Pipe</definedName>
    <definedName name="_____SPM1" localSheetId="13" hidden="0" function="0" vbProcedure="0">[18]!Macro1</definedName>
    <definedName name="_____wrn1" localSheetId="13" hidden="0" function="0" vbProcedure="0">{#N/A,#N/A,FALSE,"Volume"}</definedName>
    <definedName name="______A4" localSheetId="13" hidden="1" function="0" vbProcedure="0">[179]Run!$B$18:$B$512</definedName>
    <definedName name="______bb2789" localSheetId="13" hidden="0" function="0" vbProcedure="0">[16]!Calculate_Pipe</definedName>
    <definedName name="______SPM1" localSheetId="13" hidden="0" function="0" vbProcedure="0">[18]!Macro1</definedName>
    <definedName name="_______A4" localSheetId="13" hidden="1" function="0" vbProcedure="0">[179]Run!$B$18:$B$512</definedName>
    <definedName name="_______bb2789" localSheetId="13" hidden="0" function="0" vbProcedure="0">[16]!Calculate_Pipe</definedName>
    <definedName name="_______wrn1" localSheetId="13" hidden="0" function="0" vbProcedure="0">{#N/A,#N/A,FALSE,"Volume"}</definedName>
    <definedName name="________A4" localSheetId="13" hidden="1" function="0" vbProcedure="0">[179]Run!$B$18:$B$512</definedName>
    <definedName name="________bb2789" localSheetId="13" hidden="0" function="0" vbProcedure="0">[16]!Calculate_Pipe</definedName>
    <definedName name="_________A4" localSheetId="13" hidden="1" function="0" vbProcedure="0">[179]Run!$B$18:$B$512</definedName>
    <definedName name="_________bb2789" localSheetId="13" hidden="0" function="0" vbProcedure="0">[16]!Calculate_Pipe</definedName>
    <definedName name="_________wrn1" localSheetId="13" hidden="0" function="0" vbProcedure="0">{#N/A,#N/A,FALSE,"Volume"}</definedName>
    <definedName name="__________A4" localSheetId="13" hidden="1" function="0" vbProcedure="0">[179]Run!$B$18:$B$512</definedName>
    <definedName name="__________bb2789" localSheetId="13" hidden="0" function="0" vbProcedure="0">[16]!Calculate_Pipe</definedName>
    <definedName name="___________A4" localSheetId="13" hidden="1" function="0" vbProcedure="0">[179]Run!$B$18:$B$512</definedName>
    <definedName name="___________bb2789" localSheetId="13" hidden="0" function="0" vbProcedure="0">[16]!Calculate_Pipe</definedName>
    <definedName name="___________wrn1" localSheetId="13" hidden="0" function="0" vbProcedure="0">{#N/A,#N/A,FALSE,"Volume"}</definedName>
    <definedName name="____________A4" localSheetId="13" hidden="1" function="0" vbProcedure="0">[179]Run!$B$18:$B$512</definedName>
    <definedName name="____________bb2789" localSheetId="13" hidden="0" function="0" vbProcedure="0">[16]!Calculate_Pipe</definedName>
    <definedName name="____________wrn1" localSheetId="13" hidden="0" function="0" vbProcedure="0">{#N/A,#N/A,FALSE,"Volume"}</definedName>
    <definedName name="_____________A4" localSheetId="13" hidden="1" function="0" vbProcedure="0">[179]Run!$B$18:$B$512</definedName>
    <definedName name="_____________bb2789" localSheetId="13" hidden="0" function="0" vbProcedure="0">[16]!Calculate_Pipe</definedName>
    <definedName name="______________A4" localSheetId="13" hidden="1" function="0" vbProcedure="0">[179]Run!$B$18:$B$512</definedName>
    <definedName name="______________bb2789" localSheetId="13" hidden="0" function="0" vbProcedure="0">[16]!Calculate_Pipe</definedName>
    <definedName name="_______________A4" localSheetId="13" hidden="1" function="0" vbProcedure="0">[179]Run!$B$18:$B$512</definedName>
    <definedName name="_______________bb2789" localSheetId="13" hidden="0" function="0" vbProcedure="0">[16]!Calculate_Pipe</definedName>
    <definedName name="________________A4" localSheetId="13" hidden="1" function="0" vbProcedure="0">[179]Run!$B$18:$B$512</definedName>
    <definedName name="________________bb2789" localSheetId="13" hidden="0" function="0" vbProcedure="0">[10]!Calculate_Pipe</definedName>
    <definedName name="_________________A4" localSheetId="13" hidden="1" function="0" vbProcedure="0">[179]Run!$B$18:$B$512</definedName>
    <definedName name="_________________bb2789" localSheetId="13" hidden="0" function="0" vbProcedure="0">[10]!Calculate_Pipe</definedName>
    <definedName name="__________________A4" localSheetId="13" hidden="1" function="0" vbProcedure="0">[179]Run!$B$18:$B$512</definedName>
    <definedName name="__________________bb2789" localSheetId="13" hidden="0" function="0" vbProcedure="0">[12]!Calculate_Pipe</definedName>
    <definedName name="___________________A4" localSheetId="13" hidden="1" function="0" vbProcedure="0">[179]Run!$B$18:$B$512</definedName>
    <definedName name="___________________bb2789" localSheetId="13" hidden="0" function="0" vbProcedure="0">[12]!Calculate_Pipe</definedName>
    <definedName name="____________________A4" localSheetId="13" hidden="1" function="0" vbProcedure="0">[191]Run!$B$18:$B$512</definedName>
    <definedName name="____________________bb2789" localSheetId="13" hidden="0" function="0" vbProcedure="0">[10]!Calculate_Pipe</definedName>
    <definedName name="_____________________A4" localSheetId="13" hidden="1" function="0" vbProcedure="0">[179]Run!$B$18:$B$512</definedName>
    <definedName name="_____________________bb2789" localSheetId="13" hidden="0" function="0" vbProcedure="0">[13]!Calculate_Pipe</definedName>
    <definedName name="______________________A4" localSheetId="13" hidden="1" function="0" vbProcedure="0">[179]Run!$B$18:$B$512</definedName>
    <definedName name="______________________bb2789" localSheetId="13" hidden="0" function="0" vbProcedure="0">[10]!Calculate_Pipe</definedName>
    <definedName name="_______________________A4" localSheetId="13" hidden="1" function="0" vbProcedure="0">[191]Run!$B$18:$B$512</definedName>
    <definedName name="_______________________bb2789" localSheetId="13" hidden="0" function="0" vbProcedure="0">[10]!Calculate_Pipe</definedName>
    <definedName name="________________________A4" localSheetId="13" hidden="1" function="0" vbProcedure="0">[179]Run!$B$18:$B$512</definedName>
    <definedName name="________________________bb2789" localSheetId="13" hidden="0" function="0" vbProcedure="0">[12]!Calculate_Pipe</definedName>
    <definedName name="_________________________bb2789" localSheetId="13" hidden="0" function="0" vbProcedure="0">[10]!Calculate_Pipe</definedName>
    <definedName name="__________________________A4" localSheetId="13" hidden="1" function="0" vbProcedure="0">[191]Run!$B$18:$B$512</definedName>
    <definedName name="歼击机" localSheetId="13" hidden="0" function="0" vbProcedure="0">[192]钻井日报表!$E$7</definedName>
    <definedName name="起始日期" localSheetId="13" hidden="0" function="0" vbProcedure="0">[181]钻井日报表!$B$1</definedName>
    <definedName name="_xlnm.Print_Area" localSheetId="13">'DATA'!$A$1:$C$494</definedName>
    <definedName name="AA" localSheetId="14" hidden="0" function="0" vbProcedure="0">#ref!</definedName>
    <definedName name="ABX" localSheetId="14" hidden="1" function="0" vbProcedure="0">[103]Run!$B$18:$B$512</definedName>
    <definedName name="addresstwo" localSheetId="14" hidden="0" function="0" vbProcedure="0">[56]data!#ref!</definedName>
    <definedName name="ae" localSheetId="14" hidden="0" function="0" vbProcedure="0">'[104]forecast 3YP'!$AD$6</definedName>
    <definedName name="AFE19R"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4" hidden="0" function="0" vbProcedure="0">'[44]7-30-04'!$W$55:$IV$7457</definedName>
    <definedName name="AMACRO.n2foam" localSheetId="14" hidden="0" function="0" vbProcedure="0">'[64]tool backload dt'!amacro.n2foam</definedName>
    <definedName name="Ambient_temp" localSheetId="14" hidden="0" function="0" vbProcedure="0">'[7]#ref'!#ref!</definedName>
    <definedName name="amis" localSheetId="14" hidden="0" function="0" vbProcedure="0">[105]Tally!$A$5:$J$825</definedName>
    <definedName name="annularvol" localSheetId="14" hidden="0" function="0" vbProcedure="0">[106]Data!$F$13</definedName>
    <definedName name="Ao" localSheetId="14" hidden="0" function="0" vbProcedure="0">[107]Piston!$F$5</definedName>
    <definedName name="Ap" localSheetId="14" hidden="0" function="0" vbProcedure="0">[107]Piston!$F$6</definedName>
    <definedName name="Approver_Objectives" localSheetId="14" hidden="0" function="0" vbProcedure="0">'[73]well team goals'!#ref!</definedName>
    <definedName name="Approver_Well_Plan" localSheetId="14" hidden="0" function="0" vbProcedure="0">'[73]well team goals'!#ref!</definedName>
    <definedName name="assy.3" localSheetId="14" hidden="0" function="0" vbProcedure="0">[75]!Calculate_Pipe</definedName>
    <definedName name="ASSY2312" localSheetId="14" hidden="0" function="0" vbProcedure="0">[28]!Macro1</definedName>
    <definedName name="ASSY_122" localSheetId="14" hidden="0" function="0" vbProcedure="0">[28]!Macro1</definedName>
    <definedName name="ASSY_2111" localSheetId="14" hidden="0" function="0" vbProcedure="0">[28]!Macro1</definedName>
    <definedName name="ASSY_231" localSheetId="14" hidden="0" function="0" vbProcedure="0">[28]!Macro1</definedName>
    <definedName name="ASSY_342" localSheetId="14" hidden="0" function="0" vbProcedure="0">[28]!Macro1</definedName>
    <definedName name="ASSY_36" localSheetId="14" hidden="0" function="0" vbProcedure="0">[28]!Macro1</definedName>
    <definedName name="ASSY_4" localSheetId="14" hidden="0" function="0" vbProcedure="0">[28]!Macro1</definedName>
    <definedName name="ASSY_432" localSheetId="14" hidden="0" function="0" vbProcedure="0">[28]!Macro1</definedName>
    <definedName name="AutoCAD" localSheetId="14" hidden="0" function="0" vbProcedure="0">[44]!AutoCAD</definedName>
    <definedName name="AutoCAD_1" localSheetId="14" hidden="0" function="0" vbProcedure="0">[28]!AutoCAD</definedName>
    <definedName name="AutoCAD_10" localSheetId="14" hidden="0" function="0" vbProcedure="0">[28]!AutoCAD</definedName>
    <definedName name="AutoCAD_11" localSheetId="14" hidden="0" function="0" vbProcedure="0">[28]!AutoCAD</definedName>
    <definedName name="AutoCAD_2" localSheetId="14" hidden="0" function="0" vbProcedure="0">[28]!AutoCAD</definedName>
    <definedName name="AutoCAD_3" localSheetId="14" hidden="0" function="0" vbProcedure="0">[28]!AutoCAD</definedName>
    <definedName name="AutoCAD_4" localSheetId="14" hidden="0" function="0" vbProcedure="0">[28]!AutoCAD</definedName>
    <definedName name="AutoCAD_5" localSheetId="14" hidden="0" function="0" vbProcedure="0">[28]!AutoCAD</definedName>
    <definedName name="AutoCAD_6" localSheetId="14" hidden="0" function="0" vbProcedure="0">[28]!AutoCAD</definedName>
    <definedName name="AutoCAD_7" localSheetId="14" hidden="0" function="0" vbProcedure="0">[28]!AutoCAD</definedName>
    <definedName name="AutoCAD_8" localSheetId="14" hidden="0" function="0" vbProcedure="0">[28]!AutoCAD</definedName>
    <definedName name="AutoCAD_9" localSheetId="14" hidden="0" function="0" vbProcedure="0">[28]!AutoCAD</definedName>
    <definedName name="Aux_BHA_ID" localSheetId="14" hidden="0" function="0" vbProcedure="0">'[108]Job Calculation Sheet'!$F$20</definedName>
    <definedName name="Aux_BHA_OD" localSheetId="14" hidden="0" function="0" vbProcedure="0">'[108]Job Calculation Sheet'!$E$20</definedName>
    <definedName name="AvgJoint" localSheetId="14" hidden="0" function="0" vbProcedure="0">[109]DATA!$BO$2:$BO$9</definedName>
    <definedName name="AvgLength" localSheetId="14" hidden="0" function="0" vbProcedure="0">'[79]casing talley'!#ref!</definedName>
    <definedName name="axj" localSheetId="14" hidden="1" function="0" vbProcedure="0">{#N/A,#N/A,FALSE,"Sheet1"}</definedName>
    <definedName name="A_L" localSheetId="14" hidden="0" function="0" vbProcedure="0">'[50]12(762mm)套管'!#ref!</definedName>
    <definedName name="back" localSheetId="14" hidden="0" function="0" vbProcedure="0">'[64]tool backload dt'!back</definedName>
    <definedName name="BallMaterial" localSheetId="14" hidden="0" function="0" vbProcedure="0">[109]DATA!$BL$2:$BL$11</definedName>
    <definedName name="Ballooning_Area" localSheetId="14" hidden="0" function="0" vbProcedure="0">[109]Test!$M$18</definedName>
    <definedName name="Ballseat" localSheetId="14" hidden="0" function="0" vbProcedure="0">[109]DATA!$AG$2:$AG$9</definedName>
    <definedName name="BallSize" localSheetId="14" hidden="0" function="0" vbProcedure="0">[109]DATA!$BF$3:$BF$8</definedName>
    <definedName name="basicok" localSheetId="14" hidden="0" function="0" vbProcedure="0">[28]!basicok</definedName>
    <definedName name="BBB" localSheetId="14" hidden="0" function="0" vbProcedure="0">'[110]DD Worksheet'!$C$1</definedName>
    <definedName name="bbllm3" localSheetId="14" hidden="0" function="0" vbProcedure="0">'[109]Metric Conversions'!$B$69</definedName>
    <definedName name="bblstk" localSheetId="14" hidden="0" function="0" vbProcedure="0">'[109]Displacement Cal.'!$B$7</definedName>
    <definedName name="BD" localSheetId="14" hidden="0" function="0" vbProcedure="0">INDEX([111]DRAW!$A$2:$B$13,MATCH([112]AUTO_DHWS!$AV$15,[111]DRAW!$A$2:$A$13,0),2)</definedName>
    <definedName name="BD_SC" localSheetId="14" hidden="0" function="0" vbProcedure="0">INDEX([111]DRAW!$A$2:$B$13,MATCH([112]AUTO_DHWS!$AV$16,[111]DRAW!$A$2:$A$13,0),2)</definedName>
    <definedName name="BD_TB" localSheetId="14" hidden="0" function="0" vbProcedure="0">INDEX([111]DRAW!$A$2:$B$13,MATCH([112]AUTO_DHWS!$AV$9,[111]DRAW!$A$2:$A$13,0),2)</definedName>
    <definedName name="bgn" localSheetId="14" hidden="1" function="0" vbProcedure="0">{#N/A,#N/A,FALSE,"Sheet1"}</definedName>
    <definedName name="BHT" localSheetId="14" hidden="0" function="0" vbProcedure="0">'[94]Job Technical Info'!$D$42</definedName>
    <definedName name="Bitsize" localSheetId="14" hidden="0" function="0" vbProcedure="0">[109]DATA!$L$2:$L$41</definedName>
    <definedName name="bj_stroke" localSheetId="14" hidden="0" function="0" vbProcedure="0">'[109]Metric Conversions'!$B$35</definedName>
    <definedName name="bj_strokez" localSheetId="14" hidden="0" function="0" vbProcedure="0">'[109]Metric Conversions'!$C$35</definedName>
    <definedName name="BJ_Tens" localSheetId="14" hidden="0" function="0" vbProcedure="0">'[109]Liner Job Info'!$P$45</definedName>
    <definedName name="blanklength" localSheetId="14" hidden="0" function="0" vbProcedure="0">'[113]#REF'!$J$13</definedName>
    <definedName name="blankod" localSheetId="14" hidden="0" function="0" vbProcedure="0">'[113]#REF'!$F$13</definedName>
    <definedName name="BLANK_COVERED_NV" localSheetId="14" hidden="0" function="0" vbProcedure="0">'[113]#REF'!$G$111</definedName>
    <definedName name="BLANK_LENGTH" localSheetId="14" hidden="0" function="0" vbProcedure="0">'[113]#REF'!$J$13</definedName>
    <definedName name="BLANK_OD" localSheetId="14" hidden="0" function="0" vbProcedure="0">'[113]#REF'!$F$13</definedName>
    <definedName name="block" localSheetId="14" hidden="0" function="0" vbProcedure="0">[5]WTR!$I$5</definedName>
    <definedName name="Block_Field" localSheetId="14" hidden="0" function="0" vbProcedure="0">'[108]Pre-Job Info Sheet'!$D$7</definedName>
    <definedName name="BLock_TD_Wt" localSheetId="14" hidden="0" function="0" vbProcedure="0">'[30]Liner Job Info'!$D$33</definedName>
    <definedName name="Block_Wt" localSheetId="14" hidden="0" function="0" vbProcedure="0">'[109]Weight Calculations'!$H$14</definedName>
    <definedName name="bOB" localSheetId="14" hidden="0" function="0" vbProcedure="0">[114]Volumes!$K$1:$Y$76</definedName>
    <definedName name="BOT" localSheetId="14" hidden="0" function="0" vbProcedure="0">'[94]Job Technical Info'!$A$4</definedName>
    <definedName name="Bottom_Hole_Temp." localSheetId="14" hidden="0" function="0" vbProcedure="0">'[108]Pre-Job Info Sheet'!$B$34</definedName>
    <definedName name="Bottom_Perforation" localSheetId="14" hidden="0" function="0" vbProcedure="0">'[108]Pre-Job Info Sheet'!$B$29</definedName>
    <definedName name="Bottom_Shot" localSheetId="14" hidden="0" function="0" vbProcedure="0">'[108]TCP-BHA'!$H$36</definedName>
    <definedName name="BPLimit" localSheetId="14" hidden="0" function="0" vbProcedure="0">[86]!TubTable[[340]:[438]]</definedName>
    <definedName name="BR_Column" localSheetId="14" hidden="0" function="0" vbProcedure="0">null</definedName>
    <definedName name="BR_Unit" localSheetId="14" hidden="0" function="0" vbProcedure="0">null</definedName>
    <definedName name="bs" localSheetId="14" hidden="0" function="0" vbProcedure="0">'[115]Max-Torq'!$Q$79</definedName>
    <definedName name="bsw" localSheetId="14" hidden="0" function="0" vbProcedure="0">'[96]well test sheet'!#ref!</definedName>
    <definedName name="Budget_owner" localSheetId="14" hidden="0" function="0" vbProcedure="0">'[73]well specification'!#ref!</definedName>
    <definedName name="Buoy_Factor" localSheetId="14" hidden="0" function="0" vbProcedure="0">'[30]Liner Job Info'!$D$32</definedName>
    <definedName name="bxf" localSheetId="14" hidden="0" function="0" vbProcedure="0">'[115]Max-Torq'!$P$62</definedName>
    <definedName name="BypassRate" localSheetId="14" hidden="0" function="0" vbProcedure="0">[86]!TubTable[[340]:[438]]</definedName>
    <definedName name="Ca" localSheetId="14" hidden="1" function="0" vbProcedure="0">{#N/A,#N/A,FALSE,"Drlg Param Run 1-1";#N/A,#N/A,FALSE,"DDR (3)";#N/A,#N/A,FALSE,"BHA AT (1)";#N/A,#N/A,FALSE,"Downlinkbha";#N/A,#N/A,FALSE,"Job Status Report"}</definedName>
    <definedName name="CABLE2_1" localSheetId="14" hidden="0" function="0" vbProcedure="0">INDEX([111]DRAW!$L$52:$M$54,MATCH([112]AUTO_DHWS!$AY$8,[111]DRAW!$L$52:$L$54,0),2)</definedName>
    <definedName name="CABLE2_2" localSheetId="14" hidden="0" function="0" vbProcedure="0">INDEX([111]DRAW!$L$52:$M$56,MATCH([112]AUTO_DHWS!$AY$9,[111]DRAW!$L$52:$L$56,0),2)</definedName>
    <definedName name="CABLE_1" localSheetId="14" hidden="0" function="0" vbProcedure="0">INDEX([111]DRAW!$L$52:$M$53,MATCH([112]AUTO_DHWS!$AY$4,[111]DRAW!$L$52:$L$53,0),2)</definedName>
    <definedName name="CABLE_2" localSheetId="14" hidden="0" function="0" vbProcedure="0">INDEX([111]DRAW!$L$52:$M$56,MATCH([112]AUTO_DHWS!$AY$5,[111]DRAW!$L$52:$L$56,0),2)</definedName>
    <definedName name="CABLE_3" localSheetId="14" hidden="0" function="0" vbProcedure="0">INDEX([111]DRAW!$M$57:$N$63,MATCH([112]AUTO_DHWS!$AY$6,[111]DRAW!$M$57:$M$63,0),2)</definedName>
    <definedName name="Calculate_Pipe" localSheetId="14" hidden="0" function="0" vbProcedure="0">[99]!Calculate_Pipe</definedName>
    <definedName name="Capacities" localSheetId="14"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4" hidden="0" function="0" vbProcedure="0">'[113]#REF'!$G$188</definedName>
    <definedName name="CARRIER_FL_WT" localSheetId="14" hidden="0" function="0" vbProcedure="0">'[113]#REF'!$F$67</definedName>
    <definedName name="CARR_FL_VISCOSITY" localSheetId="14" hidden="0" function="0" vbProcedure="0">'[113]#REF'!$I$106</definedName>
    <definedName name="CARR_FL_VOL_PREPACK" localSheetId="14" hidden="0" function="0" vbProcedure="0">'[113]#REF'!$F$47</definedName>
    <definedName name="Carr_fl_wt_prepack" localSheetId="14" hidden="0" function="0" vbProcedure="0">'[113]#REF'!$F$46</definedName>
    <definedName name="casingcolumn" localSheetId="14" hidden="0" function="0" vbProcedure="0">[106]Data!$J$17</definedName>
    <definedName name="casingid" localSheetId="14" hidden="0" function="0" vbProcedure="0">'[113]#REF'!$H$11</definedName>
    <definedName name="casingidref" localSheetId="14" hidden="0" function="0" vbProcedure="0">[106]Data!$GC$1</definedName>
    <definedName name="casinginfuserate" localSheetId="14" hidden="0" function="0" vbProcedure="0">'[113]#REF'!$K$50</definedName>
    <definedName name="casingliner" localSheetId="14" hidden="0" function="0" vbProcedure="0">[106]Data!$E$45</definedName>
    <definedName name="casingod" localSheetId="14" hidden="0" function="0" vbProcedure="0">'[113]#REF'!$F$11</definedName>
    <definedName name="CasingSize" localSheetId="14" hidden="0" function="0" vbProcedure="0">'[117]Well Installation Drawing'!$E$15</definedName>
    <definedName name="CasingWeight" localSheetId="14" hidden="0" function="0" vbProcedure="0">'[117]Well Installation Drawing'!$G$15</definedName>
    <definedName name="casingwt" localSheetId="14" hidden="0" function="0" vbProcedure="0">'[113]#REF'!$J$11</definedName>
    <definedName name="Casing_Collapsez" localSheetId="14" hidden="0" function="0" vbProcedure="0">'[109]Liner Job Info'!$J$14</definedName>
    <definedName name="Casing_I.D." localSheetId="14" hidden="0" function="0" vbProcedure="0">'[108]Job Calculation Sheet'!$F$13</definedName>
    <definedName name="Casing_Liner" localSheetId="14" hidden="0" function="0" vbProcedure="0">'[94]Installation Results #1'!$C$27</definedName>
    <definedName name="Casing_Size" localSheetId="14" hidden="0" function="0" vbProcedure="0">'[108]Pre-Job Info Sheet'!$D$15</definedName>
    <definedName name="Casing_Size_Weight" localSheetId="14" hidden="0" function="0" vbProcedure="0">'[108]TCP-BHA'!$I$5</definedName>
    <definedName name="Casing_Weight" localSheetId="14" hidden="0" function="0" vbProcedure="0">'[108]Pre-Job Info Sheet'!$D$16</definedName>
    <definedName name="CAS_BLNK_ANNULUS" localSheetId="14" hidden="0" function="0" vbProcedure="0">'[113]#REF'!$I$108</definedName>
    <definedName name="CAS_BLNK_VOL" localSheetId="14" hidden="0" function="0" vbProcedure="0">'[7]#ref'!#ref!</definedName>
    <definedName name="CAS_EXT_VOL" localSheetId="14" hidden="0" function="0" vbProcedure="0">'[7]#ref'!#ref!</definedName>
    <definedName name="CAS_ID" localSheetId="14" hidden="0" function="0" vbProcedure="0">'[113]#REF'!$H$11</definedName>
    <definedName name="CAS_OD" localSheetId="14" hidden="0" function="0" vbProcedure="0">'[113]#REF'!$J$11</definedName>
    <definedName name="CAS_SCR_VOL" localSheetId="14" hidden="0" function="0" vbProcedure="0">'[7]#ref'!#ref!</definedName>
    <definedName name="CAS_WT" localSheetId="14" hidden="0" function="0" vbProcedure="0">'[113]#REF'!$J$11</definedName>
    <definedName name="category" localSheetId="14" hidden="0" function="0" vbProcedure="0">[118]Sheet2!$A$70:$A$73</definedName>
    <definedName name="Cc" localSheetId="14" hidden="0" function="0" vbProcedure="0">0.3</definedName>
    <definedName name="ccc" localSheetId="14" hidden="0" function="0" vbProcedure="0">[119]钻井日报表!$I$7</definedName>
    <definedName name="cdr" localSheetId="14" hidden="0" function="0" vbProcedure="0">'[96]well test sheet'!#ref!</definedName>
    <definedName name="CDWimdbase" localSheetId="14" hidden="0" function="0" vbProcedure="0">'[120]CD''s'!$A$2:$G$374</definedName>
    <definedName name="CementCompany" localSheetId="14" hidden="0" function="0" vbProcedure="0">[109]DATA!$BJ$2:$BJ$8</definedName>
    <definedName name="CENG" localSheetId="14" hidden="0" function="0" vbProcedure="0">[193]Reference!$A$2:$A$4</definedName>
    <definedName name="Centralizers" localSheetId="14" hidden="0" function="0" vbProcedure="0">[109]DATA!$AI$2:$AI$9</definedName>
    <definedName name="cf" localSheetId="14" hidden="1" function="0" vbProcedure="0">{#N/A,#N/A,FALSE,"Sheet1"}</definedName>
    <definedName name="Chart" localSheetId="14" hidden="1" function="0" vbProcedure="0">{#N/A,#N/A,FALSE,"Sheet1"}</definedName>
    <definedName name="chart1" localSheetId="14" hidden="1" function="0" vbProcedure="0">{#N/A,#N/A,FALSE,"Sheet1"}</definedName>
    <definedName name="Chemmac" localSheetId="14" hidden="0" function="0" vbProcedure="0">'[64]tool backload dt'!chemmac</definedName>
    <definedName name="cim" localSheetId="14" hidden="0" function="0" vbProcedure="0">[117]!Calculate_Pipe</definedName>
    <definedName name="CIPMACRO.n2foam" localSheetId="14" hidden="0" function="0" vbProcedure="0">'[64]tool backload dt'!cipmacro.n2foam</definedName>
    <definedName name="circsqz" localSheetId="14" hidden="0" function="0" vbProcedure="0">[5]WTR!$M$86</definedName>
    <definedName name="CIR_RATE_RESTRESS" localSheetId="14" hidden="0" function="0" vbProcedure="0">'[113]#REF'!$I$109</definedName>
    <definedName name="CIV" localSheetId="14" hidden="0" function="0" vbProcedure="0">INDEX([111]DRAW!$A$2:$B$13,MATCH([112]AUTO_DHWS!$AV$10,[111]DRAW!$A$2:$A$13,0),2)</definedName>
    <definedName name="CIV_2" localSheetId="14" hidden="0" function="0" vbProcedure="0">INDEX([111]DRAW!$A$2:$B$14,MATCH([112]AUTO_DHWS!$AV$14,[111]DRAW!$A$2:$A$13,0),2)</definedName>
    <definedName name="CIV_PDHG" localSheetId="14" hidden="0" function="0" vbProcedure="0">INDEX([111]DRAW!$A$2:$B$13,MATCH([112]AUTO_DHWS!$AV$11,[111]DRAW!$A$2:$A$13,0),2)</definedName>
    <definedName name="CLFluid1" localSheetId="14" hidden="0" function="0" vbProcedure="0">'[94]Installation Results #1'!$E$270</definedName>
    <definedName name="CLFluid10" localSheetId="14" hidden="0" function="0" vbProcedure="0">'[94]Installation Results #1'!$E$279</definedName>
    <definedName name="CLFluid11" localSheetId="14" hidden="0" function="0" vbProcedure="0">'[94]Installation Results #1'!$E$280</definedName>
    <definedName name="CLFluid12" localSheetId="14" hidden="0" function="0" vbProcedure="0">'[94]Installation Results #1'!$E$281</definedName>
    <definedName name="CLFluid13" localSheetId="14" hidden="0" function="0" vbProcedure="0">'[94]Installation Results #1'!$E$282</definedName>
    <definedName name="CLFluid14" localSheetId="14" hidden="0" function="0" vbProcedure="0">'[94]Installation Results #1'!$E$283</definedName>
    <definedName name="CLFluid15" localSheetId="14" hidden="0" function="0" vbProcedure="0">'[94]Installation Results #1'!$E$284</definedName>
    <definedName name="CLFluid2" localSheetId="14" hidden="0" function="0" vbProcedure="0">'[94]Installation Results #1'!$E$271</definedName>
    <definedName name="CLFluid3" localSheetId="14" hidden="0" function="0" vbProcedure="0">'[94]Installation Results #1'!$E$272</definedName>
    <definedName name="CLFluid4" localSheetId="14" hidden="0" function="0" vbProcedure="0">'[94]Installation Results #1'!$E$273</definedName>
    <definedName name="CLFluid5" localSheetId="14" hidden="0" function="0" vbProcedure="0">'[94]Installation Results #1'!$E$274</definedName>
    <definedName name="CLFluid6" localSheetId="14" hidden="0" function="0" vbProcedure="0">'[94]Installation Results #1'!$E$275</definedName>
    <definedName name="CLFluid7" localSheetId="14" hidden="0" function="0" vbProcedure="0">'[94]Installation Results #1'!$E$276</definedName>
    <definedName name="CLFluid8" localSheetId="14" hidden="0" function="0" vbProcedure="0">'[94]Installation Results #1'!$E$277</definedName>
    <definedName name="CLFluid9" localSheetId="14" hidden="0" function="0" vbProcedure="0">'[94]Installation Results #1'!$E$278</definedName>
    <definedName name="Clist" localSheetId="14" hidden="0" function="0" vbProcedure="0">OFFSET(INDIRECT(ADDRESS(MATCH('DATA 1'!CL_Wt,'DATA 1'!Objects,0)+1,2,,,"Casing Info")),0,1,COUNTIF('DATA 1'!Objects,'DATA 1'!CL_Wt),1)</definedName>
    <definedName name="CL_Wt" localSheetId="14" hidden="0" function="0" vbProcedure="0">'[109]Database Pg1'!$E$28</definedName>
    <definedName name="Objects" localSheetId="14" hidden="0" function="0" vbProcedure="0">'[109]Casing Info'!$B$2:$B$241</definedName>
    <definedName name="Clist2" localSheetId="14" hidden="0" function="0" vbProcedure="0">OFFSET(INDIRECT(ADDRESS(MATCH('DATA 1'!Hsize2,'DATA 1'!Objects,0)+1,2,,,"Casing Info")),0,1,COUNTIF('DATA 1'!Objects,'DATA 1'!Hsize2),1)</definedName>
    <definedName name="Hsize2" localSheetId="14" hidden="0" function="0" vbProcedure="0">'[109]Database Pg1'!$G$81</definedName>
    <definedName name="Clist3" localSheetId="14" hidden="0" function="0" vbProcedure="0">OFFSET(INDIRECT(ADDRESS(MATCH('DATA 1'!Hsize3,'DATA 1'!Objects,0)+1,2,,,"Casing Info")),0,1,COUNTIF('DATA 1'!Objects,'DATA 1'!Hsize3),1)</definedName>
    <definedName name="Hsize3" localSheetId="14" hidden="0" function="0" vbProcedure="0">'[109]Database Pg1'!$G$83</definedName>
    <definedName name="CO2_" localSheetId="14" hidden="0" function="0" vbProcedure="0">'[94]Job Technical Info'!$L$42</definedName>
    <definedName name="CODELIST" localSheetId="14" hidden="0" function="0" vbProcedure="0">'[194]CODE SIN'!$A$3:$A$240</definedName>
    <definedName name="CODETAB" localSheetId="14" hidden="0" function="0" vbProcedure="0">'[194]CODE SIN'!$C$3:$AD$240</definedName>
    <definedName name="coections" localSheetId="14" hidden="0" function="0" vbProcedure="0">[28]!coections</definedName>
    <definedName name="COMP" localSheetId="14" hidden="0" function="0" vbProcedure="0">#ref!</definedName>
    <definedName name="company" localSheetId="14" hidden="0" function="0" vbProcedure="0">'[40]CPS Call Sheet'!$E$4</definedName>
    <definedName name="Company_Man" localSheetId="14" hidden="0" function="0" vbProcedure="0">'[62]Liner Job Info'!$E$7</definedName>
    <definedName name="Company_Name" localSheetId="14" hidden="0" function="0" vbProcedure="0">'[123]Liner Job Info'!$E$4</definedName>
    <definedName name="compfluidwt" localSheetId="14" hidden="0" function="0" vbProcedure="0">'[113]#REF'!$L$27</definedName>
    <definedName name="Compl._Fluid_Type" localSheetId="14" hidden="0" function="0" vbProcedure="0">'[108]Pre-Job Info Sheet'!$D$32</definedName>
    <definedName name="Compl._Fluid_Wt." localSheetId="14" hidden="0" function="0" vbProcedure="0">'[108]Pre-Job Info Sheet'!$D$33</definedName>
    <definedName name="COMPL_FL_VOL" localSheetId="14" hidden="0" function="0" vbProcedure="0">'[113]#REF'!$F$68</definedName>
    <definedName name="COMPL_FL_WT" localSheetId="14" hidden="0" function="0" vbProcedure="0">'[113]#REF'!$K$27</definedName>
    <definedName name="conections" localSheetId="14" hidden="0" function="0" vbProcedure="0">[28]!conections</definedName>
    <definedName name="Conflict1" localSheetId="14" hidden="1" function="0" vbProcedure="0">{#N/A,#N/A,FALSE,"Drlg Param Run 1-1";#N/A,#N/A,FALSE,"DDR (3)";#N/A,#N/A,FALSE,"BHA AT (1)";#N/A,#N/A,FALSE,"Downlinkbha";#N/A,#N/A,FALSE,"Job Status Report"}</definedName>
    <definedName name="conref" localSheetId="14" hidden="0" function="0" vbProcedure="0">[124]Price!$A$1:$A$65536</definedName>
    <definedName name="consequence" localSheetId="14" hidden="0" function="0" vbProcedure="0">[125]Sheet2!$A$1:$A$5</definedName>
    <definedName name="contract" localSheetId="14" hidden="0" function="0" vbProcedure="0">'[126]Call Sheet'!$E$3</definedName>
    <definedName name="contractnum" localSheetId="14" hidden="0" function="0" vbProcedure="0">'[33]data '!#ref!</definedName>
    <definedName name="contractor" localSheetId="14" hidden="0" function="0" vbProcedure="0">'[126]Call Sheet'!$E$6</definedName>
    <definedName name="Coordinator" localSheetId="14" hidden="0" function="0" vbProcedure="0">'[94]Job Technical Info'!$G$10</definedName>
    <definedName name="CoRep" localSheetId="14" hidden="0" function="0" vbProcedure="0">'[94]Job Technical Info'!$C$16</definedName>
    <definedName name="corrlist2" localSheetId="14" hidden="0" function="0" vbProcedure="0">OFFSET(INDIRECT(ADDRESS(MATCH('DATA 1'!Hsize2,'DATA 1'!Objects,0)+1,2,,,"Casing Info")),0,1,COUNTIF('DATA 1'!Objects,[28]!Liner1_OD),1)</definedName>
    <definedName name="corrlist4" localSheetId="14" hidden="0" function="0" vbProcedure="0">OFFSET(INDIRECT(ADDRESS(MATCH('DATA 1'!Hanger_Size,'DATA 1'!Objects,0)+1,2,,,"Casing Info")),0,1,COUNTIF('DATA 1'!Objects, 'DATA 1'!Hanger_Size),1)</definedName>
    <definedName name="Hanger_Size" localSheetId="14" hidden="0" function="0" vbProcedure="0">'[109]Database Pg1'!$G$79</definedName>
    <definedName name="Cotry" localSheetId="14" hidden="0" function="0" vbProcedure="0">'[109]Liner Job Info'!$E$10</definedName>
    <definedName name="Countries" localSheetId="14" hidden="0" function="0" vbProcedure="0">[109]DATA!$BR$1:$BR$196</definedName>
    <definedName name="COUNTRY" localSheetId="14" hidden="0" function="0" vbProcedure="0">'[127]Master data'!$A$2:$A$239</definedName>
    <definedName name="county" localSheetId="14" hidden="0" function="0" vbProcedure="0">'[40]CPS Call Sheet'!$P$7</definedName>
    <definedName name="Crack_DH" localSheetId="14" hidden="0" function="0" vbProcedure="0">'[108]Tester Valve Calcs'!$F$31</definedName>
    <definedName name="Crack_Press" localSheetId="14" hidden="0" function="0" vbProcedure="0">'[108]Tester Valve Calcs'!$F$13</definedName>
    <definedName name="crs" localSheetId="14" hidden="0" function="0" vbProcedure="0">[128]RSS!$E$199:$E$205</definedName>
    <definedName name="CRS_FLOAT_VALVE" localSheetId="14" hidden="0" function="0" vbProcedure="0">[129]RSS!$O$177:$O$180</definedName>
    <definedName name="CRS_FLOW_KIT" localSheetId="14" hidden="0" function="0" vbProcedure="0">[129]RSS!$E$181:$E$184</definedName>
    <definedName name="CRS_STAB" localSheetId="14" hidden="0" function="0" vbProcedure="0">[129]RSS!$E$191:$E$197</definedName>
    <definedName name="Csg" localSheetId="14" hidden="0" function="0" vbProcedure="0">[6]Sheet1!$G$1:$G$3</definedName>
    <definedName name="CsgDrift1" localSheetId="14" hidden="0" function="0" vbProcedure="0">'[94]Job Technical Info'!$G$25</definedName>
    <definedName name="CsgDrift2" localSheetId="14" hidden="0" function="0" vbProcedure="0">'[94]Job Technical Info'!$G$26</definedName>
    <definedName name="CsgDrift3" localSheetId="14" hidden="0" function="0" vbProcedure="0">'[94]Job Technical Info'!$G$27</definedName>
    <definedName name="CsgDrift4" localSheetId="14" hidden="0" function="0" vbProcedure="0">'[94]Job Technical Info'!$G$28</definedName>
    <definedName name="CsgGrd1" localSheetId="14" hidden="0" function="0" vbProcedure="0">'[94]Job Technical Info'!$H$25</definedName>
    <definedName name="CsgGrd2" localSheetId="14" hidden="0" function="0" vbProcedure="0">'[94]Job Technical Info'!$H$26</definedName>
    <definedName name="CsgGrd3" localSheetId="14" hidden="0" function="0" vbProcedure="0">'[94]Job Technical Info'!$H$27</definedName>
    <definedName name="CsgGrd4" localSheetId="14" hidden="0" function="0" vbProcedure="0">'[94]Job Technical Info'!$H$28</definedName>
    <definedName name="CsgID1" localSheetId="14" hidden="0" function="0" vbProcedure="0">'[94]Job Technical Info'!$F$25</definedName>
    <definedName name="CsgID2" localSheetId="14" hidden="0" function="0" vbProcedure="0">'[94]Job Technical Info'!$F$26</definedName>
    <definedName name="CsgID3" localSheetId="14" hidden="0" function="0" vbProcedure="0">'[94]Job Technical Info'!$F$27</definedName>
    <definedName name="CsgID4" localSheetId="14" hidden="0" function="0" vbProcedure="0">'[94]Job Technical Info'!$F$28</definedName>
    <definedName name="CsgSz1" localSheetId="14" hidden="0" function="0" vbProcedure="0">'[94]Job Technical Info'!$D$25</definedName>
    <definedName name="CsgSz2" localSheetId="14" hidden="0" function="0" vbProcedure="0">'[94]Job Technical Info'!$D$26</definedName>
    <definedName name="CsgSz3" localSheetId="14" hidden="0" function="0" vbProcedure="0">'[94]Job Technical Info'!$D$27</definedName>
    <definedName name="CsgSz4" localSheetId="14" hidden="0" function="0" vbProcedure="0">'[94]Job Technical Info'!$D$28</definedName>
    <definedName name="CsgThd1" localSheetId="14" hidden="0" function="0" vbProcedure="0">'[94]Job Technical Info'!$J$25</definedName>
    <definedName name="CsgThd2" localSheetId="14" hidden="0" function="0" vbProcedure="0">'[94]Job Technical Info'!$J$26</definedName>
    <definedName name="CsgThd3" localSheetId="14" hidden="0" function="0" vbProcedure="0">'[94]Job Technical Info'!$J$27</definedName>
    <definedName name="CsgThd4" localSheetId="14" hidden="0" function="0" vbProcedure="0">'[94]Job Technical Info'!$J$28</definedName>
    <definedName name="CsgWt" localSheetId="14" hidden="0" function="0" vbProcedure="0">[6]Sheet1!$H$1:$H$10</definedName>
    <definedName name="CsgWt1" localSheetId="14" hidden="0" function="0" vbProcedure="0">'[94]Job Technical Info'!$E$25</definedName>
    <definedName name="CsgWt2" localSheetId="14" hidden="0" function="0" vbProcedure="0">'[94]Job Technical Info'!$E$26</definedName>
    <definedName name="CsgWt3" localSheetId="14" hidden="0" function="0" vbProcedure="0">'[94]Job Technical Info'!$E$27</definedName>
    <definedName name="CsgWt4" localSheetId="14" hidden="0" function="0" vbProcedure="0">'[94]Job Technical Info'!$E$28</definedName>
    <definedName name="Csg_Bst" localSheetId="14" hidden="0" function="0" vbProcedure="0">'[109]Metric Conversions'!$B$43</definedName>
    <definedName name="Csg_Burstz" localSheetId="14" hidden="0" function="0" vbProcedure="0">'[109]Liner Job Info'!$H$14</definedName>
    <definedName name="Csg_Dft" localSheetId="14" hidden="0" function="0" vbProcedure="0">'[109]Liner Job Info'!$L$14</definedName>
    <definedName name="CSG_DPTH" localSheetId="14" hidden="0" function="0" vbProcedure="0">'[130]Metric Conversions'!$B$15</definedName>
    <definedName name="CSG_DPTHz" localSheetId="14" hidden="0" function="0" vbProcedure="0">'[109]Liner Job Info'!$P$14</definedName>
    <definedName name="CSG_Grd" localSheetId="14" hidden="0" function="0" vbProcedure="0">'[130]Liner Job Info'!$D$14</definedName>
    <definedName name="CSG_ID" localSheetId="14" hidden="0" function="0" vbProcedure="0">'[109]Liner Job Info'!$B$14</definedName>
    <definedName name="CSG_ID_Area" localSheetId="14" hidden="0" function="0" vbProcedure="0">[109]Test!$Z$39</definedName>
    <definedName name="CSG_MYS" localSheetId="14" hidden="0" function="0" vbProcedure="0">[131]DATA!$J$3:$J$22</definedName>
    <definedName name="CSG_OD" localSheetId="14" hidden="0" function="0" vbProcedure="0">'[130]Liner Job Info'!$A$14</definedName>
    <definedName name="CSG_Thread" localSheetId="14" hidden="0" function="0" vbProcedure="0">'[130]Liner Job Info'!$E$14</definedName>
    <definedName name="Csg_Wt" localSheetId="14" hidden="0" function="0" vbProcedure="0">'[130]Liner Job Info'!$C$14</definedName>
    <definedName name="CsShoeDepth" localSheetId="14" hidden="0" function="0" vbProcedure="0">'[94]Job Technical Info'!$F$40</definedName>
    <definedName name="CU.FT." localSheetId="14" hidden="0" function="0" vbProcedure="0">'[113]#REF'!$E$23</definedName>
    <definedName name="currency" localSheetId="14" hidden="0" function="0" vbProcedure="0">[56]data!#ref!</definedName>
    <definedName name="Customer" localSheetId="14" hidden="0" function="0" vbProcedure="0">'[94]Job Technical Info'!$C$12</definedName>
    <definedName name="customer1" localSheetId="14" hidden="0" function="0" vbProcedure="0">[132]Data!$A$1:$A$65536</definedName>
    <definedName name="Customer2" localSheetId="14" hidden="0" function="0" vbProcedure="0">[132]Data!$B$1:$B$65536</definedName>
    <definedName name="CustomerName" localSheetId="14" hidden="0" function="0" vbProcedure="0">'[144]job info sheet'!#ref!</definedName>
    <definedName name="customerrep" localSheetId="14" hidden="0" function="0" vbProcedure="0">'[113]#REF'!$E$6</definedName>
    <definedName name="Cyl_Yield" localSheetId="14" hidden="0" function="0" vbProcedure="0">'[48]liner job info'!#ref!</definedName>
    <definedName name="d" localSheetId="14" hidden="0" function="0" vbProcedure="0">'[2]run sheet'!#ref!</definedName>
    <definedName name="DAADA" localSheetId="14" hidden="0" function="0" vbProcedure="0">[117]!Calculate_Pipe</definedName>
    <definedName name="DAD" localSheetId="14" hidden="0" function="0" vbProcedure="0">'[146]tally checklist'!dad</definedName>
    <definedName name="DADAA" localSheetId="14" hidden="0" function="0" vbProcedure="0">'[146]tally checklist'!dadaa</definedName>
    <definedName name="DAEFF" localSheetId="14" hidden="0" function="0" vbProcedure="0">'[146]tally checklist'!daeff</definedName>
    <definedName name="DAPage" localSheetId="14" hidden="0" function="0" vbProcedure="0">'[94]Data Acq. Results'!$S$5</definedName>
    <definedName name="data1" localSheetId="14" hidden="0" function="0" vbProcedure="0">#ref!</definedName>
    <definedName name="DC" localSheetId="14" hidden="0" function="0" vbProcedure="0">'[44]7-30-04'!$GO$7457</definedName>
    <definedName name="dd" localSheetId="14" hidden="0" function="0" vbProcedure="0">null</definedName>
    <definedName name="dddd" localSheetId="14" hidden="0" function="0" vbProcedure="0">[148]试油成果记录!#ref!</definedName>
    <definedName name="decdhm" localSheetId="14" hidden="0" function="0" vbProcedure="0">'[133]Personal Expense Dec-95 (MH)'!$K$5</definedName>
    <definedName name="decdlr" localSheetId="14" hidden="0" function="0" vbProcedure="0">'[133]Personal Expense Dec-95 (MH)'!$H$5</definedName>
    <definedName name="decfrc" localSheetId="14" hidden="0" function="0" vbProcedure="0">'[133]Personal Expense Dec-95 (MH)'!$I$5</definedName>
    <definedName name="decpnd" localSheetId="14" hidden="0" function="0" vbProcedure="0">'[133]Personal Expense Dec-95 (MH)'!$G$5</definedName>
    <definedName name="decrl" localSheetId="14" hidden="0" function="0" vbProcedure="0">'[133]Personal Expense Dec-95 (MH)'!$J$5</definedName>
    <definedName name="decrup" localSheetId="14" hidden="0" function="0" vbProcedure="0">'[133]Personal Expense Dec-95 (MH)'!$L$5</definedName>
    <definedName name="decrupees" localSheetId="14" hidden="0" function="0" vbProcedure="0">'[133]Cash Expense December-95'!$H$6</definedName>
    <definedName name="deliveredto" localSheetId="14" hidden="0" function="0" vbProcedure="0">'[33]data '!#ref!</definedName>
    <definedName name="deliverto" localSheetId="14" hidden="0" function="0" vbProcedure="0">[56]data!#ref!</definedName>
    <definedName name="DENG" localSheetId="14" hidden="0" function="0" vbProcedure="0">[193]Reference!$B$2:$B$12</definedName>
    <definedName name="DEPTH_TAGGED_PREPACK" localSheetId="14" hidden="0" function="0" vbProcedure="0">'[113]#REF'!$F$80</definedName>
    <definedName name="DEQ" localSheetId="14" hidden="0" function="0" vbProcedure="0">'[146]tally checklist'!deq</definedName>
    <definedName name="Desired_Set_Down" localSheetId="14" hidden="0" function="0" vbProcedure="0">'[108]Packer Calculation Sheet'!$G$47</definedName>
    <definedName name="Dev" localSheetId="14" hidden="0" function="0" vbProcedure="0">'[109]Liner Job Info'!$D$30</definedName>
    <definedName name="DEVIATION" localSheetId="14" hidden="0" function="0" vbProcedure="0">'[113]#REF'!$F$24</definedName>
    <definedName name="dftg" localSheetId="14" hidden="0" function="0" vbProcedure="0">'[134]井口装置示意图-4'!$E$1:$E$65536</definedName>
    <definedName name="DiameterConversion" localSheetId="14" hidden="0" function="0" vbProcedure="0">[94]Lists!$AD$3</definedName>
    <definedName name="Diff_Across_Ball" localSheetId="14" hidden="0" function="0" vbProcedure="0">'[108]Tester Valve Calcs'!$F$30</definedName>
    <definedName name="Disp._Fluid_Type" localSheetId="14" hidden="0" function="0" vbProcedure="0">'[108]Pre-Job Info Sheet'!$D$37</definedName>
    <definedName name="Disp._Fluid_Weight" localSheetId="14" hidden="0" function="0" vbProcedure="0">'[108]Pre-Job Info Sheet'!$D$38</definedName>
    <definedName name="Displacement" localSheetId="14" hidden="0" function="0" vbProcedure="0">[109]DATA!$AJ$2:$AJ$12</definedName>
    <definedName name="DisplacementMethod" localSheetId="14" hidden="0" function="0" vbProcedure="0">[109]DATA!$AS$2:$AS$4</definedName>
    <definedName name="Disp_Fluid_Wt" localSheetId="14" hidden="0" function="0" vbProcedure="0">'[108]Job Calculation Sheet'!$D$30</definedName>
    <definedName name="District" localSheetId="14" hidden="0" function="0" vbProcedure="0">'[30]Liner Job Info'!$O$4</definedName>
    <definedName name="DistrictPh" localSheetId="14" hidden="0" function="0" vbProcedure="0">'[94]Job Technical Info'!$G$11</definedName>
    <definedName name="Districts" localSheetId="14" hidden="0" function="0" vbProcedure="0">[109]DATA!$A$6:$A$437</definedName>
    <definedName name="diverterlbs" localSheetId="14" hidden="0" function="0" vbProcedure="0">[5]WTR!$G$59</definedName>
    <definedName name="DIV_MIX_RATIO" localSheetId="14" hidden="0" function="0" vbProcedure="0">'[113]#REF'!$K$55</definedName>
    <definedName name="DL" localSheetId="14" hidden="0" function="0" vbProcedure="0">[107]Piston!$F$21</definedName>
    <definedName name="docNum" localSheetId="14" hidden="0" function="0" vbProcedure="0">[49]Revision_History!$G$6&amp;" "&amp;[49]Revision_History!$H$6</definedName>
    <definedName name="DocTitle" localSheetId="14" hidden="0" function="0" vbProcedure="0">'[94]Job Technical Info'!$C$2</definedName>
    <definedName name="Doc_Rev" localSheetId="14" hidden="0" function="0" vbProcedure="0">'[30]Liner Job Info'!$A$2</definedName>
    <definedName name="DP1_Cap" localSheetId="14" hidden="0" function="0" vbProcedure="0">'[109]Liner Job Info'!$G$22</definedName>
    <definedName name="DP1_conn" localSheetId="14" hidden="0" function="0" vbProcedure="0">'[130]Liner Job Info'!$J$22</definedName>
    <definedName name="DP1_Grd" localSheetId="14" hidden="0" function="0" vbProcedure="0">'[130]Liner Job Info'!$F$22</definedName>
    <definedName name="DP1_ID" localSheetId="14" hidden="0" function="0" vbProcedure="0">'[109]Liner Job Info'!$E$22</definedName>
    <definedName name="DP1_Leng" localSheetId="14" hidden="0" function="0" vbProcedure="0">'[130]Metric Conversions'!$B$20</definedName>
    <definedName name="DP1_Lengz" localSheetId="14" hidden="0" function="0" vbProcedure="0">'[109]Liner Job Info'!$I$22</definedName>
    <definedName name="DP1_MYS" localSheetId="14" hidden="0" function="0" vbProcedure="0">'[109]Liner Job Info'!$AD$31</definedName>
    <definedName name="DP1_OD" localSheetId="14" hidden="0" function="0" vbProcedure="0">'[130]Liner Job Info'!$C$22</definedName>
    <definedName name="DP1_Tens" localSheetId="14" hidden="0" function="0" vbProcedure="0">'[109]Liner Job Info'!$M$22</definedName>
    <definedName name="DP1_Volz" localSheetId="14" hidden="0" function="0" vbProcedure="0">'[109]Metric Conversions'!$C$70</definedName>
    <definedName name="DP1_Wt_inmud" localSheetId="14" hidden="0" function="0" vbProcedure="0">'[109]Weight Calculations'!$H$8</definedName>
    <definedName name="DP1_Wt_Per_Ft" localSheetId="14" hidden="0" function="0" vbProcedure="0">'[130]Liner Job Info'!$D$22</definedName>
    <definedName name="DP1_X_Csg_Volz" localSheetId="14" hidden="0" function="0" vbProcedure="0">'[109]Metric Conversions'!$C$85</definedName>
    <definedName name="DP2_Cap" localSheetId="14" hidden="0" function="0" vbProcedure="0">'[109]Liner Job Info'!$G$23</definedName>
    <definedName name="DP2_conn" localSheetId="14" hidden="0" function="0" vbProcedure="0">'[130]Liner Job Info'!$J$23</definedName>
    <definedName name="DP2_Cross_Sect" localSheetId="14" hidden="0" function="0" vbProcedure="0">'[48]liner job info'!#ref!</definedName>
    <definedName name="DP2_Grd" localSheetId="14" hidden="0" function="0" vbProcedure="0">'[130]Liner Job Info'!$F$23</definedName>
    <definedName name="DP2_ID" localSheetId="14" hidden="0" function="0" vbProcedure="0">'[109]Liner Job Info'!$E$23</definedName>
    <definedName name="DP2_Leng" localSheetId="14" hidden="0" function="0" vbProcedure="0">'[130]Metric Conversions'!$B$21</definedName>
    <definedName name="DP2_Lengz" localSheetId="14" hidden="0" function="0" vbProcedure="0">'[109]Liner Job Info'!$I$23</definedName>
    <definedName name="DP2_MYS" localSheetId="14" hidden="0" function="0" vbProcedure="0">'[109]Liner Job Info'!$AD$32</definedName>
    <definedName name="DP2_OD" localSheetId="14" hidden="0" function="0" vbProcedure="0">'[130]Liner Job Info'!$C$23</definedName>
    <definedName name="DP2_Tens" localSheetId="14" hidden="0" function="0" vbProcedure="0">'[109]Liner Job Info'!$M$23</definedName>
    <definedName name="DP2_Volz" localSheetId="14" hidden="0" function="0" vbProcedure="0">'[109]Metric Conversions'!$C$71</definedName>
    <definedName name="DP2_Wt_inmud" localSheetId="14" hidden="0" function="0" vbProcedure="0">'[109]Weight Calculations'!$H$9</definedName>
    <definedName name="DP2_Wt_Per_Ft" localSheetId="14" hidden="0" function="0" vbProcedure="0">'[130]Liner Job Info'!$D$23</definedName>
    <definedName name="DP2_X_Csg_Volz" localSheetId="14" hidden="0" function="0" vbProcedure="0">'[109]Metric Conversions'!$C$86</definedName>
    <definedName name="DP3_bbl_per_ft" localSheetId="14" hidden="0" function="0" vbProcedure="0">'[48]liner job info'!#ref!</definedName>
    <definedName name="DP3_Cap" localSheetId="14" hidden="0" function="0" vbProcedure="0">'[109]Liner Job Info'!$G$24</definedName>
    <definedName name="DP3_COnn" localSheetId="14" hidden="0" function="0" vbProcedure="0">'[130]Liner Job Info'!$J$24</definedName>
    <definedName name="DP3_Grd" localSheetId="14" hidden="0" function="0" vbProcedure="0">'[130]Liner Job Info'!$F$24</definedName>
    <definedName name="DP3_ID" localSheetId="14" hidden="0" function="0" vbProcedure="0">'[109]Liner Job Info'!$E$24</definedName>
    <definedName name="DP3_Leng" localSheetId="14" hidden="0" function="0" vbProcedure="0">'[130]Metric Conversions'!$B$22</definedName>
    <definedName name="DP3_Lengz" localSheetId="14" hidden="0" function="0" vbProcedure="0">'[109]Liner Job Info'!$I$24</definedName>
    <definedName name="DP3_MYS" localSheetId="14" hidden="0" function="0" vbProcedure="0">'[109]Liner Job Info'!$AD$33</definedName>
    <definedName name="DP3_OD" localSheetId="14" hidden="0" function="0" vbProcedure="0">'[130]Liner Job Info'!$C$24</definedName>
    <definedName name="DP3_Tens" localSheetId="14" hidden="0" function="0" vbProcedure="0">'[109]Liner Job Info'!$M$24</definedName>
    <definedName name="DP3_Volz" localSheetId="14" hidden="0" function="0" vbProcedure="0">'[109]Metric Conversions'!$C$72</definedName>
    <definedName name="DP3_Wt_inmud" localSheetId="14" hidden="0" function="0" vbProcedure="0">'[109]Weight Calculations'!$H$10</definedName>
    <definedName name="DP3_Wt_Per_Ft" localSheetId="14" hidden="0" function="0" vbProcedure="0">'[130]Liner Job Info'!$D$24</definedName>
    <definedName name="DP3_X_Csg_Volz" localSheetId="14" hidden="0" function="0" vbProcedure="0">'[109]Metric Conversions'!$C$87</definedName>
    <definedName name="DP4_Cap" localSheetId="14" hidden="0" function="0" vbProcedure="0">'[109]Liner Job Info'!$G$25</definedName>
    <definedName name="DP4_COnn" localSheetId="14" hidden="0" function="0" vbProcedure="0">'[130]Liner Job Info'!$J$25</definedName>
    <definedName name="DP4_Grd" localSheetId="14" hidden="0" function="0" vbProcedure="0">'[130]Liner Job Info'!$F$25</definedName>
    <definedName name="DP4_ID" localSheetId="14" hidden="0" function="0" vbProcedure="0">'[109]Liner Job Info'!$E$25</definedName>
    <definedName name="DP4_Leng" localSheetId="14" hidden="0" function="0" vbProcedure="0">'[130]Metric Conversions'!$B$23</definedName>
    <definedName name="DP4_Lengz" localSheetId="14" hidden="0" function="0" vbProcedure="0">'[109]Liner Job Info'!$I$25</definedName>
    <definedName name="DP4_MYS" localSheetId="14" hidden="0" function="0" vbProcedure="0">'[109]Liner Job Info'!$AD$34</definedName>
    <definedName name="DP4_OD" localSheetId="14" hidden="0" function="0" vbProcedure="0">'[130]Liner Job Info'!$C$25</definedName>
    <definedName name="DP4_Tens" localSheetId="14" hidden="0" function="0" vbProcedure="0">'[109]Liner Job Info'!$M$25</definedName>
    <definedName name="DP4_Volz" localSheetId="14" hidden="0" function="0" vbProcedure="0">'[109]Metric Conversions'!$C$73</definedName>
    <definedName name="DP4_Wt_inmud" localSheetId="14" hidden="0" function="0" vbProcedure="0">'[109]Weight Calculations'!$H$11</definedName>
    <definedName name="DP4_Wt_Per_Ft" localSheetId="14" hidden="0" function="0" vbProcedure="0">'[130]Liner Job Info'!$D$25</definedName>
    <definedName name="DP4_X_Csg_Volz" localSheetId="14" hidden="0" function="0" vbProcedure="0">'[109]Metric Conversions'!$C$88</definedName>
    <definedName name="DP5_bbl_per_ft" localSheetId="14" hidden="0" function="0" vbProcedure="0">'[109]Liner Job Info'!$AT$73</definedName>
    <definedName name="DP5_COnn" localSheetId="14" hidden="0" function="0" vbProcedure="0">'[130]Liner Job Info'!$J$26</definedName>
    <definedName name="DP5_Grd" localSheetId="14" hidden="0" function="0" vbProcedure="0">'[130]Liner Job Info'!$F$26</definedName>
    <definedName name="DP5_ID" localSheetId="14" hidden="0" function="0" vbProcedure="0">'[109]Liner Job Info'!$E$26</definedName>
    <definedName name="DP5_Leng" localSheetId="14" hidden="0" function="0" vbProcedure="0">'[130]Metric Conversions'!$B$24</definedName>
    <definedName name="DP5_Lengz" localSheetId="14" hidden="0" function="0" vbProcedure="0">'[109]Liner Job Info'!$I$26</definedName>
    <definedName name="DP5_MYS" localSheetId="14" hidden="0" function="0" vbProcedure="0">'[109]Liner Job Info'!$AD$35</definedName>
    <definedName name="DP5_OD" localSheetId="14" hidden="0" function="0" vbProcedure="0">'[130]Liner Job Info'!$C$26</definedName>
    <definedName name="DP5_Tens" localSheetId="14" hidden="0" function="0" vbProcedure="0">'[109]Liner Job Info'!$M$26</definedName>
    <definedName name="DP5_Volz" localSheetId="14" hidden="0" function="0" vbProcedure="0">'[109]Metric Conversions'!$C$74</definedName>
    <definedName name="DP5_Wt_inmud" localSheetId="14" hidden="0" function="0" vbProcedure="0">'[109]Weight Calculations'!$H$12</definedName>
    <definedName name="DP5_Wt_Per_Ft" localSheetId="14" hidden="0" function="0" vbProcedure="0">'[130]Liner Job Info'!$D$26</definedName>
    <definedName name="DP5_X_Csg_Volz" localSheetId="14" hidden="0" function="0" vbProcedure="0">'[109]Metric Conversions'!$C$89</definedName>
    <definedName name="dpdt" localSheetId="14" hidden="0" function="0" vbProcedure="0">'[136]WCT-Ft'!$Q$4:$X$18</definedName>
    <definedName name="DPi" localSheetId="14" hidden="0" function="0" vbProcedure="0">[107]Piston!$F$10</definedName>
    <definedName name="DPia" localSheetId="14" hidden="0" function="0" vbProcedure="0">[107]Balooning!$F$9</definedName>
    <definedName name="DPNumber_35" localSheetId="14" hidden="0" function="0" vbProcedure="0">'[137]DP Length'!$A$3:$A$1000</definedName>
    <definedName name="DPNumber_5" localSheetId="14" hidden="0" function="0" vbProcedure="0">'[137]DP Length'!$C$3:$C$1000</definedName>
    <definedName name="DPo" localSheetId="14" hidden="0" function="0" vbProcedure="0">[107]Piston!$F$11</definedName>
    <definedName name="DPoa" localSheetId="14" hidden="0" function="0" vbProcedure="0">[107]Balooning!$F$10</definedName>
    <definedName name="DPThread" localSheetId="14" hidden="0" function="0" vbProcedure="0">[109]DATA!$AA$44:$AA$94</definedName>
    <definedName name="DPTTL_HYD_LENTH" localSheetId="14" hidden="0" function="0" vbProcedure="0">'[109]Weight Calculations'!$F$46</definedName>
    <definedName name="DP_MYS" localSheetId="14" hidden="0" function="0" vbProcedure="0">[109]DATA!$AB$2:$AB$6</definedName>
    <definedName name="DP_Plus_Block" localSheetId="14" hidden="0" function="0" vbProcedure="0">'[109]Weight Calculations'!$H$15</definedName>
    <definedName name="DP_PSI" localSheetId="14" hidden="0" function="0" vbProcedure="0">'[109]Metric Conversions'!$B$49</definedName>
    <definedName name="DP_PSIz" localSheetId="14" hidden="0" function="0" vbProcedure="0">'[109]Liner Job Info'!$D$35</definedName>
    <definedName name="DP_SF" localSheetId="14" hidden="0" function="0" vbProcedure="0">'[109]Liner Job Info'!$R$27</definedName>
    <definedName name="drawblanks" localSheetId="14" hidden="0" function="0" vbProcedure="0">'[146]tally checklist'!drawblanks</definedName>
    <definedName name="drawlinerfirst" localSheetId="14" hidden="0" function="0" vbProcedure="0">'[146]tally checklist'!drawlinerfirst</definedName>
    <definedName name="drawlinersecond" localSheetId="14" hidden="0" function="0" vbProcedure="0">'[146]tally checklist'!drawlinersecond</definedName>
    <definedName name="drawmiscellaneous" localSheetId="14" hidden="0" function="0" vbProcedure="0">'[146]tally checklist'!drawmiscellaneous</definedName>
    <definedName name="drawproductionfirst" localSheetId="14" hidden="0" function="0" vbProcedure="0">'[146]tally checklist'!drawproductionfirst</definedName>
    <definedName name="drawproductionsecond" localSheetId="14" hidden="0" function="0" vbProcedure="0">'[146]tally checklist'!drawproductionsecond</definedName>
    <definedName name="drawquantum" localSheetId="14" hidden="0" function="0" vbProcedure="0">'[146]tally checklist'!drawquantum</definedName>
    <definedName name="drawscreens" localSheetId="14" hidden="0" function="0" vbProcedure="0">'[146]tally checklist'!drawscreens</definedName>
    <definedName name="drawshearsubs" localSheetId="14" hidden="0" function="0" vbProcedure="0">'[146]tally checklist'!drawshearsubs</definedName>
    <definedName name="drawsump" localSheetId="14" hidden="0" function="0" vbProcedure="0">'[146]tally checklist'!drawsump</definedName>
    <definedName name="draw_blanks" localSheetId="14" hidden="0" function="0" vbProcedure="0">'[146]tally checklist'!draw_blanks</definedName>
    <definedName name="draw_linerfirst" localSheetId="14" hidden="0" function="0" vbProcedure="0">'[146]tally checklist'!draw_linerfirst</definedName>
    <definedName name="draw_linersecond" localSheetId="14" hidden="0" function="0" vbProcedure="0">'[146]tally checklist'!draw_linersecond</definedName>
    <definedName name="draw_miscellaneous" localSheetId="14" hidden="0" function="0" vbProcedure="0">'[146]tally checklist'!draw_miscellaneous</definedName>
    <definedName name="draw_productionfirst" localSheetId="14" hidden="0" function="0" vbProcedure="0">'[146]tally checklist'!draw_productionfirst</definedName>
    <definedName name="draw_productionsecond" localSheetId="14" hidden="0" function="0" vbProcedure="0">'[146]tally checklist'!draw_productionsecond</definedName>
    <definedName name="draw_quantum" localSheetId="14" hidden="0" function="0" vbProcedure="0">'[146]tally checklist'!draw_quantum</definedName>
    <definedName name="draw_screens" localSheetId="14" hidden="0" function="0" vbProcedure="0">'[146]tally checklist'!draw_screens</definedName>
    <definedName name="draw_shearsubs" localSheetId="14" hidden="0" function="0" vbProcedure="0">'[146]tally checklist'!draw_shearsubs</definedName>
    <definedName name="draw_sump" localSheetId="14" hidden="0" function="0" vbProcedure="0">'[146]tally checklist'!draw_sump</definedName>
    <definedName name="DRILLER" localSheetId="14" hidden="0" function="0" vbProcedure="0">#ref!</definedName>
    <definedName name="Drillpipesize" localSheetId="14" hidden="0" function="0" vbProcedure="0">[109]DATA!$X$2:$X$10</definedName>
    <definedName name="Drillpipetype" localSheetId="14" hidden="0" function="0" vbProcedure="0">[109]DATA!$AA$2:$AA$6</definedName>
    <definedName name="Drillpipeweight" localSheetId="14" hidden="0" function="0" vbProcedure="0">[109]DATA!$Z$2:$Z$36</definedName>
    <definedName name="Druckbereich_MI" localSheetId="14" hidden="0" function="0" vbProcedure="0">'[138]Dev-Baker'!$A$1:$J$46</definedName>
    <definedName name="Druckbereich_S3" localSheetId="14" hidden="0" function="0" vbProcedure="0">'[165]run_s.xls'!#ref!</definedName>
    <definedName name="dtr" localSheetId="14" hidden="0" function="0" vbProcedure="0">'[115]Max-Torq'!$P$77</definedName>
    <definedName name="DWS" localSheetId="14" hidden="0" function="0" vbProcedure="0">'[111]DWS2023'!$A$4:$AD$257</definedName>
    <definedName name="Eff_Date" localSheetId="14" hidden="0" function="0" vbProcedure="0">'[94]Job Technical Info'!$L$3</definedName>
    <definedName name="EJYETYJEJ" localSheetId="14" hidden="0" function="0" vbProcedure="0">'[146]tally checklist'!ejyetyjej</definedName>
    <definedName name="Element_Rating" localSheetId="14" hidden="0" function="0" vbProcedure="0">'[109]Metric Conversions'!$B$57</definedName>
    <definedName name="Element_Ratingz" localSheetId="14" hidden="0" function="0" vbProcedure="0">'[109]Liner Job Info'!$P$41</definedName>
    <definedName name="equipmenttype" localSheetId="14" hidden="0" function="0" vbProcedure="0">[56]data!#ref!</definedName>
    <definedName name="error" localSheetId="14" hidden="0" function="0" vbProcedure="0">[106]Data!$F$10</definedName>
    <definedName name="ertert" localSheetId="14" hidden="0" function="0" vbProcedure="0">[171]试压!#ref!</definedName>
    <definedName name="ES_pricelist" localSheetId="14" hidden="0" function="0" vbProcedure="0">[139]Pricelist!$A$8:$B$18</definedName>
    <definedName name="Expected_Job_Date" localSheetId="14" hidden="0" function="0" vbProcedure="0">'[108]Pre-Job Info Sheet'!$D$5</definedName>
    <definedName name="Explosive_Type" localSheetId="14" hidden="0" function="0" vbProcedure="0">'[108]TCP-BHA'!$E$7</definedName>
    <definedName name="EXP_1" localSheetId="14" hidden="0" function="0" vbProcedure="0">INDEX([111]DRAW!$A$2:$B$13,MATCH([112]AUTO_DHWS!$AV$7,[111]DRAW!$A$2:$A$13,0),2)</definedName>
    <definedName name="EXT_LENGTH" localSheetId="14" hidden="0" function="0" vbProcedure="0">'[7]#ref'!#ref!</definedName>
    <definedName name="F" localSheetId="14" hidden="0" function="0" vbProcedure="0">[140]Parts!$A$1:$I$65536</definedName>
    <definedName name="fdg" localSheetId="14" hidden="0" function="0" vbProcedure="0">[119]钻井日报表!$G$7</definedName>
    <definedName name="februpees" localSheetId="14" hidden="0" function="0" vbProcedure="0">'[141]Cash Expense March-96'!$H$6</definedName>
    <definedName name="fec"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4" hidden="0" function="0" vbProcedure="0">'[146]tally checklist'!fewfw</definedName>
    <definedName name="fff" localSheetId="14" hidden="0" function="0" vbProcedure="0">'[146]tally checklist'!fff</definedName>
    <definedName name="FJNDEF" localSheetId="14" hidden="0" function="0" vbProcedure="0">'[146]tally checklist'!fjndef</definedName>
    <definedName name="Floatequipment" localSheetId="14" hidden="0" function="0" vbProcedure="0">[109]DATA!$AM$2:$AM$9</definedName>
    <definedName name="FluidType" localSheetId="14" hidden="0" function="0" vbProcedure="0">'[94]Job Technical Info'!$F$42</definedName>
    <definedName name="FluidWt" localSheetId="14" hidden="0" function="0" vbProcedure="0">'[94]Job Technical Info'!$H$42</definedName>
    <definedName name="Form._Pressure" localSheetId="14" hidden="0" function="0" vbProcedure="0">'[108]Pre-Job Info Sheet'!$B$33</definedName>
    <definedName name="formation" localSheetId="14" hidden="0" function="0" vbProcedure="0">[56]data!#ref!</definedName>
    <definedName name="fracgrad" localSheetId="14" hidden="0" function="0" vbProcedure="0">[5]WTR!$L$38</definedName>
    <definedName name="fracpress" localSheetId="14" hidden="0" function="0" vbProcedure="0">'[113]#REF'!$L$25</definedName>
    <definedName name="frictionpressure" localSheetId="14" hidden="0" function="0" vbProcedure="0">[106]Data!$F$8</definedName>
    <definedName name="FRONT" localSheetId="14" hidden="0" function="0" vbProcedure="0">'[142]DAILY RPT'!$A$1:$Y$67</definedName>
    <definedName name="ftormeters" localSheetId="14" hidden="0" function="0" vbProcedure="0">'[109]Metric Conversions'!$B$14</definedName>
    <definedName name="Gamma_Quadrant" localSheetId="14" hidden="0" function="0" vbProcedure="0">[129]RSS!$N$139:$N$144</definedName>
    <definedName name="gasrate" localSheetId="14" hidden="0" function="0" vbProcedure="0">'[96]well test sheet'!#ref!</definedName>
    <definedName name="gas_cumm" localSheetId="14" hidden="0" function="0" vbProcedure="0">'[96]well test sheet'!#ref!</definedName>
    <definedName name="Gauge" localSheetId="14" hidden="0" function="0" vbProcedure="0">'[7]Drop-Down Items'!$D$74:$D$92</definedName>
    <definedName name="Gaugecancel" localSheetId="14" hidden="0" function="0" vbProcedure="0">[28]!Gaugecancel</definedName>
    <definedName name="gaugeconok" localSheetId="14" hidden="0" function="0" vbProcedure="0">[28]!gaugeconok</definedName>
    <definedName name="gaugeconok2" localSheetId="14" hidden="0" function="0" vbProcedure="0">[28]!gaugeconok2</definedName>
    <definedName name="gaugeok" localSheetId="14" hidden="0" function="0" vbProcedure="0">[28]!gaugeok</definedName>
    <definedName name="gaugeok2" localSheetId="14" hidden="0" function="0" vbProcedure="0">[28]!gaugeok2</definedName>
    <definedName name="gaugeselect" localSheetId="14" hidden="0" function="0" vbProcedure="0">[28]!gaugeselect</definedName>
    <definedName name="gaugeselect2" localSheetId="14" hidden="0" function="0" vbProcedure="0">[28]!gaugeselect2</definedName>
    <definedName name="gdsg" localSheetId="14" hidden="1" function="0" vbProcedure="0">[103]Run!$C$16:$C$512</definedName>
    <definedName name="GGGR" localSheetId="14" hidden="0" function="0" vbProcedure="0">'[146]tally checklist'!gggr</definedName>
    <definedName name="GL" localSheetId="14" hidden="0" function="0" vbProcedure="0">'[189]offset data'!#ref!</definedName>
    <definedName name="GLM_1" localSheetId="14" hidden="0" function="0" vbProcedure="0">INDEX([111]DRAW!$A$2:$B$13,MATCH([112]AUTO_DHWS!$AV$3,[111]DRAW!$A$2:$A$13,0),2)</definedName>
    <definedName name="GLM_2" localSheetId="14" hidden="0" function="0" vbProcedure="0">INDEX([111]DRAW!$A$2:$B$13,MATCH([112]AUTO_DHWS!$AV$4,[111]DRAW!$A$2:$A$13,0),2)</definedName>
    <definedName name="GLM_3" localSheetId="14" hidden="0" function="0" vbProcedure="0">INDEX([111]DRAW!$A$2:$B$13,MATCH([112]AUTO_DHWS!$AV$5,[111]DRAW!$A$2:$A$13,0),2)</definedName>
    <definedName name="GLM_4" localSheetId="14" hidden="0" function="0" vbProcedure="0">INDEX([111]DRAW!$A$2:$B$13,MATCH([112]AUTO_DHWS!$AV$6,[111]DRAW!$A$2:$A$13,0),2)</definedName>
    <definedName name="Gmh" localSheetId="14" hidden="1" function="0" vbProcedure="0">{#N/A,#N/A,FALSE,"Sheet1"}</definedName>
    <definedName name="gor" localSheetId="14" hidden="0" function="0" vbProcedure="0">'[96]well test sheet'!#ref!</definedName>
    <definedName name="gpbreakerconc" localSheetId="14" hidden="0" function="0" vbProcedure="0">'[113]#REF'!$K$68</definedName>
    <definedName name="gpbreakertype" localSheetId="14" hidden="0" function="0" vbProcedure="0">'[113]#REF'!$K$67</definedName>
    <definedName name="gpcarriertype" localSheetId="14" hidden="0" function="0" vbProcedure="0">[5]WTR!$G$83</definedName>
    <definedName name="gpcarriervis" localSheetId="14" hidden="0" function="0" vbProcedure="0">'[113]#REF'!$K$66</definedName>
    <definedName name="gpcarriervol" localSheetId="14" hidden="0" function="0" vbProcedure="0">'[113]#REF'!$F$69</definedName>
    <definedName name="gpcarrierwt" localSheetId="14" hidden="0" function="0" vbProcedure="0">'[113]#REF'!$F$67</definedName>
    <definedName name="gpextlength" localSheetId="14" hidden="0" function="0" vbProcedure="0">'[113]#REF'!$J$15</definedName>
    <definedName name="gpextod" localSheetId="14" hidden="0" function="0" vbProcedure="0">'[113]#REF'!$F$15</definedName>
    <definedName name="gpgel" localSheetId="14" hidden="0" function="0" vbProcedure="0">'[113]#REF'!$K$65</definedName>
    <definedName name="gplbs" localSheetId="14" hidden="0" function="0" vbProcedure="0">'[113]#REF'!$F$64</definedName>
    <definedName name="gpmixratio" localSheetId="14" hidden="0" function="0" vbProcedure="0">[5]WTR!$M$81</definedName>
    <definedName name="gppumprate" localSheetId="14" hidden="0" function="0" vbProcedure="0">[5]WTR!$F$88</definedName>
    <definedName name="gpslurrydens" localSheetId="14" hidden="0" function="0" vbProcedure="0">'[113]#REF'!$F$70</definedName>
    <definedName name="GP_EXT_OD" localSheetId="14" hidden="0" function="0" vbProcedure="0">'[113]#REF'!$F$15</definedName>
    <definedName name="GP_MIX_RATIO" localSheetId="14" hidden="0" function="0" vbProcedure="0">'[113]#REF'!$K$64</definedName>
    <definedName name="GP_SLURRY_VOL" localSheetId="14" hidden="0" function="0" vbProcedure="0">'[113]#REF'!$F$69</definedName>
    <definedName name="GQGQ" localSheetId="14" hidden="0" function="0" vbProcedure="0">'[146]tally checklist'!gqgq</definedName>
    <definedName name="GQQ" localSheetId="14" hidden="0" function="0" vbProcedure="0">'[146]tally checklist'!gqq</definedName>
    <definedName name="gravelsize" localSheetId="14" hidden="0" function="0" vbProcedure="0">[5]WTR!$G$82</definedName>
    <definedName name="GRAVEL_IN_CSG." localSheetId="14" hidden="0" function="0" vbProcedure="0">'[113]#REF'!XEP1048377</definedName>
    <definedName name="GroupID" localSheetId="14" hidden="0" function="0" vbProcedure="0">[109]DATA!$Q$2:$Q$268</definedName>
    <definedName name="Group_ID" localSheetId="14" hidden="0" function="0" vbProcedure="0">[131]DATA!$Q$2:$Q$268</definedName>
    <definedName name="GRQ" localSheetId="14" hidden="0" function="0" vbProcedure="0">'[146]tally checklist'!grq</definedName>
    <definedName name="GUB24SECWELL" localSheetId="14" hidden="1" function="0" vbProcedure="0">[143]Sheet1!$A$181:$H$210</definedName>
    <definedName name="Gun_Size" localSheetId="14" hidden="0" function="0" vbProcedure="0">'[108]TCP-BHA'!$F$5</definedName>
    <definedName name="GWS" localSheetId="14" hidden="0" function="0" vbProcedure="0">'[146]tally checklist'!gws</definedName>
    <definedName name="h" localSheetId="14" hidden="0" function="0" vbProcedure="0">[144]Tally!$A$5:$H$1064</definedName>
    <definedName name="H2S" localSheetId="14" hidden="0" function="0" vbProcedure="0">'[94]Job Technical Info'!$L$41</definedName>
    <definedName name="Hangerfunction" localSheetId="14" hidden="0" function="0" vbProcedure="0">[109]DATA!$AH$2:$AH$9</definedName>
    <definedName name="HAUL_Thread" localSheetId="14" hidden="0" function="0" vbProcedure="0">[109]DATA!$BM$22:$BM$114</definedName>
    <definedName name="hesfluid" localSheetId="14" hidden="0" function="0" vbProcedure="0">[56]data!#ref!</definedName>
    <definedName name="hgh" localSheetId="14" hidden="1" function="0" vbProcedure="0">[103]Run!$D$15:$D$512</definedName>
    <definedName name="HGR_OL_Packoff_In" localSheetId="14" hidden="0" function="0" vbProcedure="0">[109]Test!$M$36</definedName>
    <definedName name="hhp" localSheetId="14" hidden="0" function="0" vbProcedure="0">'[96]well test sheet'!#ref!</definedName>
    <definedName name="hj" localSheetId="14" hidden="0" function="0" vbProcedure="0">[194]bha!#ref!</definedName>
    <definedName name="HKWT" localSheetId="14" hidden="0" function="0" vbProcedure="0">[119]钻井日报表!$E$7</definedName>
    <definedName name="Hngr_Bst" localSheetId="14" hidden="0" function="0" vbProcedure="0">'[109]Metric Conversions'!$B$50</definedName>
    <definedName name="Hngr_Bstz" localSheetId="14" hidden="0" function="0" vbProcedure="0">'[109]Liner Job Info'!$D$39</definedName>
    <definedName name="Hngr_OL_PO_out" localSheetId="14" hidden="0" function="0" vbProcedure="0">[109]Test!$M$30</definedName>
    <definedName name="Hngr_Overload_Cmt_Setup" localSheetId="14" hidden="0" function="0" vbProcedure="0">[109]Test!$M$42</definedName>
    <definedName name="Hngr_Tens" localSheetId="14" hidden="0" function="0" vbProcedure="0">'[109]Liner Job Info'!$D$40</definedName>
    <definedName name="Hng_Cap" localSheetId="14" hidden="0" function="0" vbProcedure="0">'[109]Liner Job Info'!$D$41</definedName>
    <definedName name="holevol" localSheetId="14" hidden="0" function="0" vbProcedure="0">'[64]tool backload dt'!holevol</definedName>
    <definedName name="hpb" localSheetId="14" hidden="0" function="0" vbProcedure="0">'[96]well test sheet'!#ref!</definedName>
    <definedName name="HR_Turns" localSheetId="14" hidden="0" function="0" vbProcedure="0">'[109]Weight Calculations'!$Q$36</definedName>
    <definedName name="HTML_Control" localSheetId="14" hidden="1" function="0" vbProcedure="0">{"'Operator &amp; Well Info.'!$A$1:$F$16"}</definedName>
    <definedName name="hwdpdt" localSheetId="14" hidden="0" function="0" vbProcedure="0">'[136]WCT-Ft'!$Q$19:$X$24</definedName>
    <definedName name="Hyd._Pressure" localSheetId="14" hidden="0" function="0" vbProcedure="0">'[108]Job Calculation Sheet'!$H$28</definedName>
    <definedName name="Hyd_at_TV" localSheetId="14" hidden="0" function="0" vbProcedure="0">'[108]Tester Valve Calcs'!$F$21</definedName>
    <definedName name="Hyd_Effect_Force" localSheetId="14" hidden="0" function="0" vbProcedure="0">'[109]Weight Calculations'!$F$47</definedName>
    <definedName name="Hyd_force_element" localSheetId="14" hidden="0" function="0" vbProcedure="0">[109]Test!$M$17</definedName>
    <definedName name="HyfloSeatID" localSheetId="14" hidden="0" function="0" vbProcedure="0">[109]DATA!$AY$2:$AY$4</definedName>
    <definedName name="HyfloSeatNumber" localSheetId="14" hidden="0" function="0" vbProcedure="0">[109]DATA!$AZ$2:$AZ$5</definedName>
    <definedName name="HyfloSupplier" localSheetId="14" hidden="0" function="0" vbProcedure="0">[109]DATA!$BA$2:$BA$5</definedName>
    <definedName name="idlist" localSheetId="14" hidden="0" function="0" vbProcedure="0">[106]Data!$GD$2:$GE$237</definedName>
    <definedName name="IDUnit" localSheetId="14" hidden="0" function="0" vbProcedure="0">'[94]Job Technical Info'!$F$24</definedName>
    <definedName name="impdwg" localSheetId="14" hidden="0" function="0" vbProcedure="0">[28]!impdwg</definedName>
    <definedName name="impdwg_1" localSheetId="14" hidden="0" function="0" vbProcedure="0">'DATA 1'!impdwg</definedName>
    <definedName name="impdwg_10" localSheetId="14" hidden="0" function="0" vbProcedure="0">'DATA 1'!impdwg</definedName>
    <definedName name="impdwg_11" localSheetId="14" hidden="0" function="0" vbProcedure="0">'DATA 1'!impdwg</definedName>
    <definedName name="impdwg_2" localSheetId="14" hidden="0" function="0" vbProcedure="0">'DATA 1'!impdwg</definedName>
    <definedName name="impdwg_3" localSheetId="14" hidden="0" function="0" vbProcedure="0">'DATA 1'!impdwg</definedName>
    <definedName name="impdwg_4" localSheetId="14" hidden="0" function="0" vbProcedure="0">'DATA 1'!impdwg</definedName>
    <definedName name="impdwg_5" localSheetId="14" hidden="0" function="0" vbProcedure="0">'DATA 1'!impdwg</definedName>
    <definedName name="impdwg_6" localSheetId="14" hidden="0" function="0" vbProcedure="0">'DATA 1'!impdwg</definedName>
    <definedName name="impdwg_7" localSheetId="14" hidden="0" function="0" vbProcedure="0">'DATA 1'!impdwg</definedName>
    <definedName name="impdwg_8" localSheetId="14" hidden="0" function="0" vbProcedure="0">'DATA 1'!impdwg</definedName>
    <definedName name="impdwg_9" localSheetId="14" hidden="0" function="0" vbProcedure="0">'DATA 1'!impdwg</definedName>
    <definedName name="Inc" localSheetId="14" hidden="0" function="0" vbProcedure="0">[119]钻井日报表!$G$8</definedName>
    <definedName name="InclinationData" localSheetId="14" hidden="0" function="0" vbProcedure="0">OFFSET([28]!Inclination,2,0,COUNT(#ref!),1)</definedName>
    <definedName name="incrementa"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4" hidden="0" function="0" vbProcedure="0">'[145]Job File Index'!$B$7</definedName>
    <definedName name="INFUSER_RATE" localSheetId="14" hidden="0" function="0" vbProcedure="0">'[113]#REF'!$F$71</definedName>
    <definedName name="INFUSER_RATE_PREPACK" localSheetId="14" hidden="0" function="0" vbProcedure="0">'[113]#REF'!$F$50</definedName>
    <definedName name="Insert_New_Page" localSheetId="14" hidden="0" function="0" vbProcedure="0">[44]!Insert_New_Page</definedName>
    <definedName name="Insert_New_Page_1" localSheetId="14" hidden="0" function="0" vbProcedure="0">[28]!Insert_New_Page</definedName>
    <definedName name="Insert_New_Page_10" localSheetId="14" hidden="0" function="0" vbProcedure="0">[28]!Insert_New_Page</definedName>
    <definedName name="Insert_New_Page_11" localSheetId="14" hidden="0" function="0" vbProcedure="0">[28]!Insert_New_Page</definedName>
    <definedName name="Insert_New_Page_2" localSheetId="14" hidden="0" function="0" vbProcedure="0">[28]!Insert_New_Page</definedName>
    <definedName name="Insert_New_Page_3" localSheetId="14" hidden="0" function="0" vbProcedure="0">[28]!Insert_New_Page</definedName>
    <definedName name="Insert_New_Page_4" localSheetId="14" hidden="0" function="0" vbProcedure="0">[28]!Insert_New_Page</definedName>
    <definedName name="Insert_New_Page_5" localSheetId="14" hidden="0" function="0" vbProcedure="0">[28]!Insert_New_Page</definedName>
    <definedName name="Insert_New_Page_6" localSheetId="14" hidden="0" function="0" vbProcedure="0">[28]!Insert_New_Page</definedName>
    <definedName name="Insert_New_Page_7" localSheetId="14" hidden="0" function="0" vbProcedure="0">[28]!Insert_New_Page</definedName>
    <definedName name="Insert_New_Page_8" localSheetId="14" hidden="0" function="0" vbProcedure="0">[28]!Insert_New_Page</definedName>
    <definedName name="Insert_New_Page_9" localSheetId="14" hidden="0" function="0" vbProcedure="0">[28]!Insert_New_Page</definedName>
    <definedName name="Inverse_Balloon_Area" localSheetId="14" hidden="0" function="0" vbProcedure="0">[109]Test!$M$19</definedName>
    <definedName name="isip" localSheetId="14" hidden="0" function="0" vbProcedure="0">[5]WTR!$G$41</definedName>
    <definedName name="Issue" localSheetId="14" hidden="0" function="0" vbProcedure="0">'[146]Title Page'!$Q$2:$Q$20</definedName>
    <definedName name="Item1" localSheetId="14" hidden="0" function="0" vbProcedure="0">INDEX(#ref!,0,MATCH('[59]ENG Input'!$A$12,Categories,0))</definedName>
    <definedName name="Item10" localSheetId="14" hidden="0" function="0" vbProcedure="0">INDEX(#ref!,0,MATCH('[59]ENG Input'!$A$128,Categories,0))</definedName>
    <definedName name="Item11" localSheetId="14" hidden="0" function="0" vbProcedure="0">INDEX(#ref!,0,MATCH('[59]ENG Input'!$A$139,Categories,0))</definedName>
    <definedName name="Item12" localSheetId="14" hidden="0" function="0" vbProcedure="0">INDEX(#ref!,0,MATCH('[59]ENG Input'!$A$155,Categories,0))</definedName>
    <definedName name="Item13" localSheetId="14" hidden="0" function="0" vbProcedure="0">INDEX(#ref!,0,MATCH('[59]ENG Input'!$A$171,Categories,0))</definedName>
    <definedName name="Item14" localSheetId="14" hidden="0" function="0" vbProcedure="0">INDEX(#ref!,0,MATCH('[59]ENG Input'!$A$182,Categories,0))</definedName>
    <definedName name="Item15" localSheetId="14" hidden="0" function="0" vbProcedure="0">INDEX(#ref!,0,MATCH('[59]ENG Input'!$A$193,Categories,0))</definedName>
    <definedName name="Item16" localSheetId="14" hidden="0" function="0" vbProcedure="0">INDEX(#ref!,0,MATCH('[59]ENG Input'!$A$204,Categories,0))</definedName>
    <definedName name="Item17" localSheetId="14" hidden="0" function="0" vbProcedure="0">INDEX(#ref!,0,MATCH('[59]ENG Input'!$A$215,Categories,0))</definedName>
    <definedName name="Item18" localSheetId="14" hidden="0" function="0" vbProcedure="0">INDEX(#ref!,0,MATCH('[59]ENG Input'!$A$226,Categories,0))</definedName>
    <definedName name="Item19" localSheetId="14" hidden="0" function="0" vbProcedure="0">INDEX(#ref!,0,MATCH('[59]ENG Input'!$A$237,Categories,0))</definedName>
    <definedName name="Item2" localSheetId="14" hidden="0" function="0" vbProcedure="0">INDEX(#ref!,0,MATCH('[59]ENG Input'!$A$32,Categories,0))</definedName>
    <definedName name="Item20" localSheetId="14" hidden="0" function="0" vbProcedure="0">INDEX(#ref!,0,MATCH('[59]ENG Input'!$A$248,Categories,0))</definedName>
    <definedName name="Item3" localSheetId="14" hidden="0" function="0" vbProcedure="0">INDEX(#ref!,0,MATCH('[59]ENG Input'!$A$48,Categories,0))</definedName>
    <definedName name="Item4" localSheetId="14" hidden="0" function="0" vbProcedure="0">INDEX(#ref!,0,MATCH('[59]ENG Input'!$A$59,Categories,0))</definedName>
    <definedName name="Item5" localSheetId="14" hidden="0" function="0" vbProcedure="0">INDEX(#ref!,0,MATCH('[59]ENG Input'!$A$73,Categories,0))</definedName>
    <definedName name="Item6" localSheetId="14" hidden="0" function="0" vbProcedure="0">INDEX(#ref!,0,MATCH('[59]ENG Input'!$A$84,Categories,0))</definedName>
    <definedName name="Item7" localSheetId="14" hidden="0" function="0" vbProcedure="0">INDEX(#ref!,0,MATCH('[59]ENG Input'!$A$95,Categories,0))</definedName>
    <definedName name="Item8" localSheetId="14" hidden="0" function="0" vbProcedure="0">INDEX(#ref!,0,MATCH('[59]ENG Input'!$A$106,Categories,0))</definedName>
    <definedName name="Item9" localSheetId="14" hidden="0" function="0" vbProcedure="0">INDEX(#ref!,0,MATCH('[59]ENG Input'!$A$117,Categories,0))</definedName>
    <definedName name="janrupees" localSheetId="14" hidden="0" function="0" vbProcedure="0">'[147]Cash Expense January-96'!$H$6</definedName>
    <definedName name="JEYJD" localSheetId="14" hidden="0" function="0" vbProcedure="0">'[146]tally checklist'!jeyjd</definedName>
    <definedName name="JK" localSheetId="14" hidden="0" function="0" vbProcedure="0">'[148]CSG13'!$B$5</definedName>
    <definedName name="JobCenterID" localSheetId="14" hidden="0" function="0" vbProcedure="0">'[94]Job Technical Info'!$C$10</definedName>
    <definedName name="JobEndDate" localSheetId="14" hidden="0" function="0" vbProcedure="0">'[144]job info sheet'!#ref!</definedName>
    <definedName name="JobNumber" localSheetId="14" hidden="0" function="0" vbProcedure="0">'[129]Front Page Info'!$C$4</definedName>
    <definedName name="jobpurpose1" localSheetId="14" hidden="0" function="0" vbProcedure="0">[132]Data!$L$1:$L$65536</definedName>
    <definedName name="JobType" localSheetId="14" hidden="0" function="0" vbProcedure="0">[6]Sheet1!$A$11:$A$16</definedName>
    <definedName name="Jobtype1" localSheetId="14" hidden="0" function="0" vbProcedure="0">[132]Data!$N$1:$N$65536</definedName>
    <definedName name="Job_date" localSheetId="14" hidden="0" function="0" vbProcedure="0">'[108]TCP-BHA'!$D$5</definedName>
    <definedName name="Job_Name" localSheetId="14" hidden="0" function="0" vbProcedure="0">'[30]Liner Job Info'!$E$5</definedName>
    <definedName name="Job_Type" localSheetId="14" hidden="0" function="0" vbProcedure="0">'[12]JCSI 12'!$AB$29:$AB$42</definedName>
    <definedName name="JointNumber" localSheetId="14" hidden="0" function="0" vbProcedure="0">[99]!JointNumber</definedName>
    <definedName name="JRJTRJT" localSheetId="14" hidden="0" function="0" vbProcedure="0">'[146]tally checklist'!jrjtrjt</definedName>
    <definedName name="JtCount" localSheetId="14" hidden="0" function="0" vbProcedure="0">'[79]casing talley'!#ref!</definedName>
    <definedName name="JTNFN" localSheetId="14" hidden="0" function="0" vbProcedure="0">'[146]tally checklist'!jtnfn</definedName>
    <definedName name="jun" localSheetId="14" hidden="1" function="0" vbProcedure="0">{#N/A,#N/A,FALSE,"Sheet1"}</definedName>
    <definedName name="June" localSheetId="14" hidden="1" function="0" vbProcedure="0">{#N/A,#N/A,FALSE,"Sheet1"}</definedName>
    <definedName name="June1" localSheetId="14" hidden="1" function="0" vbProcedure="0">{#N/A,#N/A,FALSE,"Sheet1"}</definedName>
    <definedName name="junk" localSheetId="14" hidden="0" function="0" vbProcedure="0">{#N/A,#N/A,FALSE,"Volume"}</definedName>
    <definedName name="junk1" localSheetId="14" hidden="0" function="0" vbProcedure="0">{#N/A,#N/A,FALSE,"Volume"}</definedName>
    <definedName name="junk2" localSheetId="14" hidden="0" function="0" vbProcedure="0">{#N/A,#N/A,FALSE,"Volume"}</definedName>
    <definedName name="junk3" localSheetId="14" hidden="0" function="0" vbProcedure="0">{#N/A,#N/A,FALSE,"Volume"}</definedName>
    <definedName name="junk4" localSheetId="14" hidden="0" function="0" vbProcedure="0">{#N/A,#N/A,FALSE,"Volume"}</definedName>
    <definedName name="Kill_Fluid_Type" localSheetId="14" hidden="0" function="0" vbProcedure="0">'[108]TCP-BHA'!$G$7</definedName>
    <definedName name="Kill_Fluid_Wt" localSheetId="14" hidden="0" function="0" vbProcedure="0">'[108]TCP-BHA'!$F$7</definedName>
    <definedName name="KK" localSheetId="14" hidden="0" function="0" vbProcedure="0">[28]!Macro1</definedName>
    <definedName name="KL" localSheetId="14" hidden="0" function="0" vbProcedure="0">[149]BHA!$C$4</definedName>
    <definedName name="KO" localSheetId="14" hidden="0" function="0" vbProcedure="0">'[148]CSG13'!$F$6</definedName>
    <definedName name="KRR" localSheetId="14" hidden="0" function="0" vbProcedure="0">'[146]tally checklist'!krr</definedName>
    <definedName name="KUYUKR" localSheetId="14" hidden="0" function="0" vbProcedure="0">'[146]tally checklist'!kuyukr</definedName>
    <definedName name="landoffshore" localSheetId="14" hidden="0" function="0" vbProcedure="0">[56]data!#ref!</definedName>
    <definedName name="LastCsgString" localSheetId="14" hidden="0" function="0" vbProcedure="0">[109]DATA!$AU$2:$AU$4</definedName>
    <definedName name="latlong" localSheetId="14" hidden="0" function="0" vbProcedure="0">'[126]Call Sheet'!$P$7</definedName>
    <definedName name="LC" localSheetId="14" hidden="0" function="0" vbProcedure="0">INDEX([111]DRAW!$J$13:$K$22,MATCH([112]AUTO_DHWS!$BC$4,[111]DRAW!$J$13:$J$22,0),2)</definedName>
    <definedName name="LCJobType" localSheetId="14" hidden="0" function="0" vbProcedure="0">'[94]Installation Results #1'!$C$306</definedName>
    <definedName name="LC_TYPE" localSheetId="14" hidden="0" function="0" vbProcedure="0">INDEX([111]DRAW!$P$68:$Q$70,MATCH([111]DRAW!$Q$67,[111]DRAW!$P$68:$P$70,0),2)</definedName>
    <definedName name="Lead_Slurry_in_12.25__OH" localSheetId="14" hidden="0" function="0" vbProcedure="0">'[150]Cmt Csg'!$C$6</definedName>
    <definedName name="lease" localSheetId="14" hidden="0" function="0" vbProcedure="0">[5]WTR!$I$6</definedName>
    <definedName name="Lease1" localSheetId="14" hidden="0" function="0" vbProcedure="0">'[108]TCP-BHA'!$A$7</definedName>
    <definedName name="Lengths" localSheetId="14"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4" hidden="0" function="0" vbProcedure="0">[125]Sheet2!$C$1:$C$5</definedName>
    <definedName name="Liner1_Burst" localSheetId="14" hidden="0" function="0" vbProcedure="0">'[109]Metric Conversions'!$B$45</definedName>
    <definedName name="Liner1_Burstz" localSheetId="14" hidden="0" function="0" vbProcedure="0">'[109]Liner Job Info'!$J$17</definedName>
    <definedName name="Liner1_Cap" localSheetId="14" hidden="0" function="0" vbProcedure="0">'[109]Liner Job Info'!$P$17</definedName>
    <definedName name="Liner1_Collapsez" localSheetId="14" hidden="0" function="0" vbProcedure="0">'[109]Liner Job Info'!$L$17</definedName>
    <definedName name="Liner1_ID" localSheetId="14" hidden="0" function="0" vbProcedure="0">'[109]Liner Job Info'!$D$17</definedName>
    <definedName name="Liner1_Length" localSheetId="14" hidden="0" function="0" vbProcedure="0">'[130]Metric Conversions'!$B$17</definedName>
    <definedName name="Liner1_Lengthz" localSheetId="14" hidden="0" function="0" vbProcedure="0">'[109]Liner Job Info'!$R$17</definedName>
    <definedName name="Liner1_OD" localSheetId="14" hidden="0" function="0" vbProcedure="0">'[130]Liner Job Info'!$C$17</definedName>
    <definedName name="Liner1_Thread" localSheetId="14" hidden="0" function="0" vbProcedure="0">'[130]Liner Job Info'!$H$17</definedName>
    <definedName name="Liner1_Wt_in_Mud" localSheetId="14" hidden="0" function="0" vbProcedure="0">'[109]Weight Calculations'!$H$16</definedName>
    <definedName name="Liner1_Wt_Per_Ft" localSheetId="14" hidden="0" function="0" vbProcedure="0">'[130]Liner Job Info'!$E$17</definedName>
    <definedName name="Liner2_Burst" localSheetId="14" hidden="0" function="0" vbProcedure="0">'[109]Metric Conversions'!$B$46</definedName>
    <definedName name="Liner2_Burstz" localSheetId="14" hidden="0" function="0" vbProcedure="0">'[109]Liner Job Info'!$J$18</definedName>
    <definedName name="Liner2_Cap" localSheetId="14" hidden="0" function="0" vbProcedure="0">'[109]Liner Job Info'!$P$18</definedName>
    <definedName name="Liner2_Collapsez" localSheetId="14" hidden="0" function="0" vbProcedure="0">'[109]Liner Job Info'!$L$18</definedName>
    <definedName name="Liner2_ID" localSheetId="14" hidden="0" function="0" vbProcedure="0">'[109]Liner Job Info'!$D$18</definedName>
    <definedName name="Liner2_Length" localSheetId="14" hidden="0" function="0" vbProcedure="0">'[130]Metric Conversions'!$B$18</definedName>
    <definedName name="Liner2_Lengthz" localSheetId="14" hidden="0" function="0" vbProcedure="0">'[109]Liner Job Info'!$R$18</definedName>
    <definedName name="Liner2_OD" localSheetId="14" hidden="0" function="0" vbProcedure="0">'[130]Liner Job Info'!$C$18</definedName>
    <definedName name="Liner2_Thread" localSheetId="14" hidden="0" function="0" vbProcedure="0">'[130]Liner Job Info'!$H$18</definedName>
    <definedName name="Liner2_Wt_in_Mud" localSheetId="14" hidden="0" function="0" vbProcedure="0">'[109]Weight Calculations'!$H$17</definedName>
    <definedName name="Liner2_Wt_Per_FT" localSheetId="14" hidden="0" function="0" vbProcedure="0">'[130]Liner Job Info'!$E$18</definedName>
    <definedName name="Linertype" localSheetId="14" hidden="0" function="0" vbProcedure="0">[109]DATA!$W$2:$W$12</definedName>
    <definedName name="Liner_I.D." localSheetId="14" hidden="0" function="0" vbProcedure="0">'[108]Job Calculation Sheet'!$F$14</definedName>
    <definedName name="Liner_ID_Area" localSheetId="14" hidden="0" function="0" vbProcedure="0">[109]Test!$V$40</definedName>
    <definedName name="Liner_Size" localSheetId="14" hidden="0" function="0" vbProcedure="0">'[108]Pre-Job Info Sheet'!$D$17</definedName>
    <definedName name="Liner_Top__MD" localSheetId="14" hidden="0" function="0" vbProcedure="0">'[108]Pre-Job Info Sheet'!$D$19</definedName>
    <definedName name="Liner_Weight" localSheetId="14" hidden="0" function="0" vbProcedure="0">'[108]Pre-Job Info Sheet'!$D$18</definedName>
    <definedName name="lkj" localSheetId="14" hidden="1" function="0" vbProcedure="0">[103]Run!$B$18:$B$512</definedName>
    <definedName name="Lnr1_Grade" localSheetId="14" hidden="0" function="0" vbProcedure="0">'[130]Liner Job Info'!$F$17</definedName>
    <definedName name="Lnr1_Vol" localSheetId="14" hidden="0" function="0" vbProcedure="0">'[109]Metric Conversions'!$B$77</definedName>
    <definedName name="Lnr1_Volz" localSheetId="14" hidden="0" function="0" vbProcedure="0">'[109]Metric Conversions'!$C$77</definedName>
    <definedName name="Lnr1_X_OH_Volz" localSheetId="14" hidden="0" function="0" vbProcedure="0">'[109]Metric Conversions'!$C$82</definedName>
    <definedName name="Lnr2_Grade" localSheetId="14" hidden="0" function="0" vbProcedure="0">'[130]Liner Job Info'!$F$18</definedName>
    <definedName name="Lnr2_Vol" localSheetId="14" hidden="0" function="0" vbProcedure="0">'[109]Metric Conversions'!$B$78</definedName>
    <definedName name="Lnr2_Volz" localSheetId="14" hidden="0" function="0" vbProcedure="0">'[109]Metric Conversions'!$C$78</definedName>
    <definedName name="Lnr2_X_OH_Volz" localSheetId="14" hidden="0" function="0" vbProcedure="0">'[109]Metric Conversions'!$C$83</definedName>
    <definedName name="LnrDrift1" localSheetId="14" hidden="0" function="0" vbProcedure="0">'[94]Job Technical Info'!$G$29</definedName>
    <definedName name="LnrDrift2" localSheetId="14" hidden="0" function="0" vbProcedure="0">'[94]Job Technical Info'!$G$30</definedName>
    <definedName name="LnrGrd1" localSheetId="14" hidden="0" function="0" vbProcedure="0">'[94]Job Technical Info'!$H$29</definedName>
    <definedName name="LnrGrd2" localSheetId="14" hidden="0" function="0" vbProcedure="0">'[94]Job Technical Info'!$H$30</definedName>
    <definedName name="LnrID1" localSheetId="14" hidden="0" function="0" vbProcedure="0">'[94]Job Technical Info'!$F$29</definedName>
    <definedName name="LnrID2" localSheetId="14" hidden="0" function="0" vbProcedure="0">'[94]Job Technical Info'!$F$30</definedName>
    <definedName name="LnrSz1" localSheetId="14" hidden="0" function="0" vbProcedure="0">'[94]Job Technical Info'!$D$29</definedName>
    <definedName name="LnrSz2" localSheetId="14" hidden="0" function="0" vbProcedure="0">'[94]Job Technical Info'!$D$30</definedName>
    <definedName name="LnrThd1" localSheetId="14" hidden="0" function="0" vbProcedure="0">'[94]Job Technical Info'!$J$29</definedName>
    <definedName name="LnrThd2" localSheetId="14" hidden="0" function="0" vbProcedure="0">'[94]Job Technical Info'!$J$30</definedName>
    <definedName name="LnrWt1" localSheetId="14" hidden="0" function="0" vbProcedure="0">'[94]Job Technical Info'!$E$29</definedName>
    <definedName name="LnrWt2" localSheetId="14" hidden="0" function="0" vbProcedure="0">'[94]Job Technical Info'!$E$30</definedName>
    <definedName name="Lnr_Shoe_Depth" localSheetId="14" hidden="0" function="0" vbProcedure="0">'[130]Metric Conversions'!$B$29</definedName>
    <definedName name="Loaded" localSheetId="14" hidden="0" function="0" vbProcedure="0">'[108]Pre-Job Info Sheet'!$B$19</definedName>
    <definedName name="Location" localSheetId="14" hidden="0" function="0" vbProcedure="0">[63]auf_screen!#ref!</definedName>
    <definedName name="LOGGER" localSheetId="14" hidden="0" function="0" vbProcedure="0">[209]!Calculate_Pipe</definedName>
    <definedName name="loudout" localSheetId="14" hidden="1" function="0" vbProcedure="0">[151]Run!$D$15:$D$512</definedName>
    <definedName name="LS" localSheetId="14" hidden="0" function="0" vbProcedure="0">'[196]amberjack a32ream'!#ref!</definedName>
    <definedName name="LSA" localSheetId="14" hidden="0" function="0" vbProcedure="0">[213]!Calculate_Pipe</definedName>
    <definedName name="LSD" localSheetId="14" hidden="0" function="0" vbProcedure="0">'[144]job info sheet'!#ref!</definedName>
    <definedName name="LTP" localSheetId="14" hidden="0" function="0" vbProcedure="0">INDEX([111]DRAW!$D$14:$E$15,MATCH([112]AUTO_DHWS!$BB$7,[111]DRAW!$D$14:$D$15,0),2)</definedName>
    <definedName name="Macro1" localSheetId="14" hidden="0" function="0" vbProcedure="0">[18]!Macro1</definedName>
    <definedName name="Macro2" localSheetId="14" hidden="0" function="0" vbProcedure="0">[28]!Macro2</definedName>
    <definedName name="Macro22" localSheetId="14" hidden="0" function="0" vbProcedure="0">[28]!Macro22</definedName>
    <definedName name="Macro22_1" localSheetId="14" hidden="0" function="0" vbProcedure="0">'DATA 1'!Macro22</definedName>
    <definedName name="Macro22_10" localSheetId="14" hidden="0" function="0" vbProcedure="0">'DATA 1'!Macro22</definedName>
    <definedName name="Macro22_11" localSheetId="14" hidden="0" function="0" vbProcedure="0">'DATA 1'!Macro22</definedName>
    <definedName name="Macro22_2" localSheetId="14" hidden="0" function="0" vbProcedure="0">'DATA 1'!Macro22</definedName>
    <definedName name="Macro22_3" localSheetId="14" hidden="0" function="0" vbProcedure="0">'DATA 1'!Macro22</definedName>
    <definedName name="Macro22_4" localSheetId="14" hidden="0" function="0" vbProcedure="0">'DATA 1'!Macro22</definedName>
    <definedName name="Macro22_5" localSheetId="14" hidden="0" function="0" vbProcedure="0">'DATA 1'!Macro22</definedName>
    <definedName name="Macro22_6" localSheetId="14" hidden="0" function="0" vbProcedure="0">'DATA 1'!Macro22</definedName>
    <definedName name="Macro22_7" localSheetId="14" hidden="0" function="0" vbProcedure="0">'DATA 1'!Macro22</definedName>
    <definedName name="Macro22_8" localSheetId="14" hidden="0" function="0" vbProcedure="0">'DATA 1'!Macro22</definedName>
    <definedName name="Macro22_9" localSheetId="14" hidden="0" function="0" vbProcedure="0">'DATA 1'!Macro22</definedName>
    <definedName name="Macro233" localSheetId="14" hidden="0" function="0" vbProcedure="0">[28]!Macro1</definedName>
    <definedName name="Macro2_1" localSheetId="14" hidden="0" function="0" vbProcedure="0">'DATA 1'!Macro2</definedName>
    <definedName name="Macro2_10" localSheetId="14" hidden="0" function="0" vbProcedure="0">'DATA 1'!Macro2</definedName>
    <definedName name="Macro2_11" localSheetId="14" hidden="0" function="0" vbProcedure="0">'DATA 1'!Macro2</definedName>
    <definedName name="Macro2_2" localSheetId="14" hidden="0" function="0" vbProcedure="0">'DATA 1'!Macro2</definedName>
    <definedName name="Macro2_3" localSheetId="14" hidden="0" function="0" vbProcedure="0">'DATA 1'!Macro2</definedName>
    <definedName name="Macro2_4" localSheetId="14" hidden="0" function="0" vbProcedure="0">'DATA 1'!Macro2</definedName>
    <definedName name="Macro2_5" localSheetId="14" hidden="0" function="0" vbProcedure="0">'DATA 1'!Macro2</definedName>
    <definedName name="Macro2_6" localSheetId="14" hidden="0" function="0" vbProcedure="0">'DATA 1'!Macro2</definedName>
    <definedName name="Macro2_7" localSheetId="14" hidden="0" function="0" vbProcedure="0">'DATA 1'!Macro2</definedName>
    <definedName name="Macro2_8" localSheetId="14" hidden="0" function="0" vbProcedure="0">'DATA 1'!Macro2</definedName>
    <definedName name="Macro2_9" localSheetId="14" hidden="0" function="0" vbProcedure="0">'DATA 1'!Macro2</definedName>
    <definedName name="Macro3" localSheetId="14" hidden="0" function="0" vbProcedure="0">[28]!Macro3</definedName>
    <definedName name="Macro3_1" localSheetId="14" hidden="0" function="0" vbProcedure="0">'DATA 1'!Macro3</definedName>
    <definedName name="Macro3_10" localSheetId="14" hidden="0" function="0" vbProcedure="0">'DATA 1'!Macro3</definedName>
    <definedName name="Macro3_11" localSheetId="14" hidden="0" function="0" vbProcedure="0">'DATA 1'!Macro3</definedName>
    <definedName name="Macro3_2" localSheetId="14" hidden="0" function="0" vbProcedure="0">'DATA 1'!Macro3</definedName>
    <definedName name="Macro3_3" localSheetId="14" hidden="0" function="0" vbProcedure="0">'DATA 1'!Macro3</definedName>
    <definedName name="Macro3_4" localSheetId="14" hidden="0" function="0" vbProcedure="0">'DATA 1'!Macro3</definedName>
    <definedName name="Macro3_5" localSheetId="14" hidden="0" function="0" vbProcedure="0">'DATA 1'!Macro3</definedName>
    <definedName name="Macro3_6" localSheetId="14" hidden="0" function="0" vbProcedure="0">'DATA 1'!Macro3</definedName>
    <definedName name="Macro3_7" localSheetId="14" hidden="0" function="0" vbProcedure="0">'DATA 1'!Macro3</definedName>
    <definedName name="Macro3_8" localSheetId="14" hidden="0" function="0" vbProcedure="0">'DATA 1'!Macro3</definedName>
    <definedName name="Macro3_9" localSheetId="14" hidden="0" function="0" vbProcedure="0">'DATA 1'!Macro3</definedName>
    <definedName name="Make_Up_Torque_Of_Weak_Link" localSheetId="14" hidden="0" function="0" vbProcedure="0">'[109]Liner Job Info'!$P$50</definedName>
    <definedName name="MaPSDensity" localSheetId="14" hidden="0" function="0" vbProcedure="0">'[94]SetUp Tab'!$G$25</definedName>
    <definedName name="MaPSDiameter" localSheetId="14" hidden="0" function="0" vbProcedure="0">'[94]SetUp Tab'!$G$23</definedName>
    <definedName name="MaPSFlowRate" localSheetId="14" hidden="0" function="0" vbProcedure="0">'[94]SetUp Tab'!$G$26</definedName>
    <definedName name="MaPSLength" localSheetId="14" hidden="0" function="0" vbProcedure="0">'[94]SetUp Tab'!$E$23</definedName>
    <definedName name="MaPSMass" localSheetId="14" hidden="0" function="0" vbProcedure="0">[94]Lists!$BJ$3</definedName>
    <definedName name="MaPSPressure" localSheetId="14" hidden="0" function="0" vbProcedure="0">'[94]SetUp Tab'!$G$24</definedName>
    <definedName name="MaPSTemp" localSheetId="14" hidden="0" function="0" vbProcedure="0">'[94]SetUp Tab'!$E$26</definedName>
    <definedName name="MaPSWeight" localSheetId="14" hidden="0" function="0" vbProcedure="0">'[94]SetUp Tab'!$E$24</definedName>
    <definedName name="marrupees" localSheetId="14" hidden="0" function="0" vbProcedure="0">'[152]Cash Expsense March-96'!$H$6</definedName>
    <definedName name="Material" localSheetId="14" hidden="0" function="0" vbProcedure="0">[109]DATA!$I$3:$I$22</definedName>
    <definedName name="Max._Deviation" localSheetId="14" hidden="0" function="0" vbProcedure="0">'[108]Pre-Job Info Sheet'!$B$36</definedName>
    <definedName name="MaxDev" localSheetId="14" hidden="0" function="0" vbProcedure="0">'[94]Job Technical Info'!$F$41</definedName>
    <definedName name="Max_Bump_psi" localSheetId="14" hidden="0" function="0" vbProcedure="0">'[109]Metric Conversions'!$B$59</definedName>
    <definedName name="Max_Bump_psiz" localSheetId="14" hidden="0" function="0" vbProcedure="0">'[109]Metric Conversions'!$C$59</definedName>
    <definedName name="Max_Test_Cmt_Setup" localSheetId="14" hidden="0" function="0" vbProcedure="0">'[109]Metric Conversions'!$B$62</definedName>
    <definedName name="Max_Test_Cmt_Setupz" localSheetId="14" hidden="0" function="0" vbProcedure="0">'[109]Metric Conversions'!$C$62</definedName>
    <definedName name="Max_Test_Seals_In" localSheetId="14" hidden="0" function="0" vbProcedure="0">'[109]Metric Conversions'!$B$61</definedName>
    <definedName name="Max_Test_Seals_Inz" localSheetId="14" hidden="0" function="0" vbProcedure="0">'[109]Metric Conversions'!$C$61</definedName>
    <definedName name="Max_test_seals_out" localSheetId="14" hidden="0" function="0" vbProcedure="0">'[109]Metric Conversions'!$B$60</definedName>
    <definedName name="Max_test_seals_outz" localSheetId="14" hidden="0" function="0" vbProcedure="0">'[109]Metric Conversions'!$C$60</definedName>
    <definedName name="Max_Turns" localSheetId="14" hidden="0" function="0" vbProcedure="0">'[109]Weight Calculations'!$T$36</definedName>
    <definedName name="MDData" localSheetId="14" hidden="0" function="0" vbProcedure="0">OFFSET([28]!MDForInclination,2,0,COUNT(#ref!),1)</definedName>
    <definedName name="MeteringTime" localSheetId="14" hidden="0" function="0" vbProcedure="0">[109]DATA!$BG$2:$BG$42</definedName>
    <definedName name="Min._Ten_Sett_Tool_Assy" localSheetId="14" hidden="0" function="0" vbProcedure="0">'[109]Weight Calculations'!$S$60</definedName>
    <definedName name="Min_DP_Tens" localSheetId="14" hidden="0" function="0" vbProcedure="0">'[109]Weight Calculations'!$W$61</definedName>
    <definedName name="Min_Ft_Release_RH" localSheetId="14" hidden="0" function="0" vbProcedure="0">'[109]Metric Conversions'!$B$39</definedName>
    <definedName name="Min_Ft_Release_RHz" localSheetId="14" hidden="0" function="0" vbProcedure="0">'[109]Metric Conversions'!$C$39</definedName>
    <definedName name="mobile" localSheetId="14" hidden="0" function="0" vbProcedure="0">'[126]Call Sheet'!$R$5</definedName>
    <definedName name="Module1.draw_productionfirst" localSheetId="14" hidden="0" function="0" vbProcedure="0">'[146]tally checklist'!module1.draw_productionfirst</definedName>
    <definedName name="Module1.draw_productionsecond" localSheetId="14" hidden="0" function="0" vbProcedure="0">'[146]tally checklist'!module1.draw_productionsecond</definedName>
    <definedName name="Module1.impdwg" localSheetId="14" hidden="0" function="0" vbProcedure="0">[28]!Module1.impdwg</definedName>
    <definedName name="Module1.impdwg_1" localSheetId="14" hidden="0" function="0" vbProcedure="0">'DATA 1'!Module1.impdwg</definedName>
    <definedName name="Module1.impdwg_10" localSheetId="14" hidden="0" function="0" vbProcedure="0">'DATA 1'!Module1.impdwg</definedName>
    <definedName name="Module1.impdwg_11" localSheetId="14" hidden="0" function="0" vbProcedure="0">'DATA 1'!Module1.impdwg</definedName>
    <definedName name="Module1.impdwg_2" localSheetId="14" hidden="0" function="0" vbProcedure="0">'DATA 1'!Module1.impdwg</definedName>
    <definedName name="Module1.impdwg_3" localSheetId="14" hidden="0" function="0" vbProcedure="0">'DATA 1'!Module1.impdwg</definedName>
    <definedName name="Module1.impdwg_4" localSheetId="14" hidden="0" function="0" vbProcedure="0">'DATA 1'!Module1.impdwg</definedName>
    <definedName name="Module1.impdwg_5" localSheetId="14" hidden="0" function="0" vbProcedure="0">'DATA 1'!Module1.impdwg</definedName>
    <definedName name="Module1.impdwg_6" localSheetId="14" hidden="0" function="0" vbProcedure="0">'DATA 1'!Module1.impdwg</definedName>
    <definedName name="Module1.impdwg_7" localSheetId="14" hidden="0" function="0" vbProcedure="0">'DATA 1'!Module1.impdwg</definedName>
    <definedName name="Module1.impdwg_8" localSheetId="14" hidden="0" function="0" vbProcedure="0">'DATA 1'!Module1.impdwg</definedName>
    <definedName name="Module1.impdwg_9" localSheetId="14" hidden="0" function="0" vbProcedure="0">'DATA 1'!Module1.impdwg</definedName>
    <definedName name="Module4.drawblanks" localSheetId="14" hidden="0" function="0" vbProcedure="0">'[146]tally checklist'!module4.drawblanks</definedName>
    <definedName name="Module4.drawlinerfirst" localSheetId="14" hidden="0" function="0" vbProcedure="0">'[146]tally checklist'!module4.drawlinerfirst</definedName>
    <definedName name="Module4.drawlinersecond" localSheetId="14" hidden="0" function="0" vbProcedure="0">'[146]tally checklist'!module4.drawlinersecond</definedName>
    <definedName name="Module4.drawmiscellaneous" localSheetId="14" hidden="0" function="0" vbProcedure="0">'[146]tally checklist'!module4.drawmiscellaneous</definedName>
    <definedName name="Module4.drawproductionfirst" localSheetId="14" hidden="0" function="0" vbProcedure="0">'[146]tally checklist'!module4.drawproductionfirst</definedName>
    <definedName name="Module4.drawproductionsecond" localSheetId="14" hidden="0" function="0" vbProcedure="0">'[146]tally checklist'!module4.drawproductionsecond</definedName>
    <definedName name="Module4.drawquantum" localSheetId="14" hidden="0" function="0" vbProcedure="0">'[146]tally checklist'!module4.drawquantum</definedName>
    <definedName name="Module4.drawscreens" localSheetId="14" hidden="0" function="0" vbProcedure="0">'[146]tally checklist'!module4.drawscreens</definedName>
    <definedName name="Module4.drawshearsubs" localSheetId="14" hidden="0" function="0" vbProcedure="0">'[146]tally checklist'!module4.drawshearsubs</definedName>
    <definedName name="Module4.drawsump" localSheetId="14" hidden="0" function="0" vbProcedure="0">'[146]tally checklist'!module4.drawsump</definedName>
    <definedName name="Module4.textfive" localSheetId="14" hidden="0" function="0" vbProcedure="0">'[146]tally checklist'!module4.textfive</definedName>
    <definedName name="Module4.textfivehalf" localSheetId="14" hidden="0" function="0" vbProcedure="0">'[146]tally checklist'!module4.textfivehalf</definedName>
    <definedName name="Module4.textninefiveeightfourfirst" localSheetId="14" hidden="0" function="0" vbProcedure="0">'[146]tally checklist'!module4.textninefiveeightfourfirst</definedName>
    <definedName name="Module4.textninefiveeightfoursecond" localSheetId="14" hidden="0" function="0" vbProcedure="0">'[146]tally checklist'!module4.textninefiveeightfoursecond</definedName>
    <definedName name="Module4.textninefiveeightsixfirst" localSheetId="14" hidden="0" function="0" vbProcedure="0">'[146]tally checklist'!module4.textninefiveeightsixfirst</definedName>
    <definedName name="Module4.textninefiveeightsixsecond" localSheetId="14" hidden="0" function="0" vbProcedure="0">'[146]tally checklist'!module4.textninefiveeightsixsecond</definedName>
    <definedName name="Module4.textsevenfiveeightfour" localSheetId="14" hidden="0" function="0" vbProcedure="0">'[146]tally checklist'!module4.textsevenfiveeightfour</definedName>
    <definedName name="Module4.textsevenfiveeightthree" localSheetId="14" hidden="0" function="0" vbProcedure="0">'[146]tally checklist'!module4.textsevenfiveeightthree</definedName>
    <definedName name="Module4.textsevenfour" localSheetId="14" hidden="0" function="0" vbProcedure="0">'[146]tally checklist'!module4.textsevenfour</definedName>
    <definedName name="Module4.textseventhree" localSheetId="14" hidden="0" function="0" vbProcedure="0">'[146]tally checklist'!module4.textseventhree</definedName>
    <definedName name="Month" localSheetId="14" hidden="0" function="0" vbProcedure="0">[63]auf_screen!#ref!</definedName>
    <definedName name="MorningReport" localSheetId="14" hidden="0" function="0" vbProcedure="0">'[218]morning report'!#ref!</definedName>
    <definedName name="mr" localSheetId="14" hidden="1" function="0" vbProcedure="0">{#N/A,#N/A,FALSE,"Sheet1"}</definedName>
    <definedName name="Mudtype" localSheetId="14" hidden="0" function="0" vbProcedure="0">[109]DATA!$N$2:$N$18</definedName>
    <definedName name="Mudwt" localSheetId="14" hidden="0" function="0" vbProcedure="0">"Dialog2_Edit Box 5"</definedName>
    <definedName name="Mud_Type" localSheetId="14" hidden="0" function="0" vbProcedure="0">'[7]Drop-Down Items'!$D$4:$D$14</definedName>
    <definedName name="Mud_Wt" localSheetId="14" hidden="0" function="0" vbProcedure="0">'[130]Metric Conversions'!$B$66</definedName>
    <definedName name="Mud_Wtz" localSheetId="14" hidden="0" function="0" vbProcedure="0">'[109]Liner Job Info'!$D$31</definedName>
    <definedName name="MULE_SHOE_DEPTH" localSheetId="14" hidden="0" function="0" vbProcedure="0">'[113]#REF'!$F$182</definedName>
    <definedName name="MW" localSheetId="14" hidden="0" function="0" vbProcedure="0">#ref!,#ref!,#ref!,#ref!,#ref!</definedName>
    <definedName name="MWD" localSheetId="14" hidden="0" function="0" vbProcedure="0">[6]Sheet1!$F$10:$F$12</definedName>
    <definedName name="m_choke" localSheetId="14" hidden="0" function="0" vbProcedure="0">'[96]well test sheet'!#ref!</definedName>
    <definedName name="n" localSheetId="14" hidden="0" function="0" vbProcedure="0">'[146]tally checklist'!n</definedName>
    <definedName name="N2_Precharge" localSheetId="14" hidden="0" function="0" vbProcedure="0">'[108]Tester Valve Calcs'!$F$16</definedName>
    <definedName name="N2_Press_DH" localSheetId="14" hidden="0" function="0" vbProcedure="0">'[108]Tester Valve Calcs'!$F$29</definedName>
    <definedName name="N2_Stroke" localSheetId="14" hidden="0" function="0" vbProcedure="0">'[108]Tester Valve Calcs'!$M$18</definedName>
    <definedName name="N2_Temp_DH" localSheetId="14" hidden="0" function="0" vbProcedure="0">'[108]Tester Valve Calcs'!$F$22</definedName>
    <definedName name="N2_Temp_Surf" localSheetId="14" hidden="0" function="0" vbProcedure="0">'[108]Tester Valve Calcs'!$F$17</definedName>
    <definedName name="N2_Vol_DH" localSheetId="14" hidden="0" function="0" vbProcedure="0">'[108]Tester Valve Calcs'!$F$25</definedName>
    <definedName name="N2_Vol_Surf" localSheetId="14" hidden="0" function="0" vbProcedure="0">'[108]Tester Valve Calcs'!$F$14</definedName>
    <definedName name="nb" localSheetId="14" hidden="0" function="0" vbProcedure="0">'[134]井口装置示意图-4'!$E$1:$E$65536</definedName>
    <definedName name="netperf" localSheetId="14" hidden="0" function="0" vbProcedure="0">[5]WTR!$G$33</definedName>
    <definedName name="NET_PERFS" localSheetId="14" hidden="0" function="0" vbProcedure="0">'[113]#REF'!$F$20</definedName>
    <definedName name="NewData" localSheetId="14" hidden="0" function="0" vbProcedure="0">'[132]New Contract'!$A$1:$G$65536</definedName>
    <definedName name="NewDes" localSheetId="14" hidden="0" function="0" vbProcedure="0">'[132]New Contract'!$A$1:$A$65536</definedName>
    <definedName name="newrisk" localSheetId="14" hidden="0" function="0" vbProcedure="0">[125]Sheet2!$D$1:$D$3</definedName>
    <definedName name="NextTD" localSheetId="14" hidden="0" function="0" vbProcedure="0">'[153]Lookahd EA'!$E$1:$N$3</definedName>
    <definedName name="ng"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4" hidden="0" function="0" vbProcedure="0">'[7]#ref'!#ref!</definedName>
    <definedName name="No" localSheetId="14" hidden="0" function="0" vbProcedure="0">'[154]BPR LOG'!$A$1:$A$1048576</definedName>
    <definedName name="NOofTools" localSheetId="14" hidden="0" function="0" vbProcedure="0">[109]DATA!$BP$2:$BP$12</definedName>
    <definedName name="O" localSheetId="14" hidden="0" function="0" vbProcedure="0">'[155]Report Long(Esso)'!$E$4</definedName>
    <definedName name="odcasing" localSheetId="14" hidden="0" function="0" vbProcedure="0">[106]Data!$J$16</definedName>
    <definedName name="ODSizes" localSheetId="14" hidden="0" function="0" vbProcedure="0">[94]Lists!$AF$3:$AF$42</definedName>
    <definedName name="ODUnit" localSheetId="14" hidden="0" function="0" vbProcedure="0">'[94]Job Technical Info'!$D$24</definedName>
    <definedName name="odworkstring" localSheetId="14" hidden="0" function="0" vbProcedure="0">[106]Data!$W$18</definedName>
    <definedName name="office" localSheetId="14" hidden="0" function="0" vbProcedure="0">'[126]Call Sheet'!$AH$5</definedName>
    <definedName name="Offshore_Block" localSheetId="14" hidden="0" function="0" vbProcedure="0">'[108]TCP-BHA'!$A$9</definedName>
    <definedName name="ogr" localSheetId="14" hidden="0" function="0" vbProcedure="0">'[156]Test Data'!$T$8:$T$16,'[156]Test Data'!$T$18:$T$122,'[156]Test Data'!$T$132:$T$247</definedName>
    <definedName name="OHoleID" localSheetId="14" hidden="0" function="0" vbProcedure="0">'[94]Job Technical Info'!$B$40</definedName>
    <definedName name="OHoleLength" localSheetId="14" hidden="0" function="0" vbProcedure="0">'[94]Job Technical Info'!$D$40</definedName>
    <definedName name="OH_Dia" localSheetId="14" hidden="0" function="0" vbProcedure="0">'[109]Liner Job Info'!$Q$14</definedName>
    <definedName name="oilrate" localSheetId="14" hidden="0" function="0" vbProcedure="0">'[96]well test sheet'!#ref!</definedName>
    <definedName name="oil_cumm" localSheetId="14" hidden="0" function="0" vbProcedure="0">'[96]well test sheet'!#ref!</definedName>
    <definedName name="omdo"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4" hidden="0" function="0" vbProcedure="0">'[157]Initial Tally'!$G$4</definedName>
    <definedName name="onefive" localSheetId="14" hidden="0" function="0" vbProcedure="0">[56]data!#ref!</definedName>
    <definedName name="OP_1" localSheetId="14" hidden="0" function="0" vbProcedure="0">[158]Data!$F$1:$F$3</definedName>
    <definedName name="Overbalance" localSheetId="14" hidden="0" function="0" vbProcedure="0">'[108]Pre-Job Info Sheet'!$D$34</definedName>
    <definedName name="Overlap" localSheetId="14" hidden="0" function="0" vbProcedure="0">'[109]Metric Conversions'!$B$16</definedName>
    <definedName name="Overlapz" localSheetId="14" hidden="0" function="0" vbProcedure="0">'[109]Liner Job Info'!$R$14</definedName>
    <definedName name="Overlap_Volz" localSheetId="14" hidden="0" function="0" vbProcedure="0">'[109]Metric Conversions'!$C$84</definedName>
    <definedName name="P" localSheetId="14" hidden="1" function="0" vbProcedure="0">{#N/A,#N/A,FALSE,"Drlg Param Run 1-1";#N/A,#N/A,FALSE,"DDR (3)";#N/A,#N/A,FALSE,"BHA AT (1)";#N/A,#N/A,FALSE,"Downlinkbha";#N/A,#N/A,FALSE,"Job Status Report"}</definedName>
    <definedName name="PACKER" localSheetId="14" hidden="0" function="0" vbProcedure="0">INDEX([111]DRAW!$A$2:$B$13,MATCH([112]AUTO_DHWS!$AV$8,[111]DRAW!$A$2:$A$13,0),2)</definedName>
    <definedName name="PackerDepth" localSheetId="14" hidden="0" function="0" vbProcedure="0">'[79]casing talley'!#ref!</definedName>
    <definedName name="PACKER_2" localSheetId="14" hidden="0" function="0" vbProcedure="0">INDEX([111]DRAW!$D$13:$E$14,MATCH([112]AUTO_DHWS!$AV$12,[111]DRAW!$D$13:$D$14,0),2)</definedName>
    <definedName name="Packer_Rotation" localSheetId="14" hidden="0" function="0" vbProcedure="0">'[109]Liner Job Info'!$P$40</definedName>
    <definedName name="Packer_Set_In" localSheetId="14" hidden="0" function="0" vbProcedure="0">'[108]Pre-Job Info Sheet'!$D$22</definedName>
    <definedName name="PackOff" localSheetId="14" hidden="0" function="0" vbProcedure="0">[109]DATA!$AP$2:$AP$6</definedName>
    <definedName name="PackoffXDP1_Pist_Area" localSheetId="14" hidden="0" function="0" vbProcedure="0">'[109]Liner Job Info'!$AF$2</definedName>
    <definedName name="PackoffXDP2_Pist_Area" localSheetId="14" hidden="0" function="0" vbProcedure="0">'[109]Liner Job Info'!$AF$3</definedName>
    <definedName name="PackoffXDP3_Pist_Area" localSheetId="14" hidden="0" function="0" vbProcedure="0">'[109]Liner Job Info'!$AG$28</definedName>
    <definedName name="PackoffXDP4_Pist_Area" localSheetId="14" hidden="0" function="0" vbProcedure="0">'[109]Liner Job Info'!$AG$29</definedName>
    <definedName name="PackoffXDP5_Pist_Area" localSheetId="14" hidden="0" function="0" vbProcedure="0">'[109]Liner Job Info'!$AG$30</definedName>
    <definedName name="Packoff_Pist_Area" localSheetId="14" hidden="0" function="0" vbProcedure="0">'[109]Liner Job Info'!$AG$31</definedName>
    <definedName name="Packoff_Stinger_OD" localSheetId="14" hidden="0" function="0" vbProcedure="0">'[109]Liner Job Info'!$P$42</definedName>
    <definedName name="Para3" localSheetId="14" hidden="1" function="0" vbProcedure="0">{#N/A,#N/A,FALSE,"Drlg Param Run 1-1";#N/A,#N/A,FALSE,"DDR (3)";#N/A,#N/A,FALSE,"BHA AT (1)";#N/A,#N/A,FALSE,"Downlinkbha";#N/A,#N/A,FALSE,"Job Status Report"}</definedName>
    <definedName name="Parish" localSheetId="14" hidden="0" function="0" vbProcedure="0">'[108]TCP-BHA'!$C$9</definedName>
    <definedName name="Parish_County" localSheetId="14" hidden="0" function="0" vbProcedure="0">'[108]Pre-Job Info Sheet'!$D$9</definedName>
    <definedName name="PBTD" localSheetId="14" hidden="0" function="0" vbProcedure="0">'[79]casing talley'!#ref!</definedName>
    <definedName name="Pckr_Body_Bst" localSheetId="14" hidden="0" function="0" vbProcedure="0">'[109]Metric Conversions'!$B$52</definedName>
    <definedName name="Pckr_Body_Bstz" localSheetId="14" hidden="0" function="0" vbProcedure="0">'[109]Liner Job Info'!$P$32</definedName>
    <definedName name="Pckr_Body_Collz" localSheetId="14" hidden="0" function="0" vbProcedure="0">'[109]Liner Job Info'!$P$33</definedName>
    <definedName name="Pckr_Body_Tens" localSheetId="14" hidden="0" function="0" vbProcedure="0">'[109]Liner Job Info'!$P$34</definedName>
    <definedName name="Pckr_Seal_Surf_OD" localSheetId="14" hidden="0" function="0" vbProcedure="0">'[109]Liner Job Info'!$P$31</definedName>
    <definedName name="Pckr_Sett_Force" localSheetId="14" hidden="0" function="0" vbProcedure="0">'[109]Liner Job Info'!$P$39</definedName>
    <definedName name="PDHG_2" localSheetId="14" hidden="0" function="0" vbProcedure="0">INDEX([111]DRAW!$A$2:$B$13,MATCH([112]AUTO_DHWS!$AV$13,[111]DRAW!$A$2:$A$13,0),2)</definedName>
    <definedName name="PD_SOFTWARE" localSheetId="14" hidden="0" function="0" vbProcedure="0">[129]RSS!$J$148:$J$152</definedName>
    <definedName name="PD_STAB" localSheetId="14" hidden="0" function="0" vbProcedure="0">[129]RSS!$R$131:$R$160</definedName>
    <definedName name="PEIGHT_TOTAL" localSheetId="14" hidden="0" function="0" vbProcedure="0">[241]index!#ref!</definedName>
    <definedName name="Perf._Interval" localSheetId="14" hidden="0" function="0" vbProcedure="0">'[108]Pre-Job Info Sheet'!$B$17</definedName>
    <definedName name="Perf._Interval_2" localSheetId="14" hidden="0" function="0" vbProcedure="0">'[108]Pre-Job Info Sheet'!$B$18</definedName>
    <definedName name="perfbottom" localSheetId="14" hidden="0" function="0" vbProcedure="0">[5]WTR!$I$32</definedName>
    <definedName name="PerfDepth" localSheetId="14" hidden="0" function="0" vbProcedure="0">'[79]casing talley'!#ref!</definedName>
    <definedName name="perftop" localSheetId="14" hidden="0" function="0" vbProcedure="0">[5]WTR!$G$32</definedName>
    <definedName name="PERF_BOTTOM" localSheetId="14" hidden="0" function="0" vbProcedure="0">'[113]#REF'!$H$19</definedName>
    <definedName name="PERF_SLURRY" localSheetId="14" hidden="0" function="0" vbProcedure="0">'[113]#REF'!$H$198</definedName>
    <definedName name="PERF_TOP" localSheetId="14" hidden="0" function="0" vbProcedure="0">'[113]#REF'!$F$19</definedName>
    <definedName name="PERF_VOL" localSheetId="14" hidden="0" function="0" vbProcedure="0">'[113]#REF'!$J$12</definedName>
    <definedName name="perm" localSheetId="14" hidden="0" function="0" vbProcedure="0">[106]Data!$G$56</definedName>
    <definedName name="perm1" localSheetId="14" hidden="0" function="0" vbProcedure="0">[106]Data!$G$57</definedName>
    <definedName name="Personnel1" localSheetId="14" hidden="0" function="0" vbProcedure="0">[132]Data!$P$1:$P$65536</definedName>
    <definedName name="PFIVE_TOTAL" localSheetId="14" hidden="0" function="0" vbProcedure="0">[241]index!#ref!</definedName>
    <definedName name="PFOUR_TOTAL" localSheetId="14" hidden="0" function="0" vbProcedure="0">[241]index!#ref!</definedName>
    <definedName name="Phasing" localSheetId="14" hidden="0" function="0" vbProcedure="0">'[108]Pre-Job Info Sheet'!$B$23</definedName>
    <definedName name="Phone" localSheetId="14" hidden="0" function="0" vbProcedure="0">'[117]Well Installation Drawing'!$K$11</definedName>
    <definedName name="pick1_958x475_system" localSheetId="14" hidden="0" function="0" vbProcedure="0">'[146]tally checklist'!pick1_958x475_system</definedName>
    <definedName name="pick1_958x6_system" localSheetId="14" hidden="0" function="0" vbProcedure="0">'[146]tally checklist'!pick1_958x6_system</definedName>
    <definedName name="pick1_production" localSheetId="14" hidden="0" function="0" vbProcedure="0">'[146]tally checklist'!pick1_production</definedName>
    <definedName name="pick2_958x475_system" localSheetId="14" hidden="0" function="0" vbProcedure="0">'[146]tally checklist'!pick2_958x475_system</definedName>
    <definedName name="pick2_958x6_system" localSheetId="14" hidden="0" function="0" vbProcedure="0">'[146]tally checklist'!pick2_958x6_system</definedName>
    <definedName name="pick2_production" localSheetId="14" hidden="0" function="0" vbProcedure="0">'[146]tally checklist'!pick2_production</definedName>
    <definedName name="pick_512_system" localSheetId="14" hidden="0" function="0" vbProcedure="0">'[146]tally checklist'!pick_512_system</definedName>
    <definedName name="pick_5_system" localSheetId="14" hidden="0" function="0" vbProcedure="0">'[146]tally checklist'!pick_5_system</definedName>
    <definedName name="pick_758x314_system" localSheetId="14" hidden="0" function="0" vbProcedure="0">'[146]tally checklist'!pick_758x314_system</definedName>
    <definedName name="pick_758x4_system" localSheetId="14" hidden="0" function="0" vbProcedure="0">'[146]tally checklist'!pick_758x4_system</definedName>
    <definedName name="pick_7x314_system" localSheetId="14" hidden="0" function="0" vbProcedure="0">'[146]tally checklist'!pick_7x314_system</definedName>
    <definedName name="pick_7x4_system" localSheetId="14" hidden="0" function="0" vbProcedure="0">'[146]tally checklist'!pick_7x4_system</definedName>
    <definedName name="pick_blanks" localSheetId="14" hidden="0" function="0" vbProcedure="0">'[146]tally checklist'!pick_blanks</definedName>
    <definedName name="pick_liner" localSheetId="14" hidden="0" function="0" vbProcedure="0">'[146]tally checklist'!pick_liner</definedName>
    <definedName name="pick_liner2" localSheetId="14" hidden="0" function="0" vbProcedure="0">'[146]tally checklist'!pick_liner2</definedName>
    <definedName name="pick_miscellaneous" localSheetId="14" hidden="0" function="0" vbProcedure="0">'[146]tally checklist'!pick_miscellaneous</definedName>
    <definedName name="pick_quantum" localSheetId="14" hidden="0" function="0" vbProcedure="0">'[146]tally checklist'!pick_quantum</definedName>
    <definedName name="pick_screens" localSheetId="14" hidden="0" function="0" vbProcedure="0">'[146]tally checklist'!pick_screens</definedName>
    <definedName name="pick_shearsubs" localSheetId="14" hidden="0" function="0" vbProcedure="0">'[146]tally checklist'!pick_shearsubs</definedName>
    <definedName name="pick_sump" localSheetId="14" hidden="0" function="0" vbProcedure="0">'[146]tally checklist'!pick_sump</definedName>
    <definedName name="PistArea_Packoff_to_DP_OD" localSheetId="14" hidden="0" function="0" vbProcedure="0">[109]Test!$M$16</definedName>
    <definedName name="Piston_Disp" localSheetId="14" hidden="0" function="0" vbProcedure="0">'[108]Tester Valve Calcs'!$M$16</definedName>
    <definedName name="Pist_Area_Csg_ID_to_DP1_OD" localSheetId="14" hidden="0" function="0" vbProcedure="0">[109]Test!$U$26</definedName>
    <definedName name="Pist_Area_Csg_ID_to_DP2_OD" localSheetId="14" hidden="0" function="0" vbProcedure="0">[109]Test!$U$27</definedName>
    <definedName name="Pist_Area_Csg_ID_to_DP3_OD" localSheetId="14" hidden="0" function="0" vbProcedure="0">[109]Test!$U$28</definedName>
    <definedName name="Pist_Area_Csg_ID_to_DP4_OD" localSheetId="14" hidden="0" function="0" vbProcedure="0">[109]Test!$U$29</definedName>
    <definedName name="Pist_Area_Csg_ID_to_DP5_OD" localSheetId="14" hidden="0" function="0" vbProcedure="0">[109]Test!$U$30</definedName>
    <definedName name="Pist_Area_from_CsgID_to_Packoff_OD" localSheetId="14" hidden="0" function="0" vbProcedure="0">[109]Test!$M$14</definedName>
    <definedName name="Pist_Area_PackoffOD_DP2_OD" localSheetId="14" hidden="0" function="0" vbProcedure="0">[109]Test!$Y$27</definedName>
    <definedName name="Pist_Area_PackoffOD_DP4_OD" localSheetId="14" hidden="0" function="0" vbProcedure="0">[109]Test!$Y$29</definedName>
    <definedName name="Pist_Area_PackoffOD_DP5_OD" localSheetId="14" hidden="0" function="0" vbProcedure="0">[109]Test!$Y$30</definedName>
    <definedName name="Pist_Area_PackoffOD_to_DP1_OD" localSheetId="14" hidden="0" function="0" vbProcedure="0">[109]Test!$Y$26</definedName>
    <definedName name="Pist_Area_PackoffOD_to_DP3_OD" localSheetId="14" hidden="0" function="0" vbProcedure="0">[109]Test!$Y$28</definedName>
    <definedName name="plotm" localSheetId="14" hidden="0" function="0" vbProcedure="0">'[64]tool backload dt'!plotm</definedName>
    <definedName name="PlugMethod" localSheetId="14" hidden="0" function="0" vbProcedure="0">[109]DATA!$BI$2:$BI$6</definedName>
    <definedName name="Plugs" localSheetId="14" hidden="0" function="0" vbProcedure="0">[109]DATA!$AL$2:$AL$13</definedName>
    <definedName name="Plug_Bmp_Hngr_Ovr_Ld" localSheetId="14" hidden="0" function="0" vbProcedure="0">[109]Test!$M$25</definedName>
    <definedName name="Plug_Bmp_psi_wo_DP" localSheetId="14" hidden="0" function="0" vbProcedure="0">[109]Test!$M$23</definedName>
    <definedName name="Plug_Bmp_psi_w_DP" localSheetId="14" hidden="0" function="0" vbProcedure="0">[109]Test!$M$24</definedName>
    <definedName name="Plug_Press_Rating" localSheetId="14" hidden="0" function="0" vbProcedure="0">'[109]Metric Conversions'!$B$51</definedName>
    <definedName name="Plug_Press_Ratingz" localSheetId="14" hidden="0" function="0" vbProcedure="0">'[109]Liner Job Info'!$D$43</definedName>
    <definedName name="Plug_Temp_Rating" localSheetId="14" hidden="0" function="0" vbProcedure="0">'[109]Liner Job Info'!$D$44</definedName>
    <definedName name="PNINE_TOTAL" localSheetId="14" hidden="0" function="0" vbProcedure="0">[241]index!#ref!</definedName>
    <definedName name="po" localSheetId="14" hidden="0" function="0" vbProcedure="0">[159]Drillers!$O$20</definedName>
    <definedName name="Ported_Sub" localSheetId="14" hidden="0" function="0" vbProcedure="0">'[108]TCP-BHA'!$H$30</definedName>
    <definedName name="Pos_of_Ball" localSheetId="14" hidden="0" function="0" vbProcedure="0">'[108]Tester Valve Calcs'!$F$12</definedName>
    <definedName name="PoundConversion" localSheetId="14" hidden="0" function="0" vbProcedure="0">[94]Lists!$AD$4</definedName>
    <definedName name="POWERV_TO" localSheetId="14" hidden="0" function="0" vbProcedure="0">[129]RSS!$A$206</definedName>
    <definedName name="ppgsggcc" localSheetId="14" hidden="0" function="0" vbProcedure="0">'[109]Metric Conversions'!$B$65</definedName>
    <definedName name="pregpstim" localSheetId="14" hidden="0" function="0" vbProcedure="0">[5]WTR!$G$48</definedName>
    <definedName name="PREPACK_MIX_RATIO" localSheetId="14" hidden="0" function="0" vbProcedure="0">'[113]#REF'!$K$44</definedName>
    <definedName name="pressure1" localSheetId="14" hidden="0" function="0" vbProcedure="0">[106]Data!$C$2</definedName>
    <definedName name="pressure10" localSheetId="14" hidden="0" function="0" vbProcedure="0">[106]Data!$C$11</definedName>
    <definedName name="pressure2" localSheetId="14" hidden="0" function="0" vbProcedure="0">[106]Data!$C$3</definedName>
    <definedName name="pressure3" localSheetId="14" hidden="0" function="0" vbProcedure="0">[106]Data!$C$4</definedName>
    <definedName name="pressure4" localSheetId="14" hidden="0" function="0" vbProcedure="0">[106]Data!$C$5</definedName>
    <definedName name="pressure5" localSheetId="14" hidden="0" function="0" vbProcedure="0">[106]Data!$C$6</definedName>
    <definedName name="pressure6" localSheetId="14" hidden="0" function="0" vbProcedure="0">[106]Data!$C$7</definedName>
    <definedName name="pressure7" localSheetId="14" hidden="0" function="0" vbProcedure="0">[106]Data!$C$8</definedName>
    <definedName name="pressure8" localSheetId="14" hidden="0" function="0" vbProcedure="0">[106]Data!$C$9</definedName>
    <definedName name="pressure9" localSheetId="14" hidden="0" function="0" vbProcedure="0">[106]Data!$C$10</definedName>
    <definedName name="pressurea" localSheetId="14" hidden="0" function="0" vbProcedure="0">[106]Data!$D$2</definedName>
    <definedName name="pressureb" localSheetId="14" hidden="0" function="0" vbProcedure="0">[106]Data!$D$3</definedName>
    <definedName name="pressurec" localSheetId="14" hidden="0" function="0" vbProcedure="0">[106]Data!$D$4</definedName>
    <definedName name="pressured" localSheetId="14" hidden="0" function="0" vbProcedure="0">[106]Data!$D$5</definedName>
    <definedName name="pressuree" localSheetId="14" hidden="0" function="0" vbProcedure="0">[106]Data!$D$6</definedName>
    <definedName name="pressuref" localSheetId="14" hidden="0" function="0" vbProcedure="0">[106]Data!$D$7</definedName>
    <definedName name="pressureg" localSheetId="14" hidden="0" function="0" vbProcedure="0">[106]Data!$D$8</definedName>
    <definedName name="pressureh" localSheetId="14" hidden="0" function="0" vbProcedure="0">[106]Data!$D$9</definedName>
    <definedName name="pressurei" localSheetId="14" hidden="0" function="0" vbProcedure="0">[106]Data!$D$10</definedName>
    <definedName name="pressurej" localSheetId="14" hidden="0" function="0" vbProcedure="0">[106]Data!$D$11</definedName>
    <definedName name="Pressures" localSheetId="14" hidden="0" function="0" vbProcedure="0">'[116]Kill Sheet - Horizontal'!$W$27,'[116]Kill Sheet - Horizontal'!$W$31,'[116]Kill Sheet - Horizontal'!$W$32</definedName>
    <definedName name="pricelist" localSheetId="14" hidden="0" function="0" vbProcedure="0">[139]Pricelist!$A$8:$B$11</definedName>
    <definedName name="print" localSheetId="14" hidden="0" function="0" vbProcedure="0">'[160]2003 SSWE LINE ITEMS'!$A$1:$V$302</definedName>
    <definedName name="PRODPKR" localSheetId="14" hidden="0" function="0" vbProcedure="0">INDEX([161]PKR!$A$2:$B$15,MATCH([161]INPUT!$H$37,[161]PKR!$A$2:$A$15,0),2)</definedName>
    <definedName name="production" localSheetId="14" hidden="0" function="0" vbProcedure="0">[162]WTR!$L$6</definedName>
    <definedName name="Production_History_by_Well" localSheetId="14" hidden="0" function="0" vbProcedure="0">'[250]neb-wells'!#ref!</definedName>
    <definedName name="profitcntr1" localSheetId="14" hidden="0" function="0" vbProcedure="0">[132]Data!$I$1:$I$65536</definedName>
    <definedName name="Project" localSheetId="14" hidden="0" function="0" vbProcedure="0">'[94]Job Technical Info'!$G$12</definedName>
    <definedName name="ProppantName" localSheetId="14" hidden="0" function="0" vbProcedure="0">'[94]Installation Results #1'!$B$326</definedName>
    <definedName name="PSEVEN_TOTAL" localSheetId="14" hidden="0" function="0" vbProcedure="0">[241]index!#ref!</definedName>
    <definedName name="PSI" localSheetId="14" hidden="0" function="0" vbProcedure="0">'[78]tester valve calcs'!#ref!</definedName>
    <definedName name="psia_array" localSheetId="14" hidden="0" function="0" vbProcedure="0">{"HMR","HMR-GT","ZI Probe","Spartek","Omega SP"}</definedName>
    <definedName name="psibarkpa" localSheetId="14" hidden="0" function="0" vbProcedure="0">'[109]Metric Conversions'!$B$42</definedName>
    <definedName name="psig_array" localSheetId="14" hidden="0" function="0" vbProcedure="0">{"RPG-3","RPG-4"}</definedName>
    <definedName name="PSIX_TOTAL" localSheetId="14" hidden="0" function="0" vbProcedure="0">[241]index!#ref!</definedName>
    <definedName name="psl" localSheetId="14" hidden="0" function="0" vbProcedure="0">[56]data!#ref!</definedName>
    <definedName name="Pstn_Force_Actual" localSheetId="14" hidden="0" function="0" vbProcedure="0">'[109]Weight Calculations'!$H$26</definedName>
    <definedName name="PS_pricelist" localSheetId="14" hidden="0" function="0" vbProcedure="0">[139]Pricelist!$A$22:$B$35</definedName>
    <definedName name="ptdtr" localSheetId="14" hidden="0" function="0" vbProcedure="0">'[115]Max-Torq'!$P$71</definedName>
    <definedName name="PTHREE_TOTAL" localSheetId="14" hidden="0" function="0" vbProcedure="0">[241]index!#ref!</definedName>
    <definedName name="PTWO_TOTAL" localSheetId="14" hidden="0" function="0" vbProcedure="0">[241]index!#ref!</definedName>
    <definedName name="PU_Dogs" localSheetId="14" hidden="0" function="0" vbProcedure="0">'[109]Metric Conversions'!$B$25</definedName>
    <definedName name="PU_Dogsz" localSheetId="14" hidden="0" function="0" vbProcedure="0">'[109]Liner Job Info'!$P$47</definedName>
    <definedName name="PU_Packoffz" localSheetId="14" hidden="0" function="0" vbProcedure="0">'[109]Liner Job Info'!$P$48</definedName>
    <definedName name="pv" localSheetId="14" hidden="0" function="0" vbProcedure="0">'[7]Drop-Down Items'!$R$7:$R$9</definedName>
    <definedName name="q" localSheetId="14" hidden="0" function="0" vbProcedure="0">'[88]Report Long(Esso)'!$E$2</definedName>
    <definedName name="QPNum" localSheetId="14" hidden="0" function="0" vbProcedure="0">'[94]Job Technical Info'!$K$11</definedName>
    <definedName name="qqq" localSheetId="14" hidden="1" function="0" vbProcedure="0">{#N/A,#N/A,FALSE,"Drlg Param Run 1-1";#N/A,#N/A,FALSE,"DDR (3)";#N/A,#N/A,FALSE,"BHA AT (1)";#N/A,#N/A,FALSE,"Downlinkbha";#N/A,#N/A,FALSE,"Job Status Report"}</definedName>
    <definedName name="quantum" localSheetId="14" hidden="0" function="0" vbProcedure="0">'[146]tally checklist'!quantum</definedName>
    <definedName name="Range1" localSheetId="14" hidden="0" function="0" vbProcedure="0">OFFSET([257]sheet1!$e$5, 1, 0,[257]sheet1!$e$2,1)</definedName>
    <definedName name="rate" localSheetId="14" hidden="0" function="0" vbProcedure="0">[106]Data!$F$7</definedName>
    <definedName name="rate1" localSheetId="14" hidden="0" function="0" vbProcedure="0">[106]Data!$A$2</definedName>
    <definedName name="rate10" localSheetId="14" hidden="0" function="0" vbProcedure="0">[106]Data!$A$11</definedName>
    <definedName name="rate2" localSheetId="14" hidden="0" function="0" vbProcedure="0">[106]Data!$A$3</definedName>
    <definedName name="rate3" localSheetId="14" hidden="0" function="0" vbProcedure="0">[106]Data!$A$4</definedName>
    <definedName name="rate4" localSheetId="14" hidden="0" function="0" vbProcedure="0">[106]Data!$A$5</definedName>
    <definedName name="rate5" localSheetId="14" hidden="0" function="0" vbProcedure="0">[106]Data!$A$6</definedName>
    <definedName name="rate6" localSheetId="14" hidden="0" function="0" vbProcedure="0">[106]Data!$A$7</definedName>
    <definedName name="rate7" localSheetId="14" hidden="0" function="0" vbProcedure="0">[106]Data!$A$8</definedName>
    <definedName name="rate8" localSheetId="14" hidden="0" function="0" vbProcedure="0">[106]Data!$A$9</definedName>
    <definedName name="rate9" localSheetId="14" hidden="0" function="0" vbProcedure="0">[106]Data!$A$10</definedName>
    <definedName name="raw_tally_lower" localSheetId="14" hidden="0" function="0" vbProcedure="0">'[164]2B Raw Rig Tally'!$B$13:$D$501</definedName>
    <definedName name="raw_tally_upper" localSheetId="14" hidden="0" function="0" vbProcedure="0">'[164]2B Raw Rig Tally'!$F$13:$H$501</definedName>
    <definedName name="Reasons" localSheetId="14" hidden="0" function="0" vbProcedure="0">'[146]Title Page'!$O$2:$O$23</definedName>
    <definedName name="Region" localSheetId="14" hidden="0" function="0" vbProcedure="0">'[94]SetUp Tab'!$D$15</definedName>
    <definedName name="Regions" localSheetId="14" hidden="0" function="0" vbProcedure="0">[18]Criteria!$B$2:$B$11</definedName>
    <definedName name="Rem_DP1_Tens" localSheetId="14" hidden="0" function="0" vbProcedure="0">'[109]Weight Calculations'!$W$53</definedName>
    <definedName name="Rem_DP2_Tens" localSheetId="14" hidden="0" function="0" vbProcedure="0">'[109]Weight Calculations'!$W$54</definedName>
    <definedName name="Rem_DP3_Tens" localSheetId="14" hidden="0" function="0" vbProcedure="0">'[109]Weight Calculations'!$W$55</definedName>
    <definedName name="Rem_DP4_Tens" localSheetId="14" hidden="0" function="0" vbProcedure="0">'[109]Weight Calculations'!$W$59</definedName>
    <definedName name="Rem_DP5_Tens" localSheetId="14" hidden="0" function="0" vbProcedure="0">'[109]Weight Calculations'!$W$60</definedName>
    <definedName name="Rentalequipment" localSheetId="14" hidden="0" function="0" vbProcedure="0">[109]DATA!$R$2:$R$79</definedName>
    <definedName name="Rental_Tool_ID" localSheetId="14" hidden="0" function="0" vbProcedure="0">[109]DATA!$S$2:$S$79</definedName>
    <definedName name="RESE" localSheetId="14" hidden="0" function="0" vbProcedure="0">'[146]tally checklist'!rese</definedName>
    <definedName name="reservoir15" localSheetId="14" hidden="0" function="0" vbProcedure="0">'[73]geological prognosis'!#ref!</definedName>
    <definedName name="reservoir16" localSheetId="14" hidden="0" function="0" vbProcedure="0">'[73]geological prognosis'!#ref!</definedName>
    <definedName name="reservoir17" localSheetId="14" hidden="0" function="0" vbProcedure="0">'[73]geological prognosis'!#ref!</definedName>
    <definedName name="reservoir18" localSheetId="14" hidden="0" function="0" vbProcedure="0">'[73]geological prognosis'!#ref!</definedName>
    <definedName name="reservoir19" localSheetId="14" hidden="0" function="0" vbProcedure="0">'[73]geological prognosis'!#ref!</definedName>
    <definedName name="reservoir20" localSheetId="14" hidden="0" function="0" vbProcedure="0">'[73]geological prognosis'!#ref!</definedName>
    <definedName name="reservoir21" localSheetId="14" hidden="0" function="0" vbProcedure="0">'[73]geological prognosis'!#ref!</definedName>
    <definedName name="reservoir22" localSheetId="14" hidden="0" function="0" vbProcedure="0">'[73]geological prognosis'!#ref!</definedName>
    <definedName name="reservoir23" localSheetId="14" hidden="0" function="0" vbProcedure="0">'[73]geological prognosis'!#ref!</definedName>
    <definedName name="reservoir24" localSheetId="14" hidden="0" function="0" vbProcedure="0">'[73]geological prognosis'!#ref!</definedName>
    <definedName name="reservoir25" localSheetId="14" hidden="0" function="0" vbProcedure="0">'[73]geological prognosis'!#ref!</definedName>
    <definedName name="reservoir26" localSheetId="14" hidden="0" function="0" vbProcedure="0">'[73]geological prognosis'!#ref!</definedName>
    <definedName name="reservoir27" localSheetId="14" hidden="0" function="0" vbProcedure="0">'[73]geological prognosis'!#ref!</definedName>
    <definedName name="reservoir28" localSheetId="14" hidden="0" function="0" vbProcedure="0">'[73]geological prognosis'!#ref!</definedName>
    <definedName name="reservoir29" localSheetId="14" hidden="0" function="0" vbProcedure="0">'[73]geological prognosis'!#ref!</definedName>
    <definedName name="resrevoir09" localSheetId="14" hidden="0" function="0" vbProcedure="0">'[73]geological prognosis'!#ref!</definedName>
    <definedName name="resrevoir10" localSheetId="14" hidden="0" function="0" vbProcedure="0">'[73]geological prognosis'!#ref!</definedName>
    <definedName name="resrevoir12" localSheetId="14" hidden="0" function="0" vbProcedure="0">'[73]geological prognosis'!#ref!</definedName>
    <definedName name="resrevoir13" localSheetId="14" hidden="0" function="0" vbProcedure="0">'[73]geological prognosis'!#ref!</definedName>
    <definedName name="resrevoir14" localSheetId="14" hidden="0" function="0" vbProcedure="0">'[73]geological prognosis'!#ref!</definedName>
    <definedName name="ret" localSheetId="14" hidden="0" function="0" vbProcedure="0">[119]钻井日报表!$G$3</definedName>
    <definedName name="Rev_XX" localSheetId="14" hidden="0" function="0" vbProcedure="0">'[94]Job Technical Info'!$L$4</definedName>
    <definedName name="rhstretchz" localSheetId="14" hidden="0" function="0" vbProcedure="0">'[109]Metric Conversions'!$C$38</definedName>
    <definedName name="RH_SHEAR" localSheetId="14" hidden="0" function="0" vbProcedure="0">'[109]Weight Calculations'!$H$21</definedName>
    <definedName name="RH_SHEAR_LNGTH" localSheetId="14" hidden="0" function="0" vbProcedure="0">'[109]Metric Conversions'!$B$37</definedName>
    <definedName name="RH_SHEAR_LNGTHz" localSheetId="14" hidden="0" function="0" vbProcedure="0">'[109]Metric Conversions'!$C$37</definedName>
    <definedName name="Rig" localSheetId="14" hidden="0" function="0" vbProcedure="0">'[130]Liner Job Info'!$E$8</definedName>
    <definedName name="rigcontractor1" localSheetId="14" hidden="0" function="0" vbProcedure="0">[132]Data!$G$1:$G$65536</definedName>
    <definedName name="Rigname1" localSheetId="14" hidden="0" function="0" vbProcedure="0">[132]Data!$E$1:$E$65536</definedName>
    <definedName name="RigPh" localSheetId="14" hidden="0" function="0" vbProcedure="0">'[94]Job Technical Info'!$G$17</definedName>
    <definedName name="Rig_Name" localSheetId="14" hidden="0" function="0" vbProcedure="0">'[108]Pre-Job Info Sheet'!$D$11</definedName>
    <definedName name="Rig_Output" localSheetId="14" hidden="0" function="0" vbProcedure="0">'[109]Displacement Cal.'!$G$7</definedName>
    <definedName name="RI_LC_Z2_ANSWERS_SCPacker1" localSheetId="14" hidden="0" function="0" vbProcedure="0">'[165]LowerCompletions - Risk Index'!$G$56</definedName>
    <definedName name="RI_LC_Z3_ANSWERS_SCPacker1" localSheetId="14" hidden="0" function="0" vbProcedure="0">'[165]LowerCompletions - Risk Index'!$G$69</definedName>
    <definedName name="RI_LC_Z4_ANSWERS_SCPacker1" localSheetId="14" hidden="0" function="0" vbProcedure="0">'[165]LowerCompletions - Risk Index'!$G$82</definedName>
    <definedName name="RI_LC_Z5_ANSWERS_SCPacker1" localSheetId="14" hidden="0" function="0" vbProcedure="0">'[165]LowerCompletions - Risk Index'!$G$95</definedName>
    <definedName name="Rotation" localSheetId="14" hidden="0" function="0" vbProcedure="0">[109]DATA!$AK$2:$AK$10</definedName>
    <definedName name="Rpt_Average_Header1" localSheetId="14" hidden="0" function="0" vbProcedure="0">#ref!</definedName>
    <definedName name="Rpt_Average_Header2" localSheetId="14" hidden="0" function="0" vbProcedure="0">#ref!</definedName>
    <definedName name="Rpt_Comments" localSheetId="14" hidden="0" function="0" vbProcedure="0">#ref!</definedName>
    <definedName name="Rpt_Logo_Left" localSheetId="14" hidden="0" function="0" vbProcedure="0">#ref!</definedName>
    <definedName name="Rpt_Logo_Right" localSheetId="14" hidden="0" function="0" vbProcedure="0">#ref!</definedName>
    <definedName name="rrr" localSheetId="14" hidden="1" function="0" vbProcedure="0">{#N/A,#N/A,FALSE,"Sheet1"}</definedName>
    <definedName name="RSS_TO_COMPLETE" localSheetId="14" hidden="0" function="0" vbProcedure="0">[129]RSS!$K$197</definedName>
    <definedName name="rtb" localSheetId="14" hidden="0" function="0" vbProcedure="0">'[115]Max-Torq'!$P$61</definedName>
    <definedName name="Runningtool" localSheetId="14" hidden="0" function="0" vbProcedure="0">[109]DATA!$AO$2:$AO$8</definedName>
    <definedName name="Rupees" localSheetId="14" hidden="0" function="0" vbProcedure="0">'[141]Cash Expense March-96'!$H$6</definedName>
    <definedName name="R_Group_ID" localSheetId="14" hidden="0" function="0" vbProcedure="0">[109]DATA!$T$2:$T$79</definedName>
    <definedName name="S" localSheetId="14" hidden="0" function="0" vbProcedure="0">'[2]run sheet'!#ref!</definedName>
    <definedName name="Salesequipment" localSheetId="14" hidden="0" function="0" vbProcedure="0">[109]DATA!$O$2:$O$268</definedName>
    <definedName name="Salesman" localSheetId="14" hidden="0" function="0" vbProcedure="0">'[108]Pre-Job Info Sheet'!$B$7</definedName>
    <definedName name="Sales_Explosive_Type" localSheetId="14" hidden="0" function="0" vbProcedure="0">'[108]Pre-Job Info Sheet'!$B$24</definedName>
    <definedName name="Sales_Gun_Size" localSheetId="14" hidden="0" function="0" vbProcedure="0">'[108]Pre-Job Info Sheet'!$B$21</definedName>
    <definedName name="Sales_Lease" localSheetId="14" hidden="0" function="0" vbProcedure="0">'[108]Pre-Job Info Sheet'!$D$8</definedName>
    <definedName name="Sales_SPF" localSheetId="14" hidden="0" function="0" vbProcedure="0">'[108]Pre-Job Info Sheet'!$B$22</definedName>
    <definedName name="Sales_Ticket_Number" localSheetId="14" hidden="0" function="0" vbProcedure="0">'[30]Liner Job Info'!$E$11</definedName>
    <definedName name="Sales_Underbalance" localSheetId="14" hidden="0" function="0" vbProcedure="0">'[108]Pre-Job Info Sheet'!$D$35</definedName>
    <definedName name="Sales_Well_Name" localSheetId="14" hidden="0" function="0" vbProcedure="0">'[108]Pre-Job Info Sheet'!$D$6</definedName>
    <definedName name="salinity" localSheetId="14" hidden="0" function="0" vbProcedure="0">'[96]well test sheet'!#ref!</definedName>
    <definedName name="SANDOUT_PRESSURE" localSheetId="14" hidden="0" function="0" vbProcedure="0">'[113]#REF'!$I$107</definedName>
    <definedName name="SAND_ABOVE_PERFS_PREPACK" localSheetId="14" hidden="0" function="0" vbProcedure="0">'[113]#REF'!$F$175</definedName>
    <definedName name="SAND_DIVERTER" localSheetId="14" hidden="0" function="0" vbProcedure="0">'[113]#REF'!$F$56</definedName>
    <definedName name="SAND_GP" localSheetId="14" hidden="0" function="0" vbProcedure="0">'[113]#REF'!$F$64</definedName>
    <definedName name="SAND_IN_CAS_BLNK" localSheetId="14" hidden="0" function="0" vbProcedure="0">'[7]#ref'!#ref!</definedName>
    <definedName name="SAND_IN_CAS_EXT" localSheetId="14" hidden="0" function="0" vbProcedure="0">'[7]#ref'!#ref!</definedName>
    <definedName name="SAND_IN_CAS_PREPACK" localSheetId="14" hidden="0" function="0" vbProcedure="0">'[113]#REF'!$F$81</definedName>
    <definedName name="SAND_IN_CAS_SCR" localSheetId="14" hidden="0" function="0" vbProcedure="0">'[7]#ref'!#ref!</definedName>
    <definedName name="SAND_IN_PERFS" localSheetId="14" hidden="0" function="0" vbProcedure="0">'[113]#REF'!$I$185</definedName>
    <definedName name="SAND_IN_PERFS_PP" localSheetId="14" hidden="0" function="0" vbProcedure="0">'[113]#REF'!$F$82</definedName>
    <definedName name="SAND_PASS_XO_PORT" localSheetId="14" hidden="0" function="0" vbProcedure="0">'[113]#REF'!$E$195</definedName>
    <definedName name="SAND_PERMEABILITY" localSheetId="14" hidden="0" function="0" vbProcedure="0">'[113]#REF'!$I$105</definedName>
    <definedName name="SAND_PLACED_GP" localSheetId="14" hidden="0" function="0" vbProcedure="0">'[113]#REF'!$F$95</definedName>
    <definedName name="SAND_PREPACK" localSheetId="14" hidden="0" function="0" vbProcedure="0">'[113]#REF'!$F$44</definedName>
    <definedName name="SAND_PUMPED_GP" localSheetId="14" hidden="0" function="0" vbProcedure="0">'[113]#REF'!$F$92</definedName>
    <definedName name="SAND_PUMPED_PREPACK" localSheetId="14" hidden="0" function="0" vbProcedure="0">'[113]#REF'!$F$78</definedName>
    <definedName name="SAND_REVOUT_GP" localSheetId="14" hidden="0" function="0" vbProcedure="0">'[113]#REF'!$F$93</definedName>
    <definedName name="SAND_REVOUT_PREPACK" localSheetId="14" hidden="0" function="0" vbProcedure="0">'[113]#REF'!$F$79</definedName>
    <definedName name="Save_Document" localSheetId="14" hidden="0" function="0" vbProcedure="0">[28]!Save_Document</definedName>
    <definedName name="Save_Document_1" localSheetId="14" hidden="0" function="0" vbProcedure="0">'DATA 1'!Save_Document</definedName>
    <definedName name="Save_Document_10" localSheetId="14" hidden="0" function="0" vbProcedure="0">'DATA 1'!Save_Document</definedName>
    <definedName name="Save_Document_11" localSheetId="14" hidden="0" function="0" vbProcedure="0">'DATA 1'!Save_Document</definedName>
    <definedName name="Save_Document_2" localSheetId="14" hidden="0" function="0" vbProcedure="0">'DATA 1'!Save_Document</definedName>
    <definedName name="Save_Document_3" localSheetId="14" hidden="0" function="0" vbProcedure="0">'DATA 1'!Save_Document</definedName>
    <definedName name="Save_Document_4" localSheetId="14" hidden="0" function="0" vbProcedure="0">'DATA 1'!Save_Document</definedName>
    <definedName name="Save_Document_5" localSheetId="14" hidden="0" function="0" vbProcedure="0">'DATA 1'!Save_Document</definedName>
    <definedName name="Save_Document_6" localSheetId="14" hidden="0" function="0" vbProcedure="0">'DATA 1'!Save_Document</definedName>
    <definedName name="Save_Document_7" localSheetId="14" hidden="0" function="0" vbProcedure="0">'DATA 1'!Save_Document</definedName>
    <definedName name="Save_Document_8" localSheetId="14" hidden="0" function="0" vbProcedure="0">'DATA 1'!Save_Document</definedName>
    <definedName name="Save_Document_9" localSheetId="14" hidden="0" function="0" vbProcedure="0">'DATA 1'!Save_Document</definedName>
    <definedName name="SCB" localSheetId="14" hidden="0" function="0" vbProcedure="0">[129]RSS!$B$136:$B$144</definedName>
    <definedName name="Schematic"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4" hidden="0" function="0" vbProcedure="0">'[113]#REF'!$H$14</definedName>
    <definedName name="screenidlist" localSheetId="14" hidden="0" function="0" vbProcedure="0">[106]Data!$E$79:$F$127</definedName>
    <definedName name="screenlength" localSheetId="14" hidden="0" function="0" vbProcedure="0">'[113]#REF'!$J$14</definedName>
    <definedName name="screenod" localSheetId="14" hidden="0" function="0" vbProcedure="0">'[113]#REF'!$F$14</definedName>
    <definedName name="screentype" localSheetId="14" hidden="0" function="0" vbProcedure="0">'[113]#REF'!$M$14</definedName>
    <definedName name="SCREEN_LENGTH" localSheetId="14" hidden="0" function="0" vbProcedure="0">'[113]#REF'!$J$13</definedName>
    <definedName name="SCREEN_OD" localSheetId="14" hidden="0" function="0" vbProcedure="0">'[113]#REF'!$F$14</definedName>
    <definedName name="sd" localSheetId="14" hidden="0" function="0" vbProcedure="0">null</definedName>
    <definedName name="se" localSheetId="14" hidden="0" function="0" vbProcedure="0">'[270]calculo de gas total'!#ref!</definedName>
    <definedName name="SeatID" localSheetId="14" hidden="0" function="0" vbProcedure="0">[109]DATA!$BC$2:$BC$6</definedName>
    <definedName name="SeatNumber" localSheetId="14" hidden="0" function="0" vbProcedure="0">[109]DATA!$BD$2:$BD$7</definedName>
    <definedName name="SeatShear" localSheetId="14" hidden="0" function="0" vbProcedure="0">[109]DATA!$BE$2:$BE$4</definedName>
    <definedName name="SeatType" localSheetId="14" hidden="0" function="0" vbProcedure="0">[109]DATA!$BB$2:$BB$4</definedName>
    <definedName name="sep_press" localSheetId="14" hidden="0" function="0" vbProcedure="0">'[96]well test sheet'!#ref!</definedName>
    <definedName name="sep_temp" localSheetId="14" hidden="0" function="0" vbProcedure="0">'[96]well test sheet'!#ref!</definedName>
    <definedName name="serialselect1" localSheetId="14" hidden="0" function="0" vbProcedure="0">[28]!serialselect1</definedName>
    <definedName name="serialselect2" localSheetId="14" hidden="0" function="0" vbProcedure="0">[28]!serialselect2</definedName>
    <definedName name="serialselect3" localSheetId="14" hidden="0" function="0" vbProcedure="0">[28]!serialselect3</definedName>
    <definedName name="serialselect4" localSheetId="14" hidden="0" function="0" vbProcedure="0">[28]!serialselect4</definedName>
    <definedName name="ServiceCenter" localSheetId="14" hidden="0" function="0" vbProcedure="0">'[117]Well Installation Drawing'!$L$13</definedName>
    <definedName name="SETTLEMENT_RATE" localSheetId="14" hidden="0" function="0" vbProcedure="0">'[113]#REF'!$I$120</definedName>
    <definedName name="Sett_Tool_Tens" localSheetId="14" hidden="0" function="0" vbProcedure="0">'[109]Liner Job Info'!$P$44</definedName>
    <definedName name="Shear_HR_Mech_Release" localSheetId="14" hidden="0" function="0" vbProcedure="0">'[109]Liner Job Info'!$P$49</definedName>
    <definedName name="SHER" localSheetId="14" hidden="0" function="0" vbProcedure="0">'[146]tally checklist'!sher</definedName>
    <definedName name="shippedvia" localSheetId="14" hidden="0" function="0" vbProcedure="0">'[33]data '!#ref!</definedName>
    <definedName name="shit" localSheetId="14" hidden="1" function="0" vbProcedure="0">{#N/A,#N/A,FALSE,"Sheet1"}</definedName>
    <definedName name="SHO" localSheetId="14" hidden="0" function="0" vbProcedure="0">[119]钻井日报表!$G$3</definedName>
    <definedName name="ShoeTrack_Vol" localSheetId="14" hidden="0" function="0" vbProcedure="0">'[109]Metric Conversions'!$B$76</definedName>
    <definedName name="ShoeTrack_Volz" localSheetId="14" hidden="0" function="0" vbProcedure="0">'[109]Metric Conversions'!$C$76</definedName>
    <definedName name="Shoe_Track_Length" localSheetId="14" hidden="0" function="0" vbProcedure="0">'[109]Metric Conversions'!$B$19</definedName>
    <definedName name="Shoe_Track_Lengthz" localSheetId="14" hidden="0" function="0" vbProcedure="0">'[109]Liner Job Info'!$D$19</definedName>
    <definedName name="Show_1" localSheetId="14" hidden="0" function="0" vbProcedure="0">[44]!Show_1</definedName>
    <definedName name="Show_1_1" localSheetId="14" hidden="0" function="0" vbProcedure="0">[28]!Show_1</definedName>
    <definedName name="Show_1_10" localSheetId="14" hidden="0" function="0" vbProcedure="0">[28]!Show_1</definedName>
    <definedName name="Show_1_11" localSheetId="14" hidden="0" function="0" vbProcedure="0">[28]!Show_1</definedName>
    <definedName name="Show_1_2" localSheetId="14" hidden="0" function="0" vbProcedure="0">[28]!Show_1</definedName>
    <definedName name="Show_1_3" localSheetId="14" hidden="0" function="0" vbProcedure="0">[28]!Show_1</definedName>
    <definedName name="Show_1_4" localSheetId="14" hidden="0" function="0" vbProcedure="0">[28]!Show_1</definedName>
    <definedName name="Show_1_5" localSheetId="14" hidden="0" function="0" vbProcedure="0">[28]!Show_1</definedName>
    <definedName name="Show_1_6" localSheetId="14" hidden="0" function="0" vbProcedure="0">[28]!Show_1</definedName>
    <definedName name="Show_1_7" localSheetId="14" hidden="0" function="0" vbProcedure="0">[28]!Show_1</definedName>
    <definedName name="Show_1_8" localSheetId="14" hidden="0" function="0" vbProcedure="0">[28]!Show_1</definedName>
    <definedName name="Show_1_9" localSheetId="14" hidden="0" function="0" vbProcedure="0">[28]!Show_1</definedName>
    <definedName name="Show_2" localSheetId="14" hidden="0" function="0" vbProcedure="0">[44]!Show_2</definedName>
    <definedName name="Show_2_1" localSheetId="14" hidden="0" function="0" vbProcedure="0">[28]!Show_2</definedName>
    <definedName name="Show_2_10" localSheetId="14" hidden="0" function="0" vbProcedure="0">[28]!Show_2</definedName>
    <definedName name="Show_2_11" localSheetId="14" hidden="0" function="0" vbProcedure="0">[28]!Show_2</definedName>
    <definedName name="Show_2_2" localSheetId="14" hidden="0" function="0" vbProcedure="0">[28]!Show_2</definedName>
    <definedName name="Show_2_3" localSheetId="14" hidden="0" function="0" vbProcedure="0">[28]!Show_2</definedName>
    <definedName name="Show_2_4" localSheetId="14" hidden="0" function="0" vbProcedure="0">[28]!Show_2</definedName>
    <definedName name="Show_2_5" localSheetId="14" hidden="0" function="0" vbProcedure="0">[28]!Show_2</definedName>
    <definedName name="Show_2_6" localSheetId="14" hidden="0" function="0" vbProcedure="0">[28]!Show_2</definedName>
    <definedName name="Show_2_7" localSheetId="14" hidden="0" function="0" vbProcedure="0">[28]!Show_2</definedName>
    <definedName name="Show_2_8" localSheetId="14" hidden="0" function="0" vbProcedure="0">[28]!Show_2</definedName>
    <definedName name="Show_2_9" localSheetId="14" hidden="0" function="0" vbProcedure="0">[28]!Show_2</definedName>
    <definedName name="Size" localSheetId="14" hidden="0" function="0" vbProcedure="0">#ref!</definedName>
    <definedName name="SJT_DEPTH" localSheetId="14" hidden="0" function="0" vbProcedure="0">'[113]#REF'!$F$22</definedName>
    <definedName name="SJ_DEPTH" localSheetId="14" hidden="0" function="0" vbProcedure="0">'[113]#REF'!$F$22</definedName>
    <definedName name="SL" localSheetId="14" hidden="0" function="0" vbProcedure="0">[149]BHA!$C$3</definedName>
    <definedName name="SleeveLength" localSheetId="14" hidden="0" function="0" vbProcedure="0">[109]DATA!$AV$2:$AV$4</definedName>
    <definedName name="SLURRY_DENSITY" localSheetId="14" hidden="0" function="0" vbProcedure="0">'[113]#REF'!$F$70</definedName>
    <definedName name="SLURRY_VOL_PREPACK" localSheetId="14" hidden="0" function="0" vbProcedure="0">'[113]#REF'!$F$48</definedName>
    <definedName name="soldto" localSheetId="14" hidden="0" function="0" vbProcedure="0">'[126]Call Sheet'!$AL$3</definedName>
    <definedName name="sort" localSheetId="14" hidden="1" function="0" vbProcedure="0">[166]Sheet1!$A$181:$H$210</definedName>
    <definedName name="SORT_AREA" localSheetId="14" hidden="0" function="0" vbProcedure="0">'[167]DI-ESTI'!$A$8:$R$489</definedName>
    <definedName name="Spacedout" localSheetId="14" hidden="1" function="0" vbProcedure="0">{#N/A,#N/A,FALSE,"Drlg Param Run 1-1";#N/A,#N/A,FALSE,"DDR (3)";#N/A,#N/A,FALSE,"BHA AT (1)";#N/A,#N/A,FALSE,"Downlinkbha";#N/A,#N/A,FALSE,"Job Status Report"}</definedName>
    <definedName name="SpacerType" localSheetId="14" hidden="0" function="0" vbProcedure="0">[109]DATA!$BK$2:$BK$7</definedName>
    <definedName name="Spiral_Type" localSheetId="14" hidden="0" function="0" vbProcedure="0">[109]DATA!$BM$2:$BM$5</definedName>
    <definedName name="ssdsd" localSheetId="14" hidden="0" function="0" vbProcedure="0">'[146]tally checklist'!ssdsd</definedName>
    <definedName name="SSID" localSheetId="14" hidden="0" function="0" vbProcedure="0">'[109]Liner Job Info'!$O$6</definedName>
    <definedName name="sss" localSheetId="14" hidden="1" function="0" vbProcedure="0">{#N/A,#N/A,FALSE,"Drlg Param Run 1-1";#N/A,#N/A,FALSE,"DDR (3)";#N/A,#N/A,FALSE,"BHA AT (1)";#N/A,#N/A,FALSE,"Downlinkbha";#N/A,#N/A,FALSE,"Job Status Report"}</definedName>
    <definedName name="stages" localSheetId="14" hidden="0" function="0" vbProcedure="0">[5]WTR!$G$52</definedName>
    <definedName name="Stage_Number" localSheetId="14" hidden="0" function="0" vbProcedure="0">'[108]Pre-Job Info Sheet'!$B$15</definedName>
    <definedName name="Start_Here" localSheetId="14" hidden="0" function="0" vbProcedure="0">'[168]9.625 TCP String'!$B$10</definedName>
    <definedName name="state" localSheetId="14" hidden="0" function="0" vbProcedure="0">'[40]CPS Call Sheet'!$AC$7</definedName>
    <definedName name="status" localSheetId="14" hidden="0" function="0" vbProcedure="0">'[154]BPR LOG'!$H$1:$H$1048576</definedName>
    <definedName name="Stretch_DP1_Lnr_Wt" localSheetId="14" hidden="0" function="0" vbProcedure="0">'[109]Metric Conversions'!$B$30</definedName>
    <definedName name="Stretch_DP1_Lnr_Wtz" localSheetId="14" hidden="0" function="0" vbProcedure="0">'[109]Metric Conversions'!$C$30</definedName>
    <definedName name="Stretch_DP2_Lnr_Wt" localSheetId="14" hidden="0" function="0" vbProcedure="0">'[109]Metric Conversions'!$B$31</definedName>
    <definedName name="Stretch_DP2_Lnr_Wtz" localSheetId="14" hidden="0" function="0" vbProcedure="0">'[109]Metric Conversions'!$C$31</definedName>
    <definedName name="Stretch_DP3_Lnr_Wt" localSheetId="14" hidden="0" function="0" vbProcedure="0">'[109]Metric Conversions'!$B$32</definedName>
    <definedName name="Stretch_DP3_Lnr_Wtz" localSheetId="14" hidden="0" function="0" vbProcedure="0">'[109]Metric Conversions'!$C$32</definedName>
    <definedName name="Stretch_DP4_Lnr_Wt" localSheetId="14" hidden="0" function="0" vbProcedure="0">'[109]Metric Conversions'!$B$33</definedName>
    <definedName name="Stretch_DP4_Lnr_Wtz" localSheetId="14" hidden="0" function="0" vbProcedure="0">'[109]Metric Conversions'!$C$33</definedName>
    <definedName name="Stretch_DP5_Lnr_Wt" localSheetId="14" hidden="0" function="0" vbProcedure="0">'[109]Metric Conversions'!$B$34</definedName>
    <definedName name="Stretch_DP5_Lnr_Wtz" localSheetId="14" hidden="0" function="0" vbProcedure="0">'[109]Metric Conversions'!$C$34</definedName>
    <definedName name="Stretch_TTL_Lnr_Wt" localSheetId="14" hidden="0" function="0" vbProcedure="0">'[109]Metric Conversions'!$B$36</definedName>
    <definedName name="Stretch_TTL_Lnr_Wtz" localSheetId="14" hidden="0" function="0" vbProcedure="0">'[109]Metric Conversions'!$C$36</definedName>
    <definedName name="SubSeaTVD_Column" localSheetId="14" hidden="0" function="0" vbProcedure="0">null</definedName>
    <definedName name="SubSeaTVD_Unit" localSheetId="14" hidden="0" function="0" vbProcedure="0">null</definedName>
    <definedName name="SUMP_DEPTH" localSheetId="14" hidden="0" function="0" vbProcedure="0">'[113]#REF'!$F$23</definedName>
    <definedName name="Surfaceequipment" localSheetId="14" hidden="0" function="0" vbProcedure="0">[109]DATA!$AQ$2:$AQ$11</definedName>
    <definedName name="surfacefracpressure" localSheetId="14" hidden="0" function="0" vbProcedure="0">[106]Data!$F$4</definedName>
    <definedName name="Surf_Equip_Tens" localSheetId="14" hidden="0" function="0" vbProcedure="0">'[109]Liner Job Info'!$P$46</definedName>
    <definedName name="Svy_Print_Area" localSheetId="14" hidden="0" function="0" vbProcedure="0">'[168]9.625 TCP String'!$B$12:$I$3772</definedName>
    <definedName name="SWELL_PKR" localSheetId="14" hidden="0" function="0" vbProcedure="0">INDEX([111]PKR!$F$2:$G$10,MATCH([111]PKR!$H$1,[111]PKR!$F$2:$F$10,0),2)</definedName>
    <definedName name="Tally" localSheetId="14" hidden="0" function="0" vbProcedure="0">[169]Tally!$A$5:$C$1004</definedName>
    <definedName name="Tally_2" localSheetId="14" hidden="0" function="0" vbProcedure="0">[169]Tally!$E$5:$G$1004</definedName>
    <definedName name="Tally_3" localSheetId="14" hidden="0" function="0" vbProcedure="0">[169]Tally!$I$5:$K$1004</definedName>
    <definedName name="Taper_String_Grade" localSheetId="14" hidden="0" function="0" vbProcedure="0">'[108]Pre-Job Info Sheet'!$D$31</definedName>
    <definedName name="Taper_String_Size" localSheetId="14" hidden="0" function="0" vbProcedure="0">'[108]Pre-Job Info Sheet'!$D$29</definedName>
    <definedName name="Taper_String_Type" localSheetId="14" hidden="0" function="0" vbProcedure="0">'[108]Pre-Job Info Sheet'!$D$28</definedName>
    <definedName name="Taper_String_Wt._Ft." localSheetId="14" hidden="0" function="0" vbProcedure="0">'[108]Pre-Job Info Sheet'!$D$30</definedName>
    <definedName name="targe"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4" hidden="0" function="0" vbProcedure="0">#ref!,#ref!</definedName>
    <definedName name="TbgDrift1" localSheetId="14" hidden="0" function="0" vbProcedure="0">'[94]Job Technical Info'!$G$35</definedName>
    <definedName name="TbgDrift2" localSheetId="14" hidden="0" function="0" vbProcedure="0">'[94]Job Technical Info'!$G$36</definedName>
    <definedName name="TbgDrift3" localSheetId="14" hidden="0" function="0" vbProcedure="0">'[94]Job Technical Info'!$G$37</definedName>
    <definedName name="TbgDrift4" localSheetId="14" hidden="0" function="0" vbProcedure="0">'[94]Job Technical Info'!$G$38</definedName>
    <definedName name="TbgGrade" localSheetId="14" hidden="0" function="0" vbProcedure="0">[170]MUT!$O$3:$O$4</definedName>
    <definedName name="TbgGrd1" localSheetId="14" hidden="0" function="0" vbProcedure="0">'[94]Job Technical Info'!$H$35</definedName>
    <definedName name="TbgGrd2" localSheetId="14" hidden="0" function="0" vbProcedure="0">'[94]Job Technical Info'!$H$36</definedName>
    <definedName name="TbgGrd3" localSheetId="14" hidden="0" function="0" vbProcedure="0">'[94]Job Technical Info'!$H$37</definedName>
    <definedName name="TbgGrd4" localSheetId="14" hidden="0" function="0" vbProcedure="0">'[94]Job Technical Info'!$H$38</definedName>
    <definedName name="TbgID1" localSheetId="14" hidden="0" function="0" vbProcedure="0">'[94]Job Technical Info'!$F$35</definedName>
    <definedName name="TbgID2" localSheetId="14" hidden="0" function="0" vbProcedure="0">'[94]Job Technical Info'!$F$36</definedName>
    <definedName name="TbgID3" localSheetId="14" hidden="0" function="0" vbProcedure="0">'[94]Job Technical Info'!$F$37</definedName>
    <definedName name="TbgID4" localSheetId="14" hidden="0" function="0" vbProcedure="0">'[94]Job Technical Info'!$F$38</definedName>
    <definedName name="TbgSz1" localSheetId="14" hidden="0" function="0" vbProcedure="0">'[94]Job Technical Info'!$D$35</definedName>
    <definedName name="TbgSz2" localSheetId="14" hidden="0" function="0" vbProcedure="0">'[94]Job Technical Info'!$D$36</definedName>
    <definedName name="TbgSz3" localSheetId="14" hidden="0" function="0" vbProcedure="0">'[94]Job Technical Info'!$D$37</definedName>
    <definedName name="TbgSz4" localSheetId="14" hidden="0" function="0" vbProcedure="0">'[94]Job Technical Info'!$D$38</definedName>
    <definedName name="TbgThd1" localSheetId="14" hidden="0" function="0" vbProcedure="0">'[94]Job Technical Info'!$J$35</definedName>
    <definedName name="TbgThd2" localSheetId="14" hidden="0" function="0" vbProcedure="0">'[94]Job Technical Info'!$J$36</definedName>
    <definedName name="TbgThd3" localSheetId="14" hidden="0" function="0" vbProcedure="0">'[94]Job Technical Info'!$J$37</definedName>
    <definedName name="TbgThd4" localSheetId="14" hidden="0" function="0" vbProcedure="0">'[94]Job Technical Info'!$J$38</definedName>
    <definedName name="TbgWt1" localSheetId="14" hidden="0" function="0" vbProcedure="0">'[94]Job Technical Info'!$E$35</definedName>
    <definedName name="TbgWt2" localSheetId="14" hidden="0" function="0" vbProcedure="0">'[94]Job Technical Info'!$E$36</definedName>
    <definedName name="TbgWt3" localSheetId="14" hidden="0" function="0" vbProcedure="0">'[94]Job Technical Info'!$E$37</definedName>
    <definedName name="TbgWt4" localSheetId="14" hidden="0" function="0" vbProcedure="0">'[94]Job Technical Info'!$E$38</definedName>
    <definedName name="TB_Ext_API_Coll" localSheetId="14" hidden="0" function="0" vbProcedure="0">'[109]Metric Conversions'!$B$55</definedName>
    <definedName name="TB_Ext_API_Collz" localSheetId="14" hidden="0" function="0" vbProcedure="0">'[109]Liner Job Info'!$P$37</definedName>
    <definedName name="TB_Ext_Bst" localSheetId="14" hidden="0" function="0" vbProcedure="0">'[109]Metric Conversions'!$B$54</definedName>
    <definedName name="TB_Ext_Bstz" localSheetId="14" hidden="0" function="0" vbProcedure="0">'[109]Liner Job Info'!$P$36</definedName>
    <definedName name="TB_EXT_ID" localSheetId="14" hidden="0" function="0" vbProcedure="0">'[109]Liner Job Info'!$P$35</definedName>
    <definedName name="TB_Ext_Yield_Collz" localSheetId="14" hidden="0" function="0" vbProcedure="0">'[109]Liner Job Info'!$P$38</definedName>
    <definedName name="TD_Depth_md" localSheetId="14" hidden="0" function="0" vbProcedure="0">'[73]well specification'!#ref!</definedName>
    <definedName name="TD_md" localSheetId="14" hidden="0" function="0" vbProcedure="0">'[73]well specification'!#ref!</definedName>
    <definedName name="tedtr" localSheetId="14" hidden="0" function="0" vbProcedure="0">'[115]Max-Torq'!$P$72</definedName>
    <definedName name="teks"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14" hidden="0" function="0" vbProcedure="0">'[115]Max-Torq'!$N$58</definedName>
    <definedName name="terry1" localSheetId="14" hidden="0" function="0" vbProcedure="0">{#N/A,#N/A,FALSE,"Volume"}</definedName>
    <definedName name="terry2" localSheetId="14" hidden="0" function="0" vbProcedure="0">{#N/A,#N/A,FALSE,"Volume"}</definedName>
    <definedName name="terry3" localSheetId="14" hidden="0" function="0" vbProcedure="0">{#N/A,#N/A,FALSE,"Volume"}</definedName>
    <definedName name="terry4" localSheetId="14" hidden="0" function="0" vbProcedure="0">{#N/A,#N/A,FALSE,"Volume"}</definedName>
    <definedName name="terry5" localSheetId="14" hidden="0" function="0" vbProcedure="0">{#N/A,#N/A,FALSE,"Volume"}</definedName>
    <definedName name="TEST" localSheetId="14" hidden="0" function="0" vbProcedure="0">#ref!</definedName>
    <definedName name="Test_po_out_1" localSheetId="14" hidden="0" function="0" vbProcedure="0">[109]Test!$M$28</definedName>
    <definedName name="Test_po_out_2" localSheetId="14" hidden="0" function="0" vbProcedure="0">[109]Test!$M$29</definedName>
    <definedName name="textfive" localSheetId="14" hidden="0" function="0" vbProcedure="0">'[146]tally checklist'!textfive</definedName>
    <definedName name="textfivehalf" localSheetId="14" hidden="0" function="0" vbProcedure="0">'[146]tally checklist'!textfivehalf</definedName>
    <definedName name="textninefiveeightfourfirst" localSheetId="14" hidden="0" function="0" vbProcedure="0">'[146]tally checklist'!textninefiveeightfourfirst</definedName>
    <definedName name="textninefiveeightfoursecond" localSheetId="14" hidden="0" function="0" vbProcedure="0">'[146]tally checklist'!textninefiveeightfoursecond</definedName>
    <definedName name="textninefiveeightsixfirst" localSheetId="14" hidden="0" function="0" vbProcedure="0">'[146]tally checklist'!textninefiveeightsixfirst</definedName>
    <definedName name="textninefiveeightsixsecond" localSheetId="14" hidden="0" function="0" vbProcedure="0">'[146]tally checklist'!textninefiveeightsixsecond</definedName>
    <definedName name="textsevenfiveeightfour" localSheetId="14" hidden="0" function="0" vbProcedure="0">'[146]tally checklist'!textsevenfiveeightfour</definedName>
    <definedName name="textsevenfiveeightthree" localSheetId="14" hidden="0" function="0" vbProcedure="0">'[146]tally checklist'!textsevenfiveeightthree</definedName>
    <definedName name="textsevenfour" localSheetId="14" hidden="0" function="0" vbProcedure="0">'[146]tally checklist'!textsevenfour</definedName>
    <definedName name="textseventhree" localSheetId="14" hidden="0" function="0" vbProcedure="0">'[146]tally checklist'!textseventhree</definedName>
    <definedName name="text_five" localSheetId="14" hidden="0" function="0" vbProcedure="0">'[146]tally checklist'!text_five</definedName>
    <definedName name="text_fivehalf" localSheetId="14" hidden="0" function="0" vbProcedure="0">'[146]tally checklist'!text_fivehalf</definedName>
    <definedName name="text_ninefiveeightfourfirst" localSheetId="14" hidden="0" function="0" vbProcedure="0">'[146]tally checklist'!text_ninefiveeightfourfirst</definedName>
    <definedName name="text_ninefiveeightfoursecond" localSheetId="14" hidden="0" function="0" vbProcedure="0">'[146]tally checklist'!text_ninefiveeightfoursecond</definedName>
    <definedName name="text_ninefiveeightsixfirst" localSheetId="14" hidden="0" function="0" vbProcedure="0">'[146]tally checklist'!text_ninefiveeightsixfirst</definedName>
    <definedName name="text_ninefiveeightsixsecond" localSheetId="14" hidden="0" function="0" vbProcedure="0">'[146]tally checklist'!text_ninefiveeightsixsecond</definedName>
    <definedName name="text_sevenfiveeightfour" localSheetId="14" hidden="0" function="0" vbProcedure="0">'[146]tally checklist'!text_sevenfiveeightfour</definedName>
    <definedName name="text_sevenfiveeightthree" localSheetId="14" hidden="0" function="0" vbProcedure="0">'[146]tally checklist'!text_sevenfiveeightthree</definedName>
    <definedName name="text_sevenfour" localSheetId="14" hidden="0" function="0" vbProcedure="0">'[146]tally checklist'!text_sevenfour</definedName>
    <definedName name="text_seventhree" localSheetId="14" hidden="0" function="0" vbProcedure="0">'[146]tally checklist'!text_seventhree</definedName>
    <definedName name="tgrade" localSheetId="14" hidden="0" function="0" vbProcedure="0">[157]Control!$D$9</definedName>
    <definedName name="TGW" localSheetId="14" hidden="0" function="0" vbProcedure="0">'[146]tally checklist'!tgw</definedName>
    <definedName name="ThreadCon" localSheetId="14" hidden="0" function="0" vbProcedure="0">[171]MUT!$R$3:$R$9</definedName>
    <definedName name="ticketdate" localSheetId="14" hidden="0" function="0" vbProcedure="0">'[126]Call Sheet'!$AH$1</definedName>
    <definedName name="tickettype" localSheetId="14" hidden="0" function="0" vbProcedure="0">[56]data!#ref!</definedName>
    <definedName name="time" localSheetId="14" hidden="0" function="0" vbProcedure="0">'[96]well test sheet'!#ref!</definedName>
    <definedName name="TLCENG" localSheetId="14" hidden="0" function="0" vbProcedure="0">[193]Reference!$D$2</definedName>
    <definedName name="TLDENG" localSheetId="14" hidden="0" function="0" vbProcedure="0">[193]Reference!$C$2</definedName>
    <definedName name="TLDOPS" localSheetId="14" hidden="0" function="0" vbProcedure="0">[193]Reference!$E$2:$E$3</definedName>
    <definedName name="TOL" localSheetId="14" hidden="0" function="0" vbProcedure="0">'[130]Metric Conversions'!$B$28</definedName>
    <definedName name="TOLz" localSheetId="14" hidden="0" function="0" vbProcedure="0">'[109]Liner Job Info'!$I$19</definedName>
    <definedName name="ToolMaterial" localSheetId="14" hidden="0" function="0" vbProcedure="0">[109]DATA!$BN$2:$BN$8</definedName>
    <definedName name="Tool_ID" localSheetId="14" hidden="0" function="0" vbProcedure="0">[109]DATA!$P$2:$P$268</definedName>
    <definedName name="TOPPKRIMG" localSheetId="14" hidden="0" function="0" vbProcedure="0">INDEX([172]PKR!$A$16:$B$17,MATCH([172]INPUT!$G$56,[172]PKR!$A$16:$A$17,0),2)</definedName>
    <definedName name="TOPPKRIMG_1" localSheetId="14" hidden="0" function="0" vbProcedure="0">INDEX([161]PKR!$A$16:$B$18,MATCH([161]INPUT!$G$56,[161]PKR!$A$16:$A$18,0),2)</definedName>
    <definedName name="Top_Drive_y_n" localSheetId="14" hidden="0" function="0" vbProcedure="0">'[48]liner job info'!#ref!</definedName>
    <definedName name="Top_Perf._TVD" localSheetId="14" hidden="0" function="0" vbProcedure="0">'[108]Pre-Job Info Sheet'!$B$30</definedName>
    <definedName name="Top_Perforation" localSheetId="14" hidden="0" function="0" vbProcedure="0">'[108]Pre-Job Info Sheet'!$B$28</definedName>
    <definedName name="Total_DP_Wt" localSheetId="14" hidden="0" function="0" vbProcedure="0">'[109]Weight Calculations'!$H$13</definedName>
    <definedName name="Total_Length_of_BHA" localSheetId="14" hidden="0" function="0" vbProcedure="0">'[108]TCP-BHA'!$H$47</definedName>
    <definedName name="TOT_ANN_CAP" localSheetId="14" hidden="0" function="0" vbProcedure="0">'[113]#REF'!$G$189</definedName>
    <definedName name="Tot_Bottoms_Upz" localSheetId="14" hidden="0" function="0" vbProcedure="0">'[109]Metric Conversions'!$C$90</definedName>
    <definedName name="TOT_CAP_HOLE" localSheetId="14" hidden="0" function="0" vbProcedure="0">'[113]#REF'!$G$190</definedName>
    <definedName name="Tot_DP_Vol" localSheetId="14" hidden="0" function="0" vbProcedure="0">'[109]Metric Conversions'!$B$75</definedName>
    <definedName name="Tot_DP_Volz" localSheetId="14" hidden="0" function="0" vbProcedure="0">'[109]Metric Conversions'!$C$75</definedName>
    <definedName name="Tot_Liner_Wt" localSheetId="14" hidden="0" function="0" vbProcedure="0">'[109]Weight Calculations'!$H$18</definedName>
    <definedName name="Tot_Lnr_Vol_to_LC" localSheetId="14" hidden="0" function="0" vbProcedure="0">'[109]Metric Conversions'!$B$79</definedName>
    <definedName name="Tot_Lnr_Vol_to_LCz" localSheetId="14" hidden="0" function="0" vbProcedure="0">'[109]Metric Conversions'!$C$79</definedName>
    <definedName name="TOT_SAND_2B_PUMPED" localSheetId="14" hidden="0" function="0" vbProcedure="0">'[7]#ref'!#ref!</definedName>
    <definedName name="TOT_SAND_COV_BLANK" localSheetId="14" hidden="0" function="0" vbProcedure="0">'[113]#REF'!$H$136</definedName>
    <definedName name="TOT_SAND_COV_SCREEN" localSheetId="14" hidden="0" function="0" vbProcedure="0">'[113]#REF'!$H$135</definedName>
    <definedName name="TOT_SAND_IN_PERFS" localSheetId="14" hidden="0" function="0" vbProcedure="0">'[113]#REF'!$F$137</definedName>
    <definedName name="TOT_SAND_PLACED" localSheetId="14" hidden="0" function="0" vbProcedure="0">'[113]#REF'!$F$131</definedName>
    <definedName name="TOT_SAND_REVOUT" localSheetId="14" hidden="0" function="0" vbProcedure="0">'[7]#ref'!#ref!</definedName>
    <definedName name="Tot_Vol_to_Bump_Plugs" localSheetId="14" hidden="0" function="0" vbProcedure="0">'[109]Metric Conversions'!$B$80</definedName>
    <definedName name="Tot_Vol_to_Bump_Plugsz" localSheetId="14" hidden="0" function="0" vbProcedure="0">'[109]Metric Conversions'!$C$80</definedName>
    <definedName name="Tot_Vol_to_Shoez" localSheetId="14" hidden="0" function="0" vbProcedure="0">'[109]Metric Conversions'!$C$81</definedName>
    <definedName name="tpermit" localSheetId="14" hidden="0" function="0" vbProcedure="0">[157]Control!$D$5</definedName>
    <definedName name="TQW" localSheetId="14" hidden="0" function="0" vbProcedure="0">'[146]tally checklist'!tqw</definedName>
    <definedName name="tr" localSheetId="14" hidden="0" function="0" vbProcedure="0">null</definedName>
    <definedName name="transport" localSheetId="14" hidden="0" function="0" vbProcedure="0">[56]data!#ref!</definedName>
    <definedName name="treatment" localSheetId="14" hidden="0" function="0" vbProcedure="0">[56]data!#ref!</definedName>
    <definedName name="try" localSheetId="14" hidden="0" function="0" vbProcedure="0">[173]Calculos!$K$3:$V$31</definedName>
    <definedName name="TR_Column" localSheetId="14" hidden="0" function="0" vbProcedure="0">null</definedName>
    <definedName name="TR_Unit" localSheetId="14" hidden="0" function="0" vbProcedure="0">null</definedName>
    <definedName name="tshoe" localSheetId="14" hidden="0" function="0" vbProcedure="0">[157]Drillers!$Q$20</definedName>
    <definedName name="tsize" localSheetId="14" hidden="0" function="0" vbProcedure="0">[157]Control!$D$7</definedName>
    <definedName name="TST" localSheetId="14" hidden="0" function="0" vbProcedure="0">'[30]Liner Job Info'!$O$5</definedName>
    <definedName name="tstickup" localSheetId="14" hidden="0" function="0" vbProcedure="0">[157]Drillers!$O$20</definedName>
    <definedName name="TS_pricelist" localSheetId="14" hidden="0" function="0" vbProcedure="0">[139]Pricelist!$A$57:$B$65</definedName>
    <definedName name="Tubing" localSheetId="14" hidden="0" function="0" vbProcedure="0">[174]Tubing!$B$7:$I$142</definedName>
    <definedName name="TubingAverage" localSheetId="14" hidden="0" function="0" vbProcedure="0">((SUM(NosOfTubing))-(MakeupLoss*COUNT(NosOfTubing)))/COUNT(NosOfTubing)</definedName>
    <definedName name="TubingOD" localSheetId="14" hidden="0" function="0" vbProcedure="0">[94]Lists!$AH$3:$AH$297</definedName>
    <definedName name="TubingSizes" localSheetId="14" hidden="0" function="0" vbProcedure="0">[94]Lists!$H$2:$H$14</definedName>
    <definedName name="tubingweight" localSheetId="14" hidden="0" function="0" vbProcedure="0">[86]!TubTable[id LIST (in)]</definedName>
    <definedName name="TVD_MID_PERF" localSheetId="14" hidden="0" function="0" vbProcedure="0">'[113]#REF'!$F$25</definedName>
    <definedName name="TV_TVD" localSheetId="14" hidden="0" function="0" vbProcedure="0">'[108]Tester Valve Calcs'!$F$20</definedName>
    <definedName name="TV_Vol" localSheetId="14" hidden="0" function="0" vbProcedure="0">'[108]Tester Valve Calcs'!$M$17</definedName>
    <definedName name="tweight" localSheetId="14" hidden="0" function="0" vbProcedure="0">[157]Control!$D$8</definedName>
    <definedName name="twell" localSheetId="14" hidden="0" function="0" vbProcedure="0">[157]Control!$D$4</definedName>
    <definedName name="twstest"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4" hidden="0" function="0" vbProcedure="0">'[146]tally checklist'!tyjeje</definedName>
    <definedName name="TYPE" localSheetId="14" hidden="0" function="0" vbProcedure="0">'[61]7-30-04'!#ref!</definedName>
    <definedName name="TYPEOFPLUG" localSheetId="14" hidden="0" function="0" vbProcedure="0">'[175]DATA CALL OUT'!$C$1:$C$65536</definedName>
    <definedName name="T_ABOP" localSheetId="14" hidden="0" function="0" vbProcedure="0">'[94]Physical Barrier Check Form'!$B$15</definedName>
    <definedName name="T_BFluidColumn" localSheetId="14" hidden="0" function="0" vbProcedure="0">'[94]Physical Barrier Check Form'!$B$19</definedName>
    <definedName name="T_BHP" localSheetId="14" hidden="0" function="0" vbProcedure="0">'[94]Job Technical Info'!$A$42</definedName>
    <definedName name="T_BHT" localSheetId="14" hidden="0" function="0" vbProcedure="0">'[94]Job Technical Info'!$C$42</definedName>
    <definedName name="T_Casing1" localSheetId="14" hidden="0" function="0" vbProcedure="0">'[94]Job Technical Info'!$B$25</definedName>
    <definedName name="T_Casing2" localSheetId="14" hidden="0" function="0" vbProcedure="0">'[94]Job Technical Info'!$B$26</definedName>
    <definedName name="T_Casing3" localSheetId="14" hidden="0" function="0" vbProcedure="0">'[94]Job Technical Info'!$B$27</definedName>
    <definedName name="T_Casing4" localSheetId="14" hidden="0" function="0" vbProcedure="0">'[94]Job Technical Info'!$B$28</definedName>
    <definedName name="T_Ccasing" localSheetId="14" hidden="0" function="0" vbProcedure="0">'[94]Physical Barrier Check Form'!$B$23</definedName>
    <definedName name="T_CustomerProject" localSheetId="14" hidden="0" function="0" vbProcedure="0">[94]Schematic!$A$8</definedName>
    <definedName name="T_C_H" localSheetId="14" hidden="0" function="0" vbProcedure="0">'[50]12(762mm)套管'!#ref!</definedName>
    <definedName name="T_Description" localSheetId="14" hidden="0" function="0" vbProcedure="0">[94]Schematic!$D$31</definedName>
    <definedName name="T_District" localSheetId="14" hidden="0" function="0" vbProcedure="0">'[94]Physical Barrier Check Form'!$B$4</definedName>
    <definedName name="T_DProductionPacker" localSheetId="14" hidden="0" function="0" vbProcedure="0">'[94]Physical Barrier Check Form'!$B$27</definedName>
    <definedName name="T_Drift" localSheetId="14" hidden="0" function="0" vbProcedure="0">'[94]Job Technical Info'!$G$23</definedName>
    <definedName name="T_EBridgePlug" localSheetId="14" hidden="0" function="0" vbProcedure="0">'[94]Physical Barrier Check Form'!$B$31</definedName>
    <definedName name="T_FluidType" localSheetId="14" hidden="0" function="0" vbProcedure="0">'[94]Job Technical Info'!$E$42</definedName>
    <definedName name="T_FluidWeight" localSheetId="14" hidden="0" function="0" vbProcedure="0">'[94]Job Technical Info'!$G$42</definedName>
    <definedName name="T_FOtherBarriers" localSheetId="14" hidden="0" function="0" vbProcedure="0">'[94]Physical Barrier Check Form'!$B$35</definedName>
    <definedName name="T_Grade" localSheetId="14" hidden="0" function="0" vbProcedure="0">'[94]Job Technical Info'!$H$23</definedName>
    <definedName name="T_ID" localSheetId="14" hidden="0" function="0" vbProcedure="0">'[94]Job Technical Info'!$F$23</definedName>
    <definedName name="T_Length" localSheetId="14" hidden="0" function="0" vbProcedure="0">[94]Schematic!$M$31</definedName>
    <definedName name="T_Liner1" localSheetId="14" hidden="0" function="0" vbProcedure="0">'[94]Job Technical Info'!$B$29</definedName>
    <definedName name="T_Liner2" localSheetId="14" hidden="0" function="0" vbProcedure="0">'[94]Job Technical Info'!$B$30</definedName>
    <definedName name="T_MaxDev" localSheetId="14" hidden="0" function="0" vbProcedure="0">[94]Schematic!$M$10</definedName>
    <definedName name="T_No" localSheetId="14" hidden="0" function="0" vbProcedure="0">[94]Schematic!$C$31</definedName>
    <definedName name="T_Notes" localSheetId="14" hidden="0" function="0" vbProcedure="0">'[94]Physical Barrier Check Form'!$H$13</definedName>
    <definedName name="T_OD" localSheetId="14" hidden="0" function="0" vbProcedure="0">'[94]Job Technical Info'!$D$23</definedName>
    <definedName name="T_Thread" localSheetId="14" hidden="0" function="0" vbProcedure="0">'[94]Job Technical Info'!$J$23</definedName>
    <definedName name="T_Tubing1" localSheetId="14" hidden="0" function="0" vbProcedure="0">'[94]Job Technical Info'!$B$35</definedName>
    <definedName name="T_Tubing2" localSheetId="14" hidden="0" function="0" vbProcedure="0">'[94]Job Technical Info'!$B$36</definedName>
    <definedName name="T_Tubing3" localSheetId="14" hidden="0" function="0" vbProcedure="0">'[94]Job Technical Info'!$B$37</definedName>
    <definedName name="T_Tubing4" localSheetId="14" hidden="0" function="0" vbProcedure="0">'[94]Job Technical Info'!$B$38</definedName>
    <definedName name="T_Tubulars" localSheetId="14" hidden="0" function="0" vbProcedure="0">'[94]Job Technical Info'!$B$23</definedName>
    <definedName name="T_Weight" localSheetId="14" hidden="0" function="0" vbProcedure="0">'[94]Job Technical Info'!$E$23</definedName>
    <definedName name="T_Workstring1" localSheetId="14" hidden="0" function="0" vbProcedure="0">'[94]Job Technical Info'!$B$31</definedName>
    <definedName name="T_Workstring2" localSheetId="14" hidden="0" function="0" vbProcedure="0">'[94]Job Technical Info'!$B$32</definedName>
    <definedName name="T_Workstring3" localSheetId="14" hidden="0" function="0" vbProcedure="0">'[94]Job Technical Info'!$B$33</definedName>
    <definedName name="T_Workstring4" localSheetId="14" hidden="0" function="0" vbProcedure="0">'[94]Job Technical Info'!$B$34</definedName>
    <definedName name="U" localSheetId="14" hidden="0" function="0" vbProcedure="0">[176]Lists!$A$1:$A$3</definedName>
    <definedName name="Underbalance" localSheetId="14" hidden="0" function="0" vbProcedure="0">'[108]Job Calculation Sheet'!$H$34</definedName>
    <definedName name="UNI_AA_VERSION" localSheetId="14" hidden="1" function="0" vbProcedure="0">"322.2.0"</definedName>
    <definedName name="Used" localSheetId="14" hidden="0" function="0" vbProcedure="0">[109]DATA!$AR$2:$AR$3</definedName>
    <definedName name="Using_Hanger" localSheetId="14" hidden="0" function="0" vbProcedure="0">'[109]Liner Job Info'!$D$38</definedName>
    <definedName name="Using_Packer" localSheetId="14" hidden="0" function="0" vbProcedure="0">'[109]Liner Job Info'!$P$30</definedName>
    <definedName name="VALIDCURR" localSheetId="14" hidden="0" function="0" vbProcedure="0">[177]Currency!$A$1:$A$170</definedName>
    <definedName name="Vallist" localSheetId="14" hidden="0" function="0" vbProcedure="0">'[109]Casing Info'!$A$2:$A$34</definedName>
    <definedName name="vallist2" localSheetId="14" hidden="0" function="0" vbProcedure="0">#N/A</definedName>
    <definedName name="vbcode.draw_blanks" localSheetId="14" hidden="0" function="0" vbProcedure="0">'[146]tally checklist'!vbcode.draw_blanks</definedName>
    <definedName name="vbcode.draw_linerfirst" localSheetId="14" hidden="0" function="0" vbProcedure="0">'[146]tally checklist'!vbcode.draw_linerfirst</definedName>
    <definedName name="vbcode.draw_linersecond" localSheetId="14" hidden="0" function="0" vbProcedure="0">'[146]tally checklist'!vbcode.draw_linersecond</definedName>
    <definedName name="vbcode.draw_miscellaneous" localSheetId="14" hidden="0" function="0" vbProcedure="0">'[146]tally checklist'!vbcode.draw_miscellaneous</definedName>
    <definedName name="vbcode.draw_productionfirst" localSheetId="14" hidden="0" function="0" vbProcedure="0">'[146]tally checklist'!vbcode.draw_productionfirst</definedName>
    <definedName name="vbcode.draw_productionsecond" localSheetId="14" hidden="0" function="0" vbProcedure="0">'[146]tally checklist'!vbcode.draw_productionsecond</definedName>
    <definedName name="vbcode.draw_quantum" localSheetId="14" hidden="0" function="0" vbProcedure="0">'[146]tally checklist'!vbcode.draw_quantum</definedName>
    <definedName name="vbcode.draw_screens" localSheetId="14" hidden="0" function="0" vbProcedure="0">'[146]tally checklist'!vbcode.draw_screens</definedName>
    <definedName name="vbcode.draw_shearsubs" localSheetId="14" hidden="0" function="0" vbProcedure="0">'[146]tally checklist'!vbcode.draw_shearsubs</definedName>
    <definedName name="vbcode.draw_sump" localSheetId="14" hidden="0" function="0" vbProcedure="0">'[146]tally checklist'!vbcode.draw_sump</definedName>
    <definedName name="vbcode.text_five" localSheetId="14" hidden="0" function="0" vbProcedure="0">'[146]tally checklist'!vbcode.text_five</definedName>
    <definedName name="vbcode.text_fivehalf" localSheetId="14" hidden="0" function="0" vbProcedure="0">'[146]tally checklist'!vbcode.text_fivehalf</definedName>
    <definedName name="vbcode.text_ninefiveeightfourfirst" localSheetId="14" hidden="0" function="0" vbProcedure="0">'[146]tally checklist'!vbcode.text_ninefiveeightfourfirst</definedName>
    <definedName name="vbcode.text_ninefiveeightfoursecond" localSheetId="14" hidden="0" function="0" vbProcedure="0">'[146]tally checklist'!vbcode.text_ninefiveeightfoursecond</definedName>
    <definedName name="vbcode.text_ninefiveeightsixfirst" localSheetId="14" hidden="0" function="0" vbProcedure="0">'[146]tally checklist'!vbcode.text_ninefiveeightsixfirst</definedName>
    <definedName name="vbcode.text_ninefiveeightsixsecond" localSheetId="14" hidden="0" function="0" vbProcedure="0">'[146]tally checklist'!vbcode.text_ninefiveeightsixsecond</definedName>
    <definedName name="vbcode.text_sevenfiveeightfour" localSheetId="14" hidden="0" function="0" vbProcedure="0">'[146]tally checklist'!vbcode.text_sevenfiveeightfour</definedName>
    <definedName name="vbcode.text_sevenfiveeightthree" localSheetId="14" hidden="0" function="0" vbProcedure="0">'[146]tally checklist'!vbcode.text_sevenfiveeightthree</definedName>
    <definedName name="vbcode.text_sevenfour" localSheetId="14" hidden="0" function="0" vbProcedure="0">'[146]tally checklist'!vbcode.text_sevenfour</definedName>
    <definedName name="vbcode.text_seventhree" localSheetId="14" hidden="0" function="0" vbProcedure="0">'[146]tally checklist'!vbcode.text_seventhree</definedName>
    <definedName name="Verticaldepth" localSheetId="14" hidden="0" function="0" vbProcedure="0">'[129]Front Page Info'!$C$18</definedName>
    <definedName name="volume1" localSheetId="14" hidden="0" function="0" vbProcedure="0">{#N/A,#N/A,FALSE,"Volume"}</definedName>
    <definedName name="VOL_MULE_SHOE" localSheetId="14" hidden="0" function="0" vbProcedure="0">'[113]#REF'!$F$178</definedName>
    <definedName name="VS" localSheetId="14" hidden="0" function="0" vbProcedure="0">'[95]MACRO125 '!$F$6</definedName>
    <definedName name="vvv" localSheetId="14" hidden="0" function="0" vbProcedure="0">[119]钻井日报表!$E$7</definedName>
    <definedName name="vvvdf" localSheetId="14" hidden="0" function="0" vbProcedure="0">[119]钻井日报表!$G$8</definedName>
    <definedName name="w" localSheetId="14" hidden="0" function="0" vbProcedure="0">'[306]run sheet'!#ref!</definedName>
    <definedName name="WBJobRev" localSheetId="14" hidden="0" function="0" vbProcedure="0">'[94]Job Technical Info'!$C$11</definedName>
    <definedName name="Weak_DP" localSheetId="14" hidden="0" function="0" vbProcedure="0">'[109]Weight Calculations'!$V$63</definedName>
    <definedName name="Weak_link" localSheetId="14" hidden="0" function="0" vbProcedure="0">'[109]Weight Calculations'!$R$61</definedName>
    <definedName name="Week" localSheetId="14" hidden="0" function="0" vbProcedure="0">[18]Criteria!$A$2:$A$51</definedName>
    <definedName name="weight" localSheetId="14" hidden="0" function="0" vbProcedure="0">'[7]Drop-Down Items'!$M$7:$M$10</definedName>
    <definedName name="well1"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4" hidden="0" function="0" vbProcedure="0">[132]Data!$K$1:$K$65536</definedName>
    <definedName name="Welllocation1" localSheetId="14" hidden="0" function="0" vbProcedure="0">[132]Data!$M$1:$M$65536</definedName>
    <definedName name="WellMD" localSheetId="14" hidden="0" function="0" vbProcedure="0">'[94]Job Technical Info'!$H$41</definedName>
    <definedName name="WellNo" localSheetId="14" hidden="0" function="0" vbProcedure="0">'[30]Liner Job Info'!$E$6</definedName>
    <definedName name="Wells" localSheetId="14" hidden="0" function="0" vbProcedure="0">[307]welltest!#ref!</definedName>
    <definedName name="WellTVD" localSheetId="14" hidden="0" function="0" vbProcedure="0">'[94]Job Technical Info'!$J$41</definedName>
    <definedName name="welltype" localSheetId="14" hidden="0" function="0" vbProcedure="0">'[113]#REF'!$F$18</definedName>
    <definedName name="Welltype2" localSheetId="14" hidden="0" function="0" vbProcedure="0">[178]Data!$H$1:$H$65536</definedName>
    <definedName name="Well_Name" localSheetId="14" hidden="0" function="0" vbProcedure="0">'[108]TCP-BHA'!$C$7</definedName>
    <definedName name="Well_Number" localSheetId="14" hidden="0" function="0" vbProcedure="0">'[62]Liner Job Info'!$E$6</definedName>
    <definedName name="well_type" localSheetId="14" hidden="0" function="0" vbProcedure="0">'[7]Drop-Down Items'!$D$43:$D$48</definedName>
    <definedName name="Well_Type__Oil_Gas" localSheetId="14" hidden="0" function="0" vbProcedure="0">'[108]Pre-Job Info Sheet'!$B$31</definedName>
    <definedName name="WHP" localSheetId="14" hidden="0" function="0" vbProcedure="0">#ref!</definedName>
    <definedName name="wht" localSheetId="14" hidden="0" function="0" vbProcedure="0">'[96]well test sheet'!#ref!</definedName>
    <definedName name="wiperplugunity" localSheetId="14" hidden="0" function="0" vbProcedure="0">[109]Test!$G$18</definedName>
    <definedName name="WkstrDrift1" localSheetId="14" hidden="0" function="0" vbProcedure="0">'[94]Job Technical Info'!$G$31</definedName>
    <definedName name="WkstrDrift2" localSheetId="14" hidden="0" function="0" vbProcedure="0">'[94]Job Technical Info'!$G$32</definedName>
    <definedName name="WkstrDrift3" localSheetId="14" hidden="0" function="0" vbProcedure="0">'[94]Job Technical Info'!$G$33</definedName>
    <definedName name="WkstrDrift4" localSheetId="14" hidden="0" function="0" vbProcedure="0">'[94]Job Technical Info'!$G$34</definedName>
    <definedName name="WkstrGrd1" localSheetId="14" hidden="0" function="0" vbProcedure="0">'[94]Job Technical Info'!$H$31</definedName>
    <definedName name="WkstrGrd2" localSheetId="14" hidden="0" function="0" vbProcedure="0">'[94]Job Technical Info'!$H$32</definedName>
    <definedName name="WkstrGrd3" localSheetId="14" hidden="0" function="0" vbProcedure="0">'[94]Job Technical Info'!$H$33</definedName>
    <definedName name="WkstrGrd4" localSheetId="14" hidden="0" function="0" vbProcedure="0">'[94]Job Technical Info'!$H$34</definedName>
    <definedName name="WkstrID1" localSheetId="14" hidden="0" function="0" vbProcedure="0">'[94]Job Technical Info'!$F$31</definedName>
    <definedName name="WkstrID2" localSheetId="14" hidden="0" function="0" vbProcedure="0">'[94]Job Technical Info'!$F$32</definedName>
    <definedName name="WkstrID3" localSheetId="14" hidden="0" function="0" vbProcedure="0">'[94]Job Technical Info'!$F$33</definedName>
    <definedName name="WkstrID4" localSheetId="14" hidden="0" function="0" vbProcedure="0">'[94]Job Technical Info'!$F$34</definedName>
    <definedName name="WkstrSz1" localSheetId="14" hidden="0" function="0" vbProcedure="0">'[94]Job Technical Info'!$D$31</definedName>
    <definedName name="WkstrSz2" localSheetId="14" hidden="0" function="0" vbProcedure="0">'[94]Job Technical Info'!$D$32</definedName>
    <definedName name="WkstrSz3" localSheetId="14" hidden="0" function="0" vbProcedure="0">'[94]Job Technical Info'!$D$33</definedName>
    <definedName name="WkstrSz4" localSheetId="14" hidden="0" function="0" vbProcedure="0">'[94]Job Technical Info'!$D$34</definedName>
    <definedName name="WkstrThd1" localSheetId="14" hidden="0" function="0" vbProcedure="0">'[94]Job Technical Info'!$J$31</definedName>
    <definedName name="WkstrThd2" localSheetId="14" hidden="0" function="0" vbProcedure="0">'[94]Job Technical Info'!$J$32</definedName>
    <definedName name="WkstrThd3" localSheetId="14" hidden="0" function="0" vbProcedure="0">'[94]Job Technical Info'!$J$33</definedName>
    <definedName name="WkstrThd4" localSheetId="14" hidden="0" function="0" vbProcedure="0">'[94]Job Technical Info'!$J$34</definedName>
    <definedName name="WkstrWt1" localSheetId="14" hidden="0" function="0" vbProcedure="0">'[94]Job Technical Info'!$E$31</definedName>
    <definedName name="WkstrWt2" localSheetId="14" hidden="0" function="0" vbProcedure="0">'[94]Job Technical Info'!$E$32</definedName>
    <definedName name="WkstrWt3" localSheetId="14" hidden="0" function="0" vbProcedure="0">'[94]Job Technical Info'!$E$33</definedName>
    <definedName name="WkstrWt4" localSheetId="14" hidden="0" function="0" vbProcedure="0">'[94]Job Technical Info'!$E$34</definedName>
    <definedName name="workstringid" localSheetId="14" hidden="0" function="0" vbProcedure="0">'[113]#REF'!$H$12</definedName>
    <definedName name="workstringidref" localSheetId="14" hidden="0" function="0" vbProcedure="0">[106]Data!$GC$3</definedName>
    <definedName name="workstringlength" localSheetId="14" hidden="0" function="0" vbProcedure="0">'[113]#REF'!$J$12</definedName>
    <definedName name="workstringod" localSheetId="14" hidden="0" function="0" vbProcedure="0">'[113]#REF'!$F$12</definedName>
    <definedName name="workstringtable" localSheetId="14" hidden="0" function="0" vbProcedure="0">[86]!CasingTable[#data]</definedName>
    <definedName name="workstringwt" localSheetId="14" hidden="0" function="0" vbProcedure="0">'[113]#REF'!$M$12</definedName>
    <definedName name="Workstring_Grade" localSheetId="14" hidden="0" function="0" vbProcedure="0">'[108]Pre-Job Info Sheet'!$D$27</definedName>
    <definedName name="Workstring_ID" localSheetId="14" hidden="0" function="0" vbProcedure="0">'[108]Job Calculation Sheet'!$F$16</definedName>
    <definedName name="Workstring_Length" localSheetId="14" hidden="0" function="0" vbProcedure="0">'[108]TCP-BHA'!$G$12</definedName>
    <definedName name="Workstring_Size" localSheetId="14" hidden="0" function="0" vbProcedure="0">'[108]Pre-Job Info Sheet'!$D$25</definedName>
    <definedName name="Workstring_Type" localSheetId="14" hidden="0" function="0" vbProcedure="0">'[108]Pre-Job Info Sheet'!$D$24</definedName>
    <definedName name="Workstring_Wt._Ft." localSheetId="14" hidden="0" function="0" vbProcedure="0">'[108]Pre-Job Info Sheet'!$D$26</definedName>
    <definedName name="wrn.ASDF." localSheetId="14" hidden="1" function="0" vbProcedure="0">{#N/A,#N/A,FALSE,"SHEET 1";#N/A,#N/A,FALSE,"Sheet4"}</definedName>
    <definedName name="wrn.AT._.Reports." localSheetId="14" hidden="1" function="0" vbProcedure="0">{#N/A,#N/A,FALSE,"Drlg Param Run 1-1";#N/A,#N/A,FALSE,"DDR (3)";#N/A,#N/A,FALSE,"BHA AT (1)";#N/A,#N/A,FALSE,"Downlinkbha";#N/A,#N/A,FALSE,"Job Status Report"}</definedName>
    <definedName name="wrn.CD_MST." localSheetId="14" hidden="1" function="0" vbProcedure="0">{#N/A,#N/A,FALSE,"Sheet1"}</definedName>
    <definedName name="wrn.DST_TCP." localSheetId="14" hidden="1" function="0" vbProcedure="0">{#N/A,#N/A,FALSE,"INFO";#N/A,#N/A,FALSE,"PCT";#N/A,#N/A,FALSE,"DISCS";#N/A,#N/A,FALSE,"DISC TABLE";#N/A,#N/A,FALSE,"CUSHION";#N/A,#N/A,FALSE,"HYDRAULICS";#N/A,#N/A,FALSE,"MCCV";#N/A,#N/A,FALSE,"HDF";#N/A,#N/A,FALSE,"GUNS";#N/A,#N/A,FALSE,"GUNDATA"}</definedName>
    <definedName name="wrn.FULL._.DTL." localSheetId="14" hidden="1" function="0" vbProcedure="0">{"CF",#N/A,FALSE,"FULL COST";"MANUFACT",#N/A,FALSE,"FULL COST";"PAYNMENT",#N/A,FALSE,"FULL COST"}</definedName>
    <definedName name="wrn.FULLSUM." localSheetId="14" hidden="1" function="0" vbProcedure="0">{#N/A,#N/A,FALSE,"SUM-1";#N/A,#N/A,FALSE,"SUM-2";#N/A,#N/A,FALSE,"TENDER"}</definedName>
    <definedName name="wrn.ratios." localSheetId="14" hidden="1" function="0" vbProcedure="0">{"raatios",#N/A,FALSE,"A";"ratios",#N/A,FALSE,"B";"ratios",#N/A,FALSE,"C";"ratios",#N/A,FALSE,"D";"ratios",#N/A,FALSE,"F"}</definedName>
    <definedName name="wrn.SUMMARY." localSheetId="14" hidden="1" function="0" vbProcedure="0">{#N/A,#N/A,FALSE,"JUNK"}</definedName>
    <definedName name="wrn.VOLUME." localSheetId="14" hidden="0" function="0" vbProcedure="0">{#N/A,#N/A,FALSE,"Volume"}</definedName>
    <definedName name="wrn.volume.2" localSheetId="14" hidden="0" function="0" vbProcedure="0">{#N/A,#N/A,FALSE,"Volume"}</definedName>
    <definedName name="wrn.volume.2_1" localSheetId="14" hidden="0" function="0" vbProcedure="0">{#N/A,#N/A,FALSE,"Volume"}</definedName>
    <definedName name="wrn.volume.2_2" localSheetId="14" hidden="0" function="0" vbProcedure="0">{#N/A,#N/A,FALSE,"Volume"}</definedName>
    <definedName name="wrn.volume.2_3" localSheetId="14" hidden="0" function="0" vbProcedure="0">{#N/A,#N/A,FALSE,"Volume"}</definedName>
    <definedName name="wrn.volume.2_4" localSheetId="14" hidden="0" function="0" vbProcedure="0">{#N/A,#N/A,FALSE,"Volume"}</definedName>
    <definedName name="wrn.volume.2_5" localSheetId="14" hidden="0" function="0" vbProcedure="0">{#N/A,#N/A,FALSE,"Volume"}</definedName>
    <definedName name="wrn.volume.3" localSheetId="14" hidden="0" function="0" vbProcedure="0">{#N/A,#N/A,FALSE,"Volume"}</definedName>
    <definedName name="wrn.volume.3_1" localSheetId="14" hidden="0" function="0" vbProcedure="0">{#N/A,#N/A,FALSE,"Volume"}</definedName>
    <definedName name="wrn.volume.3_2" localSheetId="14" hidden="0" function="0" vbProcedure="0">{#N/A,#N/A,FALSE,"Volume"}</definedName>
    <definedName name="wrn.volume.3_3" localSheetId="14" hidden="0" function="0" vbProcedure="0">{#N/A,#N/A,FALSE,"Volume"}</definedName>
    <definedName name="wrn.volume.3_4" localSheetId="14" hidden="0" function="0" vbProcedure="0">{#N/A,#N/A,FALSE,"Volume"}</definedName>
    <definedName name="wrn.volume.3_5" localSheetId="14" hidden="0" function="0" vbProcedure="0">{#N/A,#N/A,FALSE,"Volume"}</definedName>
    <definedName name="wrn.VOLUME._1" localSheetId="14" hidden="0" function="0" vbProcedure="0">{#N/A,#N/A,FALSE,"Volume"}</definedName>
    <definedName name="wrn.VOLUME._2" localSheetId="14" hidden="0" function="0" vbProcedure="0">{#N/A,#N/A,FALSE,"Volume"}</definedName>
    <definedName name="wrn.VOLUME._3" localSheetId="14" hidden="0" function="0" vbProcedure="0">{#N/A,#N/A,FALSE,"Volume"}</definedName>
    <definedName name="wrn.VOLUME._4" localSheetId="14" hidden="0" function="0" vbProcedure="0">{#N/A,#N/A,FALSE,"Volume"}</definedName>
    <definedName name="wrn.VOLUME._5" localSheetId="14" hidden="0" function="0" vbProcedure="0">{#N/A,#N/A,FALSE,"Volume"}</definedName>
    <definedName name="WRN.VULUME" localSheetId="14" hidden="0" function="0" vbProcedure="0">{#N/A,#N/A,FALSE,"Volume"}</definedName>
    <definedName name="wrn.Wellplan." localSheetId="1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4" hidden="1" function="0" vbProcedure="0">{#N/A,#N/A,FALSE,"SHEET 1";#N/A,#N/A,FALSE,"Sheet4"}</definedName>
    <definedName name="wscolumn" localSheetId="14" hidden="0" function="0" vbProcedure="0">[106]Data!$W$19</definedName>
    <definedName name="WS_ID" localSheetId="14" hidden="0" function="0" vbProcedure="0">'[113]#REF'!$H$12</definedName>
    <definedName name="WS_LENGTH" localSheetId="14" hidden="0" function="0" vbProcedure="0">'[113]#REF'!$J$12</definedName>
    <definedName name="WS_OD" localSheetId="14" hidden="0" function="0" vbProcedure="0">'[113]#REF'!$F$12</definedName>
    <definedName name="wt" localSheetId="14" hidden="0" function="0" vbProcedure="0">'[115]Max-Torq'!$P$64</definedName>
    <definedName name="wtcasing" localSheetId="14" hidden="0" function="0" vbProcedure="0">[106]Data!$J$19</definedName>
    <definedName name="wtr_cumm" localSheetId="14" hidden="0" function="0" vbProcedure="0">'[96]well test sheet'!#ref!</definedName>
    <definedName name="wtr_rate" localSheetId="14" hidden="0" function="0" vbProcedure="0">'[96]well test sheet'!#ref!</definedName>
    <definedName name="wtworkstring" localSheetId="14" hidden="0" function="0" vbProcedure="0">[106]Data!$W$21</definedName>
    <definedName name="Wtype" localSheetId="14" hidden="0" function="0" vbProcedure="0">'[109]Liner Job Info'!$E$9</definedName>
    <definedName name="Wt_Bouyant" localSheetId="14" hidden="0" function="0" vbProcedure="0">'[108]Packer Calculation Sheet'!$I$34</definedName>
    <definedName name="Wt_w_Cmt" localSheetId="14" hidden="0" function="0" vbProcedure="0">'[109]Liner Job Info'!$D$34</definedName>
    <definedName name="Wt_W_Pkr_Tst" localSheetId="14" hidden="0" function="0" vbProcedure="0">'[109]Liner Job Info'!$D$36</definedName>
    <definedName name="X" localSheetId="14" hidden="0" function="0" vbProcedure="0">#ref!</definedName>
    <definedName name="X5_TO" localSheetId="14" hidden="0" function="0" vbProcedure="0">[129]RSS!$C$197</definedName>
    <definedName name="XCEED_TO" localSheetId="14" hidden="0" function="0" vbProcedure="0">[129]RSS!$G$201</definedName>
    <definedName name="xoportdepth" localSheetId="14" hidden="0" function="0" vbProcedure="0">'[113]#REF'!$F$21</definedName>
    <definedName name="XO_DEPTH" localSheetId="14" hidden="0" function="0" vbProcedure="0">'[113]#REF'!$F$21</definedName>
    <definedName name="XO_PORT_DEPTH" localSheetId="14" hidden="0" function="0" vbProcedure="0">'[113]#REF'!$F$21</definedName>
    <definedName name="XTRA_TO" localSheetId="14" hidden="0" function="0" vbProcedure="0">[129]RSS!$E$201</definedName>
    <definedName name="xxx" localSheetId="14" hidden="1" function="0" vbProcedure="0">{#N/A,#N/A,FALSE,"Sheet1"}</definedName>
    <definedName name="Y" localSheetId="14" hidden="0" function="0" vbProcedure="0">'[310]#ref'!#ref!</definedName>
    <definedName name="YESNO" localSheetId="14" hidden="0" function="0" vbProcedure="0">[129]RSS!$E$139:$E$141</definedName>
    <definedName name="YJEJD" localSheetId="14" hidden="0" function="0" vbProcedure="0">'[146]tally checklist'!yjejd</definedName>
    <definedName name="yp" localSheetId="14" hidden="0" function="0" vbProcedure="0">'[115]Max-Torq'!$N$59</definedName>
    <definedName name="ypa" localSheetId="14" hidden="0" function="0" vbProcedure="0">'[115]Max-Torq'!$P$63</definedName>
    <definedName name="ypdtr" localSheetId="14" hidden="0" function="0" vbProcedure="0">'[115]Max-Torq'!$P$70</definedName>
    <definedName name="yyyyyyyyyyyy" localSheetId="14" hidden="1" function="0" vbProcedure="0">{"raatios",#N/A,FALSE,"A";"ratios",#N/A,FALSE,"B";"ratios",#N/A,FALSE,"C";"ratios",#N/A,FALSE,"D";"ratios",#N/A,FALSE,"F"}</definedName>
    <definedName name="zone" localSheetId="14" hidden="0" function="0" vbProcedure="0">[5]WTR!$L$4</definedName>
    <definedName name="Zone1BHP" localSheetId="14" hidden="0" function="0" vbProcedure="0">'[94]Job Technical Info'!$G$49</definedName>
    <definedName name="Zone1BHT" localSheetId="14" hidden="0" function="0" vbProcedure="0">'[94]Job Technical Info'!$H$49</definedName>
    <definedName name="Zone1Bottom" localSheetId="14" hidden="0" function="0" vbProcedure="0">'[94]Job Technical Info'!$E$49</definedName>
    <definedName name="Zone1Dev" localSheetId="14" hidden="0" function="0" vbProcedure="0">'[94]Job Technical Info'!$F$49</definedName>
    <definedName name="Zone1FluidType" localSheetId="14" hidden="0" function="0" vbProcedure="0">'[94]Job Technical Info'!$I$49</definedName>
    <definedName name="Zone1FluidWt" localSheetId="14" hidden="0" function="0" vbProcedure="0">'[94]Job Technical Info'!$J$49</definedName>
    <definedName name="Zone1Name" localSheetId="14" hidden="0" function="0" vbProcedure="0">'[94]Job Technical Info'!$C$49</definedName>
    <definedName name="Zone1Top" localSheetId="14" hidden="0" function="0" vbProcedure="0">'[94]Job Technical Info'!$D$49</definedName>
    <definedName name="Zone2BHP" localSheetId="14" hidden="0" function="0" vbProcedure="0">'[94]Job Technical Info'!$G$50</definedName>
    <definedName name="Zone2BHT" localSheetId="14" hidden="0" function="0" vbProcedure="0">'[94]Job Technical Info'!$H$50</definedName>
    <definedName name="Zone2Bottom" localSheetId="14" hidden="0" function="0" vbProcedure="0">'[94]Job Technical Info'!$E$50</definedName>
    <definedName name="Zone2Dev" localSheetId="14" hidden="0" function="0" vbProcedure="0">'[94]Job Technical Info'!$F$50</definedName>
    <definedName name="Zone2FluidType" localSheetId="14" hidden="0" function="0" vbProcedure="0">'[94]Job Technical Info'!$I$50</definedName>
    <definedName name="Zone2FluidWt" localSheetId="14" hidden="0" function="0" vbProcedure="0">'[94]Job Technical Info'!$J$50</definedName>
    <definedName name="Zone2Name" localSheetId="14" hidden="0" function="0" vbProcedure="0">'[94]Job Technical Info'!$C$50</definedName>
    <definedName name="Zone2Top" localSheetId="14" hidden="0" function="0" vbProcedure="0">'[94]Job Technical Info'!$D$50</definedName>
    <definedName name="Zone3BHP" localSheetId="14" hidden="0" function="0" vbProcedure="0">'[94]Job Technical Info'!$G$51</definedName>
    <definedName name="Zone3BHT" localSheetId="14" hidden="0" function="0" vbProcedure="0">'[94]Job Technical Info'!$H$51</definedName>
    <definedName name="Zone3Bottom" localSheetId="14" hidden="0" function="0" vbProcedure="0">'[94]Job Technical Info'!$E$51</definedName>
    <definedName name="Zone3Dev" localSheetId="14" hidden="0" function="0" vbProcedure="0">'[94]Job Technical Info'!$F$51</definedName>
    <definedName name="Zone3FluidType" localSheetId="14" hidden="0" function="0" vbProcedure="0">'[94]Job Technical Info'!$I$51</definedName>
    <definedName name="Zone3FluidWt" localSheetId="14" hidden="0" function="0" vbProcedure="0">'[94]Job Technical Info'!$J$51</definedName>
    <definedName name="Zone3Name" localSheetId="14" hidden="0" function="0" vbProcedure="0">'[94]Job Technical Info'!$C$51</definedName>
    <definedName name="Zone3Top" localSheetId="14" hidden="0" function="0" vbProcedure="0">'[94]Job Technical Info'!$D$51</definedName>
    <definedName name="Zone4BHP" localSheetId="14" hidden="0" function="0" vbProcedure="0">'[94]Job Technical Info'!$G$52</definedName>
    <definedName name="Zone4BHT" localSheetId="14" hidden="0" function="0" vbProcedure="0">'[94]Job Technical Info'!$H$52</definedName>
    <definedName name="Zone4Bottom" localSheetId="14" hidden="0" function="0" vbProcedure="0">'[94]Job Technical Info'!$E$52</definedName>
    <definedName name="Zone4Dev" localSheetId="14" hidden="0" function="0" vbProcedure="0">'[94]Job Technical Info'!$F$52</definedName>
    <definedName name="Zone4FluidType" localSheetId="14" hidden="0" function="0" vbProcedure="0">'[94]Job Technical Info'!$I$52</definedName>
    <definedName name="Zone4FluidWt" localSheetId="14" hidden="0" function="0" vbProcedure="0">'[94]Job Technical Info'!$J$52</definedName>
    <definedName name="Zone4Name" localSheetId="14" hidden="0" function="0" vbProcedure="0">'[94]Job Technical Info'!$C$52</definedName>
    <definedName name="Zone4Top" localSheetId="14" hidden="0" function="0" vbProcedure="0">'[94]Job Technical Info'!$D$52</definedName>
    <definedName name="Zone5BHP" localSheetId="14" hidden="0" function="0" vbProcedure="0">'[94]Job Technical Info'!$G$53</definedName>
    <definedName name="Zone5BHT" localSheetId="14" hidden="0" function="0" vbProcedure="0">'[94]Job Technical Info'!$H$53</definedName>
    <definedName name="Zone5Bottom" localSheetId="14" hidden="0" function="0" vbProcedure="0">'[94]Job Technical Info'!$E$53</definedName>
    <definedName name="Zone5Dev" localSheetId="14" hidden="0" function="0" vbProcedure="0">'[94]Job Technical Info'!$F$53</definedName>
    <definedName name="Zone5FluidType" localSheetId="14" hidden="0" function="0" vbProcedure="0">'[94]Job Technical Info'!$I$53</definedName>
    <definedName name="Zone5FluidWt" localSheetId="14" hidden="0" function="0" vbProcedure="0">'[94]Job Technical Info'!$J$53</definedName>
    <definedName name="Zone5Name" localSheetId="14" hidden="0" function="0" vbProcedure="0">'[94]Job Technical Info'!$C$53</definedName>
    <definedName name="Zone5Top" localSheetId="14" hidden="0" function="0" vbProcedure="0">'[94]Job Technical Info'!$D$53</definedName>
    <definedName name="ZXP_Seal_Area" localSheetId="14" hidden="0" function="0" vbProcedure="0">[109]Test!$Z$38</definedName>
    <definedName name="Z_Fact_DH" localSheetId="14" hidden="0" function="0" vbProcedure="0">'[108]Tester Valve Calcs'!$F$23</definedName>
    <definedName name="Z_Fact_Surf" localSheetId="14" hidden="0" function="0" vbProcedure="0">'[108]Tester Valve Calcs'!$F$18</definedName>
    <definedName name="_A" localSheetId="14" hidden="0" function="0" vbProcedure="0">'[2]run sheet'!#ref!</definedName>
    <definedName name="_C" localSheetId="14" hidden="0" function="0" vbProcedure="0">'[2]run sheet'!#ref!</definedName>
    <definedName name="_D" localSheetId="14" hidden="0" function="0" vbProcedure="0">'[2]run sheet'!#ref!</definedName>
    <definedName name="_E" localSheetId="14" hidden="0" function="0" vbProcedure="0">'[2]run sheet'!#ref!</definedName>
    <definedName name="_f" localSheetId="14" hidden="0" function="0" vbProcedure="0">{#N/A,#N/A,FALSE,"Volume"}</definedName>
    <definedName name="_g" localSheetId="14" hidden="0" function="0" vbProcedure="0">{#N/A,#N/A,FALSE,"Volume"}</definedName>
    <definedName name="_h" localSheetId="14" hidden="0" function="0" vbProcedure="0">{#N/A,#N/A,FALSE,"Volume"}</definedName>
    <definedName name="_I" localSheetId="14" hidden="0" function="0" vbProcedure="0">'[2]run sheet'!#ref!</definedName>
    <definedName name="_L" localSheetId="14" hidden="0" function="0" vbProcedure="0">'[2]run sheet'!#ref!</definedName>
    <definedName name="_N" localSheetId="14" hidden="0" function="0" vbProcedure="0">'[2]run sheet'!#ref!</definedName>
    <definedName name="_q" localSheetId="14" hidden="0" function="0" vbProcedure="0">'[4]run sheet'!#ref!</definedName>
    <definedName name="_T" localSheetId="14" hidden="0" function="0" vbProcedure="0">{#N/A,#N/A,FALSE,"Volume"}</definedName>
    <definedName name="_Z" localSheetId="14" hidden="0" function="0" vbProcedure="0">'[2]run sheet'!#ref!</definedName>
    <definedName name="_" localSheetId="14" hidden="0" function="0" vbProcedure="0">[6]readings!#ref!</definedName>
    <definedName name="_1" localSheetId="14" hidden="0" function="0" vbProcedure="0">{#N/A,#N/A,FALSE,"Volume"}</definedName>
    <definedName name="_11Druckbereich" localSheetId="14" hidden="0" function="0" vbProcedure="0">[36]run_s!#ref!</definedName>
    <definedName name="_1234GRAPH_G" localSheetId="14" hidden="1" function="0" vbProcedure="0">[179]Run!$F$16:$F$514</definedName>
    <definedName name="_1Module2__2__.gaugeconok2" localSheetId="14" hidden="0" function="0" vbProcedure="0">[28]!_1Module2__2__.gaugeconok2</definedName>
    <definedName name="_2" localSheetId="14" hidden="0" function="0" vbProcedure="0">{#N/A,#N/A,FALSE,"Volume"}</definedName>
    <definedName name="_2Module2__2__.gaugeok2" localSheetId="14" hidden="0" function="0" vbProcedure="0">[28]!_2Module2__2__.gaugeok2</definedName>
    <definedName name="_3Module2__2__.gaugeselect2" localSheetId="14" hidden="0" function="0" vbProcedure="0">[28]!_3Module2__2__.gaugeselect2</definedName>
    <definedName name="_4Module2__2__.serialselect3" localSheetId="14" hidden="0" function="0" vbProcedure="0">[28]!_4Module2__2__.serialselect3</definedName>
    <definedName name="_5" localSheetId="14" hidden="0" function="0" vbProcedure="0">{#N/A,#N/A,FALSE,"Volume"}</definedName>
    <definedName name="_5Module2__2__.serialselect4" localSheetId="14" hidden="0" function="0" vbProcedure="0">[28]!_5Module2__2__.serialselect4</definedName>
    <definedName name="_a" localSheetId="14" hidden="0" function="0" vbProcedure="0">{#N/A,#N/A,FALSE,"Volume"}</definedName>
    <definedName name="_a1" localSheetId="14" hidden="0" function="0" vbProcedure="0">{#N/A,#N/A,FALSE,"Volume"}</definedName>
    <definedName name="_a2" localSheetId="14" hidden="0" function="0" vbProcedure="0">{#N/A,#N/A,FALSE,"Volume"}</definedName>
    <definedName name="_a3" localSheetId="14" hidden="0" function="0" vbProcedure="0">{#N/A,#N/A,FALSE,"Volume"}</definedName>
    <definedName name="_A4" localSheetId="14" hidden="1" function="0" vbProcedure="0">[179]Run!$B$18:$B$512</definedName>
    <definedName name="_aa" localSheetId="14" hidden="0" function="0" vbProcedure="0">{#N/A,#N/A,FALSE,"Volume"}</definedName>
    <definedName name="_aaa" localSheetId="14" hidden="0" function="0" vbProcedure="0">{#N/A,#N/A,FALSE,"Volume"}</definedName>
    <definedName name="_aaaaa" localSheetId="14" hidden="0" function="0" vbProcedure="0">{#N/A,#N/A,FALSE,"Volume"}</definedName>
    <definedName name="_aaaaaa" localSheetId="14" hidden="0" function="0" vbProcedure="0">{#N/A,#N/A,FALSE,"Volume"}</definedName>
    <definedName name="_ab" localSheetId="14" hidden="0" function="0" vbProcedure="0">{#N/A,#N/A,FALSE,"Volume"}</definedName>
    <definedName name="_ac" localSheetId="14" hidden="0" function="0" vbProcedure="0">{#N/A,#N/A,FALSE,"Volume"}</definedName>
    <definedName name="_acasdf" localSheetId="14" hidden="0" function="0" vbProcedure="0">{#N/A,#N/A,FALSE,"Volume"}</definedName>
    <definedName name="_acc" localSheetId="14" hidden="0" function="0" vbProcedure="0">{#N/A,#N/A,FALSE,"Volume"}</definedName>
    <definedName name="_ap1" localSheetId="14" hidden="0" function="0" vbProcedure="0">{#N/A,#N/A,FALSE,"Volume"}</definedName>
    <definedName name="_ap2" localSheetId="14" hidden="0" function="0" vbProcedure="0">{#N/A,#N/A,FALSE,"Volume"}</definedName>
    <definedName name="_ap3" localSheetId="14" hidden="0" function="0" vbProcedure="0">{#N/A,#N/A,FALSE,"Volume"}</definedName>
    <definedName name="_app1" localSheetId="14" hidden="0" function="0" vbProcedure="0">{#N/A,#N/A,FALSE,"Volume"}</definedName>
    <definedName name="_app2" localSheetId="14" hidden="0" function="0" vbProcedure="0">{#N/A,#N/A,FALSE,"Volume"}</definedName>
    <definedName name="_app3" localSheetId="14" hidden="0" function="0" vbProcedure="0">{#N/A,#N/A,FALSE,"Volume"}</definedName>
    <definedName name="_app4" localSheetId="14" hidden="0" function="0" vbProcedure="0">{#N/A,#N/A,FALSE,"Volume"}</definedName>
    <definedName name="_app5" localSheetId="14" hidden="0" function="0" vbProcedure="0">{#N/A,#N/A,FALSE,"Volume"}</definedName>
    <definedName name="_asdfas" localSheetId="14" hidden="0" function="0" vbProcedure="0">{#N/A,#N/A,FALSE,"Volume"}</definedName>
    <definedName name="_b" localSheetId="14" hidden="0" function="0" vbProcedure="0">{#N/A,#N/A,FALSE,"Volume"}</definedName>
    <definedName name="_b1" localSheetId="14" hidden="0" function="0" vbProcedure="0">{#N/A,#N/A,FALSE,"Volume"}</definedName>
    <definedName name="_b2" localSheetId="14" hidden="0" function="0" vbProcedure="0">{#N/A,#N/A,FALSE,"Volume"}</definedName>
    <definedName name="_b3" localSheetId="14" hidden="0" function="0" vbProcedure="0">{#N/A,#N/A,FALSE,"Volume"}</definedName>
    <definedName name="_b4" localSheetId="14" hidden="0" function="0" vbProcedure="0">{#N/A,#N/A,FALSE,"Volume"}</definedName>
    <definedName name="_b5" localSheetId="14" hidden="0" function="0" vbProcedure="0">{#N/A,#N/A,FALSE,"Volume"}</definedName>
    <definedName name="_bgn1" localSheetId="14" hidden="1" function="0" vbProcedure="0">{#N/A,#N/A,FALSE,"Sheet1"}</definedName>
    <definedName name="_c" localSheetId="14" hidden="0" function="0" vbProcedure="0">{#N/A,#N/A,FALSE,"Volume"}</definedName>
    <definedName name="_c1" localSheetId="14" hidden="0" function="0" vbProcedure="0">{#N/A,#N/A,FALSE,"Volume"}</definedName>
    <definedName name="_c2" localSheetId="14" hidden="0" function="0" vbProcedure="0">{#N/A,#N/A,FALSE,"Volume"}</definedName>
    <definedName name="_c3" localSheetId="14" hidden="0" function="0" vbProcedure="0">{#N/A,#N/A,FALSE,"Volume"}</definedName>
    <definedName name="_c4" localSheetId="14" hidden="0" function="0" vbProcedure="0">{#N/A,#N/A,FALSE,"Volume"}</definedName>
    <definedName name="_cd1" localSheetId="14" hidden="1" function="0" vbProcedure="0">{#N/A,#N/A,FALSE,"Sheet1"}</definedName>
    <definedName name="_cf1" localSheetId="14" hidden="1" function="0" vbProcedure="0">{#N/A,#N/A,FALSE,"Sheet1"}</definedName>
    <definedName name="_d" localSheetId="14" hidden="0" function="0" vbProcedure="0">{#N/A,#N/A,FALSE,"Volume"}</definedName>
    <definedName name="_d1" localSheetId="14" hidden="0" function="0" vbProcedure="0">{#N/A,#N/A,FALSE,"Volume"}</definedName>
    <definedName name="_d2_" localSheetId="14" hidden="0" function="0" vbProcedure="0">{#N/A,#N/A,FALSE,"Volume"}</definedName>
    <definedName name="_d3" localSheetId="14" hidden="0" function="0" vbProcedure="0">{#N/A,#N/A,FALSE,"Volume"}</definedName>
    <definedName name="_d4" localSheetId="14" hidden="0" function="0" vbProcedure="0">{#N/A,#N/A,FALSE,"Volume"}</definedName>
    <definedName name="_DAT16" localSheetId="14" hidden="0" function="0" vbProcedure="0">'[40]sap serv 06-02'!#ref!</definedName>
    <definedName name="_DAT17" localSheetId="14" hidden="0" function="0" vbProcedure="0">'[40]sap serv 06-02'!#ref!</definedName>
    <definedName name="_DAT19" localSheetId="14" hidden="0" function="0" vbProcedure="0">'[40]sap serv 06-02'!#ref!</definedName>
    <definedName name="_DAT20" localSheetId="14" hidden="0" function="0" vbProcedure="0">'[40]sap serv 06-02'!#ref!</definedName>
    <definedName name="_DAT25" localSheetId="14" hidden="0" function="0" vbProcedure="0">'[40]sap serv 06-02'!#ref!</definedName>
    <definedName name="_DAT26" localSheetId="14" hidden="0" function="0" vbProcedure="0">'[40]sap serv 06-02'!#ref!</definedName>
    <definedName name="_DAT27" localSheetId="14" hidden="0" function="0" vbProcedure="0">'[40]sap serv 06-02'!#ref!</definedName>
    <definedName name="_DAT28" localSheetId="14" hidden="0" function="0" vbProcedure="0">'[40]sap serv 06-02'!#ref!</definedName>
    <definedName name="_DAT29" localSheetId="14" hidden="0" function="0" vbProcedure="0">'[40]sap serv 06-02'!#ref!</definedName>
    <definedName name="_DAT31" localSheetId="14" hidden="0" function="0" vbProcedure="0">'[40]sap serv 06-02'!#ref!</definedName>
    <definedName name="_DAT32" localSheetId="14" hidden="0" function="0" vbProcedure="0">'[40]sap serv 06-02'!#ref!</definedName>
    <definedName name="_DAT34" localSheetId="14" hidden="0" function="0" vbProcedure="0">'[40]sap serv 06-02'!#ref!</definedName>
    <definedName name="_DAT35" localSheetId="14" hidden="0" function="0" vbProcedure="0">'[40]sap serv 06-02'!#ref!</definedName>
    <definedName name="_DAT36" localSheetId="14" hidden="0" function="0" vbProcedure="0">'[40]sap serv 06-02'!#ref!</definedName>
    <definedName name="_DAT40" localSheetId="14" hidden="0" function="0" vbProcedure="0">'[40]sap serv 06-02'!#ref!</definedName>
    <definedName name="_DAT41" localSheetId="14" hidden="0" function="0" vbProcedure="0">'[40]sap serv 06-02'!#ref!</definedName>
    <definedName name="_DAT42" localSheetId="14" hidden="0" function="0" vbProcedure="0">'[40]sap serv 06-02'!#ref!</definedName>
    <definedName name="_DAT44" localSheetId="14" hidden="0" function="0" vbProcedure="0">'[40]sap serv 06-02'!#ref!</definedName>
    <definedName name="_DAT45" localSheetId="14" hidden="0" function="0" vbProcedure="0">'[40]sap serv 06-02'!#ref!</definedName>
    <definedName name="_DAT46" localSheetId="14" hidden="0" function="0" vbProcedure="0">'[40]sap serv 06-02'!#ref!</definedName>
    <definedName name="_DAT47" localSheetId="14" hidden="0" function="0" vbProcedure="0">'[40]sap serv 06-02'!#ref!</definedName>
    <definedName name="_DAT48" localSheetId="14" hidden="0" function="0" vbProcedure="0">'[40]sap serv 06-02'!#ref!</definedName>
    <definedName name="_DAT49" localSheetId="14" hidden="0" function="0" vbProcedure="0">'[40]sap serv 06-02'!#ref!</definedName>
    <definedName name="_DAT50" localSheetId="14" hidden="0" function="0" vbProcedure="0">'[40]sap serv 06-02'!#ref!</definedName>
    <definedName name="_DAT52" localSheetId="14" hidden="0" function="0" vbProcedure="0">'[40]sap serv 06-02'!#ref!</definedName>
    <definedName name="_DAT53" localSheetId="14" hidden="0" function="0" vbProcedure="0">'[40]sap serv 06-02'!#ref!</definedName>
    <definedName name="_DAT54" localSheetId="14" hidden="0" function="0" vbProcedure="0">'[40]sap serv 06-02'!#ref!</definedName>
    <definedName name="_DAT56" localSheetId="14" hidden="0" function="0" vbProcedure="0">'[40]sap serv 06-02'!#ref!</definedName>
    <definedName name="_DAT57" localSheetId="14" hidden="0" function="0" vbProcedure="0">'[40]sap serv 06-02'!#ref!</definedName>
    <definedName name="_DAT62" localSheetId="14" hidden="0" function="0" vbProcedure="0">'[40]sap serv 06-02'!#ref!</definedName>
    <definedName name="_DAT63" localSheetId="14" hidden="0" function="0" vbProcedure="0">'[40]sap serv 06-02'!#ref!</definedName>
    <definedName name="_e" localSheetId="14" hidden="0" function="0" vbProcedure="0">{#N/A,#N/A,FALSE,"Volume"}</definedName>
    <definedName name="_e1" localSheetId="14" hidden="0" function="0" vbProcedure="0">{#N/A,#N/A,FALSE,"Volume"}</definedName>
    <definedName name="_e2" localSheetId="14" hidden="0" function="0" vbProcedure="0">{#N/A,#N/A,FALSE,"Volume"}</definedName>
    <definedName name="_e3" localSheetId="14" hidden="0" function="0" vbProcedure="0">{#N/A,#N/A,FALSE,"Volume"}</definedName>
    <definedName name="_e4" localSheetId="14" hidden="0" function="0" vbProcedure="0">{#N/A,#N/A,FALSE,"Volume"}</definedName>
    <definedName name="_f1" localSheetId="14" hidden="0" function="0" vbProcedure="0">{#N/A,#N/A,FALSE,"Volume"}</definedName>
    <definedName name="_f2" localSheetId="14" hidden="0" function="0" vbProcedure="0">{#N/A,#N/A,FALSE,"Volume"}</definedName>
    <definedName name="_f3" localSheetId="14" hidden="0" function="0" vbProcedure="0">{#N/A,#N/A,FALSE,"Volume"}</definedName>
    <definedName name="_f4" localSheetId="14" hidden="0" function="0" vbProcedure="0">{#N/A,#N/A,FALSE,"Volume"}</definedName>
    <definedName name="_f5" localSheetId="14" hidden="0" function="0" vbProcedure="0">{#N/A,#N/A,FALSE,"Volume"}</definedName>
    <definedName name="_f6" localSheetId="14" hidden="0" function="0" vbProcedure="0">{#N/A,#N/A,FALSE,"Volume"}</definedName>
    <definedName name="_f7" localSheetId="14" hidden="0" function="0" vbProcedure="0">{#N/A,#N/A,FALSE,"Volume"}</definedName>
    <definedName name="_gmh1" localSheetId="14" hidden="1" function="0" vbProcedure="0">{#N/A,#N/A,FALSE,"Sheet1"}</definedName>
    <definedName name="_i" localSheetId="14" hidden="0" function="0" vbProcedure="0">{#N/A,#N/A,FALSE,"Volume"}</definedName>
    <definedName name="_lyc7" localSheetId="14" hidden="0" function="0" vbProcedure="0">[119]钻井日报表!$G$5</definedName>
    <definedName name="_num15" localSheetId="14" hidden="0" function="0" vbProcedure="0">'[33]data '!#ref!</definedName>
    <definedName name="_Order2" localSheetId="14" hidden="1" function="0" vbProcedure="0">255</definedName>
    <definedName name="_P" localSheetId="14" hidden="0" function="0" vbProcedure="0">{#N/A,#N/A,FALSE,"Volume"}</definedName>
    <definedName name="_P1" localSheetId="14" hidden="0" function="0" vbProcedure="0">{#N/A,#N/A,FALSE,"Volume"}</definedName>
    <definedName name="_P2" localSheetId="14" hidden="0" function="0" vbProcedure="0">{#N/A,#N/A,FALSE,"Volume"}</definedName>
    <definedName name="_P3" localSheetId="14" hidden="0" function="0" vbProcedure="0">{#N/A,#N/A,FALSE,"Volume"}</definedName>
    <definedName name="_P4" localSheetId="14" hidden="0" function="0" vbProcedure="0">{#N/A,#N/A,FALSE,"Volume"}</definedName>
    <definedName name="_pap1" localSheetId="14" hidden="0" function="0" vbProcedure="0">{#N/A,#N/A,FALSE,"Volume"}</definedName>
    <definedName name="_pap2" localSheetId="14" hidden="0" function="0" vbProcedure="0">{#N/A,#N/A,FALSE,"Volume"}</definedName>
    <definedName name="_pap3" localSheetId="14" hidden="0" function="0" vbProcedure="0">{#N/A,#N/A,FALSE,"Volume"}</definedName>
    <definedName name="_pap4" localSheetId="14" hidden="0" function="0" vbProcedure="0">{#N/A,#N/A,FALSE,"Volume"}</definedName>
    <definedName name="_pap5" localSheetId="14" hidden="0" function="0" vbProcedure="0">{#N/A,#N/A,FALSE,"Volume"}</definedName>
    <definedName name="_r06" localSheetId="14" hidden="0" function="0" vbProcedure="0">[44]!AutoCAD</definedName>
    <definedName name="_Table1_In1" localSheetId="14" hidden="1" function="0" vbProcedure="0">[103]Run!$E$575</definedName>
    <definedName name="_Table1_Out" localSheetId="14" hidden="1" function="0" vbProcedure="0">[103]Run!$C$16:$E$577</definedName>
    <definedName name="_TST2" localSheetId="14" hidden="0" function="0" vbProcedure="0">'[109]Liner Job Info'!$O$7</definedName>
    <definedName name="_UA38" localSheetId="14" hidden="0" function="0" vbProcedure="0">[28]!_UA38</definedName>
    <definedName name="_wrn1" localSheetId="14" hidden="0" function="0" vbProcedure="0">{#N/A,#N/A,FALSE,"Volume"}</definedName>
    <definedName name="_x" localSheetId="14" hidden="0" function="0" vbProcedure="0">{#N/A,#N/A,FALSE,"Volume"}</definedName>
    <definedName name="_xa" localSheetId="14" hidden="0" function="0" vbProcedure="0">{#N/A,#N/A,FALSE,"Volume"}</definedName>
    <definedName name="_xb" localSheetId="14" hidden="0" function="0" vbProcedure="0">{#N/A,#N/A,FALSE,"Volume"}</definedName>
    <definedName name="_xc" localSheetId="14" hidden="0" function="0" vbProcedure="0">{#N/A,#N/A,FALSE,"Volume"}</definedName>
    <definedName name="_z" localSheetId="14" hidden="0" function="0" vbProcedure="0">{#N/A,#N/A,FALSE,"Volume"}</definedName>
    <definedName name="_z1" localSheetId="14" hidden="0" function="0" vbProcedure="0">{#N/A,#N/A,FALSE,"Volume"}</definedName>
    <definedName name="_z2" localSheetId="14" hidden="0" function="0" vbProcedure="0">{#N/A,#N/A,FALSE,"Volume"}</definedName>
    <definedName name="_z3" localSheetId="14" hidden="0" function="0" vbProcedure="0">{#N/A,#N/A,FALSE,"Volume"}</definedName>
    <definedName name="_z4" localSheetId="14" hidden="0" function="0" vbProcedure="0">{#N/A,#N/A,FALSE,"Volume"}</definedName>
    <definedName name="__" localSheetId="14" hidden="0" function="0" vbProcedure="0">'[113]#REF'!$E$29</definedName>
    <definedName name="__123Graph_A" localSheetId="14" hidden="1" function="0" vbProcedure="0">[103]Run!$B$18:$B$512</definedName>
    <definedName name="__123Graph_B" localSheetId="14" hidden="1" function="0" vbProcedure="0">'[102]Minimum Curve Method'!$K$9:$K$152</definedName>
    <definedName name="__123Graph_C" localSheetId="14" hidden="1" function="0" vbProcedure="0">[103]Run!$C$16:$C$512</definedName>
    <definedName name="__123Graph_D" localSheetId="14" hidden="1" function="0" vbProcedure="0">[103]Run!$D$15:$D$512</definedName>
    <definedName name="__123Graph_E" localSheetId="14" hidden="1" function="0" vbProcedure="0">[103]Run!$E$16:$E$514</definedName>
    <definedName name="__123Graph_F" localSheetId="14" hidden="1" function="0" vbProcedure="0">[103]Run!$F$16:$F$514</definedName>
    <definedName name="__123Graph_X" localSheetId="14" hidden="1" function="0" vbProcedure="0">'[102]Minimum Curve Method'!$K$9:$K$152</definedName>
    <definedName name="__1Module2__2__.gaugeconok2" localSheetId="14" hidden="0" function="0" vbProcedure="0">[28]!__1Module2__2__.gaugeconok2</definedName>
    <definedName name="__2Module2__2__.gaugeok2" localSheetId="14" hidden="0" function="0" vbProcedure="0">[28]!__2Module2__2__.gaugeok2</definedName>
    <definedName name="__3Module2__2__.gaugeselect2" localSheetId="14" hidden="0" function="0" vbProcedure="0">[28]!__3Module2__2__.gaugeselect2</definedName>
    <definedName name="__4Module2__2__.serialselect3" localSheetId="14" hidden="0" function="0" vbProcedure="0">[28]!__4Module2__2__.serialselect3</definedName>
    <definedName name="__5Module2__2__.serialselect4" localSheetId="14" hidden="0" function="0" vbProcedure="0">[28]!__5Module2__2__.serialselect4</definedName>
    <definedName name="__A4" localSheetId="14" hidden="1" function="0" vbProcedure="0">[179]Run!$B$18:$B$512</definedName>
    <definedName name="__bb2789" localSheetId="14" hidden="0" function="0" vbProcedure="0">[10]!Calculate_Pipe</definedName>
    <definedName name="__UA38" localSheetId="14" hidden="0" function="0" vbProcedure="0">[28]!__UA38</definedName>
    <definedName name="__wrn1" localSheetId="14" hidden="0" function="0" vbProcedure="0">{#N/A,#N/A,FALSE,"Volume"}</definedName>
    <definedName name="___A4" localSheetId="14" hidden="1" function="0" vbProcedure="0">[179]Run!$B$18:$B$512</definedName>
    <definedName name="___bb2789" localSheetId="14" hidden="0" function="0" vbProcedure="0">[10]!Calculate_Pipe</definedName>
    <definedName name="___wrn1" localSheetId="14" hidden="0" function="0" vbProcedure="0">{#N/A,#N/A,FALSE,"Volume"}</definedName>
    <definedName name="____A4" localSheetId="14" hidden="1" function="0" vbProcedure="0">[179]Run!$B$18:$B$512</definedName>
    <definedName name="____bb2789" localSheetId="14" hidden="0" function="0" vbProcedure="0">[10]!Calculate_Pipe</definedName>
    <definedName name="____wrn1" localSheetId="14" hidden="0" function="0" vbProcedure="0">{#N/A,#N/A,FALSE,"Volume"}</definedName>
    <definedName name="_____A4" localSheetId="14" hidden="1" function="0" vbProcedure="0">[179]Run!$B$18:$B$512</definedName>
    <definedName name="_____wrn1" localSheetId="14" hidden="0" function="0" vbProcedure="0">{#N/A,#N/A,FALSE,"Volume"}</definedName>
    <definedName name="______A4" localSheetId="14" hidden="1" function="0" vbProcedure="0">[179]Run!$B$18:$B$512</definedName>
    <definedName name="_______A4" localSheetId="14" hidden="1" function="0" vbProcedure="0">[179]Run!$B$18:$B$512</definedName>
    <definedName name="_______wrn1" localSheetId="14" hidden="0" function="0" vbProcedure="0">{#N/A,#N/A,FALSE,"Volume"}</definedName>
    <definedName name="________A4" localSheetId="14" hidden="1" function="0" vbProcedure="0">[179]Run!$B$18:$B$512</definedName>
    <definedName name="_________A4" localSheetId="14" hidden="1" function="0" vbProcedure="0">[179]Run!$B$18:$B$512</definedName>
    <definedName name="_________wrn1" localSheetId="14" hidden="0" function="0" vbProcedure="0">{#N/A,#N/A,FALSE,"Volume"}</definedName>
    <definedName name="__________A4" localSheetId="14" hidden="1" function="0" vbProcedure="0">[179]Run!$B$18:$B$512</definedName>
    <definedName name="___________A4" localSheetId="14" hidden="1" function="0" vbProcedure="0">[179]Run!$B$18:$B$512</definedName>
    <definedName name="___________wrn1" localSheetId="14" hidden="0" function="0" vbProcedure="0">{#N/A,#N/A,FALSE,"Volume"}</definedName>
    <definedName name="____________A4" localSheetId="14" hidden="1" function="0" vbProcedure="0">[179]Run!$B$18:$B$512</definedName>
    <definedName name="____________wrn1" localSheetId="14" hidden="0" function="0" vbProcedure="0">{#N/A,#N/A,FALSE,"Volume"}</definedName>
    <definedName name="_____________A4" localSheetId="14" hidden="1" function="0" vbProcedure="0">[179]Run!$B$18:$B$512</definedName>
    <definedName name="______________A4" localSheetId="14" hidden="1" function="0" vbProcedure="0">[179]Run!$B$18:$B$512</definedName>
    <definedName name="_______________A4" localSheetId="14" hidden="1" function="0" vbProcedure="0">[179]Run!$B$18:$B$512</definedName>
    <definedName name="________________A4" localSheetId="14" hidden="1" function="0" vbProcedure="0">[179]Run!$B$18:$B$512</definedName>
    <definedName name="________________bb2789" localSheetId="14" hidden="0" function="0" vbProcedure="0">[10]!Calculate_Pipe</definedName>
    <definedName name="_________________A4" localSheetId="14" hidden="1" function="0" vbProcedure="0">[179]Run!$B$18:$B$512</definedName>
    <definedName name="_________________bb2789" localSheetId="14" hidden="0" function="0" vbProcedure="0">[10]!Calculate_Pipe</definedName>
    <definedName name="__________________A4" localSheetId="14" hidden="1" function="0" vbProcedure="0">[179]Run!$B$18:$B$512</definedName>
    <definedName name="__________________bb2789" localSheetId="14" hidden="0" function="0" vbProcedure="0">[12]!Calculate_Pipe</definedName>
    <definedName name="___________________A4" localSheetId="14" hidden="1" function="0" vbProcedure="0">[179]Run!$B$18:$B$512</definedName>
    <definedName name="____________________A4" localSheetId="14" hidden="1" function="0" vbProcedure="0">[191]Run!$B$18:$B$512</definedName>
    <definedName name="_____________________A4" localSheetId="14" hidden="1" function="0" vbProcedure="0">[179]Run!$B$18:$B$512</definedName>
    <definedName name="______________________A4" localSheetId="14" hidden="1" function="0" vbProcedure="0">[179]Run!$B$18:$B$512</definedName>
    <definedName name="_______________________A4" localSheetId="14" hidden="1" function="0" vbProcedure="0">[191]Run!$B$18:$B$512</definedName>
    <definedName name="________________________A4" localSheetId="14" hidden="1" function="0" vbProcedure="0">[179]Run!$B$18:$B$512</definedName>
    <definedName name="__________________________A4" localSheetId="14" hidden="1" function="0" vbProcedure="0">[191]Run!$B$18:$B$512</definedName>
    <definedName name="歼击机" localSheetId="14" hidden="0" function="0" vbProcedure="0">[119]钻井日报表!$E$7</definedName>
    <definedName name="起始日期" localSheetId="14" hidden="0" function="0" vbProcedure="0">[181]钻井日报表!$B$1</definedName>
    <definedName name="a" localSheetId="15" hidden="1" function="0" vbProcedure="0">#ref!</definedName>
    <definedName name="AA" localSheetId="15" hidden="0" function="0" vbProcedure="0">#ref!</definedName>
    <definedName name="ABX" localSheetId="15" hidden="1" function="0" vbProcedure="0">#ref!</definedName>
    <definedName name="addresstwo" localSheetId="15" hidden="0" function="0" vbProcedure="0">[56]data!#ref!</definedName>
    <definedName name="ae" localSheetId="15" hidden="0" function="0" vbProcedure="0">'[104]forecast 3YP'!$AD$6</definedName>
    <definedName name="AFE19R"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5" hidden="0" function="0" vbProcedure="0">'[44]7-30-04'!$W$55:$IV$7457</definedName>
    <definedName name="AMACRO.n2foam" localSheetId="15" hidden="0" function="0" vbProcedure="0">'[64]tool backload dt'!amacro.n2foam</definedName>
    <definedName name="Ambient_temp" localSheetId="15" hidden="0" function="0" vbProcedure="0">'[7]#ref'!#ref!</definedName>
    <definedName name="amis" localSheetId="15" hidden="0" function="0" vbProcedure="0">[105]Tally!$A$5:$J$825</definedName>
    <definedName name="annularvol" localSheetId="15" hidden="0" function="0" vbProcedure="0">[106]Data!$F$13</definedName>
    <definedName name="Ao" localSheetId="15" hidden="0" function="0" vbProcedure="0">[107]Piston!$F$5</definedName>
    <definedName name="Ap" localSheetId="15" hidden="0" function="0" vbProcedure="0">[107]Piston!$F$6</definedName>
    <definedName name="Approver_Objectives" localSheetId="15" hidden="0" function="0" vbProcedure="0">'[73]well team goals'!#ref!</definedName>
    <definedName name="Approver_Well_Plan" localSheetId="15" hidden="0" function="0" vbProcedure="0">'[73]well team goals'!#ref!</definedName>
    <definedName name="assy.3" localSheetId="15" hidden="0" function="0" vbProcedure="0">[75]!Calculate_Pipe</definedName>
    <definedName name="ASSY2312" localSheetId="15" hidden="0" function="0" vbProcedure="0">[28]!Macro1</definedName>
    <definedName name="ASSY_122" localSheetId="15" hidden="0" function="0" vbProcedure="0">[28]!Macro1</definedName>
    <definedName name="ASSY_2111" localSheetId="15" hidden="0" function="0" vbProcedure="0">[28]!Macro1</definedName>
    <definedName name="ASSY_231" localSheetId="15" hidden="0" function="0" vbProcedure="0">[28]!Macro1</definedName>
    <definedName name="ASSY_342" localSheetId="15" hidden="0" function="0" vbProcedure="0">[28]!Macro1</definedName>
    <definedName name="ASSY_36" localSheetId="15" hidden="0" function="0" vbProcedure="0">[28]!Macro1</definedName>
    <definedName name="ASSY_4" localSheetId="15" hidden="0" function="0" vbProcedure="0">[28]!Macro1</definedName>
    <definedName name="ASSY_432" localSheetId="15" hidden="0" function="0" vbProcedure="0">[28]!Macro1</definedName>
    <definedName name="AutoCAD" localSheetId="15" hidden="0" function="0" vbProcedure="0">[44]!AutoCAD</definedName>
    <definedName name="AutoCAD_1" localSheetId="15" hidden="0" function="0" vbProcedure="0">[28]!AutoCAD</definedName>
    <definedName name="AutoCAD_10" localSheetId="15" hidden="0" function="0" vbProcedure="0">[28]!AutoCAD</definedName>
    <definedName name="AutoCAD_11" localSheetId="15" hidden="0" function="0" vbProcedure="0">[28]!AutoCAD</definedName>
    <definedName name="AutoCAD_2" localSheetId="15" hidden="0" function="0" vbProcedure="0">[28]!AutoCAD</definedName>
    <definedName name="AutoCAD_3" localSheetId="15" hidden="0" function="0" vbProcedure="0">[28]!AutoCAD</definedName>
    <definedName name="AutoCAD_4" localSheetId="15" hidden="0" function="0" vbProcedure="0">[28]!AutoCAD</definedName>
    <definedName name="AutoCAD_5" localSheetId="15" hidden="0" function="0" vbProcedure="0">[28]!AutoCAD</definedName>
    <definedName name="AutoCAD_6" localSheetId="15" hidden="0" function="0" vbProcedure="0">[28]!AutoCAD</definedName>
    <definedName name="AutoCAD_7" localSheetId="15" hidden="0" function="0" vbProcedure="0">[28]!AutoCAD</definedName>
    <definedName name="AutoCAD_8" localSheetId="15" hidden="0" function="0" vbProcedure="0">[28]!AutoCAD</definedName>
    <definedName name="AutoCAD_9" localSheetId="15" hidden="0" function="0" vbProcedure="0">[28]!AutoCAD</definedName>
    <definedName name="Aux_BHA_ID" localSheetId="15" hidden="0" function="0" vbProcedure="0">'[108]Job Calculation Sheet'!$F$20</definedName>
    <definedName name="Aux_BHA_OD" localSheetId="15" hidden="0" function="0" vbProcedure="0">'[108]Job Calculation Sheet'!$E$20</definedName>
    <definedName name="AvgJoint" localSheetId="15" hidden="0" function="0" vbProcedure="0">[109]DATA!$BO$2:$BO$9</definedName>
    <definedName name="AvgLength" localSheetId="15" hidden="0" function="0" vbProcedure="0">'[79]casing talley'!#ref!</definedName>
    <definedName name="axj" localSheetId="15" hidden="1" function="0" vbProcedure="0">{#N/A,#N/A,FALSE,"Sheet1"}</definedName>
    <definedName name="A_L" localSheetId="15" hidden="0" function="0" vbProcedure="0">'[50]12(762mm)套管'!#ref!</definedName>
    <definedName name="b" localSheetId="15" hidden="1" function="0" vbProcedure="0">#ref!</definedName>
    <definedName name="back" localSheetId="15" hidden="0" function="0" vbProcedure="0">'[64]tool backload dt'!back</definedName>
    <definedName name="BallMaterial" localSheetId="15" hidden="0" function="0" vbProcedure="0">[109]DATA!$BL$2:$BL$11</definedName>
    <definedName name="Ballooning_Area" localSheetId="15" hidden="0" function="0" vbProcedure="0">[109]Test!$M$18</definedName>
    <definedName name="Ballseat" localSheetId="15" hidden="0" function="0" vbProcedure="0">[109]DATA!$AG$2:$AG$9</definedName>
    <definedName name="BallSize" localSheetId="15" hidden="0" function="0" vbProcedure="0">[109]DATA!$BF$3:$BF$8</definedName>
    <definedName name="basicok" localSheetId="15" hidden="0" function="0" vbProcedure="0">[28]!basicok</definedName>
    <definedName name="BBB" localSheetId="15" hidden="0" function="0" vbProcedure="0">'[110]DD Worksheet'!$C$1</definedName>
    <definedName name="bbllm3" localSheetId="15" hidden="0" function="0" vbProcedure="0">'[109]Metric Conversions'!$B$69</definedName>
    <definedName name="bblstk" localSheetId="15" hidden="0" function="0" vbProcedure="0">'[109]Displacement Cal.'!$B$7</definedName>
    <definedName name="BD" localSheetId="15" hidden="0" function="0" vbProcedure="0">INDEX([111]DRAW!$A$2:$B$13,MATCH([112]AUTO_DHWS!$AV$15,[111]DRAW!$A$2:$A$13,0),2)</definedName>
    <definedName name="BD_SC" localSheetId="15" hidden="0" function="0" vbProcedure="0">INDEX([111]DRAW!$A$2:$B$13,MATCH([112]AUTO_DHWS!$AV$16,[111]DRAW!$A$2:$A$13,0),2)</definedName>
    <definedName name="BD_TB" localSheetId="15" hidden="0" function="0" vbProcedure="0">INDEX([111]DRAW!$A$2:$B$13,MATCH([112]AUTO_DHWS!$AV$9,[111]DRAW!$A$2:$A$13,0),2)</definedName>
    <definedName name="bgn" localSheetId="15" hidden="1" function="0" vbProcedure="0">{#N/A,#N/A,FALSE,"Sheet1"}</definedName>
    <definedName name="BHT" localSheetId="15" hidden="0" function="0" vbProcedure="0">'[94]Job Technical Info'!$D$42</definedName>
    <definedName name="Bitsize" localSheetId="15" hidden="0" function="0" vbProcedure="0">[109]DATA!$L$2:$L$41</definedName>
    <definedName name="bj_stroke" localSheetId="15" hidden="0" function="0" vbProcedure="0">'[109]Metric Conversions'!$B$35</definedName>
    <definedName name="bj_strokez" localSheetId="15" hidden="0" function="0" vbProcedure="0">'[109]Metric Conversions'!$C$35</definedName>
    <definedName name="BJ_Tens" localSheetId="15" hidden="0" function="0" vbProcedure="0">'[109]Liner Job Info'!$P$45</definedName>
    <definedName name="blanklength" localSheetId="15" hidden="0" function="0" vbProcedure="0">'[113]#REF'!$J$13</definedName>
    <definedName name="blankod" localSheetId="15" hidden="0" function="0" vbProcedure="0">'[113]#REF'!$F$13</definedName>
    <definedName name="BLANK_COVERED_NV" localSheetId="15" hidden="0" function="0" vbProcedure="0">'[113]#REF'!$G$111</definedName>
    <definedName name="BLANK_LENGTH" localSheetId="15" hidden="0" function="0" vbProcedure="0">'[113]#REF'!$J$13</definedName>
    <definedName name="BLANK_OD" localSheetId="15" hidden="0" function="0" vbProcedure="0">'[113]#REF'!$F$13</definedName>
    <definedName name="block" localSheetId="15" hidden="0" function="0" vbProcedure="0">[5]WTR!$I$5</definedName>
    <definedName name="Block_Field" localSheetId="15" hidden="0" function="0" vbProcedure="0">'[108]Pre-Job Info Sheet'!$D$7</definedName>
    <definedName name="BLock_TD_Wt" localSheetId="15" hidden="0" function="0" vbProcedure="0">'[30]Liner Job Info'!$D$33</definedName>
    <definedName name="Block_Wt" localSheetId="15" hidden="0" function="0" vbProcedure="0">'[109]Weight Calculations'!$H$14</definedName>
    <definedName name="bOB" localSheetId="15" hidden="0" function="0" vbProcedure="0">[114]Volumes!$K$1:$Y$76</definedName>
    <definedName name="BOT" localSheetId="15" hidden="0" function="0" vbProcedure="0">'[94]Job Technical Info'!$A$4</definedName>
    <definedName name="Bottom_Hole_Temp." localSheetId="15" hidden="0" function="0" vbProcedure="0">'[108]Pre-Job Info Sheet'!$B$34</definedName>
    <definedName name="Bottom_Perforation" localSheetId="15" hidden="0" function="0" vbProcedure="0">'[108]Pre-Job Info Sheet'!$B$29</definedName>
    <definedName name="Bottom_Shot" localSheetId="15" hidden="0" function="0" vbProcedure="0">'[108]TCP-BHA'!$H$36</definedName>
    <definedName name="BPLimit" localSheetId="15" hidden="0" function="0" vbProcedure="0">[86]!TubTable[[340]:[438]]</definedName>
    <definedName name="BR_Column" localSheetId="15" hidden="0" function="0" vbProcedure="0">null</definedName>
    <definedName name="BR_Unit" localSheetId="15" hidden="0" function="0" vbProcedure="0">null</definedName>
    <definedName name="bs" localSheetId="15" hidden="0" function="0" vbProcedure="0">'[115]Max-Torq'!$Q$79</definedName>
    <definedName name="bsw" localSheetId="15" hidden="0" function="0" vbProcedure="0">'[96]well test sheet'!#ref!</definedName>
    <definedName name="Budget_owner" localSheetId="15" hidden="0" function="0" vbProcedure="0">'[73]well specification'!#ref!</definedName>
    <definedName name="Buoy_Factor" localSheetId="15" hidden="0" function="0" vbProcedure="0">'[30]Liner Job Info'!$D$32</definedName>
    <definedName name="bxf" localSheetId="15" hidden="0" function="0" vbProcedure="0">'[115]Max-Torq'!$P$62</definedName>
    <definedName name="BypassRate" localSheetId="15" hidden="0" function="0" vbProcedure="0">[86]!TubTable[[340]:[438]]</definedName>
    <definedName name="Ca" localSheetId="15" hidden="1" function="0" vbProcedure="0">{#N/A,#N/A,FALSE,"Drlg Param Run 1-1";#N/A,#N/A,FALSE,"DDR (3)";#N/A,#N/A,FALSE,"BHA AT (1)";#N/A,#N/A,FALSE,"Downlinkbha";#N/A,#N/A,FALSE,"Job Status Report"}</definedName>
    <definedName name="CABLE2_1" localSheetId="15" hidden="0" function="0" vbProcedure="0">INDEX([111]DRAW!$L$52:$M$54,MATCH([112]AUTO_DHWS!$AY$8,[111]DRAW!$L$52:$L$54,0),2)</definedName>
    <definedName name="CABLE2_2" localSheetId="15" hidden="0" function="0" vbProcedure="0">INDEX([111]DRAW!$L$52:$M$56,MATCH([112]AUTO_DHWS!$AY$9,[111]DRAW!$L$52:$L$56,0),2)</definedName>
    <definedName name="CABLE_1" localSheetId="15" hidden="0" function="0" vbProcedure="0">INDEX([111]DRAW!$L$52:$M$53,MATCH([112]AUTO_DHWS!$AY$4,[111]DRAW!$L$52:$L$53,0),2)</definedName>
    <definedName name="CABLE_2" localSheetId="15" hidden="0" function="0" vbProcedure="0">INDEX([111]DRAW!$L$52:$M$56,MATCH([112]AUTO_DHWS!$AY$5,[111]DRAW!$L$52:$L$56,0),2)</definedName>
    <definedName name="CABLE_3" localSheetId="15" hidden="0" function="0" vbProcedure="0">INDEX([111]DRAW!$M$57:$N$63,MATCH([112]AUTO_DHWS!$AY$6,[111]DRAW!$M$57:$M$63,0),2)</definedName>
    <definedName name="Calculate_Pipe" localSheetId="15" hidden="0" function="0" vbProcedure="0">[99]!Calculate_Pipe</definedName>
    <definedName name="Capacities" localSheetId="15"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5" hidden="0" function="0" vbProcedure="0">'[113]#REF'!$G$188</definedName>
    <definedName name="CARRIER_FL_WT" localSheetId="15" hidden="0" function="0" vbProcedure="0">'[113]#REF'!$F$67</definedName>
    <definedName name="CARR_FL_VISCOSITY" localSheetId="15" hidden="0" function="0" vbProcedure="0">'[113]#REF'!$I$106</definedName>
    <definedName name="CARR_FL_VOL_PREPACK" localSheetId="15" hidden="0" function="0" vbProcedure="0">'[113]#REF'!$F$47</definedName>
    <definedName name="Carr_fl_wt_prepack" localSheetId="15" hidden="0" function="0" vbProcedure="0">'[113]#REF'!$F$46</definedName>
    <definedName name="casingcolumn" localSheetId="15" hidden="0" function="0" vbProcedure="0">[106]Data!$J$17</definedName>
    <definedName name="casingid" localSheetId="15" hidden="0" function="0" vbProcedure="0">'[113]#REF'!$H$11</definedName>
    <definedName name="casingidref" localSheetId="15" hidden="0" function="0" vbProcedure="0">[106]Data!$GC$1</definedName>
    <definedName name="casinginfuserate" localSheetId="15" hidden="0" function="0" vbProcedure="0">'[113]#REF'!$K$50</definedName>
    <definedName name="casingliner" localSheetId="15" hidden="0" function="0" vbProcedure="0">[106]Data!$E$45</definedName>
    <definedName name="casingod" localSheetId="15" hidden="0" function="0" vbProcedure="0">'[113]#REF'!$F$11</definedName>
    <definedName name="CasingSize" localSheetId="15" hidden="0" function="0" vbProcedure="0">'[117]Well Installation Drawing'!$E$15</definedName>
    <definedName name="CasingWeight" localSheetId="15" hidden="0" function="0" vbProcedure="0">'[117]Well Installation Drawing'!$G$15</definedName>
    <definedName name="casingwt" localSheetId="15" hidden="0" function="0" vbProcedure="0">'[113]#REF'!$J$11</definedName>
    <definedName name="Casing_Collapsez" localSheetId="15" hidden="0" function="0" vbProcedure="0">'[109]Liner Job Info'!$J$14</definedName>
    <definedName name="Casing_I.D." localSheetId="15" hidden="0" function="0" vbProcedure="0">'[108]Job Calculation Sheet'!$F$13</definedName>
    <definedName name="Casing_Liner" localSheetId="15" hidden="0" function="0" vbProcedure="0">'[94]Installation Results #1'!$C$27</definedName>
    <definedName name="Casing_Size" localSheetId="15" hidden="0" function="0" vbProcedure="0">'[108]Pre-Job Info Sheet'!$D$15</definedName>
    <definedName name="Casing_Size_Weight" localSheetId="15" hidden="0" function="0" vbProcedure="0">'[108]TCP-BHA'!$I$5</definedName>
    <definedName name="Casing_Weight" localSheetId="15" hidden="0" function="0" vbProcedure="0">'[108]Pre-Job Info Sheet'!$D$16</definedName>
    <definedName name="CAS_BLNK_ANNULUS" localSheetId="15" hidden="0" function="0" vbProcedure="0">'[113]#REF'!$I$108</definedName>
    <definedName name="CAS_BLNK_VOL" localSheetId="15" hidden="0" function="0" vbProcedure="0">'[7]#ref'!#ref!</definedName>
    <definedName name="CAS_EXT_VOL" localSheetId="15" hidden="0" function="0" vbProcedure="0">'[7]#ref'!#ref!</definedName>
    <definedName name="CAS_ID" localSheetId="15" hidden="0" function="0" vbProcedure="0">'[113]#REF'!$H$11</definedName>
    <definedName name="CAS_OD" localSheetId="15" hidden="0" function="0" vbProcedure="0">'[113]#REF'!$J$11</definedName>
    <definedName name="CAS_SCR_VOL" localSheetId="15" hidden="0" function="0" vbProcedure="0">'[7]#ref'!#ref!</definedName>
    <definedName name="CAS_WT" localSheetId="15" hidden="0" function="0" vbProcedure="0">'[113]#REF'!$J$11</definedName>
    <definedName name="category" localSheetId="15" hidden="0" function="0" vbProcedure="0">[118]Sheet2!$A$70:$A$73</definedName>
    <definedName name="Cc" localSheetId="15" hidden="0" function="0" vbProcedure="0">0.3</definedName>
    <definedName name="ccc" localSheetId="15" hidden="0" function="0" vbProcedure="0">[119]钻井日报表!$I$7</definedName>
    <definedName name="cdr" localSheetId="15" hidden="0" function="0" vbProcedure="0">'[96]well test sheet'!#ref!</definedName>
    <definedName name="CDWimdbase" localSheetId="15" hidden="0" function="0" vbProcedure="0">'[120]CD''s'!$A$2:$G$374</definedName>
    <definedName name="CementCompany" localSheetId="15" hidden="0" function="0" vbProcedure="0">[109]DATA!$BJ$2:$BJ$8</definedName>
    <definedName name="CENG" localSheetId="15" hidden="0" function="0" vbProcedure="0">[193]Reference!$A$2:$A$4</definedName>
    <definedName name="Centralizers" localSheetId="15" hidden="0" function="0" vbProcedure="0">[109]DATA!$AI$2:$AI$9</definedName>
    <definedName name="cf" localSheetId="15" hidden="1" function="0" vbProcedure="0">{#N/A,#N/A,FALSE,"Sheet1"}</definedName>
    <definedName name="Chart" localSheetId="15" hidden="1" function="0" vbProcedure="0">{#N/A,#N/A,FALSE,"Sheet1"}</definedName>
    <definedName name="chart1" localSheetId="15" hidden="1" function="0" vbProcedure="0">{#N/A,#N/A,FALSE,"Sheet1"}</definedName>
    <definedName name="Chemmac" localSheetId="15" hidden="0" function="0" vbProcedure="0">'[64]tool backload dt'!chemmac</definedName>
    <definedName name="cim" localSheetId="15" hidden="0" function="0" vbProcedure="0">[117]!Calculate_Pipe</definedName>
    <definedName name="CIPMACRO.n2foam" localSheetId="15" hidden="0" function="0" vbProcedure="0">'[64]tool backload dt'!cipmacro.n2foam</definedName>
    <definedName name="circsqz" localSheetId="15" hidden="0" function="0" vbProcedure="0">[5]WTR!$M$86</definedName>
    <definedName name="CIR_RATE_RESTRESS" localSheetId="15" hidden="0" function="0" vbProcedure="0">'[113]#REF'!$I$109</definedName>
    <definedName name="CIV" localSheetId="15" hidden="0" function="0" vbProcedure="0">INDEX([111]DRAW!$A$2:$B$13,MATCH([112]AUTO_DHWS!$AV$10,[111]DRAW!$A$2:$A$13,0),2)</definedName>
    <definedName name="CIV_2" localSheetId="15" hidden="0" function="0" vbProcedure="0">INDEX([111]DRAW!$A$2:$B$14,MATCH([112]AUTO_DHWS!$AV$14,[111]DRAW!$A$2:$A$13,0),2)</definedName>
    <definedName name="CIV_PDHG" localSheetId="15" hidden="0" function="0" vbProcedure="0">INDEX([111]DRAW!$A$2:$B$13,MATCH([112]AUTO_DHWS!$AV$11,[111]DRAW!$A$2:$A$13,0),2)</definedName>
    <definedName name="CLFluid1" localSheetId="15" hidden="0" function="0" vbProcedure="0">'[94]Installation Results #1'!$E$270</definedName>
    <definedName name="CLFluid10" localSheetId="15" hidden="0" function="0" vbProcedure="0">'[94]Installation Results #1'!$E$279</definedName>
    <definedName name="CLFluid11" localSheetId="15" hidden="0" function="0" vbProcedure="0">'[94]Installation Results #1'!$E$280</definedName>
    <definedName name="CLFluid12" localSheetId="15" hidden="0" function="0" vbProcedure="0">'[94]Installation Results #1'!$E$281</definedName>
    <definedName name="CLFluid13" localSheetId="15" hidden="0" function="0" vbProcedure="0">'[94]Installation Results #1'!$E$282</definedName>
    <definedName name="CLFluid14" localSheetId="15" hidden="0" function="0" vbProcedure="0">'[94]Installation Results #1'!$E$283</definedName>
    <definedName name="CLFluid15" localSheetId="15" hidden="0" function="0" vbProcedure="0">'[94]Installation Results #1'!$E$284</definedName>
    <definedName name="CLFluid2" localSheetId="15" hidden="0" function="0" vbProcedure="0">'[94]Installation Results #1'!$E$271</definedName>
    <definedName name="CLFluid3" localSheetId="15" hidden="0" function="0" vbProcedure="0">'[94]Installation Results #1'!$E$272</definedName>
    <definedName name="CLFluid4" localSheetId="15" hidden="0" function="0" vbProcedure="0">'[94]Installation Results #1'!$E$273</definedName>
    <definedName name="CLFluid5" localSheetId="15" hidden="0" function="0" vbProcedure="0">'[94]Installation Results #1'!$E$274</definedName>
    <definedName name="CLFluid6" localSheetId="15" hidden="0" function="0" vbProcedure="0">'[94]Installation Results #1'!$E$275</definedName>
    <definedName name="CLFluid7" localSheetId="15" hidden="0" function="0" vbProcedure="0">'[94]Installation Results #1'!$E$276</definedName>
    <definedName name="CLFluid8" localSheetId="15" hidden="0" function="0" vbProcedure="0">'[94]Installation Results #1'!$E$277</definedName>
    <definedName name="CLFluid9" localSheetId="15" hidden="0" function="0" vbProcedure="0">'[94]Installation Results #1'!$E$278</definedName>
    <definedName name="Clist" localSheetId="15" hidden="0" function="0" vbProcedure="0">OFFSET(INDIRECT(ADDRESS(MATCH(DHWS!CL_Wt,DHWS!Objects,0)+1,2,,,"Casing Info")),0,1,COUNTIF(DHWS!Objects,DHWS!CL_Wt),1)</definedName>
    <definedName name="CL_Wt" localSheetId="15" hidden="0" function="0" vbProcedure="0">'[109]Database Pg1'!$E$28</definedName>
    <definedName name="Objects" localSheetId="15" hidden="0" function="0" vbProcedure="0">'[109]Casing Info'!$B$2:$B$241</definedName>
    <definedName name="Clist2" localSheetId="15" hidden="0" function="0" vbProcedure="0">OFFSET(INDIRECT(ADDRESS(MATCH(DHWS!Hsize2,DHWS!Objects,0)+1,2,,,"Casing Info")),0,1,COUNTIF(DHWS!Objects,DHWS!Hsize2),1)</definedName>
    <definedName name="Hsize2" localSheetId="15" hidden="0" function="0" vbProcedure="0">'[109]Database Pg1'!$G$81</definedName>
    <definedName name="Clist3" localSheetId="15" hidden="0" function="0" vbProcedure="0">OFFSET(INDIRECT(ADDRESS(MATCH(DHWS!Hsize3,DHWS!Objects,0)+1,2,,,"Casing Info")),0,1,COUNTIF(DHWS!Objects,DHWS!Hsize3),1)</definedName>
    <definedName name="Hsize3" localSheetId="15" hidden="0" function="0" vbProcedure="0">'[109]Database Pg1'!$G$83</definedName>
    <definedName name="CO2_" localSheetId="15" hidden="0" function="0" vbProcedure="0">'[94]Job Technical Info'!$L$42</definedName>
    <definedName name="CODELIST" localSheetId="15" hidden="0" function="0" vbProcedure="0">'[194]CODE SIN'!$A$3:$A$240</definedName>
    <definedName name="CODETAB" localSheetId="15" hidden="0" function="0" vbProcedure="0">'[194]CODE SIN'!$C$3:$AD$240</definedName>
    <definedName name="coections" localSheetId="15" hidden="0" function="0" vbProcedure="0">[28]!coections</definedName>
    <definedName name="COMP" localSheetId="15" hidden="0" function="0" vbProcedure="0">#ref!</definedName>
    <definedName name="company" localSheetId="15" hidden="0" function="0" vbProcedure="0">'[40]CPS Call Sheet'!$E$4</definedName>
    <definedName name="Company_Man" localSheetId="15" hidden="0" function="0" vbProcedure="0">'[62]Liner Job Info'!$E$7</definedName>
    <definedName name="Company_Name" localSheetId="15" hidden="0" function="0" vbProcedure="0">'[123]Liner Job Info'!$E$4</definedName>
    <definedName name="compfluidwt" localSheetId="15" hidden="0" function="0" vbProcedure="0">'[113]#REF'!$L$27</definedName>
    <definedName name="Compl._Fluid_Type" localSheetId="15" hidden="0" function="0" vbProcedure="0">'[108]Pre-Job Info Sheet'!$D$32</definedName>
    <definedName name="Compl._Fluid_Wt." localSheetId="15" hidden="0" function="0" vbProcedure="0">'[108]Pre-Job Info Sheet'!$D$33</definedName>
    <definedName name="COMPL_FL_VOL" localSheetId="15" hidden="0" function="0" vbProcedure="0">'[113]#REF'!$F$68</definedName>
    <definedName name="COMPL_FL_WT" localSheetId="15" hidden="0" function="0" vbProcedure="0">'[113]#REF'!$K$27</definedName>
    <definedName name="conections" localSheetId="15" hidden="0" function="0" vbProcedure="0">[28]!conections</definedName>
    <definedName name="Conflict1" localSheetId="15" hidden="1" function="0" vbProcedure="0">{#N/A,#N/A,FALSE,"Drlg Param Run 1-1";#N/A,#N/A,FALSE,"DDR (3)";#N/A,#N/A,FALSE,"BHA AT (1)";#N/A,#N/A,FALSE,"Downlinkbha";#N/A,#N/A,FALSE,"Job Status Report"}</definedName>
    <definedName name="conref" localSheetId="15" hidden="0" function="0" vbProcedure="0">[124]Price!$A$1:$A$65536</definedName>
    <definedName name="consequence" localSheetId="15" hidden="0" function="0" vbProcedure="0">[125]Sheet2!$A$1:$A$5</definedName>
    <definedName name="contract" localSheetId="15" hidden="0" function="0" vbProcedure="0">'[126]Call Sheet'!$E$3</definedName>
    <definedName name="contractnum" localSheetId="15" hidden="0" function="0" vbProcedure="0">'[33]data '!#ref!</definedName>
    <definedName name="contractor" localSheetId="15" hidden="0" function="0" vbProcedure="0">'[126]Call Sheet'!$E$6</definedName>
    <definedName name="Coordinator" localSheetId="15" hidden="0" function="0" vbProcedure="0">'[94]Job Technical Info'!$G$10</definedName>
    <definedName name="CoRep" localSheetId="15" hidden="0" function="0" vbProcedure="0">'[94]Job Technical Info'!$C$16</definedName>
    <definedName name="corrlist2" localSheetId="15" hidden="0" function="0" vbProcedure="0">OFFSET(INDIRECT(ADDRESS(MATCH(DHWS!Hsize2,DHWS!Objects,0)+1,2,,,"Casing Info")),0,1,COUNTIF(DHWS!Objects,[28]!Liner1_OD),1)</definedName>
    <definedName name="corrlist4" localSheetId="15" hidden="0" function="0" vbProcedure="0">OFFSET(INDIRECT(ADDRESS(MATCH(DHWS!Hanger_Size,DHWS!Objects,0)+1,2,,,"Casing Info")),0,1,COUNTIF(DHWS!Objects, DHWS!Hanger_Size),1)</definedName>
    <definedName name="Hanger_Size" localSheetId="15" hidden="0" function="0" vbProcedure="0">'[109]Database Pg1'!$G$79</definedName>
    <definedName name="Cotry" localSheetId="15" hidden="0" function="0" vbProcedure="0">'[109]Liner Job Info'!$E$10</definedName>
    <definedName name="Countries" localSheetId="15" hidden="0" function="0" vbProcedure="0">[109]DATA!$BR$1:$BR$196</definedName>
    <definedName name="COUNTRY" localSheetId="15" hidden="0" function="0" vbProcedure="0">'[127]Master data'!$A$2:$A$239</definedName>
    <definedName name="county" localSheetId="15" hidden="0" function="0" vbProcedure="0">'[40]CPS Call Sheet'!$P$7</definedName>
    <definedName name="Crack_DH" localSheetId="15" hidden="0" function="0" vbProcedure="0">'[108]Tester Valve Calcs'!$F$31</definedName>
    <definedName name="Crack_Press" localSheetId="15" hidden="0" function="0" vbProcedure="0">'[108]Tester Valve Calcs'!$F$13</definedName>
    <definedName name="crs" localSheetId="15" hidden="0" function="0" vbProcedure="0">[128]RSS!$E$199:$E$205</definedName>
    <definedName name="CRS_FLOAT_VALVE" localSheetId="15" hidden="0" function="0" vbProcedure="0">[129]RSS!$O$177:$O$180</definedName>
    <definedName name="CRS_FLOW_KIT" localSheetId="15" hidden="0" function="0" vbProcedure="0">[129]RSS!$E$181:$E$184</definedName>
    <definedName name="CRS_STAB" localSheetId="15" hidden="0" function="0" vbProcedure="0">[129]RSS!$E$191:$E$197</definedName>
    <definedName name="Csg" localSheetId="15" hidden="0" function="0" vbProcedure="0">[6]Sheet1!$G$1:$G$3</definedName>
    <definedName name="CsgDrift1" localSheetId="15" hidden="0" function="0" vbProcedure="0">'[94]Job Technical Info'!$G$25</definedName>
    <definedName name="CsgDrift2" localSheetId="15" hidden="0" function="0" vbProcedure="0">'[94]Job Technical Info'!$G$26</definedName>
    <definedName name="CsgDrift3" localSheetId="15" hidden="0" function="0" vbProcedure="0">'[94]Job Technical Info'!$G$27</definedName>
    <definedName name="CsgDrift4" localSheetId="15" hidden="0" function="0" vbProcedure="0">'[94]Job Technical Info'!$G$28</definedName>
    <definedName name="CsgGrd1" localSheetId="15" hidden="0" function="0" vbProcedure="0">'[94]Job Technical Info'!$H$25</definedName>
    <definedName name="CsgGrd2" localSheetId="15" hidden="0" function="0" vbProcedure="0">'[94]Job Technical Info'!$H$26</definedName>
    <definedName name="CsgGrd3" localSheetId="15" hidden="0" function="0" vbProcedure="0">'[94]Job Technical Info'!$H$27</definedName>
    <definedName name="CsgGrd4" localSheetId="15" hidden="0" function="0" vbProcedure="0">'[94]Job Technical Info'!$H$28</definedName>
    <definedName name="CsgID1" localSheetId="15" hidden="0" function="0" vbProcedure="0">'[94]Job Technical Info'!$F$25</definedName>
    <definedName name="CsgID2" localSheetId="15" hidden="0" function="0" vbProcedure="0">'[94]Job Technical Info'!$F$26</definedName>
    <definedName name="CsgID3" localSheetId="15" hidden="0" function="0" vbProcedure="0">'[94]Job Technical Info'!$F$27</definedName>
    <definedName name="CsgID4" localSheetId="15" hidden="0" function="0" vbProcedure="0">'[94]Job Technical Info'!$F$28</definedName>
    <definedName name="CsgSz1" localSheetId="15" hidden="0" function="0" vbProcedure="0">'[94]Job Technical Info'!$D$25</definedName>
    <definedName name="CsgSz2" localSheetId="15" hidden="0" function="0" vbProcedure="0">'[94]Job Technical Info'!$D$26</definedName>
    <definedName name="CsgSz3" localSheetId="15" hidden="0" function="0" vbProcedure="0">'[94]Job Technical Info'!$D$27</definedName>
    <definedName name="CsgSz4" localSheetId="15" hidden="0" function="0" vbProcedure="0">'[94]Job Technical Info'!$D$28</definedName>
    <definedName name="CsgThd1" localSheetId="15" hidden="0" function="0" vbProcedure="0">'[94]Job Technical Info'!$J$25</definedName>
    <definedName name="CsgThd2" localSheetId="15" hidden="0" function="0" vbProcedure="0">'[94]Job Technical Info'!$J$26</definedName>
    <definedName name="CsgThd3" localSheetId="15" hidden="0" function="0" vbProcedure="0">'[94]Job Technical Info'!$J$27</definedName>
    <definedName name="CsgThd4" localSheetId="15" hidden="0" function="0" vbProcedure="0">'[94]Job Technical Info'!$J$28</definedName>
    <definedName name="CsgWt" localSheetId="15" hidden="0" function="0" vbProcedure="0">[6]Sheet1!$H$1:$H$10</definedName>
    <definedName name="CsgWt1" localSheetId="15" hidden="0" function="0" vbProcedure="0">'[94]Job Technical Info'!$E$25</definedName>
    <definedName name="CsgWt2" localSheetId="15" hidden="0" function="0" vbProcedure="0">'[94]Job Technical Info'!$E$26</definedName>
    <definedName name="CsgWt3" localSheetId="15" hidden="0" function="0" vbProcedure="0">'[94]Job Technical Info'!$E$27</definedName>
    <definedName name="CsgWt4" localSheetId="15" hidden="0" function="0" vbProcedure="0">'[94]Job Technical Info'!$E$28</definedName>
    <definedName name="Csg_Bst" localSheetId="15" hidden="0" function="0" vbProcedure="0">'[109]Metric Conversions'!$B$43</definedName>
    <definedName name="Csg_Burstz" localSheetId="15" hidden="0" function="0" vbProcedure="0">'[109]Liner Job Info'!$H$14</definedName>
    <definedName name="Csg_Dft" localSheetId="15" hidden="0" function="0" vbProcedure="0">'[109]Liner Job Info'!$L$14</definedName>
    <definedName name="CSG_DPTH" localSheetId="15" hidden="0" function="0" vbProcedure="0">'[130]Metric Conversions'!$B$15</definedName>
    <definedName name="CSG_DPTHz" localSheetId="15" hidden="0" function="0" vbProcedure="0">'[109]Liner Job Info'!$P$14</definedName>
    <definedName name="CSG_Grd" localSheetId="15" hidden="0" function="0" vbProcedure="0">'[130]Liner Job Info'!$D$14</definedName>
    <definedName name="CSG_ID" localSheetId="15" hidden="0" function="0" vbProcedure="0">'[109]Liner Job Info'!$B$14</definedName>
    <definedName name="CSG_ID_Area" localSheetId="15" hidden="0" function="0" vbProcedure="0">[109]Test!$Z$39</definedName>
    <definedName name="CSG_MYS" localSheetId="15" hidden="0" function="0" vbProcedure="0">[131]DATA!$J$3:$J$22</definedName>
    <definedName name="CSG_OD" localSheetId="15" hidden="0" function="0" vbProcedure="0">'[130]Liner Job Info'!$A$14</definedName>
    <definedName name="CSG_Thread" localSheetId="15" hidden="0" function="0" vbProcedure="0">'[130]Liner Job Info'!$E$14</definedName>
    <definedName name="Csg_Wt" localSheetId="15" hidden="0" function="0" vbProcedure="0">'[130]Liner Job Info'!$C$14</definedName>
    <definedName name="CsShoeDepth" localSheetId="15" hidden="0" function="0" vbProcedure="0">'[94]Job Technical Info'!$F$40</definedName>
    <definedName name="CU.FT." localSheetId="15" hidden="0" function="0" vbProcedure="0">'[113]#REF'!$E$23</definedName>
    <definedName name="currency" localSheetId="15" hidden="0" function="0" vbProcedure="0">[56]data!#ref!</definedName>
    <definedName name="Customer" localSheetId="15" hidden="0" function="0" vbProcedure="0">'[94]Job Technical Info'!$C$12</definedName>
    <definedName name="customer1" localSheetId="15" hidden="0" function="0" vbProcedure="0">[132]Data!$A$1:$A$65536</definedName>
    <definedName name="Customer2" localSheetId="15" hidden="0" function="0" vbProcedure="0">[132]Data!$B$1:$B$65536</definedName>
    <definedName name="CustomerName" localSheetId="15" hidden="0" function="0" vbProcedure="0">'[144]job info sheet'!#ref!</definedName>
    <definedName name="customerrep" localSheetId="15" hidden="0" function="0" vbProcedure="0">'[113]#REF'!$E$6</definedName>
    <definedName name="Cyl_Yield" localSheetId="15" hidden="0" function="0" vbProcedure="0">'[48]liner job info'!#ref!</definedName>
    <definedName name="d" localSheetId="15" hidden="0" function="0" vbProcedure="0">'[2]run sheet'!#ref!</definedName>
    <definedName name="DAADA" localSheetId="15" hidden="0" function="0" vbProcedure="0">[117]!Calculate_Pipe</definedName>
    <definedName name="DAD" localSheetId="15" hidden="0" function="0" vbProcedure="0">'[146]tally checklist'!dad</definedName>
    <definedName name="DADAA" localSheetId="15" hidden="0" function="0" vbProcedure="0">'[146]tally checklist'!dadaa</definedName>
    <definedName name="DAEFF" localSheetId="15" hidden="0" function="0" vbProcedure="0">'[146]tally checklist'!daeff</definedName>
    <definedName name="DAPage" localSheetId="15" hidden="0" function="0" vbProcedure="0">'[94]Data Acq. Results'!$S$5</definedName>
    <definedName name="data1" localSheetId="15" hidden="0" function="0" vbProcedure="0">#ref!</definedName>
    <definedName name="DC" localSheetId="15" hidden="0" function="0" vbProcedure="0">'[44]7-30-04'!$GO$7457</definedName>
    <definedName name="dd" localSheetId="15" hidden="0" function="0" vbProcedure="0">null</definedName>
    <definedName name="dddd" localSheetId="15" hidden="0" function="0" vbProcedure="0">[148]试油成果记录!#ref!</definedName>
    <definedName name="decdhm" localSheetId="15" hidden="0" function="0" vbProcedure="0">'[133]Personal Expense Dec-95 (MH)'!$K$5</definedName>
    <definedName name="decdlr" localSheetId="15" hidden="0" function="0" vbProcedure="0">'[133]Personal Expense Dec-95 (MH)'!$H$5</definedName>
    <definedName name="decfrc" localSheetId="15" hidden="0" function="0" vbProcedure="0">'[133]Personal Expense Dec-95 (MH)'!$I$5</definedName>
    <definedName name="decpnd" localSheetId="15" hidden="0" function="0" vbProcedure="0">'[133]Personal Expense Dec-95 (MH)'!$G$5</definedName>
    <definedName name="decrl" localSheetId="15" hidden="0" function="0" vbProcedure="0">'[133]Personal Expense Dec-95 (MH)'!$J$5</definedName>
    <definedName name="decrup" localSheetId="15" hidden="0" function="0" vbProcedure="0">'[133]Personal Expense Dec-95 (MH)'!$L$5</definedName>
    <definedName name="decrupees" localSheetId="15" hidden="0" function="0" vbProcedure="0">'[133]Cash Expense December-95'!$H$6</definedName>
    <definedName name="deliveredto" localSheetId="15" hidden="0" function="0" vbProcedure="0">'[33]data '!#ref!</definedName>
    <definedName name="deliverto" localSheetId="15" hidden="0" function="0" vbProcedure="0">[56]data!#ref!</definedName>
    <definedName name="DENG" localSheetId="15" hidden="0" function="0" vbProcedure="0">[193]Reference!$B$2:$B$12</definedName>
    <definedName name="DEPTH_TAGGED_PREPACK" localSheetId="15" hidden="0" function="0" vbProcedure="0">'[113]#REF'!$F$80</definedName>
    <definedName name="DEQ" localSheetId="15" hidden="0" function="0" vbProcedure="0">'[146]tally checklist'!deq</definedName>
    <definedName name="Desired_Set_Down" localSheetId="15" hidden="0" function="0" vbProcedure="0">'[108]Packer Calculation Sheet'!$G$47</definedName>
    <definedName name="Dev" localSheetId="15" hidden="0" function="0" vbProcedure="0">'[109]Liner Job Info'!$D$30</definedName>
    <definedName name="DEVIATION" localSheetId="15" hidden="0" function="0" vbProcedure="0">'[113]#REF'!$F$24</definedName>
    <definedName name="dftg" localSheetId="15" hidden="0" function="0" vbProcedure="0">'[134]井口装置示意图-4'!$E$1:$E$65536</definedName>
    <definedName name="DiameterConversion" localSheetId="15" hidden="0" function="0" vbProcedure="0">[94]Lists!$AD$3</definedName>
    <definedName name="Diff_Across_Ball" localSheetId="15" hidden="0" function="0" vbProcedure="0">'[108]Tester Valve Calcs'!$F$30</definedName>
    <definedName name="Disp._Fluid_Type" localSheetId="15" hidden="0" function="0" vbProcedure="0">'[108]Pre-Job Info Sheet'!$D$37</definedName>
    <definedName name="Disp._Fluid_Weight" localSheetId="15" hidden="0" function="0" vbProcedure="0">'[108]Pre-Job Info Sheet'!$D$38</definedName>
    <definedName name="Displacement" localSheetId="15" hidden="0" function="0" vbProcedure="0">[109]DATA!$AJ$2:$AJ$12</definedName>
    <definedName name="DisplacementMethod" localSheetId="15" hidden="0" function="0" vbProcedure="0">[109]DATA!$AS$2:$AS$4</definedName>
    <definedName name="Disp_Fluid_Wt" localSheetId="15" hidden="0" function="0" vbProcedure="0">'[108]Job Calculation Sheet'!$D$30</definedName>
    <definedName name="District" localSheetId="15" hidden="0" function="0" vbProcedure="0">'[30]Liner Job Info'!$O$4</definedName>
    <definedName name="DistrictPh" localSheetId="15" hidden="0" function="0" vbProcedure="0">'[94]Job Technical Info'!$G$11</definedName>
    <definedName name="Districts" localSheetId="15" hidden="0" function="0" vbProcedure="0">[109]DATA!$A$6:$A$437</definedName>
    <definedName name="diverterlbs" localSheetId="15" hidden="0" function="0" vbProcedure="0">[5]WTR!$G$59</definedName>
    <definedName name="DIV_MIX_RATIO" localSheetId="15" hidden="0" function="0" vbProcedure="0">'[113]#REF'!$K$55</definedName>
    <definedName name="DL" localSheetId="15" hidden="0" function="0" vbProcedure="0">[107]Piston!$F$21</definedName>
    <definedName name="docNum" localSheetId="15" hidden="0" function="0" vbProcedure="0">[49]Revision_History!$G$6&amp;" "&amp;[49]Revision_History!$H$6</definedName>
    <definedName name="DocTitle" localSheetId="15" hidden="0" function="0" vbProcedure="0">'[94]Job Technical Info'!$C$2</definedName>
    <definedName name="Doc_Rev" localSheetId="15" hidden="0" function="0" vbProcedure="0">'[30]Liner Job Info'!$A$2</definedName>
    <definedName name="DP1_Cap" localSheetId="15" hidden="0" function="0" vbProcedure="0">'[109]Liner Job Info'!$G$22</definedName>
    <definedName name="DP1_conn" localSheetId="15" hidden="0" function="0" vbProcedure="0">'[130]Liner Job Info'!$J$22</definedName>
    <definedName name="DP1_Grd" localSheetId="15" hidden="0" function="0" vbProcedure="0">'[130]Liner Job Info'!$F$22</definedName>
    <definedName name="DP1_ID" localSheetId="15" hidden="0" function="0" vbProcedure="0">'[109]Liner Job Info'!$E$22</definedName>
    <definedName name="DP1_Leng" localSheetId="15" hidden="0" function="0" vbProcedure="0">'[130]Metric Conversions'!$B$20</definedName>
    <definedName name="DP1_Lengz" localSheetId="15" hidden="0" function="0" vbProcedure="0">'[109]Liner Job Info'!$I$22</definedName>
    <definedName name="DP1_MYS" localSheetId="15" hidden="0" function="0" vbProcedure="0">'[109]Liner Job Info'!$AD$31</definedName>
    <definedName name="DP1_OD" localSheetId="15" hidden="0" function="0" vbProcedure="0">'[130]Liner Job Info'!$C$22</definedName>
    <definedName name="DP1_Tens" localSheetId="15" hidden="0" function="0" vbProcedure="0">'[109]Liner Job Info'!$M$22</definedName>
    <definedName name="DP1_Volz" localSheetId="15" hidden="0" function="0" vbProcedure="0">'[109]Metric Conversions'!$C$70</definedName>
    <definedName name="DP1_Wt_inmud" localSheetId="15" hidden="0" function="0" vbProcedure="0">'[109]Weight Calculations'!$H$8</definedName>
    <definedName name="DP1_Wt_Per_Ft" localSheetId="15" hidden="0" function="0" vbProcedure="0">'[130]Liner Job Info'!$D$22</definedName>
    <definedName name="DP1_X_Csg_Volz" localSheetId="15" hidden="0" function="0" vbProcedure="0">'[109]Metric Conversions'!$C$85</definedName>
    <definedName name="DP2_Cap" localSheetId="15" hidden="0" function="0" vbProcedure="0">'[109]Liner Job Info'!$G$23</definedName>
    <definedName name="DP2_conn" localSheetId="15" hidden="0" function="0" vbProcedure="0">'[130]Liner Job Info'!$J$23</definedName>
    <definedName name="DP2_Cross_Sect" localSheetId="15" hidden="0" function="0" vbProcedure="0">'[48]liner job info'!#ref!</definedName>
    <definedName name="DP2_Grd" localSheetId="15" hidden="0" function="0" vbProcedure="0">'[130]Liner Job Info'!$F$23</definedName>
    <definedName name="DP2_ID" localSheetId="15" hidden="0" function="0" vbProcedure="0">'[109]Liner Job Info'!$E$23</definedName>
    <definedName name="DP2_Leng" localSheetId="15" hidden="0" function="0" vbProcedure="0">'[130]Metric Conversions'!$B$21</definedName>
    <definedName name="DP2_Lengz" localSheetId="15" hidden="0" function="0" vbProcedure="0">'[109]Liner Job Info'!$I$23</definedName>
    <definedName name="DP2_MYS" localSheetId="15" hidden="0" function="0" vbProcedure="0">'[109]Liner Job Info'!$AD$32</definedName>
    <definedName name="DP2_OD" localSheetId="15" hidden="0" function="0" vbProcedure="0">'[130]Liner Job Info'!$C$23</definedName>
    <definedName name="DP2_Tens" localSheetId="15" hidden="0" function="0" vbProcedure="0">'[109]Liner Job Info'!$M$23</definedName>
    <definedName name="DP2_Volz" localSheetId="15" hidden="0" function="0" vbProcedure="0">'[109]Metric Conversions'!$C$71</definedName>
    <definedName name="DP2_Wt_inmud" localSheetId="15" hidden="0" function="0" vbProcedure="0">'[109]Weight Calculations'!$H$9</definedName>
    <definedName name="DP2_Wt_Per_Ft" localSheetId="15" hidden="0" function="0" vbProcedure="0">'[130]Liner Job Info'!$D$23</definedName>
    <definedName name="DP2_X_Csg_Volz" localSheetId="15" hidden="0" function="0" vbProcedure="0">'[109]Metric Conversions'!$C$86</definedName>
    <definedName name="DP3_bbl_per_ft" localSheetId="15" hidden="0" function="0" vbProcedure="0">'[48]liner job info'!#ref!</definedName>
    <definedName name="DP3_Cap" localSheetId="15" hidden="0" function="0" vbProcedure="0">'[109]Liner Job Info'!$G$24</definedName>
    <definedName name="DP3_COnn" localSheetId="15" hidden="0" function="0" vbProcedure="0">'[130]Liner Job Info'!$J$24</definedName>
    <definedName name="DP3_Grd" localSheetId="15" hidden="0" function="0" vbProcedure="0">'[130]Liner Job Info'!$F$24</definedName>
    <definedName name="DP3_ID" localSheetId="15" hidden="0" function="0" vbProcedure="0">'[109]Liner Job Info'!$E$24</definedName>
    <definedName name="DP3_Leng" localSheetId="15" hidden="0" function="0" vbProcedure="0">'[130]Metric Conversions'!$B$22</definedName>
    <definedName name="DP3_Lengz" localSheetId="15" hidden="0" function="0" vbProcedure="0">'[109]Liner Job Info'!$I$24</definedName>
    <definedName name="DP3_MYS" localSheetId="15" hidden="0" function="0" vbProcedure="0">'[109]Liner Job Info'!$AD$33</definedName>
    <definedName name="DP3_OD" localSheetId="15" hidden="0" function="0" vbProcedure="0">'[130]Liner Job Info'!$C$24</definedName>
    <definedName name="DP3_Tens" localSheetId="15" hidden="0" function="0" vbProcedure="0">'[109]Liner Job Info'!$M$24</definedName>
    <definedName name="DP3_Volz" localSheetId="15" hidden="0" function="0" vbProcedure="0">'[109]Metric Conversions'!$C$72</definedName>
    <definedName name="DP3_Wt_inmud" localSheetId="15" hidden="0" function="0" vbProcedure="0">'[109]Weight Calculations'!$H$10</definedName>
    <definedName name="DP3_Wt_Per_Ft" localSheetId="15" hidden="0" function="0" vbProcedure="0">'[130]Liner Job Info'!$D$24</definedName>
    <definedName name="DP3_X_Csg_Volz" localSheetId="15" hidden="0" function="0" vbProcedure="0">'[109]Metric Conversions'!$C$87</definedName>
    <definedName name="DP4_Cap" localSheetId="15" hidden="0" function="0" vbProcedure="0">'[109]Liner Job Info'!$G$25</definedName>
    <definedName name="DP4_COnn" localSheetId="15" hidden="0" function="0" vbProcedure="0">'[130]Liner Job Info'!$J$25</definedName>
    <definedName name="DP4_Grd" localSheetId="15" hidden="0" function="0" vbProcedure="0">'[130]Liner Job Info'!$F$25</definedName>
    <definedName name="DP4_ID" localSheetId="15" hidden="0" function="0" vbProcedure="0">'[109]Liner Job Info'!$E$25</definedName>
    <definedName name="DP4_Leng" localSheetId="15" hidden="0" function="0" vbProcedure="0">'[130]Metric Conversions'!$B$23</definedName>
    <definedName name="DP4_Lengz" localSheetId="15" hidden="0" function="0" vbProcedure="0">'[109]Liner Job Info'!$I$25</definedName>
    <definedName name="DP4_MYS" localSheetId="15" hidden="0" function="0" vbProcedure="0">'[109]Liner Job Info'!$AD$34</definedName>
    <definedName name="DP4_OD" localSheetId="15" hidden="0" function="0" vbProcedure="0">'[130]Liner Job Info'!$C$25</definedName>
    <definedName name="DP4_Tens" localSheetId="15" hidden="0" function="0" vbProcedure="0">'[109]Liner Job Info'!$M$25</definedName>
    <definedName name="DP4_Volz" localSheetId="15" hidden="0" function="0" vbProcedure="0">'[109]Metric Conversions'!$C$73</definedName>
    <definedName name="DP4_Wt_inmud" localSheetId="15" hidden="0" function="0" vbProcedure="0">'[109]Weight Calculations'!$H$11</definedName>
    <definedName name="DP4_Wt_Per_Ft" localSheetId="15" hidden="0" function="0" vbProcedure="0">'[130]Liner Job Info'!$D$25</definedName>
    <definedName name="DP4_X_Csg_Volz" localSheetId="15" hidden="0" function="0" vbProcedure="0">'[109]Metric Conversions'!$C$88</definedName>
    <definedName name="DP5_bbl_per_ft" localSheetId="15" hidden="0" function="0" vbProcedure="0">'[109]Liner Job Info'!$AT$73</definedName>
    <definedName name="DP5_COnn" localSheetId="15" hidden="0" function="0" vbProcedure="0">'[130]Liner Job Info'!$J$26</definedName>
    <definedName name="DP5_Grd" localSheetId="15" hidden="0" function="0" vbProcedure="0">'[130]Liner Job Info'!$F$26</definedName>
    <definedName name="DP5_ID" localSheetId="15" hidden="0" function="0" vbProcedure="0">'[109]Liner Job Info'!$E$26</definedName>
    <definedName name="DP5_Leng" localSheetId="15" hidden="0" function="0" vbProcedure="0">'[130]Metric Conversions'!$B$24</definedName>
    <definedName name="DP5_Lengz" localSheetId="15" hidden="0" function="0" vbProcedure="0">'[109]Liner Job Info'!$I$26</definedName>
    <definedName name="DP5_MYS" localSheetId="15" hidden="0" function="0" vbProcedure="0">'[109]Liner Job Info'!$AD$35</definedName>
    <definedName name="DP5_OD" localSheetId="15" hidden="0" function="0" vbProcedure="0">'[130]Liner Job Info'!$C$26</definedName>
    <definedName name="DP5_Tens" localSheetId="15" hidden="0" function="0" vbProcedure="0">'[109]Liner Job Info'!$M$26</definedName>
    <definedName name="DP5_Volz" localSheetId="15" hidden="0" function="0" vbProcedure="0">'[109]Metric Conversions'!$C$74</definedName>
    <definedName name="DP5_Wt_inmud" localSheetId="15" hidden="0" function="0" vbProcedure="0">'[109]Weight Calculations'!$H$12</definedName>
    <definedName name="DP5_Wt_Per_Ft" localSheetId="15" hidden="0" function="0" vbProcedure="0">'[130]Liner Job Info'!$D$26</definedName>
    <definedName name="DP5_X_Csg_Volz" localSheetId="15" hidden="0" function="0" vbProcedure="0">'[109]Metric Conversions'!$C$89</definedName>
    <definedName name="dpdt" localSheetId="15" hidden="0" function="0" vbProcedure="0">'[136]WCT-Ft'!$Q$4:$X$18</definedName>
    <definedName name="DPi" localSheetId="15" hidden="0" function="0" vbProcedure="0">[107]Piston!$F$10</definedName>
    <definedName name="DPia" localSheetId="15" hidden="0" function="0" vbProcedure="0">[107]Balooning!$F$9</definedName>
    <definedName name="DPNumber_35" localSheetId="15" hidden="0" function="0" vbProcedure="0">'[137]DP Length'!$A$3:$A$1000</definedName>
    <definedName name="DPNumber_5" localSheetId="15" hidden="0" function="0" vbProcedure="0">'[137]DP Length'!$C$3:$C$1000</definedName>
    <definedName name="DPo" localSheetId="15" hidden="0" function="0" vbProcedure="0">[107]Piston!$F$11</definedName>
    <definedName name="DPoa" localSheetId="15" hidden="0" function="0" vbProcedure="0">[107]Balooning!$F$10</definedName>
    <definedName name="DPThread" localSheetId="15" hidden="0" function="0" vbProcedure="0">[109]DATA!$AA$44:$AA$94</definedName>
    <definedName name="DPTTL_HYD_LENTH" localSheetId="15" hidden="0" function="0" vbProcedure="0">'[109]Weight Calculations'!$F$46</definedName>
    <definedName name="DP_MYS" localSheetId="15" hidden="0" function="0" vbProcedure="0">[109]DATA!$AB$2:$AB$6</definedName>
    <definedName name="DP_Plus_Block" localSheetId="15" hidden="0" function="0" vbProcedure="0">'[109]Weight Calculations'!$H$15</definedName>
    <definedName name="DP_PSI" localSheetId="15" hidden="0" function="0" vbProcedure="0">'[109]Metric Conversions'!$B$49</definedName>
    <definedName name="DP_PSIz" localSheetId="15" hidden="0" function="0" vbProcedure="0">'[109]Liner Job Info'!$D$35</definedName>
    <definedName name="DP_SF" localSheetId="15" hidden="0" function="0" vbProcedure="0">'[109]Liner Job Info'!$R$27</definedName>
    <definedName name="drawblanks" localSheetId="15" hidden="0" function="0" vbProcedure="0">'[146]tally checklist'!drawblanks</definedName>
    <definedName name="drawlinerfirst" localSheetId="15" hidden="0" function="0" vbProcedure="0">'[146]tally checklist'!drawlinerfirst</definedName>
    <definedName name="drawlinersecond" localSheetId="15" hidden="0" function="0" vbProcedure="0">'[146]tally checklist'!drawlinersecond</definedName>
    <definedName name="drawmiscellaneous" localSheetId="15" hidden="0" function="0" vbProcedure="0">'[146]tally checklist'!drawmiscellaneous</definedName>
    <definedName name="drawproductionfirst" localSheetId="15" hidden="0" function="0" vbProcedure="0">'[146]tally checklist'!drawproductionfirst</definedName>
    <definedName name="drawproductionsecond" localSheetId="15" hidden="0" function="0" vbProcedure="0">'[146]tally checklist'!drawproductionsecond</definedName>
    <definedName name="drawquantum" localSheetId="15" hidden="0" function="0" vbProcedure="0">'[146]tally checklist'!drawquantum</definedName>
    <definedName name="drawscreens" localSheetId="15" hidden="0" function="0" vbProcedure="0">'[146]tally checklist'!drawscreens</definedName>
    <definedName name="drawshearsubs" localSheetId="15" hidden="0" function="0" vbProcedure="0">'[146]tally checklist'!drawshearsubs</definedName>
    <definedName name="drawsump" localSheetId="15" hidden="0" function="0" vbProcedure="0">'[146]tally checklist'!drawsump</definedName>
    <definedName name="draw_blanks" localSheetId="15" hidden="0" function="0" vbProcedure="0">'[146]tally checklist'!draw_blanks</definedName>
    <definedName name="draw_linerfirst" localSheetId="15" hidden="0" function="0" vbProcedure="0">'[146]tally checklist'!draw_linerfirst</definedName>
    <definedName name="draw_linersecond" localSheetId="15" hidden="0" function="0" vbProcedure="0">'[146]tally checklist'!draw_linersecond</definedName>
    <definedName name="draw_miscellaneous" localSheetId="15" hidden="0" function="0" vbProcedure="0">'[146]tally checklist'!draw_miscellaneous</definedName>
    <definedName name="draw_productionfirst" localSheetId="15" hidden="0" function="0" vbProcedure="0">'[146]tally checklist'!draw_productionfirst</definedName>
    <definedName name="draw_productionsecond" localSheetId="15" hidden="0" function="0" vbProcedure="0">'[146]tally checklist'!draw_productionsecond</definedName>
    <definedName name="draw_quantum" localSheetId="15" hidden="0" function="0" vbProcedure="0">'[146]tally checklist'!draw_quantum</definedName>
    <definedName name="draw_screens" localSheetId="15" hidden="0" function="0" vbProcedure="0">'[146]tally checklist'!draw_screens</definedName>
    <definedName name="draw_shearsubs" localSheetId="15" hidden="0" function="0" vbProcedure="0">'[146]tally checklist'!draw_shearsubs</definedName>
    <definedName name="draw_sump" localSheetId="15" hidden="0" function="0" vbProcedure="0">'[146]tally checklist'!draw_sump</definedName>
    <definedName name="DRILLER" localSheetId="15" hidden="0" function="0" vbProcedure="0">#ref!</definedName>
    <definedName name="Drillpipesize" localSheetId="15" hidden="0" function="0" vbProcedure="0">[109]DATA!$X$2:$X$10</definedName>
    <definedName name="Drillpipetype" localSheetId="15" hidden="0" function="0" vbProcedure="0">[109]DATA!$AA$2:$AA$6</definedName>
    <definedName name="Drillpipeweight" localSheetId="15" hidden="0" function="0" vbProcedure="0">[109]DATA!$Z$2:$Z$36</definedName>
    <definedName name="Druckbereich_MI" localSheetId="15" hidden="0" function="0" vbProcedure="0">'[138]Dev-Baker'!$A$1:$J$46</definedName>
    <definedName name="Druckbereich_S3" localSheetId="15" hidden="0" function="0" vbProcedure="0">'[165]run_s.xls'!#ref!</definedName>
    <definedName name="dtr" localSheetId="15" hidden="0" function="0" vbProcedure="0">'[115]Max-Torq'!$P$77</definedName>
    <definedName name="DWS" localSheetId="15" hidden="0" function="0" vbProcedure="0">'[111]DWS2023'!$A$4:$AD$257</definedName>
    <definedName name="Eff_Date" localSheetId="15" hidden="0" function="0" vbProcedure="0">'[94]Job Technical Info'!$L$3</definedName>
    <definedName name="EJYETYJEJ" localSheetId="15" hidden="0" function="0" vbProcedure="0">'[146]tally checklist'!ejyetyjej</definedName>
    <definedName name="Element_Rating" localSheetId="15" hidden="0" function="0" vbProcedure="0">'[109]Metric Conversions'!$B$57</definedName>
    <definedName name="Element_Ratingz" localSheetId="15" hidden="0" function="0" vbProcedure="0">'[109]Liner Job Info'!$P$41</definedName>
    <definedName name="equipmenttype" localSheetId="15" hidden="0" function="0" vbProcedure="0">[56]data!#ref!</definedName>
    <definedName name="error" localSheetId="15" hidden="0" function="0" vbProcedure="0">[106]Data!$F$10</definedName>
    <definedName name="ertert" localSheetId="15" hidden="0" function="0" vbProcedure="0">[171]试压!#ref!</definedName>
    <definedName name="ES_pricelist" localSheetId="15" hidden="0" function="0" vbProcedure="0">[139]Pricelist!$A$8:$B$18</definedName>
    <definedName name="Expected_Job_Date" localSheetId="15" hidden="0" function="0" vbProcedure="0">'[108]Pre-Job Info Sheet'!$D$5</definedName>
    <definedName name="Explosive_Type" localSheetId="15" hidden="0" function="0" vbProcedure="0">'[108]TCP-BHA'!$E$7</definedName>
    <definedName name="EXP_1" localSheetId="15" hidden="0" function="0" vbProcedure="0">INDEX([111]DRAW!$A$2:$B$13,MATCH([112]AUTO_DHWS!$AV$7,[111]DRAW!$A$2:$A$13,0),2)</definedName>
    <definedName name="EXT_LENGTH" localSheetId="15" hidden="0" function="0" vbProcedure="0">'[7]#ref'!#ref!</definedName>
    <definedName name="F" localSheetId="15" hidden="0" function="0" vbProcedure="0">[140]Parts!$A$1:$I$65536</definedName>
    <definedName name="fdg" localSheetId="15" hidden="0" function="0" vbProcedure="0">[119]钻井日报表!$G$7</definedName>
    <definedName name="februpees" localSheetId="15" hidden="0" function="0" vbProcedure="0">'[141]Cash Expense March-96'!$H$6</definedName>
    <definedName name="fec"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5" hidden="0" function="0" vbProcedure="0">'[146]tally checklist'!fewfw</definedName>
    <definedName name="fff" localSheetId="15" hidden="0" function="0" vbProcedure="0">'[146]tally checklist'!fff</definedName>
    <definedName name="FJNDEF" localSheetId="15" hidden="0" function="0" vbProcedure="0">'[146]tally checklist'!fjndef</definedName>
    <definedName name="Floatequipment" localSheetId="15" hidden="0" function="0" vbProcedure="0">[109]DATA!$AM$2:$AM$9</definedName>
    <definedName name="FluidType" localSheetId="15" hidden="0" function="0" vbProcedure="0">'[94]Job Technical Info'!$F$42</definedName>
    <definedName name="FluidWt" localSheetId="15" hidden="0" function="0" vbProcedure="0">'[94]Job Technical Info'!$H$42</definedName>
    <definedName name="Form._Pressure" localSheetId="15" hidden="0" function="0" vbProcedure="0">'[108]Pre-Job Info Sheet'!$B$33</definedName>
    <definedName name="formation" localSheetId="15" hidden="0" function="0" vbProcedure="0">[56]data!#ref!</definedName>
    <definedName name="fracgrad" localSheetId="15" hidden="0" function="0" vbProcedure="0">[5]WTR!$L$38</definedName>
    <definedName name="fracpress" localSheetId="15" hidden="0" function="0" vbProcedure="0">'[113]#REF'!$L$25</definedName>
    <definedName name="frictionpressure" localSheetId="15" hidden="0" function="0" vbProcedure="0">[106]Data!$F$8</definedName>
    <definedName name="FRONT" localSheetId="15" hidden="0" function="0" vbProcedure="0">'[142]DAILY RPT'!$A$1:$Y$67</definedName>
    <definedName name="ftormeters" localSheetId="15" hidden="0" function="0" vbProcedure="0">'[109]Metric Conversions'!$B$14</definedName>
    <definedName name="Gamma_Quadrant" localSheetId="15" hidden="0" function="0" vbProcedure="0">[129]RSS!$N$139:$N$144</definedName>
    <definedName name="gasrate" localSheetId="15" hidden="0" function="0" vbProcedure="0">'[96]well test sheet'!#ref!</definedName>
    <definedName name="gas_cumm" localSheetId="15" hidden="0" function="0" vbProcedure="0">'[96]well test sheet'!#ref!</definedName>
    <definedName name="Gauge" localSheetId="15" hidden="0" function="0" vbProcedure="0">'[7]Drop-Down Items'!$D$74:$D$92</definedName>
    <definedName name="Gaugecancel" localSheetId="15" hidden="0" function="0" vbProcedure="0">[28]!Gaugecancel</definedName>
    <definedName name="gaugeconok" localSheetId="15" hidden="0" function="0" vbProcedure="0">[28]!gaugeconok</definedName>
    <definedName name="gaugeconok2" localSheetId="15" hidden="0" function="0" vbProcedure="0">[28]!gaugeconok2</definedName>
    <definedName name="gaugeok" localSheetId="15" hidden="0" function="0" vbProcedure="0">[28]!gaugeok</definedName>
    <definedName name="gaugeok2" localSheetId="15" hidden="0" function="0" vbProcedure="0">[28]!gaugeok2</definedName>
    <definedName name="gaugeselect" localSheetId="15" hidden="0" function="0" vbProcedure="0">[28]!gaugeselect</definedName>
    <definedName name="gaugeselect2" localSheetId="15" hidden="0" function="0" vbProcedure="0">[28]!gaugeselect2</definedName>
    <definedName name="gdsg" localSheetId="15" hidden="1" function="0" vbProcedure="0">#ref!</definedName>
    <definedName name="GGGR" localSheetId="15" hidden="0" function="0" vbProcedure="0">'[146]tally checklist'!gggr</definedName>
    <definedName name="GL" localSheetId="15" hidden="0" function="0" vbProcedure="0">'[189]offset data'!#ref!</definedName>
    <definedName name="GLM_1" localSheetId="15" hidden="0" function="0" vbProcedure="0">INDEX([111]DRAW!$A$2:$B$13,MATCH([112]AUTO_DHWS!$AV$3,[111]DRAW!$A$2:$A$13,0),2)</definedName>
    <definedName name="GLM_2" localSheetId="15" hidden="0" function="0" vbProcedure="0">INDEX([111]DRAW!$A$2:$B$13,MATCH([112]AUTO_DHWS!$AV$4,[111]DRAW!$A$2:$A$13,0),2)</definedName>
    <definedName name="GLM_3" localSheetId="15" hidden="0" function="0" vbProcedure="0">INDEX([111]DRAW!$A$2:$B$13,MATCH([112]AUTO_DHWS!$AV$5,[111]DRAW!$A$2:$A$13,0),2)</definedName>
    <definedName name="GLM_4" localSheetId="15" hidden="0" function="0" vbProcedure="0">INDEX([111]DRAW!$A$2:$B$13,MATCH([112]AUTO_DHWS!$AV$6,[111]DRAW!$A$2:$A$13,0),2)</definedName>
    <definedName name="Gmh" localSheetId="15" hidden="1" function="0" vbProcedure="0">{#N/A,#N/A,FALSE,"Sheet1"}</definedName>
    <definedName name="gor" localSheetId="15" hidden="0" function="0" vbProcedure="0">'[96]well test sheet'!#ref!</definedName>
    <definedName name="gpbreakerconc" localSheetId="15" hidden="0" function="0" vbProcedure="0">'[113]#REF'!$K$68</definedName>
    <definedName name="gpbreakertype" localSheetId="15" hidden="0" function="0" vbProcedure="0">'[113]#REF'!$K$67</definedName>
    <definedName name="gpcarriertype" localSheetId="15" hidden="0" function="0" vbProcedure="0">[5]WTR!$G$83</definedName>
    <definedName name="gpcarriervis" localSheetId="15" hidden="0" function="0" vbProcedure="0">'[113]#REF'!$K$66</definedName>
    <definedName name="gpcarriervol" localSheetId="15" hidden="0" function="0" vbProcedure="0">'[113]#REF'!$F$69</definedName>
    <definedName name="gpcarrierwt" localSheetId="15" hidden="0" function="0" vbProcedure="0">'[113]#REF'!$F$67</definedName>
    <definedName name="gpextlength" localSheetId="15" hidden="0" function="0" vbProcedure="0">'[113]#REF'!$J$15</definedName>
    <definedName name="gpextod" localSheetId="15" hidden="0" function="0" vbProcedure="0">'[113]#REF'!$F$15</definedName>
    <definedName name="gpgel" localSheetId="15" hidden="0" function="0" vbProcedure="0">'[113]#REF'!$K$65</definedName>
    <definedName name="gplbs" localSheetId="15" hidden="0" function="0" vbProcedure="0">'[113]#REF'!$F$64</definedName>
    <definedName name="gpmixratio" localSheetId="15" hidden="0" function="0" vbProcedure="0">[5]WTR!$M$81</definedName>
    <definedName name="gppumprate" localSheetId="15" hidden="0" function="0" vbProcedure="0">[5]WTR!$F$88</definedName>
    <definedName name="gpslurrydens" localSheetId="15" hidden="0" function="0" vbProcedure="0">'[113]#REF'!$F$70</definedName>
    <definedName name="GP_EXT_OD" localSheetId="15" hidden="0" function="0" vbProcedure="0">'[113]#REF'!$F$15</definedName>
    <definedName name="GP_MIX_RATIO" localSheetId="15" hidden="0" function="0" vbProcedure="0">'[113]#REF'!$K$64</definedName>
    <definedName name="GP_SLURRY_VOL" localSheetId="15" hidden="0" function="0" vbProcedure="0">'[113]#REF'!$F$69</definedName>
    <definedName name="GQGQ" localSheetId="15" hidden="0" function="0" vbProcedure="0">'[146]tally checklist'!gqgq</definedName>
    <definedName name="GQQ" localSheetId="15" hidden="0" function="0" vbProcedure="0">'[146]tally checklist'!gqq</definedName>
    <definedName name="gravelsize" localSheetId="15" hidden="0" function="0" vbProcedure="0">[5]WTR!$G$82</definedName>
    <definedName name="GRAVEL_IN_CSG." localSheetId="15" hidden="0" function="0" vbProcedure="0">'[113]#REF'!XEP1048377</definedName>
    <definedName name="GroupID" localSheetId="15" hidden="0" function="0" vbProcedure="0">[109]DATA!$Q$2:$Q$268</definedName>
    <definedName name="Group_ID" localSheetId="15" hidden="0" function="0" vbProcedure="0">[131]DATA!$Q$2:$Q$268</definedName>
    <definedName name="GRQ" localSheetId="15" hidden="0" function="0" vbProcedure="0">'[146]tally checklist'!grq</definedName>
    <definedName name="GUB24SECWELL" localSheetId="15" hidden="1" function="0" vbProcedure="0">[143]Sheet1!$A$181:$H$210</definedName>
    <definedName name="Gun_Size" localSheetId="15" hidden="0" function="0" vbProcedure="0">'[108]TCP-BHA'!$F$5</definedName>
    <definedName name="GWS" localSheetId="15" hidden="0" function="0" vbProcedure="0">'[146]tally checklist'!gws</definedName>
    <definedName name="h" localSheetId="15" hidden="0" function="0" vbProcedure="0">[144]Tally!$A$5:$H$1064</definedName>
    <definedName name="H2S" localSheetId="15" hidden="0" function="0" vbProcedure="0">'[94]Job Technical Info'!$L$41</definedName>
    <definedName name="Hangerfunction" localSheetId="15" hidden="0" function="0" vbProcedure="0">[109]DATA!$AH$2:$AH$9</definedName>
    <definedName name="HAUL_Thread" localSheetId="15" hidden="0" function="0" vbProcedure="0">[109]DATA!$BM$22:$BM$114</definedName>
    <definedName name="hesfluid" localSheetId="15" hidden="0" function="0" vbProcedure="0">[56]data!#ref!</definedName>
    <definedName name="hgh" localSheetId="15" hidden="1" function="0" vbProcedure="0">#ref!</definedName>
    <definedName name="HGR_OL_Packoff_In" localSheetId="15" hidden="0" function="0" vbProcedure="0">[109]Test!$M$36</definedName>
    <definedName name="hhp" localSheetId="15" hidden="0" function="0" vbProcedure="0">'[96]well test sheet'!#ref!</definedName>
    <definedName name="hj" localSheetId="15" hidden="0" function="0" vbProcedure="0">[194]bha!#ref!</definedName>
    <definedName name="HKWT" localSheetId="15" hidden="0" function="0" vbProcedure="0">[119]钻井日报表!$E$7</definedName>
    <definedName name="Hngr_Bst" localSheetId="15" hidden="0" function="0" vbProcedure="0">'[109]Metric Conversions'!$B$50</definedName>
    <definedName name="Hngr_Bstz" localSheetId="15" hidden="0" function="0" vbProcedure="0">'[109]Liner Job Info'!$D$39</definedName>
    <definedName name="Hngr_OL_PO_out" localSheetId="15" hidden="0" function="0" vbProcedure="0">[109]Test!$M$30</definedName>
    <definedName name="Hngr_Overload_Cmt_Setup" localSheetId="15" hidden="0" function="0" vbProcedure="0">[109]Test!$M$42</definedName>
    <definedName name="Hngr_Tens" localSheetId="15" hidden="0" function="0" vbProcedure="0">'[109]Liner Job Info'!$D$40</definedName>
    <definedName name="Hng_Cap" localSheetId="15" hidden="0" function="0" vbProcedure="0">'[109]Liner Job Info'!$D$41</definedName>
    <definedName name="holevol" localSheetId="15" hidden="0" function="0" vbProcedure="0">'[64]tool backload dt'!holevol</definedName>
    <definedName name="hpb" localSheetId="15" hidden="0" function="0" vbProcedure="0">'[96]well test sheet'!#ref!</definedName>
    <definedName name="HR_Turns" localSheetId="15" hidden="0" function="0" vbProcedure="0">'[109]Weight Calculations'!$Q$36</definedName>
    <definedName name="HTML_Control" localSheetId="15" hidden="1" function="0" vbProcedure="0">{"'Operator &amp; Well Info.'!$A$1:$F$16"}</definedName>
    <definedName name="hwdpdt" localSheetId="15" hidden="0" function="0" vbProcedure="0">'[136]WCT-Ft'!$Q$19:$X$24</definedName>
    <definedName name="Hyd._Pressure" localSheetId="15" hidden="0" function="0" vbProcedure="0">'[108]Job Calculation Sheet'!$H$28</definedName>
    <definedName name="Hyd_at_TV" localSheetId="15" hidden="0" function="0" vbProcedure="0">'[108]Tester Valve Calcs'!$F$21</definedName>
    <definedName name="Hyd_Effect_Force" localSheetId="15" hidden="0" function="0" vbProcedure="0">'[109]Weight Calculations'!$F$47</definedName>
    <definedName name="Hyd_force_element" localSheetId="15" hidden="0" function="0" vbProcedure="0">[109]Test!$M$17</definedName>
    <definedName name="HyfloSeatID" localSheetId="15" hidden="0" function="0" vbProcedure="0">[109]DATA!$AY$2:$AY$4</definedName>
    <definedName name="HyfloSeatNumber" localSheetId="15" hidden="0" function="0" vbProcedure="0">[109]DATA!$AZ$2:$AZ$5</definedName>
    <definedName name="HyfloSupplier" localSheetId="15" hidden="0" function="0" vbProcedure="0">[109]DATA!$BA$2:$BA$5</definedName>
    <definedName name="idlist" localSheetId="15" hidden="0" function="0" vbProcedure="0">[106]Data!$GD$2:$GE$237</definedName>
    <definedName name="IDUnit" localSheetId="15" hidden="0" function="0" vbProcedure="0">'[94]Job Technical Info'!$F$24</definedName>
    <definedName name="impdwg" localSheetId="15" hidden="0" function="0" vbProcedure="0">[28]!impdwg</definedName>
    <definedName name="impdwg_1" localSheetId="15" hidden="0" function="0" vbProcedure="0">DHWS!impdwg</definedName>
    <definedName name="impdwg_10" localSheetId="15" hidden="0" function="0" vbProcedure="0">DHWS!impdwg</definedName>
    <definedName name="impdwg_11" localSheetId="15" hidden="0" function="0" vbProcedure="0">DHWS!impdwg</definedName>
    <definedName name="impdwg_2" localSheetId="15" hidden="0" function="0" vbProcedure="0">DHWS!impdwg</definedName>
    <definedName name="impdwg_3" localSheetId="15" hidden="0" function="0" vbProcedure="0">DHWS!impdwg</definedName>
    <definedName name="impdwg_4" localSheetId="15" hidden="0" function="0" vbProcedure="0">DHWS!impdwg</definedName>
    <definedName name="impdwg_5" localSheetId="15" hidden="0" function="0" vbProcedure="0">DHWS!impdwg</definedName>
    <definedName name="impdwg_6" localSheetId="15" hidden="0" function="0" vbProcedure="0">DHWS!impdwg</definedName>
    <definedName name="impdwg_7" localSheetId="15" hidden="0" function="0" vbProcedure="0">DHWS!impdwg</definedName>
    <definedName name="impdwg_8" localSheetId="15" hidden="0" function="0" vbProcedure="0">DHWS!impdwg</definedName>
    <definedName name="impdwg_9" localSheetId="15" hidden="0" function="0" vbProcedure="0">DHWS!impdwg</definedName>
    <definedName name="Inc" localSheetId="15" hidden="0" function="0" vbProcedure="0">[119]钻井日报表!$G$8</definedName>
    <definedName name="InclinationData" localSheetId="15" hidden="0" function="0" vbProcedure="0">OFFSET([28]!Inclination,2,0,COUNT(#ref!),1)</definedName>
    <definedName name="incrementa"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5" hidden="0" function="0" vbProcedure="0">'[145]Job File Index'!$B$7</definedName>
    <definedName name="INFUSER_RATE" localSheetId="15" hidden="0" function="0" vbProcedure="0">'[113]#REF'!$F$71</definedName>
    <definedName name="INFUSER_RATE_PREPACK" localSheetId="15" hidden="0" function="0" vbProcedure="0">'[113]#REF'!$F$50</definedName>
    <definedName name="Insert_New_Page" localSheetId="15" hidden="0" function="0" vbProcedure="0">[44]!Insert_New_Page</definedName>
    <definedName name="Insert_New_Page_1" localSheetId="15" hidden="0" function="0" vbProcedure="0">[28]!Insert_New_Page</definedName>
    <definedName name="Insert_New_Page_10" localSheetId="15" hidden="0" function="0" vbProcedure="0">[28]!Insert_New_Page</definedName>
    <definedName name="Insert_New_Page_11" localSheetId="15" hidden="0" function="0" vbProcedure="0">[28]!Insert_New_Page</definedName>
    <definedName name="Insert_New_Page_2" localSheetId="15" hidden="0" function="0" vbProcedure="0">[28]!Insert_New_Page</definedName>
    <definedName name="Insert_New_Page_3" localSheetId="15" hidden="0" function="0" vbProcedure="0">[28]!Insert_New_Page</definedName>
    <definedName name="Insert_New_Page_4" localSheetId="15" hidden="0" function="0" vbProcedure="0">[28]!Insert_New_Page</definedName>
    <definedName name="Insert_New_Page_5" localSheetId="15" hidden="0" function="0" vbProcedure="0">[28]!Insert_New_Page</definedName>
    <definedName name="Insert_New_Page_6" localSheetId="15" hidden="0" function="0" vbProcedure="0">[28]!Insert_New_Page</definedName>
    <definedName name="Insert_New_Page_7" localSheetId="15" hidden="0" function="0" vbProcedure="0">[28]!Insert_New_Page</definedName>
    <definedName name="Insert_New_Page_8" localSheetId="15" hidden="0" function="0" vbProcedure="0">[28]!Insert_New_Page</definedName>
    <definedName name="Insert_New_Page_9" localSheetId="15" hidden="0" function="0" vbProcedure="0">[28]!Insert_New_Page</definedName>
    <definedName name="Inverse_Balloon_Area" localSheetId="15" hidden="0" function="0" vbProcedure="0">[109]Test!$M$19</definedName>
    <definedName name="isip" localSheetId="15" hidden="0" function="0" vbProcedure="0">[5]WTR!$G$41</definedName>
    <definedName name="Issue" localSheetId="15" hidden="0" function="0" vbProcedure="0">'[146]Title Page'!$Q$2:$Q$20</definedName>
    <definedName name="Item1" localSheetId="15" hidden="0" function="0" vbProcedure="0">INDEX(#ref!,0,MATCH('[59]ENG Input'!$A$12,Categories,0))</definedName>
    <definedName name="Item10" localSheetId="15" hidden="0" function="0" vbProcedure="0">INDEX(#ref!,0,MATCH('[59]ENG Input'!$A$128,Categories,0))</definedName>
    <definedName name="Item11" localSheetId="15" hidden="0" function="0" vbProcedure="0">INDEX(#ref!,0,MATCH('[59]ENG Input'!$A$139,Categories,0))</definedName>
    <definedName name="Item12" localSheetId="15" hidden="0" function="0" vbProcedure="0">INDEX(#ref!,0,MATCH('[59]ENG Input'!$A$155,Categories,0))</definedName>
    <definedName name="Item13" localSheetId="15" hidden="0" function="0" vbProcedure="0">INDEX(#ref!,0,MATCH('[59]ENG Input'!$A$171,Categories,0))</definedName>
    <definedName name="Item14" localSheetId="15" hidden="0" function="0" vbProcedure="0">INDEX(#ref!,0,MATCH('[59]ENG Input'!$A$182,Categories,0))</definedName>
    <definedName name="Item15" localSheetId="15" hidden="0" function="0" vbProcedure="0">INDEX(#ref!,0,MATCH('[59]ENG Input'!$A$193,Categories,0))</definedName>
    <definedName name="Item16" localSheetId="15" hidden="0" function="0" vbProcedure="0">INDEX(#ref!,0,MATCH('[59]ENG Input'!$A$204,Categories,0))</definedName>
    <definedName name="Item17" localSheetId="15" hidden="0" function="0" vbProcedure="0">INDEX(#ref!,0,MATCH('[59]ENG Input'!$A$215,Categories,0))</definedName>
    <definedName name="Item18" localSheetId="15" hidden="0" function="0" vbProcedure="0">INDEX(#ref!,0,MATCH('[59]ENG Input'!$A$226,Categories,0))</definedName>
    <definedName name="Item19" localSheetId="15" hidden="0" function="0" vbProcedure="0">INDEX(#ref!,0,MATCH('[59]ENG Input'!$A$237,Categories,0))</definedName>
    <definedName name="Item2" localSheetId="15" hidden="0" function="0" vbProcedure="0">INDEX(#ref!,0,MATCH('[59]ENG Input'!$A$32,Categories,0))</definedName>
    <definedName name="Item20" localSheetId="15" hidden="0" function="0" vbProcedure="0">INDEX(#ref!,0,MATCH('[59]ENG Input'!$A$248,Categories,0))</definedName>
    <definedName name="Item3" localSheetId="15" hidden="0" function="0" vbProcedure="0">INDEX(#ref!,0,MATCH('[59]ENG Input'!$A$48,Categories,0))</definedName>
    <definedName name="Item4" localSheetId="15" hidden="0" function="0" vbProcedure="0">INDEX(#ref!,0,MATCH('[59]ENG Input'!$A$59,Categories,0))</definedName>
    <definedName name="Item5" localSheetId="15" hidden="0" function="0" vbProcedure="0">INDEX(#ref!,0,MATCH('[59]ENG Input'!$A$73,Categories,0))</definedName>
    <definedName name="Item6" localSheetId="15" hidden="0" function="0" vbProcedure="0">INDEX(#ref!,0,MATCH('[59]ENG Input'!$A$84,Categories,0))</definedName>
    <definedName name="Item7" localSheetId="15" hidden="0" function="0" vbProcedure="0">INDEX(#ref!,0,MATCH('[59]ENG Input'!$A$95,Categories,0))</definedName>
    <definedName name="Item8" localSheetId="15" hidden="0" function="0" vbProcedure="0">INDEX(#ref!,0,MATCH('[59]ENG Input'!$A$106,Categories,0))</definedName>
    <definedName name="Item9" localSheetId="15" hidden="0" function="0" vbProcedure="0">INDEX(#ref!,0,MATCH('[59]ENG Input'!$A$117,Categories,0))</definedName>
    <definedName name="J" localSheetId="15" hidden="1" function="0" vbProcedure="0">#ref!</definedName>
    <definedName name="janrupees" localSheetId="15" hidden="0" function="0" vbProcedure="0">'[147]Cash Expense January-96'!$H$6</definedName>
    <definedName name="JEYJD" localSheetId="15" hidden="0" function="0" vbProcedure="0">'[146]tally checklist'!jeyjd</definedName>
    <definedName name="JK" localSheetId="15" hidden="0" function="0" vbProcedure="0">'[148]CSG13'!$B$5</definedName>
    <definedName name="JobCenterID" localSheetId="15" hidden="0" function="0" vbProcedure="0">'[94]Job Technical Info'!$C$10</definedName>
    <definedName name="JobEndDate" localSheetId="15" hidden="0" function="0" vbProcedure="0">'[144]job info sheet'!#ref!</definedName>
    <definedName name="JobNumber" localSheetId="15" hidden="0" function="0" vbProcedure="0">'[129]Front Page Info'!$C$4</definedName>
    <definedName name="jobpurpose1" localSheetId="15" hidden="0" function="0" vbProcedure="0">[132]Data!$L$1:$L$65536</definedName>
    <definedName name="JobType" localSheetId="15" hidden="0" function="0" vbProcedure="0">[6]Sheet1!$A$11:$A$16</definedName>
    <definedName name="Jobtype1" localSheetId="15" hidden="0" function="0" vbProcedure="0">[132]Data!$N$1:$N$65536</definedName>
    <definedName name="Job_date" localSheetId="15" hidden="0" function="0" vbProcedure="0">'[108]TCP-BHA'!$D$5</definedName>
    <definedName name="Job_Name" localSheetId="15" hidden="0" function="0" vbProcedure="0">'[30]Liner Job Info'!$E$5</definedName>
    <definedName name="Job_Type" localSheetId="15" hidden="0" function="0" vbProcedure="0">'[12]JCSI 12'!$AB$29:$AB$42</definedName>
    <definedName name="JointNumber" localSheetId="15" hidden="0" function="0" vbProcedure="0">[99]!JointNumber</definedName>
    <definedName name="JOYCE" localSheetId="15" hidden="1" function="0" vbProcedure="0">#ref!</definedName>
    <definedName name="JRJTRJT" localSheetId="15" hidden="0" function="0" vbProcedure="0">'[146]tally checklist'!jrjtrjt</definedName>
    <definedName name="JtCount" localSheetId="15" hidden="0" function="0" vbProcedure="0">'[79]casing talley'!#ref!</definedName>
    <definedName name="JTNFN" localSheetId="15" hidden="0" function="0" vbProcedure="0">'[146]tally checklist'!jtnfn</definedName>
    <definedName name="jun" localSheetId="15" hidden="1" function="0" vbProcedure="0">{#N/A,#N/A,FALSE,"Sheet1"}</definedName>
    <definedName name="June" localSheetId="15" hidden="1" function="0" vbProcedure="0">{#N/A,#N/A,FALSE,"Sheet1"}</definedName>
    <definedName name="June1" localSheetId="15" hidden="1" function="0" vbProcedure="0">{#N/A,#N/A,FALSE,"Sheet1"}</definedName>
    <definedName name="junk" localSheetId="15" hidden="0" function="0" vbProcedure="0">{#N/A,#N/A,FALSE,"Volume"}</definedName>
    <definedName name="junk1" localSheetId="15" hidden="0" function="0" vbProcedure="0">{#N/A,#N/A,FALSE,"Volume"}</definedName>
    <definedName name="junk2" localSheetId="15" hidden="0" function="0" vbProcedure="0">{#N/A,#N/A,FALSE,"Volume"}</definedName>
    <definedName name="junk3" localSheetId="15" hidden="0" function="0" vbProcedure="0">{#N/A,#N/A,FALSE,"Volume"}</definedName>
    <definedName name="junk4" localSheetId="15" hidden="0" function="0" vbProcedure="0">{#N/A,#N/A,FALSE,"Volume"}</definedName>
    <definedName name="k" localSheetId="15" hidden="1" function="0" vbProcedure="0">#ref!</definedName>
    <definedName name="Kill_Fluid_Type" localSheetId="15" hidden="0" function="0" vbProcedure="0">'[108]TCP-BHA'!$G$7</definedName>
    <definedName name="Kill_Fluid_Wt" localSheetId="15" hidden="0" function="0" vbProcedure="0">'[108]TCP-BHA'!$F$7</definedName>
    <definedName name="KK" localSheetId="15" hidden="0" function="0" vbProcedure="0">[28]!Macro1</definedName>
    <definedName name="KL" localSheetId="15" hidden="0" function="0" vbProcedure="0">[149]BHA!$C$4</definedName>
    <definedName name="KO" localSheetId="15" hidden="0" function="0" vbProcedure="0">'[148]CSG13'!$F$6</definedName>
    <definedName name="KRR" localSheetId="15" hidden="0" function="0" vbProcedure="0">'[146]tally checklist'!krr</definedName>
    <definedName name="KUYUKR" localSheetId="15" hidden="0" function="0" vbProcedure="0">'[146]tally checklist'!kuyukr</definedName>
    <definedName name="landoffshore" localSheetId="15" hidden="0" function="0" vbProcedure="0">[56]data!#ref!</definedName>
    <definedName name="LastCsgString" localSheetId="15" hidden="0" function="0" vbProcedure="0">[109]DATA!$AU$2:$AU$4</definedName>
    <definedName name="latlong" localSheetId="15" hidden="0" function="0" vbProcedure="0">'[126]Call Sheet'!$P$7</definedName>
    <definedName name="LC" localSheetId="15" hidden="0" function="0" vbProcedure="0">INDEX([111]DRAW!$J$13:$K$22,MATCH([112]AUTO_DHWS!$BC$4,[111]DRAW!$J$13:$J$22,0),2)</definedName>
    <definedName name="LCJobType" localSheetId="15" hidden="0" function="0" vbProcedure="0">'[94]Installation Results #1'!$C$306</definedName>
    <definedName name="LC_TYPE" localSheetId="15" hidden="0" function="0" vbProcedure="0">INDEX([111]DRAW!$P$68:$Q$70,MATCH([111]DRAW!$Q$67,[111]DRAW!$P$68:$P$70,0),2)</definedName>
    <definedName name="Lead_Slurry_in_12.25__OH" localSheetId="15" hidden="0" function="0" vbProcedure="0">'[150]Cmt Csg'!$C$6</definedName>
    <definedName name="lease" localSheetId="15" hidden="0" function="0" vbProcedure="0">[5]WTR!$I$6</definedName>
    <definedName name="Lease1" localSheetId="15" hidden="0" function="0" vbProcedure="0">'[108]TCP-BHA'!$A$7</definedName>
    <definedName name="Lengths" localSheetId="15"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5" hidden="0" function="0" vbProcedure="0">[125]Sheet2!$C$1:$C$5</definedName>
    <definedName name="Liner1_Burst" localSheetId="15" hidden="0" function="0" vbProcedure="0">'[109]Metric Conversions'!$B$45</definedName>
    <definedName name="Liner1_Burstz" localSheetId="15" hidden="0" function="0" vbProcedure="0">'[109]Liner Job Info'!$J$17</definedName>
    <definedName name="Liner1_Cap" localSheetId="15" hidden="0" function="0" vbProcedure="0">'[109]Liner Job Info'!$P$17</definedName>
    <definedName name="Liner1_Collapsez" localSheetId="15" hidden="0" function="0" vbProcedure="0">'[109]Liner Job Info'!$L$17</definedName>
    <definedName name="Liner1_ID" localSheetId="15" hidden="0" function="0" vbProcedure="0">'[109]Liner Job Info'!$D$17</definedName>
    <definedName name="Liner1_Length" localSheetId="15" hidden="0" function="0" vbProcedure="0">'[130]Metric Conversions'!$B$17</definedName>
    <definedName name="Liner1_Lengthz" localSheetId="15" hidden="0" function="0" vbProcedure="0">'[109]Liner Job Info'!$R$17</definedName>
    <definedName name="Liner1_OD" localSheetId="15" hidden="0" function="0" vbProcedure="0">'[130]Liner Job Info'!$C$17</definedName>
    <definedName name="Liner1_Thread" localSheetId="15" hidden="0" function="0" vbProcedure="0">'[130]Liner Job Info'!$H$17</definedName>
    <definedName name="Liner1_Wt_in_Mud" localSheetId="15" hidden="0" function="0" vbProcedure="0">'[109]Weight Calculations'!$H$16</definedName>
    <definedName name="Liner1_Wt_Per_Ft" localSheetId="15" hidden="0" function="0" vbProcedure="0">'[130]Liner Job Info'!$E$17</definedName>
    <definedName name="Liner2_Burst" localSheetId="15" hidden="0" function="0" vbProcedure="0">'[109]Metric Conversions'!$B$46</definedName>
    <definedName name="Liner2_Burstz" localSheetId="15" hidden="0" function="0" vbProcedure="0">'[109]Liner Job Info'!$J$18</definedName>
    <definedName name="Liner2_Cap" localSheetId="15" hidden="0" function="0" vbProcedure="0">'[109]Liner Job Info'!$P$18</definedName>
    <definedName name="Liner2_Collapsez" localSheetId="15" hidden="0" function="0" vbProcedure="0">'[109]Liner Job Info'!$L$18</definedName>
    <definedName name="Liner2_ID" localSheetId="15" hidden="0" function="0" vbProcedure="0">'[109]Liner Job Info'!$D$18</definedName>
    <definedName name="Liner2_Length" localSheetId="15" hidden="0" function="0" vbProcedure="0">'[130]Metric Conversions'!$B$18</definedName>
    <definedName name="Liner2_Lengthz" localSheetId="15" hidden="0" function="0" vbProcedure="0">'[109]Liner Job Info'!$R$18</definedName>
    <definedName name="Liner2_OD" localSheetId="15" hidden="0" function="0" vbProcedure="0">'[130]Liner Job Info'!$C$18</definedName>
    <definedName name="Liner2_Thread" localSheetId="15" hidden="0" function="0" vbProcedure="0">'[130]Liner Job Info'!$H$18</definedName>
    <definedName name="Liner2_Wt_in_Mud" localSheetId="15" hidden="0" function="0" vbProcedure="0">'[109]Weight Calculations'!$H$17</definedName>
    <definedName name="Liner2_Wt_Per_FT" localSheetId="15" hidden="0" function="0" vbProcedure="0">'[130]Liner Job Info'!$E$18</definedName>
    <definedName name="Linertype" localSheetId="15" hidden="0" function="0" vbProcedure="0">[109]DATA!$W$2:$W$12</definedName>
    <definedName name="Liner_I.D." localSheetId="15" hidden="0" function="0" vbProcedure="0">'[108]Job Calculation Sheet'!$F$14</definedName>
    <definedName name="Liner_ID_Area" localSheetId="15" hidden="0" function="0" vbProcedure="0">[109]Test!$V$40</definedName>
    <definedName name="Liner_Size" localSheetId="15" hidden="0" function="0" vbProcedure="0">'[108]Pre-Job Info Sheet'!$D$17</definedName>
    <definedName name="Liner_Top__MD" localSheetId="15" hidden="0" function="0" vbProcedure="0">'[108]Pre-Job Info Sheet'!$D$19</definedName>
    <definedName name="Liner_Weight" localSheetId="15" hidden="0" function="0" vbProcedure="0">'[108]Pre-Job Info Sheet'!$D$18</definedName>
    <definedName name="lkj" localSheetId="15" hidden="1" function="0" vbProcedure="0">#ref!</definedName>
    <definedName name="Lnr1_Grade" localSheetId="15" hidden="0" function="0" vbProcedure="0">'[130]Liner Job Info'!$F$17</definedName>
    <definedName name="Lnr1_Vol" localSheetId="15" hidden="0" function="0" vbProcedure="0">'[109]Metric Conversions'!$B$77</definedName>
    <definedName name="Lnr1_Volz" localSheetId="15" hidden="0" function="0" vbProcedure="0">'[109]Metric Conversions'!$C$77</definedName>
    <definedName name="Lnr1_X_OH_Volz" localSheetId="15" hidden="0" function="0" vbProcedure="0">'[109]Metric Conversions'!$C$82</definedName>
    <definedName name="Lnr2_Grade" localSheetId="15" hidden="0" function="0" vbProcedure="0">'[130]Liner Job Info'!$F$18</definedName>
    <definedName name="Lnr2_Vol" localSheetId="15" hidden="0" function="0" vbProcedure="0">'[109]Metric Conversions'!$B$78</definedName>
    <definedName name="Lnr2_Volz" localSheetId="15" hidden="0" function="0" vbProcedure="0">'[109]Metric Conversions'!$C$78</definedName>
    <definedName name="Lnr2_X_OH_Volz" localSheetId="15" hidden="0" function="0" vbProcedure="0">'[109]Metric Conversions'!$C$83</definedName>
    <definedName name="LnrDrift1" localSheetId="15" hidden="0" function="0" vbProcedure="0">'[94]Job Technical Info'!$G$29</definedName>
    <definedName name="LnrDrift2" localSheetId="15" hidden="0" function="0" vbProcedure="0">'[94]Job Technical Info'!$G$30</definedName>
    <definedName name="LnrGrd1" localSheetId="15" hidden="0" function="0" vbProcedure="0">'[94]Job Technical Info'!$H$29</definedName>
    <definedName name="LnrGrd2" localSheetId="15" hidden="0" function="0" vbProcedure="0">'[94]Job Technical Info'!$H$30</definedName>
    <definedName name="LnrID1" localSheetId="15" hidden="0" function="0" vbProcedure="0">'[94]Job Technical Info'!$F$29</definedName>
    <definedName name="LnrID2" localSheetId="15" hidden="0" function="0" vbProcedure="0">'[94]Job Technical Info'!$F$30</definedName>
    <definedName name="LnrSz1" localSheetId="15" hidden="0" function="0" vbProcedure="0">'[94]Job Technical Info'!$D$29</definedName>
    <definedName name="LnrSz2" localSheetId="15" hidden="0" function="0" vbProcedure="0">'[94]Job Technical Info'!$D$30</definedName>
    <definedName name="LnrThd1" localSheetId="15" hidden="0" function="0" vbProcedure="0">'[94]Job Technical Info'!$J$29</definedName>
    <definedName name="LnrThd2" localSheetId="15" hidden="0" function="0" vbProcedure="0">'[94]Job Technical Info'!$J$30</definedName>
    <definedName name="LnrWt1" localSheetId="15" hidden="0" function="0" vbProcedure="0">'[94]Job Technical Info'!$E$29</definedName>
    <definedName name="LnrWt2" localSheetId="15" hidden="0" function="0" vbProcedure="0">'[94]Job Technical Info'!$E$30</definedName>
    <definedName name="Lnr_Shoe_Depth" localSheetId="15" hidden="0" function="0" vbProcedure="0">'[130]Metric Conversions'!$B$29</definedName>
    <definedName name="Loaded" localSheetId="15" hidden="0" function="0" vbProcedure="0">'[108]Pre-Job Info Sheet'!$B$19</definedName>
    <definedName name="Location" localSheetId="15" hidden="0" function="0" vbProcedure="0">[63]auf_screen!#ref!</definedName>
    <definedName name="LOGGER" localSheetId="15" hidden="0" function="0" vbProcedure="0">[209]!Calculate_Pipe</definedName>
    <definedName name="loudout" localSheetId="15" hidden="1" function="0" vbProcedure="0">#ref!</definedName>
    <definedName name="LS" localSheetId="15" hidden="0" function="0" vbProcedure="0">'[196]amberjack a32ream'!#ref!</definedName>
    <definedName name="LSA" localSheetId="15" hidden="0" function="0" vbProcedure="0">[213]!Calculate_Pipe</definedName>
    <definedName name="LSD" localSheetId="15" hidden="0" function="0" vbProcedure="0">'[144]job info sheet'!#ref!</definedName>
    <definedName name="LTP" localSheetId="15" hidden="0" function="0" vbProcedure="0">INDEX([111]DRAW!$D$14:$E$15,MATCH([112]AUTO_DHWS!$BB$7,[111]DRAW!$D$14:$D$15,0),2)</definedName>
    <definedName name="M" localSheetId="15" hidden="1" function="0" vbProcedure="0">#ref!</definedName>
    <definedName name="Macro1" localSheetId="15" hidden="0" function="0" vbProcedure="0">[18]!Macro1</definedName>
    <definedName name="Macro2" localSheetId="15" hidden="0" function="0" vbProcedure="0">[28]!Macro2</definedName>
    <definedName name="Macro22" localSheetId="15" hidden="0" function="0" vbProcedure="0">[28]!Macro22</definedName>
    <definedName name="Macro22_1" localSheetId="15" hidden="0" function="0" vbProcedure="0">DHWS!Macro22</definedName>
    <definedName name="Macro22_10" localSheetId="15" hidden="0" function="0" vbProcedure="0">DHWS!Macro22</definedName>
    <definedName name="Macro22_11" localSheetId="15" hidden="0" function="0" vbProcedure="0">DHWS!Macro22</definedName>
    <definedName name="Macro22_2" localSheetId="15" hidden="0" function="0" vbProcedure="0">DHWS!Macro22</definedName>
    <definedName name="Macro22_3" localSheetId="15" hidden="0" function="0" vbProcedure="0">DHWS!Macro22</definedName>
    <definedName name="Macro22_4" localSheetId="15" hidden="0" function="0" vbProcedure="0">DHWS!Macro22</definedName>
    <definedName name="Macro22_5" localSheetId="15" hidden="0" function="0" vbProcedure="0">DHWS!Macro22</definedName>
    <definedName name="Macro22_6" localSheetId="15" hidden="0" function="0" vbProcedure="0">DHWS!Macro22</definedName>
    <definedName name="Macro22_7" localSheetId="15" hidden="0" function="0" vbProcedure="0">DHWS!Macro22</definedName>
    <definedName name="Macro22_8" localSheetId="15" hidden="0" function="0" vbProcedure="0">DHWS!Macro22</definedName>
    <definedName name="Macro22_9" localSheetId="15" hidden="0" function="0" vbProcedure="0">DHWS!Macro22</definedName>
    <definedName name="Macro233" localSheetId="15" hidden="0" function="0" vbProcedure="0">[28]!Macro1</definedName>
    <definedName name="Macro2_1" localSheetId="15" hidden="0" function="0" vbProcedure="0">DHWS!Macro2</definedName>
    <definedName name="Macro2_10" localSheetId="15" hidden="0" function="0" vbProcedure="0">DHWS!Macro2</definedName>
    <definedName name="Macro2_11" localSheetId="15" hidden="0" function="0" vbProcedure="0">DHWS!Macro2</definedName>
    <definedName name="Macro2_2" localSheetId="15" hidden="0" function="0" vbProcedure="0">DHWS!Macro2</definedName>
    <definedName name="Macro2_3" localSheetId="15" hidden="0" function="0" vbProcedure="0">DHWS!Macro2</definedName>
    <definedName name="Macro2_4" localSheetId="15" hidden="0" function="0" vbProcedure="0">DHWS!Macro2</definedName>
    <definedName name="Macro2_5" localSheetId="15" hidden="0" function="0" vbProcedure="0">DHWS!Macro2</definedName>
    <definedName name="Macro2_6" localSheetId="15" hidden="0" function="0" vbProcedure="0">DHWS!Macro2</definedName>
    <definedName name="Macro2_7" localSheetId="15" hidden="0" function="0" vbProcedure="0">DHWS!Macro2</definedName>
    <definedName name="Macro2_8" localSheetId="15" hidden="0" function="0" vbProcedure="0">DHWS!Macro2</definedName>
    <definedName name="Macro2_9" localSheetId="15" hidden="0" function="0" vbProcedure="0">DHWS!Macro2</definedName>
    <definedName name="Macro3" localSheetId="15" hidden="0" function="0" vbProcedure="0">[28]!Macro3</definedName>
    <definedName name="Macro3_1" localSheetId="15" hidden="0" function="0" vbProcedure="0">DHWS!Macro3</definedName>
    <definedName name="Macro3_10" localSheetId="15" hidden="0" function="0" vbProcedure="0">DHWS!Macro3</definedName>
    <definedName name="Macro3_11" localSheetId="15" hidden="0" function="0" vbProcedure="0">DHWS!Macro3</definedName>
    <definedName name="Macro3_2" localSheetId="15" hidden="0" function="0" vbProcedure="0">DHWS!Macro3</definedName>
    <definedName name="Macro3_3" localSheetId="15" hidden="0" function="0" vbProcedure="0">DHWS!Macro3</definedName>
    <definedName name="Macro3_4" localSheetId="15" hidden="0" function="0" vbProcedure="0">DHWS!Macro3</definedName>
    <definedName name="Macro3_5" localSheetId="15" hidden="0" function="0" vbProcedure="0">DHWS!Macro3</definedName>
    <definedName name="Macro3_6" localSheetId="15" hidden="0" function="0" vbProcedure="0">DHWS!Macro3</definedName>
    <definedName name="Macro3_7" localSheetId="15" hidden="0" function="0" vbProcedure="0">DHWS!Macro3</definedName>
    <definedName name="Macro3_8" localSheetId="15" hidden="0" function="0" vbProcedure="0">DHWS!Macro3</definedName>
    <definedName name="Macro3_9" localSheetId="15" hidden="0" function="0" vbProcedure="0">DHWS!Macro3</definedName>
    <definedName name="Make_Up_Torque_Of_Weak_Link" localSheetId="15" hidden="0" function="0" vbProcedure="0">'[109]Liner Job Info'!$P$50</definedName>
    <definedName name="MaPSDensity" localSheetId="15" hidden="0" function="0" vbProcedure="0">'[94]SetUp Tab'!$G$25</definedName>
    <definedName name="MaPSDiameter" localSheetId="15" hidden="0" function="0" vbProcedure="0">'[94]SetUp Tab'!$G$23</definedName>
    <definedName name="MaPSFlowRate" localSheetId="15" hidden="0" function="0" vbProcedure="0">'[94]SetUp Tab'!$G$26</definedName>
    <definedName name="MaPSLength" localSheetId="15" hidden="0" function="0" vbProcedure="0">'[94]SetUp Tab'!$E$23</definedName>
    <definedName name="MaPSMass" localSheetId="15" hidden="0" function="0" vbProcedure="0">[94]Lists!$BJ$3</definedName>
    <definedName name="MaPSPressure" localSheetId="15" hidden="0" function="0" vbProcedure="0">'[94]SetUp Tab'!$G$24</definedName>
    <definedName name="MaPSTemp" localSheetId="15" hidden="0" function="0" vbProcedure="0">'[94]SetUp Tab'!$E$26</definedName>
    <definedName name="MaPSWeight" localSheetId="15" hidden="0" function="0" vbProcedure="0">'[94]SetUp Tab'!$E$24</definedName>
    <definedName name="marrupees" localSheetId="15" hidden="0" function="0" vbProcedure="0">'[152]Cash Expsense March-96'!$H$6</definedName>
    <definedName name="Material" localSheetId="15" hidden="0" function="0" vbProcedure="0">[109]DATA!$I$3:$I$22</definedName>
    <definedName name="Max._Deviation" localSheetId="15" hidden="0" function="0" vbProcedure="0">'[108]Pre-Job Info Sheet'!$B$36</definedName>
    <definedName name="MaxDev" localSheetId="15" hidden="0" function="0" vbProcedure="0">'[94]Job Technical Info'!$F$41</definedName>
    <definedName name="Max_Bump_psi" localSheetId="15" hidden="0" function="0" vbProcedure="0">'[109]Metric Conversions'!$B$59</definedName>
    <definedName name="Max_Bump_psiz" localSheetId="15" hidden="0" function="0" vbProcedure="0">'[109]Metric Conversions'!$C$59</definedName>
    <definedName name="Max_Test_Cmt_Setup" localSheetId="15" hidden="0" function="0" vbProcedure="0">'[109]Metric Conversions'!$B$62</definedName>
    <definedName name="Max_Test_Cmt_Setupz" localSheetId="15" hidden="0" function="0" vbProcedure="0">'[109]Metric Conversions'!$C$62</definedName>
    <definedName name="Max_Test_Seals_In" localSheetId="15" hidden="0" function="0" vbProcedure="0">'[109]Metric Conversions'!$B$61</definedName>
    <definedName name="Max_Test_Seals_Inz" localSheetId="15" hidden="0" function="0" vbProcedure="0">'[109]Metric Conversions'!$C$61</definedName>
    <definedName name="Max_test_seals_out" localSheetId="15" hidden="0" function="0" vbProcedure="0">'[109]Metric Conversions'!$B$60</definedName>
    <definedName name="Max_test_seals_outz" localSheetId="15" hidden="0" function="0" vbProcedure="0">'[109]Metric Conversions'!$C$60</definedName>
    <definedName name="Max_Turns" localSheetId="15" hidden="0" function="0" vbProcedure="0">'[109]Weight Calculations'!$T$36</definedName>
    <definedName name="MDData" localSheetId="15" hidden="0" function="0" vbProcedure="0">OFFSET([28]!MDForInclination,2,0,COUNT(#ref!),1)</definedName>
    <definedName name="MeteringTime" localSheetId="15" hidden="0" function="0" vbProcedure="0">[109]DATA!$BG$2:$BG$42</definedName>
    <definedName name="Min._Ten_Sett_Tool_Assy" localSheetId="15" hidden="0" function="0" vbProcedure="0">'[109]Weight Calculations'!$S$60</definedName>
    <definedName name="Min_DP_Tens" localSheetId="15" hidden="0" function="0" vbProcedure="0">'[109]Weight Calculations'!$W$61</definedName>
    <definedName name="Min_Ft_Release_RH" localSheetId="15" hidden="0" function="0" vbProcedure="0">'[109]Metric Conversions'!$B$39</definedName>
    <definedName name="Min_Ft_Release_RHz" localSheetId="15" hidden="0" function="0" vbProcedure="0">'[109]Metric Conversions'!$C$39</definedName>
    <definedName name="mobile" localSheetId="15" hidden="0" function="0" vbProcedure="0">'[126]Call Sheet'!$R$5</definedName>
    <definedName name="Module1.draw_productionfirst" localSheetId="15" hidden="0" function="0" vbProcedure="0">'[146]tally checklist'!module1.draw_productionfirst</definedName>
    <definedName name="Module1.draw_productionsecond" localSheetId="15" hidden="0" function="0" vbProcedure="0">'[146]tally checklist'!module1.draw_productionsecond</definedName>
    <definedName name="Module1.impdwg" localSheetId="15" hidden="0" function="0" vbProcedure="0">[28]!Module1.impdwg</definedName>
    <definedName name="Module1.impdwg_1" localSheetId="15" hidden="0" function="0" vbProcedure="0">DHWS!Module1.impdwg</definedName>
    <definedName name="Module1.impdwg_10" localSheetId="15" hidden="0" function="0" vbProcedure="0">DHWS!Module1.impdwg</definedName>
    <definedName name="Module1.impdwg_11" localSheetId="15" hidden="0" function="0" vbProcedure="0">DHWS!Module1.impdwg</definedName>
    <definedName name="Module1.impdwg_2" localSheetId="15" hidden="0" function="0" vbProcedure="0">DHWS!Module1.impdwg</definedName>
    <definedName name="Module1.impdwg_3" localSheetId="15" hidden="0" function="0" vbProcedure="0">DHWS!Module1.impdwg</definedName>
    <definedName name="Module1.impdwg_4" localSheetId="15" hidden="0" function="0" vbProcedure="0">DHWS!Module1.impdwg</definedName>
    <definedName name="Module1.impdwg_5" localSheetId="15" hidden="0" function="0" vbProcedure="0">DHWS!Module1.impdwg</definedName>
    <definedName name="Module1.impdwg_6" localSheetId="15" hidden="0" function="0" vbProcedure="0">DHWS!Module1.impdwg</definedName>
    <definedName name="Module1.impdwg_7" localSheetId="15" hidden="0" function="0" vbProcedure="0">DHWS!Module1.impdwg</definedName>
    <definedName name="Module1.impdwg_8" localSheetId="15" hidden="0" function="0" vbProcedure="0">DHWS!Module1.impdwg</definedName>
    <definedName name="Module1.impdwg_9" localSheetId="15" hidden="0" function="0" vbProcedure="0">DHWS!Module1.impdwg</definedName>
    <definedName name="Module4.drawblanks" localSheetId="15" hidden="0" function="0" vbProcedure="0">'[146]tally checklist'!module4.drawblanks</definedName>
    <definedName name="Module4.drawlinerfirst" localSheetId="15" hidden="0" function="0" vbProcedure="0">'[146]tally checklist'!module4.drawlinerfirst</definedName>
    <definedName name="Module4.drawlinersecond" localSheetId="15" hidden="0" function="0" vbProcedure="0">'[146]tally checklist'!module4.drawlinersecond</definedName>
    <definedName name="Module4.drawmiscellaneous" localSheetId="15" hidden="0" function="0" vbProcedure="0">'[146]tally checklist'!module4.drawmiscellaneous</definedName>
    <definedName name="Module4.drawproductionfirst" localSheetId="15" hidden="0" function="0" vbProcedure="0">'[146]tally checklist'!module4.drawproductionfirst</definedName>
    <definedName name="Module4.drawproductionsecond" localSheetId="15" hidden="0" function="0" vbProcedure="0">'[146]tally checklist'!module4.drawproductionsecond</definedName>
    <definedName name="Module4.drawquantum" localSheetId="15" hidden="0" function="0" vbProcedure="0">'[146]tally checklist'!module4.drawquantum</definedName>
    <definedName name="Module4.drawscreens" localSheetId="15" hidden="0" function="0" vbProcedure="0">'[146]tally checklist'!module4.drawscreens</definedName>
    <definedName name="Module4.drawshearsubs" localSheetId="15" hidden="0" function="0" vbProcedure="0">'[146]tally checklist'!module4.drawshearsubs</definedName>
    <definedName name="Module4.drawsump" localSheetId="15" hidden="0" function="0" vbProcedure="0">'[146]tally checklist'!module4.drawsump</definedName>
    <definedName name="Module4.textfive" localSheetId="15" hidden="0" function="0" vbProcedure="0">'[146]tally checklist'!module4.textfive</definedName>
    <definedName name="Module4.textfivehalf" localSheetId="15" hidden="0" function="0" vbProcedure="0">'[146]tally checklist'!module4.textfivehalf</definedName>
    <definedName name="Module4.textninefiveeightfourfirst" localSheetId="15" hidden="0" function="0" vbProcedure="0">'[146]tally checklist'!module4.textninefiveeightfourfirst</definedName>
    <definedName name="Module4.textninefiveeightfoursecond" localSheetId="15" hidden="0" function="0" vbProcedure="0">'[146]tally checklist'!module4.textninefiveeightfoursecond</definedName>
    <definedName name="Module4.textninefiveeightsixfirst" localSheetId="15" hidden="0" function="0" vbProcedure="0">'[146]tally checklist'!module4.textninefiveeightsixfirst</definedName>
    <definedName name="Module4.textninefiveeightsixsecond" localSheetId="15" hidden="0" function="0" vbProcedure="0">'[146]tally checklist'!module4.textninefiveeightsixsecond</definedName>
    <definedName name="Module4.textsevenfiveeightfour" localSheetId="15" hidden="0" function="0" vbProcedure="0">'[146]tally checklist'!module4.textsevenfiveeightfour</definedName>
    <definedName name="Module4.textsevenfiveeightthree" localSheetId="15" hidden="0" function="0" vbProcedure="0">'[146]tally checklist'!module4.textsevenfiveeightthree</definedName>
    <definedName name="Module4.textsevenfour" localSheetId="15" hidden="0" function="0" vbProcedure="0">'[146]tally checklist'!module4.textsevenfour</definedName>
    <definedName name="Module4.textseventhree" localSheetId="15" hidden="0" function="0" vbProcedure="0">'[146]tally checklist'!module4.textseventhree</definedName>
    <definedName name="Month" localSheetId="15" hidden="0" function="0" vbProcedure="0">[63]auf_screen!#ref!</definedName>
    <definedName name="MorningReport" localSheetId="15" hidden="0" function="0" vbProcedure="0">'[218]morning report'!#ref!</definedName>
    <definedName name="mr" localSheetId="15" hidden="1" function="0" vbProcedure="0">{#N/A,#N/A,FALSE,"Sheet1"}</definedName>
    <definedName name="Mudtype" localSheetId="15" hidden="0" function="0" vbProcedure="0">[109]DATA!$N$2:$N$18</definedName>
    <definedName name="Mudwt" localSheetId="15" hidden="0" function="0" vbProcedure="0">"Dialog2_Edit Box 5"</definedName>
    <definedName name="Mud_Type" localSheetId="15" hidden="0" function="0" vbProcedure="0">'[7]Drop-Down Items'!$D$4:$D$14</definedName>
    <definedName name="Mud_Wt" localSheetId="15" hidden="0" function="0" vbProcedure="0">'[130]Metric Conversions'!$B$66</definedName>
    <definedName name="Mud_Wtz" localSheetId="15" hidden="0" function="0" vbProcedure="0">'[109]Liner Job Info'!$D$31</definedName>
    <definedName name="MULE_SHOE_DEPTH" localSheetId="15" hidden="0" function="0" vbProcedure="0">'[113]#REF'!$F$182</definedName>
    <definedName name="MW" localSheetId="15" hidden="0" function="0" vbProcedure="0">#ref!,#ref!,#ref!,#ref!,#ref!</definedName>
    <definedName name="MWD" localSheetId="15" hidden="0" function="0" vbProcedure="0">[6]Sheet1!$F$10:$F$12</definedName>
    <definedName name="m_choke" localSheetId="15" hidden="0" function="0" vbProcedure="0">'[96]well test sheet'!#ref!</definedName>
    <definedName name="n" localSheetId="15" hidden="0" function="0" vbProcedure="0">'[146]tally checklist'!n</definedName>
    <definedName name="N2_Precharge" localSheetId="15" hidden="0" function="0" vbProcedure="0">'[108]Tester Valve Calcs'!$F$16</definedName>
    <definedName name="N2_Press_DH" localSheetId="15" hidden="0" function="0" vbProcedure="0">'[108]Tester Valve Calcs'!$F$29</definedName>
    <definedName name="N2_Stroke" localSheetId="15" hidden="0" function="0" vbProcedure="0">'[108]Tester Valve Calcs'!$M$18</definedName>
    <definedName name="N2_Temp_DH" localSheetId="15" hidden="0" function="0" vbProcedure="0">'[108]Tester Valve Calcs'!$F$22</definedName>
    <definedName name="N2_Temp_Surf" localSheetId="15" hidden="0" function="0" vbProcedure="0">'[108]Tester Valve Calcs'!$F$17</definedName>
    <definedName name="N2_Vol_DH" localSheetId="15" hidden="0" function="0" vbProcedure="0">'[108]Tester Valve Calcs'!$F$25</definedName>
    <definedName name="N2_Vol_Surf" localSheetId="15" hidden="0" function="0" vbProcedure="0">'[108]Tester Valve Calcs'!$F$14</definedName>
    <definedName name="nb" localSheetId="15" hidden="0" function="0" vbProcedure="0">'[134]井口装置示意图-4'!$E$1:$E$65536</definedName>
    <definedName name="netperf" localSheetId="15" hidden="0" function="0" vbProcedure="0">[5]WTR!$G$33</definedName>
    <definedName name="NET_PERFS" localSheetId="15" hidden="0" function="0" vbProcedure="0">'[113]#REF'!$F$20</definedName>
    <definedName name="NewData" localSheetId="15" hidden="0" function="0" vbProcedure="0">'[132]New Contract'!$A$1:$G$65536</definedName>
    <definedName name="NewDes" localSheetId="15" hidden="0" function="0" vbProcedure="0">'[132]New Contract'!$A$1:$A$65536</definedName>
    <definedName name="newrisk" localSheetId="15" hidden="0" function="0" vbProcedure="0">[125]Sheet2!$D$1:$D$3</definedName>
    <definedName name="NextTD" localSheetId="15" hidden="0" function="0" vbProcedure="0">'[153]Lookahd EA'!$E$1:$N$3</definedName>
    <definedName name="ng"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5" hidden="0" function="0" vbProcedure="0">'[7]#ref'!#ref!</definedName>
    <definedName name="No" localSheetId="15" hidden="0" function="0" vbProcedure="0">'[154]BPR LOG'!$A$1:$A$1048576</definedName>
    <definedName name="NOofTools" localSheetId="15" hidden="0" function="0" vbProcedure="0">[109]DATA!$BP$2:$BP$12</definedName>
    <definedName name="O" localSheetId="15" hidden="0" function="0" vbProcedure="0">'[155]Report Long(Esso)'!$E$4</definedName>
    <definedName name="odcasing" localSheetId="15" hidden="0" function="0" vbProcedure="0">[106]Data!$J$16</definedName>
    <definedName name="ODSizes" localSheetId="15" hidden="0" function="0" vbProcedure="0">[94]Lists!$AF$3:$AF$42</definedName>
    <definedName name="ODUnit" localSheetId="15" hidden="0" function="0" vbProcedure="0">'[94]Job Technical Info'!$D$24</definedName>
    <definedName name="odworkstring" localSheetId="15" hidden="0" function="0" vbProcedure="0">[106]Data!$W$18</definedName>
    <definedName name="office" localSheetId="15" hidden="0" function="0" vbProcedure="0">'[126]Call Sheet'!$AH$5</definedName>
    <definedName name="Offshore_Block" localSheetId="15" hidden="0" function="0" vbProcedure="0">'[108]TCP-BHA'!$A$9</definedName>
    <definedName name="ogr" localSheetId="15" hidden="0" function="0" vbProcedure="0">'[156]Test Data'!$T$8:$T$16,'[156]Test Data'!$T$18:$T$122,'[156]Test Data'!$T$132:$T$247</definedName>
    <definedName name="OHoleID" localSheetId="15" hidden="0" function="0" vbProcedure="0">'[94]Job Technical Info'!$B$40</definedName>
    <definedName name="OHoleLength" localSheetId="15" hidden="0" function="0" vbProcedure="0">'[94]Job Technical Info'!$D$40</definedName>
    <definedName name="OH_Dia" localSheetId="15" hidden="0" function="0" vbProcedure="0">'[109]Liner Job Info'!$Q$14</definedName>
    <definedName name="oilrate" localSheetId="15" hidden="0" function="0" vbProcedure="0">'[96]well test sheet'!#ref!</definedName>
    <definedName name="oil_cumm" localSheetId="15" hidden="0" function="0" vbProcedure="0">'[96]well test sheet'!#ref!</definedName>
    <definedName name="omdo"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5" hidden="0" function="0" vbProcedure="0">'[157]Initial Tally'!$G$4</definedName>
    <definedName name="onefive" localSheetId="15" hidden="0" function="0" vbProcedure="0">[56]data!#ref!</definedName>
    <definedName name="OP_1" localSheetId="15" hidden="0" function="0" vbProcedure="0">[158]Data!$F$1:$F$3</definedName>
    <definedName name="Overbalance" localSheetId="15" hidden="0" function="0" vbProcedure="0">'[108]Pre-Job Info Sheet'!$D$34</definedName>
    <definedName name="Overlap" localSheetId="15" hidden="0" function="0" vbProcedure="0">'[109]Metric Conversions'!$B$16</definedName>
    <definedName name="Overlapz" localSheetId="15" hidden="0" function="0" vbProcedure="0">'[109]Liner Job Info'!$R$14</definedName>
    <definedName name="Overlap_Volz" localSheetId="15" hidden="0" function="0" vbProcedure="0">'[109]Metric Conversions'!$C$84</definedName>
    <definedName name="P" localSheetId="15" hidden="1" function="0" vbProcedure="0">{#N/A,#N/A,FALSE,"Drlg Param Run 1-1";#N/A,#N/A,FALSE,"DDR (3)";#N/A,#N/A,FALSE,"BHA AT (1)";#N/A,#N/A,FALSE,"Downlinkbha";#N/A,#N/A,FALSE,"Job Status Report"}</definedName>
    <definedName name="PACKER" localSheetId="15" hidden="0" function="0" vbProcedure="0">INDEX([111]DRAW!$A$2:$B$13,MATCH([112]AUTO_DHWS!$AV$8,[111]DRAW!$A$2:$A$13,0),2)</definedName>
    <definedName name="PackerDepth" localSheetId="15" hidden="0" function="0" vbProcedure="0">'[79]casing talley'!#ref!</definedName>
    <definedName name="PACKER_2" localSheetId="15" hidden="0" function="0" vbProcedure="0">INDEX([111]DRAW!$D$13:$E$14,MATCH([112]AUTO_DHWS!$AV$12,[111]DRAW!$D$13:$D$14,0),2)</definedName>
    <definedName name="Packer_Rotation" localSheetId="15" hidden="0" function="0" vbProcedure="0">'[109]Liner Job Info'!$P$40</definedName>
    <definedName name="Packer_Set_In" localSheetId="15" hidden="0" function="0" vbProcedure="0">'[108]Pre-Job Info Sheet'!$D$22</definedName>
    <definedName name="PackOff" localSheetId="15" hidden="0" function="0" vbProcedure="0">[109]DATA!$AP$2:$AP$6</definedName>
    <definedName name="PackoffXDP1_Pist_Area" localSheetId="15" hidden="0" function="0" vbProcedure="0">'[109]Liner Job Info'!$AF$2</definedName>
    <definedName name="PackoffXDP2_Pist_Area" localSheetId="15" hidden="0" function="0" vbProcedure="0">'[109]Liner Job Info'!$AF$3</definedName>
    <definedName name="PackoffXDP3_Pist_Area" localSheetId="15" hidden="0" function="0" vbProcedure="0">'[109]Liner Job Info'!$AG$28</definedName>
    <definedName name="PackoffXDP4_Pist_Area" localSheetId="15" hidden="0" function="0" vbProcedure="0">'[109]Liner Job Info'!$AG$29</definedName>
    <definedName name="PackoffXDP5_Pist_Area" localSheetId="15" hidden="0" function="0" vbProcedure="0">'[109]Liner Job Info'!$AG$30</definedName>
    <definedName name="Packoff_Pist_Area" localSheetId="15" hidden="0" function="0" vbProcedure="0">'[109]Liner Job Info'!$AG$31</definedName>
    <definedName name="Packoff_Stinger_OD" localSheetId="15" hidden="0" function="0" vbProcedure="0">'[109]Liner Job Info'!$P$42</definedName>
    <definedName name="Para3" localSheetId="15" hidden="1" function="0" vbProcedure="0">{#N/A,#N/A,FALSE,"Drlg Param Run 1-1";#N/A,#N/A,FALSE,"DDR (3)";#N/A,#N/A,FALSE,"BHA AT (1)";#N/A,#N/A,FALSE,"Downlinkbha";#N/A,#N/A,FALSE,"Job Status Report"}</definedName>
    <definedName name="Parish" localSheetId="15" hidden="0" function="0" vbProcedure="0">'[108]TCP-BHA'!$C$9</definedName>
    <definedName name="Parish_County" localSheetId="15" hidden="0" function="0" vbProcedure="0">'[108]Pre-Job Info Sheet'!$D$9</definedName>
    <definedName name="PBTD" localSheetId="15" hidden="0" function="0" vbProcedure="0">'[79]casing talley'!#ref!</definedName>
    <definedName name="Pckr_Body_Bst" localSheetId="15" hidden="0" function="0" vbProcedure="0">'[109]Metric Conversions'!$B$52</definedName>
    <definedName name="Pckr_Body_Bstz" localSheetId="15" hidden="0" function="0" vbProcedure="0">'[109]Liner Job Info'!$P$32</definedName>
    <definedName name="Pckr_Body_Collz" localSheetId="15" hidden="0" function="0" vbProcedure="0">'[109]Liner Job Info'!$P$33</definedName>
    <definedName name="Pckr_Body_Tens" localSheetId="15" hidden="0" function="0" vbProcedure="0">'[109]Liner Job Info'!$P$34</definedName>
    <definedName name="Pckr_Seal_Surf_OD" localSheetId="15" hidden="0" function="0" vbProcedure="0">'[109]Liner Job Info'!$P$31</definedName>
    <definedName name="Pckr_Sett_Force" localSheetId="15" hidden="0" function="0" vbProcedure="0">'[109]Liner Job Info'!$P$39</definedName>
    <definedName name="PDHG_2" localSheetId="15" hidden="0" function="0" vbProcedure="0">INDEX([111]DRAW!$A$2:$B$13,MATCH([112]AUTO_DHWS!$AV$13,[111]DRAW!$A$2:$A$13,0),2)</definedName>
    <definedName name="PD_SOFTWARE" localSheetId="15" hidden="0" function="0" vbProcedure="0">[129]RSS!$J$148:$J$152</definedName>
    <definedName name="PD_STAB" localSheetId="15" hidden="0" function="0" vbProcedure="0">[129]RSS!$R$131:$R$160</definedName>
    <definedName name="PEIGHT_TOTAL" localSheetId="15" hidden="0" function="0" vbProcedure="0">[241]index!#ref!</definedName>
    <definedName name="Perf._Interval" localSheetId="15" hidden="0" function="0" vbProcedure="0">'[108]Pre-Job Info Sheet'!$B$17</definedName>
    <definedName name="Perf._Interval_2" localSheetId="15" hidden="0" function="0" vbProcedure="0">'[108]Pre-Job Info Sheet'!$B$18</definedName>
    <definedName name="perfbottom" localSheetId="15" hidden="0" function="0" vbProcedure="0">[5]WTR!$I$32</definedName>
    <definedName name="PerfDepth" localSheetId="15" hidden="0" function="0" vbProcedure="0">'[79]casing talley'!#ref!</definedName>
    <definedName name="perftop" localSheetId="15" hidden="0" function="0" vbProcedure="0">[5]WTR!$G$32</definedName>
    <definedName name="PERF_BOTTOM" localSheetId="15" hidden="0" function="0" vbProcedure="0">'[113]#REF'!$H$19</definedName>
    <definedName name="PERF_SLURRY" localSheetId="15" hidden="0" function="0" vbProcedure="0">'[113]#REF'!$H$198</definedName>
    <definedName name="PERF_TOP" localSheetId="15" hidden="0" function="0" vbProcedure="0">'[113]#REF'!$F$19</definedName>
    <definedName name="PERF_VOL" localSheetId="15" hidden="0" function="0" vbProcedure="0">'[113]#REF'!$J$12</definedName>
    <definedName name="perm" localSheetId="15" hidden="0" function="0" vbProcedure="0">[106]Data!$G$56</definedName>
    <definedName name="perm1" localSheetId="15" hidden="0" function="0" vbProcedure="0">[106]Data!$G$57</definedName>
    <definedName name="Personnel1" localSheetId="15" hidden="0" function="0" vbProcedure="0">[132]Data!$P$1:$P$65536</definedName>
    <definedName name="PFIVE_TOTAL" localSheetId="15" hidden="0" function="0" vbProcedure="0">[241]index!#ref!</definedName>
    <definedName name="PFOUR_TOTAL" localSheetId="15" hidden="0" function="0" vbProcedure="0">[241]index!#ref!</definedName>
    <definedName name="Phasing" localSheetId="15" hidden="0" function="0" vbProcedure="0">'[108]Pre-Job Info Sheet'!$B$23</definedName>
    <definedName name="Phone" localSheetId="15" hidden="0" function="0" vbProcedure="0">'[117]Well Installation Drawing'!$K$11</definedName>
    <definedName name="pick1_958x475_system" localSheetId="15" hidden="0" function="0" vbProcedure="0">'[146]tally checklist'!pick1_958x475_system</definedName>
    <definedName name="pick1_958x6_system" localSheetId="15" hidden="0" function="0" vbProcedure="0">'[146]tally checklist'!pick1_958x6_system</definedName>
    <definedName name="pick1_production" localSheetId="15" hidden="0" function="0" vbProcedure="0">'[146]tally checklist'!pick1_production</definedName>
    <definedName name="pick2_958x475_system" localSheetId="15" hidden="0" function="0" vbProcedure="0">'[146]tally checklist'!pick2_958x475_system</definedName>
    <definedName name="pick2_958x6_system" localSheetId="15" hidden="0" function="0" vbProcedure="0">'[146]tally checklist'!pick2_958x6_system</definedName>
    <definedName name="pick2_production" localSheetId="15" hidden="0" function="0" vbProcedure="0">'[146]tally checklist'!pick2_production</definedName>
    <definedName name="pick_512_system" localSheetId="15" hidden="0" function="0" vbProcedure="0">'[146]tally checklist'!pick_512_system</definedName>
    <definedName name="pick_5_system" localSheetId="15" hidden="0" function="0" vbProcedure="0">'[146]tally checklist'!pick_5_system</definedName>
    <definedName name="pick_758x314_system" localSheetId="15" hidden="0" function="0" vbProcedure="0">'[146]tally checklist'!pick_758x314_system</definedName>
    <definedName name="pick_758x4_system" localSheetId="15" hidden="0" function="0" vbProcedure="0">'[146]tally checklist'!pick_758x4_system</definedName>
    <definedName name="pick_7x314_system" localSheetId="15" hidden="0" function="0" vbProcedure="0">'[146]tally checklist'!pick_7x314_system</definedName>
    <definedName name="pick_7x4_system" localSheetId="15" hidden="0" function="0" vbProcedure="0">'[146]tally checklist'!pick_7x4_system</definedName>
    <definedName name="pick_blanks" localSheetId="15" hidden="0" function="0" vbProcedure="0">'[146]tally checklist'!pick_blanks</definedName>
    <definedName name="pick_liner" localSheetId="15" hidden="0" function="0" vbProcedure="0">'[146]tally checklist'!pick_liner</definedName>
    <definedName name="pick_liner2" localSheetId="15" hidden="0" function="0" vbProcedure="0">'[146]tally checklist'!pick_liner2</definedName>
    <definedName name="pick_miscellaneous" localSheetId="15" hidden="0" function="0" vbProcedure="0">'[146]tally checklist'!pick_miscellaneous</definedName>
    <definedName name="pick_quantum" localSheetId="15" hidden="0" function="0" vbProcedure="0">'[146]tally checklist'!pick_quantum</definedName>
    <definedName name="pick_screens" localSheetId="15" hidden="0" function="0" vbProcedure="0">'[146]tally checklist'!pick_screens</definedName>
    <definedName name="pick_shearsubs" localSheetId="15" hidden="0" function="0" vbProcedure="0">'[146]tally checklist'!pick_shearsubs</definedName>
    <definedName name="pick_sump" localSheetId="15" hidden="0" function="0" vbProcedure="0">'[146]tally checklist'!pick_sump</definedName>
    <definedName name="PistArea_Packoff_to_DP_OD" localSheetId="15" hidden="0" function="0" vbProcedure="0">[109]Test!$M$16</definedName>
    <definedName name="Piston_Disp" localSheetId="15" hidden="0" function="0" vbProcedure="0">'[108]Tester Valve Calcs'!$M$16</definedName>
    <definedName name="Pist_Area_Csg_ID_to_DP1_OD" localSheetId="15" hidden="0" function="0" vbProcedure="0">[109]Test!$U$26</definedName>
    <definedName name="Pist_Area_Csg_ID_to_DP2_OD" localSheetId="15" hidden="0" function="0" vbProcedure="0">[109]Test!$U$27</definedName>
    <definedName name="Pist_Area_Csg_ID_to_DP3_OD" localSheetId="15" hidden="0" function="0" vbProcedure="0">[109]Test!$U$28</definedName>
    <definedName name="Pist_Area_Csg_ID_to_DP4_OD" localSheetId="15" hidden="0" function="0" vbProcedure="0">[109]Test!$U$29</definedName>
    <definedName name="Pist_Area_Csg_ID_to_DP5_OD" localSheetId="15" hidden="0" function="0" vbProcedure="0">[109]Test!$U$30</definedName>
    <definedName name="Pist_Area_from_CsgID_to_Packoff_OD" localSheetId="15" hidden="0" function="0" vbProcedure="0">[109]Test!$M$14</definedName>
    <definedName name="Pist_Area_PackoffOD_DP2_OD" localSheetId="15" hidden="0" function="0" vbProcedure="0">[109]Test!$Y$27</definedName>
    <definedName name="Pist_Area_PackoffOD_DP4_OD" localSheetId="15" hidden="0" function="0" vbProcedure="0">[109]Test!$Y$29</definedName>
    <definedName name="Pist_Area_PackoffOD_DP5_OD" localSheetId="15" hidden="0" function="0" vbProcedure="0">[109]Test!$Y$30</definedName>
    <definedName name="Pist_Area_PackoffOD_to_DP1_OD" localSheetId="15" hidden="0" function="0" vbProcedure="0">[109]Test!$Y$26</definedName>
    <definedName name="Pist_Area_PackoffOD_to_DP3_OD" localSheetId="15" hidden="0" function="0" vbProcedure="0">[109]Test!$Y$28</definedName>
    <definedName name="plotm" localSheetId="15" hidden="0" function="0" vbProcedure="0">'[64]tool backload dt'!plotm</definedName>
    <definedName name="PlugMethod" localSheetId="15" hidden="0" function="0" vbProcedure="0">[109]DATA!$BI$2:$BI$6</definedName>
    <definedName name="Plugs" localSheetId="15" hidden="0" function="0" vbProcedure="0">[109]DATA!$AL$2:$AL$13</definedName>
    <definedName name="Plug_Bmp_Hngr_Ovr_Ld" localSheetId="15" hidden="0" function="0" vbProcedure="0">[109]Test!$M$25</definedName>
    <definedName name="Plug_Bmp_psi_wo_DP" localSheetId="15" hidden="0" function="0" vbProcedure="0">[109]Test!$M$23</definedName>
    <definedName name="Plug_Bmp_psi_w_DP" localSheetId="15" hidden="0" function="0" vbProcedure="0">[109]Test!$M$24</definedName>
    <definedName name="Plug_Press_Rating" localSheetId="15" hidden="0" function="0" vbProcedure="0">'[109]Metric Conversions'!$B$51</definedName>
    <definedName name="Plug_Press_Ratingz" localSheetId="15" hidden="0" function="0" vbProcedure="0">'[109]Liner Job Info'!$D$43</definedName>
    <definedName name="Plug_Temp_Rating" localSheetId="15" hidden="0" function="0" vbProcedure="0">'[109]Liner Job Info'!$D$44</definedName>
    <definedName name="PNINE_TOTAL" localSheetId="15" hidden="0" function="0" vbProcedure="0">[241]index!#ref!</definedName>
    <definedName name="po" localSheetId="15" hidden="0" function="0" vbProcedure="0">[159]Drillers!$O$20</definedName>
    <definedName name="Ported_Sub" localSheetId="15" hidden="0" function="0" vbProcedure="0">'[108]TCP-BHA'!$H$30</definedName>
    <definedName name="Pos_of_Ball" localSheetId="15" hidden="0" function="0" vbProcedure="0">'[108]Tester Valve Calcs'!$F$12</definedName>
    <definedName name="PoundConversion" localSheetId="15" hidden="0" function="0" vbProcedure="0">[94]Lists!$AD$4</definedName>
    <definedName name="POWERV_TO" localSheetId="15" hidden="0" function="0" vbProcedure="0">[129]RSS!$A$206</definedName>
    <definedName name="ppgsggcc" localSheetId="15" hidden="0" function="0" vbProcedure="0">'[109]Metric Conversions'!$B$65</definedName>
    <definedName name="pregpstim" localSheetId="15" hidden="0" function="0" vbProcedure="0">[5]WTR!$G$48</definedName>
    <definedName name="PREPACK_MIX_RATIO" localSheetId="15" hidden="0" function="0" vbProcedure="0">'[113]#REF'!$K$44</definedName>
    <definedName name="pressure1" localSheetId="15" hidden="0" function="0" vbProcedure="0">[106]Data!$C$2</definedName>
    <definedName name="pressure10" localSheetId="15" hidden="0" function="0" vbProcedure="0">[106]Data!$C$11</definedName>
    <definedName name="pressure2" localSheetId="15" hidden="0" function="0" vbProcedure="0">[106]Data!$C$3</definedName>
    <definedName name="pressure3" localSheetId="15" hidden="0" function="0" vbProcedure="0">[106]Data!$C$4</definedName>
    <definedName name="pressure4" localSheetId="15" hidden="0" function="0" vbProcedure="0">[106]Data!$C$5</definedName>
    <definedName name="pressure5" localSheetId="15" hidden="0" function="0" vbProcedure="0">[106]Data!$C$6</definedName>
    <definedName name="pressure6" localSheetId="15" hidden="0" function="0" vbProcedure="0">[106]Data!$C$7</definedName>
    <definedName name="pressure7" localSheetId="15" hidden="0" function="0" vbProcedure="0">[106]Data!$C$8</definedName>
    <definedName name="pressure8" localSheetId="15" hidden="0" function="0" vbProcedure="0">[106]Data!$C$9</definedName>
    <definedName name="pressure9" localSheetId="15" hidden="0" function="0" vbProcedure="0">[106]Data!$C$10</definedName>
    <definedName name="pressurea" localSheetId="15" hidden="0" function="0" vbProcedure="0">[106]Data!$D$2</definedName>
    <definedName name="pressureb" localSheetId="15" hidden="0" function="0" vbProcedure="0">[106]Data!$D$3</definedName>
    <definedName name="pressurec" localSheetId="15" hidden="0" function="0" vbProcedure="0">[106]Data!$D$4</definedName>
    <definedName name="pressured" localSheetId="15" hidden="0" function="0" vbProcedure="0">[106]Data!$D$5</definedName>
    <definedName name="pressuree" localSheetId="15" hidden="0" function="0" vbProcedure="0">[106]Data!$D$6</definedName>
    <definedName name="pressuref" localSheetId="15" hidden="0" function="0" vbProcedure="0">[106]Data!$D$7</definedName>
    <definedName name="pressureg" localSheetId="15" hidden="0" function="0" vbProcedure="0">[106]Data!$D$8</definedName>
    <definedName name="pressureh" localSheetId="15" hidden="0" function="0" vbProcedure="0">[106]Data!$D$9</definedName>
    <definedName name="pressurei" localSheetId="15" hidden="0" function="0" vbProcedure="0">[106]Data!$D$10</definedName>
    <definedName name="pressurej" localSheetId="15" hidden="0" function="0" vbProcedure="0">[106]Data!$D$11</definedName>
    <definedName name="Pressures" localSheetId="15" hidden="0" function="0" vbProcedure="0">'[116]Kill Sheet - Horizontal'!$W$27,'[116]Kill Sheet - Horizontal'!$W$31,'[116]Kill Sheet - Horizontal'!$W$32</definedName>
    <definedName name="pricelist" localSheetId="15" hidden="0" function="0" vbProcedure="0">[139]Pricelist!$A$8:$B$11</definedName>
    <definedName name="print" localSheetId="15" hidden="0" function="0" vbProcedure="0">'[160]2003 SSWE LINE ITEMS'!$A$1:$V$302</definedName>
    <definedName name="PRODPKR" localSheetId="15" hidden="0" function="0" vbProcedure="0">INDEX([161]PKR!$A$2:$B$15,MATCH([161]INPUT!$H$37,[161]PKR!$A$2:$A$15,0),2)</definedName>
    <definedName name="production" localSheetId="15" hidden="0" function="0" vbProcedure="0">[162]WTR!$L$6</definedName>
    <definedName name="Production_History_by_Well" localSheetId="15" hidden="0" function="0" vbProcedure="0">'[250]neb-wells'!#ref!</definedName>
    <definedName name="profitcntr1" localSheetId="15" hidden="0" function="0" vbProcedure="0">[132]Data!$I$1:$I$65536</definedName>
    <definedName name="Project" localSheetId="15" hidden="0" function="0" vbProcedure="0">'[94]Job Technical Info'!$G$12</definedName>
    <definedName name="ProppantName" localSheetId="15" hidden="0" function="0" vbProcedure="0">'[94]Installation Results #1'!$B$326</definedName>
    <definedName name="PSEVEN_TOTAL" localSheetId="15" hidden="0" function="0" vbProcedure="0">[241]index!#ref!</definedName>
    <definedName name="PSI" localSheetId="15" hidden="0" function="0" vbProcedure="0">'[78]tester valve calcs'!#ref!</definedName>
    <definedName name="psia_array" localSheetId="15" hidden="0" function="0" vbProcedure="0">{"HMR","HMR-GT","ZI Probe","Spartek","Omega SP"}</definedName>
    <definedName name="psibarkpa" localSheetId="15" hidden="0" function="0" vbProcedure="0">'[109]Metric Conversions'!$B$42</definedName>
    <definedName name="psig_array" localSheetId="15" hidden="0" function="0" vbProcedure="0">{"RPG-3","RPG-4"}</definedName>
    <definedName name="PSIX_TOTAL" localSheetId="15" hidden="0" function="0" vbProcedure="0">[241]index!#ref!</definedName>
    <definedName name="psl" localSheetId="15" hidden="0" function="0" vbProcedure="0">[56]data!#ref!</definedName>
    <definedName name="Pstn_Force_Actual" localSheetId="15" hidden="0" function="0" vbProcedure="0">'[109]Weight Calculations'!$H$26</definedName>
    <definedName name="PS_pricelist" localSheetId="15" hidden="0" function="0" vbProcedure="0">[139]Pricelist!$A$22:$B$35</definedName>
    <definedName name="ptdtr" localSheetId="15" hidden="0" function="0" vbProcedure="0">'[115]Max-Torq'!$P$71</definedName>
    <definedName name="PTHREE_TOTAL" localSheetId="15" hidden="0" function="0" vbProcedure="0">[241]index!#ref!</definedName>
    <definedName name="PTWO_TOTAL" localSheetId="15" hidden="0" function="0" vbProcedure="0">[241]index!#ref!</definedName>
    <definedName name="PU_Dogs" localSheetId="15" hidden="0" function="0" vbProcedure="0">'[109]Metric Conversions'!$B$25</definedName>
    <definedName name="PU_Dogsz" localSheetId="15" hidden="0" function="0" vbProcedure="0">'[109]Liner Job Info'!$P$47</definedName>
    <definedName name="PU_Packoffz" localSheetId="15" hidden="0" function="0" vbProcedure="0">'[109]Liner Job Info'!$P$48</definedName>
    <definedName name="pv" localSheetId="15" hidden="0" function="0" vbProcedure="0">'[7]Drop-Down Items'!$R$7:$R$9</definedName>
    <definedName name="q" localSheetId="15" hidden="0" function="0" vbProcedure="0">'[88]Report Long(Esso)'!$E$2</definedName>
    <definedName name="QPNum" localSheetId="15" hidden="0" function="0" vbProcedure="0">'[94]Job Technical Info'!$K$11</definedName>
    <definedName name="qqq" localSheetId="15" hidden="1" function="0" vbProcedure="0">{#N/A,#N/A,FALSE,"Drlg Param Run 1-1";#N/A,#N/A,FALSE,"DDR (3)";#N/A,#N/A,FALSE,"BHA AT (1)";#N/A,#N/A,FALSE,"Downlinkbha";#N/A,#N/A,FALSE,"Job Status Report"}</definedName>
    <definedName name="quantum" localSheetId="15" hidden="0" function="0" vbProcedure="0">'[146]tally checklist'!quantum</definedName>
    <definedName name="Range1" localSheetId="15" hidden="0" function="0" vbProcedure="0">OFFSET([257]sheet1!$e$5, 1, 0,[257]sheet1!$e$2,1)</definedName>
    <definedName name="rate" localSheetId="15" hidden="0" function="0" vbProcedure="0">[106]Data!$F$7</definedName>
    <definedName name="rate1" localSheetId="15" hidden="0" function="0" vbProcedure="0">[106]Data!$A$2</definedName>
    <definedName name="rate10" localSheetId="15" hidden="0" function="0" vbProcedure="0">[106]Data!$A$11</definedName>
    <definedName name="rate2" localSheetId="15" hidden="0" function="0" vbProcedure="0">[106]Data!$A$3</definedName>
    <definedName name="rate3" localSheetId="15" hidden="0" function="0" vbProcedure="0">[106]Data!$A$4</definedName>
    <definedName name="rate4" localSheetId="15" hidden="0" function="0" vbProcedure="0">[106]Data!$A$5</definedName>
    <definedName name="rate5" localSheetId="15" hidden="0" function="0" vbProcedure="0">[106]Data!$A$6</definedName>
    <definedName name="rate6" localSheetId="15" hidden="0" function="0" vbProcedure="0">[106]Data!$A$7</definedName>
    <definedName name="rate7" localSheetId="15" hidden="0" function="0" vbProcedure="0">[106]Data!$A$8</definedName>
    <definedName name="rate8" localSheetId="15" hidden="0" function="0" vbProcedure="0">[106]Data!$A$9</definedName>
    <definedName name="rate9" localSheetId="15" hidden="0" function="0" vbProcedure="0">[106]Data!$A$10</definedName>
    <definedName name="raw_tally_lower" localSheetId="15" hidden="0" function="0" vbProcedure="0">'[164]2B Raw Rig Tally'!$B$13:$D$501</definedName>
    <definedName name="raw_tally_upper" localSheetId="15" hidden="0" function="0" vbProcedure="0">'[164]2B Raw Rig Tally'!$F$13:$H$501</definedName>
    <definedName name="Reasons" localSheetId="15" hidden="0" function="0" vbProcedure="0">'[146]Title Page'!$O$2:$O$23</definedName>
    <definedName name="Region" localSheetId="15" hidden="0" function="0" vbProcedure="0">'[94]SetUp Tab'!$D$15</definedName>
    <definedName name="Regions" localSheetId="15" hidden="0" function="0" vbProcedure="0">[18]Criteria!$B$2:$B$11</definedName>
    <definedName name="Rem_DP1_Tens" localSheetId="15" hidden="0" function="0" vbProcedure="0">'[109]Weight Calculations'!$W$53</definedName>
    <definedName name="Rem_DP2_Tens" localSheetId="15" hidden="0" function="0" vbProcedure="0">'[109]Weight Calculations'!$W$54</definedName>
    <definedName name="Rem_DP3_Tens" localSheetId="15" hidden="0" function="0" vbProcedure="0">'[109]Weight Calculations'!$W$55</definedName>
    <definedName name="Rem_DP4_Tens" localSheetId="15" hidden="0" function="0" vbProcedure="0">'[109]Weight Calculations'!$W$59</definedName>
    <definedName name="Rem_DP5_Tens" localSheetId="15" hidden="0" function="0" vbProcedure="0">'[109]Weight Calculations'!$W$60</definedName>
    <definedName name="Rentalequipment" localSheetId="15" hidden="0" function="0" vbProcedure="0">[109]DATA!$R$2:$R$79</definedName>
    <definedName name="Rental_Tool_ID" localSheetId="15" hidden="0" function="0" vbProcedure="0">[109]DATA!$S$2:$S$79</definedName>
    <definedName name="RESE" localSheetId="15" hidden="0" function="0" vbProcedure="0">'[146]tally checklist'!rese</definedName>
    <definedName name="reservoir15" localSheetId="15" hidden="0" function="0" vbProcedure="0">'[73]geological prognosis'!#ref!</definedName>
    <definedName name="reservoir16" localSheetId="15" hidden="0" function="0" vbProcedure="0">'[73]geological prognosis'!#ref!</definedName>
    <definedName name="reservoir17" localSheetId="15" hidden="0" function="0" vbProcedure="0">'[73]geological prognosis'!#ref!</definedName>
    <definedName name="reservoir18" localSheetId="15" hidden="0" function="0" vbProcedure="0">'[73]geological prognosis'!#ref!</definedName>
    <definedName name="reservoir19" localSheetId="15" hidden="0" function="0" vbProcedure="0">'[73]geological prognosis'!#ref!</definedName>
    <definedName name="reservoir20" localSheetId="15" hidden="0" function="0" vbProcedure="0">'[73]geological prognosis'!#ref!</definedName>
    <definedName name="reservoir21" localSheetId="15" hidden="0" function="0" vbProcedure="0">'[73]geological prognosis'!#ref!</definedName>
    <definedName name="reservoir22" localSheetId="15" hidden="0" function="0" vbProcedure="0">'[73]geological prognosis'!#ref!</definedName>
    <definedName name="reservoir23" localSheetId="15" hidden="0" function="0" vbProcedure="0">'[73]geological prognosis'!#ref!</definedName>
    <definedName name="reservoir24" localSheetId="15" hidden="0" function="0" vbProcedure="0">'[73]geological prognosis'!#ref!</definedName>
    <definedName name="reservoir25" localSheetId="15" hidden="0" function="0" vbProcedure="0">'[73]geological prognosis'!#ref!</definedName>
    <definedName name="reservoir26" localSheetId="15" hidden="0" function="0" vbProcedure="0">'[73]geological prognosis'!#ref!</definedName>
    <definedName name="reservoir27" localSheetId="15" hidden="0" function="0" vbProcedure="0">'[73]geological prognosis'!#ref!</definedName>
    <definedName name="reservoir28" localSheetId="15" hidden="0" function="0" vbProcedure="0">'[73]geological prognosis'!#ref!</definedName>
    <definedName name="reservoir29" localSheetId="15" hidden="0" function="0" vbProcedure="0">'[73]geological prognosis'!#ref!</definedName>
    <definedName name="resrevoir09" localSheetId="15" hidden="0" function="0" vbProcedure="0">'[73]geological prognosis'!#ref!</definedName>
    <definedName name="resrevoir10" localSheetId="15" hidden="0" function="0" vbProcedure="0">'[73]geological prognosis'!#ref!</definedName>
    <definedName name="resrevoir12" localSheetId="15" hidden="0" function="0" vbProcedure="0">'[73]geological prognosis'!#ref!</definedName>
    <definedName name="resrevoir13" localSheetId="15" hidden="0" function="0" vbProcedure="0">'[73]geological prognosis'!#ref!</definedName>
    <definedName name="resrevoir14" localSheetId="15" hidden="0" function="0" vbProcedure="0">'[73]geological prognosis'!#ref!</definedName>
    <definedName name="ret" localSheetId="15" hidden="0" function="0" vbProcedure="0">[119]钻井日报表!$G$3</definedName>
    <definedName name="Rev_XX" localSheetId="15" hidden="0" function="0" vbProcedure="0">'[94]Job Technical Info'!$L$4</definedName>
    <definedName name="rhstretchz" localSheetId="15" hidden="0" function="0" vbProcedure="0">'[109]Metric Conversions'!$C$38</definedName>
    <definedName name="RH_SHEAR" localSheetId="15" hidden="0" function="0" vbProcedure="0">'[109]Weight Calculations'!$H$21</definedName>
    <definedName name="RH_SHEAR_LNGTH" localSheetId="15" hidden="0" function="0" vbProcedure="0">'[109]Metric Conversions'!$B$37</definedName>
    <definedName name="RH_SHEAR_LNGTHz" localSheetId="15" hidden="0" function="0" vbProcedure="0">'[109]Metric Conversions'!$C$37</definedName>
    <definedName name="Rig" localSheetId="15" hidden="0" function="0" vbProcedure="0">'[130]Liner Job Info'!$E$8</definedName>
    <definedName name="rigcontractor1" localSheetId="15" hidden="0" function="0" vbProcedure="0">[132]Data!$G$1:$G$65536</definedName>
    <definedName name="Rigname1" localSheetId="15" hidden="0" function="0" vbProcedure="0">[132]Data!$E$1:$E$65536</definedName>
    <definedName name="RigPh" localSheetId="15" hidden="0" function="0" vbProcedure="0">'[94]Job Technical Info'!$G$17</definedName>
    <definedName name="Rig_Name" localSheetId="15" hidden="0" function="0" vbProcedure="0">'[108]Pre-Job Info Sheet'!$D$11</definedName>
    <definedName name="Rig_Output" localSheetId="15" hidden="0" function="0" vbProcedure="0">'[109]Displacement Cal.'!$G$7</definedName>
    <definedName name="RI_LC_Z2_ANSWERS_SCPacker1" localSheetId="15" hidden="0" function="0" vbProcedure="0">'[165]LowerCompletions - Risk Index'!$G$56</definedName>
    <definedName name="RI_LC_Z3_ANSWERS_SCPacker1" localSheetId="15" hidden="0" function="0" vbProcedure="0">'[165]LowerCompletions - Risk Index'!$G$69</definedName>
    <definedName name="RI_LC_Z4_ANSWERS_SCPacker1" localSheetId="15" hidden="0" function="0" vbProcedure="0">'[165]LowerCompletions - Risk Index'!$G$82</definedName>
    <definedName name="RI_LC_Z5_ANSWERS_SCPacker1" localSheetId="15" hidden="0" function="0" vbProcedure="0">'[165]LowerCompletions - Risk Index'!$G$95</definedName>
    <definedName name="Rotation" localSheetId="15" hidden="0" function="0" vbProcedure="0">[109]DATA!$AK$2:$AK$10</definedName>
    <definedName name="Rpt_Average_Header1" localSheetId="15" hidden="0" function="0" vbProcedure="0">#ref!</definedName>
    <definedName name="Rpt_Average_Header2" localSheetId="15" hidden="0" function="0" vbProcedure="0">#ref!</definedName>
    <definedName name="Rpt_Comments" localSheetId="15" hidden="0" function="0" vbProcedure="0">#ref!</definedName>
    <definedName name="Rpt_Logo_Left" localSheetId="15" hidden="0" function="0" vbProcedure="0">#ref!</definedName>
    <definedName name="Rpt_Logo_Right" localSheetId="15" hidden="0" function="0" vbProcedure="0">#ref!</definedName>
    <definedName name="rrr" localSheetId="15" hidden="1" function="0" vbProcedure="0">{#N/A,#N/A,FALSE,"Sheet1"}</definedName>
    <definedName name="RSS_TO_COMPLETE" localSheetId="15" hidden="0" function="0" vbProcedure="0">[129]RSS!$K$197</definedName>
    <definedName name="rtb" localSheetId="15" hidden="0" function="0" vbProcedure="0">'[115]Max-Torq'!$P$61</definedName>
    <definedName name="Runningtool" localSheetId="15" hidden="0" function="0" vbProcedure="0">[109]DATA!$AO$2:$AO$8</definedName>
    <definedName name="Rupees" localSheetId="15" hidden="0" function="0" vbProcedure="0">'[141]Cash Expense March-96'!$H$6</definedName>
    <definedName name="R_Group_ID" localSheetId="15" hidden="0" function="0" vbProcedure="0">[109]DATA!$T$2:$T$79</definedName>
    <definedName name="S" localSheetId="15" hidden="0" function="0" vbProcedure="0">'[2]run sheet'!#ref!</definedName>
    <definedName name="Salesequipment" localSheetId="15" hidden="0" function="0" vbProcedure="0">[109]DATA!$O$2:$O$268</definedName>
    <definedName name="Salesman" localSheetId="15" hidden="0" function="0" vbProcedure="0">'[108]Pre-Job Info Sheet'!$B$7</definedName>
    <definedName name="Sales_Explosive_Type" localSheetId="15" hidden="0" function="0" vbProcedure="0">'[108]Pre-Job Info Sheet'!$B$24</definedName>
    <definedName name="Sales_Gun_Size" localSheetId="15" hidden="0" function="0" vbProcedure="0">'[108]Pre-Job Info Sheet'!$B$21</definedName>
    <definedName name="Sales_Lease" localSheetId="15" hidden="0" function="0" vbProcedure="0">'[108]Pre-Job Info Sheet'!$D$8</definedName>
    <definedName name="Sales_SPF" localSheetId="15" hidden="0" function="0" vbProcedure="0">'[108]Pre-Job Info Sheet'!$B$22</definedName>
    <definedName name="Sales_Ticket_Number" localSheetId="15" hidden="0" function="0" vbProcedure="0">'[30]Liner Job Info'!$E$11</definedName>
    <definedName name="Sales_Underbalance" localSheetId="15" hidden="0" function="0" vbProcedure="0">'[108]Pre-Job Info Sheet'!$D$35</definedName>
    <definedName name="Sales_Well_Name" localSheetId="15" hidden="0" function="0" vbProcedure="0">'[108]Pre-Job Info Sheet'!$D$6</definedName>
    <definedName name="salinity" localSheetId="15" hidden="0" function="0" vbProcedure="0">'[96]well test sheet'!#ref!</definedName>
    <definedName name="SANDOUT_PRESSURE" localSheetId="15" hidden="0" function="0" vbProcedure="0">'[113]#REF'!$I$107</definedName>
    <definedName name="SAND_ABOVE_PERFS_PREPACK" localSheetId="15" hidden="0" function="0" vbProcedure="0">'[113]#REF'!$F$175</definedName>
    <definedName name="SAND_DIVERTER" localSheetId="15" hidden="0" function="0" vbProcedure="0">'[113]#REF'!$F$56</definedName>
    <definedName name="SAND_GP" localSheetId="15" hidden="0" function="0" vbProcedure="0">'[113]#REF'!$F$64</definedName>
    <definedName name="SAND_IN_CAS_BLNK" localSheetId="15" hidden="0" function="0" vbProcedure="0">'[7]#ref'!#ref!</definedName>
    <definedName name="SAND_IN_CAS_EXT" localSheetId="15" hidden="0" function="0" vbProcedure="0">'[7]#ref'!#ref!</definedName>
    <definedName name="SAND_IN_CAS_PREPACK" localSheetId="15" hidden="0" function="0" vbProcedure="0">'[113]#REF'!$F$81</definedName>
    <definedName name="SAND_IN_CAS_SCR" localSheetId="15" hidden="0" function="0" vbProcedure="0">'[7]#ref'!#ref!</definedName>
    <definedName name="SAND_IN_PERFS" localSheetId="15" hidden="0" function="0" vbProcedure="0">'[113]#REF'!$I$185</definedName>
    <definedName name="SAND_IN_PERFS_PP" localSheetId="15" hidden="0" function="0" vbProcedure="0">'[113]#REF'!$F$82</definedName>
    <definedName name="SAND_PASS_XO_PORT" localSheetId="15" hidden="0" function="0" vbProcedure="0">'[113]#REF'!$E$195</definedName>
    <definedName name="SAND_PERMEABILITY" localSheetId="15" hidden="0" function="0" vbProcedure="0">'[113]#REF'!$I$105</definedName>
    <definedName name="SAND_PLACED_GP" localSheetId="15" hidden="0" function="0" vbProcedure="0">'[113]#REF'!$F$95</definedName>
    <definedName name="SAND_PREPACK" localSheetId="15" hidden="0" function="0" vbProcedure="0">'[113]#REF'!$F$44</definedName>
    <definedName name="SAND_PUMPED_GP" localSheetId="15" hidden="0" function="0" vbProcedure="0">'[113]#REF'!$F$92</definedName>
    <definedName name="SAND_PUMPED_PREPACK" localSheetId="15" hidden="0" function="0" vbProcedure="0">'[113]#REF'!$F$78</definedName>
    <definedName name="SAND_REVOUT_GP" localSheetId="15" hidden="0" function="0" vbProcedure="0">'[113]#REF'!$F$93</definedName>
    <definedName name="SAND_REVOUT_PREPACK" localSheetId="15" hidden="0" function="0" vbProcedure="0">'[113]#REF'!$F$79</definedName>
    <definedName name="Save_Document" localSheetId="15" hidden="0" function="0" vbProcedure="0">[28]!Save_Document</definedName>
    <definedName name="Save_Document_1" localSheetId="15" hidden="0" function="0" vbProcedure="0">DHWS!Save_Document</definedName>
    <definedName name="Save_Document_10" localSheetId="15" hidden="0" function="0" vbProcedure="0">DHWS!Save_Document</definedName>
    <definedName name="Save_Document_11" localSheetId="15" hidden="0" function="0" vbProcedure="0">DHWS!Save_Document</definedName>
    <definedName name="Save_Document_2" localSheetId="15" hidden="0" function="0" vbProcedure="0">DHWS!Save_Document</definedName>
    <definedName name="Save_Document_3" localSheetId="15" hidden="0" function="0" vbProcedure="0">DHWS!Save_Document</definedName>
    <definedName name="Save_Document_4" localSheetId="15" hidden="0" function="0" vbProcedure="0">DHWS!Save_Document</definedName>
    <definedName name="Save_Document_5" localSheetId="15" hidden="0" function="0" vbProcedure="0">DHWS!Save_Document</definedName>
    <definedName name="Save_Document_6" localSheetId="15" hidden="0" function="0" vbProcedure="0">DHWS!Save_Document</definedName>
    <definedName name="Save_Document_7" localSheetId="15" hidden="0" function="0" vbProcedure="0">DHWS!Save_Document</definedName>
    <definedName name="Save_Document_8" localSheetId="15" hidden="0" function="0" vbProcedure="0">DHWS!Save_Document</definedName>
    <definedName name="Save_Document_9" localSheetId="15" hidden="0" function="0" vbProcedure="0">DHWS!Save_Document</definedName>
    <definedName name="SCB" localSheetId="15" hidden="0" function="0" vbProcedure="0">[129]RSS!$B$136:$B$144</definedName>
    <definedName name="Schematic"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5" hidden="0" function="0" vbProcedure="0">'[113]#REF'!$H$14</definedName>
    <definedName name="screenidlist" localSheetId="15" hidden="0" function="0" vbProcedure="0">[106]Data!$E$79:$F$127</definedName>
    <definedName name="screenlength" localSheetId="15" hidden="0" function="0" vbProcedure="0">'[113]#REF'!$J$14</definedName>
    <definedName name="screenod" localSheetId="15" hidden="0" function="0" vbProcedure="0">'[113]#REF'!$F$14</definedName>
    <definedName name="screentype" localSheetId="15" hidden="0" function="0" vbProcedure="0">'[113]#REF'!$M$14</definedName>
    <definedName name="SCREEN_LENGTH" localSheetId="15" hidden="0" function="0" vbProcedure="0">'[113]#REF'!$J$13</definedName>
    <definedName name="SCREEN_OD" localSheetId="15" hidden="0" function="0" vbProcedure="0">'[113]#REF'!$F$14</definedName>
    <definedName name="sd" localSheetId="15" hidden="0" function="0" vbProcedure="0">null</definedName>
    <definedName name="se" localSheetId="15" hidden="0" function="0" vbProcedure="0">'[270]calculo de gas total'!#ref!</definedName>
    <definedName name="SeatID" localSheetId="15" hidden="0" function="0" vbProcedure="0">[109]DATA!$BC$2:$BC$6</definedName>
    <definedName name="SeatNumber" localSheetId="15" hidden="0" function="0" vbProcedure="0">[109]DATA!$BD$2:$BD$7</definedName>
    <definedName name="SeatShear" localSheetId="15" hidden="0" function="0" vbProcedure="0">[109]DATA!$BE$2:$BE$4</definedName>
    <definedName name="SeatType" localSheetId="15" hidden="0" function="0" vbProcedure="0">[109]DATA!$BB$2:$BB$4</definedName>
    <definedName name="sep_press" localSheetId="15" hidden="0" function="0" vbProcedure="0">'[96]well test sheet'!#ref!</definedName>
    <definedName name="sep_temp" localSheetId="15" hidden="0" function="0" vbProcedure="0">'[96]well test sheet'!#ref!</definedName>
    <definedName name="serialselect1" localSheetId="15" hidden="0" function="0" vbProcedure="0">[28]!serialselect1</definedName>
    <definedName name="serialselect2" localSheetId="15" hidden="0" function="0" vbProcedure="0">[28]!serialselect2</definedName>
    <definedName name="serialselect3" localSheetId="15" hidden="0" function="0" vbProcedure="0">[28]!serialselect3</definedName>
    <definedName name="serialselect4" localSheetId="15" hidden="0" function="0" vbProcedure="0">[28]!serialselect4</definedName>
    <definedName name="ServiceCenter" localSheetId="15" hidden="0" function="0" vbProcedure="0">'[117]Well Installation Drawing'!$L$13</definedName>
    <definedName name="SETTLEMENT_RATE" localSheetId="15" hidden="0" function="0" vbProcedure="0">'[113]#REF'!$I$120</definedName>
    <definedName name="Sett_Tool_Tens" localSheetId="15" hidden="0" function="0" vbProcedure="0">'[109]Liner Job Info'!$P$44</definedName>
    <definedName name="Shear_HR_Mech_Release" localSheetId="15" hidden="0" function="0" vbProcedure="0">'[109]Liner Job Info'!$P$49</definedName>
    <definedName name="SHER" localSheetId="15" hidden="0" function="0" vbProcedure="0">'[146]tally checklist'!sher</definedName>
    <definedName name="shippedvia" localSheetId="15" hidden="0" function="0" vbProcedure="0">'[33]data '!#ref!</definedName>
    <definedName name="shit" localSheetId="15" hidden="1" function="0" vbProcedure="0">{#N/A,#N/A,FALSE,"Sheet1"}</definedName>
    <definedName name="SHO" localSheetId="15" hidden="0" function="0" vbProcedure="0">[119]钻井日报表!$G$3</definedName>
    <definedName name="ShoeTrack_Vol" localSheetId="15" hidden="0" function="0" vbProcedure="0">'[109]Metric Conversions'!$B$76</definedName>
    <definedName name="ShoeTrack_Volz" localSheetId="15" hidden="0" function="0" vbProcedure="0">'[109]Metric Conversions'!$C$76</definedName>
    <definedName name="Shoe_Track_Length" localSheetId="15" hidden="0" function="0" vbProcedure="0">'[109]Metric Conversions'!$B$19</definedName>
    <definedName name="Shoe_Track_Lengthz" localSheetId="15" hidden="0" function="0" vbProcedure="0">'[109]Liner Job Info'!$D$19</definedName>
    <definedName name="Show_1" localSheetId="15" hidden="0" function="0" vbProcedure="0">[44]!Show_1</definedName>
    <definedName name="Show_1_1" localSheetId="15" hidden="0" function="0" vbProcedure="0">[28]!Show_1</definedName>
    <definedName name="Show_1_10" localSheetId="15" hidden="0" function="0" vbProcedure="0">[28]!Show_1</definedName>
    <definedName name="Show_1_11" localSheetId="15" hidden="0" function="0" vbProcedure="0">[28]!Show_1</definedName>
    <definedName name="Show_1_2" localSheetId="15" hidden="0" function="0" vbProcedure="0">[28]!Show_1</definedName>
    <definedName name="Show_1_3" localSheetId="15" hidden="0" function="0" vbProcedure="0">[28]!Show_1</definedName>
    <definedName name="Show_1_4" localSheetId="15" hidden="0" function="0" vbProcedure="0">[28]!Show_1</definedName>
    <definedName name="Show_1_5" localSheetId="15" hidden="0" function="0" vbProcedure="0">[28]!Show_1</definedName>
    <definedName name="Show_1_6" localSheetId="15" hidden="0" function="0" vbProcedure="0">[28]!Show_1</definedName>
    <definedName name="Show_1_7" localSheetId="15" hidden="0" function="0" vbProcedure="0">[28]!Show_1</definedName>
    <definedName name="Show_1_8" localSheetId="15" hidden="0" function="0" vbProcedure="0">[28]!Show_1</definedName>
    <definedName name="Show_1_9" localSheetId="15" hidden="0" function="0" vbProcedure="0">[28]!Show_1</definedName>
    <definedName name="Show_2" localSheetId="15" hidden="0" function="0" vbProcedure="0">[44]!Show_2</definedName>
    <definedName name="Show_2_1" localSheetId="15" hidden="0" function="0" vbProcedure="0">[28]!Show_2</definedName>
    <definedName name="Show_2_10" localSheetId="15" hidden="0" function="0" vbProcedure="0">[28]!Show_2</definedName>
    <definedName name="Show_2_11" localSheetId="15" hidden="0" function="0" vbProcedure="0">[28]!Show_2</definedName>
    <definedName name="Show_2_2" localSheetId="15" hidden="0" function="0" vbProcedure="0">[28]!Show_2</definedName>
    <definedName name="Show_2_3" localSheetId="15" hidden="0" function="0" vbProcedure="0">[28]!Show_2</definedName>
    <definedName name="Show_2_4" localSheetId="15" hidden="0" function="0" vbProcedure="0">[28]!Show_2</definedName>
    <definedName name="Show_2_5" localSheetId="15" hidden="0" function="0" vbProcedure="0">[28]!Show_2</definedName>
    <definedName name="Show_2_6" localSheetId="15" hidden="0" function="0" vbProcedure="0">[28]!Show_2</definedName>
    <definedName name="Show_2_7" localSheetId="15" hidden="0" function="0" vbProcedure="0">[28]!Show_2</definedName>
    <definedName name="Show_2_8" localSheetId="15" hidden="0" function="0" vbProcedure="0">[28]!Show_2</definedName>
    <definedName name="Show_2_9" localSheetId="15" hidden="0" function="0" vbProcedure="0">[28]!Show_2</definedName>
    <definedName name="Size" localSheetId="15" hidden="0" function="0" vbProcedure="0">#ref!</definedName>
    <definedName name="SJT_DEPTH" localSheetId="15" hidden="0" function="0" vbProcedure="0">'[113]#REF'!$F$22</definedName>
    <definedName name="SJ_DEPTH" localSheetId="15" hidden="0" function="0" vbProcedure="0">'[113]#REF'!$F$22</definedName>
    <definedName name="SL" localSheetId="15" hidden="0" function="0" vbProcedure="0">[149]BHA!$C$3</definedName>
    <definedName name="SleeveLength" localSheetId="15" hidden="0" function="0" vbProcedure="0">[109]DATA!$AV$2:$AV$4</definedName>
    <definedName name="SLURRY_DENSITY" localSheetId="15" hidden="0" function="0" vbProcedure="0">'[113]#REF'!$F$70</definedName>
    <definedName name="SLURRY_VOL_PREPACK" localSheetId="15" hidden="0" function="0" vbProcedure="0">'[113]#REF'!$F$48</definedName>
    <definedName name="soldto" localSheetId="15" hidden="0" function="0" vbProcedure="0">'[126]Call Sheet'!$AL$3</definedName>
    <definedName name="sort" localSheetId="15" hidden="1" function="0" vbProcedure="0">[166]Sheet1!$A$181:$H$210</definedName>
    <definedName name="SORT_AREA" localSheetId="15" hidden="0" function="0" vbProcedure="0">'[167]DI-ESTI'!$A$8:$R$489</definedName>
    <definedName name="Spacedout" localSheetId="15" hidden="1" function="0" vbProcedure="0">{#N/A,#N/A,FALSE,"Drlg Param Run 1-1";#N/A,#N/A,FALSE,"DDR (3)";#N/A,#N/A,FALSE,"BHA AT (1)";#N/A,#N/A,FALSE,"Downlinkbha";#N/A,#N/A,FALSE,"Job Status Report"}</definedName>
    <definedName name="SpacerType" localSheetId="15" hidden="0" function="0" vbProcedure="0">[109]DATA!$BK$2:$BK$7</definedName>
    <definedName name="Spiral_Type" localSheetId="15" hidden="0" function="0" vbProcedure="0">[109]DATA!$BM$2:$BM$5</definedName>
    <definedName name="ssdsd" localSheetId="15" hidden="0" function="0" vbProcedure="0">'[146]tally checklist'!ssdsd</definedName>
    <definedName name="SSID" localSheetId="15" hidden="0" function="0" vbProcedure="0">'[109]Liner Job Info'!$O$6</definedName>
    <definedName name="sss" localSheetId="15" hidden="1" function="0" vbProcedure="0">{#N/A,#N/A,FALSE,"Drlg Param Run 1-1";#N/A,#N/A,FALSE,"DDR (3)";#N/A,#N/A,FALSE,"BHA AT (1)";#N/A,#N/A,FALSE,"Downlinkbha";#N/A,#N/A,FALSE,"Job Status Report"}</definedName>
    <definedName name="stages" localSheetId="15" hidden="0" function="0" vbProcedure="0">[5]WTR!$G$52</definedName>
    <definedName name="Stage_Number" localSheetId="15" hidden="0" function="0" vbProcedure="0">'[108]Pre-Job Info Sheet'!$B$15</definedName>
    <definedName name="Start_Here" localSheetId="15" hidden="0" function="0" vbProcedure="0">'[168]9.625 TCP String'!$B$10</definedName>
    <definedName name="state" localSheetId="15" hidden="0" function="0" vbProcedure="0">'[40]CPS Call Sheet'!$AC$7</definedName>
    <definedName name="status" localSheetId="15" hidden="0" function="0" vbProcedure="0">'[154]BPR LOG'!$H$1:$H$1048576</definedName>
    <definedName name="Stretch_DP1_Lnr_Wt" localSheetId="15" hidden="0" function="0" vbProcedure="0">'[109]Metric Conversions'!$B$30</definedName>
    <definedName name="Stretch_DP1_Lnr_Wtz" localSheetId="15" hidden="0" function="0" vbProcedure="0">'[109]Metric Conversions'!$C$30</definedName>
    <definedName name="Stretch_DP2_Lnr_Wt" localSheetId="15" hidden="0" function="0" vbProcedure="0">'[109]Metric Conversions'!$B$31</definedName>
    <definedName name="Stretch_DP2_Lnr_Wtz" localSheetId="15" hidden="0" function="0" vbProcedure="0">'[109]Metric Conversions'!$C$31</definedName>
    <definedName name="Stretch_DP3_Lnr_Wt" localSheetId="15" hidden="0" function="0" vbProcedure="0">'[109]Metric Conversions'!$B$32</definedName>
    <definedName name="Stretch_DP3_Lnr_Wtz" localSheetId="15" hidden="0" function="0" vbProcedure="0">'[109]Metric Conversions'!$C$32</definedName>
    <definedName name="Stretch_DP4_Lnr_Wt" localSheetId="15" hidden="0" function="0" vbProcedure="0">'[109]Metric Conversions'!$B$33</definedName>
    <definedName name="Stretch_DP4_Lnr_Wtz" localSheetId="15" hidden="0" function="0" vbProcedure="0">'[109]Metric Conversions'!$C$33</definedName>
    <definedName name="Stretch_DP5_Lnr_Wt" localSheetId="15" hidden="0" function="0" vbProcedure="0">'[109]Metric Conversions'!$B$34</definedName>
    <definedName name="Stretch_DP5_Lnr_Wtz" localSheetId="15" hidden="0" function="0" vbProcedure="0">'[109]Metric Conversions'!$C$34</definedName>
    <definedName name="Stretch_TTL_Lnr_Wt" localSheetId="15" hidden="0" function="0" vbProcedure="0">'[109]Metric Conversions'!$B$36</definedName>
    <definedName name="Stretch_TTL_Lnr_Wtz" localSheetId="15" hidden="0" function="0" vbProcedure="0">'[109]Metric Conversions'!$C$36</definedName>
    <definedName name="SubSeaTVD_Column" localSheetId="15" hidden="0" function="0" vbProcedure="0">null</definedName>
    <definedName name="SubSeaTVD_Unit" localSheetId="15" hidden="0" function="0" vbProcedure="0">null</definedName>
    <definedName name="SUMP_DEPTH" localSheetId="15" hidden="0" function="0" vbProcedure="0">'[113]#REF'!$F$23</definedName>
    <definedName name="Surfaceequipment" localSheetId="15" hidden="0" function="0" vbProcedure="0">[109]DATA!$AQ$2:$AQ$11</definedName>
    <definedName name="surfacefracpressure" localSheetId="15" hidden="0" function="0" vbProcedure="0">[106]Data!$F$4</definedName>
    <definedName name="Surf_Equip_Tens" localSheetId="15" hidden="0" function="0" vbProcedure="0">'[109]Liner Job Info'!$P$46</definedName>
    <definedName name="Svy_Print_Area" localSheetId="15" hidden="0" function="0" vbProcedure="0">'[168]9.625 TCP String'!$B$12:$I$3772</definedName>
    <definedName name="SWELL_PKR" localSheetId="15" hidden="0" function="0" vbProcedure="0">INDEX([111]PKR!$F$2:$G$10,MATCH([111]PKR!$H$1,[111]PKR!$F$2:$F$10,0),2)</definedName>
    <definedName name="Tally" localSheetId="15" hidden="0" function="0" vbProcedure="0">[169]Tally!$A$5:$C$1004</definedName>
    <definedName name="Tally_2" localSheetId="15" hidden="0" function="0" vbProcedure="0">[169]Tally!$E$5:$G$1004</definedName>
    <definedName name="Tally_3" localSheetId="15" hidden="0" function="0" vbProcedure="0">[169]Tally!$I$5:$K$1004</definedName>
    <definedName name="Taper_String_Grade" localSheetId="15" hidden="0" function="0" vbProcedure="0">'[108]Pre-Job Info Sheet'!$D$31</definedName>
    <definedName name="Taper_String_Size" localSheetId="15" hidden="0" function="0" vbProcedure="0">'[108]Pre-Job Info Sheet'!$D$29</definedName>
    <definedName name="Taper_String_Type" localSheetId="15" hidden="0" function="0" vbProcedure="0">'[108]Pre-Job Info Sheet'!$D$28</definedName>
    <definedName name="Taper_String_Wt._Ft." localSheetId="15" hidden="0" function="0" vbProcedure="0">'[108]Pre-Job Info Sheet'!$D$30</definedName>
    <definedName name="targe"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5" hidden="0" function="0" vbProcedure="0">#ref!,#ref!</definedName>
    <definedName name="TbgDrift1" localSheetId="15" hidden="0" function="0" vbProcedure="0">'[94]Job Technical Info'!$G$35</definedName>
    <definedName name="TbgDrift2" localSheetId="15" hidden="0" function="0" vbProcedure="0">'[94]Job Technical Info'!$G$36</definedName>
    <definedName name="TbgDrift3" localSheetId="15" hidden="0" function="0" vbProcedure="0">'[94]Job Technical Info'!$G$37</definedName>
    <definedName name="TbgDrift4" localSheetId="15" hidden="0" function="0" vbProcedure="0">'[94]Job Technical Info'!$G$38</definedName>
    <definedName name="TbgGrade" localSheetId="15" hidden="0" function="0" vbProcedure="0">[170]MUT!$O$3:$O$4</definedName>
    <definedName name="TbgGrd1" localSheetId="15" hidden="0" function="0" vbProcedure="0">'[94]Job Technical Info'!$H$35</definedName>
    <definedName name="TbgGrd2" localSheetId="15" hidden="0" function="0" vbProcedure="0">'[94]Job Technical Info'!$H$36</definedName>
    <definedName name="TbgGrd3" localSheetId="15" hidden="0" function="0" vbProcedure="0">'[94]Job Technical Info'!$H$37</definedName>
    <definedName name="TbgGrd4" localSheetId="15" hidden="0" function="0" vbProcedure="0">'[94]Job Technical Info'!$H$38</definedName>
    <definedName name="TbgID1" localSheetId="15" hidden="0" function="0" vbProcedure="0">'[94]Job Technical Info'!$F$35</definedName>
    <definedName name="TbgID2" localSheetId="15" hidden="0" function="0" vbProcedure="0">'[94]Job Technical Info'!$F$36</definedName>
    <definedName name="TbgID3" localSheetId="15" hidden="0" function="0" vbProcedure="0">'[94]Job Technical Info'!$F$37</definedName>
    <definedName name="TbgID4" localSheetId="15" hidden="0" function="0" vbProcedure="0">'[94]Job Technical Info'!$F$38</definedName>
    <definedName name="TbgSz1" localSheetId="15" hidden="0" function="0" vbProcedure="0">'[94]Job Technical Info'!$D$35</definedName>
    <definedName name="TbgSz2" localSheetId="15" hidden="0" function="0" vbProcedure="0">'[94]Job Technical Info'!$D$36</definedName>
    <definedName name="TbgSz3" localSheetId="15" hidden="0" function="0" vbProcedure="0">'[94]Job Technical Info'!$D$37</definedName>
    <definedName name="TbgSz4" localSheetId="15" hidden="0" function="0" vbProcedure="0">'[94]Job Technical Info'!$D$38</definedName>
    <definedName name="TbgThd1" localSheetId="15" hidden="0" function="0" vbProcedure="0">'[94]Job Technical Info'!$J$35</definedName>
    <definedName name="TbgThd2" localSheetId="15" hidden="0" function="0" vbProcedure="0">'[94]Job Technical Info'!$J$36</definedName>
    <definedName name="TbgThd3" localSheetId="15" hidden="0" function="0" vbProcedure="0">'[94]Job Technical Info'!$J$37</definedName>
    <definedName name="TbgThd4" localSheetId="15" hidden="0" function="0" vbProcedure="0">'[94]Job Technical Info'!$J$38</definedName>
    <definedName name="TbgWt1" localSheetId="15" hidden="0" function="0" vbProcedure="0">'[94]Job Technical Info'!$E$35</definedName>
    <definedName name="TbgWt2" localSheetId="15" hidden="0" function="0" vbProcedure="0">'[94]Job Technical Info'!$E$36</definedName>
    <definedName name="TbgWt3" localSheetId="15" hidden="0" function="0" vbProcedure="0">'[94]Job Technical Info'!$E$37</definedName>
    <definedName name="TbgWt4" localSheetId="15" hidden="0" function="0" vbProcedure="0">'[94]Job Technical Info'!$E$38</definedName>
    <definedName name="TB_Ext_API_Coll" localSheetId="15" hidden="0" function="0" vbProcedure="0">'[109]Metric Conversions'!$B$55</definedName>
    <definedName name="TB_Ext_API_Collz" localSheetId="15" hidden="0" function="0" vbProcedure="0">'[109]Liner Job Info'!$P$37</definedName>
    <definedName name="TB_Ext_Bst" localSheetId="15" hidden="0" function="0" vbProcedure="0">'[109]Metric Conversions'!$B$54</definedName>
    <definedName name="TB_Ext_Bstz" localSheetId="15" hidden="0" function="0" vbProcedure="0">'[109]Liner Job Info'!$P$36</definedName>
    <definedName name="TB_EXT_ID" localSheetId="15" hidden="0" function="0" vbProcedure="0">'[109]Liner Job Info'!$P$35</definedName>
    <definedName name="TB_Ext_Yield_Collz" localSheetId="15" hidden="0" function="0" vbProcedure="0">'[109]Liner Job Info'!$P$38</definedName>
    <definedName name="TD_Depth_md" localSheetId="15" hidden="0" function="0" vbProcedure="0">'[73]well specification'!#ref!</definedName>
    <definedName name="TD_md" localSheetId="15" hidden="0" function="0" vbProcedure="0">'[73]well specification'!#ref!</definedName>
    <definedName name="tedtr" localSheetId="15" hidden="0" function="0" vbProcedure="0">'[115]Max-Torq'!$P$72</definedName>
    <definedName name="teks"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15" hidden="0" function="0" vbProcedure="0">'[115]Max-Torq'!$N$58</definedName>
    <definedName name="terry1" localSheetId="15" hidden="0" function="0" vbProcedure="0">{#N/A,#N/A,FALSE,"Volume"}</definedName>
    <definedName name="terry2" localSheetId="15" hidden="0" function="0" vbProcedure="0">{#N/A,#N/A,FALSE,"Volume"}</definedName>
    <definedName name="terry3" localSheetId="15" hidden="0" function="0" vbProcedure="0">{#N/A,#N/A,FALSE,"Volume"}</definedName>
    <definedName name="terry4" localSheetId="15" hidden="0" function="0" vbProcedure="0">{#N/A,#N/A,FALSE,"Volume"}</definedName>
    <definedName name="terry5" localSheetId="15" hidden="0" function="0" vbProcedure="0">{#N/A,#N/A,FALSE,"Volume"}</definedName>
    <definedName name="TEST" localSheetId="15" hidden="0" function="0" vbProcedure="0">#ref!</definedName>
    <definedName name="Test_po_out_1" localSheetId="15" hidden="0" function="0" vbProcedure="0">[109]Test!$M$28</definedName>
    <definedName name="Test_po_out_2" localSheetId="15" hidden="0" function="0" vbProcedure="0">[109]Test!$M$29</definedName>
    <definedName name="textfive" localSheetId="15" hidden="0" function="0" vbProcedure="0">'[146]tally checklist'!textfive</definedName>
    <definedName name="textfivehalf" localSheetId="15" hidden="0" function="0" vbProcedure="0">'[146]tally checklist'!textfivehalf</definedName>
    <definedName name="textninefiveeightfourfirst" localSheetId="15" hidden="0" function="0" vbProcedure="0">'[146]tally checklist'!textninefiveeightfourfirst</definedName>
    <definedName name="textninefiveeightfoursecond" localSheetId="15" hidden="0" function="0" vbProcedure="0">'[146]tally checklist'!textninefiveeightfoursecond</definedName>
    <definedName name="textninefiveeightsixfirst" localSheetId="15" hidden="0" function="0" vbProcedure="0">'[146]tally checklist'!textninefiveeightsixfirst</definedName>
    <definedName name="textninefiveeightsixsecond" localSheetId="15" hidden="0" function="0" vbProcedure="0">'[146]tally checklist'!textninefiveeightsixsecond</definedName>
    <definedName name="textsevenfiveeightfour" localSheetId="15" hidden="0" function="0" vbProcedure="0">'[146]tally checklist'!textsevenfiveeightfour</definedName>
    <definedName name="textsevenfiveeightthree" localSheetId="15" hidden="0" function="0" vbProcedure="0">'[146]tally checklist'!textsevenfiveeightthree</definedName>
    <definedName name="textsevenfour" localSheetId="15" hidden="0" function="0" vbProcedure="0">'[146]tally checklist'!textsevenfour</definedName>
    <definedName name="textseventhree" localSheetId="15" hidden="0" function="0" vbProcedure="0">'[146]tally checklist'!textseventhree</definedName>
    <definedName name="text_five" localSheetId="15" hidden="0" function="0" vbProcedure="0">'[146]tally checklist'!text_five</definedName>
    <definedName name="text_fivehalf" localSheetId="15" hidden="0" function="0" vbProcedure="0">'[146]tally checklist'!text_fivehalf</definedName>
    <definedName name="text_ninefiveeightfourfirst" localSheetId="15" hidden="0" function="0" vbProcedure="0">'[146]tally checklist'!text_ninefiveeightfourfirst</definedName>
    <definedName name="text_ninefiveeightfoursecond" localSheetId="15" hidden="0" function="0" vbProcedure="0">'[146]tally checklist'!text_ninefiveeightfoursecond</definedName>
    <definedName name="text_ninefiveeightsixfirst" localSheetId="15" hidden="0" function="0" vbProcedure="0">'[146]tally checklist'!text_ninefiveeightsixfirst</definedName>
    <definedName name="text_ninefiveeightsixsecond" localSheetId="15" hidden="0" function="0" vbProcedure="0">'[146]tally checklist'!text_ninefiveeightsixsecond</definedName>
    <definedName name="text_sevenfiveeightfour" localSheetId="15" hidden="0" function="0" vbProcedure="0">'[146]tally checklist'!text_sevenfiveeightfour</definedName>
    <definedName name="text_sevenfiveeightthree" localSheetId="15" hidden="0" function="0" vbProcedure="0">'[146]tally checklist'!text_sevenfiveeightthree</definedName>
    <definedName name="text_sevenfour" localSheetId="15" hidden="0" function="0" vbProcedure="0">'[146]tally checklist'!text_sevenfour</definedName>
    <definedName name="text_seventhree" localSheetId="15" hidden="0" function="0" vbProcedure="0">'[146]tally checklist'!text_seventhree</definedName>
    <definedName name="tgrade" localSheetId="15" hidden="0" function="0" vbProcedure="0">[157]Control!$D$9</definedName>
    <definedName name="TGW" localSheetId="15" hidden="0" function="0" vbProcedure="0">'[146]tally checklist'!tgw</definedName>
    <definedName name="ThreadCon" localSheetId="15" hidden="0" function="0" vbProcedure="0">[171]MUT!$R$3:$R$9</definedName>
    <definedName name="ticketdate" localSheetId="15" hidden="0" function="0" vbProcedure="0">'[126]Call Sheet'!$AH$1</definedName>
    <definedName name="tickettype" localSheetId="15" hidden="0" function="0" vbProcedure="0">[56]data!#ref!</definedName>
    <definedName name="time" localSheetId="15" hidden="0" function="0" vbProcedure="0">'[96]well test sheet'!#ref!</definedName>
    <definedName name="TLCENG" localSheetId="15" hidden="0" function="0" vbProcedure="0">[193]Reference!$D$2</definedName>
    <definedName name="TLDENG" localSheetId="15" hidden="0" function="0" vbProcedure="0">[193]Reference!$C$2</definedName>
    <definedName name="TLDOPS" localSheetId="15" hidden="0" function="0" vbProcedure="0">[193]Reference!$E$2:$E$3</definedName>
    <definedName name="TOL" localSheetId="15" hidden="0" function="0" vbProcedure="0">'[130]Metric Conversions'!$B$28</definedName>
    <definedName name="TOLz" localSheetId="15" hidden="0" function="0" vbProcedure="0">'[109]Liner Job Info'!$I$19</definedName>
    <definedName name="ToolMaterial" localSheetId="15" hidden="0" function="0" vbProcedure="0">[109]DATA!$BN$2:$BN$8</definedName>
    <definedName name="Tool_ID" localSheetId="15" hidden="0" function="0" vbProcedure="0">[109]DATA!$P$2:$P$268</definedName>
    <definedName name="TOPPKRIMG" localSheetId="15" hidden="0" function="0" vbProcedure="0">INDEX([172]PKR!$A$16:$B$17,MATCH([172]INPUT!$G$56,[172]PKR!$A$16:$A$17,0),2)</definedName>
    <definedName name="TOPPKRIMG_1" localSheetId="15" hidden="0" function="0" vbProcedure="0">INDEX([161]PKR!$A$16:$B$18,MATCH([161]INPUT!$G$56,[161]PKR!$A$16:$A$18,0),2)</definedName>
    <definedName name="Top_Drive_y_n" localSheetId="15" hidden="0" function="0" vbProcedure="0">'[48]liner job info'!#ref!</definedName>
    <definedName name="Top_Perf._TVD" localSheetId="15" hidden="0" function="0" vbProcedure="0">'[108]Pre-Job Info Sheet'!$B$30</definedName>
    <definedName name="Top_Perforation" localSheetId="15" hidden="0" function="0" vbProcedure="0">'[108]Pre-Job Info Sheet'!$B$28</definedName>
    <definedName name="Total_DP_Wt" localSheetId="15" hidden="0" function="0" vbProcedure="0">'[109]Weight Calculations'!$H$13</definedName>
    <definedName name="Total_Length_of_BHA" localSheetId="15" hidden="0" function="0" vbProcedure="0">'[108]TCP-BHA'!$H$47</definedName>
    <definedName name="TOT_ANN_CAP" localSheetId="15" hidden="0" function="0" vbProcedure="0">'[113]#REF'!$G$189</definedName>
    <definedName name="Tot_Bottoms_Upz" localSheetId="15" hidden="0" function="0" vbProcedure="0">'[109]Metric Conversions'!$C$90</definedName>
    <definedName name="TOT_CAP_HOLE" localSheetId="15" hidden="0" function="0" vbProcedure="0">'[113]#REF'!$G$190</definedName>
    <definedName name="Tot_DP_Vol" localSheetId="15" hidden="0" function="0" vbProcedure="0">'[109]Metric Conversions'!$B$75</definedName>
    <definedName name="Tot_DP_Volz" localSheetId="15" hidden="0" function="0" vbProcedure="0">'[109]Metric Conversions'!$C$75</definedName>
    <definedName name="Tot_Liner_Wt" localSheetId="15" hidden="0" function="0" vbProcedure="0">'[109]Weight Calculations'!$H$18</definedName>
    <definedName name="Tot_Lnr_Vol_to_LC" localSheetId="15" hidden="0" function="0" vbProcedure="0">'[109]Metric Conversions'!$B$79</definedName>
    <definedName name="Tot_Lnr_Vol_to_LCz" localSheetId="15" hidden="0" function="0" vbProcedure="0">'[109]Metric Conversions'!$C$79</definedName>
    <definedName name="TOT_SAND_2B_PUMPED" localSheetId="15" hidden="0" function="0" vbProcedure="0">'[7]#ref'!#ref!</definedName>
    <definedName name="TOT_SAND_COV_BLANK" localSheetId="15" hidden="0" function="0" vbProcedure="0">'[113]#REF'!$H$136</definedName>
    <definedName name="TOT_SAND_COV_SCREEN" localSheetId="15" hidden="0" function="0" vbProcedure="0">'[113]#REF'!$H$135</definedName>
    <definedName name="TOT_SAND_IN_PERFS" localSheetId="15" hidden="0" function="0" vbProcedure="0">'[113]#REF'!$F$137</definedName>
    <definedName name="TOT_SAND_PLACED" localSheetId="15" hidden="0" function="0" vbProcedure="0">'[113]#REF'!$F$131</definedName>
    <definedName name="TOT_SAND_REVOUT" localSheetId="15" hidden="0" function="0" vbProcedure="0">'[7]#ref'!#ref!</definedName>
    <definedName name="Tot_Vol_to_Bump_Plugs" localSheetId="15" hidden="0" function="0" vbProcedure="0">'[109]Metric Conversions'!$B$80</definedName>
    <definedName name="Tot_Vol_to_Bump_Plugsz" localSheetId="15" hidden="0" function="0" vbProcedure="0">'[109]Metric Conversions'!$C$80</definedName>
    <definedName name="Tot_Vol_to_Shoez" localSheetId="15" hidden="0" function="0" vbProcedure="0">'[109]Metric Conversions'!$C$81</definedName>
    <definedName name="tpermit" localSheetId="15" hidden="0" function="0" vbProcedure="0">[157]Control!$D$5</definedName>
    <definedName name="TQW" localSheetId="15" hidden="0" function="0" vbProcedure="0">'[146]tally checklist'!tqw</definedName>
    <definedName name="tr" localSheetId="15" hidden="0" function="0" vbProcedure="0">null</definedName>
    <definedName name="transport" localSheetId="15" hidden="0" function="0" vbProcedure="0">[56]data!#ref!</definedName>
    <definedName name="treatment" localSheetId="15" hidden="0" function="0" vbProcedure="0">[56]data!#ref!</definedName>
    <definedName name="try" localSheetId="15" hidden="0" function="0" vbProcedure="0">[173]Calculos!$K$3:$V$31</definedName>
    <definedName name="TR_Column" localSheetId="15" hidden="0" function="0" vbProcedure="0">null</definedName>
    <definedName name="TR_Unit" localSheetId="15" hidden="0" function="0" vbProcedure="0">null</definedName>
    <definedName name="tshoe" localSheetId="15" hidden="0" function="0" vbProcedure="0">[157]Drillers!$Q$20</definedName>
    <definedName name="tsize" localSheetId="15" hidden="0" function="0" vbProcedure="0">[157]Control!$D$7</definedName>
    <definedName name="TST" localSheetId="15" hidden="0" function="0" vbProcedure="0">'[30]Liner Job Info'!$O$5</definedName>
    <definedName name="tstickup" localSheetId="15" hidden="0" function="0" vbProcedure="0">[157]Drillers!$O$20</definedName>
    <definedName name="TS_pricelist" localSheetId="15" hidden="0" function="0" vbProcedure="0">[139]Pricelist!$A$57:$B$65</definedName>
    <definedName name="Tubing" localSheetId="15" hidden="0" function="0" vbProcedure="0">[174]Tubing!$B$7:$I$142</definedName>
    <definedName name="TubingAverage" localSheetId="15" hidden="0" function="0" vbProcedure="0">((SUM(NosOfTubing))-(MakeupLoss*COUNT(NosOfTubing)))/COUNT(NosOfTubing)</definedName>
    <definedName name="TubingOD" localSheetId="15" hidden="0" function="0" vbProcedure="0">[94]Lists!$AH$3:$AH$297</definedName>
    <definedName name="TubingSizes" localSheetId="15" hidden="0" function="0" vbProcedure="0">[94]Lists!$H$2:$H$14</definedName>
    <definedName name="tubingweight" localSheetId="15" hidden="0" function="0" vbProcedure="0">[86]!TubTable[id LIST (in)]</definedName>
    <definedName name="TVD_MID_PERF" localSheetId="15" hidden="0" function="0" vbProcedure="0">'[113]#REF'!$F$25</definedName>
    <definedName name="TV_TVD" localSheetId="15" hidden="0" function="0" vbProcedure="0">'[108]Tester Valve Calcs'!$F$20</definedName>
    <definedName name="TV_Vol" localSheetId="15" hidden="0" function="0" vbProcedure="0">'[108]Tester Valve Calcs'!$M$17</definedName>
    <definedName name="tweight" localSheetId="15" hidden="0" function="0" vbProcedure="0">[157]Control!$D$8</definedName>
    <definedName name="twell" localSheetId="15" hidden="0" function="0" vbProcedure="0">[157]Control!$D$4</definedName>
    <definedName name="twstest"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5" hidden="0" function="0" vbProcedure="0">'[146]tally checklist'!tyjeje</definedName>
    <definedName name="TYPE" localSheetId="15" hidden="0" function="0" vbProcedure="0">'[61]7-30-04'!#ref!</definedName>
    <definedName name="TYPEOFPLUG" localSheetId="15" hidden="0" function="0" vbProcedure="0">'[175]DATA CALL OUT'!$C$1:$C$65536</definedName>
    <definedName name="T_ABOP" localSheetId="15" hidden="0" function="0" vbProcedure="0">'[94]Physical Barrier Check Form'!$B$15</definedName>
    <definedName name="T_BFluidColumn" localSheetId="15" hidden="0" function="0" vbProcedure="0">'[94]Physical Barrier Check Form'!$B$19</definedName>
    <definedName name="T_BHP" localSheetId="15" hidden="0" function="0" vbProcedure="0">'[94]Job Technical Info'!$A$42</definedName>
    <definedName name="T_BHT" localSheetId="15" hidden="0" function="0" vbProcedure="0">'[94]Job Technical Info'!$C$42</definedName>
    <definedName name="T_Casing1" localSheetId="15" hidden="0" function="0" vbProcedure="0">'[94]Job Technical Info'!$B$25</definedName>
    <definedName name="T_Casing2" localSheetId="15" hidden="0" function="0" vbProcedure="0">'[94]Job Technical Info'!$B$26</definedName>
    <definedName name="T_Casing3" localSheetId="15" hidden="0" function="0" vbProcedure="0">'[94]Job Technical Info'!$B$27</definedName>
    <definedName name="T_Casing4" localSheetId="15" hidden="0" function="0" vbProcedure="0">'[94]Job Technical Info'!$B$28</definedName>
    <definedName name="T_Ccasing" localSheetId="15" hidden="0" function="0" vbProcedure="0">'[94]Physical Barrier Check Form'!$B$23</definedName>
    <definedName name="T_CustomerProject" localSheetId="15" hidden="0" function="0" vbProcedure="0">[94]Schematic!$A$8</definedName>
    <definedName name="T_C_H" localSheetId="15" hidden="0" function="0" vbProcedure="0">'[50]12(762mm)套管'!#ref!</definedName>
    <definedName name="T_Description" localSheetId="15" hidden="0" function="0" vbProcedure="0">[94]Schematic!$D$31</definedName>
    <definedName name="T_District" localSheetId="15" hidden="0" function="0" vbProcedure="0">'[94]Physical Barrier Check Form'!$B$4</definedName>
    <definedName name="T_DProductionPacker" localSheetId="15" hidden="0" function="0" vbProcedure="0">'[94]Physical Barrier Check Form'!$B$27</definedName>
    <definedName name="T_Drift" localSheetId="15" hidden="0" function="0" vbProcedure="0">'[94]Job Technical Info'!$G$23</definedName>
    <definedName name="T_EBridgePlug" localSheetId="15" hidden="0" function="0" vbProcedure="0">'[94]Physical Barrier Check Form'!$B$31</definedName>
    <definedName name="T_FluidType" localSheetId="15" hidden="0" function="0" vbProcedure="0">'[94]Job Technical Info'!$E$42</definedName>
    <definedName name="T_FluidWeight" localSheetId="15" hidden="0" function="0" vbProcedure="0">'[94]Job Technical Info'!$G$42</definedName>
    <definedName name="T_FOtherBarriers" localSheetId="15" hidden="0" function="0" vbProcedure="0">'[94]Physical Barrier Check Form'!$B$35</definedName>
    <definedName name="T_Grade" localSheetId="15" hidden="0" function="0" vbProcedure="0">'[94]Job Technical Info'!$H$23</definedName>
    <definedName name="T_ID" localSheetId="15" hidden="0" function="0" vbProcedure="0">'[94]Job Technical Info'!$F$23</definedName>
    <definedName name="T_Length" localSheetId="15" hidden="0" function="0" vbProcedure="0">[94]Schematic!$M$31</definedName>
    <definedName name="T_Liner1" localSheetId="15" hidden="0" function="0" vbProcedure="0">'[94]Job Technical Info'!$B$29</definedName>
    <definedName name="T_Liner2" localSheetId="15" hidden="0" function="0" vbProcedure="0">'[94]Job Technical Info'!$B$30</definedName>
    <definedName name="T_MaxDev" localSheetId="15" hidden="0" function="0" vbProcedure="0">[94]Schematic!$M$10</definedName>
    <definedName name="T_No" localSheetId="15" hidden="0" function="0" vbProcedure="0">[94]Schematic!$C$31</definedName>
    <definedName name="T_Notes" localSheetId="15" hidden="0" function="0" vbProcedure="0">'[94]Physical Barrier Check Form'!$H$13</definedName>
    <definedName name="T_OD" localSheetId="15" hidden="0" function="0" vbProcedure="0">'[94]Job Technical Info'!$D$23</definedName>
    <definedName name="T_Thread" localSheetId="15" hidden="0" function="0" vbProcedure="0">'[94]Job Technical Info'!$J$23</definedName>
    <definedName name="T_Tubing1" localSheetId="15" hidden="0" function="0" vbProcedure="0">'[94]Job Technical Info'!$B$35</definedName>
    <definedName name="T_Tubing2" localSheetId="15" hidden="0" function="0" vbProcedure="0">'[94]Job Technical Info'!$B$36</definedName>
    <definedName name="T_Tubing3" localSheetId="15" hidden="0" function="0" vbProcedure="0">'[94]Job Technical Info'!$B$37</definedName>
    <definedName name="T_Tubing4" localSheetId="15" hidden="0" function="0" vbProcedure="0">'[94]Job Technical Info'!$B$38</definedName>
    <definedName name="T_Tubulars" localSheetId="15" hidden="0" function="0" vbProcedure="0">'[94]Job Technical Info'!$B$23</definedName>
    <definedName name="T_Weight" localSheetId="15" hidden="0" function="0" vbProcedure="0">'[94]Job Technical Info'!$E$23</definedName>
    <definedName name="T_Workstring1" localSheetId="15" hidden="0" function="0" vbProcedure="0">'[94]Job Technical Info'!$B$31</definedName>
    <definedName name="T_Workstring2" localSheetId="15" hidden="0" function="0" vbProcedure="0">'[94]Job Technical Info'!$B$32</definedName>
    <definedName name="T_Workstring3" localSheetId="15" hidden="0" function="0" vbProcedure="0">'[94]Job Technical Info'!$B$33</definedName>
    <definedName name="T_Workstring4" localSheetId="15" hidden="0" function="0" vbProcedure="0">'[94]Job Technical Info'!$B$34</definedName>
    <definedName name="U" localSheetId="15" hidden="0" function="0" vbProcedure="0">[176]Lists!$A$1:$A$3</definedName>
    <definedName name="Underbalance" localSheetId="15" hidden="0" function="0" vbProcedure="0">'[108]Job Calculation Sheet'!$H$34</definedName>
    <definedName name="UNI_AA_VERSION" localSheetId="15" hidden="1" function="0" vbProcedure="0">"322.2.0"</definedName>
    <definedName name="Used" localSheetId="15" hidden="0" function="0" vbProcedure="0">[109]DATA!$AR$2:$AR$3</definedName>
    <definedName name="Using_Hanger" localSheetId="15" hidden="0" function="0" vbProcedure="0">'[109]Liner Job Info'!$D$38</definedName>
    <definedName name="Using_Packer" localSheetId="15" hidden="0" function="0" vbProcedure="0">'[109]Liner Job Info'!$P$30</definedName>
    <definedName name="VALIDCURR" localSheetId="15" hidden="0" function="0" vbProcedure="0">[177]Currency!$A$1:$A$170</definedName>
    <definedName name="Vallist" localSheetId="15" hidden="0" function="0" vbProcedure="0">'[109]Casing Info'!$A$2:$A$34</definedName>
    <definedName name="vallist2" localSheetId="15" hidden="0" function="0" vbProcedure="0">#N/A</definedName>
    <definedName name="vbcode.draw_blanks" localSheetId="15" hidden="0" function="0" vbProcedure="0">'[146]tally checklist'!vbcode.draw_blanks</definedName>
    <definedName name="vbcode.draw_linerfirst" localSheetId="15" hidden="0" function="0" vbProcedure="0">'[146]tally checklist'!vbcode.draw_linerfirst</definedName>
    <definedName name="vbcode.draw_linersecond" localSheetId="15" hidden="0" function="0" vbProcedure="0">'[146]tally checklist'!vbcode.draw_linersecond</definedName>
    <definedName name="vbcode.draw_miscellaneous" localSheetId="15" hidden="0" function="0" vbProcedure="0">'[146]tally checklist'!vbcode.draw_miscellaneous</definedName>
    <definedName name="vbcode.draw_productionfirst" localSheetId="15" hidden="0" function="0" vbProcedure="0">'[146]tally checklist'!vbcode.draw_productionfirst</definedName>
    <definedName name="vbcode.draw_productionsecond" localSheetId="15" hidden="0" function="0" vbProcedure="0">'[146]tally checklist'!vbcode.draw_productionsecond</definedName>
    <definedName name="vbcode.draw_quantum" localSheetId="15" hidden="0" function="0" vbProcedure="0">'[146]tally checklist'!vbcode.draw_quantum</definedName>
    <definedName name="vbcode.draw_screens" localSheetId="15" hidden="0" function="0" vbProcedure="0">'[146]tally checklist'!vbcode.draw_screens</definedName>
    <definedName name="vbcode.draw_shearsubs" localSheetId="15" hidden="0" function="0" vbProcedure="0">'[146]tally checklist'!vbcode.draw_shearsubs</definedName>
    <definedName name="vbcode.draw_sump" localSheetId="15" hidden="0" function="0" vbProcedure="0">'[146]tally checklist'!vbcode.draw_sump</definedName>
    <definedName name="vbcode.text_five" localSheetId="15" hidden="0" function="0" vbProcedure="0">'[146]tally checklist'!vbcode.text_five</definedName>
    <definedName name="vbcode.text_fivehalf" localSheetId="15" hidden="0" function="0" vbProcedure="0">'[146]tally checklist'!vbcode.text_fivehalf</definedName>
    <definedName name="vbcode.text_ninefiveeightfourfirst" localSheetId="15" hidden="0" function="0" vbProcedure="0">'[146]tally checklist'!vbcode.text_ninefiveeightfourfirst</definedName>
    <definedName name="vbcode.text_ninefiveeightfoursecond" localSheetId="15" hidden="0" function="0" vbProcedure="0">'[146]tally checklist'!vbcode.text_ninefiveeightfoursecond</definedName>
    <definedName name="vbcode.text_ninefiveeightsixfirst" localSheetId="15" hidden="0" function="0" vbProcedure="0">'[146]tally checklist'!vbcode.text_ninefiveeightsixfirst</definedName>
    <definedName name="vbcode.text_ninefiveeightsixsecond" localSheetId="15" hidden="0" function="0" vbProcedure="0">'[146]tally checklist'!vbcode.text_ninefiveeightsixsecond</definedName>
    <definedName name="vbcode.text_sevenfiveeightfour" localSheetId="15" hidden="0" function="0" vbProcedure="0">'[146]tally checklist'!vbcode.text_sevenfiveeightfour</definedName>
    <definedName name="vbcode.text_sevenfiveeightthree" localSheetId="15" hidden="0" function="0" vbProcedure="0">'[146]tally checklist'!vbcode.text_sevenfiveeightthree</definedName>
    <definedName name="vbcode.text_sevenfour" localSheetId="15" hidden="0" function="0" vbProcedure="0">'[146]tally checklist'!vbcode.text_sevenfour</definedName>
    <definedName name="vbcode.text_seventhree" localSheetId="15" hidden="0" function="0" vbProcedure="0">'[146]tally checklist'!vbcode.text_seventhree</definedName>
    <definedName name="Verticaldepth" localSheetId="15" hidden="0" function="0" vbProcedure="0">'[129]Front Page Info'!$C$18</definedName>
    <definedName name="volume1" localSheetId="15" hidden="0" function="0" vbProcedure="0">{#N/A,#N/A,FALSE,"Volume"}</definedName>
    <definedName name="VOL_MULE_SHOE" localSheetId="15" hidden="0" function="0" vbProcedure="0">'[113]#REF'!$F$178</definedName>
    <definedName name="VS" localSheetId="15" hidden="0" function="0" vbProcedure="0">'[95]MACRO125 '!$F$6</definedName>
    <definedName name="vvv" localSheetId="15" hidden="0" function="0" vbProcedure="0">[119]钻井日报表!$E$7</definedName>
    <definedName name="vvvdf" localSheetId="15" hidden="0" function="0" vbProcedure="0">[119]钻井日报表!$G$8</definedName>
    <definedName name="w" localSheetId="15" hidden="0" function="0" vbProcedure="0">'[306]run sheet'!#ref!</definedName>
    <definedName name="WBJobRev" localSheetId="15" hidden="0" function="0" vbProcedure="0">'[94]Job Technical Info'!$C$11</definedName>
    <definedName name="Weak_DP" localSheetId="15" hidden="0" function="0" vbProcedure="0">'[109]Weight Calculations'!$V$63</definedName>
    <definedName name="Weak_link" localSheetId="15" hidden="0" function="0" vbProcedure="0">'[109]Weight Calculations'!$R$61</definedName>
    <definedName name="Week" localSheetId="15" hidden="0" function="0" vbProcedure="0">[18]Criteria!$A$2:$A$51</definedName>
    <definedName name="weight" localSheetId="15" hidden="0" function="0" vbProcedure="0">'[7]Drop-Down Items'!$M$7:$M$10</definedName>
    <definedName name="well1"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5" hidden="0" function="0" vbProcedure="0">[132]Data!$K$1:$K$65536</definedName>
    <definedName name="Welllocation1" localSheetId="15" hidden="0" function="0" vbProcedure="0">[132]Data!$M$1:$M$65536</definedName>
    <definedName name="WellMD" localSheetId="15" hidden="0" function="0" vbProcedure="0">'[94]Job Technical Info'!$H$41</definedName>
    <definedName name="WellNo" localSheetId="15" hidden="0" function="0" vbProcedure="0">'[30]Liner Job Info'!$E$6</definedName>
    <definedName name="Wells" localSheetId="15" hidden="0" function="0" vbProcedure="0">[307]welltest!#ref!</definedName>
    <definedName name="WellTVD" localSheetId="15" hidden="0" function="0" vbProcedure="0">'[94]Job Technical Info'!$J$41</definedName>
    <definedName name="welltype" localSheetId="15" hidden="0" function="0" vbProcedure="0">'[113]#REF'!$F$18</definedName>
    <definedName name="Welltype2" localSheetId="15" hidden="0" function="0" vbProcedure="0">[178]Data!$H$1:$H$65536</definedName>
    <definedName name="Well_Name" localSheetId="15" hidden="0" function="0" vbProcedure="0">'[108]TCP-BHA'!$C$7</definedName>
    <definedName name="Well_Number" localSheetId="15" hidden="0" function="0" vbProcedure="0">'[62]Liner Job Info'!$E$6</definedName>
    <definedName name="well_type" localSheetId="15" hidden="0" function="0" vbProcedure="0">'[7]Drop-Down Items'!$D$43:$D$48</definedName>
    <definedName name="Well_Type__Oil_Gas" localSheetId="15" hidden="0" function="0" vbProcedure="0">'[108]Pre-Job Info Sheet'!$B$31</definedName>
    <definedName name="WHP" localSheetId="15" hidden="0" function="0" vbProcedure="0">#ref!</definedName>
    <definedName name="wht" localSheetId="15" hidden="0" function="0" vbProcedure="0">'[96]well test sheet'!#ref!</definedName>
    <definedName name="wiperplugunity" localSheetId="15" hidden="0" function="0" vbProcedure="0">[109]Test!$G$18</definedName>
    <definedName name="WkstrDrift1" localSheetId="15" hidden="0" function="0" vbProcedure="0">'[94]Job Technical Info'!$G$31</definedName>
    <definedName name="WkstrDrift2" localSheetId="15" hidden="0" function="0" vbProcedure="0">'[94]Job Technical Info'!$G$32</definedName>
    <definedName name="WkstrDrift3" localSheetId="15" hidden="0" function="0" vbProcedure="0">'[94]Job Technical Info'!$G$33</definedName>
    <definedName name="WkstrDrift4" localSheetId="15" hidden="0" function="0" vbProcedure="0">'[94]Job Technical Info'!$G$34</definedName>
    <definedName name="WkstrGrd1" localSheetId="15" hidden="0" function="0" vbProcedure="0">'[94]Job Technical Info'!$H$31</definedName>
    <definedName name="WkstrGrd2" localSheetId="15" hidden="0" function="0" vbProcedure="0">'[94]Job Technical Info'!$H$32</definedName>
    <definedName name="WkstrGrd3" localSheetId="15" hidden="0" function="0" vbProcedure="0">'[94]Job Technical Info'!$H$33</definedName>
    <definedName name="WkstrGrd4" localSheetId="15" hidden="0" function="0" vbProcedure="0">'[94]Job Technical Info'!$H$34</definedName>
    <definedName name="WkstrID1" localSheetId="15" hidden="0" function="0" vbProcedure="0">'[94]Job Technical Info'!$F$31</definedName>
    <definedName name="WkstrID2" localSheetId="15" hidden="0" function="0" vbProcedure="0">'[94]Job Technical Info'!$F$32</definedName>
    <definedName name="WkstrID3" localSheetId="15" hidden="0" function="0" vbProcedure="0">'[94]Job Technical Info'!$F$33</definedName>
    <definedName name="WkstrID4" localSheetId="15" hidden="0" function="0" vbProcedure="0">'[94]Job Technical Info'!$F$34</definedName>
    <definedName name="WkstrSz1" localSheetId="15" hidden="0" function="0" vbProcedure="0">'[94]Job Technical Info'!$D$31</definedName>
    <definedName name="WkstrSz2" localSheetId="15" hidden="0" function="0" vbProcedure="0">'[94]Job Technical Info'!$D$32</definedName>
    <definedName name="WkstrSz3" localSheetId="15" hidden="0" function="0" vbProcedure="0">'[94]Job Technical Info'!$D$33</definedName>
    <definedName name="WkstrSz4" localSheetId="15" hidden="0" function="0" vbProcedure="0">'[94]Job Technical Info'!$D$34</definedName>
    <definedName name="WkstrThd1" localSheetId="15" hidden="0" function="0" vbProcedure="0">'[94]Job Technical Info'!$J$31</definedName>
    <definedName name="WkstrThd2" localSheetId="15" hidden="0" function="0" vbProcedure="0">'[94]Job Technical Info'!$J$32</definedName>
    <definedName name="WkstrThd3" localSheetId="15" hidden="0" function="0" vbProcedure="0">'[94]Job Technical Info'!$J$33</definedName>
    <definedName name="WkstrThd4" localSheetId="15" hidden="0" function="0" vbProcedure="0">'[94]Job Technical Info'!$J$34</definedName>
    <definedName name="WkstrWt1" localSheetId="15" hidden="0" function="0" vbProcedure="0">'[94]Job Technical Info'!$E$31</definedName>
    <definedName name="WkstrWt2" localSheetId="15" hidden="0" function="0" vbProcedure="0">'[94]Job Technical Info'!$E$32</definedName>
    <definedName name="WkstrWt3" localSheetId="15" hidden="0" function="0" vbProcedure="0">'[94]Job Technical Info'!$E$33</definedName>
    <definedName name="WkstrWt4" localSheetId="15" hidden="0" function="0" vbProcedure="0">'[94]Job Technical Info'!$E$34</definedName>
    <definedName name="workstringid" localSheetId="15" hidden="0" function="0" vbProcedure="0">'[113]#REF'!$H$12</definedName>
    <definedName name="workstringidref" localSheetId="15" hidden="0" function="0" vbProcedure="0">[106]Data!$GC$3</definedName>
    <definedName name="workstringlength" localSheetId="15" hidden="0" function="0" vbProcedure="0">'[113]#REF'!$J$12</definedName>
    <definedName name="workstringod" localSheetId="15" hidden="0" function="0" vbProcedure="0">'[113]#REF'!$F$12</definedName>
    <definedName name="workstringtable" localSheetId="15" hidden="0" function="0" vbProcedure="0">[86]!CasingTable[#data]</definedName>
    <definedName name="workstringwt" localSheetId="15" hidden="0" function="0" vbProcedure="0">'[113]#REF'!$M$12</definedName>
    <definedName name="Workstring_Grade" localSheetId="15" hidden="0" function="0" vbProcedure="0">'[108]Pre-Job Info Sheet'!$D$27</definedName>
    <definedName name="Workstring_ID" localSheetId="15" hidden="0" function="0" vbProcedure="0">'[108]Job Calculation Sheet'!$F$16</definedName>
    <definedName name="Workstring_Length" localSheetId="15" hidden="0" function="0" vbProcedure="0">'[108]TCP-BHA'!$G$12</definedName>
    <definedName name="Workstring_Size" localSheetId="15" hidden="0" function="0" vbProcedure="0">'[108]Pre-Job Info Sheet'!$D$25</definedName>
    <definedName name="Workstring_Type" localSheetId="15" hidden="0" function="0" vbProcedure="0">'[108]Pre-Job Info Sheet'!$D$24</definedName>
    <definedName name="Workstring_Wt._Ft." localSheetId="15" hidden="0" function="0" vbProcedure="0">'[108]Pre-Job Info Sheet'!$D$26</definedName>
    <definedName name="wrn.ASDF." localSheetId="15" hidden="1" function="0" vbProcedure="0">{#N/A,#N/A,FALSE,"SHEET 1";#N/A,#N/A,FALSE,"Sheet4"}</definedName>
    <definedName name="wrn.AT._.Reports." localSheetId="15" hidden="1" function="0" vbProcedure="0">{#N/A,#N/A,FALSE,"Drlg Param Run 1-1";#N/A,#N/A,FALSE,"DDR (3)";#N/A,#N/A,FALSE,"BHA AT (1)";#N/A,#N/A,FALSE,"Downlinkbha";#N/A,#N/A,FALSE,"Job Status Report"}</definedName>
    <definedName name="wrn.CD_MST." localSheetId="15" hidden="1" function="0" vbProcedure="0">{#N/A,#N/A,FALSE,"Sheet1"}</definedName>
    <definedName name="wrn.DST_TCP." localSheetId="15" hidden="1" function="0" vbProcedure="0">{#N/A,#N/A,FALSE,"INFO";#N/A,#N/A,FALSE,"PCT";#N/A,#N/A,FALSE,"DISCS";#N/A,#N/A,FALSE,"DISC TABLE";#N/A,#N/A,FALSE,"CUSHION";#N/A,#N/A,FALSE,"HYDRAULICS";#N/A,#N/A,FALSE,"MCCV";#N/A,#N/A,FALSE,"HDF";#N/A,#N/A,FALSE,"GUNS";#N/A,#N/A,FALSE,"GUNDATA"}</definedName>
    <definedName name="wrn.FULL._.DTL." localSheetId="15" hidden="1" function="0" vbProcedure="0">{"CF",#N/A,FALSE,"FULL COST";"MANUFACT",#N/A,FALSE,"FULL COST";"PAYNMENT",#N/A,FALSE,"FULL COST"}</definedName>
    <definedName name="wrn.FULLSUM." localSheetId="15" hidden="1" function="0" vbProcedure="0">{#N/A,#N/A,FALSE,"SUM-1";#N/A,#N/A,FALSE,"SUM-2";#N/A,#N/A,FALSE,"TENDER"}</definedName>
    <definedName name="wrn.ratios." localSheetId="15" hidden="1" function="0" vbProcedure="0">{"raatios",#N/A,FALSE,"A";"ratios",#N/A,FALSE,"B";"ratios",#N/A,FALSE,"C";"ratios",#N/A,FALSE,"D";"ratios",#N/A,FALSE,"F"}</definedName>
    <definedName name="wrn.SUMMARY." localSheetId="15" hidden="1" function="0" vbProcedure="0">{#N/A,#N/A,FALSE,"JUNK"}</definedName>
    <definedName name="wrn.VOLUME." localSheetId="15" hidden="0" function="0" vbProcedure="0">{#N/A,#N/A,FALSE,"Volume"}</definedName>
    <definedName name="wrn.volume.2" localSheetId="15" hidden="0" function="0" vbProcedure="0">{#N/A,#N/A,FALSE,"Volume"}</definedName>
    <definedName name="wrn.volume.2_1" localSheetId="15" hidden="0" function="0" vbProcedure="0">{#N/A,#N/A,FALSE,"Volume"}</definedName>
    <definedName name="wrn.volume.2_2" localSheetId="15" hidden="0" function="0" vbProcedure="0">{#N/A,#N/A,FALSE,"Volume"}</definedName>
    <definedName name="wrn.volume.2_3" localSheetId="15" hidden="0" function="0" vbProcedure="0">{#N/A,#N/A,FALSE,"Volume"}</definedName>
    <definedName name="wrn.volume.2_4" localSheetId="15" hidden="0" function="0" vbProcedure="0">{#N/A,#N/A,FALSE,"Volume"}</definedName>
    <definedName name="wrn.volume.2_5" localSheetId="15" hidden="0" function="0" vbProcedure="0">{#N/A,#N/A,FALSE,"Volume"}</definedName>
    <definedName name="wrn.volume.3" localSheetId="15" hidden="0" function="0" vbProcedure="0">{#N/A,#N/A,FALSE,"Volume"}</definedName>
    <definedName name="wrn.volume.3_1" localSheetId="15" hidden="0" function="0" vbProcedure="0">{#N/A,#N/A,FALSE,"Volume"}</definedName>
    <definedName name="wrn.volume.3_2" localSheetId="15" hidden="0" function="0" vbProcedure="0">{#N/A,#N/A,FALSE,"Volume"}</definedName>
    <definedName name="wrn.volume.3_3" localSheetId="15" hidden="0" function="0" vbProcedure="0">{#N/A,#N/A,FALSE,"Volume"}</definedName>
    <definedName name="wrn.volume.3_4" localSheetId="15" hidden="0" function="0" vbProcedure="0">{#N/A,#N/A,FALSE,"Volume"}</definedName>
    <definedName name="wrn.volume.3_5" localSheetId="15" hidden="0" function="0" vbProcedure="0">{#N/A,#N/A,FALSE,"Volume"}</definedName>
    <definedName name="wrn.VOLUME._1" localSheetId="15" hidden="0" function="0" vbProcedure="0">{#N/A,#N/A,FALSE,"Volume"}</definedName>
    <definedName name="wrn.VOLUME._2" localSheetId="15" hidden="0" function="0" vbProcedure="0">{#N/A,#N/A,FALSE,"Volume"}</definedName>
    <definedName name="wrn.VOLUME._3" localSheetId="15" hidden="0" function="0" vbProcedure="0">{#N/A,#N/A,FALSE,"Volume"}</definedName>
    <definedName name="wrn.VOLUME._4" localSheetId="15" hidden="0" function="0" vbProcedure="0">{#N/A,#N/A,FALSE,"Volume"}</definedName>
    <definedName name="wrn.VOLUME._5" localSheetId="15" hidden="0" function="0" vbProcedure="0">{#N/A,#N/A,FALSE,"Volume"}</definedName>
    <definedName name="WRN.VULUME" localSheetId="15" hidden="0" function="0" vbProcedure="0">{#N/A,#N/A,FALSE,"Volume"}</definedName>
    <definedName name="wrn.Wellplan." localSheetId="1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5" hidden="1" function="0" vbProcedure="0">{#N/A,#N/A,FALSE,"SHEET 1";#N/A,#N/A,FALSE,"Sheet4"}</definedName>
    <definedName name="wscolumn" localSheetId="15" hidden="0" function="0" vbProcedure="0">[106]Data!$W$19</definedName>
    <definedName name="WS_ID" localSheetId="15" hidden="0" function="0" vbProcedure="0">'[113]#REF'!$H$12</definedName>
    <definedName name="WS_LENGTH" localSheetId="15" hidden="0" function="0" vbProcedure="0">'[113]#REF'!$J$12</definedName>
    <definedName name="WS_OD" localSheetId="15" hidden="0" function="0" vbProcedure="0">'[113]#REF'!$F$12</definedName>
    <definedName name="wt" localSheetId="15" hidden="0" function="0" vbProcedure="0">'[115]Max-Torq'!$P$64</definedName>
    <definedName name="wtcasing" localSheetId="15" hidden="0" function="0" vbProcedure="0">[106]Data!$J$19</definedName>
    <definedName name="wtr_cumm" localSheetId="15" hidden="0" function="0" vbProcedure="0">'[96]well test sheet'!#ref!</definedName>
    <definedName name="wtr_rate" localSheetId="15" hidden="0" function="0" vbProcedure="0">'[96]well test sheet'!#ref!</definedName>
    <definedName name="wtworkstring" localSheetId="15" hidden="0" function="0" vbProcedure="0">[106]Data!$W$21</definedName>
    <definedName name="Wtype" localSheetId="15" hidden="0" function="0" vbProcedure="0">'[109]Liner Job Info'!$E$9</definedName>
    <definedName name="Wt_Bouyant" localSheetId="15" hidden="0" function="0" vbProcedure="0">'[108]Packer Calculation Sheet'!$I$34</definedName>
    <definedName name="Wt_w_Cmt" localSheetId="15" hidden="0" function="0" vbProcedure="0">'[109]Liner Job Info'!$D$34</definedName>
    <definedName name="Wt_W_Pkr_Tst" localSheetId="15" hidden="0" function="0" vbProcedure="0">'[109]Liner Job Info'!$D$36</definedName>
    <definedName name="X" localSheetId="15" hidden="0" function="0" vbProcedure="0">#ref!</definedName>
    <definedName name="X5_TO" localSheetId="15" hidden="0" function="0" vbProcedure="0">[129]RSS!$C$197</definedName>
    <definedName name="XCEED_TO" localSheetId="15" hidden="0" function="0" vbProcedure="0">[129]RSS!$G$201</definedName>
    <definedName name="xoportdepth" localSheetId="15" hidden="0" function="0" vbProcedure="0">'[113]#REF'!$F$21</definedName>
    <definedName name="XO_DEPTH" localSheetId="15" hidden="0" function="0" vbProcedure="0">'[113]#REF'!$F$21</definedName>
    <definedName name="XO_PORT_DEPTH" localSheetId="15" hidden="0" function="0" vbProcedure="0">'[113]#REF'!$F$21</definedName>
    <definedName name="XTRA_TO" localSheetId="15" hidden="0" function="0" vbProcedure="0">[129]RSS!$E$201</definedName>
    <definedName name="xxx" localSheetId="15" hidden="1" function="0" vbProcedure="0">{#N/A,#N/A,FALSE,"Sheet1"}</definedName>
    <definedName name="Y" localSheetId="15" hidden="0" function="0" vbProcedure="0">'[310]#ref'!#ref!</definedName>
    <definedName name="YESNO" localSheetId="15" hidden="0" function="0" vbProcedure="0">[129]RSS!$E$139:$E$141</definedName>
    <definedName name="YES_NO" localSheetId="15" hidden="0" function="0" vbProcedure="0">[195]LIBRARY!$L$41:$L$42</definedName>
    <definedName name="YJEJD" localSheetId="15" hidden="0" function="0" vbProcedure="0">'[146]tally checklist'!yjejd</definedName>
    <definedName name="yp" localSheetId="15" hidden="0" function="0" vbProcedure="0">'[115]Max-Torq'!$N$59</definedName>
    <definedName name="ypa" localSheetId="15" hidden="0" function="0" vbProcedure="0">'[115]Max-Torq'!$P$63</definedName>
    <definedName name="ypdtr" localSheetId="15" hidden="0" function="0" vbProcedure="0">'[115]Max-Torq'!$P$70</definedName>
    <definedName name="yyyyyyyyyyyy" localSheetId="15" hidden="1" function="0" vbProcedure="0">{"raatios",#N/A,FALSE,"A";"ratios",#N/A,FALSE,"B";"ratios",#N/A,FALSE,"C";"ratios",#N/A,FALSE,"D";"ratios",#N/A,FALSE,"F"}</definedName>
    <definedName name="zone" localSheetId="15" hidden="0" function="0" vbProcedure="0">[5]WTR!$L$4</definedName>
    <definedName name="Zone1BHP" localSheetId="15" hidden="0" function="0" vbProcedure="0">'[94]Job Technical Info'!$G$49</definedName>
    <definedName name="Zone1BHT" localSheetId="15" hidden="0" function="0" vbProcedure="0">'[94]Job Technical Info'!$H$49</definedName>
    <definedName name="Zone1Bottom" localSheetId="15" hidden="0" function="0" vbProcedure="0">'[94]Job Technical Info'!$E$49</definedName>
    <definedName name="Zone1Dev" localSheetId="15" hidden="0" function="0" vbProcedure="0">'[94]Job Technical Info'!$F$49</definedName>
    <definedName name="Zone1FluidType" localSheetId="15" hidden="0" function="0" vbProcedure="0">'[94]Job Technical Info'!$I$49</definedName>
    <definedName name="Zone1FluidWt" localSheetId="15" hidden="0" function="0" vbProcedure="0">'[94]Job Technical Info'!$J$49</definedName>
    <definedName name="Zone1Name" localSheetId="15" hidden="0" function="0" vbProcedure="0">'[94]Job Technical Info'!$C$49</definedName>
    <definedName name="Zone1Top" localSheetId="15" hidden="0" function="0" vbProcedure="0">'[94]Job Technical Info'!$D$49</definedName>
    <definedName name="Zone2BHP" localSheetId="15" hidden="0" function="0" vbProcedure="0">'[94]Job Technical Info'!$G$50</definedName>
    <definedName name="Zone2BHT" localSheetId="15" hidden="0" function="0" vbProcedure="0">'[94]Job Technical Info'!$H$50</definedName>
    <definedName name="Zone2Bottom" localSheetId="15" hidden="0" function="0" vbProcedure="0">'[94]Job Technical Info'!$E$50</definedName>
    <definedName name="Zone2Dev" localSheetId="15" hidden="0" function="0" vbProcedure="0">'[94]Job Technical Info'!$F$50</definedName>
    <definedName name="Zone2FluidType" localSheetId="15" hidden="0" function="0" vbProcedure="0">'[94]Job Technical Info'!$I$50</definedName>
    <definedName name="Zone2FluidWt" localSheetId="15" hidden="0" function="0" vbProcedure="0">'[94]Job Technical Info'!$J$50</definedName>
    <definedName name="Zone2Name" localSheetId="15" hidden="0" function="0" vbProcedure="0">'[94]Job Technical Info'!$C$50</definedName>
    <definedName name="Zone2Top" localSheetId="15" hidden="0" function="0" vbProcedure="0">'[94]Job Technical Info'!$D$50</definedName>
    <definedName name="Zone3BHP" localSheetId="15" hidden="0" function="0" vbProcedure="0">'[94]Job Technical Info'!$G$51</definedName>
    <definedName name="Zone3BHT" localSheetId="15" hidden="0" function="0" vbProcedure="0">'[94]Job Technical Info'!$H$51</definedName>
    <definedName name="Zone3Bottom" localSheetId="15" hidden="0" function="0" vbProcedure="0">'[94]Job Technical Info'!$E$51</definedName>
    <definedName name="Zone3Dev" localSheetId="15" hidden="0" function="0" vbProcedure="0">'[94]Job Technical Info'!$F$51</definedName>
    <definedName name="Zone3FluidType" localSheetId="15" hidden="0" function="0" vbProcedure="0">'[94]Job Technical Info'!$I$51</definedName>
    <definedName name="Zone3FluidWt" localSheetId="15" hidden="0" function="0" vbProcedure="0">'[94]Job Technical Info'!$J$51</definedName>
    <definedName name="Zone3Name" localSheetId="15" hidden="0" function="0" vbProcedure="0">'[94]Job Technical Info'!$C$51</definedName>
    <definedName name="Zone3Top" localSheetId="15" hidden="0" function="0" vbProcedure="0">'[94]Job Technical Info'!$D$51</definedName>
    <definedName name="Zone4BHP" localSheetId="15" hidden="0" function="0" vbProcedure="0">'[94]Job Technical Info'!$G$52</definedName>
    <definedName name="Zone4BHT" localSheetId="15" hidden="0" function="0" vbProcedure="0">'[94]Job Technical Info'!$H$52</definedName>
    <definedName name="Zone4Bottom" localSheetId="15" hidden="0" function="0" vbProcedure="0">'[94]Job Technical Info'!$E$52</definedName>
    <definedName name="Zone4Dev" localSheetId="15" hidden="0" function="0" vbProcedure="0">'[94]Job Technical Info'!$F$52</definedName>
    <definedName name="Zone4FluidType" localSheetId="15" hidden="0" function="0" vbProcedure="0">'[94]Job Technical Info'!$I$52</definedName>
    <definedName name="Zone4FluidWt" localSheetId="15" hidden="0" function="0" vbProcedure="0">'[94]Job Technical Info'!$J$52</definedName>
    <definedName name="Zone4Name" localSheetId="15" hidden="0" function="0" vbProcedure="0">'[94]Job Technical Info'!$C$52</definedName>
    <definedName name="Zone4Top" localSheetId="15" hidden="0" function="0" vbProcedure="0">'[94]Job Technical Info'!$D$52</definedName>
    <definedName name="Zone5BHP" localSheetId="15" hidden="0" function="0" vbProcedure="0">'[94]Job Technical Info'!$G$53</definedName>
    <definedName name="Zone5BHT" localSheetId="15" hidden="0" function="0" vbProcedure="0">'[94]Job Technical Info'!$H$53</definedName>
    <definedName name="Zone5Bottom" localSheetId="15" hidden="0" function="0" vbProcedure="0">'[94]Job Technical Info'!$E$53</definedName>
    <definedName name="Zone5Dev" localSheetId="15" hidden="0" function="0" vbProcedure="0">'[94]Job Technical Info'!$F$53</definedName>
    <definedName name="Zone5FluidType" localSheetId="15" hidden="0" function="0" vbProcedure="0">'[94]Job Technical Info'!$I$53</definedName>
    <definedName name="Zone5FluidWt" localSheetId="15" hidden="0" function="0" vbProcedure="0">'[94]Job Technical Info'!$J$53</definedName>
    <definedName name="Zone5Name" localSheetId="15" hidden="0" function="0" vbProcedure="0">'[94]Job Technical Info'!$C$53</definedName>
    <definedName name="Zone5Top" localSheetId="15" hidden="0" function="0" vbProcedure="0">'[94]Job Technical Info'!$D$53</definedName>
    <definedName name="ZXP_Seal_Area" localSheetId="15" hidden="0" function="0" vbProcedure="0">[109]Test!$Z$38</definedName>
    <definedName name="Z_Fact_DH" localSheetId="15" hidden="0" function="0" vbProcedure="0">'[108]Tester Valve Calcs'!$F$23</definedName>
    <definedName name="Z_Fact_Surf" localSheetId="15" hidden="0" function="0" vbProcedure="0">'[108]Tester Valve Calcs'!$F$18</definedName>
    <definedName name="_A" localSheetId="15" hidden="0" function="0" vbProcedure="0">'[2]run sheet'!#ref!</definedName>
    <definedName name="_C" localSheetId="15" hidden="0" function="0" vbProcedure="0">'[2]run sheet'!#ref!</definedName>
    <definedName name="_D" localSheetId="15" hidden="0" function="0" vbProcedure="0">'[2]run sheet'!#ref!</definedName>
    <definedName name="_E" localSheetId="15" hidden="0" function="0" vbProcedure="0">'[2]run sheet'!#ref!</definedName>
    <definedName name="_f" localSheetId="15" hidden="0" function="0" vbProcedure="0">{#N/A,#N/A,FALSE,"Volume"}</definedName>
    <definedName name="_g" localSheetId="15" hidden="0" function="0" vbProcedure="0">{#N/A,#N/A,FALSE,"Volume"}</definedName>
    <definedName name="_h" localSheetId="15" hidden="0" function="0" vbProcedure="0">{#N/A,#N/A,FALSE,"Volume"}</definedName>
    <definedName name="_I" localSheetId="15" hidden="0" function="0" vbProcedure="0">'[2]run sheet'!#ref!</definedName>
    <definedName name="_L" localSheetId="15" hidden="0" function="0" vbProcedure="0">'[2]run sheet'!#ref!</definedName>
    <definedName name="_N" localSheetId="15" hidden="0" function="0" vbProcedure="0">'[2]run sheet'!#ref!</definedName>
    <definedName name="_q" localSheetId="15" hidden="0" function="0" vbProcedure="0">'[4]run sheet'!#ref!</definedName>
    <definedName name="_T" localSheetId="15" hidden="0" function="0" vbProcedure="0">{#N/A,#N/A,FALSE,"Volume"}</definedName>
    <definedName name="_Z" localSheetId="15" hidden="0" function="0" vbProcedure="0">'[2]run sheet'!#ref!</definedName>
    <definedName name="_" localSheetId="15" hidden="0" function="0" vbProcedure="0">[6]readings!#ref!</definedName>
    <definedName name="_1" localSheetId="15" hidden="0" function="0" vbProcedure="0">{#N/A,#N/A,FALSE,"Volume"}</definedName>
    <definedName name="_11Druckbereich" localSheetId="15" hidden="0" function="0" vbProcedure="0">[36]run_s!#ref!</definedName>
    <definedName name="_1234GRAPH_G" localSheetId="15" hidden="1" function="0" vbProcedure="0">#ref!</definedName>
    <definedName name="_1Module2__2__.gaugeconok2" localSheetId="15" hidden="0" function="0" vbProcedure="0">[28]!_1Module2__2__.gaugeconok2</definedName>
    <definedName name="_2" localSheetId="15" hidden="0" function="0" vbProcedure="0">{#N/A,#N/A,FALSE,"Volume"}</definedName>
    <definedName name="_2Module2__2__.gaugeok2" localSheetId="15" hidden="0" function="0" vbProcedure="0">[28]!_2Module2__2__.gaugeok2</definedName>
    <definedName name="_3Module2__2__.gaugeselect2" localSheetId="15" hidden="0" function="0" vbProcedure="0">[28]!_3Module2__2__.gaugeselect2</definedName>
    <definedName name="_4Module2__2__.serialselect3" localSheetId="15" hidden="0" function="0" vbProcedure="0">[28]!_4Module2__2__.serialselect3</definedName>
    <definedName name="_5" localSheetId="15" hidden="0" function="0" vbProcedure="0">{#N/A,#N/A,FALSE,"Volume"}</definedName>
    <definedName name="_5Module2__2__.serialselect4" localSheetId="15" hidden="0" function="0" vbProcedure="0">[28]!_5Module2__2__.serialselect4</definedName>
    <definedName name="_a" localSheetId="15" hidden="0" function="0" vbProcedure="0">{#N/A,#N/A,FALSE,"Volume"}</definedName>
    <definedName name="_a1" localSheetId="15" hidden="0" function="0" vbProcedure="0">{#N/A,#N/A,FALSE,"Volume"}</definedName>
    <definedName name="_a2" localSheetId="15" hidden="0" function="0" vbProcedure="0">{#N/A,#N/A,FALSE,"Volume"}</definedName>
    <definedName name="_a3" localSheetId="15" hidden="0" function="0" vbProcedure="0">{#N/A,#N/A,FALSE,"Volume"}</definedName>
    <definedName name="_A4" localSheetId="15" hidden="1" function="0" vbProcedure="0">#ref!</definedName>
    <definedName name="_aa" localSheetId="15" hidden="0" function="0" vbProcedure="0">{#N/A,#N/A,FALSE,"Volume"}</definedName>
    <definedName name="_aaa" localSheetId="15" hidden="0" function="0" vbProcedure="0">{#N/A,#N/A,FALSE,"Volume"}</definedName>
    <definedName name="_aaaaa" localSheetId="15" hidden="0" function="0" vbProcedure="0">{#N/A,#N/A,FALSE,"Volume"}</definedName>
    <definedName name="_aaaaaa" localSheetId="15" hidden="0" function="0" vbProcedure="0">{#N/A,#N/A,FALSE,"Volume"}</definedName>
    <definedName name="_ab" localSheetId="15" hidden="0" function="0" vbProcedure="0">{#N/A,#N/A,FALSE,"Volume"}</definedName>
    <definedName name="_ac" localSheetId="15" hidden="0" function="0" vbProcedure="0">{#N/A,#N/A,FALSE,"Volume"}</definedName>
    <definedName name="_acasdf" localSheetId="15" hidden="0" function="0" vbProcedure="0">{#N/A,#N/A,FALSE,"Volume"}</definedName>
    <definedName name="_acc" localSheetId="15" hidden="0" function="0" vbProcedure="0">{#N/A,#N/A,FALSE,"Volume"}</definedName>
    <definedName name="_ap1" localSheetId="15" hidden="0" function="0" vbProcedure="0">{#N/A,#N/A,FALSE,"Volume"}</definedName>
    <definedName name="_ap2" localSheetId="15" hidden="0" function="0" vbProcedure="0">{#N/A,#N/A,FALSE,"Volume"}</definedName>
    <definedName name="_ap3" localSheetId="15" hidden="0" function="0" vbProcedure="0">{#N/A,#N/A,FALSE,"Volume"}</definedName>
    <definedName name="_app1" localSheetId="15" hidden="0" function="0" vbProcedure="0">{#N/A,#N/A,FALSE,"Volume"}</definedName>
    <definedName name="_app2" localSheetId="15" hidden="0" function="0" vbProcedure="0">{#N/A,#N/A,FALSE,"Volume"}</definedName>
    <definedName name="_app3" localSheetId="15" hidden="0" function="0" vbProcedure="0">{#N/A,#N/A,FALSE,"Volume"}</definedName>
    <definedName name="_app4" localSheetId="15" hidden="0" function="0" vbProcedure="0">{#N/A,#N/A,FALSE,"Volume"}</definedName>
    <definedName name="_app5" localSheetId="15" hidden="0" function="0" vbProcedure="0">{#N/A,#N/A,FALSE,"Volume"}</definedName>
    <definedName name="_asdfas" localSheetId="15" hidden="0" function="0" vbProcedure="0">{#N/A,#N/A,FALSE,"Volume"}</definedName>
    <definedName name="_b" localSheetId="15" hidden="0" function="0" vbProcedure="0">{#N/A,#N/A,FALSE,"Volume"}</definedName>
    <definedName name="_b1" localSheetId="15" hidden="0" function="0" vbProcedure="0">{#N/A,#N/A,FALSE,"Volume"}</definedName>
    <definedName name="_b2" localSheetId="15" hidden="0" function="0" vbProcedure="0">{#N/A,#N/A,FALSE,"Volume"}</definedName>
    <definedName name="_b3" localSheetId="15" hidden="0" function="0" vbProcedure="0">{#N/A,#N/A,FALSE,"Volume"}</definedName>
    <definedName name="_b4" localSheetId="15" hidden="0" function="0" vbProcedure="0">{#N/A,#N/A,FALSE,"Volume"}</definedName>
    <definedName name="_b5" localSheetId="15" hidden="0" function="0" vbProcedure="0">{#N/A,#N/A,FALSE,"Volume"}</definedName>
    <definedName name="_bgn1" localSheetId="15" hidden="1" function="0" vbProcedure="0">{#N/A,#N/A,FALSE,"Sheet1"}</definedName>
    <definedName name="_c" localSheetId="15" hidden="0" function="0" vbProcedure="0">{#N/A,#N/A,FALSE,"Volume"}</definedName>
    <definedName name="_c1" localSheetId="15" hidden="0" function="0" vbProcedure="0">{#N/A,#N/A,FALSE,"Volume"}</definedName>
    <definedName name="_c2" localSheetId="15" hidden="0" function="0" vbProcedure="0">{#N/A,#N/A,FALSE,"Volume"}</definedName>
    <definedName name="_c3" localSheetId="15" hidden="0" function="0" vbProcedure="0">{#N/A,#N/A,FALSE,"Volume"}</definedName>
    <definedName name="_c4" localSheetId="15" hidden="0" function="0" vbProcedure="0">{#N/A,#N/A,FALSE,"Volume"}</definedName>
    <definedName name="_cd1" localSheetId="15" hidden="1" function="0" vbProcedure="0">{#N/A,#N/A,FALSE,"Sheet1"}</definedName>
    <definedName name="_cf1" localSheetId="15" hidden="1" function="0" vbProcedure="0">{#N/A,#N/A,FALSE,"Sheet1"}</definedName>
    <definedName name="_d" localSheetId="15" hidden="0" function="0" vbProcedure="0">{#N/A,#N/A,FALSE,"Volume"}</definedName>
    <definedName name="_d1" localSheetId="15" hidden="0" function="0" vbProcedure="0">{#N/A,#N/A,FALSE,"Volume"}</definedName>
    <definedName name="_d2_" localSheetId="15" hidden="0" function="0" vbProcedure="0">{#N/A,#N/A,FALSE,"Volume"}</definedName>
    <definedName name="_d3" localSheetId="15" hidden="0" function="0" vbProcedure="0">{#N/A,#N/A,FALSE,"Volume"}</definedName>
    <definedName name="_d4" localSheetId="15" hidden="0" function="0" vbProcedure="0">{#N/A,#N/A,FALSE,"Volume"}</definedName>
    <definedName name="_DAT16" localSheetId="15" hidden="0" function="0" vbProcedure="0">'[40]sap serv 06-02'!#ref!</definedName>
    <definedName name="_DAT17" localSheetId="15" hidden="0" function="0" vbProcedure="0">'[40]sap serv 06-02'!#ref!</definedName>
    <definedName name="_DAT19" localSheetId="15" hidden="0" function="0" vbProcedure="0">'[40]sap serv 06-02'!#ref!</definedName>
    <definedName name="_DAT20" localSheetId="15" hidden="0" function="0" vbProcedure="0">'[40]sap serv 06-02'!#ref!</definedName>
    <definedName name="_DAT25" localSheetId="15" hidden="0" function="0" vbProcedure="0">'[40]sap serv 06-02'!#ref!</definedName>
    <definedName name="_DAT26" localSheetId="15" hidden="0" function="0" vbProcedure="0">'[40]sap serv 06-02'!#ref!</definedName>
    <definedName name="_DAT27" localSheetId="15" hidden="0" function="0" vbProcedure="0">'[40]sap serv 06-02'!#ref!</definedName>
    <definedName name="_DAT28" localSheetId="15" hidden="0" function="0" vbProcedure="0">'[40]sap serv 06-02'!#ref!</definedName>
    <definedName name="_DAT29" localSheetId="15" hidden="0" function="0" vbProcedure="0">'[40]sap serv 06-02'!#ref!</definedName>
    <definedName name="_DAT31" localSheetId="15" hidden="0" function="0" vbProcedure="0">'[40]sap serv 06-02'!#ref!</definedName>
    <definedName name="_DAT32" localSheetId="15" hidden="0" function="0" vbProcedure="0">'[40]sap serv 06-02'!#ref!</definedName>
    <definedName name="_DAT34" localSheetId="15" hidden="0" function="0" vbProcedure="0">'[40]sap serv 06-02'!#ref!</definedName>
    <definedName name="_DAT35" localSheetId="15" hidden="0" function="0" vbProcedure="0">'[40]sap serv 06-02'!#ref!</definedName>
    <definedName name="_DAT36" localSheetId="15" hidden="0" function="0" vbProcedure="0">'[40]sap serv 06-02'!#ref!</definedName>
    <definedName name="_DAT40" localSheetId="15" hidden="0" function="0" vbProcedure="0">'[40]sap serv 06-02'!#ref!</definedName>
    <definedName name="_DAT41" localSheetId="15" hidden="0" function="0" vbProcedure="0">'[40]sap serv 06-02'!#ref!</definedName>
    <definedName name="_DAT42" localSheetId="15" hidden="0" function="0" vbProcedure="0">'[40]sap serv 06-02'!#ref!</definedName>
    <definedName name="_DAT44" localSheetId="15" hidden="0" function="0" vbProcedure="0">'[40]sap serv 06-02'!#ref!</definedName>
    <definedName name="_DAT45" localSheetId="15" hidden="0" function="0" vbProcedure="0">'[40]sap serv 06-02'!#ref!</definedName>
    <definedName name="_DAT46" localSheetId="15" hidden="0" function="0" vbProcedure="0">'[40]sap serv 06-02'!#ref!</definedName>
    <definedName name="_DAT47" localSheetId="15" hidden="0" function="0" vbProcedure="0">'[40]sap serv 06-02'!#ref!</definedName>
    <definedName name="_DAT48" localSheetId="15" hidden="0" function="0" vbProcedure="0">'[40]sap serv 06-02'!#ref!</definedName>
    <definedName name="_DAT49" localSheetId="15" hidden="0" function="0" vbProcedure="0">'[40]sap serv 06-02'!#ref!</definedName>
    <definedName name="_DAT50" localSheetId="15" hidden="0" function="0" vbProcedure="0">'[40]sap serv 06-02'!#ref!</definedName>
    <definedName name="_DAT52" localSheetId="15" hidden="0" function="0" vbProcedure="0">'[40]sap serv 06-02'!#ref!</definedName>
    <definedName name="_DAT53" localSheetId="15" hidden="0" function="0" vbProcedure="0">'[40]sap serv 06-02'!#ref!</definedName>
    <definedName name="_DAT54" localSheetId="15" hidden="0" function="0" vbProcedure="0">'[40]sap serv 06-02'!#ref!</definedName>
    <definedName name="_DAT56" localSheetId="15" hidden="0" function="0" vbProcedure="0">'[40]sap serv 06-02'!#ref!</definedName>
    <definedName name="_DAT57" localSheetId="15" hidden="0" function="0" vbProcedure="0">'[40]sap serv 06-02'!#ref!</definedName>
    <definedName name="_DAT62" localSheetId="15" hidden="0" function="0" vbProcedure="0">'[40]sap serv 06-02'!#ref!</definedName>
    <definedName name="_DAT63" localSheetId="15" hidden="0" function="0" vbProcedure="0">'[40]sap serv 06-02'!#ref!</definedName>
    <definedName name="_e" localSheetId="15" hidden="0" function="0" vbProcedure="0">{#N/A,#N/A,FALSE,"Volume"}</definedName>
    <definedName name="_e1" localSheetId="15" hidden="0" function="0" vbProcedure="0">{#N/A,#N/A,FALSE,"Volume"}</definedName>
    <definedName name="_e2" localSheetId="15" hidden="0" function="0" vbProcedure="0">{#N/A,#N/A,FALSE,"Volume"}</definedName>
    <definedName name="_e3" localSheetId="15" hidden="0" function="0" vbProcedure="0">{#N/A,#N/A,FALSE,"Volume"}</definedName>
    <definedName name="_e4" localSheetId="15" hidden="0" function="0" vbProcedure="0">{#N/A,#N/A,FALSE,"Volume"}</definedName>
    <definedName name="_f1" localSheetId="15" hidden="0" function="0" vbProcedure="0">{#N/A,#N/A,FALSE,"Volume"}</definedName>
    <definedName name="_f2" localSheetId="15" hidden="0" function="0" vbProcedure="0">{#N/A,#N/A,FALSE,"Volume"}</definedName>
    <definedName name="_f3" localSheetId="15" hidden="0" function="0" vbProcedure="0">{#N/A,#N/A,FALSE,"Volume"}</definedName>
    <definedName name="_f4" localSheetId="15" hidden="0" function="0" vbProcedure="0">{#N/A,#N/A,FALSE,"Volume"}</definedName>
    <definedName name="_f5" localSheetId="15" hidden="0" function="0" vbProcedure="0">{#N/A,#N/A,FALSE,"Volume"}</definedName>
    <definedName name="_f6" localSheetId="15" hidden="0" function="0" vbProcedure="0">{#N/A,#N/A,FALSE,"Volume"}</definedName>
    <definedName name="_f7" localSheetId="15" hidden="0" function="0" vbProcedure="0">{#N/A,#N/A,FALSE,"Volume"}</definedName>
    <definedName name="_Fill" localSheetId="15" hidden="1" function="0" vbProcedure="0">#ref!</definedName>
    <definedName name="_gmh1" localSheetId="15" hidden="1" function="0" vbProcedure="0">{#N/A,#N/A,FALSE,"Sheet1"}</definedName>
    <definedName name="_i" localSheetId="15" hidden="0" function="0" vbProcedure="0">{#N/A,#N/A,FALSE,"Volume"}</definedName>
    <definedName name="_Key1" localSheetId="15" hidden="1" function="0" vbProcedure="0">#ref!</definedName>
    <definedName name="_lyc7" localSheetId="15" hidden="0" function="0" vbProcedure="0">[119]钻井日报表!$G$5</definedName>
    <definedName name="_num15" localSheetId="15" hidden="0" function="0" vbProcedure="0">'[33]data '!#ref!</definedName>
    <definedName name="_Order2" localSheetId="15" hidden="1" function="0" vbProcedure="0">0</definedName>
    <definedName name="_P" localSheetId="15" hidden="0" function="0" vbProcedure="0">{#N/A,#N/A,FALSE,"Volume"}</definedName>
    <definedName name="_P1" localSheetId="15" hidden="0" function="0" vbProcedure="0">{#N/A,#N/A,FALSE,"Volume"}</definedName>
    <definedName name="_P2" localSheetId="15" hidden="0" function="0" vbProcedure="0">{#N/A,#N/A,FALSE,"Volume"}</definedName>
    <definedName name="_P3" localSheetId="15" hidden="0" function="0" vbProcedure="0">{#N/A,#N/A,FALSE,"Volume"}</definedName>
    <definedName name="_P4" localSheetId="15" hidden="0" function="0" vbProcedure="0">{#N/A,#N/A,FALSE,"Volume"}</definedName>
    <definedName name="_pap1" localSheetId="15" hidden="0" function="0" vbProcedure="0">{#N/A,#N/A,FALSE,"Volume"}</definedName>
    <definedName name="_pap2" localSheetId="15" hidden="0" function="0" vbProcedure="0">{#N/A,#N/A,FALSE,"Volume"}</definedName>
    <definedName name="_pap3" localSheetId="15" hidden="0" function="0" vbProcedure="0">{#N/A,#N/A,FALSE,"Volume"}</definedName>
    <definedName name="_pap4" localSheetId="15" hidden="0" function="0" vbProcedure="0">{#N/A,#N/A,FALSE,"Volume"}</definedName>
    <definedName name="_pap5" localSheetId="15" hidden="0" function="0" vbProcedure="0">{#N/A,#N/A,FALSE,"Volume"}</definedName>
    <definedName name="_r06" localSheetId="15" hidden="0" function="0" vbProcedure="0">[44]!AutoCAD</definedName>
    <definedName name="_Sort" localSheetId="15" hidden="1" function="0" vbProcedure="0">#ref!</definedName>
    <definedName name="_Table1_In1" localSheetId="15" hidden="1" function="0" vbProcedure="0">#ref!</definedName>
    <definedName name="_Table1_Out" localSheetId="15" hidden="1" function="0" vbProcedure="0">#ref!</definedName>
    <definedName name="_TST2" localSheetId="15" hidden="0" function="0" vbProcedure="0">'[109]Liner Job Info'!$O$7</definedName>
    <definedName name="_UA38" localSheetId="15" hidden="0" function="0" vbProcedure="0">[28]!_UA38</definedName>
    <definedName name="_wrn1" localSheetId="15" hidden="0" function="0" vbProcedure="0">{#N/A,#N/A,FALSE,"Volume"}</definedName>
    <definedName name="_x" localSheetId="15" hidden="0" function="0" vbProcedure="0">{#N/A,#N/A,FALSE,"Volume"}</definedName>
    <definedName name="_xa" localSheetId="15" hidden="0" function="0" vbProcedure="0">{#N/A,#N/A,FALSE,"Volume"}</definedName>
    <definedName name="_xb" localSheetId="15" hidden="0" function="0" vbProcedure="0">{#N/A,#N/A,FALSE,"Volume"}</definedName>
    <definedName name="_xc" localSheetId="15" hidden="0" function="0" vbProcedure="0">{#N/A,#N/A,FALSE,"Volume"}</definedName>
    <definedName name="_z" localSheetId="15" hidden="0" function="0" vbProcedure="0">{#N/A,#N/A,FALSE,"Volume"}</definedName>
    <definedName name="_z1" localSheetId="15" hidden="0" function="0" vbProcedure="0">{#N/A,#N/A,FALSE,"Volume"}</definedName>
    <definedName name="_z2" localSheetId="15" hidden="0" function="0" vbProcedure="0">{#N/A,#N/A,FALSE,"Volume"}</definedName>
    <definedName name="_z3" localSheetId="15" hidden="0" function="0" vbProcedure="0">{#N/A,#N/A,FALSE,"Volume"}</definedName>
    <definedName name="_z4" localSheetId="15" hidden="0" function="0" vbProcedure="0">{#N/A,#N/A,FALSE,"Volume"}</definedName>
    <definedName name="__" localSheetId="15" hidden="0" function="0" vbProcedure="0">'[113]#REF'!$E$29</definedName>
    <definedName name="__123Graph_A" localSheetId="15" hidden="1" function="0" vbProcedure="0">#ref!</definedName>
    <definedName name="__123Graph_B" localSheetId="15" hidden="1" function="0" vbProcedure="0">'[102]Minimum Curve Method'!$K$9:$K$152</definedName>
    <definedName name="__123Graph_C" localSheetId="15" hidden="1" function="0" vbProcedure="0">#ref!</definedName>
    <definedName name="__123Graph_D" localSheetId="15" hidden="1" function="0" vbProcedure="0">#ref!</definedName>
    <definedName name="__123Graph_E" localSheetId="15" hidden="1" function="0" vbProcedure="0">#ref!</definedName>
    <definedName name="__123Graph_F" localSheetId="15" hidden="1" function="0" vbProcedure="0">#ref!</definedName>
    <definedName name="__123Graph_X" localSheetId="15" hidden="1" function="0" vbProcedure="0">'[102]Minimum Curve Method'!$K$9:$K$152</definedName>
    <definedName name="__1Module2__2__.gaugeconok2" localSheetId="15" hidden="0" function="0" vbProcedure="0">[28]!__1Module2__2__.gaugeconok2</definedName>
    <definedName name="__2Module2__2__.gaugeok2" localSheetId="15" hidden="0" function="0" vbProcedure="0">[28]!__2Module2__2__.gaugeok2</definedName>
    <definedName name="__3Module2__2__.gaugeselect2" localSheetId="15" hidden="0" function="0" vbProcedure="0">[28]!__3Module2__2__.gaugeselect2</definedName>
    <definedName name="__4Module2__2__.serialselect3" localSheetId="15" hidden="0" function="0" vbProcedure="0">[28]!__4Module2__2__.serialselect3</definedName>
    <definedName name="__5Module2__2__.serialselect4" localSheetId="15" hidden="0" function="0" vbProcedure="0">[28]!__5Module2__2__.serialselect4</definedName>
    <definedName name="__A4" localSheetId="15" hidden="1" function="0" vbProcedure="0">#ref!</definedName>
    <definedName name="__bb2789" localSheetId="15" hidden="0" function="0" vbProcedure="0">[10]!Calculate_Pipe</definedName>
    <definedName name="__UA38" localSheetId="15" hidden="0" function="0" vbProcedure="0">[28]!__UA38</definedName>
    <definedName name="__wrn1" localSheetId="15" hidden="0" function="0" vbProcedure="0">{#N/A,#N/A,FALSE,"Volume"}</definedName>
    <definedName name="___A4" localSheetId="15" hidden="1" function="0" vbProcedure="0">#ref!</definedName>
    <definedName name="___bb2789" localSheetId="15" hidden="0" function="0" vbProcedure="0">[10]!Calculate_Pipe</definedName>
    <definedName name="___wrn1" localSheetId="15" hidden="0" function="0" vbProcedure="0">{#N/A,#N/A,FALSE,"Volume"}</definedName>
    <definedName name="____A4" localSheetId="15" hidden="1" function="0" vbProcedure="0">#ref!</definedName>
    <definedName name="____bb2789" localSheetId="15" hidden="0" function="0" vbProcedure="0">[10]!Calculate_Pipe</definedName>
    <definedName name="____wrn1" localSheetId="15" hidden="0" function="0" vbProcedure="0">{#N/A,#N/A,FALSE,"Volume"}</definedName>
    <definedName name="_____A4" localSheetId="15" hidden="1" function="0" vbProcedure="0">#ref!</definedName>
    <definedName name="_____wrn1" localSheetId="15" hidden="0" function="0" vbProcedure="0">{#N/A,#N/A,FALSE,"Volume"}</definedName>
    <definedName name="______A4" localSheetId="15" hidden="1" function="0" vbProcedure="0">#ref!</definedName>
    <definedName name="_______A4" localSheetId="15" hidden="1" function="0" vbProcedure="0">#ref!</definedName>
    <definedName name="_______wrn1" localSheetId="15" hidden="0" function="0" vbProcedure="0">{#N/A,#N/A,FALSE,"Volume"}</definedName>
    <definedName name="________A4" localSheetId="15" hidden="1" function="0" vbProcedure="0">#ref!</definedName>
    <definedName name="_________A4" localSheetId="15" hidden="1" function="0" vbProcedure="0">#ref!</definedName>
    <definedName name="_________wrn1" localSheetId="15" hidden="0" function="0" vbProcedure="0">{#N/A,#N/A,FALSE,"Volume"}</definedName>
    <definedName name="__________A4" localSheetId="15" hidden="1" function="0" vbProcedure="0">#ref!</definedName>
    <definedName name="___________A4" localSheetId="15" hidden="1" function="0" vbProcedure="0">#ref!</definedName>
    <definedName name="___________wrn1" localSheetId="15" hidden="0" function="0" vbProcedure="0">{#N/A,#N/A,FALSE,"Volume"}</definedName>
    <definedName name="____________A4" localSheetId="15" hidden="1" function="0" vbProcedure="0">#ref!</definedName>
    <definedName name="____________wrn1" localSheetId="15" hidden="0" function="0" vbProcedure="0">{#N/A,#N/A,FALSE,"Volume"}</definedName>
    <definedName name="_____________A4" localSheetId="15" hidden="1" function="0" vbProcedure="0">#ref!</definedName>
    <definedName name="______________A4" localSheetId="15" hidden="1" function="0" vbProcedure="0">#ref!</definedName>
    <definedName name="_______________A4" localSheetId="15" hidden="1" function="0" vbProcedure="0">#ref!</definedName>
    <definedName name="________________A4" localSheetId="15" hidden="1" function="0" vbProcedure="0">#ref!</definedName>
    <definedName name="________________bb2789" localSheetId="15" hidden="0" function="0" vbProcedure="0">[10]!Calculate_Pipe</definedName>
    <definedName name="_________________A4" localSheetId="15" hidden="1" function="0" vbProcedure="0">#ref!</definedName>
    <definedName name="_________________bb2789" localSheetId="15" hidden="0" function="0" vbProcedure="0">[10]!Calculate_Pipe</definedName>
    <definedName name="__________________A4" localSheetId="15" hidden="1" function="0" vbProcedure="0">#ref!</definedName>
    <definedName name="__________________bb2789" localSheetId="15" hidden="0" function="0" vbProcedure="0">[12]!Calculate_Pipe</definedName>
    <definedName name="___________________A4" localSheetId="15" hidden="1" function="0" vbProcedure="0">#ref!</definedName>
    <definedName name="____________________A4" localSheetId="15" hidden="1" function="0" vbProcedure="0">#ref!</definedName>
    <definedName name="_____________________A4" localSheetId="15" hidden="1" function="0" vbProcedure="0">#ref!</definedName>
    <definedName name="______________________A4" localSheetId="15" hidden="1" function="0" vbProcedure="0">#ref!</definedName>
    <definedName name="_______________________A4" localSheetId="15" hidden="1" function="0" vbProcedure="0">#ref!</definedName>
    <definedName name="________________________A4" localSheetId="15" hidden="1" function="0" vbProcedure="0">#ref!</definedName>
    <definedName name="_________________________A4" localSheetId="15" hidden="1" function="0" vbProcedure="0">#ref!</definedName>
    <definedName name="__________________________A4" localSheetId="15" hidden="1" function="0" vbProcedure="0">#ref!</definedName>
    <definedName name="____________________________A4" localSheetId="15" hidden="1" function="0" vbProcedure="0">#ref!</definedName>
    <definedName name="_____________________________A4" localSheetId="15" hidden="1" function="0" vbProcedure="0">#ref!</definedName>
    <definedName name="歼击机" localSheetId="15" hidden="0" function="0" vbProcedure="0">[119]钻井日报表!$E$7</definedName>
    <definedName name="起始日期" localSheetId="15" hidden="0" function="0" vbProcedure="0">[181]钻井日报表!$B$1</definedName>
    <definedName name="_xlnm.Print_Area" localSheetId="15">'DHWS'!$D$1:$AR$109</definedName>
  </definedNames>
  <calcPr calcId="124519" fullCalcOnLoad="1" refMode="A1" iterate="0" iterateCount="100" iterateDelta="0.0001"/>
</workbook>
</file>

<file path=xl/styles.xml><?xml version="1.0" encoding="utf-8"?>
<styleSheet xmlns="http://schemas.openxmlformats.org/spreadsheetml/2006/main">
  <numFmts count="20">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0000"/>
    <numFmt numFmtId="176" formatCode="0.000"/>
    <numFmt numFmtId="177" formatCode="0;[RED]0"/>
    <numFmt numFmtId="178" formatCode="0&quot; JTS&quot;"/>
    <numFmt numFmtId="179" formatCode="0.00;[RED]0.00"/>
    <numFmt numFmtId="180" formatCode="0;\-0;;@"/>
    <numFmt numFmtId="181" formatCode="0&quot; FT MD&quot;"/>
    <numFmt numFmtId="182" formatCode="0&quot; FT TVD&quot;"/>
    <numFmt numFmtId="183" formatCode="0&quot; DEG&quot;"/>
  </numFmts>
  <fonts count="196">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0"/>
      <sz val="14"/>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sz val="19"/>
    </font>
    <font>
      <name val="Calibri"/>
      <charset val="1"/>
      <family val="2"/>
      <b val="1"/>
      <sz val="19"/>
    </font>
    <font>
      <name val="Arial"/>
      <charset val="1"/>
      <family val="2"/>
      <sz val="24"/>
    </font>
    <font>
      <name val="Calibri"/>
      <charset val="1"/>
      <family val="2"/>
      <sz val="22"/>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11"/>
      <u val="single"/>
    </font>
    <font>
      <name val="Calibri"/>
      <charset val="1"/>
      <family val="2"/>
      <color theme="1"/>
      <sz val="19"/>
    </font>
    <font>
      <name val="Calibri"/>
      <charset val="1"/>
      <family val="2"/>
      <b val="1"/>
      <color theme="1"/>
      <sz val="19"/>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Calibri"/>
      <charset val="1"/>
      <family val="2"/>
      <b val="1"/>
      <color rgb="FFFFFFFF"/>
      <sz val="11"/>
    </font>
    <font>
      <name val="Calibri"/>
      <charset val="1"/>
      <family val="2"/>
      <b val="1"/>
      <color theme="1"/>
      <sz val="22"/>
    </font>
    <font>
      <name val="Arial"/>
      <charset val="1"/>
      <family val="2"/>
      <b val="1"/>
      <sz val="22"/>
    </font>
    <font>
      <name val="Calibri"/>
      <charset val="1"/>
      <family val="2"/>
      <i val="1"/>
      <color theme="1"/>
      <sz val="11"/>
    </font>
    <font>
      <name val="Arial Narrow"/>
      <charset val="1"/>
      <family val="2"/>
      <color rgb="FF800000"/>
      <sz val="10"/>
    </font>
    <font>
      <name val="Arial Narrow"/>
      <charset val="1"/>
      <family val="2"/>
      <b val="1"/>
      <color theme="0"/>
      <sz val="10"/>
    </font>
    <font>
      <name val="Arial Narrow"/>
      <charset val="1"/>
      <family val="2"/>
      <sz val="10"/>
    </font>
    <font>
      <name val="Arial Narrow"/>
      <charset val="1"/>
      <family val="2"/>
      <sz val="12"/>
    </font>
    <font>
      <name val="Arial Narrow"/>
      <charset val="1"/>
      <family val="2"/>
      <b val="1"/>
      <sz val="10"/>
    </font>
    <font>
      <name val="Arial Narrow"/>
      <charset val="1"/>
      <family val="2"/>
      <color rgb="FF000000"/>
      <sz val="10"/>
    </font>
    <font>
      <name val="Arial Nova Cond"/>
      <charset val="1"/>
      <family val="2"/>
      <color theme="1"/>
      <sz val="11"/>
    </font>
    <font>
      <name val="Arial Nova Cond"/>
      <charset val="1"/>
      <family val="2"/>
      <color theme="1"/>
      <sz val="10"/>
    </font>
    <font>
      <name val="Arial Nova Cond"/>
      <charset val="1"/>
      <family val="2"/>
      <color theme="1"/>
      <sz val="8"/>
    </font>
    <font>
      <name val="Arial Nova Cond"/>
      <charset val="1"/>
      <family val="2"/>
      <b val="1"/>
      <sz val="14"/>
    </font>
    <font>
      <name val="Arial Nova Cond"/>
      <charset val="1"/>
      <family val="2"/>
      <b val="1"/>
      <sz val="12"/>
    </font>
    <font>
      <name val="Arial Nova Cond"/>
      <charset val="1"/>
      <family val="2"/>
      <b val="1"/>
      <color theme="1"/>
      <sz val="12"/>
    </font>
    <font>
      <name val="Arial Nova Cond"/>
      <charset val="1"/>
      <family val="2"/>
      <b val="1"/>
      <color rgb="FF0070C0"/>
      <sz val="11"/>
    </font>
    <font>
      <name val="Arial"/>
      <charset val="1"/>
      <family val="2"/>
      <sz val="4"/>
    </font>
    <font>
      <name val="Arial Nova Cond"/>
      <charset val="1"/>
      <family val="2"/>
      <color rgb="FFC00000"/>
      <sz val="8"/>
    </font>
    <font>
      <name val="Arial"/>
      <charset val="1"/>
      <family val="2"/>
      <b val="1"/>
      <sz val="4"/>
    </font>
    <font>
      <name val="Arial"/>
      <charset val="1"/>
      <family val="2"/>
      <b val="1"/>
      <color rgb="FF000000"/>
      <sz val="4"/>
    </font>
    <font>
      <name val="Arial Nova Cond"/>
      <charset val="1"/>
      <family val="2"/>
      <color theme="1"/>
      <sz val="9"/>
    </font>
    <font>
      <name val="Arial Nova Cond"/>
      <charset val="1"/>
      <family val="2"/>
      <b val="1"/>
      <color rgb="FF0070C0"/>
      <sz val="9"/>
    </font>
    <font>
      <name val="Arial Nova Cond"/>
      <charset val="1"/>
      <family val="2"/>
      <b val="1"/>
      <color theme="1"/>
      <sz val="9"/>
    </font>
    <font>
      <name val="Arial Nova Cond"/>
      <charset val="1"/>
      <family val="2"/>
      <color theme="0" tint="-0.15"/>
      <sz val="8"/>
    </font>
    <font>
      <name val="Arial Nova Cond"/>
      <charset val="1"/>
      <family val="2"/>
      <b val="1"/>
      <sz val="9"/>
    </font>
    <font>
      <name val="Arial Nova Cond"/>
      <charset val="1"/>
      <family val="2"/>
      <b val="1"/>
      <color rgb="FF0070C0"/>
      <sz val="8"/>
    </font>
    <font>
      <name val="Arial Nova Cond"/>
      <charset val="1"/>
      <family val="2"/>
      <color theme="0"/>
      <sz val="2"/>
    </font>
    <font>
      <name val="Arial Nova Cond"/>
      <charset val="1"/>
      <family val="2"/>
      <sz val="9"/>
    </font>
    <font>
      <name val="Arial Nova Cond"/>
      <charset val="1"/>
      <family val="2"/>
      <b val="1"/>
      <color theme="1"/>
      <sz val="16"/>
    </font>
    <font>
      <name val="Arial Nova Cond"/>
      <charset val="1"/>
      <family val="2"/>
      <b val="1"/>
      <color theme="1"/>
      <sz val="20"/>
    </font>
    <font>
      <name val="Arial Nova Cond"/>
      <charset val="1"/>
      <family val="2"/>
      <b val="1"/>
      <color theme="1"/>
      <sz val="11"/>
    </font>
    <font>
      <name val="Arial Nova Cond"/>
      <charset val="1"/>
      <family val="2"/>
      <b val="1"/>
      <color theme="1"/>
      <sz val="10"/>
    </font>
    <font>
      <name val="Calibri"/>
      <charset val="1"/>
      <family val="2"/>
      <b val="1"/>
      <sz val="5.5"/>
    </font>
    <font>
      <name val="Arial Nova Cond"/>
      <charset val="1"/>
      <family val="2"/>
      <b val="1"/>
      <color theme="1"/>
      <sz val="9"/>
      <u val="single"/>
    </font>
    <font>
      <name val="Arial Nova Cond"/>
      <charset val="1"/>
      <family val="2"/>
      <color theme="0" tint="-0.25"/>
      <sz val="4"/>
    </font>
    <font>
      <name val="Arial Nova Cond"/>
      <family val="2"/>
      <b val="1"/>
      <color theme="1"/>
      <sz val="9"/>
    </font>
    <font>
      <name val="Calibri"/>
      <family val="0"/>
      <color rgb="FF000000"/>
      <sz val="8"/>
    </font>
    <font>
      <name val="Calibri"/>
      <family val="0"/>
      <b val="1"/>
      <color rgb="FF0070C0"/>
      <sz val="12"/>
    </font>
    <font>
      <name val="Arial Nova Cond"/>
      <family val="0"/>
      <i val="1"/>
      <color rgb="FF0070C0"/>
      <sz val="8"/>
    </font>
    <font>
      <name val="Calibri"/>
      <family val="0"/>
      <color rgb="FF000000"/>
      <sz val="10"/>
    </font>
    <font>
      <name val="Calibri"/>
      <family val="0"/>
      <color rgb="FF000000"/>
      <sz val="7"/>
    </font>
    <font>
      <name val="Calibri"/>
      <family val="0"/>
      <color theme="1"/>
      <sz val="8"/>
    </font>
    <font>
      <name val="Calibri"/>
      <family val="0"/>
      <b val="1"/>
      <color theme="1"/>
      <sz val="10"/>
    </font>
    <font>
      <name val="Calibri"/>
      <family val="0"/>
      <b val="1"/>
      <color theme="3"/>
      <sz val="10"/>
    </font>
    <font>
      <name val="Calibri"/>
      <family val="0"/>
      <b val="1"/>
      <color rgb="FFC00000"/>
      <sz val="10"/>
    </font>
    <font>
      <name val="Calibri"/>
      <family val="0"/>
      <b val="1"/>
      <color rgb="FF0070C0"/>
      <sz val="10"/>
    </font>
    <font>
      <name val="Calibri"/>
      <family val="0"/>
      <b val="1"/>
      <color rgb="FF007A37"/>
      <sz val="10"/>
    </font>
    <font>
      <name val="Calibri"/>
      <family val="0"/>
      <b val="1"/>
      <color rgb="FF00B050"/>
      <sz val="10"/>
    </font>
    <font>
      <name val="Calibri"/>
      <family val="0"/>
      <b val="1"/>
      <i val="1"/>
      <color theme="1"/>
      <sz val="11"/>
    </font>
  </fonts>
  <fills count="57">
    <fill>
      <patternFill/>
    </fill>
    <fill>
      <patternFill patternType="gray125"/>
    </fill>
    <fill>
      <patternFill patternType="solid">
        <fgColor theme="0"/>
        <bgColor rgb="FFF2F2F2"/>
      </patternFill>
    </fill>
    <fill>
      <patternFill patternType="darkGray">
        <fgColor theme="9" tint="0.3999"/>
        <bgColor rgb="FFBDCBBE"/>
      </patternFill>
    </fill>
    <fill>
      <patternFill patternType="solid">
        <fgColor rgb="FFFFFF00"/>
        <bgColor rgb="FFFFFF99"/>
      </patternFill>
    </fill>
    <fill>
      <patternFill patternType="solid">
        <fgColor theme="0" tint="-0.15"/>
        <bgColor rgb="FFDBDBDB"/>
      </patternFill>
    </fill>
    <fill>
      <patternFill patternType="solid">
        <fgColor rgb="FFFF0000"/>
        <bgColor rgb="FFBB0000"/>
      </patternFill>
    </fill>
    <fill>
      <patternFill patternType="solid">
        <fgColor theme="0" tint="-0.25"/>
        <bgColor rgb="FFC0C0C0"/>
      </patternFill>
    </fill>
    <fill>
      <patternFill patternType="solid">
        <fgColor theme="0" tint="-0.05"/>
        <bgColor rgb="FFE7E6E6"/>
      </patternFill>
    </fill>
    <fill>
      <patternFill patternType="solid">
        <fgColor theme="6" tint="0.5999"/>
        <bgColor rgb="FFD9D9D9"/>
      </patternFill>
    </fill>
    <fill>
      <patternFill patternType="solid">
        <fgColor rgb="FF333333"/>
        <bgColor rgb="FF333399"/>
      </patternFill>
    </fill>
    <fill>
      <patternFill patternType="darkGray">
        <fgColor rgb="FFF27B00"/>
        <bgColor rgb="FFFF0000"/>
      </patternFill>
    </fill>
    <fill>
      <patternFill patternType="darkGray">
        <fgColor rgb="FFFFFF00"/>
        <bgColor rgb="FFFFE699"/>
      </patternFill>
    </fill>
    <fill>
      <patternFill patternType="mediumGray">
        <fgColor rgb="FFFFFF00"/>
        <bgColor rgb="FFA9D477"/>
      </patternFill>
    </fill>
    <fill>
      <patternFill patternType="solid">
        <fgColor rgb="FFA9D477"/>
        <bgColor rgb="FFCACAB5"/>
      </patternFill>
    </fill>
    <fill>
      <patternFill patternType="darkGray">
        <fgColor rgb="FF009D1C"/>
        <bgColor rgb="FF365480"/>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rgb="FFDDBDD0"/>
        <bgColor rgb="FFDEB6D8"/>
      </patternFill>
    </fill>
    <fill>
      <patternFill patternType="solid">
        <fgColor rgb="FFB7BACF"/>
        <bgColor rgb="FFBFBFBF"/>
      </patternFill>
    </fill>
    <fill>
      <patternFill patternType="solid">
        <fgColor rgb="FFBED0E9"/>
        <bgColor rgb="FFBDD7ED"/>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DCBBE"/>
      </patternFill>
    </fill>
    <fill>
      <patternFill patternType="solid">
        <fgColor rgb="FFE3EBBA"/>
        <bgColor rgb="FFF0E7C4"/>
      </patternFill>
    </fill>
    <fill>
      <patternFill patternType="solid">
        <fgColor rgb="FFE2D7E1"/>
        <bgColor rgb="FFDBDBDB"/>
      </patternFill>
    </fill>
    <fill>
      <patternFill patternType="solid">
        <fgColor rgb="FFBDCBBE"/>
        <bgColor rgb="FFCACAB5"/>
      </patternFill>
    </fill>
    <fill>
      <patternFill patternType="darkGray">
        <fgColor rgb="FFF0E7C4"/>
        <bgColor rgb="FFE3EBBA"/>
      </patternFill>
    </fill>
    <fill>
      <patternFill patternType="solid">
        <fgColor theme="4" tint="0.5999"/>
        <bgColor rgb="FFBED0E9"/>
      </patternFill>
    </fill>
    <fill>
      <patternFill patternType="solid">
        <fgColor rgb="FFBEBCE9"/>
        <bgColor rgb="FFC3C7E6"/>
      </patternFill>
    </fill>
    <fill>
      <patternFill patternType="solid">
        <fgColor rgb="FF365480"/>
        <bgColor rgb="FF333399"/>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DD7ED"/>
        <bgColor rgb="FFBED0E9"/>
      </patternFill>
    </fill>
    <fill>
      <patternFill patternType="darkGray">
        <fgColor rgb="FFBDCBBE"/>
        <bgColor rgb="FFC0C0C0"/>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darkGray">
        <fgColor rgb="FFE0E1EF"/>
        <bgColor rgb="FFDBDBDB"/>
      </patternFill>
    </fill>
    <fill>
      <patternFill patternType="solid">
        <fgColor rgb="FFFFFF99"/>
        <bgColor rgb="FFFFE699"/>
      </patternFill>
    </fill>
    <fill>
      <patternFill patternType="solid">
        <fgColor theme="3" tint="0.3999"/>
        <bgColor rgb="FF808080"/>
      </patternFill>
    </fill>
    <fill>
      <patternFill patternType="darkGray">
        <fgColor theme="8" tint="0.7999000000000001"/>
        <bgColor rgb="FFDEEBF7"/>
      </patternFill>
    </fill>
    <fill>
      <patternFill patternType="solid">
        <fgColor rgb="FFFFE699"/>
        <bgColor rgb="FFF0E7C4"/>
      </patternFill>
    </fill>
    <fill>
      <patternFill patternType="solid">
        <fgColor rgb="FFBB0000"/>
        <bgColor rgb="FFFF0000"/>
      </patternFill>
    </fill>
    <fill>
      <patternFill patternType="solid">
        <fgColor theme="4" tint="0.7999000000000001"/>
        <bgColor rgb="FFE0E1EF"/>
      </patternFill>
    </fill>
  </fills>
  <borders count="158">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8A99AD"/>
      </bottom>
      <diagonal/>
    </border>
    <border>
      <left/>
      <right style="medium">
        <color rgb="FF333333"/>
      </right>
      <top style="thin">
        <color rgb="FF8A99AD"/>
      </top>
      <bottom style="thin">
        <color rgb="FF8A99AD"/>
      </bottom>
      <diagonal/>
    </border>
    <border>
      <left/>
      <right/>
      <top/>
      <bottom style="medium">
        <color rgb="FF333333"/>
      </bottom>
      <diagonal/>
    </border>
    <border>
      <left/>
      <right style="medium">
        <color rgb="FF333333"/>
      </right>
      <top style="thin">
        <color rgb="FF8A99AD"/>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style="medium"/>
      <right style="medium"/>
      <top style="medium"/>
      <bottom/>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style="thin"/>
      <right/>
      <top style="medium"/>
      <bottom/>
      <diagonal/>
    </border>
    <border>
      <left style="medium"/>
      <right style="double"/>
      <top style="medium"/>
      <bottom style="double"/>
      <diagonal/>
    </border>
    <border>
      <left style="double"/>
      <right style="double"/>
      <top style="medium"/>
      <bottom style="double"/>
      <diagonal/>
    </border>
    <border>
      <left style="double"/>
      <right/>
      <top style="medium"/>
      <bottom style="double"/>
      <diagonal/>
    </border>
    <border>
      <left/>
      <right/>
      <top style="medium"/>
      <bottom style="double"/>
      <diagonal/>
    </border>
    <border>
      <left/>
      <right style="medium"/>
      <top style="medium"/>
      <bottom style="double"/>
      <diagonal/>
    </border>
    <border>
      <left style="double"/>
      <right/>
      <top style="double"/>
      <bottom/>
      <diagonal/>
    </border>
    <border>
      <left/>
      <right/>
      <top style="double"/>
      <bottom/>
      <diagonal/>
    </border>
    <border>
      <left/>
      <right style="double"/>
      <top style="double"/>
      <bottom/>
      <diagonal/>
    </border>
    <border>
      <left style="double"/>
      <right style="medium"/>
      <top style="double"/>
      <bottom style="double"/>
      <diagonal/>
    </border>
    <border>
      <left style="double"/>
      <right/>
      <top/>
      <bottom/>
      <diagonal/>
    </border>
    <border>
      <left/>
      <right style="double"/>
      <top/>
      <bottom/>
      <diagonal/>
    </border>
    <border>
      <left style="double"/>
      <right style="thin"/>
      <top style="double"/>
      <bottom/>
      <diagonal/>
    </border>
    <border>
      <left style="thin"/>
      <right style="thin"/>
      <top style="double"/>
      <bottom/>
      <diagonal/>
    </border>
    <border>
      <left style="thin"/>
      <right style="thin"/>
      <top style="double"/>
      <bottom style="thin"/>
      <diagonal/>
    </border>
    <border>
      <left style="thin"/>
      <right/>
      <top style="double"/>
      <bottom style="thin"/>
      <diagonal/>
    </border>
    <border>
      <left/>
      <right style="thin"/>
      <top style="double"/>
      <bottom style="thin"/>
      <diagonal/>
    </border>
    <border>
      <left/>
      <right style="medium"/>
      <top style="double"/>
      <bottom/>
      <diagonal/>
    </border>
    <border>
      <left style="double"/>
      <right/>
      <top/>
      <bottom style="double"/>
      <diagonal/>
    </border>
    <border>
      <left/>
      <right/>
      <top/>
      <bottom style="double"/>
      <diagonal/>
    </border>
    <border>
      <left/>
      <right style="double"/>
      <top/>
      <bottom style="double"/>
      <diagonal/>
    </border>
    <border>
      <left style="double"/>
      <right style="thin"/>
      <top/>
      <bottom style="thin"/>
      <diagonal/>
    </border>
    <border>
      <left/>
      <right style="thin"/>
      <top style="thin"/>
      <bottom/>
      <diagonal/>
    </border>
    <border>
      <left style="thin"/>
      <right/>
      <top style="thin"/>
      <bottom/>
      <diagonal/>
    </border>
    <border>
      <left/>
      <right/>
      <top style="double"/>
      <bottom style="double"/>
      <diagonal/>
    </border>
    <border>
      <left style="double"/>
      <right style="thin"/>
      <top style="thin"/>
      <bottom/>
      <diagonal/>
    </border>
    <border>
      <left style="thin"/>
      <right/>
      <top/>
      <bottom/>
      <diagonal/>
    </border>
    <border>
      <left style="double"/>
      <right style="double"/>
      <top style="double"/>
      <bottom style="double"/>
      <diagonal/>
    </border>
    <border>
      <left style="double"/>
      <right style="thin"/>
      <top/>
      <bottom/>
      <diagonal/>
    </border>
    <border>
      <left style="thin"/>
      <right/>
      <top/>
      <bottom style="thin"/>
      <diagonal/>
    </border>
    <border>
      <left style="medium"/>
      <right style="thin"/>
      <top style="double"/>
      <bottom style="thin"/>
      <diagonal/>
    </border>
    <border>
      <left style="thin"/>
      <right style="double"/>
      <top style="double"/>
      <bottom style="thin"/>
      <diagonal/>
    </border>
    <border>
      <left/>
      <right style="thin"/>
      <top/>
      <bottom style="double"/>
      <diagonal/>
    </border>
    <border>
      <left style="thin"/>
      <right style="thin"/>
      <top/>
      <bottom style="double"/>
      <diagonal/>
    </border>
    <border>
      <left style="thin"/>
      <right style="medium"/>
      <top style="double"/>
      <bottom style="thin"/>
      <diagonal/>
    </border>
    <border>
      <left/>
      <right/>
      <top/>
      <bottom style="thin">
        <color rgb="FFF27B00"/>
      </bottom>
      <diagonal/>
    </border>
    <border>
      <left style="thin">
        <color rgb="FFF27B00"/>
      </left>
      <right/>
      <top style="thin">
        <color rgb="FFF27B00"/>
      </top>
      <bottom/>
      <diagonal/>
    </border>
    <border>
      <left/>
      <right style="thin">
        <color rgb="FFF27B00"/>
      </right>
      <top style="thin">
        <color rgb="FFF27B00"/>
      </top>
      <bottom/>
      <diagonal/>
    </border>
    <border>
      <left style="thin">
        <color rgb="FFF27B00"/>
      </left>
      <right/>
      <top/>
      <bottom style="thin">
        <color rgb="FFF27B00"/>
      </bottom>
      <diagonal/>
    </border>
    <border>
      <left/>
      <right style="thin">
        <color rgb="FFF27B00"/>
      </right>
      <top/>
      <bottom style="thin">
        <color rgb="FFF27B00"/>
      </bottom>
      <diagonal/>
    </border>
    <border>
      <left/>
      <right style="thin"/>
      <top style="medium"/>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8A99AD"/>
      </bottom>
      <diagonal/>
    </border>
    <border>
      <left/>
      <right/>
      <top style="thin">
        <color rgb="FF8A99AD"/>
      </top>
      <bottom/>
      <diagonal/>
    </border>
    <border>
      <left/>
      <right style="medium">
        <color rgb="FF333333"/>
      </right>
      <top style="thin">
        <color rgb="FF8A99AD"/>
      </top>
      <bottom/>
      <diagonal/>
    </border>
    <border>
      <left/>
      <right/>
      <top style="thin">
        <color rgb="FF8A99AD"/>
      </top>
      <bottom style="thin">
        <color rgb="FF8A99AD"/>
      </bottom>
      <diagonal/>
    </border>
    <border>
      <left/>
      <right/>
      <top style="thin">
        <color rgb="FF8A99AD"/>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right style="double"/>
      <top style="medium"/>
      <bottom/>
      <diagonal/>
    </border>
    <border>
      <left style="medium"/>
      <right/>
      <top/>
      <bottom style="double"/>
      <diagonal/>
    </border>
    <border>
      <left/>
      <right style="medium"/>
      <top/>
      <bottom style="double"/>
      <diagonal/>
    </border>
    <border>
      <left/>
      <right style="medium"/>
      <top style="double"/>
      <bottom style="double"/>
      <diagonal/>
    </border>
    <border>
      <left/>
      <right style="thin"/>
      <top style="double"/>
      <bottom/>
      <diagonal/>
    </border>
    <border>
      <left/>
      <right style="double"/>
      <top style="double"/>
      <bottom style="double"/>
      <diagonal/>
    </border>
    <border>
      <left/>
      <right/>
      <top style="double"/>
      <bottom style="thin"/>
      <diagonal/>
    </border>
    <border>
      <left/>
      <right style="double"/>
      <top style="double"/>
      <bottom style="thin"/>
      <diagonal/>
    </border>
    <border>
      <left/>
      <right style="medium"/>
      <top style="double"/>
      <bottom style="thin"/>
      <diagonal/>
    </border>
  </borders>
  <cellStyleXfs count="20">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1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2421">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11" fillId="0" borderId="6" applyAlignment="1" pivotButton="0" quotePrefix="0" xfId="0">
      <alignment horizontal="center" vertical="center" wrapText="1"/>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30">
      <alignment horizontal="left" vertical="top"/>
      <protection locked="0" hidden="0"/>
    </xf>
    <xf numFmtId="0" fontId="38" fillId="0" borderId="1" applyAlignment="1" pivotButton="0" quotePrefix="0" xfId="30">
      <alignment horizontal="left" vertical="top"/>
    </xf>
    <xf numFmtId="0" fontId="38" fillId="0" borderId="2" applyAlignment="1" pivotButton="0" quotePrefix="0" xfId="30">
      <alignment horizontal="left" vertical="top"/>
    </xf>
    <xf numFmtId="0" fontId="38" fillId="0" borderId="3" applyAlignment="1" pivotButton="0" quotePrefix="0" xfId="30">
      <alignment horizontal="left" vertical="top"/>
    </xf>
    <xf numFmtId="0" fontId="39" fillId="7" borderId="4" applyAlignment="1" pivotButton="0" quotePrefix="0" xfId="30">
      <alignment horizontal="center" vertical="top"/>
    </xf>
    <xf numFmtId="0" fontId="40" fillId="0" borderId="33" applyAlignment="1" pivotButton="0" quotePrefix="0" xfId="30">
      <alignment horizontal="center" vertical="top" wrapText="1"/>
    </xf>
    <xf numFmtId="0" fontId="40" fillId="0" borderId="28" applyAlignment="1" pivotButton="0" quotePrefix="0" xfId="30">
      <alignment horizontal="left" vertical="center" wrapText="1"/>
    </xf>
    <xf numFmtId="0" fontId="40" fillId="0" borderId="28" applyAlignment="1" pivotButton="0" quotePrefix="0" xfId="30">
      <alignment horizontal="left" vertical="top" wrapText="1"/>
    </xf>
    <xf numFmtId="1" fontId="39" fillId="0" borderId="29" applyAlignment="1" pivotButton="0" quotePrefix="0" xfId="30">
      <alignment horizontal="left" vertical="top" shrinkToFit="1" indent="1"/>
    </xf>
    <xf numFmtId="0" fontId="40" fillId="0" borderId="34" applyAlignment="1" pivotButton="0" quotePrefix="0" xfId="30">
      <alignment horizontal="center" vertical="top" wrapText="1"/>
    </xf>
    <xf numFmtId="0" fontId="40" fillId="0" borderId="0" applyAlignment="1" pivotButton="0" quotePrefix="0" xfId="30">
      <alignment horizontal="left" vertical="center" wrapText="1"/>
    </xf>
    <xf numFmtId="0" fontId="40" fillId="0" borderId="0" applyAlignment="1" pivotButton="0" quotePrefix="0" xfId="30">
      <alignment horizontal="left" vertical="top" wrapText="1"/>
    </xf>
    <xf numFmtId="1" fontId="39" fillId="0" borderId="30" applyAlignment="1" pivotButton="0" quotePrefix="0" xfId="30">
      <alignment horizontal="left" vertical="top" shrinkToFit="1" indent="1"/>
    </xf>
    <xf numFmtId="0" fontId="40" fillId="0" borderId="32" applyAlignment="1" pivotButton="0" quotePrefix="0" xfId="30">
      <alignment horizontal="left" vertical="top" wrapText="1"/>
    </xf>
    <xf numFmtId="0" fontId="40" fillId="0" borderId="35" applyAlignment="1" pivotButton="0" quotePrefix="0" xfId="30">
      <alignment horizontal="center" vertical="top" wrapText="1"/>
    </xf>
    <xf numFmtId="1" fontId="39" fillId="0" borderId="36" applyAlignment="1" pivotButton="0" quotePrefix="0" xfId="30">
      <alignment horizontal="left" vertical="top" shrinkToFit="1" indent="1"/>
    </xf>
    <xf numFmtId="0" fontId="40" fillId="7" borderId="37" applyAlignment="1" pivotButton="0" quotePrefix="0" xfId="30">
      <alignment horizontal="center" vertical="center" wrapText="1"/>
    </xf>
    <xf numFmtId="0" fontId="40" fillId="7" borderId="38" applyAlignment="1" pivotButton="0" quotePrefix="0" xfId="30">
      <alignment horizontal="center" vertical="center" wrapText="1"/>
    </xf>
    <xf numFmtId="0" fontId="40" fillId="7" borderId="39" applyAlignment="1" pivotButton="0" quotePrefix="0" xfId="30">
      <alignment horizontal="center" vertical="center" wrapText="1"/>
    </xf>
    <xf numFmtId="0" fontId="40" fillId="7" borderId="40" applyAlignment="1" pivotButton="0" quotePrefix="0" xfId="30">
      <alignment horizontal="center" vertical="center" wrapText="1"/>
    </xf>
    <xf numFmtId="0" fontId="38" fillId="0" borderId="0" applyAlignment="1" applyProtection="1" pivotButton="0" quotePrefix="0" xfId="30">
      <alignment horizontal="center" vertical="center"/>
      <protection locked="0" hidden="0"/>
    </xf>
    <xf numFmtId="0" fontId="41" fillId="0" borderId="13" applyAlignment="1" applyProtection="1" pivotButton="0" quotePrefix="0" xfId="30">
      <alignment horizontal="center" vertical="center" wrapText="1"/>
      <protection locked="0" hidden="0"/>
    </xf>
    <xf numFmtId="0" fontId="41" fillId="0" borderId="7" applyAlignment="1" applyProtection="1" pivotButton="0" quotePrefix="0" xfId="30">
      <alignment horizontal="general" vertical="center" wrapText="1"/>
      <protection locked="0" hidden="0"/>
    </xf>
    <xf numFmtId="4" fontId="41" fillId="0" borderId="6" applyAlignment="1" applyProtection="1" pivotButton="0" quotePrefix="0" xfId="30">
      <alignment horizontal="right" vertical="center" shrinkToFit="1"/>
      <protection locked="0" hidden="0"/>
    </xf>
    <xf numFmtId="1" fontId="41" fillId="0" borderId="15" applyAlignment="1" applyProtection="1" pivotButton="0" quotePrefix="0" xfId="30">
      <alignment horizontal="center" vertical="center" shrinkToFit="1"/>
      <protection locked="0" hidden="0"/>
    </xf>
    <xf numFmtId="4" fontId="41" fillId="0" borderId="25" applyAlignment="1" applyProtection="1" pivotButton="0" quotePrefix="0" xfId="30">
      <alignment horizontal="right" vertical="center" shrinkToFit="1"/>
      <protection locked="0" hidden="0"/>
    </xf>
    <xf numFmtId="0" fontId="41" fillId="0" borderId="9" applyAlignment="1" applyProtection="1" pivotButton="0" quotePrefix="0" xfId="30">
      <alignment horizontal="center" vertical="center" wrapText="1"/>
      <protection locked="0" hidden="0"/>
    </xf>
    <xf numFmtId="0" fontId="41" fillId="0" borderId="6" applyAlignment="1" applyProtection="1" pivotButton="0" quotePrefix="0" xfId="30">
      <alignment horizontal="general" vertical="center" wrapText="1"/>
      <protection locked="0" hidden="0"/>
    </xf>
    <xf numFmtId="1" fontId="41" fillId="0" borderId="6" applyAlignment="1" applyProtection="1" pivotButton="0" quotePrefix="0" xfId="30">
      <alignment horizontal="center" vertical="center" shrinkToFit="1"/>
      <protection locked="0" hidden="0"/>
    </xf>
    <xf numFmtId="4" fontId="38" fillId="0" borderId="6" applyAlignment="1" applyProtection="1" pivotButton="0" quotePrefix="0" xfId="30">
      <alignment horizontal="right" vertical="center" shrinkToFit="1"/>
      <protection locked="0" hidden="0"/>
    </xf>
    <xf numFmtId="170" fontId="38" fillId="0" borderId="6" applyAlignment="1" applyProtection="1" pivotButton="0" quotePrefix="0" xfId="30">
      <alignment horizontal="center" vertical="center" shrinkToFit="1"/>
      <protection locked="0" hidden="0"/>
    </xf>
    <xf numFmtId="4" fontId="38" fillId="0" borderId="25" applyAlignment="1" applyProtection="1" pivotButton="0" quotePrefix="0" xfId="30">
      <alignment horizontal="right" vertical="center" shrinkToFit="1"/>
      <protection locked="0" hidden="0"/>
    </xf>
    <xf numFmtId="1" fontId="38" fillId="0" borderId="6" applyAlignment="1" applyProtection="1" pivotButton="0" quotePrefix="0" xfId="30">
      <alignment horizontal="center" vertical="center" shrinkToFit="1"/>
      <protection locked="0" hidden="0"/>
    </xf>
    <xf numFmtId="0" fontId="40" fillId="0" borderId="10" applyAlignment="1" applyProtection="1" pivotButton="0" quotePrefix="0" xfId="30">
      <alignment horizontal="left" vertical="top" wrapText="1"/>
      <protection locked="0" hidden="0"/>
    </xf>
    <xf numFmtId="0" fontId="40" fillId="0" borderId="6" applyAlignment="1" applyProtection="1" pivotButton="0" quotePrefix="0" xfId="30">
      <alignment horizontal="center" vertical="center" wrapText="1"/>
      <protection locked="0" hidden="0"/>
    </xf>
    <xf numFmtId="4" fontId="39" fillId="0" borderId="8" applyAlignment="1" applyProtection="1" pivotButton="0" quotePrefix="0" xfId="30">
      <alignment horizontal="general" vertical="center" shrinkToFit="1"/>
      <protection locked="0" hidden="0"/>
    </xf>
    <xf numFmtId="0" fontId="40" fillId="0" borderId="11" applyAlignment="1" applyProtection="1" pivotButton="0" quotePrefix="0" xfId="30">
      <alignment horizontal="center" vertical="center" wrapText="1"/>
      <protection locked="0" hidden="0"/>
    </xf>
    <xf numFmtId="4" fontId="39" fillId="0" borderId="12" applyAlignment="1" applyProtection="1" pivotButton="0" quotePrefix="0" xfId="30">
      <alignment horizontal="general" vertical="center" shrinkToFit="1"/>
      <protection locked="0" hidden="0"/>
    </xf>
    <xf numFmtId="0" fontId="40" fillId="0" borderId="0" applyAlignment="1" applyProtection="1" pivotButton="0" quotePrefix="0" xfId="30">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5">
      <alignment horizontal="general" vertical="bottom"/>
    </xf>
    <xf numFmtId="0" fontId="0" fillId="0" borderId="0" applyAlignment="1" applyProtection="1" pivotButton="0" quotePrefix="0" xfId="25">
      <alignment horizontal="general" vertical="bottom"/>
      <protection locked="1" hidden="1"/>
    </xf>
    <xf numFmtId="0" fontId="0" fillId="0" borderId="6" applyAlignment="1" applyProtection="1" pivotButton="0" quotePrefix="0" xfId="25">
      <alignment horizontal="center" vertical="center" textRotation="45"/>
      <protection locked="1" hidden="1"/>
    </xf>
    <xf numFmtId="0" fontId="65" fillId="0" borderId="43" applyAlignment="1" applyProtection="1" pivotButton="0" quotePrefix="0" xfId="25">
      <alignment horizontal="center" vertical="center"/>
      <protection locked="1" hidden="1"/>
    </xf>
    <xf numFmtId="0" fontId="65" fillId="0" borderId="6" applyAlignment="1" applyProtection="1" pivotButton="0" quotePrefix="0" xfId="25">
      <alignment horizontal="center" vertical="center"/>
      <protection locked="1" hidden="1"/>
    </xf>
    <xf numFmtId="0" fontId="66" fillId="0" borderId="6" applyAlignment="1" applyProtection="1" pivotButton="0" quotePrefix="0" xfId="25">
      <alignment horizontal="center" vertical="center"/>
      <protection locked="1" hidden="1"/>
    </xf>
    <xf numFmtId="0" fontId="67" fillId="0" borderId="6" applyAlignment="1" applyProtection="1" pivotButton="0" quotePrefix="0" xfId="25">
      <alignment horizontal="center" vertical="center"/>
      <protection locked="1" hidden="1"/>
    </xf>
    <xf numFmtId="0" fontId="68" fillId="0" borderId="6" applyAlignment="1" applyProtection="1" pivotButton="0" quotePrefix="0" xfId="25">
      <alignment horizontal="center" vertical="center"/>
      <protection locked="1" hidden="1"/>
    </xf>
    <xf numFmtId="168" fontId="68" fillId="0" borderId="6" applyAlignment="1" applyProtection="1" pivotButton="0" quotePrefix="0" xfId="25">
      <alignment horizontal="center" vertical="center"/>
      <protection locked="1" hidden="1"/>
    </xf>
    <xf numFmtId="0" fontId="30" fillId="5" borderId="6" applyAlignment="1" applyProtection="1" pivotButton="0" quotePrefix="0" xfId="25">
      <alignment horizontal="general" vertical="center"/>
      <protection locked="1" hidden="1"/>
    </xf>
    <xf numFmtId="0" fontId="32" fillId="2" borderId="6" applyAlignment="1" applyProtection="1" pivotButton="0" quotePrefix="0" xfId="25">
      <alignment horizontal="center" vertical="center"/>
      <protection locked="1" hidden="1"/>
    </xf>
    <xf numFmtId="0" fontId="22" fillId="5" borderId="6" applyAlignment="1" applyProtection="1" pivotButton="0" quotePrefix="0" xfId="25">
      <alignment horizontal="center" vertical="center"/>
      <protection locked="1" hidden="1"/>
    </xf>
    <xf numFmtId="0" fontId="56" fillId="2" borderId="43" applyAlignment="1" applyProtection="1" pivotButton="0" quotePrefix="0" xfId="25">
      <alignment horizontal="center" vertical="center"/>
      <protection locked="1" hidden="1"/>
    </xf>
    <xf numFmtId="0" fontId="56" fillId="2" borderId="44" applyAlignment="1" applyProtection="1" pivotButton="0" quotePrefix="0" xfId="25">
      <alignment horizontal="center" vertical="center"/>
      <protection locked="1" hidden="1"/>
    </xf>
    <xf numFmtId="0" fontId="69" fillId="2" borderId="43" applyAlignment="1" applyProtection="1" pivotButton="0" quotePrefix="0" xfId="25">
      <alignment horizontal="center" vertical="center"/>
      <protection locked="1" hidden="1"/>
    </xf>
    <xf numFmtId="166" fontId="69" fillId="2" borderId="72" applyAlignment="1" applyProtection="1" pivotButton="0" quotePrefix="0" xfId="25">
      <alignment horizontal="center" vertical="center"/>
      <protection locked="1" hidden="1"/>
    </xf>
    <xf numFmtId="0" fontId="69" fillId="2" borderId="72" applyAlignment="1" applyProtection="1" pivotButton="0" quotePrefix="0" xfId="25">
      <alignment horizontal="general" vertical="center"/>
      <protection locked="1" hidden="1"/>
    </xf>
    <xf numFmtId="166" fontId="69" fillId="2" borderId="44" applyAlignment="1" applyProtection="1" pivotButton="0" quotePrefix="0" xfId="25">
      <alignment horizontal="center" vertical="center"/>
      <protection locked="1" hidden="1"/>
    </xf>
    <xf numFmtId="0" fontId="40" fillId="2" borderId="6" applyAlignment="1" applyProtection="1" pivotButton="0" quotePrefix="0" xfId="25">
      <alignment horizontal="center" vertical="center"/>
      <protection locked="1" hidden="1"/>
    </xf>
    <xf numFmtId="173" fontId="70" fillId="2" borderId="6" applyAlignment="1" applyProtection="1" pivotButton="0" quotePrefix="0" xfId="25">
      <alignment horizontal="center" vertical="center"/>
      <protection locked="1" hidden="1"/>
    </xf>
    <xf numFmtId="0" fontId="46" fillId="2" borderId="6" applyAlignment="1" applyProtection="1" pivotButton="0" quotePrefix="0" xfId="25">
      <alignment horizontal="center" vertical="center" wrapText="1"/>
      <protection locked="1" hidden="1"/>
    </xf>
    <xf numFmtId="0" fontId="0" fillId="0" borderId="43" applyAlignment="1" pivotButton="0" quotePrefix="0" xfId="25">
      <alignment horizontal="general" vertical="bottom"/>
    </xf>
    <xf numFmtId="0" fontId="0" fillId="0" borderId="44" applyAlignment="1" pivotButton="0" quotePrefix="0" xfId="25">
      <alignment horizontal="general" vertical="bottom"/>
    </xf>
    <xf numFmtId="173" fontId="71" fillId="5" borderId="6" applyAlignment="1" applyProtection="1" pivotButton="0" quotePrefix="0" xfId="25">
      <alignment horizontal="center" vertical="center"/>
      <protection locked="1" hidden="1"/>
    </xf>
    <xf numFmtId="0" fontId="46" fillId="5" borderId="6" applyAlignment="1" applyProtection="1" pivotButton="0" quotePrefix="0" xfId="25">
      <alignment horizontal="center" vertical="center" wrapText="1"/>
      <protection locked="1" hidden="1"/>
    </xf>
    <xf numFmtId="49" fontId="30" fillId="0" borderId="0" applyAlignment="1" applyProtection="1" pivotButton="0" quotePrefix="0" xfId="25">
      <alignment horizontal="general" vertical="bottom"/>
      <protection locked="1" hidden="1"/>
    </xf>
    <xf numFmtId="0" fontId="30" fillId="5" borderId="6" applyAlignment="1" applyProtection="1" pivotButton="0" quotePrefix="0" xfId="25">
      <alignment horizontal="center" vertical="center"/>
      <protection locked="1" hidden="1"/>
    </xf>
    <xf numFmtId="173" fontId="72" fillId="8" borderId="6" applyAlignment="1" applyProtection="1" pivotButton="0" quotePrefix="0" xfId="25">
      <alignment horizontal="center" vertical="center" textRotation="90"/>
      <protection locked="1" hidden="1"/>
    </xf>
    <xf numFmtId="0" fontId="30" fillId="5" borderId="15" applyAlignment="1" applyProtection="1" pivotButton="0" quotePrefix="0" xfId="25">
      <alignment horizontal="center" vertical="center" wrapText="1"/>
      <protection locked="1" hidden="1"/>
    </xf>
    <xf numFmtId="0" fontId="0" fillId="0" borderId="0" applyAlignment="1" applyProtection="1" pivotButton="0" quotePrefix="0" xfId="25">
      <alignment horizontal="general" vertical="center"/>
      <protection locked="1" hidden="1"/>
    </xf>
    <xf numFmtId="0" fontId="47" fillId="0" borderId="6" applyAlignment="1" applyProtection="1" pivotButton="0" quotePrefix="0" xfId="25">
      <alignment horizontal="center" vertical="center"/>
      <protection locked="1" hidden="1"/>
    </xf>
    <xf numFmtId="0" fontId="30" fillId="0" borderId="6" applyAlignment="1" applyProtection="1" pivotButton="0" quotePrefix="0" xfId="25">
      <alignment horizontal="center" vertical="center"/>
      <protection locked="0" hidden="0"/>
    </xf>
    <xf numFmtId="0" fontId="22" fillId="0" borderId="6" applyAlignment="1" applyProtection="1" pivotButton="0" quotePrefix="0" xfId="25">
      <alignment horizontal="center" vertical="center"/>
      <protection locked="1" hidden="1"/>
    </xf>
    <xf numFmtId="0" fontId="0" fillId="0" borderId="0" applyAlignment="1" pivotButton="0" quotePrefix="0" xfId="25">
      <alignment horizontal="general" vertical="center"/>
    </xf>
    <xf numFmtId="0" fontId="73" fillId="0" borderId="6" applyAlignment="1" applyProtection="1" pivotButton="0" quotePrefix="0" xfId="25">
      <alignment horizontal="center" vertical="center"/>
      <protection locked="0" hidden="0"/>
    </xf>
    <xf numFmtId="0" fontId="30" fillId="5" borderId="6" applyAlignment="1" applyProtection="1" pivotButton="0" quotePrefix="0" xfId="25">
      <alignment horizontal="general" vertical="center"/>
      <protection locked="0" hidden="0"/>
    </xf>
    <xf numFmtId="0" fontId="47" fillId="5" borderId="6" applyAlignment="1" applyProtection="1" pivotButton="0" quotePrefix="0" xfId="25">
      <alignment horizontal="center" vertical="center"/>
      <protection locked="1" hidden="1"/>
    </xf>
    <xf numFmtId="0" fontId="22" fillId="0" borderId="6" applyAlignment="1" applyProtection="1" pivotButton="0" quotePrefix="0" xfId="25">
      <alignment horizontal="center" vertical="bottom"/>
      <protection locked="0" hidden="0"/>
    </xf>
    <xf numFmtId="49" fontId="22" fillId="0" borderId="6" applyAlignment="1" applyProtection="1" pivotButton="0" quotePrefix="0" xfId="25">
      <alignment horizontal="center" vertical="bottom"/>
      <protection locked="0" hidden="0"/>
    </xf>
    <xf numFmtId="0" fontId="30" fillId="0" borderId="15" applyAlignment="1" applyProtection="1" pivotButton="0" quotePrefix="0" xfId="25">
      <alignment horizontal="center" vertical="bottom"/>
      <protection locked="0" hidden="0"/>
    </xf>
    <xf numFmtId="0" fontId="30" fillId="0" borderId="6" applyAlignment="1" applyProtection="1" pivotButton="0" quotePrefix="0" xfId="25">
      <alignment horizontal="center" vertical="bottom"/>
      <protection locked="0" hidden="0"/>
    </xf>
    <xf numFmtId="0" fontId="0" fillId="0" borderId="6" applyAlignment="1" applyProtection="1" pivotButton="0" quotePrefix="0" xfId="25">
      <alignment horizontal="center" vertical="bottom"/>
      <protection locked="0" hidden="0"/>
    </xf>
    <xf numFmtId="49" fontId="0" fillId="0" borderId="6" applyAlignment="1" applyProtection="1" pivotButton="0" quotePrefix="0" xfId="25">
      <alignment horizontal="center" vertical="bottom"/>
      <protection locked="0" hidden="0"/>
    </xf>
    <xf numFmtId="0" fontId="44" fillId="0" borderId="6" applyAlignment="1" applyProtection="1" pivotButton="0" quotePrefix="0" xfId="25">
      <alignment horizontal="center" vertical="bottom"/>
      <protection locked="0" hidden="0"/>
    </xf>
    <xf numFmtId="49" fontId="44" fillId="0" borderId="6" applyAlignment="1" applyProtection="1" pivotButton="0" quotePrefix="0" xfId="25">
      <alignment horizontal="center" vertical="bottom"/>
      <protection locked="0" hidden="0"/>
    </xf>
    <xf numFmtId="0" fontId="47" fillId="2" borderId="6" applyAlignment="1" applyProtection="1" pivotButton="0" quotePrefix="0" xfId="25">
      <alignment horizontal="center" vertical="bottom"/>
      <protection locked="1" hidden="1"/>
    </xf>
    <xf numFmtId="0" fontId="0" fillId="2" borderId="6" applyAlignment="1" applyProtection="1" pivotButton="0" quotePrefix="0" xfId="25">
      <alignment horizontal="center" vertical="bottom"/>
      <protection locked="1" hidden="1"/>
    </xf>
    <xf numFmtId="0" fontId="30" fillId="0" borderId="6" applyAlignment="1" applyProtection="1" pivotButton="0" quotePrefix="0" xfId="25">
      <alignment horizontal="general" vertical="bottom"/>
      <protection locked="1" hidden="1"/>
    </xf>
    <xf numFmtId="0" fontId="30" fillId="0" borderId="6" applyAlignment="1" applyProtection="1" pivotButton="0" quotePrefix="0" xfId="25">
      <alignment horizontal="center" vertical="top" wrapText="1"/>
      <protection locked="1" hidden="1"/>
    </xf>
    <xf numFmtId="0" fontId="30" fillId="0" borderId="6" applyAlignment="1" applyProtection="1" pivotButton="0" quotePrefix="0" xfId="25">
      <alignment horizontal="center" vertical="bottom"/>
      <protection locked="1" hidden="1"/>
    </xf>
    <xf numFmtId="0" fontId="74" fillId="0" borderId="6" applyAlignment="1" applyProtection="1" pivotButton="0" quotePrefix="0" xfId="25">
      <alignment horizontal="left" vertical="top"/>
      <protection locked="1" hidden="1"/>
    </xf>
    <xf numFmtId="166" fontId="30" fillId="0" borderId="6" applyAlignment="1" applyProtection="1" pivotButton="0" quotePrefix="0" xfId="25">
      <alignment horizontal="center" vertical="top" wrapText="1"/>
      <protection locked="0" hidden="0"/>
    </xf>
    <xf numFmtId="174" fontId="0" fillId="0" borderId="0" applyAlignment="1" pivotButton="0" quotePrefix="0" xfId="25">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49" fontId="80" fillId="0" borderId="4" applyAlignment="1" applyProtection="1" pivotButton="0" quotePrefix="0" xfId="0">
      <alignment horizontal="center" vertical="center"/>
      <protection locked="0" hidden="0"/>
    </xf>
    <xf numFmtId="49" fontId="80" fillId="0" borderId="4" applyAlignment="1" applyProtection="1" pivotButton="0" quotePrefix="0" xfId="0">
      <alignment horizontal="left" vertical="center" wrapText="1"/>
      <protection locked="0" hidden="0"/>
    </xf>
    <xf numFmtId="0" fontId="80" fillId="0" borderId="4" applyAlignment="1" applyProtection="1" pivotButton="0" quotePrefix="0" xfId="0">
      <alignment horizontal="center" vertical="center"/>
      <protection locked="0" hidden="0"/>
    </xf>
    <xf numFmtId="3" fontId="80" fillId="0" borderId="73" applyAlignment="1" applyProtection="1" pivotButton="0" quotePrefix="0" xfId="0">
      <alignment horizontal="center" vertical="center"/>
      <protection locked="0" hidden="0"/>
    </xf>
    <xf numFmtId="0" fontId="80" fillId="0" borderId="73"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81" fillId="0" borderId="4" applyAlignment="1" applyProtection="1" pivotButton="0" quotePrefix="0" xfId="0">
      <alignment horizontal="general" vertical="center" wrapText="1"/>
      <protection locked="0" hidden="0"/>
    </xf>
    <xf numFmtId="49" fontId="81" fillId="0" borderId="4" applyAlignment="1" applyProtection="1" pivotButton="0" quotePrefix="0" xfId="0">
      <alignment horizontal="center" vertical="center"/>
      <protection locked="0" hidden="0"/>
    </xf>
    <xf numFmtId="49" fontId="81" fillId="0" borderId="4" applyAlignment="1" applyProtection="1" pivotButton="0" quotePrefix="0" xfId="0">
      <alignment horizontal="general" vertical="center" wrapText="1"/>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9">
      <alignment horizontal="general" vertical="bottom"/>
    </xf>
    <xf numFmtId="0" fontId="85" fillId="2" borderId="0" applyAlignment="1" pivotButton="0" quotePrefix="0" xfId="29">
      <alignment horizontal="general" vertical="bottom"/>
    </xf>
    <xf numFmtId="0" fontId="5" fillId="2" borderId="33" applyAlignment="1" pivotButton="0" quotePrefix="0" xfId="29">
      <alignment horizontal="general" vertical="bottom"/>
    </xf>
    <xf numFmtId="0" fontId="85" fillId="2" borderId="28" applyAlignment="1" pivotButton="0" quotePrefix="0" xfId="29">
      <alignment horizontal="general" vertical="bottom"/>
    </xf>
    <xf numFmtId="0" fontId="5" fillId="2" borderId="28" applyAlignment="1" pivotButton="0" quotePrefix="0" xfId="29">
      <alignment horizontal="general" vertical="bottom"/>
    </xf>
    <xf numFmtId="0" fontId="5" fillId="2" borderId="29" applyAlignment="1" pivotButton="0" quotePrefix="0" xfId="29">
      <alignment horizontal="general" vertical="bottom"/>
    </xf>
    <xf numFmtId="0" fontId="5" fillId="2" borderId="34" applyAlignment="1" pivotButton="0" quotePrefix="0" xfId="29">
      <alignment horizontal="general" vertical="bottom"/>
    </xf>
    <xf numFmtId="0" fontId="5" fillId="2" borderId="30" applyAlignment="1" pivotButton="0" quotePrefix="0" xfId="29">
      <alignment horizontal="general" vertical="bottom"/>
    </xf>
    <xf numFmtId="0" fontId="86" fillId="2" borderId="0" applyAlignment="1" pivotButton="0" quotePrefix="0" xfId="29">
      <alignment horizontal="center" vertical="center"/>
    </xf>
    <xf numFmtId="0" fontId="87" fillId="2" borderId="0" applyAlignment="1" pivotButton="0" quotePrefix="0" xfId="29">
      <alignment horizontal="center" vertical="center"/>
    </xf>
    <xf numFmtId="0" fontId="88" fillId="2" borderId="30" applyAlignment="1" pivotButton="0" quotePrefix="0" xfId="29">
      <alignment horizontal="general" vertical="center"/>
    </xf>
    <xf numFmtId="0" fontId="88" fillId="2" borderId="0" applyAlignment="1" pivotButton="0" quotePrefix="0" xfId="29">
      <alignment horizontal="general" vertical="center"/>
    </xf>
    <xf numFmtId="0" fontId="89" fillId="2" borderId="0" applyAlignment="1" pivotButton="0" quotePrefix="0" xfId="29">
      <alignment horizontal="center" vertical="center"/>
    </xf>
    <xf numFmtId="0" fontId="90" fillId="2" borderId="0" applyAlignment="1" pivotButton="0" quotePrefix="0" xfId="29">
      <alignment horizontal="general" vertical="bottom"/>
    </xf>
    <xf numFmtId="0" fontId="91" fillId="2" borderId="0" applyAlignment="1" pivotButton="0" quotePrefix="0" xfId="29">
      <alignment horizontal="general" vertical="bottom"/>
    </xf>
    <xf numFmtId="0" fontId="92" fillId="2" borderId="0" applyAlignment="1" pivotButton="0" quotePrefix="0" xfId="29">
      <alignment horizontal="general" vertical="bottom"/>
    </xf>
    <xf numFmtId="0" fontId="92" fillId="2" borderId="30" applyAlignment="1" pivotButton="0" quotePrefix="0" xfId="29">
      <alignment horizontal="general" vertical="bottom"/>
    </xf>
    <xf numFmtId="0" fontId="93" fillId="2" borderId="0" applyAlignment="1" pivotButton="0" quotePrefix="0" xfId="29">
      <alignment horizontal="right" vertical="center"/>
    </xf>
    <xf numFmtId="0" fontId="91" fillId="2" borderId="0" applyAlignment="1" pivotButton="0" quotePrefix="0" xfId="29">
      <alignment horizontal="general" vertical="center"/>
    </xf>
    <xf numFmtId="168" fontId="92" fillId="2" borderId="0" applyAlignment="1" pivotButton="0" quotePrefix="0" xfId="29">
      <alignment horizontal="left" vertical="center"/>
    </xf>
    <xf numFmtId="0" fontId="93" fillId="2" borderId="0" applyAlignment="1" pivotButton="0" quotePrefix="0" xfId="29">
      <alignment horizontal="general" vertical="bottom"/>
    </xf>
    <xf numFmtId="168" fontId="92" fillId="2" borderId="0" applyAlignment="1" pivotButton="0" quotePrefix="0" xfId="29">
      <alignment horizontal="left" vertical="center"/>
    </xf>
    <xf numFmtId="0" fontId="93" fillId="2" borderId="0" applyAlignment="1" pivotButton="0" quotePrefix="0" xfId="29">
      <alignment horizontal="right" vertical="top"/>
    </xf>
    <xf numFmtId="168" fontId="94" fillId="2" borderId="0" applyAlignment="1" pivotButton="0" quotePrefix="0" xfId="29">
      <alignment horizontal="left" vertical="top" wrapText="1"/>
    </xf>
    <xf numFmtId="0" fontId="92" fillId="2" borderId="0" applyAlignment="1" pivotButton="0" quotePrefix="0" xfId="29">
      <alignment horizontal="right" vertical="center"/>
    </xf>
    <xf numFmtId="0" fontId="95" fillId="2" borderId="0" applyAlignment="1" pivotButton="0" quotePrefix="0" xfId="29">
      <alignment horizontal="general" vertical="bottom"/>
    </xf>
    <xf numFmtId="0" fontId="96" fillId="2" borderId="0" applyAlignment="1" pivotButton="0" quotePrefix="0" xfId="29">
      <alignment horizontal="general" vertical="bottom"/>
    </xf>
    <xf numFmtId="0" fontId="97" fillId="2" borderId="0" applyAlignment="1" pivotButton="0" quotePrefix="0" xfId="29">
      <alignment horizontal="general" vertical="center"/>
    </xf>
    <xf numFmtId="0" fontId="97" fillId="2" borderId="0" applyAlignment="1" pivotButton="0" quotePrefix="0" xfId="29">
      <alignment horizontal="left" vertical="center"/>
    </xf>
    <xf numFmtId="0" fontId="97" fillId="2" borderId="0" applyAlignment="1" pivotButton="0" quotePrefix="0" xfId="29">
      <alignment horizontal="general" vertical="bottom"/>
    </xf>
    <xf numFmtId="0" fontId="98" fillId="0" borderId="4" applyAlignment="1" pivotButton="0" quotePrefix="0" xfId="0">
      <alignment horizontal="left" vertical="bottom" wrapText="1"/>
    </xf>
    <xf numFmtId="0" fontId="5" fillId="2" borderId="35" applyAlignment="1" pivotButton="0" quotePrefix="0" xfId="29">
      <alignment horizontal="general" vertical="bottom"/>
    </xf>
    <xf numFmtId="0" fontId="85" fillId="2" borderId="32" applyAlignment="1" pivotButton="0" quotePrefix="0" xfId="29">
      <alignment horizontal="general" vertical="bottom"/>
    </xf>
    <xf numFmtId="0" fontId="5" fillId="2" borderId="32" applyAlignment="1" pivotButton="0" quotePrefix="0" xfId="29">
      <alignment horizontal="general" vertical="bottom"/>
    </xf>
    <xf numFmtId="0" fontId="5" fillId="2" borderId="36" applyAlignment="1" pivotButton="0" quotePrefix="0" xfId="29">
      <alignment horizontal="general" vertical="bottom"/>
    </xf>
    <xf numFmtId="0" fontId="5" fillId="0" borderId="6" applyAlignment="1" pivotButton="0" quotePrefix="0" xfId="32">
      <alignment horizontal="left" vertical="bottom"/>
    </xf>
    <xf numFmtId="0" fontId="5" fillId="4" borderId="6" applyAlignment="1" pivotButton="0" quotePrefix="0" xfId="32">
      <alignment horizontal="left" vertical="bottom"/>
    </xf>
    <xf numFmtId="0" fontId="5" fillId="0" borderId="0" applyAlignment="1" pivotButton="0" quotePrefix="0" xfId="32">
      <alignment horizontal="general" vertical="bottom"/>
    </xf>
    <xf numFmtId="0" fontId="99" fillId="0" borderId="6" applyAlignment="1" pivotButton="0" quotePrefix="0" xfId="32">
      <alignment horizontal="left" vertical="center" wrapText="1"/>
    </xf>
    <xf numFmtId="0" fontId="100" fillId="4" borderId="6" applyAlignment="1" pivotButton="0" quotePrefix="0" xfId="32">
      <alignment horizontal="left" vertical="center" wrapText="1"/>
    </xf>
    <xf numFmtId="0" fontId="100" fillId="0" borderId="7" applyAlignment="1" pivotButton="0" quotePrefix="0" xfId="32">
      <alignment horizontal="center" vertical="center" wrapText="1"/>
    </xf>
    <xf numFmtId="0" fontId="99" fillId="0" borderId="21" applyAlignment="1" pivotButton="0" quotePrefix="0" xfId="32">
      <alignment horizontal="general" vertical="center" wrapText="1"/>
    </xf>
    <xf numFmtId="2" fontId="101" fillId="0" borderId="0" applyAlignment="1" applyProtection="1" pivotButton="0" quotePrefix="0" xfId="32">
      <alignment horizontal="general" vertical="bottom"/>
      <protection locked="0" hidden="0"/>
    </xf>
    <xf numFmtId="0" fontId="100" fillId="0" borderId="6" applyAlignment="1" pivotButton="0" quotePrefix="0" xfId="32">
      <alignment horizontal="left" vertical="center" wrapText="1"/>
    </xf>
    <xf numFmtId="0" fontId="100" fillId="0" borderId="44" applyAlignment="1" pivotButton="0" quotePrefix="0" xfId="32">
      <alignment horizontal="center" vertical="center" wrapText="1"/>
    </xf>
    <xf numFmtId="0" fontId="100" fillId="0" borderId="6" applyAlignment="1" pivotButton="0" quotePrefix="0" xfId="32">
      <alignment horizontal="center" vertical="center" wrapText="1"/>
    </xf>
    <xf numFmtId="0" fontId="100" fillId="0" borderId="8" applyAlignment="1" pivotButton="0" quotePrefix="0" xfId="32">
      <alignment horizontal="center" vertical="center" wrapText="1"/>
    </xf>
    <xf numFmtId="0" fontId="102" fillId="0" borderId="6" applyAlignment="1" pivotButton="0" quotePrefix="0" xfId="32">
      <alignment horizontal="left" vertical="center" wrapText="1"/>
    </xf>
    <xf numFmtId="0" fontId="99" fillId="0" borderId="44" applyAlignment="1" pivotButton="0" quotePrefix="0" xfId="32">
      <alignment horizontal="center" vertical="center" wrapText="1"/>
    </xf>
    <xf numFmtId="0" fontId="99" fillId="0" borderId="6" applyAlignment="1" pivotButton="0" quotePrefix="0" xfId="32">
      <alignment horizontal="center" vertical="center" wrapText="1"/>
    </xf>
    <xf numFmtId="169" fontId="99" fillId="0" borderId="6" applyAlignment="1" pivotButton="0" quotePrefix="0" xfId="32">
      <alignment horizontal="center" vertical="center" wrapText="1"/>
    </xf>
    <xf numFmtId="0" fontId="99" fillId="0" borderId="8" applyAlignment="1" pivotButton="0" quotePrefix="0" xfId="32">
      <alignment horizontal="center" vertical="center" wrapText="1"/>
    </xf>
    <xf numFmtId="175" fontId="99" fillId="0" borderId="0" applyAlignment="1" pivotButton="0" quotePrefix="0" xfId="32">
      <alignment horizontal="general" vertical="bottom"/>
    </xf>
    <xf numFmtId="0" fontId="103" fillId="0" borderId="27" applyAlignment="1" pivotButton="0" quotePrefix="0" xfId="32">
      <alignment horizontal="center" vertical="bottom"/>
    </xf>
    <xf numFmtId="2" fontId="101" fillId="0" borderId="0" applyAlignment="1" pivotButton="0" quotePrefix="0" xfId="32">
      <alignment horizontal="general" vertical="bottom"/>
    </xf>
    <xf numFmtId="2" fontId="5" fillId="0" borderId="0" applyAlignment="1" pivotButton="0" quotePrefix="0" xfId="32">
      <alignment horizontal="general" vertical="bottom"/>
    </xf>
    <xf numFmtId="0" fontId="104" fillId="16" borderId="6" applyAlignment="1" pivotButton="0" quotePrefix="0" xfId="31">
      <alignment horizontal="left" vertical="center" wrapText="1"/>
    </xf>
    <xf numFmtId="0" fontId="99" fillId="17" borderId="6" applyAlignment="1" applyProtection="1" pivotButton="0" quotePrefix="0" xfId="31">
      <alignment horizontal="left" vertical="center"/>
      <protection locked="0" hidden="0"/>
    </xf>
    <xf numFmtId="166" fontId="99" fillId="0" borderId="47" applyAlignment="1" applyProtection="1" pivotButton="0" quotePrefix="0" xfId="31">
      <alignment horizontal="center" vertical="center"/>
      <protection locked="0" hidden="0"/>
    </xf>
    <xf numFmtId="0" fontId="104" fillId="16" borderId="7" applyAlignment="1" pivotButton="0" quotePrefix="0" xfId="31">
      <alignment horizontal="left" vertical="center" wrapText="1"/>
    </xf>
    <xf numFmtId="0" fontId="91" fillId="0" borderId="7" applyAlignment="1" applyProtection="1" pivotButton="0" quotePrefix="0" xfId="31">
      <alignment horizontal="left" vertical="center" wrapText="1"/>
      <protection locked="0" hidden="0"/>
    </xf>
    <xf numFmtId="0" fontId="92" fillId="2" borderId="6" applyAlignment="1" applyProtection="1" pivotButton="0" quotePrefix="0" xfId="31">
      <alignment horizontal="center" vertical="center" wrapText="1"/>
      <protection locked="0" hidden="0"/>
    </xf>
    <xf numFmtId="0" fontId="99" fillId="0" borderId="44" applyAlignment="1" applyProtection="1" pivotButton="0" quotePrefix="0" xfId="31">
      <alignment horizontal="center" vertical="center"/>
      <protection locked="0" hidden="0"/>
    </xf>
    <xf numFmtId="0" fontId="99" fillId="0" borderId="6" applyAlignment="1" applyProtection="1" pivotButton="0" quotePrefix="0" xfId="31">
      <alignment horizontal="center" vertical="center"/>
      <protection locked="0" hidden="0"/>
    </xf>
    <xf numFmtId="0" fontId="104" fillId="16" borderId="20" applyAlignment="1" pivotButton="0" quotePrefix="0" xfId="31">
      <alignment horizontal="general" vertical="center" wrapText="1"/>
    </xf>
    <xf numFmtId="0" fontId="92" fillId="0" borderId="6" applyAlignment="1" pivotButton="0" quotePrefix="0" xfId="0">
      <alignment horizontal="general" vertical="center"/>
    </xf>
    <xf numFmtId="0" fontId="105" fillId="0" borderId="0" applyAlignment="1" pivotButton="0" quotePrefix="0" xfId="32">
      <alignment horizontal="general" vertical="bottom"/>
    </xf>
    <xf numFmtId="0" fontId="99" fillId="0" borderId="16" applyAlignment="1" applyProtection="1" pivotButton="0" quotePrefix="0" xfId="31">
      <alignment horizontal="center" vertical="center"/>
      <protection locked="0" hidden="0"/>
    </xf>
    <xf numFmtId="0" fontId="104" fillId="16" borderId="11" applyAlignment="1" pivotButton="0" quotePrefix="0" xfId="31">
      <alignment horizontal="left" vertical="center" wrapText="1"/>
    </xf>
    <xf numFmtId="0" fontId="99" fillId="0" borderId="11" applyAlignment="1" applyProtection="1" pivotButton="0" quotePrefix="0" xfId="31">
      <alignment horizontal="center" vertical="center"/>
      <protection locked="0" hidden="0"/>
    </xf>
    <xf numFmtId="0" fontId="104" fillId="16" borderId="11" applyAlignment="1" pivotButton="0" quotePrefix="0" xfId="31">
      <alignment horizontal="general" vertical="center" wrapText="1"/>
    </xf>
    <xf numFmtId="0" fontId="100" fillId="0" borderId="40" applyAlignment="1" applyProtection="1" pivotButton="0" quotePrefix="0" xfId="31">
      <alignment horizontal="center" vertical="center"/>
      <protection locked="0" hidden="0"/>
    </xf>
    <xf numFmtId="0" fontId="106" fillId="0" borderId="0" applyAlignment="1" pivotButton="0" quotePrefix="0" xfId="32">
      <alignment horizontal="general" vertical="bottom"/>
    </xf>
    <xf numFmtId="0" fontId="104" fillId="18" borderId="6" applyAlignment="1" pivotButton="0" quotePrefix="0" xfId="32">
      <alignment horizontal="left" vertical="center" wrapText="1"/>
    </xf>
    <xf numFmtId="2" fontId="100" fillId="17" borderId="6" applyAlignment="1" pivotButton="0" quotePrefix="0" xfId="32">
      <alignment horizontal="left" vertical="center"/>
    </xf>
    <xf numFmtId="0" fontId="104" fillId="2" borderId="6" applyAlignment="1" pivotButton="0" quotePrefix="0" xfId="32">
      <alignment horizontal="left" vertical="center" wrapText="1"/>
    </xf>
    <xf numFmtId="0" fontId="99" fillId="2" borderId="28" applyAlignment="1" pivotButton="0" quotePrefix="0" xfId="32">
      <alignment horizontal="general" vertical="bottom"/>
    </xf>
    <xf numFmtId="0" fontId="104" fillId="2" borderId="28" applyAlignment="1" pivotButton="0" quotePrefix="0" xfId="32">
      <alignment horizontal="left" vertical="center" wrapText="1"/>
    </xf>
    <xf numFmtId="0" fontId="104" fillId="0" borderId="0" applyAlignment="1" pivotButton="0" quotePrefix="0" xfId="32">
      <alignment horizontal="left" vertical="center" wrapText="1"/>
    </xf>
    <xf numFmtId="0" fontId="94" fillId="0" borderId="29" applyAlignment="1" pivotButton="0" quotePrefix="0" xfId="32">
      <alignment horizontal="center" vertical="center"/>
    </xf>
    <xf numFmtId="0" fontId="5" fillId="2" borderId="0" applyAlignment="1" pivotButton="0" quotePrefix="0" xfId="32">
      <alignment horizontal="general" vertical="bottom"/>
    </xf>
    <xf numFmtId="0" fontId="105" fillId="2" borderId="0" applyAlignment="1" pivotButton="0" quotePrefix="0" xfId="32">
      <alignment horizontal="general" vertical="bottom"/>
    </xf>
    <xf numFmtId="2" fontId="107" fillId="17" borderId="6" applyAlignment="1" applyProtection="1" pivotButton="0" quotePrefix="0" xfId="31">
      <alignment horizontal="left" vertical="center"/>
      <protection locked="0" hidden="0"/>
    </xf>
    <xf numFmtId="0" fontId="104" fillId="16" borderId="6" applyAlignment="1" pivotButton="0" quotePrefix="0" xfId="32">
      <alignment horizontal="left" vertical="center" wrapText="1"/>
    </xf>
    <xf numFmtId="0" fontId="99" fillId="2" borderId="47" applyAlignment="1" applyProtection="1" pivotButton="0" quotePrefix="0" xfId="32">
      <alignment horizontal="center" vertical="center"/>
      <protection locked="0" hidden="0"/>
    </xf>
    <xf numFmtId="0" fontId="104" fillId="16" borderId="7" applyAlignment="1" pivotButton="0" quotePrefix="0" xfId="32">
      <alignment horizontal="left" vertical="center" wrapText="1"/>
    </xf>
    <xf numFmtId="0" fontId="99" fillId="2" borderId="7" applyAlignment="1" applyProtection="1" pivotButton="0" quotePrefix="0" xfId="32">
      <alignment horizontal="center" vertical="center"/>
      <protection locked="0" hidden="0"/>
    </xf>
    <xf numFmtId="0" fontId="104" fillId="16" borderId="7" applyAlignment="1" pivotButton="0" quotePrefix="0" xfId="0">
      <alignment horizontal="left" vertical="center" wrapText="1"/>
    </xf>
    <xf numFmtId="0" fontId="100" fillId="2" borderId="21" applyAlignment="1" applyProtection="1" pivotButton="0" quotePrefix="0" xfId="0">
      <alignment horizontal="center" vertical="center" wrapText="1"/>
      <protection locked="0" hidden="0"/>
    </xf>
    <xf numFmtId="2" fontId="105" fillId="0" borderId="0" applyAlignment="1" pivotButton="0" quotePrefix="0" xfId="32">
      <alignment horizontal="general" vertical="bottom"/>
    </xf>
    <xf numFmtId="2" fontId="100" fillId="17" borderId="6" applyAlignment="1" applyProtection="1" pivotButton="0" quotePrefix="0" xfId="32">
      <alignment horizontal="left" vertical="center"/>
      <protection locked="0" hidden="0"/>
    </xf>
    <xf numFmtId="0" fontId="108" fillId="2" borderId="74" applyAlignment="1" applyProtection="1" pivotButton="0" quotePrefix="0" xfId="32">
      <alignment horizontal="center" vertical="center"/>
      <protection locked="0" hidden="0"/>
    </xf>
    <xf numFmtId="0" fontId="100" fillId="2" borderId="6" applyAlignment="1" pivotButton="0" quotePrefix="0" xfId="32">
      <alignment horizontal="center" vertical="center"/>
    </xf>
    <xf numFmtId="0" fontId="104" fillId="16" borderId="6" applyAlignment="1" pivotButton="0" quotePrefix="0" xfId="0">
      <alignment horizontal="left" vertical="center" wrapText="1"/>
    </xf>
    <xf numFmtId="0" fontId="100" fillId="2" borderId="8" applyAlignment="1" applyProtection="1" pivotButton="0" quotePrefix="0" xfId="0">
      <alignment horizontal="center" vertical="center"/>
      <protection locked="0" hidden="0"/>
    </xf>
    <xf numFmtId="0" fontId="104" fillId="18" borderId="6" applyAlignment="1" pivotButton="0" quotePrefix="0" xfId="0">
      <alignment horizontal="left" vertical="center" wrapText="1"/>
    </xf>
    <xf numFmtId="2" fontId="100" fillId="17" borderId="6" applyAlignment="1" applyProtection="1" pivotButton="0" quotePrefix="0" xfId="0">
      <alignment horizontal="left" vertical="center"/>
      <protection locked="0" hidden="0"/>
    </xf>
    <xf numFmtId="0" fontId="104" fillId="16" borderId="15" applyAlignment="1" pivotButton="0" quotePrefix="0" xfId="32">
      <alignment horizontal="left" vertical="center" wrapText="1"/>
    </xf>
    <xf numFmtId="2" fontId="100" fillId="2" borderId="42" applyAlignment="1" applyProtection="1" pivotButton="0" quotePrefix="0" xfId="0">
      <alignment horizontal="center" vertical="center"/>
      <protection locked="0" hidden="0"/>
    </xf>
    <xf numFmtId="2" fontId="104" fillId="2" borderId="43" applyAlignment="1" pivotButton="0" quotePrefix="0" xfId="0">
      <alignment horizontal="center" vertical="center" wrapText="1"/>
    </xf>
    <xf numFmtId="0" fontId="104" fillId="2" borderId="6" applyAlignment="1" pivotButton="0" quotePrefix="0" xfId="0">
      <alignment horizontal="general" vertical="center" wrapText="1"/>
    </xf>
    <xf numFmtId="0" fontId="104" fillId="2" borderId="6" applyAlignment="1" pivotButton="0" quotePrefix="0" xfId="0">
      <alignment horizontal="center" vertical="center" wrapText="1"/>
    </xf>
    <xf numFmtId="2" fontId="109" fillId="0" borderId="0" applyAlignment="1" pivotButton="0" quotePrefix="0" xfId="32">
      <alignment horizontal="general" vertical="bottom"/>
    </xf>
    <xf numFmtId="0" fontId="103" fillId="0" borderId="6" applyAlignment="1" pivotButton="0" quotePrefix="0" xfId="32">
      <alignment horizontal="left" vertical="bottom"/>
    </xf>
    <xf numFmtId="0" fontId="103" fillId="0" borderId="32" applyAlignment="1" pivotButton="0" quotePrefix="0" xfId="32">
      <alignment horizontal="general" vertical="bottom"/>
    </xf>
    <xf numFmtId="0" fontId="110" fillId="4" borderId="6" applyAlignment="1" pivotButton="0" quotePrefix="0" xfId="32">
      <alignment horizontal="left" vertical="center" wrapText="1"/>
    </xf>
    <xf numFmtId="0" fontId="110" fillId="7" borderId="75" applyAlignment="1" pivotButton="0" quotePrefix="0" xfId="32">
      <alignment horizontal="center" vertical="center" wrapText="1"/>
    </xf>
    <xf numFmtId="0" fontId="110" fillId="7" borderId="76" applyAlignment="1" pivotButton="0" quotePrefix="0" xfId="32">
      <alignment horizontal="center" vertical="center" wrapText="1"/>
    </xf>
    <xf numFmtId="0" fontId="110" fillId="7" borderId="53" applyAlignment="1" pivotButton="0" quotePrefix="0" xfId="32">
      <alignment horizontal="left" vertical="center" wrapText="1"/>
    </xf>
    <xf numFmtId="2" fontId="5" fillId="7" borderId="0" applyAlignment="1" pivotButton="0" quotePrefix="0" xfId="32">
      <alignment horizontal="general" vertical="bottom"/>
    </xf>
    <xf numFmtId="0" fontId="5" fillId="7" borderId="0" applyAlignment="1" pivotButton="0" quotePrefix="0" xfId="32">
      <alignment horizontal="general" vertical="bottom"/>
    </xf>
    <xf numFmtId="0" fontId="103" fillId="19" borderId="6" applyAlignment="1" pivotButton="0" quotePrefix="0" xfId="0">
      <alignment horizontal="center" vertical="center"/>
    </xf>
    <xf numFmtId="0" fontId="103" fillId="19" borderId="6" applyAlignment="1" pivotButton="0" quotePrefix="0" xfId="0">
      <alignment horizontal="center" vertical="center" wrapText="1"/>
    </xf>
    <xf numFmtId="2" fontId="103" fillId="19" borderId="6" applyAlignment="1" pivotButton="0" quotePrefix="0" xfId="0">
      <alignment horizontal="center" vertical="center"/>
    </xf>
    <xf numFmtId="2" fontId="111" fillId="2" borderId="47" applyAlignment="1" applyProtection="1" pivotButton="0" quotePrefix="0" xfId="32">
      <alignment horizontal="center" vertical="center"/>
      <protection locked="0" hidden="0"/>
    </xf>
    <xf numFmtId="2" fontId="111" fillId="2" borderId="7" applyAlignment="1" applyProtection="1" pivotButton="0" quotePrefix="0" xfId="32">
      <alignment horizontal="center" vertical="center"/>
      <protection locked="0" hidden="0"/>
    </xf>
    <xf numFmtId="2" fontId="112" fillId="2" borderId="7" applyAlignment="1" applyProtection="1" pivotButton="0" quotePrefix="0" xfId="32">
      <alignment horizontal="center" vertical="center"/>
      <protection locked="0" hidden="0"/>
    </xf>
    <xf numFmtId="2" fontId="104" fillId="2" borderId="21" applyAlignment="1" applyProtection="1" pivotButton="0" quotePrefix="0" xfId="32">
      <alignment horizontal="center" vertical="center" wrapText="1"/>
      <protection locked="0" hidden="0"/>
    </xf>
    <xf numFmtId="2" fontId="101" fillId="0" borderId="0" applyAlignment="1" applyProtection="1" pivotButton="0" quotePrefix="0" xfId="32">
      <alignment horizontal="center" vertical="center"/>
      <protection locked="0" hidden="0"/>
    </xf>
    <xf numFmtId="2" fontId="94" fillId="0" borderId="0" applyAlignment="1" applyProtection="1" pivotButton="0" quotePrefix="0" xfId="32">
      <alignment horizontal="center" vertical="center"/>
      <protection locked="0" hidden="0"/>
    </xf>
    <xf numFmtId="0" fontId="5" fillId="0" borderId="0" applyAlignment="1" applyProtection="1" pivotButton="0" quotePrefix="0" xfId="32">
      <alignment horizontal="general" vertical="bottom"/>
      <protection locked="0" hidden="0"/>
    </xf>
    <xf numFmtId="2" fontId="113" fillId="0" borderId="0" applyAlignment="1" applyProtection="1" pivotButton="0" quotePrefix="0" xfId="32">
      <alignment horizontal="general" vertical="center"/>
      <protection locked="0" hidden="0"/>
    </xf>
    <xf numFmtId="2" fontId="111" fillId="2" borderId="44" applyAlignment="1" applyProtection="1" pivotButton="0" quotePrefix="0" xfId="32">
      <alignment horizontal="center" vertical="center"/>
      <protection locked="0" hidden="0"/>
    </xf>
    <xf numFmtId="2" fontId="111" fillId="2" borderId="6" applyAlignment="1" applyProtection="1" pivotButton="0" quotePrefix="0" xfId="32">
      <alignment horizontal="center" vertical="center"/>
      <protection locked="0" hidden="0"/>
    </xf>
    <xf numFmtId="2" fontId="112" fillId="2" borderId="6" applyAlignment="1" applyProtection="1" pivotButton="0" quotePrefix="0" xfId="32">
      <alignment horizontal="center" vertical="center"/>
      <protection locked="0" hidden="0"/>
    </xf>
    <xf numFmtId="2" fontId="104" fillId="2" borderId="8" applyAlignment="1" applyProtection="1" pivotButton="0" quotePrefix="0" xfId="32">
      <alignment horizontal="center" vertical="center" wrapText="1"/>
      <protection locked="0" hidden="0"/>
    </xf>
    <xf numFmtId="2" fontId="105" fillId="0" borderId="0" applyAlignment="1" applyProtection="1" pivotButton="0" quotePrefix="0" xfId="32">
      <alignment horizontal="general" vertical="bottom"/>
      <protection locked="0" hidden="0"/>
    </xf>
    <xf numFmtId="2" fontId="94" fillId="0" borderId="0" applyAlignment="1" applyProtection="1" pivotButton="0" quotePrefix="0" xfId="32">
      <alignment horizontal="center" vertical="center"/>
      <protection locked="0" hidden="0"/>
    </xf>
    <xf numFmtId="0" fontId="94" fillId="0" borderId="0" applyAlignment="1" applyProtection="1" pivotButton="0" quotePrefix="0" xfId="32">
      <alignment horizontal="center" vertical="center"/>
      <protection locked="0" hidden="0"/>
    </xf>
    <xf numFmtId="0" fontId="109" fillId="0" borderId="0" applyAlignment="1" applyProtection="1" pivotButton="0" quotePrefix="0" xfId="32">
      <alignment horizontal="general" vertical="bottom"/>
      <protection locked="0" hidden="0"/>
    </xf>
    <xf numFmtId="0" fontId="101" fillId="0" borderId="0" applyAlignment="1" applyProtection="1" pivotButton="0" quotePrefix="0" xfId="32">
      <alignment horizontal="general" vertical="bottom"/>
      <protection locked="0" hidden="0"/>
    </xf>
    <xf numFmtId="0" fontId="103" fillId="0" borderId="6" applyAlignment="1" pivotButton="0" quotePrefix="0" xfId="0">
      <alignment horizontal="center" vertical="center"/>
    </xf>
    <xf numFmtId="2" fontId="103" fillId="0" borderId="6" applyAlignment="1" pivotButton="0" quotePrefix="0" xfId="0">
      <alignment horizontal="center" vertical="center"/>
    </xf>
    <xf numFmtId="2" fontId="114" fillId="2" borderId="14" applyAlignment="1" applyProtection="1" pivotButton="0" quotePrefix="0" xfId="32">
      <alignment horizontal="center" vertical="center"/>
      <protection locked="0" hidden="0"/>
    </xf>
    <xf numFmtId="0" fontId="115" fillId="2" borderId="25" applyAlignment="1" applyProtection="1" pivotButton="0" quotePrefix="0" xfId="32">
      <alignment horizontal="center" vertical="center"/>
      <protection locked="0" hidden="0"/>
    </xf>
    <xf numFmtId="2" fontId="115" fillId="2" borderId="25" applyAlignment="1" applyProtection="1" pivotButton="0" quotePrefix="0" xfId="32">
      <alignment horizontal="center" vertical="center"/>
      <protection locked="0" hidden="0"/>
    </xf>
    <xf numFmtId="2" fontId="5" fillId="0" borderId="0" applyAlignment="1" applyProtection="1" pivotButton="0" quotePrefix="0" xfId="32">
      <alignment horizontal="general" vertical="bottom"/>
      <protection locked="0" hidden="0"/>
    </xf>
    <xf numFmtId="0" fontId="116" fillId="2" borderId="25" applyAlignment="1" applyProtection="1" pivotButton="0" quotePrefix="0" xfId="32">
      <alignment horizontal="center" vertical="center"/>
      <protection locked="0" hidden="0"/>
    </xf>
    <xf numFmtId="2" fontId="117" fillId="0" borderId="4" applyAlignment="1" pivotButton="0" quotePrefix="0" xfId="33">
      <alignment horizontal="center" vertical="bottom"/>
    </xf>
    <xf numFmtId="176" fontId="5" fillId="0" borderId="0" applyAlignment="1" applyProtection="1" pivotButton="0" quotePrefix="0" xfId="32">
      <alignment horizontal="general" vertical="bottom"/>
      <protection locked="0" hidden="0"/>
    </xf>
    <xf numFmtId="0" fontId="103" fillId="20" borderId="6" applyAlignment="1" pivotButton="0" quotePrefix="0" xfId="0">
      <alignment horizontal="center" vertical="center"/>
    </xf>
    <xf numFmtId="0" fontId="103" fillId="20" borderId="6" applyAlignment="1" pivotButton="0" quotePrefix="0" xfId="0">
      <alignment horizontal="center" vertical="center" wrapText="1"/>
    </xf>
    <xf numFmtId="2" fontId="103" fillId="20" borderId="6" applyAlignment="1" pivotButton="0" quotePrefix="0" xfId="0">
      <alignment horizontal="center" vertical="center"/>
    </xf>
    <xf numFmtId="0" fontId="103" fillId="21" borderId="6" applyAlignment="1" pivotButton="0" quotePrefix="0" xfId="0">
      <alignment horizontal="center" vertical="center"/>
    </xf>
    <xf numFmtId="0" fontId="103" fillId="21" borderId="6" applyAlignment="1" pivotButton="0" quotePrefix="0" xfId="0">
      <alignment horizontal="center" vertical="center" wrapText="1"/>
    </xf>
    <xf numFmtId="2" fontId="103" fillId="21" borderId="6" applyAlignment="1" pivotButton="0" quotePrefix="0" xfId="0">
      <alignment horizontal="center" vertical="center"/>
    </xf>
    <xf numFmtId="0" fontId="103" fillId="22" borderId="6" applyAlignment="1" pivotButton="0" quotePrefix="0" xfId="0">
      <alignment horizontal="center" vertical="center"/>
    </xf>
    <xf numFmtId="0" fontId="103" fillId="22" borderId="6" applyAlignment="1" pivotButton="0" quotePrefix="0" xfId="0">
      <alignment horizontal="center" vertical="center" wrapText="1"/>
    </xf>
    <xf numFmtId="2" fontId="103" fillId="22" borderId="6" applyAlignment="1" pivotButton="0" quotePrefix="0" xfId="0">
      <alignment horizontal="center" vertical="center"/>
    </xf>
    <xf numFmtId="2" fontId="114" fillId="2" borderId="75" applyAlignment="1" applyProtection="1" pivotButton="0" quotePrefix="0" xfId="32">
      <alignment horizontal="center" vertical="center"/>
      <protection locked="0" hidden="0"/>
    </xf>
    <xf numFmtId="0" fontId="115" fillId="2" borderId="53" applyAlignment="1" applyProtection="1" pivotButton="0" quotePrefix="0" xfId="32">
      <alignment horizontal="center" vertical="center"/>
      <protection locked="0" hidden="0"/>
    </xf>
    <xf numFmtId="0" fontId="104" fillId="2" borderId="25" applyAlignment="1" applyProtection="1" pivotButton="0" quotePrefix="0" xfId="32">
      <alignment horizontal="center" vertical="center"/>
      <protection locked="0" hidden="0"/>
    </xf>
    <xf numFmtId="0" fontId="116" fillId="2" borderId="53" applyAlignment="1" applyProtection="1" pivotButton="0" quotePrefix="0" xfId="32">
      <alignment horizontal="center" vertical="center"/>
      <protection locked="0" hidden="0"/>
    </xf>
    <xf numFmtId="0" fontId="118" fillId="2" borderId="6" applyAlignment="1" applyProtection="1" pivotButton="0" quotePrefix="0" xfId="32">
      <alignment horizontal="center" vertical="center"/>
      <protection locked="0" hidden="0"/>
    </xf>
    <xf numFmtId="0" fontId="104" fillId="2" borderId="21" applyAlignment="1" applyProtection="1" pivotButton="0" quotePrefix="0" xfId="32">
      <alignment horizontal="center" vertical="center" wrapText="1"/>
      <protection locked="0" hidden="0"/>
    </xf>
    <xf numFmtId="0" fontId="120" fillId="2" borderId="8" applyAlignment="1" applyProtection="1" pivotButton="0" quotePrefix="0" xfId="20">
      <alignment horizontal="center" vertical="center" wrapText="1"/>
      <protection locked="0" hidden="0"/>
    </xf>
    <xf numFmtId="0" fontId="104" fillId="2" borderId="8" applyAlignment="1" applyProtection="1" pivotButton="0" quotePrefix="0" xfId="32">
      <alignment horizontal="center" vertical="center" wrapText="1"/>
      <protection locked="0" hidden="0"/>
    </xf>
    <xf numFmtId="0" fontId="103" fillId="23" borderId="6" applyAlignment="1" pivotButton="0" quotePrefix="0" xfId="0">
      <alignment horizontal="center" vertical="center"/>
    </xf>
    <xf numFmtId="0" fontId="103" fillId="23" borderId="6" applyAlignment="1" pivotButton="0" quotePrefix="0" xfId="0">
      <alignment horizontal="center" vertical="center" wrapText="1"/>
    </xf>
    <xf numFmtId="2" fontId="103" fillId="23" borderId="6" applyAlignment="1" pivotButton="0" quotePrefix="0" xfId="0">
      <alignment horizontal="center" vertical="center"/>
    </xf>
    <xf numFmtId="175" fontId="92" fillId="0" borderId="0" applyAlignment="1" applyProtection="1" pivotButton="0" quotePrefix="0" xfId="32">
      <alignment horizontal="general" vertical="bottom"/>
      <protection locked="0" hidden="0"/>
    </xf>
    <xf numFmtId="0" fontId="103" fillId="24" borderId="6" applyAlignment="1" pivotButton="0" quotePrefix="0" xfId="0">
      <alignment horizontal="center" vertical="center"/>
    </xf>
    <xf numFmtId="0" fontId="103" fillId="24" borderId="6" applyAlignment="1" pivotButton="0" quotePrefix="0" xfId="0">
      <alignment horizontal="center" vertical="center" wrapText="1"/>
    </xf>
    <xf numFmtId="2" fontId="103" fillId="24" borderId="6" applyAlignment="1" pivotButton="0" quotePrefix="0" xfId="0">
      <alignment horizontal="center" vertical="center"/>
    </xf>
    <xf numFmtId="2" fontId="114" fillId="2" borderId="44" applyAlignment="1" applyProtection="1" pivotButton="0" quotePrefix="0" xfId="32">
      <alignment horizontal="center" vertical="center"/>
      <protection locked="0" hidden="0"/>
    </xf>
    <xf numFmtId="0" fontId="103" fillId="25" borderId="6" applyAlignment="1" pivotButton="0" quotePrefix="0" xfId="0">
      <alignment horizontal="center" vertical="center"/>
    </xf>
    <xf numFmtId="0" fontId="103" fillId="25" borderId="6" applyAlignment="1" pivotButton="0" quotePrefix="0" xfId="0">
      <alignment horizontal="center" vertical="center" wrapText="1"/>
    </xf>
    <xf numFmtId="2" fontId="103" fillId="25" borderId="6" applyAlignment="1" pivotButton="0" quotePrefix="0" xfId="0">
      <alignment horizontal="center" vertical="center"/>
    </xf>
    <xf numFmtId="0" fontId="5" fillId="2" borderId="15" applyAlignment="1" applyProtection="1" pivotButton="0" quotePrefix="0" xfId="32">
      <alignment horizontal="general" vertical="bottom"/>
      <protection locked="0" hidden="0"/>
    </xf>
    <xf numFmtId="0" fontId="103" fillId="26" borderId="6" applyAlignment="1" pivotButton="0" quotePrefix="0" xfId="0">
      <alignment horizontal="center" vertical="center"/>
    </xf>
    <xf numFmtId="0" fontId="103" fillId="26" borderId="6" applyAlignment="1" pivotButton="0" quotePrefix="0" xfId="0">
      <alignment horizontal="center" vertical="center" wrapText="1"/>
    </xf>
    <xf numFmtId="2" fontId="103" fillId="26" borderId="6" applyAlignment="1" pivotButton="0" quotePrefix="0" xfId="0">
      <alignment horizontal="center" vertical="center"/>
    </xf>
    <xf numFmtId="0" fontId="5" fillId="2" borderId="0" applyAlignment="1" applyProtection="1" pivotButton="0" quotePrefix="0" xfId="32">
      <alignment horizontal="general" vertical="bottom"/>
      <protection locked="0" hidden="0"/>
    </xf>
    <xf numFmtId="2" fontId="114" fillId="2" borderId="47" applyAlignment="1" applyProtection="1" pivotButton="0" quotePrefix="0" xfId="32">
      <alignment horizontal="center" vertical="center"/>
      <protection locked="0" hidden="0"/>
    </xf>
    <xf numFmtId="177" fontId="102" fillId="2" borderId="21" applyAlignment="1" applyProtection="1" pivotButton="0" quotePrefix="0" xfId="32">
      <alignment horizontal="center" vertical="center"/>
      <protection locked="0" hidden="0"/>
    </xf>
    <xf numFmtId="0" fontId="102" fillId="2" borderId="8" applyAlignment="1" applyProtection="1" pivotButton="0" quotePrefix="0" xfId="32">
      <alignment horizontal="center" vertical="center" wrapText="1"/>
      <protection locked="0" hidden="0"/>
    </xf>
    <xf numFmtId="2" fontId="114" fillId="2" borderId="16" applyAlignment="1" applyProtection="1" pivotButton="0" quotePrefix="0" xfId="32">
      <alignment horizontal="center" vertical="center"/>
      <protection locked="0" hidden="0"/>
    </xf>
    <xf numFmtId="177" fontId="102" fillId="2" borderId="12" applyAlignment="1" applyProtection="1" pivotButton="0" quotePrefix="0" xfId="32">
      <alignment horizontal="center" vertical="center"/>
      <protection locked="0" hidden="0"/>
    </xf>
    <xf numFmtId="177" fontId="102" fillId="2" borderId="23" applyAlignment="1" applyProtection="1" pivotButton="0" quotePrefix="0" xfId="32">
      <alignment horizontal="center" vertical="center"/>
      <protection locked="0" hidden="0"/>
    </xf>
    <xf numFmtId="0" fontId="91" fillId="0" borderId="0" applyAlignment="1" applyProtection="1" pivotButton="0" quotePrefix="0" xfId="32">
      <alignment horizontal="general" vertical="bottom"/>
      <protection locked="0" hidden="0"/>
    </xf>
    <xf numFmtId="177" fontId="102" fillId="2" borderId="25" applyAlignment="1" applyProtection="1" pivotButton="0" quotePrefix="0" xfId="32">
      <alignment horizontal="center" vertical="center"/>
      <protection locked="0" hidden="0"/>
    </xf>
    <xf numFmtId="177" fontId="102" fillId="2" borderId="8" applyAlignment="1" applyProtection="1" pivotButton="0" quotePrefix="0" xfId="32">
      <alignment horizontal="center" vertical="center"/>
      <protection locked="0" hidden="0"/>
    </xf>
    <xf numFmtId="2" fontId="102" fillId="2" borderId="8" applyAlignment="1" applyProtection="1" pivotButton="0" quotePrefix="0" xfId="32">
      <alignment horizontal="center" vertical="center"/>
      <protection locked="0" hidden="0"/>
    </xf>
    <xf numFmtId="0" fontId="105" fillId="2" borderId="0" applyAlignment="1" applyProtection="1" pivotButton="0" quotePrefix="0" xfId="32">
      <alignment horizontal="general" vertical="center" wrapText="1"/>
      <protection locked="0" hidden="0"/>
    </xf>
    <xf numFmtId="0" fontId="5" fillId="0" borderId="0" applyAlignment="1" applyProtection="1" pivotButton="0" quotePrefix="0" xfId="32">
      <alignment horizontal="general" vertical="center" wrapText="1"/>
      <protection locked="0" hidden="0"/>
    </xf>
    <xf numFmtId="0" fontId="105" fillId="0" borderId="0" applyAlignment="1" applyProtection="1" pivotButton="0" quotePrefix="0" xfId="32">
      <alignment horizontal="general" vertical="bottom"/>
      <protection locked="0" hidden="0"/>
    </xf>
    <xf numFmtId="1" fontId="102" fillId="2" borderId="12" applyAlignment="1" applyProtection="1" pivotButton="0" quotePrefix="0" xfId="32">
      <alignment horizontal="center" vertical="center"/>
      <protection locked="0" hidden="0"/>
    </xf>
    <xf numFmtId="0" fontId="103" fillId="27" borderId="6" applyAlignment="1" pivotButton="0" quotePrefix="0" xfId="0">
      <alignment horizontal="center" vertical="center"/>
    </xf>
    <xf numFmtId="0" fontId="103" fillId="27" borderId="6" applyAlignment="1" pivotButton="0" quotePrefix="0" xfId="0">
      <alignment horizontal="center" vertical="center" wrapText="1"/>
    </xf>
    <xf numFmtId="2" fontId="103" fillId="27" borderId="6" applyAlignment="1" pivotButton="0" quotePrefix="0" xfId="0">
      <alignment horizontal="center" vertical="center"/>
    </xf>
    <xf numFmtId="0" fontId="103" fillId="28" borderId="6" applyAlignment="1" pivotButton="0" quotePrefix="0" xfId="0">
      <alignment horizontal="center" vertical="center"/>
    </xf>
    <xf numFmtId="0" fontId="103" fillId="28" borderId="6" applyAlignment="1" pivotButton="0" quotePrefix="0" xfId="0">
      <alignment horizontal="center" vertical="center" wrapText="1"/>
    </xf>
    <xf numFmtId="2" fontId="103" fillId="28" borderId="6" applyAlignment="1" pivotButton="0" quotePrefix="0" xfId="0">
      <alignment horizontal="center" vertical="center"/>
    </xf>
    <xf numFmtId="0" fontId="103" fillId="29" borderId="6" applyAlignment="1" pivotButton="0" quotePrefix="0" xfId="0">
      <alignment horizontal="center" vertical="center"/>
    </xf>
    <xf numFmtId="0" fontId="103" fillId="29" borderId="6" applyAlignment="1" pivotButton="0" quotePrefix="0" xfId="0">
      <alignment horizontal="center" vertical="center" wrapText="1"/>
    </xf>
    <xf numFmtId="2" fontId="103" fillId="29" borderId="6" applyAlignment="1" pivotButton="0" quotePrefix="0" xfId="0">
      <alignment horizontal="center" vertical="center"/>
    </xf>
    <xf numFmtId="0" fontId="102" fillId="2" borderId="8" applyAlignment="1" applyProtection="1" pivotButton="0" quotePrefix="0" xfId="32">
      <alignment horizontal="center" vertical="center"/>
      <protection locked="0" hidden="0"/>
    </xf>
    <xf numFmtId="0" fontId="102" fillId="2" borderId="23" applyAlignment="1" applyProtection="1" pivotButton="0" quotePrefix="0" xfId="32">
      <alignment horizontal="center" vertical="center"/>
      <protection locked="0" hidden="0"/>
    </xf>
    <xf numFmtId="0" fontId="118" fillId="2" borderId="77" applyAlignment="1" applyProtection="1" pivotButton="0" quotePrefix="0" xfId="32">
      <alignment horizontal="center" vertical="center"/>
      <protection locked="0" hidden="0"/>
    </xf>
    <xf numFmtId="0" fontId="118" fillId="2" borderId="51" applyAlignment="1" applyProtection="1" pivotButton="0" quotePrefix="0" xfId="32">
      <alignment horizontal="center" vertical="center"/>
      <protection locked="0" hidden="0"/>
    </xf>
    <xf numFmtId="0" fontId="102" fillId="2" borderId="25" applyAlignment="1" applyProtection="1" pivotButton="0" quotePrefix="0" xfId="32">
      <alignment horizontal="center" vertical="center"/>
      <protection locked="0" hidden="0"/>
    </xf>
    <xf numFmtId="1" fontId="102" fillId="2" borderId="21" applyAlignment="1" applyProtection="1" pivotButton="0" quotePrefix="0" xfId="32">
      <alignment horizontal="center" vertical="center"/>
      <protection locked="0" hidden="0"/>
    </xf>
    <xf numFmtId="0" fontId="103" fillId="30" borderId="6" applyAlignment="1" pivotButton="0" quotePrefix="0" xfId="0">
      <alignment horizontal="center" vertical="center"/>
    </xf>
    <xf numFmtId="0" fontId="103" fillId="30" borderId="6" applyAlignment="1" pivotButton="0" quotePrefix="0" xfId="0">
      <alignment horizontal="center" vertical="center" wrapText="1"/>
    </xf>
    <xf numFmtId="2" fontId="103" fillId="30" borderId="6" applyAlignment="1" pivotButton="0" quotePrefix="0" xfId="0">
      <alignment horizontal="center" vertical="center"/>
    </xf>
    <xf numFmtId="0" fontId="33" fillId="2" borderId="8" applyAlignment="1" applyProtection="1" pivotButton="0" quotePrefix="0" xfId="32">
      <alignment horizontal="center" vertical="center"/>
      <protection locked="0" hidden="0"/>
    </xf>
    <xf numFmtId="0" fontId="103" fillId="31" borderId="6" applyAlignment="1" pivotButton="0" quotePrefix="0" xfId="0">
      <alignment horizontal="center" vertical="center"/>
    </xf>
    <xf numFmtId="0" fontId="103" fillId="31" borderId="6" applyAlignment="1" pivotButton="0" quotePrefix="0" xfId="0">
      <alignment horizontal="center" vertical="center" wrapText="1"/>
    </xf>
    <xf numFmtId="2" fontId="103" fillId="31" borderId="6" applyAlignment="1" pivotButton="0" quotePrefix="0" xfId="0">
      <alignment horizontal="center" vertical="center"/>
    </xf>
    <xf numFmtId="0" fontId="103" fillId="32" borderId="6" applyAlignment="1" pivotButton="0" quotePrefix="0" xfId="0">
      <alignment horizontal="center" vertical="center"/>
    </xf>
    <xf numFmtId="0" fontId="103" fillId="32" borderId="6" applyAlignment="1" pivotButton="0" quotePrefix="0" xfId="0">
      <alignment horizontal="center" vertical="center" wrapText="1"/>
    </xf>
    <xf numFmtId="2" fontId="103" fillId="32" borderId="6" applyAlignment="1" pivotButton="0" quotePrefix="0" xfId="0">
      <alignment horizontal="center" vertical="center"/>
    </xf>
    <xf numFmtId="0" fontId="103" fillId="33" borderId="6" applyAlignment="1" pivotButton="0" quotePrefix="0" xfId="0">
      <alignment horizontal="center" vertical="center"/>
    </xf>
    <xf numFmtId="0" fontId="103" fillId="33" borderId="6" applyAlignment="1" pivotButton="0" quotePrefix="0" xfId="0">
      <alignment horizontal="center" vertical="center" wrapText="1"/>
    </xf>
    <xf numFmtId="2" fontId="103" fillId="33" borderId="6" applyAlignment="1" pivotButton="0" quotePrefix="0" xfId="0">
      <alignment horizontal="center" vertical="center"/>
    </xf>
    <xf numFmtId="0" fontId="56" fillId="2" borderId="8" applyAlignment="1" applyProtection="1" pivotButton="0" quotePrefix="0" xfId="32">
      <alignment horizontal="center" vertical="center" wrapText="1"/>
      <protection locked="0" hidden="0"/>
    </xf>
    <xf numFmtId="0" fontId="116" fillId="2" borderId="8" applyAlignment="1" applyProtection="1" pivotButton="0" quotePrefix="0" xfId="32">
      <alignment horizontal="center" vertical="center"/>
      <protection locked="0" hidden="0"/>
    </xf>
    <xf numFmtId="1" fontId="102" fillId="2" borderId="8" applyAlignment="1" applyProtection="1" pivotButton="0" quotePrefix="0" xfId="32">
      <alignment horizontal="center" vertical="center" wrapText="1"/>
      <protection locked="0" hidden="0"/>
    </xf>
    <xf numFmtId="0" fontId="102" fillId="2" borderId="12" applyAlignment="1" applyProtection="1" pivotButton="0" quotePrefix="0" xfId="32">
      <alignment horizontal="center" vertical="center" wrapText="1"/>
      <protection locked="0" hidden="0"/>
    </xf>
    <xf numFmtId="0" fontId="102" fillId="2" borderId="53" applyAlignment="1" applyProtection="1" pivotButton="0" quotePrefix="0" xfId="32">
      <alignment horizontal="center" vertical="center"/>
      <protection locked="0" hidden="0"/>
    </xf>
    <xf numFmtId="0" fontId="103" fillId="34" borderId="6" applyAlignment="1" pivotButton="0" quotePrefix="0" xfId="0">
      <alignment horizontal="center" vertical="center"/>
    </xf>
    <xf numFmtId="0" fontId="103" fillId="34" borderId="6" applyAlignment="1" pivotButton="0" quotePrefix="0" xfId="0">
      <alignment horizontal="center" vertical="center" wrapText="1"/>
    </xf>
    <xf numFmtId="2" fontId="103" fillId="34" borderId="6" applyAlignment="1" pivotButton="0" quotePrefix="0" xfId="0">
      <alignment horizontal="center" vertical="center"/>
    </xf>
    <xf numFmtId="0" fontId="103" fillId="35" borderId="6" applyAlignment="1" pivotButton="0" quotePrefix="0" xfId="0">
      <alignment horizontal="center" vertical="center"/>
    </xf>
    <xf numFmtId="0" fontId="103" fillId="35" borderId="6" applyAlignment="1" pivotButton="0" quotePrefix="0" xfId="0">
      <alignment horizontal="center" vertical="center" wrapText="1"/>
    </xf>
    <xf numFmtId="2" fontId="103" fillId="35" borderId="6" applyAlignment="1" pivotButton="0" quotePrefix="0" xfId="0">
      <alignment horizontal="center" vertical="center"/>
    </xf>
    <xf numFmtId="0" fontId="103" fillId="36" borderId="6" applyAlignment="1" pivotButton="0" quotePrefix="0" xfId="0">
      <alignment horizontal="center" vertical="center"/>
    </xf>
    <xf numFmtId="0" fontId="103" fillId="36" borderId="6" applyAlignment="1" pivotButton="0" quotePrefix="0" xfId="0">
      <alignment horizontal="center" vertical="center" wrapText="1"/>
    </xf>
    <xf numFmtId="2" fontId="103" fillId="36" borderId="6" applyAlignment="1" pivotButton="0" quotePrefix="0" xfId="0">
      <alignment horizontal="center" vertical="center"/>
    </xf>
    <xf numFmtId="0" fontId="103" fillId="37" borderId="6" applyAlignment="1" pivotButton="0" quotePrefix="0" xfId="0">
      <alignment horizontal="center" vertical="center"/>
    </xf>
    <xf numFmtId="0" fontId="103" fillId="37" borderId="6" applyAlignment="1" pivotButton="0" quotePrefix="0" xfId="0">
      <alignment horizontal="center" vertical="center" wrapText="1"/>
    </xf>
    <xf numFmtId="2" fontId="103" fillId="37" borderId="6" applyAlignment="1" pivotButton="0" quotePrefix="0" xfId="0">
      <alignment horizontal="center" vertical="center"/>
    </xf>
    <xf numFmtId="2" fontId="114" fillId="4" borderId="75" applyAlignment="1" applyProtection="1" pivotButton="0" quotePrefix="0" xfId="32">
      <alignment horizontal="center" vertical="center"/>
      <protection locked="0" hidden="0"/>
    </xf>
    <xf numFmtId="2" fontId="121" fillId="38" borderId="6" applyAlignment="1" applyProtection="1" pivotButton="0" quotePrefix="0" xfId="32">
      <alignment horizontal="center" vertical="center"/>
      <protection locked="0" hidden="0"/>
    </xf>
    <xf numFmtId="2" fontId="122" fillId="38" borderId="6" applyAlignment="1" applyProtection="1" pivotButton="0" quotePrefix="0" xfId="32">
      <alignment horizontal="center" vertical="center"/>
      <protection locked="0" hidden="0"/>
    </xf>
    <xf numFmtId="0" fontId="103" fillId="4" borderId="53" applyAlignment="1" applyProtection="1" pivotButton="0" quotePrefix="0" xfId="32">
      <alignment horizontal="center" vertical="center"/>
      <protection locked="0" hidden="0"/>
    </xf>
    <xf numFmtId="0" fontId="103" fillId="39" borderId="6" applyAlignment="1" pivotButton="0" quotePrefix="0" xfId="0">
      <alignment horizontal="center" vertical="center"/>
    </xf>
    <xf numFmtId="0" fontId="103" fillId="39" borderId="6" applyAlignment="1" pivotButton="0" quotePrefix="0" xfId="0">
      <alignment horizontal="center" vertical="center" wrapText="1"/>
    </xf>
    <xf numFmtId="2" fontId="103" fillId="39" borderId="6" applyAlignment="1" pivotButton="0" quotePrefix="0" xfId="0">
      <alignment horizontal="center" vertical="center"/>
    </xf>
    <xf numFmtId="0" fontId="5" fillId="0" borderId="6" applyAlignment="1" applyProtection="1" pivotButton="0" quotePrefix="0" xfId="32">
      <alignment horizontal="left" vertical="center" textRotation="90" wrapText="1"/>
      <protection locked="0" hidden="0"/>
    </xf>
    <xf numFmtId="0" fontId="5" fillId="4" borderId="6" applyAlignment="1" applyProtection="1" pivotButton="0" quotePrefix="0" xfId="32">
      <alignment horizontal="left" vertical="center"/>
      <protection locked="0" hidden="0"/>
    </xf>
    <xf numFmtId="0" fontId="5" fillId="0" borderId="6" applyAlignment="1" applyProtection="1" pivotButton="0" quotePrefix="0" xfId="32">
      <alignment horizontal="left" vertical="center"/>
      <protection locked="0" hidden="0"/>
    </xf>
    <xf numFmtId="0" fontId="5" fillId="0" borderId="0" applyAlignment="1" applyProtection="1" pivotButton="0" quotePrefix="0" xfId="32">
      <alignment horizontal="center" vertical="center"/>
      <protection locked="0" hidden="0"/>
    </xf>
    <xf numFmtId="0" fontId="5" fillId="0" borderId="6" applyAlignment="1" applyProtection="1" pivotButton="0" quotePrefix="0" xfId="32">
      <alignment horizontal="left" vertical="center" wrapText="1"/>
      <protection locked="0" hidden="0"/>
    </xf>
    <xf numFmtId="0" fontId="5" fillId="0" borderId="6" applyAlignment="1" applyProtection="1" pivotButton="0" quotePrefix="0" xfId="32">
      <alignment horizontal="left" vertical="bottom" wrapText="1"/>
      <protection locked="0" hidden="0"/>
    </xf>
    <xf numFmtId="0" fontId="5" fillId="4" borderId="6" applyAlignment="1" applyProtection="1" pivotButton="0" quotePrefix="0" xfId="32">
      <alignment horizontal="left" vertical="bottom"/>
      <protection locked="0" hidden="0"/>
    </xf>
    <xf numFmtId="0" fontId="5" fillId="0" borderId="6" applyAlignment="1" applyProtection="1" pivotButton="0" quotePrefix="0" xfId="32">
      <alignment horizontal="left" vertical="bottom"/>
      <protection locked="0" hidden="0"/>
    </xf>
    <xf numFmtId="0" fontId="5" fillId="0" borderId="6" applyAlignment="1" pivotButton="0" quotePrefix="0" xfId="32">
      <alignment horizontal="left" vertical="bottom" wrapText="1"/>
    </xf>
    <xf numFmtId="0" fontId="5" fillId="4" borderId="0" applyAlignment="1" pivotButton="0" quotePrefix="0" xfId="32">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7">
      <alignment horizontal="general" vertical="bottom"/>
    </xf>
    <xf numFmtId="0" fontId="31" fillId="3" borderId="0" applyAlignment="1" pivotButton="0" quotePrefix="0" xfId="27">
      <alignment horizontal="general" vertical="bottom"/>
    </xf>
    <xf numFmtId="0" fontId="0" fillId="3" borderId="0" applyAlignment="1" pivotButton="0" quotePrefix="0" xfId="0">
      <alignment horizontal="general" vertical="bottom"/>
    </xf>
    <xf numFmtId="168" fontId="32" fillId="3" borderId="0" applyAlignment="1" pivotButton="0" quotePrefix="0" xfId="27">
      <alignment horizontal="general" vertical="bottom"/>
    </xf>
    <xf numFmtId="0" fontId="41" fillId="3" borderId="0" applyAlignment="1" pivotButton="0" quotePrefix="0" xfId="27">
      <alignment horizontal="general" vertical="bottom"/>
    </xf>
    <xf numFmtId="0" fontId="123" fillId="3" borderId="0" applyAlignment="1" pivotButton="0" quotePrefix="0" xfId="0">
      <alignment horizontal="general" vertical="bottom"/>
    </xf>
    <xf numFmtId="0" fontId="124" fillId="3" borderId="0" applyAlignment="1" pivotButton="0" quotePrefix="0" xfId="0">
      <alignment horizontal="general" vertical="bottom"/>
    </xf>
    <xf numFmtId="0" fontId="35" fillId="3" borderId="0" applyAlignment="1" pivotButton="0" quotePrefix="0" xfId="27">
      <alignment horizontal="right" vertical="bottom"/>
    </xf>
    <xf numFmtId="0" fontId="35" fillId="3" borderId="0" applyAlignment="1" pivotButton="0" quotePrefix="0" xfId="27">
      <alignment horizontal="general" vertical="bottom"/>
    </xf>
    <xf numFmtId="0" fontId="35" fillId="3" borderId="0" applyAlignment="1" pivotButton="0" quotePrefix="0" xfId="27">
      <alignment horizontal="left" vertical="bottom"/>
    </xf>
    <xf numFmtId="0" fontId="125" fillId="3" borderId="0" applyAlignment="1" pivotButton="0" quotePrefix="0" xfId="27">
      <alignment horizontal="general" vertical="bottom"/>
    </xf>
    <xf numFmtId="0" fontId="126" fillId="3" borderId="0" applyAlignment="1" pivotButton="0" quotePrefix="0" xfId="27">
      <alignment horizontal="general" vertical="bottom"/>
    </xf>
    <xf numFmtId="0" fontId="127" fillId="3" borderId="0" applyAlignment="1" pivotButton="0" quotePrefix="0" xfId="27">
      <alignment horizontal="general" vertical="bottom"/>
    </xf>
    <xf numFmtId="0" fontId="128" fillId="3" borderId="0" applyAlignment="1" pivotButton="0" quotePrefix="0" xfId="27">
      <alignment horizontal="general" vertical="bottom"/>
    </xf>
    <xf numFmtId="12" fontId="41" fillId="3" borderId="0" applyAlignment="1" pivotButton="0" quotePrefix="0" xfId="27">
      <alignment horizontal="center" vertical="bottom"/>
    </xf>
    <xf numFmtId="2" fontId="40" fillId="3" borderId="0" applyAlignment="1" pivotButton="0" quotePrefix="0" xfId="27">
      <alignment horizontal="center" vertical="bottom"/>
    </xf>
    <xf numFmtId="49" fontId="40" fillId="3" borderId="0" applyAlignment="1" pivotButton="0" quotePrefix="0" xfId="27">
      <alignment horizontal="center" vertical="bottom"/>
    </xf>
    <xf numFmtId="0" fontId="40" fillId="3" borderId="0" applyAlignment="1" pivotButton="0" quotePrefix="0" xfId="27">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7">
      <alignment horizontal="left" vertical="bottom"/>
    </xf>
    <xf numFmtId="0" fontId="56" fillId="3" borderId="34" applyAlignment="1" pivotButton="0" quotePrefix="0" xfId="24">
      <alignment horizontal="general" vertical="bottom"/>
    </xf>
    <xf numFmtId="0" fontId="69" fillId="3" borderId="0" applyAlignment="1" pivotButton="0" quotePrefix="0" xfId="24">
      <alignment horizontal="left" vertical="bottom"/>
    </xf>
    <xf numFmtId="0" fontId="22" fillId="3" borderId="0" applyAlignment="1" pivotButton="0" quotePrefix="0" xfId="24">
      <alignment horizontal="general" vertical="bottom"/>
    </xf>
    <xf numFmtId="0" fontId="129" fillId="3" borderId="1" applyAlignment="1" pivotButton="0" quotePrefix="0" xfId="0">
      <alignment horizontal="left" vertical="bottom"/>
    </xf>
    <xf numFmtId="0" fontId="129" fillId="3" borderId="1" applyAlignment="1" pivotButton="0" quotePrefix="0" xfId="0">
      <alignment horizontal="center" vertical="bottom" wrapText="1"/>
    </xf>
    <xf numFmtId="0" fontId="41" fillId="3" borderId="0" applyAlignment="1" pivotButton="0" quotePrefix="0" xfId="24">
      <alignment horizontal="general" vertical="bottom"/>
    </xf>
    <xf numFmtId="0" fontId="130" fillId="3" borderId="28" applyAlignment="1" pivotButton="0" quotePrefix="0" xfId="28">
      <alignment horizontal="left" vertical="bottom"/>
    </xf>
    <xf numFmtId="0" fontId="130" fillId="3" borderId="0" applyAlignment="1" pivotButton="0" quotePrefix="0" xfId="28">
      <alignment horizontal="left" vertical="bottom" wrapText="1"/>
    </xf>
    <xf numFmtId="0" fontId="131" fillId="3" borderId="0" applyAlignment="1" pivotButton="0" quotePrefix="0" xfId="28">
      <alignment horizontal="general" vertical="bottom"/>
    </xf>
    <xf numFmtId="0" fontId="130" fillId="3" borderId="0" applyAlignment="1" pivotButton="0" quotePrefix="0" xfId="28">
      <alignment horizontal="general" vertical="bottom" wrapText="1"/>
    </xf>
    <xf numFmtId="0" fontId="130" fillId="3" borderId="0" applyAlignment="1" pivotButton="0" quotePrefix="0" xfId="28">
      <alignment horizontal="left" vertical="bottom"/>
    </xf>
    <xf numFmtId="0" fontId="132" fillId="3" borderId="0" applyAlignment="1" pivotButton="0" quotePrefix="0" xfId="28">
      <alignment horizontal="left" vertical="bottom"/>
    </xf>
    <xf numFmtId="0" fontId="132" fillId="3" borderId="0" applyAlignment="1" pivotButton="0" quotePrefix="0" xfId="24">
      <alignment horizontal="left" vertical="bottom"/>
    </xf>
    <xf numFmtId="0" fontId="132" fillId="4" borderId="0" applyAlignment="1" pivotButton="0" quotePrefix="0" xfId="27">
      <alignment horizontal="left" vertical="bottom"/>
    </xf>
    <xf numFmtId="1" fontId="133" fillId="4" borderId="0" applyAlignment="1" pivotButton="0" quotePrefix="0" xfId="27">
      <alignment horizontal="general" vertical="bottom"/>
    </xf>
    <xf numFmtId="0" fontId="133" fillId="4" borderId="0" applyAlignment="1" pivotButton="0" quotePrefix="0" xfId="27">
      <alignment horizontal="general" vertical="bottom"/>
    </xf>
    <xf numFmtId="0" fontId="134" fillId="4" borderId="0" applyAlignment="1" pivotButton="0" quotePrefix="0" xfId="0">
      <alignment horizontal="general" vertical="bottom"/>
    </xf>
    <xf numFmtId="0" fontId="123" fillId="4" borderId="0" applyAlignment="1" pivotButton="0" quotePrefix="0" xfId="0">
      <alignment horizontal="general" vertical="bottom"/>
    </xf>
    <xf numFmtId="0" fontId="0" fillId="4" borderId="0" applyAlignment="1" pivotButton="0" quotePrefix="0" xfId="0">
      <alignment horizontal="general" vertical="bottom"/>
    </xf>
    <xf numFmtId="0" fontId="135" fillId="4" borderId="0" applyAlignment="1" pivotButton="0" quotePrefix="0" xfId="27">
      <alignment horizontal="left" vertical="bottom"/>
    </xf>
    <xf numFmtId="1" fontId="136" fillId="4" borderId="0" applyAlignment="1" pivotButton="0" quotePrefix="0" xfId="27">
      <alignment horizontal="general" vertical="bottom"/>
    </xf>
    <xf numFmtId="0" fontId="136" fillId="4" borderId="0" applyAlignment="1" pivotButton="0" quotePrefix="0" xfId="27">
      <alignment horizontal="general" vertical="bottom"/>
    </xf>
    <xf numFmtId="0" fontId="135" fillId="4" borderId="6" applyAlignment="1" pivotButton="0" quotePrefix="0" xfId="27">
      <alignment horizontal="center" vertical="bottom"/>
    </xf>
    <xf numFmtId="0" fontId="135" fillId="4" borderId="0" applyAlignment="1" pivotButton="0" quotePrefix="0" xfId="27">
      <alignment horizontal="general" vertical="bottom"/>
    </xf>
    <xf numFmtId="0" fontId="136" fillId="4" borderId="0" applyAlignment="1" pivotButton="0" quotePrefix="0" xfId="0">
      <alignment horizontal="general" vertical="bottom"/>
    </xf>
    <xf numFmtId="0" fontId="137" fillId="4" borderId="0" applyAlignment="1" pivotButton="0" quotePrefix="0" xfId="0">
      <alignment horizontal="general" vertical="bottom"/>
    </xf>
    <xf numFmtId="0" fontId="132" fillId="4" borderId="0" applyAlignment="1" pivotButton="0" quotePrefix="0" xfId="27">
      <alignment horizontal="center" vertical="bottom"/>
    </xf>
    <xf numFmtId="0" fontId="132" fillId="4" borderId="0" applyAlignment="1" pivotButton="0" quotePrefix="0" xfId="27">
      <alignment horizontal="general" vertical="bottom"/>
    </xf>
    <xf numFmtId="1" fontId="132" fillId="4" borderId="6" applyAlignment="1" pivotButton="0" quotePrefix="0" xfId="27">
      <alignment horizontal="center" vertical="bottom"/>
    </xf>
    <xf numFmtId="49" fontId="132" fillId="4" borderId="6" applyAlignment="1" pivotButton="0" quotePrefix="0" xfId="27">
      <alignment horizontal="center" vertical="bottom"/>
    </xf>
    <xf numFmtId="178" fontId="138" fillId="4" borderId="0" applyAlignment="1" pivotButton="0" quotePrefix="0" xfId="27">
      <alignment horizontal="right" vertical="center"/>
    </xf>
    <xf numFmtId="0" fontId="139" fillId="4" borderId="0" applyAlignment="1" pivotButton="0" quotePrefix="0" xfId="27">
      <alignment horizontal="center" vertical="bottom"/>
    </xf>
    <xf numFmtId="1" fontId="132" fillId="4" borderId="0" applyAlignment="1" pivotButton="0" quotePrefix="0" xfId="27">
      <alignment horizontal="center" vertical="bottom"/>
    </xf>
    <xf numFmtId="49" fontId="132" fillId="4" borderId="0" applyAlignment="1" pivotButton="0" quotePrefix="0" xfId="27">
      <alignment horizontal="center" vertical="bottom"/>
    </xf>
    <xf numFmtId="178" fontId="138" fillId="4" borderId="0" applyAlignment="1" pivotButton="0" quotePrefix="0" xfId="27">
      <alignment horizontal="right" vertical="bottom"/>
    </xf>
    <xf numFmtId="0" fontId="132" fillId="4" borderId="33" applyAlignment="1" pivotButton="0" quotePrefix="0" xfId="27">
      <alignment horizontal="center" vertical="bottom"/>
    </xf>
    <xf numFmtId="0" fontId="140" fillId="4" borderId="4" applyAlignment="1" pivotButton="0" quotePrefix="0" xfId="0">
      <alignment horizontal="center" vertical="bottom" wrapText="1"/>
    </xf>
    <xf numFmtId="0" fontId="132" fillId="4" borderId="6" applyAlignment="1" pivotButton="0" quotePrefix="0" xfId="27">
      <alignment horizontal="center" vertical="bottom"/>
    </xf>
    <xf numFmtId="0" fontId="132" fillId="4" borderId="0" applyAlignment="1" pivotButton="0" quotePrefix="0" xfId="27">
      <alignment horizontal="center" vertical="bottom"/>
    </xf>
    <xf numFmtId="0" fontId="140" fillId="4" borderId="34" applyAlignment="1" pivotButton="0" quotePrefix="0" xfId="0">
      <alignment horizontal="general" vertical="bottom"/>
    </xf>
    <xf numFmtId="0" fontId="140" fillId="4" borderId="35" applyAlignment="1" pivotButton="0" quotePrefix="0" xfId="0">
      <alignment horizontal="general" vertical="bottom"/>
    </xf>
    <xf numFmtId="0" fontId="140" fillId="4" borderId="0" applyAlignment="1" pivotButton="0" quotePrefix="0" xfId="0">
      <alignment horizontal="left" vertical="bottom"/>
    </xf>
    <xf numFmtId="0" fontId="141" fillId="4" borderId="0" applyAlignment="1" pivotButton="0" quotePrefix="0" xfId="27">
      <alignment horizontal="general" vertical="center" wrapText="1"/>
    </xf>
    <xf numFmtId="1" fontId="21" fillId="4" borderId="0" applyAlignment="1" pivotButton="0" quotePrefix="0" xfId="0">
      <alignment horizontal="general" vertical="bottom"/>
    </xf>
    <xf numFmtId="0" fontId="132" fillId="4" borderId="30" applyAlignment="1" pivotButton="0" quotePrefix="0" xfId="27">
      <alignment horizontal="center" vertical="bottom" wrapText="1"/>
    </xf>
    <xf numFmtId="0" fontId="132" fillId="4" borderId="0" applyAlignment="1" pivotButton="0" quotePrefix="0" xfId="27">
      <alignment horizontal="general" vertical="bottom" wrapText="1"/>
    </xf>
    <xf numFmtId="0" fontId="134" fillId="4" borderId="0" applyAlignment="1" pivotButton="0" quotePrefix="0" xfId="0">
      <alignment horizontal="general" vertical="center"/>
    </xf>
    <xf numFmtId="0" fontId="141" fillId="4" borderId="0" applyAlignment="1" pivotButton="0" quotePrefix="0" xfId="27">
      <alignment horizontal="general" vertical="bottom"/>
    </xf>
    <xf numFmtId="0" fontId="141" fillId="4" borderId="0" applyAlignment="1" pivotButton="0" quotePrefix="0" xfId="27">
      <alignment horizontal="left" vertical="center" wrapText="1"/>
    </xf>
    <xf numFmtId="0" fontId="141" fillId="4" borderId="0" applyAlignment="1" pivotButton="0" quotePrefix="0" xfId="27">
      <alignment horizontal="left" vertical="bottom"/>
    </xf>
    <xf numFmtId="0" fontId="140" fillId="4" borderId="0" applyAlignment="1" pivotButton="0" quotePrefix="0" xfId="0">
      <alignment horizontal="left" vertical="center"/>
    </xf>
    <xf numFmtId="0" fontId="140" fillId="4" borderId="0" applyAlignment="1" pivotButton="0" quotePrefix="0" xfId="0">
      <alignment horizontal="general" vertical="center"/>
    </xf>
    <xf numFmtId="0" fontId="141" fillId="4" borderId="0" applyAlignment="1" pivotButton="0" quotePrefix="0" xfId="27">
      <alignment horizontal="left" vertical="center"/>
    </xf>
    <xf numFmtId="0" fontId="132" fillId="4" borderId="0" applyAlignment="1" pivotButton="0" quotePrefix="0" xfId="27">
      <alignment horizontal="general" vertical="center"/>
    </xf>
    <xf numFmtId="0" fontId="30" fillId="4" borderId="0" applyAlignment="1" pivotButton="0" quotePrefix="0" xfId="0">
      <alignment horizontal="general" vertical="center"/>
    </xf>
    <xf numFmtId="0" fontId="132" fillId="4" borderId="6" applyAlignment="1" pivotButton="0" quotePrefix="0" xfId="27">
      <alignment horizontal="center" vertical="center" shrinkToFit="1"/>
    </xf>
    <xf numFmtId="0" fontId="132" fillId="4" borderId="0" applyAlignment="1" pivotButton="0" quotePrefix="0" xfId="27">
      <alignment horizontal="left" vertical="bottom" wrapText="1"/>
    </xf>
    <xf numFmtId="0" fontId="132" fillId="4" borderId="0" applyAlignment="1" pivotButton="0" quotePrefix="0" xfId="24">
      <alignment horizontal="left" vertical="center"/>
    </xf>
    <xf numFmtId="1" fontId="132" fillId="4" borderId="0" applyAlignment="1" pivotButton="0" quotePrefix="0" xfId="24">
      <alignment horizontal="general" vertical="center"/>
    </xf>
    <xf numFmtId="0" fontId="141" fillId="4" borderId="0" applyAlignment="1" pivotButton="0" quotePrefix="0" xfId="27">
      <alignment horizontal="left" vertical="center"/>
    </xf>
    <xf numFmtId="0" fontId="142" fillId="4" borderId="0" applyAlignment="1" pivotButton="0" quotePrefix="0" xfId="0">
      <alignment horizontal="general" vertical="center"/>
    </xf>
    <xf numFmtId="0" fontId="132" fillId="4" borderId="0" applyAlignment="1" pivotButton="0" quotePrefix="0" xfId="24">
      <alignment horizontal="general" vertical="center"/>
    </xf>
    <xf numFmtId="0" fontId="40" fillId="4" borderId="0" applyAlignment="1" pivotButton="0" quotePrefix="0" xfId="24">
      <alignment horizontal="general" vertical="center"/>
    </xf>
    <xf numFmtId="0" fontId="132" fillId="4" borderId="0" applyAlignment="1" pivotButton="0" quotePrefix="0" xfId="27">
      <alignment horizontal="left" vertical="center"/>
    </xf>
    <xf numFmtId="1" fontId="133" fillId="4" borderId="0" applyAlignment="1" pivotButton="0" quotePrefix="0" xfId="27">
      <alignment horizontal="general" vertical="center"/>
    </xf>
    <xf numFmtId="0" fontId="133" fillId="4" borderId="0" applyAlignment="1" pivotButton="0" quotePrefix="0" xfId="27">
      <alignment horizontal="general" vertical="center"/>
    </xf>
    <xf numFmtId="1" fontId="132" fillId="4" borderId="6" applyAlignment="1" pivotButton="0" quotePrefix="0" xfId="27">
      <alignment horizontal="center" vertical="center"/>
    </xf>
    <xf numFmtId="0" fontId="0" fillId="4" borderId="0" applyAlignment="1" pivotButton="0" quotePrefix="0" xfId="0">
      <alignment horizontal="general" vertical="center"/>
    </xf>
    <xf numFmtId="0" fontId="132" fillId="4" borderId="0" applyAlignment="1" pivotButton="0" quotePrefix="0" xfId="27">
      <alignment horizontal="left" vertical="center" wrapText="1"/>
    </xf>
    <xf numFmtId="1" fontId="132" fillId="4" borderId="0" applyAlignment="1" pivotButton="0" quotePrefix="0" xfId="27">
      <alignment horizontal="center" vertical="center"/>
    </xf>
    <xf numFmtId="178" fontId="132" fillId="4" borderId="0" applyAlignment="1" pivotButton="0" quotePrefix="0" xfId="27">
      <alignment horizontal="right" vertical="center"/>
    </xf>
    <xf numFmtId="0" fontId="132" fillId="4" borderId="0" applyAlignment="1" pivotButton="0" quotePrefix="0" xfId="27">
      <alignment horizontal="center" vertical="bottom" wrapText="1"/>
    </xf>
    <xf numFmtId="0" fontId="132" fillId="4" borderId="34" applyAlignment="1" pivotButton="0" quotePrefix="0" xfId="24">
      <alignment horizontal="left" vertical="center"/>
    </xf>
    <xf numFmtId="0" fontId="132" fillId="4" borderId="6" applyAlignment="1" pivotButton="0" quotePrefix="0" xfId="27">
      <alignment horizontal="center" vertical="center"/>
    </xf>
    <xf numFmtId="0" fontId="132" fillId="2" borderId="34" applyAlignment="1" pivotButton="0" quotePrefix="0" xfId="24">
      <alignment horizontal="left" vertical="center"/>
    </xf>
    <xf numFmtId="0" fontId="133" fillId="2" borderId="0" applyAlignment="1" pivotButton="0" quotePrefix="0" xfId="27">
      <alignment horizontal="general" vertical="center"/>
    </xf>
    <xf numFmtId="0" fontId="143" fillId="2" borderId="0" applyAlignment="1" pivotButton="0" quotePrefix="0" xfId="27">
      <alignment horizontal="center" vertical="center"/>
    </xf>
    <xf numFmtId="0" fontId="132" fillId="0" borderId="34" applyAlignment="1" pivotButton="0" quotePrefix="0" xfId="24">
      <alignment horizontal="left" vertical="center"/>
    </xf>
    <xf numFmtId="0" fontId="133" fillId="0" borderId="0" applyAlignment="1" pivotButton="0" quotePrefix="0" xfId="27">
      <alignment horizontal="general" vertical="center"/>
    </xf>
    <xf numFmtId="0" fontId="132" fillId="0" borderId="0" applyAlignment="1" pivotButton="0" quotePrefix="0" xfId="27">
      <alignment horizontal="left" vertical="center" wrapText="1"/>
    </xf>
    <xf numFmtId="0" fontId="140" fillId="0" borderId="0" applyAlignment="1" pivotButton="0" quotePrefix="0" xfId="0">
      <alignment horizontal="left" vertical="center"/>
    </xf>
    <xf numFmtId="0" fontId="132" fillId="0" borderId="0" applyAlignment="1" pivotButton="0" quotePrefix="0" xfId="27">
      <alignment horizontal="general" vertical="center"/>
    </xf>
    <xf numFmtId="0" fontId="132" fillId="0" borderId="0" applyAlignment="1" pivotButton="0" quotePrefix="0" xfId="27">
      <alignment horizontal="left" vertical="center"/>
    </xf>
    <xf numFmtId="0" fontId="30" fillId="0" borderId="0" applyAlignment="1" pivotButton="0" quotePrefix="0" xfId="0">
      <alignment horizontal="general" vertical="center"/>
    </xf>
    <xf numFmtId="0" fontId="132" fillId="0" borderId="0" applyAlignment="1" pivotButton="0" quotePrefix="0" xfId="24">
      <alignment horizontal="left" vertical="center"/>
    </xf>
    <xf numFmtId="0" fontId="132" fillId="0" borderId="0" applyAlignment="1" pivotButton="0" quotePrefix="0" xfId="27">
      <alignment horizontal="general" vertical="bottom"/>
    </xf>
    <xf numFmtId="0" fontId="132" fillId="0" borderId="0" applyAlignment="1" pivotButton="0" quotePrefix="0" xfId="27">
      <alignment horizontal="left" vertical="bottom"/>
    </xf>
    <xf numFmtId="0" fontId="30" fillId="0" borderId="0" applyAlignment="1" pivotButton="0" quotePrefix="0" xfId="0">
      <alignment horizontal="general" vertical="bottom"/>
    </xf>
    <xf numFmtId="0" fontId="140" fillId="0" borderId="0" applyAlignment="1" pivotButton="0" quotePrefix="0" xfId="0">
      <alignment horizontal="left" vertical="bottom"/>
    </xf>
    <xf numFmtId="0" fontId="132" fillId="2" borderId="0" applyAlignment="1" pivotButton="0" quotePrefix="0" xfId="27">
      <alignment horizontal="general" vertical="bottom"/>
    </xf>
    <xf numFmtId="0" fontId="133" fillId="0" borderId="0" applyAlignment="1" pivotButton="0" quotePrefix="0" xfId="27">
      <alignment horizontal="general" vertical="bottom"/>
    </xf>
    <xf numFmtId="0" fontId="133" fillId="0" borderId="0" applyAlignment="1" pivotButton="0" quotePrefix="0" xfId="27">
      <alignment horizontal="left" vertical="bottom"/>
    </xf>
    <xf numFmtId="0" fontId="144" fillId="0" borderId="0" applyAlignment="1" pivotButton="0" quotePrefix="0" xfId="0">
      <alignment horizontal="general" vertical="center"/>
    </xf>
    <xf numFmtId="0" fontId="134" fillId="0" borderId="0" applyAlignment="1" pivotButton="0" quotePrefix="0" xfId="0">
      <alignment horizontal="general" vertical="center"/>
    </xf>
    <xf numFmtId="0" fontId="140" fillId="0" borderId="0" applyAlignment="1" pivotButton="0" quotePrefix="0" xfId="0">
      <alignment horizontal="general" vertical="center"/>
    </xf>
    <xf numFmtId="0" fontId="140" fillId="0" borderId="0" applyAlignment="1" pivotButton="0" quotePrefix="0" xfId="0">
      <alignment horizontal="left" vertical="center" wrapText="1"/>
    </xf>
    <xf numFmtId="0" fontId="133" fillId="2" borderId="0" applyAlignment="1" pivotButton="0" quotePrefix="0" xfId="27">
      <alignment horizontal="left" vertical="bottom"/>
    </xf>
    <xf numFmtId="0" fontId="133" fillId="2" borderId="0" applyAlignment="1" pivotButton="0" quotePrefix="0" xfId="27">
      <alignment horizontal="general" vertical="bottom"/>
    </xf>
    <xf numFmtId="0" fontId="133" fillId="0" borderId="0" applyAlignment="1" pivotButton="0" quotePrefix="0" xfId="24">
      <alignment horizontal="general" vertical="bottom"/>
    </xf>
    <xf numFmtId="0" fontId="41" fillId="0" borderId="0" applyAlignment="1" pivotButton="0" quotePrefix="0" xfId="24">
      <alignment horizontal="general" vertical="bottom"/>
    </xf>
    <xf numFmtId="0" fontId="132" fillId="2" borderId="0" applyAlignment="1" pivotButton="0" quotePrefix="0" xfId="27">
      <alignment horizontal="left" vertical="bottom"/>
    </xf>
    <xf numFmtId="0" fontId="41" fillId="2" borderId="0" applyAlignment="1" pivotButton="0" quotePrefix="0" xfId="27">
      <alignment horizontal="left" vertical="bottom"/>
    </xf>
    <xf numFmtId="0" fontId="41" fillId="2" borderId="0" applyAlignment="1" pivotButton="0" quotePrefix="0" xfId="27">
      <alignment horizontal="general" vertical="bottom"/>
    </xf>
    <xf numFmtId="0" fontId="145" fillId="2" borderId="0" applyAlignment="1" pivotButton="0" quotePrefix="0" xfId="27">
      <alignment horizontal="general" vertical="center"/>
    </xf>
    <xf numFmtId="0" fontId="146"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6"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0" borderId="0" applyAlignment="1" pivotButton="0" quotePrefix="0" xfId="0">
      <alignment horizontal="general" vertical="bottom"/>
    </xf>
    <xf numFmtId="0" fontId="0" fillId="20" borderId="6" applyAlignment="1" pivotButton="0" quotePrefix="0" xfId="0">
      <alignment horizontal="general" vertical="bottom" wrapText="1"/>
    </xf>
    <xf numFmtId="2" fontId="0" fillId="20" borderId="6" applyAlignment="1" pivotButton="0" quotePrefix="0" xfId="0">
      <alignment horizontal="general" vertical="bottom"/>
    </xf>
    <xf numFmtId="176" fontId="0" fillId="20" borderId="6" applyAlignment="1" pivotButton="0" quotePrefix="0" xfId="0">
      <alignment horizontal="general" vertical="bottom"/>
    </xf>
    <xf numFmtId="0" fontId="0" fillId="20"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6"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6"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6"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6"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6"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6"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6"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6"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6"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6"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6"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6"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6"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6"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6"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6"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6"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6"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6"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2" fontId="0" fillId="0" borderId="0" applyAlignment="1" pivotButton="0" quotePrefix="0" xfId="0">
      <alignment horizontal="center" vertical="center"/>
    </xf>
    <xf numFmtId="2" fontId="0" fillId="0" borderId="0" applyAlignment="1" pivotButton="0" quotePrefix="0" xfId="0">
      <alignment horizontal="center" vertical="bottom"/>
    </xf>
    <xf numFmtId="0" fontId="0" fillId="0" borderId="6" applyAlignment="1" pivotButton="0" quotePrefix="0" xfId="0">
      <alignment horizontal="center" vertical="bottom"/>
    </xf>
    <xf numFmtId="2" fontId="30" fillId="0" borderId="6" applyAlignment="1" pivotButton="0" quotePrefix="0" xfId="0">
      <alignment horizontal="center" vertical="bottom"/>
    </xf>
    <xf numFmtId="0" fontId="30" fillId="4" borderId="6" applyAlignment="1" pivotButton="0" quotePrefix="0" xfId="0">
      <alignment horizontal="center" vertical="bottom" wrapText="1"/>
    </xf>
    <xf numFmtId="2" fontId="0" fillId="0" borderId="6" applyAlignment="1" pivotButton="0" quotePrefix="0" xfId="0">
      <alignment horizontal="center" vertical="center" wrapText="1"/>
    </xf>
    <xf numFmtId="2" fontId="0" fillId="0" borderId="6" applyAlignment="1" pivotButton="0" quotePrefix="0" xfId="0">
      <alignment horizontal="center" vertical="bottom" wrapText="1"/>
    </xf>
    <xf numFmtId="0" fontId="147" fillId="0" borderId="13" applyAlignment="1" applyProtection="1" pivotButton="0" quotePrefix="0" xfId="32">
      <alignment horizontal="center" vertical="center" wrapText="1"/>
      <protection locked="0" hidden="0"/>
    </xf>
    <xf numFmtId="179" fontId="148" fillId="0" borderId="6" applyAlignment="1" applyProtection="1" pivotButton="0" quotePrefix="0" xfId="0">
      <alignment horizontal="center" vertical="bottom"/>
      <protection locked="0" hidden="0"/>
    </xf>
    <xf numFmtId="2" fontId="147" fillId="0" borderId="6" applyAlignment="1" pivotButton="0" quotePrefix="0" xfId="0">
      <alignment horizontal="center" vertical="bottom"/>
    </xf>
    <xf numFmtId="0" fontId="149" fillId="0" borderId="0" applyAlignment="1" pivotButton="0" quotePrefix="0" xfId="0">
      <alignment horizontal="general" vertical="bottom"/>
    </xf>
    <xf numFmtId="2" fontId="148" fillId="2" borderId="0" applyAlignment="1" pivotButton="0" quotePrefix="0" xfId="0">
      <alignment horizontal="center" vertical="bottom"/>
    </xf>
    <xf numFmtId="2" fontId="148" fillId="0" borderId="44" applyAlignment="1" pivotButton="0" quotePrefix="0" xfId="0">
      <alignment horizontal="center" vertical="bottom"/>
    </xf>
    <xf numFmtId="0" fontId="148" fillId="0" borderId="44" applyAlignment="1" pivotButton="0" quotePrefix="0" xfId="0">
      <alignment horizontal="center" vertical="bottom"/>
    </xf>
    <xf numFmtId="2" fontId="148" fillId="0" borderId="6" applyAlignment="1" applyProtection="1" pivotButton="0" quotePrefix="0" xfId="0">
      <alignment horizontal="center" vertical="bottom"/>
      <protection locked="0" hidden="0"/>
    </xf>
    <xf numFmtId="2" fontId="148" fillId="0" borderId="6" applyAlignment="1" pivotButton="0" quotePrefix="0" xfId="0">
      <alignment horizontal="center" vertical="bottom"/>
    </xf>
    <xf numFmtId="2" fontId="148" fillId="0" borderId="0" applyAlignment="1" pivotButton="0" quotePrefix="0" xfId="0">
      <alignment horizontal="center" vertical="bottom"/>
    </xf>
    <xf numFmtId="0" fontId="124" fillId="0" borderId="13" applyAlignment="1" applyProtection="1" pivotButton="0" quotePrefix="0" xfId="32">
      <alignment horizontal="center" vertical="center" wrapText="1"/>
      <protection locked="0" hidden="0"/>
    </xf>
    <xf numFmtId="2" fontId="129" fillId="0" borderId="6" applyAlignment="1" pivotButton="0" quotePrefix="0" xfId="0">
      <alignment horizontal="center" vertical="center"/>
    </xf>
    <xf numFmtId="2" fontId="129" fillId="0" borderId="6" applyAlignment="1" pivotButton="0" quotePrefix="0" xfId="0">
      <alignment horizontal="center" vertical="bottom"/>
    </xf>
    <xf numFmtId="0" fontId="150" fillId="51" borderId="17" applyAlignment="1" pivotButton="0" quotePrefix="0" xfId="0">
      <alignment horizontal="left" vertical="center" wrapText="1"/>
    </xf>
    <xf numFmtId="0" fontId="150" fillId="51" borderId="18" applyAlignment="1" pivotButton="0" quotePrefix="0" xfId="0">
      <alignment horizontal="general" vertical="center" wrapText="1"/>
    </xf>
    <xf numFmtId="0" fontId="150" fillId="51" borderId="18" applyAlignment="1" pivotButton="0" quotePrefix="0" xfId="0">
      <alignment horizontal="center" vertical="center" wrapText="1"/>
    </xf>
    <xf numFmtId="0" fontId="150" fillId="51" borderId="19" applyAlignment="1" pivotButton="0" quotePrefix="0" xfId="0">
      <alignment horizontal="center" vertical="center" wrapText="1"/>
    </xf>
    <xf numFmtId="0" fontId="151" fillId="52" borderId="17" applyAlignment="1" pivotButton="0" quotePrefix="0" xfId="23">
      <alignment horizontal="center" vertical="center"/>
    </xf>
    <xf numFmtId="0" fontId="151" fillId="52" borderId="18" applyAlignment="1" pivotButton="0" quotePrefix="0" xfId="23">
      <alignment horizontal="center" vertical="center" wrapText="1"/>
    </xf>
    <xf numFmtId="0" fontId="151" fillId="52" borderId="78" applyAlignment="1" pivotButton="0" quotePrefix="0" xfId="23">
      <alignment horizontal="center" vertical="center" wrapText="1"/>
    </xf>
    <xf numFmtId="0" fontId="151" fillId="52" borderId="18" applyAlignment="1" pivotButton="0" quotePrefix="0" xfId="23">
      <alignment horizontal="center" vertical="center"/>
    </xf>
    <xf numFmtId="0" fontId="151" fillId="52" borderId="29" applyAlignment="1" pivotButton="0" quotePrefix="0" xfId="23">
      <alignment horizontal="center" vertical="center" wrapText="1"/>
    </xf>
    <xf numFmtId="0" fontId="152" fillId="9" borderId="6" applyAlignment="1" pivotButton="0" quotePrefix="0" xfId="0">
      <alignment horizontal="left" vertical="bottom" wrapText="1"/>
    </xf>
    <xf numFmtId="0" fontId="152" fillId="8" borderId="6" applyAlignment="1" pivotButton="0" quotePrefix="0" xfId="0">
      <alignment horizontal="general" vertical="bottom"/>
    </xf>
    <xf numFmtId="170" fontId="152" fillId="8" borderId="6" applyAlignment="1" pivotButton="0" quotePrefix="0" xfId="0">
      <alignment horizontal="right" vertical="bottom" indent="1"/>
    </xf>
    <xf numFmtId="0" fontId="152" fillId="8" borderId="6" applyAlignment="1" pivotButton="0" quotePrefix="0" xfId="0">
      <alignment horizontal="center" vertical="bottom"/>
    </xf>
    <xf numFmtId="1" fontId="152" fillId="8" borderId="6" applyAlignment="1" pivotButton="0" quotePrefix="0" xfId="0">
      <alignment horizontal="right" vertical="bottom" indent="1"/>
    </xf>
    <xf numFmtId="0" fontId="152" fillId="9" borderId="6" applyAlignment="1" pivotButton="0" quotePrefix="0" xfId="0">
      <alignment horizontal="left" vertical="center" wrapText="1"/>
    </xf>
    <xf numFmtId="2" fontId="152" fillId="8" borderId="6" applyAlignment="1" pivotButton="0" quotePrefix="0" xfId="0">
      <alignment horizontal="general" vertical="bottom"/>
    </xf>
    <xf numFmtId="49" fontId="152" fillId="8" borderId="6" applyAlignment="1" pivotButton="0" quotePrefix="0" xfId="0">
      <alignment horizontal="general" vertical="bottom"/>
    </xf>
    <xf numFmtId="1" fontId="152" fillId="2" borderId="6" applyAlignment="1" pivotButton="0" quotePrefix="0" xfId="23">
      <alignment horizontal="center" vertical="center"/>
    </xf>
    <xf numFmtId="180" fontId="153" fillId="0" borderId="6" applyAlignment="1" pivotButton="0" quotePrefix="0" xfId="0">
      <alignment horizontal="center" vertical="center"/>
    </xf>
    <xf numFmtId="180" fontId="153" fillId="0" borderId="6" applyAlignment="1" pivotButton="0" quotePrefix="0" xfId="0">
      <alignment horizontal="left" vertical="center"/>
    </xf>
    <xf numFmtId="0" fontId="153" fillId="0" borderId="6" applyAlignment="1" pivotButton="0" quotePrefix="0" xfId="0">
      <alignment horizontal="center" vertical="center"/>
    </xf>
    <xf numFmtId="0" fontId="152" fillId="8" borderId="6" applyAlignment="1" pivotButton="0" quotePrefix="0" xfId="0">
      <alignment horizontal="right" vertical="bottom" indent="1"/>
    </xf>
    <xf numFmtId="0" fontId="152" fillId="8" borderId="6" applyAlignment="1" pivotButton="0" quotePrefix="0" xfId="0">
      <alignment horizontal="right" vertical="center" indent="1"/>
    </xf>
    <xf numFmtId="0" fontId="152" fillId="8" borderId="6" applyAlignment="1" pivotButton="0" quotePrefix="0" xfId="0">
      <alignment horizontal="center" vertical="center"/>
    </xf>
    <xf numFmtId="0" fontId="154" fillId="2" borderId="0" applyAlignment="1" pivotButton="0" quotePrefix="0" xfId="23">
      <alignment horizontal="center" vertical="center"/>
    </xf>
    <xf numFmtId="0" fontId="154" fillId="2" borderId="0" applyAlignment="1" pivotButton="0" quotePrefix="0" xfId="23">
      <alignment horizontal="center" vertical="center" wrapText="1"/>
    </xf>
    <xf numFmtId="0" fontId="155" fillId="2" borderId="0" applyAlignment="1" applyProtection="1" pivotButton="0" quotePrefix="0" xfId="23">
      <alignment horizontal="center" vertical="center"/>
      <protection locked="0" hidden="0"/>
    </xf>
    <xf numFmtId="49" fontId="152" fillId="8" borderId="6" applyAlignment="1" pivotButton="0" quotePrefix="0" xfId="0">
      <alignment horizontal="right" vertical="center" indent="1"/>
    </xf>
    <xf numFmtId="180" fontId="153" fillId="0" borderId="20" applyAlignment="1" pivotButton="0" quotePrefix="0" xfId="0">
      <alignment horizontal="center" vertical="center"/>
    </xf>
    <xf numFmtId="180" fontId="153" fillId="0" borderId="20" applyAlignment="1" pivotButton="0" quotePrefix="0" xfId="0">
      <alignment horizontal="left" vertical="center"/>
    </xf>
    <xf numFmtId="0" fontId="156" fillId="0" borderId="0" applyAlignment="1" pivotButton="0" quotePrefix="0" xfId="0">
      <alignment horizontal="general" vertical="bottom"/>
    </xf>
    <xf numFmtId="0" fontId="157" fillId="0" borderId="0" applyAlignment="1" pivotButton="0" quotePrefix="0" xfId="0">
      <alignment horizontal="center" vertical="bottom"/>
    </xf>
    <xf numFmtId="0" fontId="158" fillId="0" borderId="0" applyAlignment="1" pivotButton="0" quotePrefix="0" xfId="0">
      <alignment horizontal="general" vertical="bottom"/>
    </xf>
    <xf numFmtId="0" fontId="156" fillId="0" borderId="79" applyAlignment="1" pivotButton="0" quotePrefix="0" xfId="0">
      <alignment horizontal="center" vertical="bottom"/>
    </xf>
    <xf numFmtId="0" fontId="159" fillId="0" borderId="80" applyAlignment="1" pivotButton="0" quotePrefix="0" xfId="0">
      <alignment horizontal="center" vertical="center"/>
    </xf>
    <xf numFmtId="0" fontId="160" fillId="0" borderId="80" applyAlignment="1" pivotButton="0" quotePrefix="0" xfId="0">
      <alignment horizontal="center" vertical="top" wrapText="1"/>
    </xf>
    <xf numFmtId="0" fontId="161" fillId="0" borderId="81" applyAlignment="1" pivotButton="0" quotePrefix="0" xfId="0">
      <alignment horizontal="center" vertical="center"/>
    </xf>
    <xf numFmtId="0" fontId="161" fillId="38" borderId="82" applyAlignment="1" pivotButton="0" quotePrefix="0" xfId="0">
      <alignment horizontal="center" vertical="center"/>
    </xf>
    <xf numFmtId="0" fontId="161" fillId="0" borderId="82" applyAlignment="1" pivotButton="0" quotePrefix="0" xfId="0">
      <alignment horizontal="center" vertical="center"/>
    </xf>
    <xf numFmtId="0" fontId="161" fillId="38" borderId="83" applyAlignment="1" pivotButton="0" quotePrefix="0" xfId="0">
      <alignment horizontal="center" vertical="center"/>
    </xf>
    <xf numFmtId="0" fontId="158" fillId="0" borderId="84" applyAlignment="1" pivotButton="0" quotePrefix="0" xfId="0">
      <alignment horizontal="general" vertical="center"/>
    </xf>
    <xf numFmtId="0" fontId="158" fillId="38" borderId="85" applyAlignment="1" pivotButton="0" quotePrefix="0" xfId="0">
      <alignment horizontal="center" vertical="center"/>
    </xf>
    <xf numFmtId="0" fontId="158" fillId="0" borderId="85" applyAlignment="1" pivotButton="0" quotePrefix="0" xfId="0">
      <alignment horizontal="left" vertical="center"/>
    </xf>
    <xf numFmtId="0" fontId="158" fillId="38" borderId="86" applyAlignment="1" pivotButton="0" quotePrefix="0" xfId="0">
      <alignment horizontal="center" vertical="center"/>
    </xf>
    <xf numFmtId="0" fontId="162" fillId="0" borderId="87" applyAlignment="1" pivotButton="0" quotePrefix="0" xfId="0">
      <alignment horizontal="center" vertical="center"/>
    </xf>
    <xf numFmtId="0" fontId="163" fillId="16" borderId="44" applyAlignment="1" pivotButton="0" quotePrefix="0" xfId="0">
      <alignment horizontal="left" vertical="top" wrapText="1" indent="1"/>
    </xf>
    <xf numFmtId="0" fontId="163" fillId="16" borderId="43" applyAlignment="1" pivotButton="0" quotePrefix="0" xfId="0">
      <alignment horizontal="right" vertical="top" wrapText="1"/>
    </xf>
    <xf numFmtId="0" fontId="0" fillId="16" borderId="44" applyAlignment="1" pivotButton="0" quotePrefix="0" xfId="0">
      <alignment horizontal="left" vertical="bottom" wrapText="1"/>
    </xf>
    <xf numFmtId="0" fontId="163" fillId="16" borderId="6" applyAlignment="1" pivotButton="0" quotePrefix="0" xfId="0">
      <alignment horizontal="right" vertical="top" wrapText="1"/>
    </xf>
    <xf numFmtId="0" fontId="163" fillId="16" borderId="6" applyAlignment="1" pivotButton="0" quotePrefix="0" xfId="0">
      <alignment horizontal="center" vertical="top" wrapText="1"/>
    </xf>
    <xf numFmtId="0" fontId="0" fillId="16" borderId="43" applyAlignment="1" pivotButton="0" quotePrefix="0" xfId="0">
      <alignment horizontal="left" vertical="bottom" wrapText="1"/>
    </xf>
    <xf numFmtId="0" fontId="163" fillId="16" borderId="44" applyAlignment="1" pivotButton="0" quotePrefix="0" xfId="0">
      <alignment horizontal="right" vertical="top" wrapText="1"/>
    </xf>
    <xf numFmtId="0" fontId="164" fillId="0" borderId="0" applyAlignment="1" pivotButton="0" quotePrefix="0" xfId="0">
      <alignment horizontal="general" vertical="bottom"/>
    </xf>
    <xf numFmtId="0" fontId="158" fillId="0" borderId="88" applyAlignment="1" pivotButton="0" quotePrefix="0" xfId="0">
      <alignment horizontal="general" vertical="center"/>
    </xf>
    <xf numFmtId="2" fontId="158" fillId="38" borderId="0" applyAlignment="1" pivotButton="0" quotePrefix="0" xfId="0">
      <alignment horizontal="center" vertical="center"/>
    </xf>
    <xf numFmtId="0" fontId="158" fillId="0" borderId="0" applyAlignment="1" pivotButton="0" quotePrefix="0" xfId="0">
      <alignment horizontal="left" vertical="center"/>
    </xf>
    <xf numFmtId="0" fontId="158" fillId="38" borderId="0" applyAlignment="1" pivotButton="0" quotePrefix="0" xfId="0">
      <alignment horizontal="center" vertical="center"/>
    </xf>
    <xf numFmtId="0" fontId="158" fillId="38" borderId="89" applyAlignment="1" pivotButton="0" quotePrefix="0" xfId="0">
      <alignment horizontal="center" vertical="center"/>
    </xf>
    <xf numFmtId="0" fontId="158" fillId="8" borderId="90" applyAlignment="1" pivotButton="0" quotePrefix="0" xfId="0">
      <alignment horizontal="center" vertical="center"/>
    </xf>
    <xf numFmtId="0" fontId="158" fillId="8" borderId="91" applyAlignment="1" pivotButton="0" quotePrefix="0" xfId="0">
      <alignment horizontal="center" vertical="center"/>
    </xf>
    <xf numFmtId="0" fontId="158" fillId="8" borderId="92" applyAlignment="1" pivotButton="0" quotePrefix="0" xfId="0">
      <alignment horizontal="center" vertical="center"/>
    </xf>
    <xf numFmtId="0" fontId="158" fillId="2" borderId="93" applyAlignment="1" pivotButton="0" quotePrefix="0" xfId="0">
      <alignment horizontal="general" vertical="center"/>
    </xf>
    <xf numFmtId="0" fontId="158" fillId="2" borderId="94" applyAlignment="1" pivotButton="0" quotePrefix="0" xfId="0">
      <alignment horizontal="general" vertical="center"/>
    </xf>
    <xf numFmtId="0" fontId="158" fillId="2" borderId="92" applyAlignment="1" pivotButton="0" quotePrefix="0" xfId="0">
      <alignment horizontal="center" vertical="center"/>
    </xf>
    <xf numFmtId="0" fontId="158" fillId="2" borderId="95" applyAlignment="1" pivotButton="0" quotePrefix="0" xfId="0">
      <alignment horizontal="center" vertical="center"/>
    </xf>
    <xf numFmtId="0" fontId="165" fillId="0" borderId="44" applyAlignment="1" pivotButton="0" quotePrefix="0" xfId="0">
      <alignment horizontal="left" vertical="top" wrapText="1" indent="2"/>
    </xf>
    <xf numFmtId="1" fontId="166" fillId="0" borderId="43" applyAlignment="1" pivotButton="0" quotePrefix="0" xfId="0">
      <alignment horizontal="right" vertical="top" shrinkToFit="1"/>
    </xf>
    <xf numFmtId="0" fontId="0" fillId="0" borderId="44" applyAlignment="1" pivotButton="0" quotePrefix="0" xfId="0">
      <alignment horizontal="left" vertical="bottom" wrapText="1"/>
    </xf>
    <xf numFmtId="170" fontId="166" fillId="0" borderId="6" applyAlignment="1" pivotButton="0" quotePrefix="0" xfId="0">
      <alignment horizontal="center" vertical="top" shrinkToFit="1"/>
    </xf>
    <xf numFmtId="0" fontId="165" fillId="0" borderId="6" applyAlignment="1" pivotButton="0" quotePrefix="0" xfId="0">
      <alignment horizontal="center" vertical="top" wrapText="1"/>
    </xf>
    <xf numFmtId="0" fontId="0" fillId="0" borderId="43" applyAlignment="1" pivotButton="0" quotePrefix="0" xfId="0">
      <alignment horizontal="left" vertical="bottom" wrapText="1"/>
    </xf>
    <xf numFmtId="1" fontId="166" fillId="0" borderId="44" applyAlignment="1" pivotButton="0" quotePrefix="0" xfId="0">
      <alignment horizontal="center" vertical="top" shrinkToFit="1"/>
    </xf>
    <xf numFmtId="0" fontId="158" fillId="0" borderId="96" applyAlignment="1" pivotButton="0" quotePrefix="0" xfId="0">
      <alignment horizontal="general" vertical="center"/>
    </xf>
    <xf numFmtId="0" fontId="158" fillId="0" borderId="97" applyAlignment="1" pivotButton="0" quotePrefix="0" xfId="0">
      <alignment horizontal="general" vertical="center"/>
    </xf>
    <xf numFmtId="0" fontId="158" fillId="0" borderId="97" applyAlignment="1" pivotButton="0" quotePrefix="0" xfId="0">
      <alignment horizontal="left" vertical="center"/>
    </xf>
    <xf numFmtId="0" fontId="156" fillId="0" borderId="97" applyAlignment="1" pivotButton="0" quotePrefix="0" xfId="0">
      <alignment horizontal="general" vertical="bottom"/>
    </xf>
    <xf numFmtId="0" fontId="158" fillId="38" borderId="98" applyAlignment="1" pivotButton="0" quotePrefix="0" xfId="0">
      <alignment horizontal="center" vertical="center"/>
    </xf>
    <xf numFmtId="0" fontId="158" fillId="8" borderId="99" applyAlignment="1" pivotButton="0" quotePrefix="0" xfId="0">
      <alignment horizontal="center" vertical="center"/>
    </xf>
    <xf numFmtId="0" fontId="158" fillId="8" borderId="15" applyAlignment="1" pivotButton="0" quotePrefix="0" xfId="0">
      <alignment horizontal="center" vertical="center"/>
    </xf>
    <xf numFmtId="0" fontId="158" fillId="8" borderId="15" applyAlignment="1" pivotButton="0" quotePrefix="0" xfId="0">
      <alignment horizontal="center" vertical="center" wrapText="1"/>
    </xf>
    <xf numFmtId="0" fontId="158" fillId="2" borderId="43" applyAlignment="1" pivotButton="0" quotePrefix="0" xfId="0">
      <alignment horizontal="center" vertical="center"/>
    </xf>
    <xf numFmtId="0" fontId="158" fillId="2" borderId="15" applyAlignment="1" pivotButton="0" quotePrefix="0" xfId="0">
      <alignment horizontal="center" vertical="center"/>
    </xf>
    <xf numFmtId="0" fontId="158" fillId="2" borderId="48" applyAlignment="1" pivotButton="0" quotePrefix="0" xfId="0">
      <alignment horizontal="center" vertical="center" wrapText="1"/>
    </xf>
    <xf numFmtId="0" fontId="165" fillId="0" borderId="100" applyAlignment="1" pivotButton="0" quotePrefix="0" xfId="0">
      <alignment horizontal="left" vertical="top" wrapText="1"/>
    </xf>
    <xf numFmtId="1" fontId="166" fillId="0" borderId="101" applyAlignment="1" pivotButton="0" quotePrefix="0" xfId="0">
      <alignment horizontal="right" vertical="top" shrinkToFit="1"/>
    </xf>
    <xf numFmtId="0" fontId="0" fillId="0" borderId="100" applyAlignment="1" pivotButton="0" quotePrefix="0" xfId="0">
      <alignment horizontal="left" vertical="bottom" wrapText="1"/>
    </xf>
    <xf numFmtId="170" fontId="166" fillId="0" borderId="20" applyAlignment="1" pivotButton="0" quotePrefix="0" xfId="0">
      <alignment horizontal="center" vertical="top" shrinkToFit="1"/>
    </xf>
    <xf numFmtId="0" fontId="0" fillId="0" borderId="20" applyAlignment="1" pivotButton="0" quotePrefix="0" xfId="0">
      <alignment horizontal="left" vertical="bottom" wrapText="1"/>
    </xf>
    <xf numFmtId="0" fontId="0" fillId="0" borderId="101" applyAlignment="1" pivotButton="0" quotePrefix="0" xfId="0">
      <alignment horizontal="left" vertical="bottom" wrapText="1"/>
    </xf>
    <xf numFmtId="0" fontId="158" fillId="0" borderId="96" applyAlignment="1" pivotButton="0" quotePrefix="0" xfId="0">
      <alignment horizontal="center" vertical="center"/>
    </xf>
    <xf numFmtId="3" fontId="158" fillId="38" borderId="102" applyAlignment="1" pivotButton="0" quotePrefix="0" xfId="0">
      <alignment horizontal="center" vertical="center"/>
    </xf>
    <xf numFmtId="0" fontId="158" fillId="0" borderId="97" applyAlignment="1" pivotButton="0" quotePrefix="0" xfId="0">
      <alignment horizontal="center" vertical="center"/>
    </xf>
    <xf numFmtId="0" fontId="158" fillId="0" borderId="103" applyAlignment="1" pivotButton="0" quotePrefix="0" xfId="0">
      <alignment horizontal="center" vertical="center"/>
    </xf>
    <xf numFmtId="0" fontId="158" fillId="0" borderId="20" applyAlignment="1" pivotButton="0" quotePrefix="0" xfId="0">
      <alignment horizontal="center" vertical="center"/>
    </xf>
    <xf numFmtId="1" fontId="158" fillId="0" borderId="20" applyAlignment="1" pivotButton="0" quotePrefix="0" xfId="0">
      <alignment horizontal="center" vertical="center"/>
    </xf>
    <xf numFmtId="1" fontId="158" fillId="2" borderId="20" applyAlignment="1" pivotButton="0" quotePrefix="0" xfId="0">
      <alignment horizontal="center" vertical="center"/>
    </xf>
    <xf numFmtId="170" fontId="158" fillId="2" borderId="20" applyAlignment="1" pivotButton="0" quotePrefix="0" xfId="0">
      <alignment horizontal="center" vertical="center"/>
    </xf>
    <xf numFmtId="0" fontId="158" fillId="2" borderId="23" applyAlignment="1" pivotButton="0" quotePrefix="0" xfId="0">
      <alignment horizontal="center" vertical="center"/>
    </xf>
    <xf numFmtId="1" fontId="166" fillId="0" borderId="75" applyAlignment="1" pivotButton="0" quotePrefix="0" xfId="0">
      <alignment horizontal="left" vertical="top" shrinkToFit="1" indent="2"/>
    </xf>
    <xf numFmtId="0" fontId="0" fillId="0" borderId="104" applyAlignment="1" pivotButton="0" quotePrefix="0" xfId="0">
      <alignment horizontal="left" vertical="bottom" wrapText="1"/>
    </xf>
    <xf numFmtId="0" fontId="0" fillId="0" borderId="75" applyAlignment="1" pivotButton="0" quotePrefix="0" xfId="0">
      <alignment horizontal="left" vertical="bottom" wrapText="1"/>
    </xf>
    <xf numFmtId="0" fontId="0" fillId="0" borderId="76" applyAlignment="1" pivotButton="0" quotePrefix="0" xfId="0">
      <alignment horizontal="left" vertical="bottom" wrapText="1"/>
    </xf>
    <xf numFmtId="1" fontId="166" fillId="0" borderId="76" applyAlignment="1" pivotButton="0" quotePrefix="0" xfId="0">
      <alignment horizontal="center" vertical="top" shrinkToFit="1"/>
    </xf>
    <xf numFmtId="1" fontId="166" fillId="0" borderId="75" applyAlignment="1" pivotButton="0" quotePrefix="0" xfId="0">
      <alignment horizontal="center" vertical="top" shrinkToFit="1"/>
    </xf>
    <xf numFmtId="0" fontId="162" fillId="0" borderId="105" applyAlignment="1" pivotButton="0" quotePrefix="0" xfId="0">
      <alignment horizontal="center" vertical="center"/>
    </xf>
    <xf numFmtId="0" fontId="158" fillId="0" borderId="106" applyAlignment="1" pivotButton="0" quotePrefix="0" xfId="0">
      <alignment horizontal="center" vertical="center"/>
    </xf>
    <xf numFmtId="0" fontId="158" fillId="0" borderId="76" applyAlignment="1" pivotButton="0" quotePrefix="0" xfId="0">
      <alignment horizontal="center" vertical="center"/>
    </xf>
    <xf numFmtId="1" fontId="158" fillId="2" borderId="76" applyAlignment="1" pivotButton="0" quotePrefix="0" xfId="0">
      <alignment horizontal="center" vertical="center"/>
    </xf>
    <xf numFmtId="170" fontId="158" fillId="2" borderId="76" applyAlignment="1" pivotButton="0" quotePrefix="0" xfId="0">
      <alignment horizontal="center" vertical="center"/>
    </xf>
    <xf numFmtId="0" fontId="158" fillId="2" borderId="53" applyAlignment="1" pivotButton="0" quotePrefix="0" xfId="0">
      <alignment horizontal="center" vertical="center"/>
    </xf>
    <xf numFmtId="0" fontId="165" fillId="0" borderId="14" applyAlignment="1" pivotButton="0" quotePrefix="0" xfId="0">
      <alignment horizontal="left" vertical="top" wrapText="1" indent="1"/>
    </xf>
    <xf numFmtId="1" fontId="166" fillId="0" borderId="107" applyAlignment="1" pivotButton="0" quotePrefix="0" xfId="0">
      <alignment horizontal="right" vertical="top" shrinkToFit="1"/>
    </xf>
    <xf numFmtId="0" fontId="0" fillId="0" borderId="14" applyAlignment="1" pivotButton="0" quotePrefix="0" xfId="0">
      <alignment horizontal="left" vertical="bottom" wrapText="1"/>
    </xf>
    <xf numFmtId="170" fontId="166" fillId="0" borderId="15" applyAlignment="1" pivotButton="0" quotePrefix="0" xfId="0">
      <alignment horizontal="center" vertical="top" shrinkToFit="1"/>
    </xf>
    <xf numFmtId="0" fontId="0" fillId="0" borderId="15" applyAlignment="1" pivotButton="0" quotePrefix="0" xfId="0">
      <alignment horizontal="left" vertical="bottom" wrapText="1"/>
    </xf>
    <xf numFmtId="0" fontId="0" fillId="0" borderId="107" applyAlignment="1" pivotButton="0" quotePrefix="0" xfId="0">
      <alignment horizontal="left" vertical="bottom" wrapText="1"/>
    </xf>
    <xf numFmtId="0" fontId="158" fillId="0" borderId="108" applyAlignment="1" pivotButton="0" quotePrefix="0" xfId="0">
      <alignment horizontal="center" vertical="center"/>
    </xf>
    <xf numFmtId="0" fontId="158" fillId="0" borderId="92" applyAlignment="1" pivotButton="0" quotePrefix="0" xfId="0">
      <alignment horizontal="center" vertical="center"/>
    </xf>
    <xf numFmtId="0" fontId="158" fillId="0" borderId="109" applyAlignment="1" pivotButton="0" quotePrefix="0" xfId="0">
      <alignment horizontal="center" vertical="center"/>
    </xf>
    <xf numFmtId="1" fontId="158" fillId="2" borderId="43" applyAlignment="1" pivotButton="0" quotePrefix="0" xfId="0">
      <alignment horizontal="center" vertical="center"/>
    </xf>
    <xf numFmtId="1" fontId="158" fillId="2" borderId="15" applyAlignment="1" pivotButton="0" quotePrefix="0" xfId="0">
      <alignment horizontal="center" vertical="center"/>
    </xf>
    <xf numFmtId="1" fontId="166" fillId="0" borderId="20" applyAlignment="1" pivotButton="0" quotePrefix="0" xfId="0">
      <alignment horizontal="left" vertical="top" shrinkToFit="1" indent="2"/>
    </xf>
    <xf numFmtId="0" fontId="158" fillId="0" borderId="6" applyAlignment="1" pivotButton="0" quotePrefix="0" xfId="0">
      <alignment horizontal="left" vertical="center"/>
    </xf>
    <xf numFmtId="0" fontId="158" fillId="2" borderId="6" applyAlignment="1" pivotButton="0" quotePrefix="0" xfId="0">
      <alignment horizontal="center" vertical="center"/>
    </xf>
    <xf numFmtId="0" fontId="158" fillId="0" borderId="75" applyAlignment="1" pivotButton="0" quotePrefix="0" xfId="0">
      <alignment horizontal="center" vertical="center"/>
    </xf>
    <xf numFmtId="0" fontId="165" fillId="0" borderId="44" applyAlignment="1" pivotButton="0" quotePrefix="0" xfId="0">
      <alignment horizontal="left" vertical="top" wrapText="1" indent="1"/>
    </xf>
    <xf numFmtId="170" fontId="166" fillId="0" borderId="15" applyAlignment="1" pivotButton="0" quotePrefix="0" xfId="0">
      <alignment horizontal="left" vertical="top" shrinkToFit="1" indent="2"/>
    </xf>
    <xf numFmtId="170" fontId="166" fillId="0" borderId="20" applyAlignment="1" pivotButton="0" quotePrefix="0" xfId="0">
      <alignment horizontal="left" vertical="top" shrinkToFit="1" indent="2"/>
    </xf>
    <xf numFmtId="0" fontId="158" fillId="0" borderId="14" applyAlignment="1" pivotButton="0" quotePrefix="0" xfId="0">
      <alignment horizontal="center" vertical="center"/>
    </xf>
    <xf numFmtId="0" fontId="158" fillId="0" borderId="15" applyAlignment="1" pivotButton="0" quotePrefix="0" xfId="0">
      <alignment horizontal="center" vertical="center"/>
    </xf>
    <xf numFmtId="170" fontId="158" fillId="2" borderId="15" applyAlignment="1" pivotButton="0" quotePrefix="0" xfId="0">
      <alignment horizontal="center" vertical="center"/>
    </xf>
    <xf numFmtId="0" fontId="158" fillId="2" borderId="76" applyAlignment="1" pivotButton="0" quotePrefix="0" xfId="0">
      <alignment horizontal="center" vertical="center"/>
    </xf>
    <xf numFmtId="0" fontId="158" fillId="0" borderId="6" applyAlignment="1" pivotButton="0" quotePrefix="0" xfId="0">
      <alignment horizontal="left" vertical="center" indent="1"/>
    </xf>
    <xf numFmtId="0" fontId="158" fillId="0" borderId="100" applyAlignment="1" pivotButton="0" quotePrefix="0" xfId="0">
      <alignment horizontal="center" vertical="center"/>
    </xf>
    <xf numFmtId="2" fontId="158" fillId="0" borderId="20" applyAlignment="1" pivotButton="0" quotePrefix="0" xfId="0">
      <alignment horizontal="center" vertical="center"/>
    </xf>
    <xf numFmtId="0" fontId="158" fillId="0" borderId="23" applyAlignment="1" pivotButton="0" quotePrefix="0" xfId="0">
      <alignment horizontal="center" vertical="center"/>
    </xf>
    <xf numFmtId="0" fontId="165" fillId="0" borderId="75" applyAlignment="1" pivotButton="0" quotePrefix="0" xfId="0">
      <alignment horizontal="left" vertical="top" wrapText="1" indent="1"/>
    </xf>
    <xf numFmtId="170" fontId="166" fillId="0" borderId="76" applyAlignment="1" pivotButton="0" quotePrefix="0" xfId="0">
      <alignment horizontal="left" vertical="top" shrinkToFit="1" indent="2"/>
    </xf>
    <xf numFmtId="0" fontId="158" fillId="0" borderId="6" applyAlignment="1" pivotButton="0" quotePrefix="0" xfId="0">
      <alignment horizontal="center" vertical="center"/>
    </xf>
    <xf numFmtId="0" fontId="158" fillId="0" borderId="110" applyAlignment="1" pivotButton="0" quotePrefix="0" xfId="0">
      <alignment horizontal="center" vertical="center"/>
    </xf>
    <xf numFmtId="0" fontId="158" fillId="0" borderId="111" applyAlignment="1" pivotButton="0" quotePrefix="0" xfId="0">
      <alignment horizontal="center" vertical="center"/>
    </xf>
    <xf numFmtId="0" fontId="158" fillId="0" borderId="0" applyAlignment="1" pivotButton="0" quotePrefix="0" xfId="0">
      <alignment horizontal="center" vertical="center"/>
    </xf>
    <xf numFmtId="0" fontId="158" fillId="0" borderId="104" applyAlignment="1" pivotButton="0" quotePrefix="0" xfId="0">
      <alignment horizontal="center" vertical="center"/>
    </xf>
    <xf numFmtId="0" fontId="158" fillId="0" borderId="30" applyAlignment="1" pivotButton="0" quotePrefix="0" xfId="0">
      <alignment horizontal="center" vertical="center"/>
    </xf>
    <xf numFmtId="0" fontId="167" fillId="0" borderId="0" applyAlignment="1" pivotButton="0" quotePrefix="0" xfId="0">
      <alignment horizontal="general" vertical="bottom"/>
    </xf>
    <xf numFmtId="1" fontId="167" fillId="0" borderId="0" applyAlignment="1" pivotButton="0" quotePrefix="0" xfId="0">
      <alignment horizontal="general" vertical="bottom"/>
    </xf>
    <xf numFmtId="0" fontId="156" fillId="0" borderId="34" applyAlignment="1" pivotButton="0" quotePrefix="0" xfId="0">
      <alignment horizontal="general" vertical="bottom"/>
    </xf>
    <xf numFmtId="0" fontId="156" fillId="0" borderId="76" applyAlignment="1" pivotButton="0" quotePrefix="0" xfId="0">
      <alignment horizontal="general" vertical="bottom"/>
    </xf>
    <xf numFmtId="0" fontId="156" fillId="0" borderId="104" applyAlignment="1" pivotButton="0" quotePrefix="0" xfId="0">
      <alignment horizontal="general" vertical="bottom"/>
    </xf>
    <xf numFmtId="0" fontId="156" fillId="0" borderId="75" applyAlignment="1" pivotButton="0" quotePrefix="0" xfId="0">
      <alignment horizontal="general" vertical="bottom"/>
    </xf>
    <xf numFmtId="0" fontId="158" fillId="0" borderId="0" applyAlignment="1" pivotButton="0" quotePrefix="0" xfId="0">
      <alignment horizontal="left" vertical="top"/>
    </xf>
    <xf numFmtId="0" fontId="168" fillId="0" borderId="15" applyAlignment="1" pivotButton="0" quotePrefix="0" xfId="0">
      <alignment horizontal="center" vertical="center"/>
    </xf>
    <xf numFmtId="0" fontId="168" fillId="0" borderId="15" applyAlignment="1" pivotButton="0" quotePrefix="0" xfId="0">
      <alignment horizontal="left" vertical="center"/>
    </xf>
    <xf numFmtId="0" fontId="168" fillId="0" borderId="93" applyAlignment="1" pivotButton="0" quotePrefix="0" xfId="0">
      <alignment horizontal="center" vertical="center"/>
    </xf>
    <xf numFmtId="0" fontId="168" fillId="0" borderId="92" applyAlignment="1" pivotButton="0" quotePrefix="0" xfId="0">
      <alignment horizontal="center" vertical="center"/>
    </xf>
    <xf numFmtId="0" fontId="168" fillId="0" borderId="112" applyAlignment="1" pivotButton="0" quotePrefix="0" xfId="0">
      <alignment horizontal="center" vertical="center"/>
    </xf>
    <xf numFmtId="0" fontId="167" fillId="0" borderId="76" applyAlignment="1" pivotButton="0" quotePrefix="0" xfId="0">
      <alignment horizontal="center" vertical="center"/>
    </xf>
    <xf numFmtId="0" fontId="169" fillId="0" borderId="0" applyAlignment="1" pivotButton="0" quotePrefix="0" xfId="0">
      <alignment horizontal="general" vertical="center"/>
    </xf>
    <xf numFmtId="0" fontId="167" fillId="0" borderId="0" applyAlignment="1" pivotButton="0" quotePrefix="0" xfId="0">
      <alignment horizontal="left" vertical="center"/>
    </xf>
    <xf numFmtId="176" fontId="167" fillId="0" borderId="101" applyAlignment="1" pivotButton="0" quotePrefix="0" xfId="0">
      <alignment horizontal="center" vertical="center"/>
    </xf>
    <xf numFmtId="176" fontId="167" fillId="0" borderId="20" applyAlignment="1" pivotButton="0" quotePrefix="0" xfId="0">
      <alignment horizontal="center" vertical="center"/>
    </xf>
    <xf numFmtId="2" fontId="167" fillId="0" borderId="101" applyAlignment="1" pivotButton="0" quotePrefix="0" xfId="0">
      <alignment horizontal="center" vertical="center"/>
    </xf>
    <xf numFmtId="2" fontId="167" fillId="0" borderId="30" applyAlignment="1" pivotButton="0" quotePrefix="0" xfId="0">
      <alignment horizontal="center" vertical="center"/>
    </xf>
    <xf numFmtId="0" fontId="167" fillId="0" borderId="0" applyAlignment="1" pivotButton="0" quotePrefix="0" xfId="0">
      <alignment horizontal="center" vertical="center"/>
    </xf>
    <xf numFmtId="0" fontId="167" fillId="0" borderId="43" applyAlignment="1" pivotButton="0" quotePrefix="0" xfId="0">
      <alignment horizontal="left" vertical="center" wrapText="1"/>
    </xf>
    <xf numFmtId="0" fontId="167" fillId="0" borderId="0" applyAlignment="1" pivotButton="0" quotePrefix="0" xfId="0">
      <alignment horizontal="right" vertical="center"/>
    </xf>
    <xf numFmtId="176" fontId="167" fillId="0" borderId="0" applyAlignment="1" pivotButton="0" quotePrefix="0" xfId="0">
      <alignment horizontal="center" vertical="center"/>
    </xf>
    <xf numFmtId="2" fontId="167" fillId="0" borderId="0" applyAlignment="1" pivotButton="0" quotePrefix="0" xfId="0">
      <alignment horizontal="center" vertical="center"/>
    </xf>
    <xf numFmtId="0" fontId="170" fillId="0" borderId="0" applyAlignment="1" pivotButton="0" quotePrefix="0" xfId="0">
      <alignment horizontal="general" vertical="bottom"/>
    </xf>
    <xf numFmtId="176" fontId="156" fillId="0" borderId="0" applyAlignment="1" pivotButton="0" quotePrefix="0" xfId="0">
      <alignment horizontal="general" vertical="bottom"/>
    </xf>
    <xf numFmtId="176" fontId="167" fillId="0" borderId="0" applyAlignment="1" pivotButton="0" quotePrefix="0" xfId="0">
      <alignment horizontal="center" vertical="center"/>
    </xf>
    <xf numFmtId="0" fontId="167" fillId="53" borderId="0" applyAlignment="1" pivotButton="0" quotePrefix="0" xfId="0">
      <alignment horizontal="general" vertical="bottom"/>
    </xf>
    <xf numFmtId="0" fontId="158" fillId="0" borderId="0" applyAlignment="1" pivotButton="0" quotePrefix="0" xfId="0">
      <alignment horizontal="general" vertical="center"/>
    </xf>
    <xf numFmtId="0" fontId="158" fillId="0" borderId="0" applyAlignment="1" pivotButton="0" quotePrefix="0" xfId="0">
      <alignment horizontal="left" vertical="bottom"/>
    </xf>
    <xf numFmtId="0" fontId="171" fillId="0" borderId="0" applyAlignment="1" pivotButton="0" quotePrefix="0" xfId="0">
      <alignment horizontal="general" vertical="bottom"/>
    </xf>
    <xf numFmtId="0" fontId="169" fillId="0" borderId="0" applyAlignment="1" pivotButton="0" quotePrefix="0" xfId="0">
      <alignment horizontal="center" vertical="bottom"/>
    </xf>
    <xf numFmtId="0" fontId="169" fillId="0" borderId="0" applyAlignment="1" pivotButton="0" quotePrefix="0" xfId="0">
      <alignment horizontal="left" vertical="bottom"/>
    </xf>
    <xf numFmtId="0" fontId="158" fillId="0" borderId="0" applyAlignment="1" pivotButton="0" quotePrefix="0" xfId="0">
      <alignment horizontal="right" vertical="top"/>
    </xf>
    <xf numFmtId="1" fontId="156" fillId="0" borderId="0" applyAlignment="1" pivotButton="0" quotePrefix="0" xfId="0">
      <alignment horizontal="general" vertical="bottom"/>
    </xf>
    <xf numFmtId="0" fontId="156" fillId="0" borderId="0" applyAlignment="1" pivotButton="0" quotePrefix="0" xfId="0">
      <alignment horizontal="right" vertical="bottom"/>
    </xf>
    <xf numFmtId="0" fontId="167" fillId="0" borderId="71" applyAlignment="1" pivotButton="0" quotePrefix="0" xfId="0">
      <alignment horizontal="left" vertical="center" wrapText="1"/>
    </xf>
    <xf numFmtId="0" fontId="167" fillId="0" borderId="0" applyAlignment="1" pivotButton="0" quotePrefix="0" xfId="0">
      <alignment horizontal="left" vertical="center" wrapText="1"/>
    </xf>
    <xf numFmtId="0" fontId="167" fillId="0" borderId="0" applyAlignment="1" pivotButton="0" quotePrefix="0" xfId="0">
      <alignment horizontal="left" vertical="bottom"/>
    </xf>
    <xf numFmtId="0" fontId="0" fillId="0" borderId="0" applyAlignment="1" pivotButton="0" quotePrefix="0" xfId="0">
      <alignment horizontal="left" vertical="bottom" wrapText="1"/>
    </xf>
    <xf numFmtId="0" fontId="156" fillId="0" borderId="15" applyAlignment="1" pivotButton="0" quotePrefix="0" xfId="0">
      <alignment horizontal="general" vertical="bottom"/>
    </xf>
    <xf numFmtId="0" fontId="47" fillId="0" borderId="0" applyAlignment="1" pivotButton="0" quotePrefix="0" xfId="0">
      <alignment horizontal="right" vertical="top" wrapText="1"/>
    </xf>
    <xf numFmtId="0" fontId="47" fillId="54" borderId="0" applyAlignment="1" pivotButton="0" quotePrefix="0" xfId="0">
      <alignment horizontal="center" vertical="top" wrapText="1"/>
    </xf>
    <xf numFmtId="0" fontId="158" fillId="0" borderId="0" applyAlignment="1" pivotButton="0" quotePrefix="0" xfId="0">
      <alignment horizontal="right" vertical="bottom"/>
    </xf>
    <xf numFmtId="0" fontId="169" fillId="0" borderId="0" applyAlignment="1" pivotButton="0" quotePrefix="0" xfId="0">
      <alignment horizontal="general" vertical="top"/>
    </xf>
    <xf numFmtId="0" fontId="167" fillId="0" borderId="0" applyAlignment="1" pivotButton="0" quotePrefix="0" xfId="0">
      <alignment horizontal="left" vertical="top"/>
    </xf>
    <xf numFmtId="0" fontId="168" fillId="0" borderId="0" applyAlignment="1" pivotButton="0" quotePrefix="0" xfId="0">
      <alignment horizontal="general" vertical="bottom"/>
    </xf>
    <xf numFmtId="0" fontId="169" fillId="0" borderId="0" applyAlignment="1" pivotButton="0" quotePrefix="0" xfId="0">
      <alignment horizontal="general" vertical="bottom"/>
    </xf>
    <xf numFmtId="0" fontId="0" fillId="0" borderId="113" applyAlignment="1" pivotButton="0" quotePrefix="0" xfId="0">
      <alignment horizontal="left" vertical="bottom" wrapText="1"/>
    </xf>
    <xf numFmtId="0" fontId="167" fillId="0" borderId="0" applyAlignment="1" pivotButton="0" quotePrefix="0" xfId="0">
      <alignment horizontal="center" vertical="bottom"/>
    </xf>
    <xf numFmtId="0" fontId="0" fillId="54" borderId="114" applyAlignment="1" pivotButton="0" quotePrefix="0" xfId="0">
      <alignment horizontal="left" vertical="bottom" wrapText="1"/>
    </xf>
    <xf numFmtId="0" fontId="0" fillId="54" borderId="115" applyAlignment="1" pivotButton="0" quotePrefix="0" xfId="0">
      <alignment horizontal="left" vertical="bottom" wrapText="1"/>
    </xf>
    <xf numFmtId="0" fontId="167" fillId="0" borderId="0" applyAlignment="1" pivotButton="0" quotePrefix="0" xfId="0">
      <alignment horizontal="right" vertical="bottom"/>
    </xf>
    <xf numFmtId="170" fontId="169" fillId="0" borderId="0" applyAlignment="1" pivotButton="0" quotePrefix="0" xfId="0">
      <alignment horizontal="general" vertical="center"/>
    </xf>
    <xf numFmtId="0" fontId="47" fillId="54" borderId="116" applyAlignment="1" pivotButton="0" quotePrefix="0" xfId="0">
      <alignment horizontal="right" vertical="top" wrapText="1"/>
    </xf>
    <xf numFmtId="0" fontId="47" fillId="54" borderId="117" applyAlignment="1" pivotButton="0" quotePrefix="0" xfId="0">
      <alignment horizontal="center" vertical="top" wrapText="1"/>
    </xf>
    <xf numFmtId="0" fontId="0" fillId="0" borderId="0" applyAlignment="1" pivotButton="0" quotePrefix="0" xfId="0">
      <alignment horizontal="left" vertical="center" wrapText="1"/>
    </xf>
    <xf numFmtId="0" fontId="158" fillId="0" borderId="0" applyAlignment="1" pivotButton="0" quotePrefix="0" xfId="0">
      <alignment horizontal="center" vertical="bottom"/>
    </xf>
    <xf numFmtId="0" fontId="156" fillId="4" borderId="0" applyAlignment="1" pivotButton="0" quotePrefix="0" xfId="0">
      <alignment horizontal="general" vertical="bottom"/>
    </xf>
    <xf numFmtId="0" fontId="158" fillId="0" borderId="0" applyAlignment="1" pivotButton="0" quotePrefix="0" xfId="0">
      <alignment horizontal="left" vertical="bottom" indent="1"/>
    </xf>
    <xf numFmtId="0" fontId="172" fillId="0" borderId="0" applyAlignment="1" pivotButton="0" quotePrefix="0" xfId="0">
      <alignment horizontal="general" vertical="bottom"/>
    </xf>
    <xf numFmtId="0" fontId="173" fillId="55" borderId="0" applyAlignment="1" pivotButton="0" quotePrefix="0" xfId="0">
      <alignment horizontal="center" vertical="center" textRotation="90"/>
    </xf>
    <xf numFmtId="0" fontId="174" fillId="0" borderId="0" applyAlignment="1" pivotButton="0" quotePrefix="0" xfId="0">
      <alignment horizontal="center" vertical="center"/>
    </xf>
    <xf numFmtId="0" fontId="175" fillId="0" borderId="0" applyAlignment="1" pivotButton="0" quotePrefix="0" xfId="0">
      <alignment horizontal="general" vertical="center"/>
    </xf>
    <xf numFmtId="0" fontId="176" fillId="0" borderId="0" applyAlignment="1" pivotButton="0" quotePrefix="0" xfId="0">
      <alignment horizontal="general" vertical="center"/>
    </xf>
    <xf numFmtId="0" fontId="177" fillId="0" borderId="0" applyAlignment="1" pivotButton="0" quotePrefix="0" xfId="0">
      <alignment horizontal="general" vertical="bottom"/>
    </xf>
    <xf numFmtId="0" fontId="177" fillId="0" borderId="30" applyAlignment="1" pivotButton="0" quotePrefix="0" xfId="0">
      <alignment horizontal="general" vertical="bottom"/>
    </xf>
    <xf numFmtId="0" fontId="158" fillId="0" borderId="0" applyAlignment="1" pivotButton="0" quotePrefix="0" xfId="0">
      <alignment horizontal="right" vertical="bottom" indent="1"/>
    </xf>
    <xf numFmtId="0" fontId="174" fillId="0" borderId="0" applyAlignment="1" pivotButton="0" quotePrefix="0" xfId="0">
      <alignment horizontal="right" vertical="bottom"/>
    </xf>
    <xf numFmtId="0" fontId="174" fillId="0" borderId="0" applyAlignment="1" pivotButton="0" quotePrefix="0" xfId="0">
      <alignment horizontal="general" vertical="bottom"/>
    </xf>
    <xf numFmtId="0" fontId="174" fillId="0" borderId="0" applyAlignment="1" pivotButton="0" quotePrefix="0" xfId="0">
      <alignment horizontal="left" vertical="bottom"/>
    </xf>
    <xf numFmtId="0" fontId="156" fillId="0" borderId="30" applyAlignment="1" pivotButton="0" quotePrefix="0" xfId="0">
      <alignment horizontal="general" vertical="bottom"/>
    </xf>
    <xf numFmtId="0" fontId="174" fillId="0" borderId="0" applyAlignment="1" pivotButton="0" quotePrefix="0" xfId="0">
      <alignment horizontal="center" vertical="bottom"/>
    </xf>
    <xf numFmtId="0" fontId="178" fillId="0" borderId="0" applyAlignment="1" pivotButton="0" quotePrefix="0" xfId="0">
      <alignment horizontal="general" vertical="bottom"/>
    </xf>
    <xf numFmtId="0" fontId="157" fillId="0" borderId="0" applyAlignment="1" pivotButton="0" quotePrefix="0" xfId="0">
      <alignment horizontal="general" vertical="bottom"/>
    </xf>
    <xf numFmtId="0" fontId="169" fillId="0" borderId="30" applyAlignment="1" pivotButton="0" quotePrefix="0" xfId="0">
      <alignment horizontal="right" vertical="center" wrapText="1"/>
    </xf>
    <xf numFmtId="181" fontId="169" fillId="0" borderId="30" applyAlignment="1" pivotButton="0" quotePrefix="0" xfId="0">
      <alignment horizontal="right" vertical="bottom"/>
    </xf>
    <xf numFmtId="0" fontId="178" fillId="0" borderId="0" applyAlignment="1" pivotButton="0" quotePrefix="0" xfId="0">
      <alignment horizontal="general" vertical="center"/>
    </xf>
    <xf numFmtId="182" fontId="169" fillId="0" borderId="30" applyAlignment="1" pivotButton="0" quotePrefix="0" xfId="0">
      <alignment horizontal="right" vertical="bottom"/>
    </xf>
    <xf numFmtId="0" fontId="167" fillId="0" borderId="30" applyAlignment="1" pivotButton="0" quotePrefix="0" xfId="0">
      <alignment horizontal="general" vertical="bottom"/>
    </xf>
    <xf numFmtId="0" fontId="179" fillId="54" borderId="0" applyAlignment="1" pivotButton="0" quotePrefix="0" xfId="0">
      <alignment horizontal="right" vertical="top" wrapText="1"/>
    </xf>
    <xf numFmtId="0" fontId="169" fillId="0" borderId="0" applyAlignment="1" pivotButton="0" quotePrefix="0" xfId="0">
      <alignment horizontal="right" vertical="bottom" wrapText="1"/>
    </xf>
    <xf numFmtId="181" fontId="169" fillId="0" borderId="0" applyAlignment="1" pivotButton="0" quotePrefix="0" xfId="0">
      <alignment horizontal="left" vertical="bottom"/>
    </xf>
    <xf numFmtId="0" fontId="169" fillId="0" borderId="0" applyAlignment="1" pivotButton="0" quotePrefix="0" xfId="0">
      <alignment horizontal="right" vertical="bottom" indent="1"/>
    </xf>
    <xf numFmtId="181" fontId="169" fillId="0" borderId="0" applyAlignment="1" pivotButton="0" quotePrefix="0" xfId="0">
      <alignment horizontal="general" vertical="bottom"/>
    </xf>
    <xf numFmtId="182" fontId="169" fillId="0" borderId="0" applyAlignment="1" pivotButton="0" quotePrefix="0" xfId="0">
      <alignment horizontal="left" vertical="bottom"/>
    </xf>
    <xf numFmtId="0" fontId="167" fillId="0" borderId="0" applyAlignment="1" pivotButton="0" quotePrefix="0" xfId="0">
      <alignment horizontal="center" vertical="bottom"/>
    </xf>
    <xf numFmtId="182" fontId="169" fillId="0" borderId="0" applyAlignment="1" pivotButton="0" quotePrefix="0" xfId="0">
      <alignment horizontal="left" vertical="bottom"/>
    </xf>
    <xf numFmtId="183" fontId="178" fillId="0" borderId="0" applyAlignment="1" pivotButton="0" quotePrefix="0" xfId="0">
      <alignment horizontal="general" vertical="bottom"/>
    </xf>
    <xf numFmtId="0" fontId="180" fillId="0" borderId="33" applyAlignment="1" pivotButton="0" quotePrefix="0" xfId="0">
      <alignment horizontal="left" vertical="center"/>
    </xf>
    <xf numFmtId="0" fontId="174" fillId="0" borderId="28" applyAlignment="1" pivotButton="0" quotePrefix="0" xfId="0">
      <alignment horizontal="general" vertical="center"/>
    </xf>
    <xf numFmtId="0" fontId="174" fillId="0" borderId="28" applyAlignment="1" pivotButton="0" quotePrefix="0" xfId="0">
      <alignment horizontal="general" vertical="center" wrapText="1"/>
    </xf>
    <xf numFmtId="0" fontId="174" fillId="5" borderId="29" applyAlignment="1" pivotButton="0" quotePrefix="0" xfId="0">
      <alignment horizontal="general" vertical="center"/>
    </xf>
    <xf numFmtId="0" fontId="167" fillId="0" borderId="33" applyAlignment="1" pivotButton="0" quotePrefix="0" xfId="0">
      <alignment horizontal="general" vertical="center"/>
    </xf>
    <xf numFmtId="0" fontId="167" fillId="0" borderId="28" applyAlignment="1" pivotButton="0" quotePrefix="0" xfId="0">
      <alignment horizontal="general" vertical="center"/>
    </xf>
    <xf numFmtId="0" fontId="167" fillId="5" borderId="28" applyAlignment="1" pivotButton="0" quotePrefix="0" xfId="0">
      <alignment horizontal="general" vertical="center"/>
    </xf>
    <xf numFmtId="2" fontId="167" fillId="5" borderId="28" applyAlignment="1" pivotButton="0" quotePrefix="0" xfId="0">
      <alignment horizontal="center" vertical="center"/>
    </xf>
    <xf numFmtId="0" fontId="167" fillId="0" borderId="29" applyAlignment="1" pivotButton="0" quotePrefix="0" xfId="0">
      <alignment horizontal="general" vertical="center"/>
    </xf>
    <xf numFmtId="0" fontId="178" fillId="0" borderId="4" applyAlignment="1" pivotButton="0" quotePrefix="0" xfId="0">
      <alignment horizontal="center" vertical="center" wrapText="1"/>
    </xf>
    <xf numFmtId="0" fontId="156" fillId="0" borderId="0" applyAlignment="1" pivotButton="0" quotePrefix="0" xfId="0">
      <alignment horizontal="general" vertical="bottom" wrapText="1"/>
    </xf>
    <xf numFmtId="0" fontId="181" fillId="0" borderId="35" applyAlignment="1" pivotButton="0" quotePrefix="0" xfId="0">
      <alignment horizontal="general" vertical="bottom"/>
    </xf>
    <xf numFmtId="0" fontId="177" fillId="0" borderId="32" applyAlignment="1" pivotButton="0" quotePrefix="0" xfId="0">
      <alignment horizontal="general" vertical="center" wrapText="1"/>
    </xf>
    <xf numFmtId="0" fontId="167" fillId="0" borderId="35" applyAlignment="1" pivotButton="0" quotePrefix="0" xfId="0">
      <alignment horizontal="general" vertical="center" wrapText="1"/>
    </xf>
    <xf numFmtId="0" fontId="174" fillId="0" borderId="32" applyAlignment="1" pivotButton="0" quotePrefix="0" xfId="0">
      <alignment horizontal="general" vertical="center"/>
    </xf>
    <xf numFmtId="0" fontId="174" fillId="0" borderId="32" applyAlignment="1" pivotButton="0" quotePrefix="0" xfId="0">
      <alignment horizontal="general" vertical="center" wrapText="1"/>
    </xf>
    <xf numFmtId="0" fontId="174" fillId="5" borderId="36" applyAlignment="1" pivotButton="0" quotePrefix="0" xfId="0">
      <alignment horizontal="general" vertical="center"/>
    </xf>
    <xf numFmtId="0" fontId="167" fillId="0" borderId="35" applyAlignment="1" pivotButton="0" quotePrefix="0" xfId="0">
      <alignment horizontal="general" vertical="center"/>
    </xf>
    <xf numFmtId="0" fontId="167" fillId="0" borderId="32" applyAlignment="1" pivotButton="0" quotePrefix="0" xfId="0">
      <alignment horizontal="general" vertical="center" wrapText="1"/>
    </xf>
    <xf numFmtId="0" fontId="167" fillId="5" borderId="32" applyAlignment="1" pivotButton="0" quotePrefix="0" xfId="0">
      <alignment horizontal="general" vertical="center"/>
    </xf>
    <xf numFmtId="2" fontId="167" fillId="5" borderId="32" applyAlignment="1" pivotButton="0" quotePrefix="0" xfId="0">
      <alignment horizontal="center" vertical="center"/>
    </xf>
    <xf numFmtId="0" fontId="167" fillId="0" borderId="36" applyAlignment="1" pivotButton="0" quotePrefix="0" xfId="0">
      <alignment horizontal="general" vertical="center"/>
    </xf>
    <xf numFmtId="0" fontId="158" fillId="0" borderId="28" applyAlignment="1" pivotButton="0" quotePrefix="0" xfId="0">
      <alignment horizontal="center" vertical="center"/>
    </xf>
    <xf numFmtId="0" fontId="158" fillId="0" borderId="28" applyAlignment="1" pivotButton="0" quotePrefix="0" xfId="0">
      <alignment horizontal="general" vertical="center"/>
    </xf>
    <xf numFmtId="0" fontId="158" fillId="56" borderId="28" applyAlignment="1" pivotButton="0" quotePrefix="0" xfId="0">
      <alignment horizontal="center" vertical="center"/>
    </xf>
    <xf numFmtId="0" fontId="158" fillId="2" borderId="28" applyAlignment="1" pivotButton="0" quotePrefix="0" xfId="0">
      <alignment horizontal="right" vertical="center"/>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120" pivotButton="0" quotePrefix="0" xfId="0"/>
    <xf numFmtId="0" fontId="0" fillId="0" borderId="12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11" fillId="0"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12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100" pivotButton="0" quotePrefix="0" xfId="0"/>
    <xf numFmtId="0" fontId="24" fillId="0" borderId="20" applyAlignment="1" pivotButton="0" quotePrefix="0" xfId="0">
      <alignment horizontal="center" vertical="center" wrapText="1"/>
    </xf>
    <xf numFmtId="0" fontId="0" fillId="0" borderId="124" pivotButton="0" quotePrefix="0" xfId="0"/>
    <xf numFmtId="0" fontId="0" fillId="0" borderId="12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11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30">
      <alignment horizontal="left" vertical="top"/>
      <protection locked="0" hidden="0"/>
    </xf>
    <xf numFmtId="0" fontId="38" fillId="0" borderId="1" applyAlignment="1" pivotButton="0" quotePrefix="0" xfId="30">
      <alignment horizontal="left" vertical="top"/>
    </xf>
    <xf numFmtId="0" fontId="38" fillId="0" borderId="2" applyAlignment="1" pivotButton="0" quotePrefix="0" xfId="30">
      <alignment horizontal="left" vertical="top"/>
    </xf>
    <xf numFmtId="0" fontId="38" fillId="0" borderId="3" applyAlignment="1" pivotButton="0" quotePrefix="0" xfId="30">
      <alignment horizontal="left" vertical="top"/>
    </xf>
    <xf numFmtId="0" fontId="39" fillId="7" borderId="4" applyAlignment="1" pivotButton="0" quotePrefix="0" xfId="30">
      <alignment horizontal="center" vertical="top"/>
    </xf>
    <xf numFmtId="0" fontId="40" fillId="0" borderId="33" applyAlignment="1" pivotButton="0" quotePrefix="0" xfId="30">
      <alignment horizontal="center" vertical="top" wrapText="1"/>
    </xf>
    <xf numFmtId="0" fontId="0" fillId="0" borderId="28" pivotButton="0" quotePrefix="0" xfId="0"/>
    <xf numFmtId="0" fontId="40" fillId="0" borderId="28" applyAlignment="1" pivotButton="0" quotePrefix="0" xfId="30">
      <alignment horizontal="left" vertical="center" wrapText="1"/>
    </xf>
    <xf numFmtId="0" fontId="40" fillId="0" borderId="28" applyAlignment="1" pivotButton="0" quotePrefix="0" xfId="30">
      <alignment horizontal="left" vertical="top" wrapText="1"/>
    </xf>
    <xf numFmtId="1" fontId="39" fillId="0" borderId="29" applyAlignment="1" pivotButton="0" quotePrefix="0" xfId="30">
      <alignment horizontal="left" vertical="top" shrinkToFit="1" indent="1"/>
    </xf>
    <xf numFmtId="0" fontId="0" fillId="0" borderId="29" pivotButton="0" quotePrefix="0" xfId="0"/>
    <xf numFmtId="0" fontId="40" fillId="0" borderId="34" applyAlignment="1" pivotButton="0" quotePrefix="0" xfId="30">
      <alignment horizontal="center" vertical="top" wrapText="1"/>
    </xf>
    <xf numFmtId="0" fontId="40" fillId="0" borderId="0" applyAlignment="1" pivotButton="0" quotePrefix="0" xfId="30">
      <alignment horizontal="left" vertical="center" wrapText="1"/>
    </xf>
    <xf numFmtId="0" fontId="40" fillId="0" borderId="0" applyAlignment="1" pivotButton="0" quotePrefix="0" xfId="30">
      <alignment horizontal="left" vertical="top" wrapText="1"/>
    </xf>
    <xf numFmtId="1" fontId="39" fillId="0" borderId="30" applyAlignment="1" pivotButton="0" quotePrefix="0" xfId="30">
      <alignment horizontal="left" vertical="top" shrinkToFit="1" indent="1"/>
    </xf>
    <xf numFmtId="0" fontId="40" fillId="0" borderId="32" applyAlignment="1" pivotButton="0" quotePrefix="0" xfId="30">
      <alignment horizontal="left" vertical="top" wrapText="1"/>
    </xf>
    <xf numFmtId="0" fontId="40" fillId="0" borderId="35" applyAlignment="1" pivotButton="0" quotePrefix="0" xfId="30">
      <alignment horizontal="center" vertical="top" wrapText="1"/>
    </xf>
    <xf numFmtId="0" fontId="0" fillId="0" borderId="32" pivotButton="0" quotePrefix="0" xfId="0"/>
    <xf numFmtId="1" fontId="39" fillId="0" borderId="36" applyAlignment="1" pivotButton="0" quotePrefix="0" xfId="30">
      <alignment horizontal="left" vertical="top" shrinkToFit="1" indent="1"/>
    </xf>
    <xf numFmtId="0" fontId="0" fillId="0" borderId="36" pivotButton="0" quotePrefix="0" xfId="0"/>
    <xf numFmtId="0" fontId="38" fillId="0" borderId="0" applyAlignment="1" applyProtection="1" pivotButton="0" quotePrefix="0" xfId="30">
      <alignment horizontal="center" vertical="center"/>
      <protection locked="0" hidden="0"/>
    </xf>
    <xf numFmtId="0" fontId="40" fillId="7" borderId="37" applyAlignment="1" pivotButton="0" quotePrefix="0" xfId="30">
      <alignment horizontal="center" vertical="center" wrapText="1"/>
    </xf>
    <xf numFmtId="0" fontId="40" fillId="7" borderId="38" applyAlignment="1" pivotButton="0" quotePrefix="0" xfId="30">
      <alignment horizontal="center" vertical="center" wrapText="1"/>
    </xf>
    <xf numFmtId="0" fontId="40" fillId="7" borderId="39" applyAlignment="1" pivotButton="0" quotePrefix="0" xfId="30">
      <alignment horizontal="center" vertical="center" wrapText="1"/>
    </xf>
    <xf numFmtId="0" fontId="40" fillId="7" borderId="40" applyAlignment="1" pivotButton="0" quotePrefix="0" xfId="30">
      <alignment horizontal="center" vertical="center" wrapText="1"/>
    </xf>
    <xf numFmtId="0" fontId="41" fillId="0" borderId="13" applyAlignment="1" applyProtection="1" pivotButton="0" quotePrefix="0" xfId="30">
      <alignment horizontal="center" vertical="center" wrapText="1"/>
      <protection locked="0" hidden="0"/>
    </xf>
    <xf numFmtId="0" fontId="41" fillId="0" borderId="7" applyAlignment="1" applyProtection="1" pivotButton="0" quotePrefix="0" xfId="30">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30">
      <alignment horizontal="right" vertical="center" shrinkToFit="1"/>
      <protection locked="0" hidden="0"/>
    </xf>
    <xf numFmtId="1" fontId="41" fillId="0" borderId="15" applyAlignment="1" applyProtection="1" pivotButton="0" quotePrefix="0" xfId="30">
      <alignment horizontal="center" vertical="center" shrinkToFit="1"/>
      <protection locked="0" hidden="0"/>
    </xf>
    <xf numFmtId="4" fontId="41" fillId="0" borderId="25" applyAlignment="1" applyProtection="1" pivotButton="0" quotePrefix="0" xfId="30">
      <alignment horizontal="right" vertical="center" shrinkToFit="1"/>
      <protection locked="0" hidden="0"/>
    </xf>
    <xf numFmtId="0" fontId="41" fillId="0" borderId="9" applyAlignment="1" applyProtection="1" pivotButton="0" quotePrefix="0" xfId="30">
      <alignment horizontal="center" vertical="center" wrapText="1"/>
      <protection locked="0" hidden="0"/>
    </xf>
    <xf numFmtId="0" fontId="41" fillId="0" borderId="6" applyAlignment="1" applyProtection="1" pivotButton="0" quotePrefix="0" xfId="30">
      <alignment horizontal="general" vertical="center" wrapText="1"/>
      <protection locked="0" hidden="0"/>
    </xf>
    <xf numFmtId="1" fontId="41" fillId="0" borderId="6" applyAlignment="1" applyProtection="1" pivotButton="0" quotePrefix="0" xfId="30">
      <alignment horizontal="center" vertical="center" shrinkToFit="1"/>
      <protection locked="0" hidden="0"/>
    </xf>
    <xf numFmtId="4" fontId="38" fillId="0" borderId="6" applyAlignment="1" applyProtection="1" pivotButton="0" quotePrefix="0" xfId="30">
      <alignment horizontal="right" vertical="center" shrinkToFit="1"/>
      <protection locked="0" hidden="0"/>
    </xf>
    <xf numFmtId="170" fontId="38" fillId="0" borderId="6" applyAlignment="1" applyProtection="1" pivotButton="0" quotePrefix="0" xfId="30">
      <alignment horizontal="center" vertical="center" shrinkToFit="1"/>
      <protection locked="0" hidden="0"/>
    </xf>
    <xf numFmtId="4" fontId="38" fillId="0" borderId="25" applyAlignment="1" applyProtection="1" pivotButton="0" quotePrefix="0" xfId="30">
      <alignment horizontal="right" vertical="center" shrinkToFit="1"/>
      <protection locked="0" hidden="0"/>
    </xf>
    <xf numFmtId="1" fontId="38" fillId="0" borderId="6" applyAlignment="1" applyProtection="1" pivotButton="0" quotePrefix="0" xfId="30">
      <alignment horizontal="center" vertical="center" shrinkToFit="1"/>
      <protection locked="0" hidden="0"/>
    </xf>
    <xf numFmtId="0" fontId="40" fillId="0" borderId="10" applyAlignment="1" applyProtection="1" pivotButton="0" quotePrefix="0" xfId="30">
      <alignment horizontal="left" vertical="top" wrapText="1"/>
      <protection locked="0" hidden="0"/>
    </xf>
    <xf numFmtId="0" fontId="0" fillId="0" borderId="71" applyProtection="1" pivotButton="0" quotePrefix="0" xfId="0">
      <protection locked="0" hidden="0"/>
    </xf>
    <xf numFmtId="0" fontId="0" fillId="0" borderId="100" applyProtection="1" pivotButton="0" quotePrefix="0" xfId="0">
      <protection locked="0" hidden="0"/>
    </xf>
    <xf numFmtId="0" fontId="40" fillId="0" borderId="6" applyAlignment="1" applyProtection="1" pivotButton="0" quotePrefix="0" xfId="30">
      <alignment horizontal="center" vertical="center" wrapText="1"/>
      <protection locked="0" hidden="0"/>
    </xf>
    <xf numFmtId="4" fontId="39" fillId="0" borderId="8" applyAlignment="1" applyProtection="1" pivotButton="0" quotePrefix="0" xfId="30">
      <alignment horizontal="general" vertical="center" shrinkToFit="1"/>
      <protection locked="0" hidden="0"/>
    </xf>
    <xf numFmtId="0" fontId="0" fillId="0" borderId="75" applyProtection="1" pivotButton="0" quotePrefix="0" xfId="0">
      <protection locked="0" hidden="0"/>
    </xf>
    <xf numFmtId="0" fontId="0" fillId="0" borderId="74" applyProtection="1" pivotButton="0" quotePrefix="0" xfId="0">
      <protection locked="0" hidden="0"/>
    </xf>
    <xf numFmtId="0" fontId="40" fillId="0" borderId="11" applyAlignment="1" applyProtection="1" pivotButton="0" quotePrefix="0" xfId="30">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30">
      <alignment horizontal="general" vertical="center" shrinkToFit="1"/>
      <protection locked="0" hidden="0"/>
    </xf>
    <xf numFmtId="0" fontId="40" fillId="0" borderId="0" applyAlignment="1" applyProtection="1" pivotButton="0" quotePrefix="0" xfId="30">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125"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5"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104" pivotButton="0" quotePrefix="0" xfId="0"/>
    <xf numFmtId="0" fontId="0" fillId="0" borderId="5" applyAlignment="1" pivotButton="0" quotePrefix="0" xfId="0">
      <alignment horizontal="center" vertical="bottom" wrapText="1"/>
    </xf>
    <xf numFmtId="0" fontId="0" fillId="0" borderId="118"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4"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127"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130"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131"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135"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136" pivotButton="0" quotePrefix="0" xfId="0"/>
    <xf numFmtId="0" fontId="0" fillId="0" borderId="132" pivotButton="0" quotePrefix="0" xfId="0"/>
    <xf numFmtId="0" fontId="32" fillId="0" borderId="62" applyAlignment="1" applyProtection="1" pivotButton="0" quotePrefix="0" xfId="0">
      <alignment horizontal="center" vertical="center"/>
      <protection locked="0" hidden="0"/>
    </xf>
    <xf numFmtId="0" fontId="0" fillId="0" borderId="139"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41" applyProtection="1" pivotButton="0" quotePrefix="0" xfId="0">
      <protection locked="0" hidden="0"/>
    </xf>
    <xf numFmtId="0" fontId="56" fillId="8" borderId="64" applyAlignment="1" pivotButton="0" quotePrefix="0" xfId="0">
      <alignment horizontal="center" vertical="bottom"/>
    </xf>
    <xf numFmtId="0" fontId="0" fillId="0" borderId="143" pivotButton="0" quotePrefix="0" xfId="0"/>
    <xf numFmtId="0" fontId="56" fillId="8" borderId="65" applyAlignment="1" pivotButton="0" quotePrefix="0" xfId="0">
      <alignment horizontal="center" vertical="bottom"/>
    </xf>
    <xf numFmtId="0" fontId="0" fillId="0" borderId="144" pivotButton="0" quotePrefix="0" xfId="0"/>
    <xf numFmtId="0" fontId="0" fillId="0" borderId="133"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46"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45" applyProtection="1" pivotButton="0" quotePrefix="0" xfId="0">
      <protection locked="0" hidden="0"/>
    </xf>
    <xf numFmtId="0" fontId="0" fillId="0" borderId="57" pivotButton="0" quotePrefix="0" xfId="0"/>
    <xf numFmtId="0" fontId="0" fillId="0" borderId="148" applyProtection="1" pivotButton="0" quotePrefix="0" xfId="0">
      <protection locked="0" hidden="0"/>
    </xf>
    <xf numFmtId="0" fontId="0" fillId="0" borderId="57" applyProtection="1" pivotButton="0" quotePrefix="0" xfId="0">
      <protection locked="0" hidden="0"/>
    </xf>
    <xf numFmtId="0" fontId="0" fillId="0" borderId="146"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5">
      <alignment horizontal="general" vertical="bottom"/>
    </xf>
    <xf numFmtId="0" fontId="0" fillId="0" borderId="0" applyAlignment="1" applyProtection="1" pivotButton="0" quotePrefix="0" xfId="25">
      <alignment horizontal="general" vertical="bottom"/>
      <protection locked="1" hidden="1"/>
    </xf>
    <xf numFmtId="0" fontId="0" fillId="0" borderId="6" applyAlignment="1" applyProtection="1" pivotButton="0" quotePrefix="0" xfId="25">
      <alignment horizontal="center" vertical="center" textRotation="45"/>
      <protection locked="1" hidden="1"/>
    </xf>
    <xf numFmtId="0" fontId="65" fillId="0" borderId="43" applyAlignment="1" applyProtection="1" pivotButton="0" quotePrefix="0" xfId="25">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5">
      <alignment horizontal="center" vertical="center"/>
      <protection locked="1" hidden="1"/>
    </xf>
    <xf numFmtId="0" fontId="0" fillId="0" borderId="71" applyProtection="1" pivotButton="0" quotePrefix="0" xfId="0">
      <protection locked="1" hidden="1"/>
    </xf>
    <xf numFmtId="0" fontId="0" fillId="0" borderId="100" applyProtection="1" pivotButton="0" quotePrefix="0" xfId="0">
      <protection locked="1" hidden="1"/>
    </xf>
    <xf numFmtId="0" fontId="0" fillId="0" borderId="76" applyProtection="1" pivotButton="0" quotePrefix="0" xfId="0">
      <protection locked="1" hidden="1"/>
    </xf>
    <xf numFmtId="0" fontId="66" fillId="0" borderId="6" applyAlignment="1" applyProtection="1" pivotButton="0" quotePrefix="0" xfId="25">
      <alignment horizontal="center" vertical="center"/>
      <protection locked="1" hidden="1"/>
    </xf>
    <xf numFmtId="0" fontId="0" fillId="0" borderId="44" applyProtection="1" pivotButton="0" quotePrefix="0" xfId="0">
      <protection locked="1" hidden="1"/>
    </xf>
    <xf numFmtId="0" fontId="0" fillId="0" borderId="104" applyProtection="1" pivotButton="0" quotePrefix="0" xfId="0">
      <protection locked="1" hidden="1"/>
    </xf>
    <xf numFmtId="0" fontId="0" fillId="0" borderId="0" applyProtection="1" pivotButton="0" quotePrefix="0" xfId="0">
      <protection locked="1" hidden="1"/>
    </xf>
    <xf numFmtId="0" fontId="0" fillId="0" borderId="75" applyProtection="1" pivotButton="0" quotePrefix="0" xfId="0">
      <protection locked="1" hidden="1"/>
    </xf>
    <xf numFmtId="0" fontId="67" fillId="0" borderId="6" applyAlignment="1" applyProtection="1" pivotButton="0" quotePrefix="0" xfId="25">
      <alignment horizontal="center" vertical="center"/>
      <protection locked="1" hidden="1"/>
    </xf>
    <xf numFmtId="0" fontId="68" fillId="0" borderId="6" applyAlignment="1" applyProtection="1" pivotButton="0" quotePrefix="0" xfId="25">
      <alignment horizontal="center" vertical="center"/>
      <protection locked="1" hidden="1"/>
    </xf>
    <xf numFmtId="168" fontId="68" fillId="0" borderId="6" applyAlignment="1" applyProtection="1" pivotButton="0" quotePrefix="0" xfId="25">
      <alignment horizontal="center" vertical="center"/>
      <protection locked="1" hidden="1"/>
    </xf>
    <xf numFmtId="0" fontId="30" fillId="5" borderId="6" applyAlignment="1" applyProtection="1" pivotButton="0" quotePrefix="0" xfId="25">
      <alignment horizontal="general" vertical="center"/>
      <protection locked="1" hidden="1"/>
    </xf>
    <xf numFmtId="0" fontId="32" fillId="2" borderId="6" applyAlignment="1" applyProtection="1" pivotButton="0" quotePrefix="0" xfId="25">
      <alignment horizontal="center" vertical="center"/>
      <protection locked="1" hidden="1"/>
    </xf>
    <xf numFmtId="0" fontId="22" fillId="5" borderId="6" applyAlignment="1" applyProtection="1" pivotButton="0" quotePrefix="0" xfId="25">
      <alignment horizontal="center" vertical="center"/>
      <protection locked="1" hidden="1"/>
    </xf>
    <xf numFmtId="0" fontId="56" fillId="2" borderId="43" applyAlignment="1" applyProtection="1" pivotButton="0" quotePrefix="0" xfId="25">
      <alignment horizontal="center" vertical="center"/>
      <protection locked="1" hidden="1"/>
    </xf>
    <xf numFmtId="0" fontId="56" fillId="2" borderId="44" applyAlignment="1" applyProtection="1" pivotButton="0" quotePrefix="0" xfId="25">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5">
      <alignment horizontal="center" vertical="center"/>
      <protection locked="1" hidden="1"/>
    </xf>
    <xf numFmtId="166" fontId="69" fillId="2" borderId="72" applyAlignment="1" applyProtection="1" pivotButton="0" quotePrefix="0" xfId="25">
      <alignment horizontal="center" vertical="center"/>
      <protection locked="1" hidden="1"/>
    </xf>
    <xf numFmtId="0" fontId="69" fillId="2" borderId="72" applyAlignment="1" applyProtection="1" pivotButton="0" quotePrefix="0" xfId="25">
      <alignment horizontal="general" vertical="center"/>
      <protection locked="1" hidden="1"/>
    </xf>
    <xf numFmtId="166" fontId="69" fillId="2" borderId="44" applyAlignment="1" applyProtection="1" pivotButton="0" quotePrefix="0" xfId="25">
      <alignment horizontal="center" vertical="center"/>
      <protection locked="1" hidden="1"/>
    </xf>
    <xf numFmtId="0" fontId="0" fillId="0" borderId="107"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5">
      <alignment horizontal="center" vertical="center"/>
      <protection locked="1" hidden="1"/>
    </xf>
    <xf numFmtId="173" fontId="70" fillId="2" borderId="6" applyAlignment="1" applyProtection="1" pivotButton="0" quotePrefix="0" xfId="25">
      <alignment horizontal="center" vertical="center"/>
      <protection locked="1" hidden="1"/>
    </xf>
    <xf numFmtId="0" fontId="46" fillId="2" borderId="6" applyAlignment="1" applyProtection="1" pivotButton="0" quotePrefix="0" xfId="25">
      <alignment horizontal="center" vertical="center" wrapText="1"/>
      <protection locked="1" hidden="1"/>
    </xf>
    <xf numFmtId="0" fontId="0" fillId="0" borderId="43" applyAlignment="1" pivotButton="0" quotePrefix="0" xfId="25">
      <alignment horizontal="general" vertical="bottom"/>
    </xf>
    <xf numFmtId="0" fontId="0" fillId="0" borderId="44" applyAlignment="1" pivotButton="0" quotePrefix="0" xfId="25">
      <alignment horizontal="general" vertical="bottom"/>
    </xf>
    <xf numFmtId="173" fontId="71" fillId="5" borderId="6" applyAlignment="1" applyProtection="1" pivotButton="0" quotePrefix="0" xfId="25">
      <alignment horizontal="center" vertical="center"/>
      <protection locked="1" hidden="1"/>
    </xf>
    <xf numFmtId="0" fontId="46" fillId="5" borderId="6" applyAlignment="1" applyProtection="1" pivotButton="0" quotePrefix="0" xfId="25">
      <alignment horizontal="center" vertical="center" wrapText="1"/>
      <protection locked="1" hidden="1"/>
    </xf>
    <xf numFmtId="49" fontId="30" fillId="0" borderId="0" applyAlignment="1" applyProtection="1" pivotButton="0" quotePrefix="0" xfId="25">
      <alignment horizontal="general" vertical="bottom"/>
      <protection locked="1" hidden="1"/>
    </xf>
    <xf numFmtId="0" fontId="30" fillId="5" borderId="6" applyAlignment="1" applyProtection="1" pivotButton="0" quotePrefix="0" xfId="25">
      <alignment horizontal="center" vertical="center"/>
      <protection locked="1" hidden="1"/>
    </xf>
    <xf numFmtId="173" fontId="72" fillId="8" borderId="6" applyAlignment="1" applyProtection="1" pivotButton="0" quotePrefix="0" xfId="25">
      <alignment horizontal="center" vertical="center" textRotation="90"/>
      <protection locked="1" hidden="1"/>
    </xf>
    <xf numFmtId="0" fontId="30" fillId="5" borderId="15" applyAlignment="1" applyProtection="1" pivotButton="0" quotePrefix="0" xfId="25">
      <alignment horizontal="center" vertical="center" wrapText="1"/>
      <protection locked="1" hidden="1"/>
    </xf>
    <xf numFmtId="0" fontId="0" fillId="0" borderId="0" applyAlignment="1" pivotButton="0" quotePrefix="0" xfId="25">
      <alignment horizontal="general" vertical="center"/>
    </xf>
    <xf numFmtId="0" fontId="0" fillId="0" borderId="0" applyAlignment="1" applyProtection="1" pivotButton="0" quotePrefix="0" xfId="25">
      <alignment horizontal="general" vertical="center"/>
      <protection locked="1" hidden="1"/>
    </xf>
    <xf numFmtId="0" fontId="47" fillId="0" borderId="6" applyAlignment="1" applyProtection="1" pivotButton="0" quotePrefix="0" xfId="25">
      <alignment horizontal="center" vertical="center"/>
      <protection locked="1" hidden="1"/>
    </xf>
    <xf numFmtId="0" fontId="30" fillId="0" borderId="6" applyAlignment="1" applyProtection="1" pivotButton="0" quotePrefix="0" xfId="25">
      <alignment horizontal="center" vertical="center"/>
      <protection locked="0" hidden="0"/>
    </xf>
    <xf numFmtId="0" fontId="22" fillId="0" borderId="6" applyAlignment="1" applyProtection="1" pivotButton="0" quotePrefix="0" xfId="25">
      <alignment horizontal="center" vertical="center"/>
      <protection locked="1" hidden="1"/>
    </xf>
    <xf numFmtId="0" fontId="73" fillId="0" borderId="6" applyAlignment="1" applyProtection="1" pivotButton="0" quotePrefix="0" xfId="25">
      <alignment horizontal="center" vertical="center"/>
      <protection locked="0" hidden="0"/>
    </xf>
    <xf numFmtId="0" fontId="30" fillId="5" borderId="6" applyAlignment="1" applyProtection="1" pivotButton="0" quotePrefix="0" xfId="25">
      <alignment horizontal="general" vertical="center"/>
      <protection locked="0" hidden="0"/>
    </xf>
    <xf numFmtId="0" fontId="47" fillId="5" borderId="6" applyAlignment="1" applyProtection="1" pivotButton="0" quotePrefix="0" xfId="25">
      <alignment horizontal="center" vertical="center"/>
      <protection locked="1" hidden="1"/>
    </xf>
    <xf numFmtId="0" fontId="22" fillId="0" borderId="6" applyAlignment="1" applyProtection="1" pivotButton="0" quotePrefix="0" xfId="25">
      <alignment horizontal="center" vertical="bottom"/>
      <protection locked="0" hidden="0"/>
    </xf>
    <xf numFmtId="49" fontId="22" fillId="0" borderId="6" applyAlignment="1" applyProtection="1" pivotButton="0" quotePrefix="0" xfId="25">
      <alignment horizontal="center" vertical="bottom"/>
      <protection locked="0" hidden="0"/>
    </xf>
    <xf numFmtId="0" fontId="30" fillId="0" borderId="15" applyAlignment="1" applyProtection="1" pivotButton="0" quotePrefix="0" xfId="25">
      <alignment horizontal="center" vertical="bottom"/>
      <protection locked="0" hidden="0"/>
    </xf>
    <xf numFmtId="0" fontId="30" fillId="0" borderId="6" applyAlignment="1" applyProtection="1" pivotButton="0" quotePrefix="0" xfId="25">
      <alignment horizontal="center" vertical="bottom"/>
      <protection locked="0" hidden="0"/>
    </xf>
    <xf numFmtId="0" fontId="0" fillId="0" borderId="6" applyAlignment="1" applyProtection="1" pivotButton="0" quotePrefix="0" xfId="25">
      <alignment horizontal="center" vertical="bottom"/>
      <protection locked="0" hidden="0"/>
    </xf>
    <xf numFmtId="49" fontId="0" fillId="0" borderId="6" applyAlignment="1" applyProtection="1" pivotButton="0" quotePrefix="0" xfId="25">
      <alignment horizontal="center" vertical="bottom"/>
      <protection locked="0" hidden="0"/>
    </xf>
    <xf numFmtId="0" fontId="44" fillId="0" borderId="6" applyAlignment="1" applyProtection="1" pivotButton="0" quotePrefix="0" xfId="25">
      <alignment horizontal="center" vertical="bottom"/>
      <protection locked="0" hidden="0"/>
    </xf>
    <xf numFmtId="49" fontId="44" fillId="0" borderId="6" applyAlignment="1" applyProtection="1" pivotButton="0" quotePrefix="0" xfId="25">
      <alignment horizontal="center" vertical="bottom"/>
      <protection locked="0" hidden="0"/>
    </xf>
    <xf numFmtId="0" fontId="47" fillId="2" borderId="6" applyAlignment="1" applyProtection="1" pivotButton="0" quotePrefix="0" xfId="25">
      <alignment horizontal="center" vertical="bottom"/>
      <protection locked="1" hidden="1"/>
    </xf>
    <xf numFmtId="0" fontId="0" fillId="2" borderId="6" applyAlignment="1" applyProtection="1" pivotButton="0" quotePrefix="0" xfId="25">
      <alignment horizontal="center" vertical="bottom"/>
      <protection locked="1" hidden="1"/>
    </xf>
    <xf numFmtId="0" fontId="30" fillId="0" borderId="6" applyAlignment="1" applyProtection="1" pivotButton="0" quotePrefix="0" xfId="25">
      <alignment horizontal="general" vertical="bottom"/>
      <protection locked="1" hidden="1"/>
    </xf>
    <xf numFmtId="0" fontId="30" fillId="0" borderId="6" applyAlignment="1" applyProtection="1" pivotButton="0" quotePrefix="0" xfId="25">
      <alignment horizontal="center" vertical="top" wrapText="1"/>
      <protection locked="1" hidden="1"/>
    </xf>
    <xf numFmtId="0" fontId="30" fillId="0" borderId="6" applyAlignment="1" applyProtection="1" pivotButton="0" quotePrefix="0" xfId="25">
      <alignment horizontal="center" vertical="bottom"/>
      <protection locked="1" hidden="1"/>
    </xf>
    <xf numFmtId="0" fontId="74" fillId="0" borderId="6" applyAlignment="1" applyProtection="1" pivotButton="0" quotePrefix="0" xfId="25">
      <alignment horizontal="left" vertical="top"/>
      <protection locked="1" hidden="1"/>
    </xf>
    <xf numFmtId="166" fontId="30" fillId="0" borderId="6" applyAlignment="1" applyProtection="1" pivotButton="0" quotePrefix="0" xfId="25">
      <alignment horizontal="center" vertical="top" wrapText="1"/>
      <protection locked="0" hidden="0"/>
    </xf>
    <xf numFmtId="174" fontId="0" fillId="0" borderId="0" applyAlignment="1" pivotButton="0" quotePrefix="0" xfId="25">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49" fontId="80" fillId="0" borderId="4" applyAlignment="1" applyProtection="1" pivotButton="0" quotePrefix="0" xfId="0">
      <alignment horizontal="center" vertical="center"/>
      <protection locked="0" hidden="0"/>
    </xf>
    <xf numFmtId="49" fontId="80" fillId="0" borderId="4" applyAlignment="1" applyProtection="1" pivotButton="0" quotePrefix="0" xfId="0">
      <alignment horizontal="left" vertical="center" wrapText="1"/>
      <protection locked="0" hidden="0"/>
    </xf>
    <xf numFmtId="0" fontId="80" fillId="0" borderId="4" applyAlignment="1" applyProtection="1" pivotButton="0" quotePrefix="0" xfId="0">
      <alignment horizontal="center" vertical="center"/>
      <protection locked="0" hidden="0"/>
    </xf>
    <xf numFmtId="3" fontId="80" fillId="0" borderId="73" applyAlignment="1" applyProtection="1" pivotButton="0" quotePrefix="0" xfId="0">
      <alignment horizontal="center" vertical="center"/>
      <protection locked="0" hidden="0"/>
    </xf>
    <xf numFmtId="0" fontId="80" fillId="0" borderId="73"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81" fillId="0" borderId="4" applyAlignment="1" applyProtection="1" pivotButton="0" quotePrefix="0" xfId="0">
      <alignment horizontal="general" vertical="center" wrapText="1"/>
      <protection locked="0" hidden="0"/>
    </xf>
    <xf numFmtId="49" fontId="81" fillId="0" borderId="4" applyAlignment="1" applyProtection="1" pivotButton="0" quotePrefix="0" xfId="0">
      <alignment horizontal="center" vertical="center"/>
      <protection locked="0" hidden="0"/>
    </xf>
    <xf numFmtId="49" fontId="81" fillId="0" borderId="4" applyAlignment="1" applyProtection="1" pivotButton="0" quotePrefix="0" xfId="0">
      <alignment horizontal="general" vertical="center" wrapText="1"/>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9">
      <alignment horizontal="general" vertical="bottom"/>
    </xf>
    <xf numFmtId="0" fontId="85" fillId="2" borderId="0" applyAlignment="1" pivotButton="0" quotePrefix="0" xfId="29">
      <alignment horizontal="general" vertical="bottom"/>
    </xf>
    <xf numFmtId="0" fontId="5" fillId="2" borderId="33" applyAlignment="1" pivotButton="0" quotePrefix="0" xfId="29">
      <alignment horizontal="general" vertical="bottom"/>
    </xf>
    <xf numFmtId="0" fontId="85" fillId="2" borderId="28" applyAlignment="1" pivotButton="0" quotePrefix="0" xfId="29">
      <alignment horizontal="general" vertical="bottom"/>
    </xf>
    <xf numFmtId="0" fontId="5" fillId="2" borderId="28" applyAlignment="1" pivotButton="0" quotePrefix="0" xfId="29">
      <alignment horizontal="general" vertical="bottom"/>
    </xf>
    <xf numFmtId="0" fontId="5" fillId="2" borderId="29" applyAlignment="1" pivotButton="0" quotePrefix="0" xfId="29">
      <alignment horizontal="general" vertical="bottom"/>
    </xf>
    <xf numFmtId="0" fontId="5" fillId="2" borderId="34" applyAlignment="1" pivotButton="0" quotePrefix="0" xfId="29">
      <alignment horizontal="general" vertical="bottom"/>
    </xf>
    <xf numFmtId="0" fontId="5" fillId="2" borderId="30" applyAlignment="1" pivotButton="0" quotePrefix="0" xfId="29">
      <alignment horizontal="general" vertical="bottom"/>
    </xf>
    <xf numFmtId="0" fontId="86" fillId="2" borderId="0" applyAlignment="1" pivotButton="0" quotePrefix="0" xfId="29">
      <alignment horizontal="center" vertical="center"/>
    </xf>
    <xf numFmtId="0" fontId="87" fillId="2" borderId="0" applyAlignment="1" pivotButton="0" quotePrefix="0" xfId="29">
      <alignment horizontal="center" vertical="center"/>
    </xf>
    <xf numFmtId="0" fontId="88" fillId="2" borderId="30" applyAlignment="1" pivotButton="0" quotePrefix="0" xfId="29">
      <alignment horizontal="general" vertical="center"/>
    </xf>
    <xf numFmtId="0" fontId="88" fillId="2" borderId="0" applyAlignment="1" pivotButton="0" quotePrefix="0" xfId="29">
      <alignment horizontal="general" vertical="center"/>
    </xf>
    <xf numFmtId="0" fontId="89" fillId="2" borderId="0" applyAlignment="1" pivotButton="0" quotePrefix="0" xfId="29">
      <alignment horizontal="center" vertical="center"/>
    </xf>
    <xf numFmtId="0" fontId="90" fillId="2" borderId="0" applyAlignment="1" pivotButton="0" quotePrefix="0" xfId="29">
      <alignment horizontal="general" vertical="bottom"/>
    </xf>
    <xf numFmtId="0" fontId="91" fillId="2" borderId="0" applyAlignment="1" pivotButton="0" quotePrefix="0" xfId="29">
      <alignment horizontal="general" vertical="bottom"/>
    </xf>
    <xf numFmtId="0" fontId="92" fillId="2" borderId="0" applyAlignment="1" pivotButton="0" quotePrefix="0" xfId="29">
      <alignment horizontal="general" vertical="bottom"/>
    </xf>
    <xf numFmtId="0" fontId="92" fillId="2" borderId="30" applyAlignment="1" pivotButton="0" quotePrefix="0" xfId="29">
      <alignment horizontal="general" vertical="bottom"/>
    </xf>
    <xf numFmtId="0" fontId="93" fillId="2" borderId="0" applyAlignment="1" pivotButton="0" quotePrefix="0" xfId="29">
      <alignment horizontal="right" vertical="center"/>
    </xf>
    <xf numFmtId="0" fontId="91" fillId="2" borderId="0" applyAlignment="1" pivotButton="0" quotePrefix="0" xfId="29">
      <alignment horizontal="general" vertical="center"/>
    </xf>
    <xf numFmtId="168" fontId="92" fillId="2" borderId="0" applyAlignment="1" pivotButton="0" quotePrefix="0" xfId="29">
      <alignment horizontal="left" vertical="center"/>
    </xf>
    <xf numFmtId="0" fontId="93" fillId="2" borderId="0" applyAlignment="1" pivotButton="0" quotePrefix="0" xfId="29">
      <alignment horizontal="general" vertical="bottom"/>
    </xf>
    <xf numFmtId="0" fontId="93" fillId="2" borderId="0" applyAlignment="1" pivotButton="0" quotePrefix="0" xfId="29">
      <alignment horizontal="right" vertical="top"/>
    </xf>
    <xf numFmtId="168" fontId="94" fillId="2" borderId="0" applyAlignment="1" pivotButton="0" quotePrefix="0" xfId="29">
      <alignment horizontal="left" vertical="top" wrapText="1"/>
    </xf>
    <xf numFmtId="0" fontId="92" fillId="2" borderId="0" applyAlignment="1" pivotButton="0" quotePrefix="0" xfId="29">
      <alignment horizontal="right" vertical="center"/>
    </xf>
    <xf numFmtId="0" fontId="95" fillId="2" borderId="0" applyAlignment="1" pivotButton="0" quotePrefix="0" xfId="29">
      <alignment horizontal="general" vertical="bottom"/>
    </xf>
    <xf numFmtId="0" fontId="96" fillId="2" borderId="0" applyAlignment="1" pivotButton="0" quotePrefix="0" xfId="29">
      <alignment horizontal="general" vertical="bottom"/>
    </xf>
    <xf numFmtId="0" fontId="97" fillId="2" borderId="0" applyAlignment="1" pivotButton="0" quotePrefix="0" xfId="29">
      <alignment horizontal="general" vertical="center"/>
    </xf>
    <xf numFmtId="0" fontId="97" fillId="2" borderId="0" applyAlignment="1" pivotButton="0" quotePrefix="0" xfId="29">
      <alignment horizontal="left" vertical="center"/>
    </xf>
    <xf numFmtId="0" fontId="97" fillId="2" borderId="0" applyAlignment="1" pivotButton="0" quotePrefix="0" xfId="29">
      <alignment horizontal="general" vertical="bottom"/>
    </xf>
    <xf numFmtId="0" fontId="98" fillId="0" borderId="4" applyAlignment="1" pivotButton="0" quotePrefix="0" xfId="0">
      <alignment horizontal="left" vertical="bottom" wrapText="1"/>
    </xf>
    <xf numFmtId="0" fontId="5" fillId="2" borderId="35" applyAlignment="1" pivotButton="0" quotePrefix="0" xfId="29">
      <alignment horizontal="general" vertical="bottom"/>
    </xf>
    <xf numFmtId="0" fontId="85" fillId="2" borderId="32" applyAlignment="1" pivotButton="0" quotePrefix="0" xfId="29">
      <alignment horizontal="general" vertical="bottom"/>
    </xf>
    <xf numFmtId="0" fontId="5" fillId="2" borderId="32" applyAlignment="1" pivotButton="0" quotePrefix="0" xfId="29">
      <alignment horizontal="general" vertical="bottom"/>
    </xf>
    <xf numFmtId="0" fontId="5" fillId="2" borderId="36" applyAlignment="1" pivotButton="0" quotePrefix="0" xfId="29">
      <alignment horizontal="general" vertical="bottom"/>
    </xf>
    <xf numFmtId="0" fontId="5" fillId="0" borderId="6" applyAlignment="1" pivotButton="0" quotePrefix="0" xfId="32">
      <alignment horizontal="left" vertical="bottom"/>
    </xf>
    <xf numFmtId="0" fontId="5" fillId="4" borderId="6" applyAlignment="1" pivotButton="0" quotePrefix="0" xfId="32">
      <alignment horizontal="left" vertical="bottom"/>
    </xf>
    <xf numFmtId="0" fontId="5" fillId="0" borderId="0" applyAlignment="1" pivotButton="0" quotePrefix="0" xfId="32">
      <alignment horizontal="general" vertical="bottom"/>
    </xf>
    <xf numFmtId="0" fontId="99" fillId="0" borderId="6" applyAlignment="1" pivotButton="0" quotePrefix="0" xfId="32">
      <alignment horizontal="left" vertical="center" wrapText="1"/>
    </xf>
    <xf numFmtId="0" fontId="100" fillId="4" borderId="6" applyAlignment="1" pivotButton="0" quotePrefix="0" xfId="32">
      <alignment horizontal="left" vertical="center" wrapText="1"/>
    </xf>
    <xf numFmtId="0" fontId="100" fillId="0" borderId="7" applyAlignment="1" pivotButton="0" quotePrefix="0" xfId="32">
      <alignment horizontal="center" vertical="center" wrapText="1"/>
    </xf>
    <xf numFmtId="0" fontId="99" fillId="0" borderId="21" applyAlignment="1" pivotButton="0" quotePrefix="0" xfId="32">
      <alignment horizontal="general" vertical="center" wrapText="1"/>
    </xf>
    <xf numFmtId="2" fontId="101" fillId="0" borderId="0" applyAlignment="1" applyProtection="1" pivotButton="0" quotePrefix="0" xfId="32">
      <alignment horizontal="general" vertical="bottom"/>
      <protection locked="0" hidden="0"/>
    </xf>
    <xf numFmtId="0" fontId="100" fillId="0" borderId="6" applyAlignment="1" pivotButton="0" quotePrefix="0" xfId="32">
      <alignment horizontal="left" vertical="center" wrapText="1"/>
    </xf>
    <xf numFmtId="0" fontId="100" fillId="0" borderId="44" applyAlignment="1" pivotButton="0" quotePrefix="0" xfId="32">
      <alignment horizontal="center" vertical="center" wrapText="1"/>
    </xf>
    <xf numFmtId="0" fontId="100" fillId="0" borderId="6" applyAlignment="1" pivotButton="0" quotePrefix="0" xfId="32">
      <alignment horizontal="center" vertical="center" wrapText="1"/>
    </xf>
    <xf numFmtId="0" fontId="100" fillId="0" borderId="8" applyAlignment="1" pivotButton="0" quotePrefix="0" xfId="32">
      <alignment horizontal="center" vertical="center" wrapText="1"/>
    </xf>
    <xf numFmtId="0" fontId="102" fillId="0" borderId="6" applyAlignment="1" pivotButton="0" quotePrefix="0" xfId="32">
      <alignment horizontal="left" vertical="center" wrapText="1"/>
    </xf>
    <xf numFmtId="0" fontId="99" fillId="0" borderId="44" applyAlignment="1" pivotButton="0" quotePrefix="0" xfId="32">
      <alignment horizontal="center" vertical="center" wrapText="1"/>
    </xf>
    <xf numFmtId="0" fontId="99" fillId="0" borderId="6" applyAlignment="1" pivotButton="0" quotePrefix="0" xfId="32">
      <alignment horizontal="center" vertical="center" wrapText="1"/>
    </xf>
    <xf numFmtId="169" fontId="99" fillId="0" borderId="6" applyAlignment="1" pivotButton="0" quotePrefix="0" xfId="32">
      <alignment horizontal="center" vertical="center" wrapText="1"/>
    </xf>
    <xf numFmtId="0" fontId="99" fillId="0" borderId="8" applyAlignment="1" pivotButton="0" quotePrefix="0" xfId="32">
      <alignment horizontal="center" vertical="center" wrapText="1"/>
    </xf>
    <xf numFmtId="175" fontId="99" fillId="0" borderId="0" applyAlignment="1" pivotButton="0" quotePrefix="0" xfId="32">
      <alignment horizontal="general" vertical="bottom"/>
    </xf>
    <xf numFmtId="0" fontId="103" fillId="0" borderId="27" applyAlignment="1" pivotButton="0" quotePrefix="0" xfId="32">
      <alignment horizontal="center" vertical="bottom"/>
    </xf>
    <xf numFmtId="2" fontId="101" fillId="0" borderId="0" applyAlignment="1" pivotButton="0" quotePrefix="0" xfId="32">
      <alignment horizontal="general" vertical="bottom"/>
    </xf>
    <xf numFmtId="2" fontId="5" fillId="0" borderId="0" applyAlignment="1" pivotButton="0" quotePrefix="0" xfId="32">
      <alignment horizontal="general" vertical="bottom"/>
    </xf>
    <xf numFmtId="0" fontId="104" fillId="16" borderId="6" applyAlignment="1" pivotButton="0" quotePrefix="0" xfId="31">
      <alignment horizontal="left" vertical="center" wrapText="1"/>
    </xf>
    <xf numFmtId="0" fontId="99" fillId="17" borderId="6" applyAlignment="1" applyProtection="1" pivotButton="0" quotePrefix="0" xfId="31">
      <alignment horizontal="left" vertical="center"/>
      <protection locked="0" hidden="0"/>
    </xf>
    <xf numFmtId="166" fontId="99" fillId="0" borderId="47" applyAlignment="1" applyProtection="1" pivotButton="0" quotePrefix="0" xfId="31">
      <alignment horizontal="center" vertical="center"/>
      <protection locked="0" hidden="0"/>
    </xf>
    <xf numFmtId="0" fontId="104" fillId="16" borderId="7" applyAlignment="1" pivotButton="0" quotePrefix="0" xfId="31">
      <alignment horizontal="left" vertical="center" wrapText="1"/>
    </xf>
    <xf numFmtId="0" fontId="91" fillId="0" borderId="7" applyAlignment="1" applyProtection="1" pivotButton="0" quotePrefix="0" xfId="31">
      <alignment horizontal="left" vertical="center" wrapText="1"/>
      <protection locked="0" hidden="0"/>
    </xf>
    <xf numFmtId="0" fontId="92" fillId="2" borderId="6" applyAlignment="1" applyProtection="1" pivotButton="0" quotePrefix="0" xfId="31">
      <alignment horizontal="center" vertical="center" wrapText="1"/>
      <protection locked="0" hidden="0"/>
    </xf>
    <xf numFmtId="0" fontId="99" fillId="0" borderId="44" applyAlignment="1" applyProtection="1" pivotButton="0" quotePrefix="0" xfId="31">
      <alignment horizontal="center" vertical="center"/>
      <protection locked="0" hidden="0"/>
    </xf>
    <xf numFmtId="0" fontId="99" fillId="0" borderId="6" applyAlignment="1" applyProtection="1" pivotButton="0" quotePrefix="0" xfId="31">
      <alignment horizontal="center" vertical="center"/>
      <protection locked="0" hidden="0"/>
    </xf>
    <xf numFmtId="0" fontId="104" fillId="16" borderId="20" applyAlignment="1" pivotButton="0" quotePrefix="0" xfId="31">
      <alignment horizontal="general" vertical="center" wrapText="1"/>
    </xf>
    <xf numFmtId="0" fontId="92" fillId="0" borderId="6" applyAlignment="1" pivotButton="0" quotePrefix="0" xfId="0">
      <alignment horizontal="general" vertical="center"/>
    </xf>
    <xf numFmtId="0" fontId="105" fillId="0" borderId="0" applyAlignment="1" pivotButton="0" quotePrefix="0" xfId="32">
      <alignment horizontal="general" vertical="bottom"/>
    </xf>
    <xf numFmtId="0" fontId="99" fillId="0" borderId="16" applyAlignment="1" applyProtection="1" pivotButton="0" quotePrefix="0" xfId="31">
      <alignment horizontal="center" vertical="center"/>
      <protection locked="0" hidden="0"/>
    </xf>
    <xf numFmtId="0" fontId="104" fillId="16" borderId="11" applyAlignment="1" pivotButton="0" quotePrefix="0" xfId="31">
      <alignment horizontal="left" vertical="center" wrapText="1"/>
    </xf>
    <xf numFmtId="0" fontId="99" fillId="0" borderId="11" applyAlignment="1" applyProtection="1" pivotButton="0" quotePrefix="0" xfId="31">
      <alignment horizontal="center" vertical="center"/>
      <protection locked="0" hidden="0"/>
    </xf>
    <xf numFmtId="0" fontId="104" fillId="16" borderId="11" applyAlignment="1" pivotButton="0" quotePrefix="0" xfId="31">
      <alignment horizontal="general" vertical="center" wrapText="1"/>
    </xf>
    <xf numFmtId="0" fontId="100" fillId="0" borderId="40" applyAlignment="1" applyProtection="1" pivotButton="0" quotePrefix="0" xfId="31">
      <alignment horizontal="center" vertical="center"/>
      <protection locked="0" hidden="0"/>
    </xf>
    <xf numFmtId="0" fontId="106" fillId="0" borderId="0" applyAlignment="1" pivotButton="0" quotePrefix="0" xfId="32">
      <alignment horizontal="general" vertical="bottom"/>
    </xf>
    <xf numFmtId="0" fontId="5" fillId="2" borderId="0" applyAlignment="1" pivotButton="0" quotePrefix="0" xfId="32">
      <alignment horizontal="general" vertical="bottom"/>
    </xf>
    <xf numFmtId="0" fontId="104" fillId="18" borderId="6" applyAlignment="1" pivotButton="0" quotePrefix="0" xfId="32">
      <alignment horizontal="left" vertical="center" wrapText="1"/>
    </xf>
    <xf numFmtId="2" fontId="100" fillId="17" borderId="6" applyAlignment="1" pivotButton="0" quotePrefix="0" xfId="32">
      <alignment horizontal="left" vertical="center"/>
    </xf>
    <xf numFmtId="0" fontId="104" fillId="2" borderId="6" applyAlignment="1" pivotButton="0" quotePrefix="0" xfId="32">
      <alignment horizontal="left" vertical="center" wrapText="1"/>
    </xf>
    <xf numFmtId="0" fontId="99" fillId="2" borderId="28" applyAlignment="1" pivotButton="0" quotePrefix="0" xfId="32">
      <alignment horizontal="general" vertical="bottom"/>
    </xf>
    <xf numFmtId="0" fontId="104" fillId="2" borderId="28" applyAlignment="1" pivotButton="0" quotePrefix="0" xfId="32">
      <alignment horizontal="left" vertical="center" wrapText="1"/>
    </xf>
    <xf numFmtId="0" fontId="104" fillId="0" borderId="0" applyAlignment="1" pivotButton="0" quotePrefix="0" xfId="32">
      <alignment horizontal="left" vertical="center" wrapText="1"/>
    </xf>
    <xf numFmtId="0" fontId="94" fillId="0" borderId="29" applyAlignment="1" pivotButton="0" quotePrefix="0" xfId="32">
      <alignment horizontal="center" vertical="center"/>
    </xf>
    <xf numFmtId="0" fontId="105" fillId="2" borderId="0" applyAlignment="1" pivotButton="0" quotePrefix="0" xfId="32">
      <alignment horizontal="general" vertical="bottom"/>
    </xf>
    <xf numFmtId="2" fontId="107" fillId="17" borderId="6" applyAlignment="1" applyProtection="1" pivotButton="0" quotePrefix="0" xfId="31">
      <alignment horizontal="left" vertical="center"/>
      <protection locked="0" hidden="0"/>
    </xf>
    <xf numFmtId="0" fontId="104" fillId="16" borderId="6" applyAlignment="1" pivotButton="0" quotePrefix="0" xfId="32">
      <alignment horizontal="left" vertical="center" wrapText="1"/>
    </xf>
    <xf numFmtId="0" fontId="99" fillId="2" borderId="47" applyAlignment="1" applyProtection="1" pivotButton="0" quotePrefix="0" xfId="32">
      <alignment horizontal="center" vertical="center"/>
      <protection locked="0" hidden="0"/>
    </xf>
    <xf numFmtId="0" fontId="104" fillId="16" borderId="7" applyAlignment="1" pivotButton="0" quotePrefix="0" xfId="32">
      <alignment horizontal="left" vertical="center" wrapText="1"/>
    </xf>
    <xf numFmtId="0" fontId="99" fillId="2" borderId="7" applyAlignment="1" applyProtection="1" pivotButton="0" quotePrefix="0" xfId="32">
      <alignment horizontal="center" vertical="center"/>
      <protection locked="0" hidden="0"/>
    </xf>
    <xf numFmtId="0" fontId="104" fillId="16" borderId="7" applyAlignment="1" pivotButton="0" quotePrefix="0" xfId="0">
      <alignment horizontal="left" vertical="center" wrapText="1"/>
    </xf>
    <xf numFmtId="0" fontId="100" fillId="2" borderId="21" applyAlignment="1" applyProtection="1" pivotButton="0" quotePrefix="0" xfId="0">
      <alignment horizontal="center" vertical="center" wrapText="1"/>
      <protection locked="0" hidden="0"/>
    </xf>
    <xf numFmtId="2" fontId="105" fillId="0" borderId="0" applyAlignment="1" pivotButton="0" quotePrefix="0" xfId="32">
      <alignment horizontal="general" vertical="bottom"/>
    </xf>
    <xf numFmtId="2" fontId="100" fillId="17" borderId="6" applyAlignment="1" applyProtection="1" pivotButton="0" quotePrefix="0" xfId="32">
      <alignment horizontal="left" vertical="center"/>
      <protection locked="0" hidden="0"/>
    </xf>
    <xf numFmtId="0" fontId="108" fillId="2" borderId="74" applyAlignment="1" applyProtection="1" pivotButton="0" quotePrefix="0" xfId="32">
      <alignment horizontal="center" vertical="center"/>
      <protection locked="0" hidden="0"/>
    </xf>
    <xf numFmtId="0" fontId="100" fillId="2" borderId="6" applyAlignment="1" pivotButton="0" quotePrefix="0" xfId="32">
      <alignment horizontal="center" vertical="center"/>
    </xf>
    <xf numFmtId="0" fontId="104" fillId="16" borderId="6" applyAlignment="1" pivotButton="0" quotePrefix="0" xfId="0">
      <alignment horizontal="left" vertical="center" wrapText="1"/>
    </xf>
    <xf numFmtId="0" fontId="100" fillId="2" borderId="8" applyAlignment="1" applyProtection="1" pivotButton="0" quotePrefix="0" xfId="0">
      <alignment horizontal="center" vertical="center"/>
      <protection locked="0" hidden="0"/>
    </xf>
    <xf numFmtId="0" fontId="104" fillId="18" borderId="6" applyAlignment="1" pivotButton="0" quotePrefix="0" xfId="0">
      <alignment horizontal="left" vertical="center" wrapText="1"/>
    </xf>
    <xf numFmtId="2" fontId="100" fillId="17" borderId="6" applyAlignment="1" applyProtection="1" pivotButton="0" quotePrefix="0" xfId="0">
      <alignment horizontal="left" vertical="center"/>
      <protection locked="0" hidden="0"/>
    </xf>
    <xf numFmtId="0" fontId="104" fillId="16" borderId="15" applyAlignment="1" pivotButton="0" quotePrefix="0" xfId="32">
      <alignment horizontal="left" vertical="center" wrapText="1"/>
    </xf>
    <xf numFmtId="2" fontId="100" fillId="2" borderId="42" applyAlignment="1" applyProtection="1" pivotButton="0" quotePrefix="0" xfId="0">
      <alignment horizontal="center" vertical="center"/>
      <protection locked="0" hidden="0"/>
    </xf>
    <xf numFmtId="2" fontId="104" fillId="2" borderId="43" applyAlignment="1" pivotButton="0" quotePrefix="0" xfId="0">
      <alignment horizontal="center" vertical="center" wrapText="1"/>
    </xf>
    <xf numFmtId="0" fontId="104" fillId="2" borderId="6" applyAlignment="1" pivotButton="0" quotePrefix="0" xfId="0">
      <alignment horizontal="general" vertical="center" wrapText="1"/>
    </xf>
    <xf numFmtId="0" fontId="104" fillId="2" borderId="6" applyAlignment="1" pivotButton="0" quotePrefix="0" xfId="0">
      <alignment horizontal="center" vertical="center" wrapText="1"/>
    </xf>
    <xf numFmtId="2" fontId="109" fillId="0" borderId="0" applyAlignment="1" pivotButton="0" quotePrefix="0" xfId="32">
      <alignment horizontal="general" vertical="bottom"/>
    </xf>
    <xf numFmtId="0" fontId="103" fillId="0" borderId="6" applyAlignment="1" pivotButton="0" quotePrefix="0" xfId="32">
      <alignment horizontal="left" vertical="bottom"/>
    </xf>
    <xf numFmtId="0" fontId="103" fillId="0" borderId="32" applyAlignment="1" pivotButton="0" quotePrefix="0" xfId="32">
      <alignment horizontal="general" vertical="bottom"/>
    </xf>
    <xf numFmtId="0" fontId="5" fillId="7" borderId="0" applyAlignment="1" pivotButton="0" quotePrefix="0" xfId="32">
      <alignment horizontal="general" vertical="bottom"/>
    </xf>
    <xf numFmtId="0" fontId="110" fillId="4" borderId="6" applyAlignment="1" pivotButton="0" quotePrefix="0" xfId="32">
      <alignment horizontal="left" vertical="center" wrapText="1"/>
    </xf>
    <xf numFmtId="0" fontId="110" fillId="7" borderId="75" applyAlignment="1" pivotButton="0" quotePrefix="0" xfId="32">
      <alignment horizontal="center" vertical="center" wrapText="1"/>
    </xf>
    <xf numFmtId="0" fontId="110" fillId="7" borderId="76" applyAlignment="1" pivotButton="0" quotePrefix="0" xfId="32">
      <alignment horizontal="center" vertical="center" wrapText="1"/>
    </xf>
    <xf numFmtId="0" fontId="110" fillId="7" borderId="53" applyAlignment="1" pivotButton="0" quotePrefix="0" xfId="32">
      <alignment horizontal="left" vertical="center" wrapText="1"/>
    </xf>
    <xf numFmtId="2" fontId="5" fillId="7" borderId="0" applyAlignment="1" pivotButton="0" quotePrefix="0" xfId="32">
      <alignment horizontal="general" vertical="bottom"/>
    </xf>
    <xf numFmtId="0" fontId="5" fillId="0" borderId="0" applyAlignment="1" applyProtection="1" pivotButton="0" quotePrefix="0" xfId="32">
      <alignment horizontal="general" vertical="bottom"/>
      <protection locked="0" hidden="0"/>
    </xf>
    <xf numFmtId="0" fontId="103" fillId="19" borderId="6" applyAlignment="1" pivotButton="0" quotePrefix="0" xfId="0">
      <alignment horizontal="center" vertical="center"/>
    </xf>
    <xf numFmtId="0" fontId="103" fillId="19" borderId="6" applyAlignment="1" pivotButton="0" quotePrefix="0" xfId="0">
      <alignment horizontal="center" vertical="center" wrapText="1"/>
    </xf>
    <xf numFmtId="2" fontId="103" fillId="19" borderId="6" applyAlignment="1" pivotButton="0" quotePrefix="0" xfId="0">
      <alignment horizontal="center" vertical="center"/>
    </xf>
    <xf numFmtId="2" fontId="111" fillId="2" borderId="47" applyAlignment="1" applyProtection="1" pivotButton="0" quotePrefix="0" xfId="32">
      <alignment horizontal="center" vertical="center"/>
      <protection locked="0" hidden="0"/>
    </xf>
    <xf numFmtId="2" fontId="111" fillId="2" borderId="7" applyAlignment="1" applyProtection="1" pivotButton="0" quotePrefix="0" xfId="32">
      <alignment horizontal="center" vertical="center"/>
      <protection locked="0" hidden="0"/>
    </xf>
    <xf numFmtId="2" fontId="112" fillId="2" borderId="7" applyAlignment="1" applyProtection="1" pivotButton="0" quotePrefix="0" xfId="32">
      <alignment horizontal="center" vertical="center"/>
      <protection locked="0" hidden="0"/>
    </xf>
    <xf numFmtId="2" fontId="104" fillId="2" borderId="21" applyAlignment="1" applyProtection="1" pivotButton="0" quotePrefix="0" xfId="32">
      <alignment horizontal="center" vertical="center" wrapText="1"/>
      <protection locked="0" hidden="0"/>
    </xf>
    <xf numFmtId="2" fontId="101" fillId="0" borderId="0" applyAlignment="1" applyProtection="1" pivotButton="0" quotePrefix="0" xfId="32">
      <alignment horizontal="center" vertical="center"/>
      <protection locked="0" hidden="0"/>
    </xf>
    <xf numFmtId="2" fontId="94" fillId="0" borderId="0" applyAlignment="1" applyProtection="1" pivotButton="0" quotePrefix="0" xfId="32">
      <alignment horizontal="center" vertical="center"/>
      <protection locked="0" hidden="0"/>
    </xf>
    <xf numFmtId="2" fontId="113" fillId="0" borderId="0" applyAlignment="1" applyProtection="1" pivotButton="0" quotePrefix="0" xfId="32">
      <alignment horizontal="general" vertical="center"/>
      <protection locked="0" hidden="0"/>
    </xf>
    <xf numFmtId="2" fontId="111" fillId="2" borderId="44" applyAlignment="1" applyProtection="1" pivotButton="0" quotePrefix="0" xfId="32">
      <alignment horizontal="center" vertical="center"/>
      <protection locked="0" hidden="0"/>
    </xf>
    <xf numFmtId="2" fontId="111" fillId="2" borderId="6" applyAlignment="1" applyProtection="1" pivotButton="0" quotePrefix="0" xfId="32">
      <alignment horizontal="center" vertical="center"/>
      <protection locked="0" hidden="0"/>
    </xf>
    <xf numFmtId="2" fontId="112" fillId="2" borderId="6" applyAlignment="1" applyProtection="1" pivotButton="0" quotePrefix="0" xfId="32">
      <alignment horizontal="center" vertical="center"/>
      <protection locked="0" hidden="0"/>
    </xf>
    <xf numFmtId="2" fontId="104" fillId="2" borderId="8" applyAlignment="1" applyProtection="1" pivotButton="0" quotePrefix="0" xfId="32">
      <alignment horizontal="center" vertical="center" wrapText="1"/>
      <protection locked="0" hidden="0"/>
    </xf>
    <xf numFmtId="2" fontId="105" fillId="0" borderId="0" applyAlignment="1" applyProtection="1" pivotButton="0" quotePrefix="0" xfId="32">
      <alignment horizontal="general" vertical="bottom"/>
      <protection locked="0" hidden="0"/>
    </xf>
    <xf numFmtId="0" fontId="94" fillId="0" borderId="0" applyAlignment="1" applyProtection="1" pivotButton="0" quotePrefix="0" xfId="32">
      <alignment horizontal="center" vertical="center"/>
      <protection locked="0" hidden="0"/>
    </xf>
    <xf numFmtId="0" fontId="109" fillId="0" borderId="0" applyAlignment="1" applyProtection="1" pivotButton="0" quotePrefix="0" xfId="32">
      <alignment horizontal="general" vertical="bottom"/>
      <protection locked="0" hidden="0"/>
    </xf>
    <xf numFmtId="0" fontId="101" fillId="0" borderId="0" applyAlignment="1" applyProtection="1" pivotButton="0" quotePrefix="0" xfId="32">
      <alignment horizontal="general" vertical="bottom"/>
      <protection locked="0" hidden="0"/>
    </xf>
    <xf numFmtId="0" fontId="103" fillId="0" borderId="6" applyAlignment="1" pivotButton="0" quotePrefix="0" xfId="0">
      <alignment horizontal="center" vertical="center"/>
    </xf>
    <xf numFmtId="2" fontId="103" fillId="0" borderId="6" applyAlignment="1" pivotButton="0" quotePrefix="0" xfId="0">
      <alignment horizontal="center" vertical="center"/>
    </xf>
    <xf numFmtId="2" fontId="114" fillId="2" borderId="14" applyAlignment="1" applyProtection="1" pivotButton="0" quotePrefix="0" xfId="32">
      <alignment horizontal="center" vertical="center"/>
      <protection locked="0" hidden="0"/>
    </xf>
    <xf numFmtId="0" fontId="115" fillId="2" borderId="25" applyAlignment="1" applyProtection="1" pivotButton="0" quotePrefix="0" xfId="32">
      <alignment horizontal="center" vertical="center"/>
      <protection locked="0" hidden="0"/>
    </xf>
    <xf numFmtId="2" fontId="115" fillId="2" borderId="25" applyAlignment="1" applyProtection="1" pivotButton="0" quotePrefix="0" xfId="32">
      <alignment horizontal="center" vertical="center"/>
      <protection locked="0" hidden="0"/>
    </xf>
    <xf numFmtId="2" fontId="5" fillId="0" borderId="0" applyAlignment="1" applyProtection="1" pivotButton="0" quotePrefix="0" xfId="32">
      <alignment horizontal="general" vertical="bottom"/>
      <protection locked="0" hidden="0"/>
    </xf>
    <xf numFmtId="0" fontId="116" fillId="2" borderId="25" applyAlignment="1" applyProtection="1" pivotButton="0" quotePrefix="0" xfId="32">
      <alignment horizontal="center" vertical="center"/>
      <protection locked="0" hidden="0"/>
    </xf>
    <xf numFmtId="2" fontId="117" fillId="0" borderId="4" applyAlignment="1" pivotButton="0" quotePrefix="0" xfId="33">
      <alignment horizontal="center" vertical="bottom"/>
    </xf>
    <xf numFmtId="176" fontId="5" fillId="0" borderId="0" applyAlignment="1" applyProtection="1" pivotButton="0" quotePrefix="0" xfId="32">
      <alignment horizontal="general" vertical="bottom"/>
      <protection locked="0" hidden="0"/>
    </xf>
    <xf numFmtId="0" fontId="103" fillId="20" borderId="6" applyAlignment="1" pivotButton="0" quotePrefix="0" xfId="0">
      <alignment horizontal="center" vertical="center"/>
    </xf>
    <xf numFmtId="0" fontId="103" fillId="20" borderId="6" applyAlignment="1" pivotButton="0" quotePrefix="0" xfId="0">
      <alignment horizontal="center" vertical="center" wrapText="1"/>
    </xf>
    <xf numFmtId="2" fontId="103" fillId="20" borderId="6" applyAlignment="1" pivotButton="0" quotePrefix="0" xfId="0">
      <alignment horizontal="center" vertical="center"/>
    </xf>
    <xf numFmtId="0" fontId="0" fillId="0" borderId="76" pivotButton="0" quotePrefix="0" xfId="0"/>
    <xf numFmtId="0" fontId="103" fillId="21" borderId="6" applyAlignment="1" pivotButton="0" quotePrefix="0" xfId="0">
      <alignment horizontal="center" vertical="center"/>
    </xf>
    <xf numFmtId="0" fontId="103" fillId="21" borderId="6" applyAlignment="1" pivotButton="0" quotePrefix="0" xfId="0">
      <alignment horizontal="center" vertical="center" wrapText="1"/>
    </xf>
    <xf numFmtId="2" fontId="103" fillId="21" borderId="6" applyAlignment="1" pivotButton="0" quotePrefix="0" xfId="0">
      <alignment horizontal="center" vertical="center"/>
    </xf>
    <xf numFmtId="0" fontId="103" fillId="22" borderId="6" applyAlignment="1" pivotButton="0" quotePrefix="0" xfId="0">
      <alignment horizontal="center" vertical="center"/>
    </xf>
    <xf numFmtId="0" fontId="103" fillId="22" borderId="6" applyAlignment="1" pivotButton="0" quotePrefix="0" xfId="0">
      <alignment horizontal="center" vertical="center" wrapText="1"/>
    </xf>
    <xf numFmtId="2" fontId="103" fillId="22" borderId="6" applyAlignment="1" pivotButton="0" quotePrefix="0" xfId="0">
      <alignment horizontal="center" vertical="center"/>
    </xf>
    <xf numFmtId="2" fontId="114" fillId="2" borderId="75" applyAlignment="1" applyProtection="1" pivotButton="0" quotePrefix="0" xfId="32">
      <alignment horizontal="center" vertical="center"/>
      <protection locked="0" hidden="0"/>
    </xf>
    <xf numFmtId="0" fontId="115" fillId="2" borderId="53" applyAlignment="1" applyProtection="1" pivotButton="0" quotePrefix="0" xfId="32">
      <alignment horizontal="center" vertical="center"/>
      <protection locked="0" hidden="0"/>
    </xf>
    <xf numFmtId="0" fontId="104" fillId="2" borderId="25" applyAlignment="1" applyProtection="1" pivotButton="0" quotePrefix="0" xfId="32">
      <alignment horizontal="center" vertical="center"/>
      <protection locked="0" hidden="0"/>
    </xf>
    <xf numFmtId="0" fontId="116" fillId="2" borderId="53" applyAlignment="1" applyProtection="1" pivotButton="0" quotePrefix="0" xfId="32">
      <alignment horizontal="center" vertical="center"/>
      <protection locked="0" hidden="0"/>
    </xf>
    <xf numFmtId="0" fontId="118" fillId="2" borderId="6" applyAlignment="1" applyProtection="1" pivotButton="0" quotePrefix="0" xfId="32">
      <alignment horizontal="center" vertical="center"/>
      <protection locked="0" hidden="0"/>
    </xf>
    <xf numFmtId="0" fontId="104" fillId="2" borderId="21" applyAlignment="1" applyProtection="1" pivotButton="0" quotePrefix="0" xfId="32">
      <alignment horizontal="center" vertical="center" wrapText="1"/>
      <protection locked="0" hidden="0"/>
    </xf>
    <xf numFmtId="0" fontId="120" fillId="2" borderId="8" applyAlignment="1" applyProtection="1" pivotButton="0" quotePrefix="0" xfId="20">
      <alignment horizontal="center" vertical="center" wrapText="1"/>
      <protection locked="0" hidden="0"/>
    </xf>
    <xf numFmtId="0" fontId="104" fillId="2" borderId="8" applyAlignment="1" applyProtection="1" pivotButton="0" quotePrefix="0" xfId="32">
      <alignment horizontal="center" vertical="center" wrapText="1"/>
      <protection locked="0" hidden="0"/>
    </xf>
    <xf numFmtId="0" fontId="103" fillId="23" borderId="6" applyAlignment="1" pivotButton="0" quotePrefix="0" xfId="0">
      <alignment horizontal="center" vertical="center"/>
    </xf>
    <xf numFmtId="0" fontId="103" fillId="23" borderId="6" applyAlignment="1" pivotButton="0" quotePrefix="0" xfId="0">
      <alignment horizontal="center" vertical="center" wrapText="1"/>
    </xf>
    <xf numFmtId="2" fontId="103" fillId="23" borderId="6" applyAlignment="1" pivotButton="0" quotePrefix="0" xfId="0">
      <alignment horizontal="center" vertical="center"/>
    </xf>
    <xf numFmtId="175" fontId="92" fillId="0" borderId="0" applyAlignment="1" applyProtection="1" pivotButton="0" quotePrefix="0" xfId="32">
      <alignment horizontal="general" vertical="bottom"/>
      <protection locked="0" hidden="0"/>
    </xf>
    <xf numFmtId="0" fontId="103" fillId="24" borderId="6" applyAlignment="1" pivotButton="0" quotePrefix="0" xfId="0">
      <alignment horizontal="center" vertical="center"/>
    </xf>
    <xf numFmtId="0" fontId="103" fillId="24" borderId="6" applyAlignment="1" pivotButton="0" quotePrefix="0" xfId="0">
      <alignment horizontal="center" vertical="center" wrapText="1"/>
    </xf>
    <xf numFmtId="2" fontId="103" fillId="24" borderId="6" applyAlignment="1" pivotButton="0" quotePrefix="0" xfId="0">
      <alignment horizontal="center" vertical="center"/>
    </xf>
    <xf numFmtId="2" fontId="114" fillId="2" borderId="44" applyAlignment="1" applyProtection="1" pivotButton="0" quotePrefix="0" xfId="32">
      <alignment horizontal="center" vertical="center"/>
      <protection locked="0" hidden="0"/>
    </xf>
    <xf numFmtId="0" fontId="103" fillId="25" borderId="6" applyAlignment="1" pivotButton="0" quotePrefix="0" xfId="0">
      <alignment horizontal="center" vertical="center"/>
    </xf>
    <xf numFmtId="0" fontId="103" fillId="25" borderId="6" applyAlignment="1" pivotButton="0" quotePrefix="0" xfId="0">
      <alignment horizontal="center" vertical="center" wrapText="1"/>
    </xf>
    <xf numFmtId="2" fontId="103" fillId="25" borderId="6" applyAlignment="1" pivotButton="0" quotePrefix="0" xfId="0">
      <alignment horizontal="center" vertical="center"/>
    </xf>
    <xf numFmtId="0" fontId="5" fillId="2" borderId="15" applyAlignment="1" applyProtection="1" pivotButton="0" quotePrefix="0" xfId="32">
      <alignment horizontal="general" vertical="bottom"/>
      <protection locked="0" hidden="0"/>
    </xf>
    <xf numFmtId="0" fontId="103" fillId="26" borderId="6" applyAlignment="1" pivotButton="0" quotePrefix="0" xfId="0">
      <alignment horizontal="center" vertical="center"/>
    </xf>
    <xf numFmtId="0" fontId="103" fillId="26" borderId="6" applyAlignment="1" pivotButton="0" quotePrefix="0" xfId="0">
      <alignment horizontal="center" vertical="center" wrapText="1"/>
    </xf>
    <xf numFmtId="2" fontId="103" fillId="26" borderId="6" applyAlignment="1" pivotButton="0" quotePrefix="0" xfId="0">
      <alignment horizontal="center" vertical="center"/>
    </xf>
    <xf numFmtId="0" fontId="5" fillId="2" borderId="0" applyAlignment="1" applyProtection="1" pivotButton="0" quotePrefix="0" xfId="32">
      <alignment horizontal="general" vertical="bottom"/>
      <protection locked="0" hidden="0"/>
    </xf>
    <xf numFmtId="2" fontId="114" fillId="2" borderId="47" applyAlignment="1" applyProtection="1" pivotButton="0" quotePrefix="0" xfId="32">
      <alignment horizontal="center" vertical="center"/>
      <protection locked="0" hidden="0"/>
    </xf>
    <xf numFmtId="177" fontId="102" fillId="2" borderId="21" applyAlignment="1" applyProtection="1" pivotButton="0" quotePrefix="0" xfId="32">
      <alignment horizontal="center" vertical="center"/>
      <protection locked="0" hidden="0"/>
    </xf>
    <xf numFmtId="0" fontId="102" fillId="2" borderId="8" applyAlignment="1" applyProtection="1" pivotButton="0" quotePrefix="0" xfId="32">
      <alignment horizontal="center" vertical="center" wrapText="1"/>
      <protection locked="0" hidden="0"/>
    </xf>
    <xf numFmtId="2" fontId="114" fillId="2" borderId="16" applyAlignment="1" applyProtection="1" pivotButton="0" quotePrefix="0" xfId="32">
      <alignment horizontal="center" vertical="center"/>
      <protection locked="0" hidden="0"/>
    </xf>
    <xf numFmtId="177" fontId="102" fillId="2" borderId="12" applyAlignment="1" applyProtection="1" pivotButton="0" quotePrefix="0" xfId="32">
      <alignment horizontal="center" vertical="center"/>
      <protection locked="0" hidden="0"/>
    </xf>
    <xf numFmtId="177" fontId="102" fillId="2" borderId="23" applyAlignment="1" applyProtection="1" pivotButton="0" quotePrefix="0" xfId="32">
      <alignment horizontal="center" vertical="center"/>
      <protection locked="0" hidden="0"/>
    </xf>
    <xf numFmtId="0" fontId="91" fillId="0" borderId="0" applyAlignment="1" applyProtection="1" pivotButton="0" quotePrefix="0" xfId="32">
      <alignment horizontal="general" vertical="bottom"/>
      <protection locked="0" hidden="0"/>
    </xf>
    <xf numFmtId="177" fontId="102" fillId="2" borderId="25" applyAlignment="1" applyProtection="1" pivotButton="0" quotePrefix="0" xfId="32">
      <alignment horizontal="center" vertical="center"/>
      <protection locked="0" hidden="0"/>
    </xf>
    <xf numFmtId="177" fontId="102" fillId="2" borderId="8" applyAlignment="1" applyProtection="1" pivotButton="0" quotePrefix="0" xfId="32">
      <alignment horizontal="center" vertical="center"/>
      <protection locked="0" hidden="0"/>
    </xf>
    <xf numFmtId="2" fontId="102" fillId="2" borderId="8" applyAlignment="1" applyProtection="1" pivotButton="0" quotePrefix="0" xfId="32">
      <alignment horizontal="center" vertical="center"/>
      <protection locked="0" hidden="0"/>
    </xf>
    <xf numFmtId="0" fontId="105" fillId="2" borderId="0" applyAlignment="1" applyProtection="1" pivotButton="0" quotePrefix="0" xfId="32">
      <alignment horizontal="general" vertical="center" wrapText="1"/>
      <protection locked="0" hidden="0"/>
    </xf>
    <xf numFmtId="0" fontId="5" fillId="0" borderId="0" applyAlignment="1" applyProtection="1" pivotButton="0" quotePrefix="0" xfId="32">
      <alignment horizontal="general" vertical="center" wrapText="1"/>
      <protection locked="0" hidden="0"/>
    </xf>
    <xf numFmtId="0" fontId="105" fillId="0" borderId="0" applyAlignment="1" applyProtection="1" pivotButton="0" quotePrefix="0" xfId="32">
      <alignment horizontal="general" vertical="bottom"/>
      <protection locked="0" hidden="0"/>
    </xf>
    <xf numFmtId="1" fontId="102" fillId="2" borderId="12" applyAlignment="1" applyProtection="1" pivotButton="0" quotePrefix="0" xfId="32">
      <alignment horizontal="center" vertical="center"/>
      <protection locked="0" hidden="0"/>
    </xf>
    <xf numFmtId="0" fontId="103" fillId="27" borderId="6" applyAlignment="1" pivotButton="0" quotePrefix="0" xfId="0">
      <alignment horizontal="center" vertical="center"/>
    </xf>
    <xf numFmtId="0" fontId="103" fillId="27" borderId="6" applyAlignment="1" pivotButton="0" quotePrefix="0" xfId="0">
      <alignment horizontal="center" vertical="center" wrapText="1"/>
    </xf>
    <xf numFmtId="2" fontId="103" fillId="27" borderId="6" applyAlignment="1" pivotButton="0" quotePrefix="0" xfId="0">
      <alignment horizontal="center" vertical="center"/>
    </xf>
    <xf numFmtId="0" fontId="103" fillId="28" borderId="6" applyAlignment="1" pivotButton="0" quotePrefix="0" xfId="0">
      <alignment horizontal="center" vertical="center"/>
    </xf>
    <xf numFmtId="0" fontId="103" fillId="28" borderId="6" applyAlignment="1" pivotButton="0" quotePrefix="0" xfId="0">
      <alignment horizontal="center" vertical="center" wrapText="1"/>
    </xf>
    <xf numFmtId="2" fontId="103" fillId="28" borderId="6" applyAlignment="1" pivotButton="0" quotePrefix="0" xfId="0">
      <alignment horizontal="center" vertical="center"/>
    </xf>
    <xf numFmtId="0" fontId="103" fillId="29" borderId="6" applyAlignment="1" pivotButton="0" quotePrefix="0" xfId="0">
      <alignment horizontal="center" vertical="center"/>
    </xf>
    <xf numFmtId="0" fontId="103" fillId="29" borderId="6" applyAlignment="1" pivotButton="0" quotePrefix="0" xfId="0">
      <alignment horizontal="center" vertical="center" wrapText="1"/>
    </xf>
    <xf numFmtId="2" fontId="103" fillId="29" borderId="6" applyAlignment="1" pivotButton="0" quotePrefix="0" xfId="0">
      <alignment horizontal="center" vertical="center"/>
    </xf>
    <xf numFmtId="0" fontId="102" fillId="2" borderId="8" applyAlignment="1" applyProtection="1" pivotButton="0" quotePrefix="0" xfId="32">
      <alignment horizontal="center" vertical="center"/>
      <protection locked="0" hidden="0"/>
    </xf>
    <xf numFmtId="0" fontId="102" fillId="2" borderId="23" applyAlignment="1" applyProtection="1" pivotButton="0" quotePrefix="0" xfId="32">
      <alignment horizontal="center" vertical="center"/>
      <protection locked="0" hidden="0"/>
    </xf>
    <xf numFmtId="0" fontId="118" fillId="2" borderId="77" applyAlignment="1" applyProtection="1" pivotButton="0" quotePrefix="0" xfId="32">
      <alignment horizontal="center" vertical="center"/>
      <protection locked="0" hidden="0"/>
    </xf>
    <xf numFmtId="0" fontId="118" fillId="2" borderId="51" applyAlignment="1" applyProtection="1" pivotButton="0" quotePrefix="0" xfId="32">
      <alignment horizontal="center" vertical="center"/>
      <protection locked="0" hidden="0"/>
    </xf>
    <xf numFmtId="0" fontId="102" fillId="2" borderId="25" applyAlignment="1" applyProtection="1" pivotButton="0" quotePrefix="0" xfId="32">
      <alignment horizontal="center" vertical="center"/>
      <protection locked="0" hidden="0"/>
    </xf>
    <xf numFmtId="1" fontId="102" fillId="2" borderId="21" applyAlignment="1" applyProtection="1" pivotButton="0" quotePrefix="0" xfId="32">
      <alignment horizontal="center" vertical="center"/>
      <protection locked="0" hidden="0"/>
    </xf>
    <xf numFmtId="0" fontId="103" fillId="30" borderId="6" applyAlignment="1" pivotButton="0" quotePrefix="0" xfId="0">
      <alignment horizontal="center" vertical="center"/>
    </xf>
    <xf numFmtId="0" fontId="103" fillId="30" borderId="6" applyAlignment="1" pivotButton="0" quotePrefix="0" xfId="0">
      <alignment horizontal="center" vertical="center" wrapText="1"/>
    </xf>
    <xf numFmtId="2" fontId="103" fillId="30" borderId="6" applyAlignment="1" pivotButton="0" quotePrefix="0" xfId="0">
      <alignment horizontal="center" vertical="center"/>
    </xf>
    <xf numFmtId="0" fontId="33" fillId="2" borderId="8" applyAlignment="1" applyProtection="1" pivotButton="0" quotePrefix="0" xfId="32">
      <alignment horizontal="center" vertical="center"/>
      <protection locked="0" hidden="0"/>
    </xf>
    <xf numFmtId="0" fontId="103" fillId="31" borderId="6" applyAlignment="1" pivotButton="0" quotePrefix="0" xfId="0">
      <alignment horizontal="center" vertical="center"/>
    </xf>
    <xf numFmtId="0" fontId="103" fillId="31" borderId="6" applyAlignment="1" pivotButton="0" quotePrefix="0" xfId="0">
      <alignment horizontal="center" vertical="center" wrapText="1"/>
    </xf>
    <xf numFmtId="2" fontId="103" fillId="31" borderId="6" applyAlignment="1" pivotButton="0" quotePrefix="0" xfId="0">
      <alignment horizontal="center" vertical="center"/>
    </xf>
    <xf numFmtId="0" fontId="103" fillId="32" borderId="6" applyAlignment="1" pivotButton="0" quotePrefix="0" xfId="0">
      <alignment horizontal="center" vertical="center"/>
    </xf>
    <xf numFmtId="0" fontId="103" fillId="32" borderId="6" applyAlignment="1" pivotButton="0" quotePrefix="0" xfId="0">
      <alignment horizontal="center" vertical="center" wrapText="1"/>
    </xf>
    <xf numFmtId="2" fontId="103" fillId="32" borderId="6" applyAlignment="1" pivotButton="0" quotePrefix="0" xfId="0">
      <alignment horizontal="center" vertical="center"/>
    </xf>
    <xf numFmtId="0" fontId="103" fillId="33" borderId="6" applyAlignment="1" pivotButton="0" quotePrefix="0" xfId="0">
      <alignment horizontal="center" vertical="center"/>
    </xf>
    <xf numFmtId="0" fontId="103" fillId="33" borderId="6" applyAlignment="1" pivotButton="0" quotePrefix="0" xfId="0">
      <alignment horizontal="center" vertical="center" wrapText="1"/>
    </xf>
    <xf numFmtId="2" fontId="103" fillId="33" borderId="6" applyAlignment="1" pivotButton="0" quotePrefix="0" xfId="0">
      <alignment horizontal="center" vertical="center"/>
    </xf>
    <xf numFmtId="0" fontId="56" fillId="2" borderId="8" applyAlignment="1" applyProtection="1" pivotButton="0" quotePrefix="0" xfId="32">
      <alignment horizontal="center" vertical="center" wrapText="1"/>
      <protection locked="0" hidden="0"/>
    </xf>
    <xf numFmtId="0" fontId="116" fillId="2" borderId="8" applyAlignment="1" applyProtection="1" pivotButton="0" quotePrefix="0" xfId="32">
      <alignment horizontal="center" vertical="center"/>
      <protection locked="0" hidden="0"/>
    </xf>
    <xf numFmtId="1" fontId="102" fillId="2" borderId="8" applyAlignment="1" applyProtection="1" pivotButton="0" quotePrefix="0" xfId="32">
      <alignment horizontal="center" vertical="center" wrapText="1"/>
      <protection locked="0" hidden="0"/>
    </xf>
    <xf numFmtId="0" fontId="102" fillId="2" borderId="12" applyAlignment="1" applyProtection="1" pivotButton="0" quotePrefix="0" xfId="32">
      <alignment horizontal="center" vertical="center" wrapText="1"/>
      <protection locked="0" hidden="0"/>
    </xf>
    <xf numFmtId="0" fontId="102" fillId="2" borderId="53" applyAlignment="1" applyProtection="1" pivotButton="0" quotePrefix="0" xfId="32">
      <alignment horizontal="center" vertical="center"/>
      <protection locked="0" hidden="0"/>
    </xf>
    <xf numFmtId="0" fontId="103" fillId="34" borderId="6" applyAlignment="1" pivotButton="0" quotePrefix="0" xfId="0">
      <alignment horizontal="center" vertical="center"/>
    </xf>
    <xf numFmtId="0" fontId="103" fillId="34" borderId="6" applyAlignment="1" pivotButton="0" quotePrefix="0" xfId="0">
      <alignment horizontal="center" vertical="center" wrapText="1"/>
    </xf>
    <xf numFmtId="2" fontId="103" fillId="34" borderId="6" applyAlignment="1" pivotButton="0" quotePrefix="0" xfId="0">
      <alignment horizontal="center" vertical="center"/>
    </xf>
    <xf numFmtId="0" fontId="103" fillId="35" borderId="6" applyAlignment="1" pivotButton="0" quotePrefix="0" xfId="0">
      <alignment horizontal="center" vertical="center"/>
    </xf>
    <xf numFmtId="0" fontId="103" fillId="35" borderId="6" applyAlignment="1" pivotButton="0" quotePrefix="0" xfId="0">
      <alignment horizontal="center" vertical="center" wrapText="1"/>
    </xf>
    <xf numFmtId="2" fontId="103" fillId="35" borderId="6" applyAlignment="1" pivotButton="0" quotePrefix="0" xfId="0">
      <alignment horizontal="center" vertical="center"/>
    </xf>
    <xf numFmtId="0" fontId="103" fillId="36" borderId="6" applyAlignment="1" pivotButton="0" quotePrefix="0" xfId="0">
      <alignment horizontal="center" vertical="center"/>
    </xf>
    <xf numFmtId="0" fontId="103" fillId="36" borderId="6" applyAlignment="1" pivotButton="0" quotePrefix="0" xfId="0">
      <alignment horizontal="center" vertical="center" wrapText="1"/>
    </xf>
    <xf numFmtId="2" fontId="103" fillId="36" borderId="6" applyAlignment="1" pivotButton="0" quotePrefix="0" xfId="0">
      <alignment horizontal="center" vertical="center"/>
    </xf>
    <xf numFmtId="0" fontId="103" fillId="37" borderId="6" applyAlignment="1" pivotButton="0" quotePrefix="0" xfId="0">
      <alignment horizontal="center" vertical="center"/>
    </xf>
    <xf numFmtId="0" fontId="103" fillId="37" borderId="6" applyAlignment="1" pivotButton="0" quotePrefix="0" xfId="0">
      <alignment horizontal="center" vertical="center" wrapText="1"/>
    </xf>
    <xf numFmtId="2" fontId="103" fillId="37" borderId="6" applyAlignment="1" pivotButton="0" quotePrefix="0" xfId="0">
      <alignment horizontal="center" vertical="center"/>
    </xf>
    <xf numFmtId="2" fontId="114" fillId="4" borderId="75" applyAlignment="1" applyProtection="1" pivotButton="0" quotePrefix="0" xfId="32">
      <alignment horizontal="center" vertical="center"/>
      <protection locked="0" hidden="0"/>
    </xf>
    <xf numFmtId="2" fontId="121" fillId="38" borderId="6" applyAlignment="1" applyProtection="1" pivotButton="0" quotePrefix="0" xfId="32">
      <alignment horizontal="center" vertical="center"/>
      <protection locked="0" hidden="0"/>
    </xf>
    <xf numFmtId="2" fontId="122" fillId="38" borderId="6" applyAlignment="1" applyProtection="1" pivotButton="0" quotePrefix="0" xfId="32">
      <alignment horizontal="center" vertical="center"/>
      <protection locked="0" hidden="0"/>
    </xf>
    <xf numFmtId="0" fontId="103" fillId="4" borderId="53" applyAlignment="1" applyProtection="1" pivotButton="0" quotePrefix="0" xfId="32">
      <alignment horizontal="center" vertical="center"/>
      <protection locked="0" hidden="0"/>
    </xf>
    <xf numFmtId="0" fontId="103" fillId="39" borderId="6" applyAlignment="1" pivotButton="0" quotePrefix="0" xfId="0">
      <alignment horizontal="center" vertical="center"/>
    </xf>
    <xf numFmtId="0" fontId="103" fillId="39" borderId="6" applyAlignment="1" pivotButton="0" quotePrefix="0" xfId="0">
      <alignment horizontal="center" vertical="center" wrapText="1"/>
    </xf>
    <xf numFmtId="2" fontId="103" fillId="39" borderId="6" applyAlignment="1" pivotButton="0" quotePrefix="0" xfId="0">
      <alignment horizontal="center" vertical="center"/>
    </xf>
    <xf numFmtId="0" fontId="5" fillId="0" borderId="6" applyAlignment="1" applyProtection="1" pivotButton="0" quotePrefix="0" xfId="32">
      <alignment horizontal="left" vertical="center" textRotation="90" wrapText="1"/>
      <protection locked="0" hidden="0"/>
    </xf>
    <xf numFmtId="0" fontId="5" fillId="4" borderId="6" applyAlignment="1" applyProtection="1" pivotButton="0" quotePrefix="0" xfId="32">
      <alignment horizontal="left" vertical="center"/>
      <protection locked="0" hidden="0"/>
    </xf>
    <xf numFmtId="0" fontId="5" fillId="0" borderId="6" applyAlignment="1" applyProtection="1" pivotButton="0" quotePrefix="0" xfId="32">
      <alignment horizontal="left" vertical="center"/>
      <protection locked="0" hidden="0"/>
    </xf>
    <xf numFmtId="0" fontId="5" fillId="0" borderId="0" applyAlignment="1" applyProtection="1" pivotButton="0" quotePrefix="0" xfId="32">
      <alignment horizontal="center" vertical="center"/>
      <protection locked="0" hidden="0"/>
    </xf>
    <xf numFmtId="0" fontId="5" fillId="0" borderId="6" applyAlignment="1" applyProtection="1" pivotButton="0" quotePrefix="0" xfId="32">
      <alignment horizontal="left" vertical="center" wrapText="1"/>
      <protection locked="0" hidden="0"/>
    </xf>
    <xf numFmtId="0" fontId="5" fillId="0" borderId="6" applyAlignment="1" applyProtection="1" pivotButton="0" quotePrefix="0" xfId="32">
      <alignment horizontal="left" vertical="bottom" wrapText="1"/>
      <protection locked="0" hidden="0"/>
    </xf>
    <xf numFmtId="0" fontId="5" fillId="4" borderId="6" applyAlignment="1" applyProtection="1" pivotButton="0" quotePrefix="0" xfId="32">
      <alignment horizontal="left" vertical="bottom"/>
      <protection locked="0" hidden="0"/>
    </xf>
    <xf numFmtId="0" fontId="5" fillId="0" borderId="6" applyAlignment="1" applyProtection="1" pivotButton="0" quotePrefix="0" xfId="32">
      <alignment horizontal="left" vertical="bottom"/>
      <protection locked="0" hidden="0"/>
    </xf>
    <xf numFmtId="0" fontId="5" fillId="0" borderId="6" applyAlignment="1" pivotButton="0" quotePrefix="0" xfId="32">
      <alignment horizontal="left" vertical="bottom" wrapText="1"/>
    </xf>
    <xf numFmtId="0" fontId="5" fillId="4" borderId="0" applyAlignment="1" pivotButton="0" quotePrefix="0" xfId="32">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7">
      <alignment horizontal="general" vertical="bottom"/>
    </xf>
    <xf numFmtId="0" fontId="31" fillId="3" borderId="0" applyAlignment="1" pivotButton="0" quotePrefix="0" xfId="27">
      <alignment horizontal="general" vertical="bottom"/>
    </xf>
    <xf numFmtId="168" fontId="32" fillId="3" borderId="0" applyAlignment="1" pivotButton="0" quotePrefix="0" xfId="27">
      <alignment horizontal="general" vertical="bottom"/>
    </xf>
    <xf numFmtId="0" fontId="41" fillId="3" borderId="0" applyAlignment="1" pivotButton="0" quotePrefix="0" xfId="27">
      <alignment horizontal="general" vertical="bottom"/>
    </xf>
    <xf numFmtId="0" fontId="123" fillId="3" borderId="0" applyAlignment="1" pivotButton="0" quotePrefix="0" xfId="0">
      <alignment horizontal="general" vertical="bottom"/>
    </xf>
    <xf numFmtId="0" fontId="124" fillId="3" borderId="0" applyAlignment="1" pivotButton="0" quotePrefix="0" xfId="0">
      <alignment horizontal="general" vertical="bottom"/>
    </xf>
    <xf numFmtId="0" fontId="35" fillId="3" borderId="0" applyAlignment="1" pivotButton="0" quotePrefix="0" xfId="27">
      <alignment horizontal="right" vertical="bottom"/>
    </xf>
    <xf numFmtId="0" fontId="35" fillId="3" borderId="0" applyAlignment="1" pivotButton="0" quotePrefix="0" xfId="27">
      <alignment horizontal="general" vertical="bottom"/>
    </xf>
    <xf numFmtId="0" fontId="35" fillId="3" borderId="0" applyAlignment="1" pivotButton="0" quotePrefix="0" xfId="27">
      <alignment horizontal="left" vertical="bottom"/>
    </xf>
    <xf numFmtId="0" fontId="125" fillId="3" borderId="0" applyAlignment="1" pivotButton="0" quotePrefix="0" xfId="27">
      <alignment horizontal="general" vertical="bottom"/>
    </xf>
    <xf numFmtId="0" fontId="126" fillId="3" borderId="0" applyAlignment="1" pivotButton="0" quotePrefix="0" xfId="27">
      <alignment horizontal="general" vertical="bottom"/>
    </xf>
    <xf numFmtId="0" fontId="127" fillId="3" borderId="0" applyAlignment="1" pivotButton="0" quotePrefix="0" xfId="27">
      <alignment horizontal="general" vertical="bottom"/>
    </xf>
    <xf numFmtId="0" fontId="128" fillId="3" borderId="0" applyAlignment="1" pivotButton="0" quotePrefix="0" xfId="27">
      <alignment horizontal="general" vertical="bottom"/>
    </xf>
    <xf numFmtId="12" fontId="41" fillId="3" borderId="0" applyAlignment="1" pivotButton="0" quotePrefix="0" xfId="27">
      <alignment horizontal="center" vertical="bottom"/>
    </xf>
    <xf numFmtId="2" fontId="40" fillId="3" borderId="0" applyAlignment="1" pivotButton="0" quotePrefix="0" xfId="27">
      <alignment horizontal="center" vertical="bottom"/>
    </xf>
    <xf numFmtId="49" fontId="40" fillId="3" borderId="0" applyAlignment="1" pivotButton="0" quotePrefix="0" xfId="27">
      <alignment horizontal="center" vertical="bottom"/>
    </xf>
    <xf numFmtId="0" fontId="40" fillId="3" borderId="0" applyAlignment="1" pivotButton="0" quotePrefix="0" xfId="27">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7">
      <alignment horizontal="left" vertical="bottom"/>
    </xf>
    <xf numFmtId="0" fontId="56" fillId="3" borderId="34" applyAlignment="1" pivotButton="0" quotePrefix="0" xfId="24">
      <alignment horizontal="general" vertical="bottom"/>
    </xf>
    <xf numFmtId="0" fontId="69" fillId="3" borderId="0" applyAlignment="1" pivotButton="0" quotePrefix="0" xfId="24">
      <alignment horizontal="left" vertical="bottom"/>
    </xf>
    <xf numFmtId="0" fontId="22" fillId="3" borderId="0" applyAlignment="1" pivotButton="0" quotePrefix="0" xfId="24">
      <alignment horizontal="general" vertical="bottom"/>
    </xf>
    <xf numFmtId="0" fontId="129" fillId="3" borderId="1" applyAlignment="1" pivotButton="0" quotePrefix="0" xfId="0">
      <alignment horizontal="left" vertical="bottom"/>
    </xf>
    <xf numFmtId="0" fontId="129" fillId="3" borderId="1" applyAlignment="1" pivotButton="0" quotePrefix="0" xfId="0">
      <alignment horizontal="center" vertical="bottom" wrapText="1"/>
    </xf>
    <xf numFmtId="0" fontId="41" fillId="3" borderId="0" applyAlignment="1" pivotButton="0" quotePrefix="0" xfId="24">
      <alignment horizontal="general" vertical="bottom"/>
    </xf>
    <xf numFmtId="0" fontId="130" fillId="3" borderId="28" applyAlignment="1" pivotButton="0" quotePrefix="0" xfId="28">
      <alignment horizontal="left" vertical="bottom"/>
    </xf>
    <xf numFmtId="0" fontId="130" fillId="3" borderId="0" applyAlignment="1" pivotButton="0" quotePrefix="0" xfId="28">
      <alignment horizontal="left" vertical="bottom" wrapText="1"/>
    </xf>
    <xf numFmtId="0" fontId="131" fillId="3" borderId="0" applyAlignment="1" pivotButton="0" quotePrefix="0" xfId="28">
      <alignment horizontal="general" vertical="bottom"/>
    </xf>
    <xf numFmtId="0" fontId="130" fillId="3" borderId="0" applyAlignment="1" pivotButton="0" quotePrefix="0" xfId="28">
      <alignment horizontal="general" vertical="bottom" wrapText="1"/>
    </xf>
    <xf numFmtId="0" fontId="130" fillId="3" borderId="0" applyAlignment="1" pivotButton="0" quotePrefix="0" xfId="28">
      <alignment horizontal="left" vertical="bottom"/>
    </xf>
    <xf numFmtId="0" fontId="132" fillId="3" borderId="0" applyAlignment="1" pivotButton="0" quotePrefix="0" xfId="28">
      <alignment horizontal="left" vertical="bottom"/>
    </xf>
    <xf numFmtId="0" fontId="132" fillId="3" borderId="0" applyAlignment="1" pivotButton="0" quotePrefix="0" xfId="24">
      <alignment horizontal="left" vertical="bottom"/>
    </xf>
    <xf numFmtId="0" fontId="0" fillId="4" borderId="0" applyAlignment="1" pivotButton="0" quotePrefix="0" xfId="0">
      <alignment horizontal="general" vertical="bottom"/>
    </xf>
    <xf numFmtId="0" fontId="132" fillId="4" borderId="0" applyAlignment="1" pivotButton="0" quotePrefix="0" xfId="27">
      <alignment horizontal="left" vertical="bottom"/>
    </xf>
    <xf numFmtId="1" fontId="133" fillId="4" borderId="0" applyAlignment="1" pivotButton="0" quotePrefix="0" xfId="27">
      <alignment horizontal="general" vertical="bottom"/>
    </xf>
    <xf numFmtId="0" fontId="133" fillId="4" borderId="0" applyAlignment="1" pivotButton="0" quotePrefix="0" xfId="27">
      <alignment horizontal="general" vertical="bottom"/>
    </xf>
    <xf numFmtId="0" fontId="134" fillId="4" borderId="0" applyAlignment="1" pivotButton="0" quotePrefix="0" xfId="0">
      <alignment horizontal="general" vertical="bottom"/>
    </xf>
    <xf numFmtId="0" fontId="123" fillId="4" borderId="0" applyAlignment="1" pivotButton="0" quotePrefix="0" xfId="0">
      <alignment horizontal="general" vertical="bottom"/>
    </xf>
    <xf numFmtId="0" fontId="137" fillId="4" borderId="0" applyAlignment="1" pivotButton="0" quotePrefix="0" xfId="0">
      <alignment horizontal="general" vertical="bottom"/>
    </xf>
    <xf numFmtId="0" fontId="135" fillId="4" borderId="0" applyAlignment="1" pivotButton="0" quotePrefix="0" xfId="27">
      <alignment horizontal="left" vertical="bottom"/>
    </xf>
    <xf numFmtId="1" fontId="136" fillId="4" borderId="0" applyAlignment="1" pivotButton="0" quotePrefix="0" xfId="27">
      <alignment horizontal="general" vertical="bottom"/>
    </xf>
    <xf numFmtId="0" fontId="136" fillId="4" borderId="0" applyAlignment="1" pivotButton="0" quotePrefix="0" xfId="27">
      <alignment horizontal="general" vertical="bottom"/>
    </xf>
    <xf numFmtId="0" fontId="135" fillId="4" borderId="6" applyAlignment="1" pivotButton="0" quotePrefix="0" xfId="27">
      <alignment horizontal="center" vertical="bottom"/>
    </xf>
    <xf numFmtId="0" fontId="135" fillId="4" borderId="0" applyAlignment="1" pivotButton="0" quotePrefix="0" xfId="27">
      <alignment horizontal="general" vertical="bottom"/>
    </xf>
    <xf numFmtId="0" fontId="136" fillId="4" borderId="0" applyAlignment="1" pivotButton="0" quotePrefix="0" xfId="0">
      <alignment horizontal="general" vertical="bottom"/>
    </xf>
    <xf numFmtId="0" fontId="132" fillId="4" borderId="0" applyAlignment="1" pivotButton="0" quotePrefix="0" xfId="27">
      <alignment horizontal="center" vertical="bottom"/>
    </xf>
    <xf numFmtId="0" fontId="132" fillId="4" borderId="0" applyAlignment="1" pivotButton="0" quotePrefix="0" xfId="27">
      <alignment horizontal="general" vertical="bottom"/>
    </xf>
    <xf numFmtId="1" fontId="132" fillId="4" borderId="6" applyAlignment="1" pivotButton="0" quotePrefix="0" xfId="27">
      <alignment horizontal="center" vertical="bottom"/>
    </xf>
    <xf numFmtId="49" fontId="132" fillId="4" borderId="6" applyAlignment="1" pivotButton="0" quotePrefix="0" xfId="27">
      <alignment horizontal="center" vertical="bottom"/>
    </xf>
    <xf numFmtId="178" fontId="138" fillId="4" borderId="0" applyAlignment="1" pivotButton="0" quotePrefix="0" xfId="27">
      <alignment horizontal="right" vertical="center"/>
    </xf>
    <xf numFmtId="0" fontId="139" fillId="4" borderId="0" applyAlignment="1" pivotButton="0" quotePrefix="0" xfId="27">
      <alignment horizontal="center" vertical="bottom"/>
    </xf>
    <xf numFmtId="1" fontId="132" fillId="4" borderId="0" applyAlignment="1" pivotButton="0" quotePrefix="0" xfId="27">
      <alignment horizontal="center" vertical="bottom"/>
    </xf>
    <xf numFmtId="49" fontId="132" fillId="4" borderId="0" applyAlignment="1" pivotButton="0" quotePrefix="0" xfId="27">
      <alignment horizontal="center" vertical="bottom"/>
    </xf>
    <xf numFmtId="178" fontId="138" fillId="4" borderId="0" applyAlignment="1" pivotButton="0" quotePrefix="0" xfId="27">
      <alignment horizontal="right" vertical="bottom"/>
    </xf>
    <xf numFmtId="0" fontId="132" fillId="4" borderId="33" applyAlignment="1" pivotButton="0" quotePrefix="0" xfId="27">
      <alignment horizontal="center" vertical="bottom"/>
    </xf>
    <xf numFmtId="0" fontId="140" fillId="4" borderId="4" applyAlignment="1" pivotButton="0" quotePrefix="0" xfId="0">
      <alignment horizontal="center" vertical="bottom" wrapText="1"/>
    </xf>
    <xf numFmtId="0" fontId="132" fillId="4" borderId="6" applyAlignment="1" pivotButton="0" quotePrefix="0" xfId="27">
      <alignment horizontal="center" vertical="bottom"/>
    </xf>
    <xf numFmtId="0" fontId="140" fillId="4" borderId="34" applyAlignment="1" pivotButton="0" quotePrefix="0" xfId="0">
      <alignment horizontal="general" vertical="bottom"/>
    </xf>
    <xf numFmtId="0" fontId="140" fillId="4" borderId="35" applyAlignment="1" pivotButton="0" quotePrefix="0" xfId="0">
      <alignment horizontal="general" vertical="bottom"/>
    </xf>
    <xf numFmtId="0" fontId="140" fillId="4" borderId="0" applyAlignment="1" pivotButton="0" quotePrefix="0" xfId="0">
      <alignment horizontal="left" vertical="bottom"/>
    </xf>
    <xf numFmtId="0" fontId="141" fillId="4" borderId="0" applyAlignment="1" pivotButton="0" quotePrefix="0" xfId="27">
      <alignment horizontal="general" vertical="center" wrapText="1"/>
    </xf>
    <xf numFmtId="1" fontId="21" fillId="4" borderId="0" applyAlignment="1" pivotButton="0" quotePrefix="0" xfId="0">
      <alignment horizontal="general" vertical="bottom"/>
    </xf>
    <xf numFmtId="0" fontId="132" fillId="4" borderId="30" applyAlignment="1" pivotButton="0" quotePrefix="0" xfId="27">
      <alignment horizontal="center" vertical="bottom" wrapText="1"/>
    </xf>
    <xf numFmtId="0" fontId="132" fillId="4" borderId="0" applyAlignment="1" pivotButton="0" quotePrefix="0" xfId="27">
      <alignment horizontal="general" vertical="bottom" wrapText="1"/>
    </xf>
    <xf numFmtId="0" fontId="134" fillId="4" borderId="0" applyAlignment="1" pivotButton="0" quotePrefix="0" xfId="0">
      <alignment horizontal="general" vertical="center"/>
    </xf>
    <xf numFmtId="0" fontId="141" fillId="4" borderId="0" applyAlignment="1" pivotButton="0" quotePrefix="0" xfId="27">
      <alignment horizontal="general" vertical="bottom"/>
    </xf>
    <xf numFmtId="0" fontId="141" fillId="4" borderId="0" applyAlignment="1" pivotButton="0" quotePrefix="0" xfId="27">
      <alignment horizontal="left" vertical="center" wrapText="1"/>
    </xf>
    <xf numFmtId="0" fontId="141" fillId="4" borderId="0" applyAlignment="1" pivotButton="0" quotePrefix="0" xfId="27">
      <alignment horizontal="left" vertical="bottom"/>
    </xf>
    <xf numFmtId="0" fontId="30" fillId="4" borderId="0" applyAlignment="1" pivotButton="0" quotePrefix="0" xfId="0">
      <alignment horizontal="general" vertical="center"/>
    </xf>
    <xf numFmtId="0" fontId="140" fillId="4" borderId="0" applyAlignment="1" pivotButton="0" quotePrefix="0" xfId="0">
      <alignment horizontal="left" vertical="center"/>
    </xf>
    <xf numFmtId="0" fontId="140" fillId="4" borderId="0" applyAlignment="1" pivotButton="0" quotePrefix="0" xfId="0">
      <alignment horizontal="general" vertical="center"/>
    </xf>
    <xf numFmtId="0" fontId="141" fillId="4" borderId="0" applyAlignment="1" pivotButton="0" quotePrefix="0" xfId="27">
      <alignment horizontal="left" vertical="center"/>
    </xf>
    <xf numFmtId="0" fontId="132" fillId="4" borderId="0" applyAlignment="1" pivotButton="0" quotePrefix="0" xfId="27">
      <alignment horizontal="general" vertical="center"/>
    </xf>
    <xf numFmtId="0" fontId="132" fillId="4" borderId="6" applyAlignment="1" pivotButton="0" quotePrefix="0" xfId="27">
      <alignment horizontal="center" vertical="center" shrinkToFit="1"/>
    </xf>
    <xf numFmtId="0" fontId="132" fillId="4" borderId="0" applyAlignment="1" pivotButton="0" quotePrefix="0" xfId="27">
      <alignment horizontal="left" vertical="bottom" wrapText="1"/>
    </xf>
    <xf numFmtId="0" fontId="40" fillId="4" borderId="0" applyAlignment="1" pivotButton="0" quotePrefix="0" xfId="24">
      <alignment horizontal="general" vertical="center"/>
    </xf>
    <xf numFmtId="0" fontId="132" fillId="4" borderId="0" applyAlignment="1" pivotButton="0" quotePrefix="0" xfId="24">
      <alignment horizontal="left" vertical="center"/>
    </xf>
    <xf numFmtId="1" fontId="132" fillId="4" borderId="0" applyAlignment="1" pivotButton="0" quotePrefix="0" xfId="24">
      <alignment horizontal="general" vertical="center"/>
    </xf>
    <xf numFmtId="0" fontId="142" fillId="4" borderId="0" applyAlignment="1" pivotButton="0" quotePrefix="0" xfId="0">
      <alignment horizontal="general" vertical="center"/>
    </xf>
    <xf numFmtId="0" fontId="132" fillId="4" borderId="0" applyAlignment="1" pivotButton="0" quotePrefix="0" xfId="24">
      <alignment horizontal="general" vertical="center"/>
    </xf>
    <xf numFmtId="0" fontId="0" fillId="4" borderId="0" applyAlignment="1" pivotButton="0" quotePrefix="0" xfId="0">
      <alignment horizontal="general" vertical="center"/>
    </xf>
    <xf numFmtId="0" fontId="132" fillId="4" borderId="0" applyAlignment="1" pivotButton="0" quotePrefix="0" xfId="27">
      <alignment horizontal="left" vertical="center"/>
    </xf>
    <xf numFmtId="1" fontId="133" fillId="4" borderId="0" applyAlignment="1" pivotButton="0" quotePrefix="0" xfId="27">
      <alignment horizontal="general" vertical="center"/>
    </xf>
    <xf numFmtId="0" fontId="133" fillId="4" borderId="0" applyAlignment="1" pivotButton="0" quotePrefix="0" xfId="27">
      <alignment horizontal="general" vertical="center"/>
    </xf>
    <xf numFmtId="1" fontId="132" fillId="4" borderId="6" applyAlignment="1" pivotButton="0" quotePrefix="0" xfId="27">
      <alignment horizontal="center" vertical="center"/>
    </xf>
    <xf numFmtId="0" fontId="132" fillId="4" borderId="0" applyAlignment="1" pivotButton="0" quotePrefix="0" xfId="27">
      <alignment horizontal="left" vertical="center" wrapText="1"/>
    </xf>
    <xf numFmtId="1" fontId="132" fillId="4" borderId="0" applyAlignment="1" pivotButton="0" quotePrefix="0" xfId="27">
      <alignment horizontal="center" vertical="center"/>
    </xf>
    <xf numFmtId="178" fontId="132" fillId="4" borderId="0" applyAlignment="1" pivotButton="0" quotePrefix="0" xfId="27">
      <alignment horizontal="right" vertical="center"/>
    </xf>
    <xf numFmtId="0" fontId="132" fillId="4" borderId="0" applyAlignment="1" pivotButton="0" quotePrefix="0" xfId="27">
      <alignment horizontal="center" vertical="bottom" wrapText="1"/>
    </xf>
    <xf numFmtId="0" fontId="132" fillId="4" borderId="34" applyAlignment="1" pivotButton="0" quotePrefix="0" xfId="24">
      <alignment horizontal="left" vertical="center"/>
    </xf>
    <xf numFmtId="0" fontId="132" fillId="4" borderId="6" applyAlignment="1" pivotButton="0" quotePrefix="0" xfId="27">
      <alignment horizontal="center" vertical="center"/>
    </xf>
    <xf numFmtId="0" fontId="132" fillId="2" borderId="34" applyAlignment="1" pivotButton="0" quotePrefix="0" xfId="24">
      <alignment horizontal="left" vertical="center"/>
    </xf>
    <xf numFmtId="0" fontId="133" fillId="2" borderId="0" applyAlignment="1" pivotButton="0" quotePrefix="0" xfId="27">
      <alignment horizontal="general" vertical="center"/>
    </xf>
    <xf numFmtId="0" fontId="143" fillId="2" borderId="0" applyAlignment="1" pivotButton="0" quotePrefix="0" xfId="27">
      <alignment horizontal="center" vertical="center"/>
    </xf>
    <xf numFmtId="0" fontId="132" fillId="0" borderId="34" applyAlignment="1" pivotButton="0" quotePrefix="0" xfId="24">
      <alignment horizontal="left" vertical="center"/>
    </xf>
    <xf numFmtId="0" fontId="133" fillId="0" borderId="0" applyAlignment="1" pivotButton="0" quotePrefix="0" xfId="27">
      <alignment horizontal="general" vertical="center"/>
    </xf>
    <xf numFmtId="0" fontId="132" fillId="0" borderId="0" applyAlignment="1" pivotButton="0" quotePrefix="0" xfId="27">
      <alignment horizontal="left" vertical="center" wrapText="1"/>
    </xf>
    <xf numFmtId="0" fontId="30" fillId="0" borderId="0" applyAlignment="1" pivotButton="0" quotePrefix="0" xfId="0">
      <alignment horizontal="general" vertical="center"/>
    </xf>
    <xf numFmtId="0" fontId="140" fillId="0" borderId="0" applyAlignment="1" pivotButton="0" quotePrefix="0" xfId="0">
      <alignment horizontal="left" vertical="center"/>
    </xf>
    <xf numFmtId="0" fontId="132" fillId="0" borderId="0" applyAlignment="1" pivotButton="0" quotePrefix="0" xfId="27">
      <alignment horizontal="general" vertical="center"/>
    </xf>
    <xf numFmtId="0" fontId="132" fillId="0" borderId="0" applyAlignment="1" pivotButton="0" quotePrefix="0" xfId="27">
      <alignment horizontal="left" vertical="center"/>
    </xf>
    <xf numFmtId="0" fontId="30" fillId="0" borderId="0" applyAlignment="1" pivotButton="0" quotePrefix="0" xfId="0">
      <alignment horizontal="general" vertical="bottom"/>
    </xf>
    <xf numFmtId="0" fontId="132" fillId="0" borderId="0" applyAlignment="1" pivotButton="0" quotePrefix="0" xfId="24">
      <alignment horizontal="left" vertical="center"/>
    </xf>
    <xf numFmtId="0" fontId="132" fillId="0" borderId="0" applyAlignment="1" pivotButton="0" quotePrefix="0" xfId="27">
      <alignment horizontal="general" vertical="bottom"/>
    </xf>
    <xf numFmtId="0" fontId="132" fillId="0" borderId="0" applyAlignment="1" pivotButton="0" quotePrefix="0" xfId="27">
      <alignment horizontal="left" vertical="bottom"/>
    </xf>
    <xf numFmtId="0" fontId="140" fillId="0" borderId="0" applyAlignment="1" pivotButton="0" quotePrefix="0" xfId="0">
      <alignment horizontal="left" vertical="bottom"/>
    </xf>
    <xf numFmtId="0" fontId="132" fillId="2" borderId="0" applyAlignment="1" pivotButton="0" quotePrefix="0" xfId="27">
      <alignment horizontal="general" vertical="bottom"/>
    </xf>
    <xf numFmtId="0" fontId="133" fillId="0" borderId="0" applyAlignment="1" pivotButton="0" quotePrefix="0" xfId="27">
      <alignment horizontal="general" vertical="bottom"/>
    </xf>
    <xf numFmtId="0" fontId="133" fillId="0" borderId="0" applyAlignment="1" pivotButton="0" quotePrefix="0" xfId="27">
      <alignment horizontal="left" vertical="bottom"/>
    </xf>
    <xf numFmtId="0" fontId="144" fillId="0" borderId="0" applyAlignment="1" pivotButton="0" quotePrefix="0" xfId="0">
      <alignment horizontal="general" vertical="center"/>
    </xf>
    <xf numFmtId="0" fontId="134" fillId="0" borderId="0" applyAlignment="1" pivotButton="0" quotePrefix="0" xfId="0">
      <alignment horizontal="general" vertical="center"/>
    </xf>
    <xf numFmtId="0" fontId="140" fillId="0" borderId="0" applyAlignment="1" pivotButton="0" quotePrefix="0" xfId="0">
      <alignment horizontal="general" vertical="center"/>
    </xf>
    <xf numFmtId="0" fontId="140" fillId="0" borderId="0" applyAlignment="1" pivotButton="0" quotePrefix="0" xfId="0">
      <alignment horizontal="left" vertical="center" wrapText="1"/>
    </xf>
    <xf numFmtId="0" fontId="133" fillId="2" borderId="0" applyAlignment="1" pivotButton="0" quotePrefix="0" xfId="27">
      <alignment horizontal="left" vertical="bottom"/>
    </xf>
    <xf numFmtId="0" fontId="133" fillId="2" borderId="0" applyAlignment="1" pivotButton="0" quotePrefix="0" xfId="27">
      <alignment horizontal="general" vertical="bottom"/>
    </xf>
    <xf numFmtId="0" fontId="41" fillId="0" borderId="0" applyAlignment="1" pivotButton="0" quotePrefix="0" xfId="24">
      <alignment horizontal="general" vertical="bottom"/>
    </xf>
    <xf numFmtId="0" fontId="133" fillId="0" borderId="0" applyAlignment="1" pivotButton="0" quotePrefix="0" xfId="24">
      <alignment horizontal="general" vertical="bottom"/>
    </xf>
    <xf numFmtId="0" fontId="132" fillId="0" borderId="34" applyAlignment="1" pivotButton="0" quotePrefix="0" xfId="0">
      <alignment horizontal="left" vertical="center"/>
    </xf>
    <xf numFmtId="0" fontId="133" fillId="0" borderId="0" applyAlignment="1" pivotButton="0" quotePrefix="0" xfId="0">
      <alignment horizontal="general" vertical="bottom"/>
    </xf>
    <xf numFmtId="0" fontId="133" fillId="0" borderId="30" applyAlignment="1" pivotButton="0" quotePrefix="0" xfId="0">
      <alignment horizontal="left" vertical="bottom"/>
    </xf>
    <xf numFmtId="0" fontId="132" fillId="0" borderId="35" applyAlignment="1" pivotButton="0" quotePrefix="0" xfId="0">
      <alignment horizontal="left" vertical="center"/>
    </xf>
    <xf numFmtId="0" fontId="133" fillId="0" borderId="32" applyAlignment="1" pivotButton="0" quotePrefix="0" xfId="0">
      <alignment horizontal="general" vertical="bottom"/>
    </xf>
    <xf numFmtId="0" fontId="133" fillId="0" borderId="36" applyAlignment="1" pivotButton="0" quotePrefix="0" xfId="0">
      <alignment horizontal="left" vertical="bottom"/>
    </xf>
    <xf numFmtId="0" fontId="132" fillId="2" borderId="0" applyAlignment="1" pivotButton="0" quotePrefix="0" xfId="27">
      <alignment horizontal="left" vertical="bottom"/>
    </xf>
    <xf numFmtId="0" fontId="41" fillId="2" borderId="0" applyAlignment="1" pivotButton="0" quotePrefix="0" xfId="27">
      <alignment horizontal="left" vertical="bottom"/>
    </xf>
    <xf numFmtId="0" fontId="41" fillId="2" borderId="0" applyAlignment="1" pivotButton="0" quotePrefix="0" xfId="27">
      <alignment horizontal="general" vertical="bottom"/>
    </xf>
    <xf numFmtId="0" fontId="145" fillId="2" borderId="0" applyAlignment="1" pivotButton="0" quotePrefix="0" xfId="27">
      <alignment horizontal="general" vertical="center"/>
    </xf>
    <xf numFmtId="0" fontId="146"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6"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0" borderId="0" applyAlignment="1" pivotButton="0" quotePrefix="0" xfId="0">
      <alignment horizontal="general" vertical="bottom"/>
    </xf>
    <xf numFmtId="0" fontId="0" fillId="20" borderId="6" applyAlignment="1" pivotButton="0" quotePrefix="0" xfId="0">
      <alignment horizontal="general" vertical="bottom" wrapText="1"/>
    </xf>
    <xf numFmtId="2" fontId="0" fillId="20" borderId="6" applyAlignment="1" pivotButton="0" quotePrefix="0" xfId="0">
      <alignment horizontal="general" vertical="bottom"/>
    </xf>
    <xf numFmtId="176" fontId="0" fillId="20" borderId="6" applyAlignment="1" pivotButton="0" quotePrefix="0" xfId="0">
      <alignment horizontal="general" vertical="bottom"/>
    </xf>
    <xf numFmtId="0" fontId="0" fillId="20"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6"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6"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6"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6"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6"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6"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6"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6"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6"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6"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6"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6"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6"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6"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6"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6"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6"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6"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6"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2" fontId="0" fillId="0" borderId="0" applyAlignment="1" pivotButton="0" quotePrefix="0" xfId="0">
      <alignment horizontal="center" vertical="center"/>
    </xf>
    <xf numFmtId="2" fontId="0" fillId="0" borderId="0" applyAlignment="1" pivotButton="0" quotePrefix="0" xfId="0">
      <alignment horizontal="center" vertical="bottom"/>
    </xf>
    <xf numFmtId="0" fontId="0" fillId="0" borderId="6" applyAlignment="1" pivotButton="0" quotePrefix="0" xfId="0">
      <alignment horizontal="center" vertical="bottom"/>
    </xf>
    <xf numFmtId="2" fontId="30" fillId="0" borderId="6" applyAlignment="1" pivotButton="0" quotePrefix="0" xfId="0">
      <alignment horizontal="center" vertical="bottom"/>
    </xf>
    <xf numFmtId="0" fontId="30" fillId="4" borderId="6" applyAlignment="1" pivotButton="0" quotePrefix="0" xfId="0">
      <alignment horizontal="center" vertical="bottom" wrapText="1"/>
    </xf>
    <xf numFmtId="2" fontId="0" fillId="0" borderId="6" applyAlignment="1" pivotButton="0" quotePrefix="0" xfId="0">
      <alignment horizontal="center" vertical="center" wrapText="1"/>
    </xf>
    <xf numFmtId="2" fontId="0" fillId="0" borderId="6" applyAlignment="1" pivotButton="0" quotePrefix="0" xfId="0">
      <alignment horizontal="center" vertical="bottom" wrapText="1"/>
    </xf>
    <xf numFmtId="0" fontId="147" fillId="0" borderId="13" applyAlignment="1" applyProtection="1" pivotButton="0" quotePrefix="0" xfId="32">
      <alignment horizontal="center" vertical="center" wrapText="1"/>
      <protection locked="0" hidden="0"/>
    </xf>
    <xf numFmtId="179" fontId="148" fillId="0" borderId="6" applyAlignment="1" applyProtection="1" pivotButton="0" quotePrefix="0" xfId="0">
      <alignment horizontal="center" vertical="bottom"/>
      <protection locked="0" hidden="0"/>
    </xf>
    <xf numFmtId="2" fontId="147" fillId="0" borderId="6" applyAlignment="1" pivotButton="0" quotePrefix="0" xfId="0">
      <alignment horizontal="center" vertical="bottom"/>
    </xf>
    <xf numFmtId="0" fontId="149" fillId="0" borderId="0" applyAlignment="1" pivotButton="0" quotePrefix="0" xfId="0">
      <alignment horizontal="general" vertical="bottom"/>
    </xf>
    <xf numFmtId="2" fontId="148" fillId="2" borderId="0" applyAlignment="1" pivotButton="0" quotePrefix="0" xfId="0">
      <alignment horizontal="center" vertical="bottom"/>
    </xf>
    <xf numFmtId="2" fontId="148" fillId="0" borderId="44" applyAlignment="1" pivotButton="0" quotePrefix="0" xfId="0">
      <alignment horizontal="center" vertical="bottom"/>
    </xf>
    <xf numFmtId="0" fontId="148" fillId="0" borderId="44" applyAlignment="1" pivotButton="0" quotePrefix="0" xfId="0">
      <alignment horizontal="center" vertical="bottom"/>
    </xf>
    <xf numFmtId="2" fontId="148" fillId="0" borderId="6" applyAlignment="1" applyProtection="1" pivotButton="0" quotePrefix="0" xfId="0">
      <alignment horizontal="center" vertical="bottom"/>
      <protection locked="0" hidden="0"/>
    </xf>
    <xf numFmtId="2" fontId="148" fillId="0" borderId="6" applyAlignment="1" pivotButton="0" quotePrefix="0" xfId="0">
      <alignment horizontal="center" vertical="bottom"/>
    </xf>
    <xf numFmtId="2" fontId="148" fillId="0" borderId="0" applyAlignment="1" pivotButton="0" quotePrefix="0" xfId="0">
      <alignment horizontal="center" vertical="bottom"/>
    </xf>
    <xf numFmtId="0" fontId="124" fillId="0" borderId="13" applyAlignment="1" applyProtection="1" pivotButton="0" quotePrefix="0" xfId="32">
      <alignment horizontal="center" vertical="center" wrapText="1"/>
      <protection locked="0" hidden="0"/>
    </xf>
    <xf numFmtId="2" fontId="129" fillId="0" borderId="6" applyAlignment="1" pivotButton="0" quotePrefix="0" xfId="0">
      <alignment horizontal="center" vertical="center"/>
    </xf>
    <xf numFmtId="2" fontId="129" fillId="0" borderId="6" applyAlignment="1" pivotButton="0" quotePrefix="0" xfId="0">
      <alignment horizontal="center" vertical="bottom"/>
    </xf>
    <xf numFmtId="0" fontId="150" fillId="51" borderId="17" applyAlignment="1" pivotButton="0" quotePrefix="0" xfId="0">
      <alignment horizontal="left" vertical="center" wrapText="1"/>
    </xf>
    <xf numFmtId="0" fontId="150" fillId="51" borderId="18" applyAlignment="1" pivotButton="0" quotePrefix="0" xfId="0">
      <alignment horizontal="general" vertical="center" wrapText="1"/>
    </xf>
    <xf numFmtId="0" fontId="150" fillId="51" borderId="18" applyAlignment="1" pivotButton="0" quotePrefix="0" xfId="0">
      <alignment horizontal="center" vertical="center" wrapText="1"/>
    </xf>
    <xf numFmtId="0" fontId="150" fillId="51" borderId="19" applyAlignment="1" pivotButton="0" quotePrefix="0" xfId="0">
      <alignment horizontal="center" vertical="center" wrapText="1"/>
    </xf>
    <xf numFmtId="0" fontId="151" fillId="52" borderId="17" applyAlignment="1" pivotButton="0" quotePrefix="0" xfId="23">
      <alignment horizontal="center" vertical="center"/>
    </xf>
    <xf numFmtId="0" fontId="151" fillId="52" borderId="18" applyAlignment="1" pivotButton="0" quotePrefix="0" xfId="23">
      <alignment horizontal="center" vertical="center" wrapText="1"/>
    </xf>
    <xf numFmtId="0" fontId="151" fillId="52" borderId="78" applyAlignment="1" pivotButton="0" quotePrefix="0" xfId="23">
      <alignment horizontal="center" vertical="center" wrapText="1"/>
    </xf>
    <xf numFmtId="0" fontId="151" fillId="52" borderId="18" applyAlignment="1" pivotButton="0" quotePrefix="0" xfId="23">
      <alignment horizontal="center" vertical="center"/>
    </xf>
    <xf numFmtId="0" fontId="151" fillId="52" borderId="29" applyAlignment="1" pivotButton="0" quotePrefix="0" xfId="23">
      <alignment horizontal="center" vertical="center" wrapText="1"/>
    </xf>
    <xf numFmtId="0" fontId="152" fillId="9" borderId="6" applyAlignment="1" pivotButton="0" quotePrefix="0" xfId="0">
      <alignment horizontal="left" vertical="bottom" wrapText="1"/>
    </xf>
    <xf numFmtId="0" fontId="152" fillId="8" borderId="6" applyAlignment="1" pivotButton="0" quotePrefix="0" xfId="0">
      <alignment horizontal="general" vertical="bottom"/>
    </xf>
    <xf numFmtId="170" fontId="152" fillId="8" borderId="6" applyAlignment="1" pivotButton="0" quotePrefix="0" xfId="0">
      <alignment horizontal="right" vertical="bottom" indent="1"/>
    </xf>
    <xf numFmtId="0" fontId="152" fillId="8" borderId="6" applyAlignment="1" pivotButton="0" quotePrefix="0" xfId="0">
      <alignment horizontal="center" vertical="bottom"/>
    </xf>
    <xf numFmtId="1" fontId="152" fillId="8" borderId="6" applyAlignment="1" pivotButton="0" quotePrefix="0" xfId="0">
      <alignment horizontal="right" vertical="bottom" indent="1"/>
    </xf>
    <xf numFmtId="0" fontId="0" fillId="0" borderId="52" pivotButton="0" quotePrefix="0" xfId="0"/>
    <xf numFmtId="0" fontId="152" fillId="9" borderId="6" applyAlignment="1" pivotButton="0" quotePrefix="0" xfId="0">
      <alignment horizontal="left" vertical="center" wrapText="1"/>
    </xf>
    <xf numFmtId="2" fontId="152" fillId="8" borderId="6" applyAlignment="1" pivotButton="0" quotePrefix="0" xfId="0">
      <alignment horizontal="general" vertical="bottom"/>
    </xf>
    <xf numFmtId="49" fontId="152" fillId="8" borderId="6" applyAlignment="1" pivotButton="0" quotePrefix="0" xfId="0">
      <alignment horizontal="general" vertical="bottom"/>
    </xf>
    <xf numFmtId="1" fontId="152" fillId="2" borderId="6" applyAlignment="1" pivotButton="0" quotePrefix="0" xfId="23">
      <alignment horizontal="center" vertical="center"/>
    </xf>
    <xf numFmtId="180" fontId="153" fillId="0" borderId="6" applyAlignment="1" pivotButton="0" quotePrefix="0" xfId="0">
      <alignment horizontal="center" vertical="center"/>
    </xf>
    <xf numFmtId="180" fontId="153" fillId="0" borderId="6" applyAlignment="1" pivotButton="0" quotePrefix="0" xfId="0">
      <alignment horizontal="left" vertical="center"/>
    </xf>
    <xf numFmtId="0" fontId="153" fillId="0" borderId="6" applyAlignment="1" pivotButton="0" quotePrefix="0" xfId="0">
      <alignment horizontal="center" vertical="center"/>
    </xf>
    <xf numFmtId="0" fontId="152" fillId="8" borderId="6" applyAlignment="1" pivotButton="0" quotePrefix="0" xfId="0">
      <alignment horizontal="right" vertical="bottom" indent="1"/>
    </xf>
    <xf numFmtId="0" fontId="152" fillId="8" borderId="6" applyAlignment="1" pivotButton="0" quotePrefix="0" xfId="0">
      <alignment horizontal="right" vertical="center" indent="1"/>
    </xf>
    <xf numFmtId="0" fontId="152" fillId="8" borderId="6" applyAlignment="1" pivotButton="0" quotePrefix="0" xfId="0">
      <alignment horizontal="center" vertical="center"/>
    </xf>
    <xf numFmtId="0" fontId="154" fillId="2" borderId="0" applyAlignment="1" pivotButton="0" quotePrefix="0" xfId="23">
      <alignment horizontal="center" vertical="center"/>
    </xf>
    <xf numFmtId="0" fontId="154" fillId="2" borderId="0" applyAlignment="1" pivotButton="0" quotePrefix="0" xfId="23">
      <alignment horizontal="center" vertical="center" wrapText="1"/>
    </xf>
    <xf numFmtId="0" fontId="155" fillId="2" borderId="0" applyAlignment="1" applyProtection="1" pivotButton="0" quotePrefix="0" xfId="23">
      <alignment horizontal="center" vertical="center"/>
      <protection locked="0" hidden="0"/>
    </xf>
    <xf numFmtId="49" fontId="152" fillId="8" borderId="6" applyAlignment="1" pivotButton="0" quotePrefix="0" xfId="0">
      <alignment horizontal="right" vertical="center" indent="1"/>
    </xf>
    <xf numFmtId="180" fontId="153" fillId="0" borderId="20" applyAlignment="1" pivotButton="0" quotePrefix="0" xfId="0">
      <alignment horizontal="center" vertical="center"/>
    </xf>
    <xf numFmtId="180" fontId="153" fillId="0" borderId="20" applyAlignment="1" pivotButton="0" quotePrefix="0" xfId="0">
      <alignment horizontal="left" vertical="center"/>
    </xf>
    <xf numFmtId="0" fontId="156" fillId="0" borderId="0" applyAlignment="1" pivotButton="0" quotePrefix="0" xfId="0">
      <alignment horizontal="general" vertical="bottom"/>
    </xf>
    <xf numFmtId="0" fontId="157" fillId="0" borderId="0" applyAlignment="1" pivotButton="0" quotePrefix="0" xfId="0">
      <alignment horizontal="center" vertical="bottom"/>
    </xf>
    <xf numFmtId="0" fontId="158" fillId="0" borderId="0" applyAlignment="1" pivotButton="0" quotePrefix="0" xfId="0">
      <alignment horizontal="general" vertical="bottom"/>
    </xf>
    <xf numFmtId="0" fontId="156" fillId="0" borderId="79" applyAlignment="1" pivotButton="0" quotePrefix="0" xfId="0">
      <alignment horizontal="center" vertical="bottom"/>
    </xf>
    <xf numFmtId="0" fontId="0" fillId="0" borderId="149" pivotButton="0" quotePrefix="0" xfId="0"/>
    <xf numFmtId="0" fontId="159" fillId="0" borderId="80" applyAlignment="1" pivotButton="0" quotePrefix="0" xfId="0">
      <alignment horizontal="center" vertical="center"/>
    </xf>
    <xf numFmtId="0" fontId="160" fillId="0" borderId="80" applyAlignment="1" pivotButton="0" quotePrefix="0" xfId="0">
      <alignment horizontal="center" vertical="top" wrapText="1"/>
    </xf>
    <xf numFmtId="0" fontId="161" fillId="0" borderId="81" applyAlignment="1" pivotButton="0" quotePrefix="0" xfId="0">
      <alignment horizontal="center" vertical="center"/>
    </xf>
    <xf numFmtId="0" fontId="161" fillId="38" borderId="82" applyAlignment="1" pivotButton="0" quotePrefix="0" xfId="0">
      <alignment horizontal="center" vertical="center"/>
    </xf>
    <xf numFmtId="0" fontId="161" fillId="0" borderId="82" applyAlignment="1" pivotButton="0" quotePrefix="0" xfId="0">
      <alignment horizontal="center" vertical="center"/>
    </xf>
    <xf numFmtId="0" fontId="161" fillId="38" borderId="83" applyAlignment="1" pivotButton="0" quotePrefix="0" xfId="0">
      <alignment horizontal="center" vertical="center"/>
    </xf>
    <xf numFmtId="0" fontId="0" fillId="0" borderId="89" pivotButton="0" quotePrefix="0" xfId="0"/>
    <xf numFmtId="0" fontId="0" fillId="0" borderId="96" pivotButton="0" quotePrefix="0" xfId="0"/>
    <xf numFmtId="0" fontId="0" fillId="0" borderId="97" pivotButton="0" quotePrefix="0" xfId="0"/>
    <xf numFmtId="0" fontId="0" fillId="0" borderId="98" pivotButton="0" quotePrefix="0" xfId="0"/>
    <xf numFmtId="0" fontId="0" fillId="0" borderId="151" pivotButton="0" quotePrefix="0" xfId="0"/>
    <xf numFmtId="0" fontId="158" fillId="0" borderId="84" applyAlignment="1" pivotButton="0" quotePrefix="0" xfId="0">
      <alignment horizontal="general" vertical="center"/>
    </xf>
    <xf numFmtId="0" fontId="158" fillId="38" borderId="85" applyAlignment="1" pivotButton="0" quotePrefix="0" xfId="0">
      <alignment horizontal="center" vertical="center"/>
    </xf>
    <xf numFmtId="0" fontId="158" fillId="0" borderId="85" applyAlignment="1" pivotButton="0" quotePrefix="0" xfId="0">
      <alignment horizontal="left" vertical="center"/>
    </xf>
    <xf numFmtId="0" fontId="158" fillId="38" borderId="86" applyAlignment="1" pivotButton="0" quotePrefix="0" xfId="0">
      <alignment horizontal="center" vertical="center"/>
    </xf>
    <xf numFmtId="0" fontId="162" fillId="0" borderId="87" applyAlignment="1" pivotButton="0" quotePrefix="0" xfId="0">
      <alignment horizontal="center" vertical="center"/>
    </xf>
    <xf numFmtId="0" fontId="0" fillId="0" borderId="102" pivotButton="0" quotePrefix="0" xfId="0"/>
    <xf numFmtId="0" fontId="0" fillId="0" borderId="152" pivotButton="0" quotePrefix="0" xfId="0"/>
    <xf numFmtId="0" fontId="163" fillId="16" borderId="44" applyAlignment="1" pivotButton="0" quotePrefix="0" xfId="0">
      <alignment horizontal="left" vertical="top" wrapText="1" indent="1"/>
    </xf>
    <xf numFmtId="0" fontId="163" fillId="16" borderId="43" applyAlignment="1" pivotButton="0" quotePrefix="0" xfId="0">
      <alignment horizontal="right" vertical="top" wrapText="1"/>
    </xf>
    <xf numFmtId="0" fontId="0" fillId="16" borderId="44" applyAlignment="1" pivotButton="0" quotePrefix="0" xfId="0">
      <alignment horizontal="left" vertical="bottom" wrapText="1"/>
    </xf>
    <xf numFmtId="0" fontId="163" fillId="16" borderId="6" applyAlignment="1" pivotButton="0" quotePrefix="0" xfId="0">
      <alignment horizontal="right" vertical="top" wrapText="1"/>
    </xf>
    <xf numFmtId="0" fontId="163" fillId="16" borderId="6" applyAlignment="1" pivotButton="0" quotePrefix="0" xfId="0">
      <alignment horizontal="center" vertical="top" wrapText="1"/>
    </xf>
    <xf numFmtId="0" fontId="0" fillId="16" borderId="43" applyAlignment="1" pivotButton="0" quotePrefix="0" xfId="0">
      <alignment horizontal="left" vertical="bottom" wrapText="1"/>
    </xf>
    <xf numFmtId="0" fontId="163" fillId="16" borderId="44" applyAlignment="1" pivotButton="0" quotePrefix="0" xfId="0">
      <alignment horizontal="right" vertical="top" wrapText="1"/>
    </xf>
    <xf numFmtId="0" fontId="164" fillId="0" borderId="0" applyAlignment="1" pivotButton="0" quotePrefix="0" xfId="0">
      <alignment horizontal="general" vertical="bottom"/>
    </xf>
    <xf numFmtId="0" fontId="158" fillId="0" borderId="88" applyAlignment="1" pivotButton="0" quotePrefix="0" xfId="0">
      <alignment horizontal="general" vertical="center"/>
    </xf>
    <xf numFmtId="2" fontId="158" fillId="38" borderId="0" applyAlignment="1" pivotButton="0" quotePrefix="0" xfId="0">
      <alignment horizontal="center" vertical="center"/>
    </xf>
    <xf numFmtId="0" fontId="158" fillId="0" borderId="0" applyAlignment="1" pivotButton="0" quotePrefix="0" xfId="0">
      <alignment horizontal="left" vertical="center"/>
    </xf>
    <xf numFmtId="0" fontId="158" fillId="38" borderId="0" applyAlignment="1" pivotButton="0" quotePrefix="0" xfId="0">
      <alignment horizontal="center" vertical="center"/>
    </xf>
    <xf numFmtId="0" fontId="158" fillId="38" borderId="89" applyAlignment="1" pivotButton="0" quotePrefix="0" xfId="0">
      <alignment horizontal="center" vertical="center"/>
    </xf>
    <xf numFmtId="0" fontId="158" fillId="8" borderId="90" applyAlignment="1" pivotButton="0" quotePrefix="0" xfId="0">
      <alignment horizontal="center" vertical="center"/>
    </xf>
    <xf numFmtId="0" fontId="0" fillId="0" borderId="153" pivotButton="0" quotePrefix="0" xfId="0"/>
    <xf numFmtId="0" fontId="158" fillId="8" borderId="91" applyAlignment="1" pivotButton="0" quotePrefix="0" xfId="0">
      <alignment horizontal="center" vertical="center"/>
    </xf>
    <xf numFmtId="0" fontId="158" fillId="8" borderId="92" applyAlignment="1" pivotButton="0" quotePrefix="0" xfId="0">
      <alignment horizontal="center" vertical="center"/>
    </xf>
    <xf numFmtId="0" fontId="158" fillId="2" borderId="93" applyAlignment="1" pivotButton="0" quotePrefix="0" xfId="0">
      <alignment horizontal="general" vertical="center"/>
    </xf>
    <xf numFmtId="0" fontId="158" fillId="2" borderId="94" applyAlignment="1" pivotButton="0" quotePrefix="0" xfId="0">
      <alignment horizontal="general" vertical="center"/>
    </xf>
    <xf numFmtId="0" fontId="158" fillId="2" borderId="92" applyAlignment="1" pivotButton="0" quotePrefix="0" xfId="0">
      <alignment horizontal="center" vertical="center"/>
    </xf>
    <xf numFmtId="0" fontId="0" fillId="0" borderId="94" pivotButton="0" quotePrefix="0" xfId="0"/>
    <xf numFmtId="0" fontId="158" fillId="2" borderId="95" applyAlignment="1" pivotButton="0" quotePrefix="0" xfId="0">
      <alignment horizontal="center" vertical="center"/>
    </xf>
    <xf numFmtId="0" fontId="165" fillId="0" borderId="44" applyAlignment="1" pivotButton="0" quotePrefix="0" xfId="0">
      <alignment horizontal="left" vertical="top" wrapText="1" indent="2"/>
    </xf>
    <xf numFmtId="1" fontId="166" fillId="0" borderId="43" applyAlignment="1" pivotButton="0" quotePrefix="0" xfId="0">
      <alignment horizontal="right" vertical="top" shrinkToFit="1"/>
    </xf>
    <xf numFmtId="0" fontId="0" fillId="0" borderId="44" applyAlignment="1" pivotButton="0" quotePrefix="0" xfId="0">
      <alignment horizontal="left" vertical="bottom" wrapText="1"/>
    </xf>
    <xf numFmtId="170" fontId="166" fillId="0" borderId="6" applyAlignment="1" pivotButton="0" quotePrefix="0" xfId="0">
      <alignment horizontal="center" vertical="top" shrinkToFit="1"/>
    </xf>
    <xf numFmtId="0" fontId="165" fillId="0" borderId="6" applyAlignment="1" pivotButton="0" quotePrefix="0" xfId="0">
      <alignment horizontal="center" vertical="top" wrapText="1"/>
    </xf>
    <xf numFmtId="0" fontId="0" fillId="0" borderId="43" applyAlignment="1" pivotButton="0" quotePrefix="0" xfId="0">
      <alignment horizontal="left" vertical="bottom" wrapText="1"/>
    </xf>
    <xf numFmtId="1" fontId="166" fillId="0" borderId="44" applyAlignment="1" pivotButton="0" quotePrefix="0" xfId="0">
      <alignment horizontal="center" vertical="top" shrinkToFit="1"/>
    </xf>
    <xf numFmtId="0" fontId="158" fillId="0" borderId="96" applyAlignment="1" pivotButton="0" quotePrefix="0" xfId="0">
      <alignment horizontal="general" vertical="center"/>
    </xf>
    <xf numFmtId="0" fontId="158" fillId="0" borderId="97" applyAlignment="1" pivotButton="0" quotePrefix="0" xfId="0">
      <alignment horizontal="general" vertical="center"/>
    </xf>
    <xf numFmtId="0" fontId="158" fillId="0" borderId="97" applyAlignment="1" pivotButton="0" quotePrefix="0" xfId="0">
      <alignment horizontal="left" vertical="center"/>
    </xf>
    <xf numFmtId="0" fontId="156" fillId="0" borderId="97" applyAlignment="1" pivotButton="0" quotePrefix="0" xfId="0">
      <alignment horizontal="general" vertical="bottom"/>
    </xf>
    <xf numFmtId="0" fontId="158" fillId="38" borderId="98" applyAlignment="1" pivotButton="0" quotePrefix="0" xfId="0">
      <alignment horizontal="center" vertical="center"/>
    </xf>
    <xf numFmtId="0" fontId="158" fillId="8" borderId="99" applyAlignment="1" pivotButton="0" quotePrefix="0" xfId="0">
      <alignment horizontal="center" vertical="center"/>
    </xf>
    <xf numFmtId="0" fontId="158" fillId="8" borderId="15" applyAlignment="1" pivotButton="0" quotePrefix="0" xfId="0">
      <alignment horizontal="center" vertical="center"/>
    </xf>
    <xf numFmtId="0" fontId="0" fillId="0" borderId="107" pivotButton="0" quotePrefix="0" xfId="0"/>
    <xf numFmtId="0" fontId="158" fillId="8" borderId="15" applyAlignment="1" pivotButton="0" quotePrefix="0" xfId="0">
      <alignment horizontal="center" vertical="center" wrapText="1"/>
    </xf>
    <xf numFmtId="0" fontId="158" fillId="2" borderId="43" applyAlignment="1" pivotButton="0" quotePrefix="0" xfId="0">
      <alignment horizontal="center" vertical="center"/>
    </xf>
    <xf numFmtId="0" fontId="158" fillId="2" borderId="15" applyAlignment="1" pivotButton="0" quotePrefix="0" xfId="0">
      <alignment horizontal="center" vertical="center"/>
    </xf>
    <xf numFmtId="0" fontId="158" fillId="2" borderId="48" applyAlignment="1" pivotButton="0" quotePrefix="0" xfId="0">
      <alignment horizontal="center" vertical="center" wrapText="1"/>
    </xf>
    <xf numFmtId="0" fontId="165" fillId="0" borderId="100" applyAlignment="1" pivotButton="0" quotePrefix="0" xfId="0">
      <alignment horizontal="left" vertical="top" wrapText="1"/>
    </xf>
    <xf numFmtId="1" fontId="166" fillId="0" borderId="101" applyAlignment="1" pivotButton="0" quotePrefix="0" xfId="0">
      <alignment horizontal="right" vertical="top" shrinkToFit="1"/>
    </xf>
    <xf numFmtId="0" fontId="0" fillId="0" borderId="100" applyAlignment="1" pivotButton="0" quotePrefix="0" xfId="0">
      <alignment horizontal="left" vertical="bottom" wrapText="1"/>
    </xf>
    <xf numFmtId="170" fontId="166" fillId="0" borderId="20" applyAlignment="1" pivotButton="0" quotePrefix="0" xfId="0">
      <alignment horizontal="center" vertical="top" shrinkToFit="1"/>
    </xf>
    <xf numFmtId="0" fontId="0" fillId="0" borderId="20" applyAlignment="1" pivotButton="0" quotePrefix="0" xfId="0">
      <alignment horizontal="left" vertical="bottom" wrapText="1"/>
    </xf>
    <xf numFmtId="0" fontId="0" fillId="0" borderId="101" applyAlignment="1" pivotButton="0" quotePrefix="0" xfId="0">
      <alignment horizontal="left" vertical="bottom" wrapText="1"/>
    </xf>
    <xf numFmtId="0" fontId="158" fillId="0" borderId="96" applyAlignment="1" pivotButton="0" quotePrefix="0" xfId="0">
      <alignment horizontal="center" vertical="center"/>
    </xf>
    <xf numFmtId="3" fontId="158" fillId="38" borderId="102" applyAlignment="1" pivotButton="0" quotePrefix="0" xfId="0">
      <alignment horizontal="center" vertical="center"/>
    </xf>
    <xf numFmtId="0" fontId="158" fillId="0" borderId="97" applyAlignment="1" pivotButton="0" quotePrefix="0" xfId="0">
      <alignment horizontal="center" vertical="center"/>
    </xf>
    <xf numFmtId="0" fontId="158" fillId="0" borderId="103" applyAlignment="1" pivotButton="0" quotePrefix="0" xfId="0">
      <alignment horizontal="center" vertical="center"/>
    </xf>
    <xf numFmtId="0" fontId="158" fillId="0" borderId="20" applyAlignment="1" pivotButton="0" quotePrefix="0" xfId="0">
      <alignment horizontal="center" vertical="center"/>
    </xf>
    <xf numFmtId="1" fontId="158" fillId="0" borderId="20" applyAlignment="1" pivotButton="0" quotePrefix="0" xfId="0">
      <alignment horizontal="center" vertical="center"/>
    </xf>
    <xf numFmtId="1" fontId="158" fillId="2" borderId="20" applyAlignment="1" pivotButton="0" quotePrefix="0" xfId="0">
      <alignment horizontal="center" vertical="center"/>
    </xf>
    <xf numFmtId="170" fontId="158" fillId="2" borderId="20" applyAlignment="1" pivotButton="0" quotePrefix="0" xfId="0">
      <alignment horizontal="center" vertical="center"/>
    </xf>
    <xf numFmtId="0" fontId="158" fillId="2" borderId="23" applyAlignment="1" pivotButton="0" quotePrefix="0" xfId="0">
      <alignment horizontal="center" vertical="center"/>
    </xf>
    <xf numFmtId="1" fontId="166" fillId="0" borderId="75" applyAlignment="1" pivotButton="0" quotePrefix="0" xfId="0">
      <alignment horizontal="left" vertical="top" shrinkToFit="1" indent="2"/>
    </xf>
    <xf numFmtId="0" fontId="0" fillId="0" borderId="104" applyAlignment="1" pivotButton="0" quotePrefix="0" xfId="0">
      <alignment horizontal="left" vertical="bottom" wrapText="1"/>
    </xf>
    <xf numFmtId="0" fontId="0" fillId="0" borderId="75" applyAlignment="1" pivotButton="0" quotePrefix="0" xfId="0">
      <alignment horizontal="left" vertical="bottom" wrapText="1"/>
    </xf>
    <xf numFmtId="0" fontId="0" fillId="0" borderId="76" applyAlignment="1" pivotButton="0" quotePrefix="0" xfId="0">
      <alignment horizontal="left" vertical="bottom" wrapText="1"/>
    </xf>
    <xf numFmtId="1" fontId="166" fillId="0" borderId="76" applyAlignment="1" pivotButton="0" quotePrefix="0" xfId="0">
      <alignment horizontal="center" vertical="top" shrinkToFit="1"/>
    </xf>
    <xf numFmtId="1" fontId="166" fillId="0" borderId="75" applyAlignment="1" pivotButton="0" quotePrefix="0" xfId="0">
      <alignment horizontal="center" vertical="top" shrinkToFit="1"/>
    </xf>
    <xf numFmtId="0" fontId="0" fillId="0" borderId="150" pivotButton="0" quotePrefix="0" xfId="0"/>
    <xf numFmtId="0" fontId="162" fillId="0" borderId="105" applyAlignment="1" pivotButton="0" quotePrefix="0" xfId="0">
      <alignment horizontal="center" vertical="center"/>
    </xf>
    <xf numFmtId="0" fontId="0" fillId="0" borderId="154" pivotButton="0" quotePrefix="0" xfId="0"/>
    <xf numFmtId="0" fontId="158" fillId="0" borderId="106" applyAlignment="1" pivotButton="0" quotePrefix="0" xfId="0">
      <alignment horizontal="center" vertical="center"/>
    </xf>
    <xf numFmtId="0" fontId="158" fillId="0" borderId="76" applyAlignment="1" pivotButton="0" quotePrefix="0" xfId="0">
      <alignment horizontal="center" vertical="center"/>
    </xf>
    <xf numFmtId="1" fontId="158" fillId="2" borderId="76" applyAlignment="1" pivotButton="0" quotePrefix="0" xfId="0">
      <alignment horizontal="center" vertical="center"/>
    </xf>
    <xf numFmtId="170" fontId="158" fillId="2" borderId="76" applyAlignment="1" pivotButton="0" quotePrefix="0" xfId="0">
      <alignment horizontal="center" vertical="center"/>
    </xf>
    <xf numFmtId="0" fontId="158" fillId="2" borderId="53" applyAlignment="1" pivotButton="0" quotePrefix="0" xfId="0">
      <alignment horizontal="center" vertical="center"/>
    </xf>
    <xf numFmtId="0" fontId="165" fillId="0" borderId="14" applyAlignment="1" pivotButton="0" quotePrefix="0" xfId="0">
      <alignment horizontal="left" vertical="top" wrapText="1" indent="1"/>
    </xf>
    <xf numFmtId="1" fontId="166" fillId="0" borderId="107" applyAlignment="1" pivotButton="0" quotePrefix="0" xfId="0">
      <alignment horizontal="right" vertical="top" shrinkToFit="1"/>
    </xf>
    <xf numFmtId="0" fontId="0" fillId="0" borderId="14" applyAlignment="1" pivotButton="0" quotePrefix="0" xfId="0">
      <alignment horizontal="left" vertical="bottom" wrapText="1"/>
    </xf>
    <xf numFmtId="170" fontId="166" fillId="0" borderId="15" applyAlignment="1" pivotButton="0" quotePrefix="0" xfId="0">
      <alignment horizontal="center" vertical="top" shrinkToFit="1"/>
    </xf>
    <xf numFmtId="0" fontId="0" fillId="0" borderId="15" applyAlignment="1" pivotButton="0" quotePrefix="0" xfId="0">
      <alignment horizontal="left" vertical="bottom" wrapText="1"/>
    </xf>
    <xf numFmtId="0" fontId="0" fillId="0" borderId="107" applyAlignment="1" pivotButton="0" quotePrefix="0" xfId="0">
      <alignment horizontal="left" vertical="bottom" wrapText="1"/>
    </xf>
    <xf numFmtId="0" fontId="158" fillId="0" borderId="108" applyAlignment="1" pivotButton="0" quotePrefix="0" xfId="0">
      <alignment horizontal="center" vertical="center"/>
    </xf>
    <xf numFmtId="0" fontId="0" fillId="0" borderId="155" pivotButton="0" quotePrefix="0" xfId="0"/>
    <xf numFmtId="0" fontId="158" fillId="0" borderId="92" applyAlignment="1" pivotButton="0" quotePrefix="0" xfId="0">
      <alignment horizontal="center" vertical="center"/>
    </xf>
    <xf numFmtId="0" fontId="158" fillId="0" borderId="109" applyAlignment="1" pivotButton="0" quotePrefix="0" xfId="0">
      <alignment horizontal="center" vertical="center"/>
    </xf>
    <xf numFmtId="0" fontId="0" fillId="0" borderId="156" pivotButton="0" quotePrefix="0" xfId="0"/>
    <xf numFmtId="1" fontId="158" fillId="2" borderId="43" applyAlignment="1" pivotButton="0" quotePrefix="0" xfId="0">
      <alignment horizontal="center" vertical="center"/>
    </xf>
    <xf numFmtId="1" fontId="158" fillId="2" borderId="15" applyAlignment="1" pivotButton="0" quotePrefix="0" xfId="0">
      <alignment horizontal="center" vertical="center"/>
    </xf>
    <xf numFmtId="1" fontId="166" fillId="0" borderId="20" applyAlignment="1" pivotButton="0" quotePrefix="0" xfId="0">
      <alignment horizontal="left" vertical="top" shrinkToFit="1" indent="2"/>
    </xf>
    <xf numFmtId="0" fontId="158" fillId="0" borderId="6" applyAlignment="1" pivotButton="0" quotePrefix="0" xfId="0">
      <alignment horizontal="left" vertical="center"/>
    </xf>
    <xf numFmtId="0" fontId="158" fillId="2" borderId="6" applyAlignment="1" pivotButton="0" quotePrefix="0" xfId="0">
      <alignment horizontal="center" vertical="center"/>
    </xf>
    <xf numFmtId="0" fontId="158" fillId="0" borderId="75" applyAlignment="1" pivotButton="0" quotePrefix="0" xfId="0">
      <alignment horizontal="center" vertical="center"/>
    </xf>
    <xf numFmtId="0" fontId="165" fillId="0" borderId="44" applyAlignment="1" pivotButton="0" quotePrefix="0" xfId="0">
      <alignment horizontal="left" vertical="top" wrapText="1" indent="1"/>
    </xf>
    <xf numFmtId="170" fontId="166" fillId="0" borderId="15" applyAlignment="1" pivotButton="0" quotePrefix="0" xfId="0">
      <alignment horizontal="left" vertical="top" shrinkToFit="1" indent="2"/>
    </xf>
    <xf numFmtId="170" fontId="166" fillId="0" borderId="20" applyAlignment="1" pivotButton="0" quotePrefix="0" xfId="0">
      <alignment horizontal="left" vertical="top" shrinkToFit="1" indent="2"/>
    </xf>
    <xf numFmtId="0" fontId="158" fillId="0" borderId="14" applyAlignment="1" pivotButton="0" quotePrefix="0" xfId="0">
      <alignment horizontal="center" vertical="center"/>
    </xf>
    <xf numFmtId="0" fontId="158" fillId="0" borderId="15" applyAlignment="1" pivotButton="0" quotePrefix="0" xfId="0">
      <alignment horizontal="center" vertical="center"/>
    </xf>
    <xf numFmtId="170" fontId="158" fillId="2" borderId="15" applyAlignment="1" pivotButton="0" quotePrefix="0" xfId="0">
      <alignment horizontal="center" vertical="center"/>
    </xf>
    <xf numFmtId="0" fontId="158" fillId="2" borderId="76" applyAlignment="1" pivotButton="0" quotePrefix="0" xfId="0">
      <alignment horizontal="center" vertical="center"/>
    </xf>
    <xf numFmtId="0" fontId="158" fillId="0" borderId="6" applyAlignment="1" pivotButton="0" quotePrefix="0" xfId="0">
      <alignment horizontal="left" vertical="center" indent="1"/>
    </xf>
    <xf numFmtId="0" fontId="158" fillId="0" borderId="100" applyAlignment="1" pivotButton="0" quotePrefix="0" xfId="0">
      <alignment horizontal="center" vertical="center"/>
    </xf>
    <xf numFmtId="2" fontId="158" fillId="0" borderId="20" applyAlignment="1" pivotButton="0" quotePrefix="0" xfId="0">
      <alignment horizontal="center" vertical="center"/>
    </xf>
    <xf numFmtId="0" fontId="158" fillId="0" borderId="23" applyAlignment="1" pivotButton="0" quotePrefix="0" xfId="0">
      <alignment horizontal="center" vertical="center"/>
    </xf>
    <xf numFmtId="0" fontId="165" fillId="0" borderId="75" applyAlignment="1" pivotButton="0" quotePrefix="0" xfId="0">
      <alignment horizontal="left" vertical="top" wrapText="1" indent="1"/>
    </xf>
    <xf numFmtId="170" fontId="166" fillId="0" borderId="76" applyAlignment="1" pivotButton="0" quotePrefix="0" xfId="0">
      <alignment horizontal="left" vertical="top" shrinkToFit="1" indent="2"/>
    </xf>
    <xf numFmtId="0" fontId="158" fillId="0" borderId="6" applyAlignment="1" pivotButton="0" quotePrefix="0" xfId="0">
      <alignment horizontal="center" vertical="center"/>
    </xf>
    <xf numFmtId="0" fontId="158" fillId="0" borderId="110" applyAlignment="1" pivotButton="0" quotePrefix="0" xfId="0">
      <alignment horizontal="center" vertical="center"/>
    </xf>
    <xf numFmtId="0" fontId="0" fillId="0" borderId="110" pivotButton="0" quotePrefix="0" xfId="0"/>
    <xf numFmtId="0" fontId="158" fillId="0" borderId="111" applyAlignment="1" pivotButton="0" quotePrefix="0" xfId="0">
      <alignment horizontal="center" vertical="center"/>
    </xf>
    <xf numFmtId="0" fontId="158" fillId="0" borderId="0" applyAlignment="1" pivotButton="0" quotePrefix="0" xfId="0">
      <alignment horizontal="center" vertical="center"/>
    </xf>
    <xf numFmtId="0" fontId="158" fillId="0" borderId="104" applyAlignment="1" pivotButton="0" quotePrefix="0" xfId="0">
      <alignment horizontal="center" vertical="center"/>
    </xf>
    <xf numFmtId="0" fontId="158" fillId="0" borderId="30" applyAlignment="1" pivotButton="0" quotePrefix="0" xfId="0">
      <alignment horizontal="center" vertical="center"/>
    </xf>
    <xf numFmtId="0" fontId="167" fillId="0" borderId="0" applyAlignment="1" pivotButton="0" quotePrefix="0" xfId="0">
      <alignment horizontal="general" vertical="bottom"/>
    </xf>
    <xf numFmtId="1" fontId="167" fillId="0" borderId="0" applyAlignment="1" pivotButton="0" quotePrefix="0" xfId="0">
      <alignment horizontal="general" vertical="bottom"/>
    </xf>
    <xf numFmtId="0" fontId="156" fillId="0" borderId="34" applyAlignment="1" pivotButton="0" quotePrefix="0" xfId="0">
      <alignment horizontal="general" vertical="bottom"/>
    </xf>
    <xf numFmtId="0" fontId="156" fillId="0" borderId="76" applyAlignment="1" pivotButton="0" quotePrefix="0" xfId="0">
      <alignment horizontal="general" vertical="bottom"/>
    </xf>
    <xf numFmtId="0" fontId="156" fillId="0" borderId="104" applyAlignment="1" pivotButton="0" quotePrefix="0" xfId="0">
      <alignment horizontal="general" vertical="bottom"/>
    </xf>
    <xf numFmtId="0" fontId="156" fillId="0" borderId="75" applyAlignment="1" pivotButton="0" quotePrefix="0" xfId="0">
      <alignment horizontal="general" vertical="bottom"/>
    </xf>
    <xf numFmtId="0" fontId="158" fillId="0" borderId="0" applyAlignment="1" pivotButton="0" quotePrefix="0" xfId="0">
      <alignment horizontal="left" vertical="top"/>
    </xf>
    <xf numFmtId="0" fontId="168" fillId="0" borderId="15" applyAlignment="1" pivotButton="0" quotePrefix="0" xfId="0">
      <alignment horizontal="center" vertical="center"/>
    </xf>
    <xf numFmtId="0" fontId="168" fillId="0" borderId="15" applyAlignment="1" pivotButton="0" quotePrefix="0" xfId="0">
      <alignment horizontal="left" vertical="center"/>
    </xf>
    <xf numFmtId="0" fontId="168" fillId="0" borderId="93" applyAlignment="1" pivotButton="0" quotePrefix="0" xfId="0">
      <alignment horizontal="center" vertical="center"/>
    </xf>
    <xf numFmtId="0" fontId="168" fillId="0" borderId="92" applyAlignment="1" pivotButton="0" quotePrefix="0" xfId="0">
      <alignment horizontal="center" vertical="center"/>
    </xf>
    <xf numFmtId="0" fontId="168" fillId="0" borderId="112" applyAlignment="1" pivotButton="0" quotePrefix="0" xfId="0">
      <alignment horizontal="center" vertical="center"/>
    </xf>
    <xf numFmtId="0" fontId="0" fillId="0" borderId="157" pivotButton="0" quotePrefix="0" xfId="0"/>
    <xf numFmtId="0" fontId="167" fillId="0" borderId="76" applyAlignment="1" pivotButton="0" quotePrefix="0" xfId="0">
      <alignment horizontal="center" vertical="center"/>
    </xf>
    <xf numFmtId="0" fontId="169" fillId="0" borderId="0" applyAlignment="1" pivotButton="0" quotePrefix="0" xfId="0">
      <alignment horizontal="general" vertical="center"/>
    </xf>
    <xf numFmtId="0" fontId="167" fillId="0" borderId="0" applyAlignment="1" pivotButton="0" quotePrefix="0" xfId="0">
      <alignment horizontal="left" vertical="center"/>
    </xf>
    <xf numFmtId="176" fontId="167" fillId="0" borderId="101" applyAlignment="1" pivotButton="0" quotePrefix="0" xfId="0">
      <alignment horizontal="center" vertical="center"/>
    </xf>
    <xf numFmtId="176" fontId="167" fillId="0" borderId="20" applyAlignment="1" pivotButton="0" quotePrefix="0" xfId="0">
      <alignment horizontal="center" vertical="center"/>
    </xf>
    <xf numFmtId="2" fontId="167" fillId="0" borderId="101" applyAlignment="1" pivotButton="0" quotePrefix="0" xfId="0">
      <alignment horizontal="center" vertical="center"/>
    </xf>
    <xf numFmtId="2" fontId="167" fillId="0" borderId="30" applyAlignment="1" pivotButton="0" quotePrefix="0" xfId="0">
      <alignment horizontal="center" vertical="center"/>
    </xf>
    <xf numFmtId="0" fontId="167" fillId="0" borderId="0" applyAlignment="1" pivotButton="0" quotePrefix="0" xfId="0">
      <alignment horizontal="center" vertical="center"/>
    </xf>
    <xf numFmtId="0" fontId="167" fillId="0" borderId="43" applyAlignment="1" pivotButton="0" quotePrefix="0" xfId="0">
      <alignment horizontal="left" vertical="center" wrapText="1"/>
    </xf>
    <xf numFmtId="0" fontId="167" fillId="0" borderId="0" applyAlignment="1" pivotButton="0" quotePrefix="0" xfId="0">
      <alignment horizontal="right" vertical="center"/>
    </xf>
    <xf numFmtId="176" fontId="167" fillId="0" borderId="0" applyAlignment="1" pivotButton="0" quotePrefix="0" xfId="0">
      <alignment horizontal="center" vertical="center"/>
    </xf>
    <xf numFmtId="2" fontId="167" fillId="0" borderId="0" applyAlignment="1" pivotButton="0" quotePrefix="0" xfId="0">
      <alignment horizontal="center" vertical="center"/>
    </xf>
    <xf numFmtId="0" fontId="170" fillId="0" borderId="0" applyAlignment="1" pivotButton="0" quotePrefix="0" xfId="0">
      <alignment horizontal="general" vertical="bottom"/>
    </xf>
    <xf numFmtId="176" fontId="156" fillId="0" borderId="0" applyAlignment="1" pivotButton="0" quotePrefix="0" xfId="0">
      <alignment horizontal="general" vertical="bottom"/>
    </xf>
    <xf numFmtId="0" fontId="167" fillId="53" borderId="0" applyAlignment="1" pivotButton="0" quotePrefix="0" xfId="0">
      <alignment horizontal="general" vertical="bottom"/>
    </xf>
    <xf numFmtId="0" fontId="158" fillId="0" borderId="0" applyAlignment="1" pivotButton="0" quotePrefix="0" xfId="0">
      <alignment horizontal="general" vertical="center"/>
    </xf>
    <xf numFmtId="0" fontId="158" fillId="0" borderId="0" applyAlignment="1" pivotButton="0" quotePrefix="0" xfId="0">
      <alignment horizontal="left" vertical="bottom"/>
    </xf>
    <xf numFmtId="0" fontId="171" fillId="0" borderId="0" applyAlignment="1" pivotButton="0" quotePrefix="0" xfId="0">
      <alignment horizontal="general" vertical="bottom"/>
    </xf>
    <xf numFmtId="0" fontId="169" fillId="0" borderId="0" applyAlignment="1" pivotButton="0" quotePrefix="0" xfId="0">
      <alignment horizontal="center" vertical="bottom"/>
    </xf>
    <xf numFmtId="0" fontId="169" fillId="0" borderId="0" applyAlignment="1" pivotButton="0" quotePrefix="0" xfId="0">
      <alignment horizontal="left" vertical="bottom"/>
    </xf>
    <xf numFmtId="0" fontId="158" fillId="0" borderId="0" applyAlignment="1" pivotButton="0" quotePrefix="0" xfId="0">
      <alignment horizontal="right" vertical="top"/>
    </xf>
    <xf numFmtId="1" fontId="156" fillId="0" borderId="0" applyAlignment="1" pivotButton="0" quotePrefix="0" xfId="0">
      <alignment horizontal="general" vertical="bottom"/>
    </xf>
    <xf numFmtId="0" fontId="156" fillId="0" borderId="0" applyAlignment="1" pivotButton="0" quotePrefix="0" xfId="0">
      <alignment horizontal="right" vertical="bottom"/>
    </xf>
    <xf numFmtId="0" fontId="167" fillId="0" borderId="71" applyAlignment="1" pivotButton="0" quotePrefix="0" xfId="0">
      <alignment horizontal="left" vertical="center" wrapText="1"/>
    </xf>
    <xf numFmtId="0" fontId="167" fillId="0" borderId="0" applyAlignment="1" pivotButton="0" quotePrefix="0" xfId="0">
      <alignment horizontal="left" vertical="center" wrapText="1"/>
    </xf>
    <xf numFmtId="0" fontId="167" fillId="0" borderId="0" applyAlignment="1" pivotButton="0" quotePrefix="0" xfId="0">
      <alignment horizontal="left" vertical="bottom"/>
    </xf>
    <xf numFmtId="0" fontId="0" fillId="0" borderId="0" applyAlignment="1" pivotButton="0" quotePrefix="0" xfId="0">
      <alignment horizontal="left" vertical="bottom" wrapText="1"/>
    </xf>
    <xf numFmtId="0" fontId="156" fillId="0" borderId="15" applyAlignment="1" pivotButton="0" quotePrefix="0" xfId="0">
      <alignment horizontal="general" vertical="bottom"/>
    </xf>
    <xf numFmtId="0" fontId="47" fillId="0" borderId="0" applyAlignment="1" pivotButton="0" quotePrefix="0" xfId="0">
      <alignment horizontal="right" vertical="top" wrapText="1"/>
    </xf>
    <xf numFmtId="0" fontId="47" fillId="54" borderId="0" applyAlignment="1" pivotButton="0" quotePrefix="0" xfId="0">
      <alignment horizontal="center" vertical="top" wrapText="1"/>
    </xf>
    <xf numFmtId="0" fontId="158" fillId="0" borderId="0" applyAlignment="1" pivotButton="0" quotePrefix="0" xfId="0">
      <alignment horizontal="right" vertical="bottom"/>
    </xf>
    <xf numFmtId="0" fontId="169" fillId="0" borderId="0" applyAlignment="1" pivotButton="0" quotePrefix="0" xfId="0">
      <alignment horizontal="general" vertical="top"/>
    </xf>
    <xf numFmtId="0" fontId="167" fillId="0" borderId="0" applyAlignment="1" pivotButton="0" quotePrefix="0" xfId="0">
      <alignment horizontal="left" vertical="top"/>
    </xf>
    <xf numFmtId="0" fontId="168" fillId="0" borderId="0" applyAlignment="1" pivotButton="0" quotePrefix="0" xfId="0">
      <alignment horizontal="general" vertical="bottom"/>
    </xf>
    <xf numFmtId="0" fontId="169" fillId="0" borderId="0" applyAlignment="1" pivotButton="0" quotePrefix="0" xfId="0">
      <alignment horizontal="general" vertical="bottom"/>
    </xf>
    <xf numFmtId="0" fontId="0" fillId="0" borderId="113" applyAlignment="1" pivotButton="0" quotePrefix="0" xfId="0">
      <alignment horizontal="left" vertical="bottom" wrapText="1"/>
    </xf>
    <xf numFmtId="0" fontId="167" fillId="0" borderId="0" applyAlignment="1" pivotButton="0" quotePrefix="0" xfId="0">
      <alignment horizontal="center" vertical="bottom"/>
    </xf>
    <xf numFmtId="0" fontId="0" fillId="54" borderId="114" applyAlignment="1" pivotButton="0" quotePrefix="0" xfId="0">
      <alignment horizontal="left" vertical="bottom" wrapText="1"/>
    </xf>
    <xf numFmtId="0" fontId="0" fillId="54" borderId="115" applyAlignment="1" pivotButton="0" quotePrefix="0" xfId="0">
      <alignment horizontal="left" vertical="bottom" wrapText="1"/>
    </xf>
    <xf numFmtId="0" fontId="167" fillId="0" borderId="0" applyAlignment="1" pivotButton="0" quotePrefix="0" xfId="0">
      <alignment horizontal="right" vertical="bottom"/>
    </xf>
    <xf numFmtId="170" fontId="169" fillId="0" borderId="0" applyAlignment="1" pivotButton="0" quotePrefix="0" xfId="0">
      <alignment horizontal="general" vertical="center"/>
    </xf>
    <xf numFmtId="0" fontId="47" fillId="54" borderId="116" applyAlignment="1" pivotButton="0" quotePrefix="0" xfId="0">
      <alignment horizontal="right" vertical="top" wrapText="1"/>
    </xf>
    <xf numFmtId="0" fontId="47" fillId="54" borderId="117" applyAlignment="1" pivotButton="0" quotePrefix="0" xfId="0">
      <alignment horizontal="center" vertical="top" wrapText="1"/>
    </xf>
    <xf numFmtId="0" fontId="0" fillId="0" borderId="0" applyAlignment="1" pivotButton="0" quotePrefix="0" xfId="0">
      <alignment horizontal="left" vertical="center" wrapText="1"/>
    </xf>
    <xf numFmtId="0" fontId="158" fillId="0" borderId="0" applyAlignment="1" pivotButton="0" quotePrefix="0" xfId="0">
      <alignment horizontal="center" vertical="bottom"/>
    </xf>
    <xf numFmtId="0" fontId="156" fillId="4" borderId="0" applyAlignment="1" pivotButton="0" quotePrefix="0" xfId="0">
      <alignment horizontal="general" vertical="bottom"/>
    </xf>
    <xf numFmtId="0" fontId="158" fillId="0" borderId="0" applyAlignment="1" pivotButton="0" quotePrefix="0" xfId="0">
      <alignment horizontal="left" vertical="bottom" indent="1"/>
    </xf>
    <xf numFmtId="0" fontId="172" fillId="0" borderId="0" applyAlignment="1" pivotButton="0" quotePrefix="0" xfId="0">
      <alignment horizontal="general" vertical="bottom"/>
    </xf>
    <xf numFmtId="0" fontId="173" fillId="55" borderId="0" applyAlignment="1" pivotButton="0" quotePrefix="0" xfId="0">
      <alignment horizontal="center" vertical="center" textRotation="90"/>
    </xf>
    <xf numFmtId="0" fontId="174" fillId="0" borderId="0" applyAlignment="1" pivotButton="0" quotePrefix="0" xfId="0">
      <alignment horizontal="center" vertical="center"/>
    </xf>
    <xf numFmtId="0" fontId="175" fillId="0" borderId="0" applyAlignment="1" pivotButton="0" quotePrefix="0" xfId="0">
      <alignment horizontal="general" vertical="center"/>
    </xf>
    <xf numFmtId="0" fontId="176" fillId="0" borderId="0" applyAlignment="1" pivotButton="0" quotePrefix="0" xfId="0">
      <alignment horizontal="general" vertical="center"/>
    </xf>
    <xf numFmtId="0" fontId="177" fillId="0" borderId="0" applyAlignment="1" pivotButton="0" quotePrefix="0" xfId="0">
      <alignment horizontal="general" vertical="bottom"/>
    </xf>
    <xf numFmtId="0" fontId="177" fillId="0" borderId="30" applyAlignment="1" pivotButton="0" quotePrefix="0" xfId="0">
      <alignment horizontal="general" vertical="bottom"/>
    </xf>
    <xf numFmtId="0" fontId="158" fillId="0" borderId="0" applyAlignment="1" pivotButton="0" quotePrefix="0" xfId="0">
      <alignment horizontal="right" vertical="bottom" indent="1"/>
    </xf>
    <xf numFmtId="0" fontId="174" fillId="0" borderId="0" applyAlignment="1" pivotButton="0" quotePrefix="0" xfId="0">
      <alignment horizontal="right" vertical="bottom"/>
    </xf>
    <xf numFmtId="0" fontId="174" fillId="0" borderId="0" applyAlignment="1" pivotButton="0" quotePrefix="0" xfId="0">
      <alignment horizontal="general" vertical="bottom"/>
    </xf>
    <xf numFmtId="0" fontId="174" fillId="0" borderId="0" applyAlignment="1" pivotButton="0" quotePrefix="0" xfId="0">
      <alignment horizontal="left" vertical="bottom"/>
    </xf>
    <xf numFmtId="0" fontId="156" fillId="0" borderId="30" applyAlignment="1" pivotButton="0" quotePrefix="0" xfId="0">
      <alignment horizontal="general" vertical="bottom"/>
    </xf>
    <xf numFmtId="0" fontId="174" fillId="0" borderId="0" applyAlignment="1" pivotButton="0" quotePrefix="0" xfId="0">
      <alignment horizontal="center" vertical="bottom"/>
    </xf>
    <xf numFmtId="0" fontId="178" fillId="0" borderId="0" applyAlignment="1" pivotButton="0" quotePrefix="0" xfId="0">
      <alignment horizontal="general" vertical="bottom"/>
    </xf>
    <xf numFmtId="0" fontId="157" fillId="0" borderId="0" applyAlignment="1" pivotButton="0" quotePrefix="0" xfId="0">
      <alignment horizontal="general" vertical="bottom"/>
    </xf>
    <xf numFmtId="0" fontId="169" fillId="0" borderId="30" applyAlignment="1" pivotButton="0" quotePrefix="0" xfId="0">
      <alignment horizontal="right" vertical="center" wrapText="1"/>
    </xf>
    <xf numFmtId="181" fontId="169" fillId="0" borderId="30" applyAlignment="1" pivotButton="0" quotePrefix="0" xfId="0">
      <alignment horizontal="right" vertical="bottom"/>
    </xf>
    <xf numFmtId="0" fontId="178" fillId="0" borderId="0" applyAlignment="1" pivotButton="0" quotePrefix="0" xfId="0">
      <alignment horizontal="general" vertical="center"/>
    </xf>
    <xf numFmtId="182" fontId="169" fillId="0" borderId="30" applyAlignment="1" pivotButton="0" quotePrefix="0" xfId="0">
      <alignment horizontal="right" vertical="bottom"/>
    </xf>
    <xf numFmtId="0" fontId="167" fillId="0" borderId="30" applyAlignment="1" pivotButton="0" quotePrefix="0" xfId="0">
      <alignment horizontal="general" vertical="bottom"/>
    </xf>
    <xf numFmtId="0" fontId="179" fillId="54" borderId="0" applyAlignment="1" pivotButton="0" quotePrefix="0" xfId="0">
      <alignment horizontal="right" vertical="top" wrapText="1"/>
    </xf>
    <xf numFmtId="0" fontId="169" fillId="0" borderId="0" applyAlignment="1" pivotButton="0" quotePrefix="0" xfId="0">
      <alignment horizontal="right" vertical="bottom" wrapText="1"/>
    </xf>
    <xf numFmtId="181" fontId="169" fillId="0" borderId="0" applyAlignment="1" pivotButton="0" quotePrefix="0" xfId="0">
      <alignment horizontal="left" vertical="bottom"/>
    </xf>
    <xf numFmtId="0" fontId="169" fillId="0" borderId="0" applyAlignment="1" pivotButton="0" quotePrefix="0" xfId="0">
      <alignment horizontal="right" vertical="bottom" indent="1"/>
    </xf>
    <xf numFmtId="181" fontId="169" fillId="0" borderId="0" applyAlignment="1" pivotButton="0" quotePrefix="0" xfId="0">
      <alignment horizontal="general" vertical="bottom"/>
    </xf>
    <xf numFmtId="182" fontId="169" fillId="0" borderId="0" applyAlignment="1" pivotButton="0" quotePrefix="0" xfId="0">
      <alignment horizontal="left" vertical="bottom"/>
    </xf>
    <xf numFmtId="183" fontId="178" fillId="0" borderId="0" applyAlignment="1" pivotButton="0" quotePrefix="0" xfId="0">
      <alignment horizontal="general" vertical="bottom"/>
    </xf>
    <xf numFmtId="0" fontId="180" fillId="0" borderId="33" applyAlignment="1" pivotButton="0" quotePrefix="0" xfId="0">
      <alignment horizontal="left" vertical="center"/>
    </xf>
    <xf numFmtId="0" fontId="174" fillId="0" borderId="28" applyAlignment="1" pivotButton="0" quotePrefix="0" xfId="0">
      <alignment horizontal="general" vertical="center"/>
    </xf>
    <xf numFmtId="0" fontId="174" fillId="0" borderId="28" applyAlignment="1" pivotButton="0" quotePrefix="0" xfId="0">
      <alignment horizontal="general" vertical="center" wrapText="1"/>
    </xf>
    <xf numFmtId="0" fontId="174" fillId="5" borderId="29" applyAlignment="1" pivotButton="0" quotePrefix="0" xfId="0">
      <alignment horizontal="general" vertical="center"/>
    </xf>
    <xf numFmtId="0" fontId="167" fillId="0" borderId="33" applyAlignment="1" pivotButton="0" quotePrefix="0" xfId="0">
      <alignment horizontal="general" vertical="center"/>
    </xf>
    <xf numFmtId="0" fontId="167" fillId="0" borderId="28" applyAlignment="1" pivotButton="0" quotePrefix="0" xfId="0">
      <alignment horizontal="general" vertical="center"/>
    </xf>
    <xf numFmtId="0" fontId="167" fillId="5" borderId="28" applyAlignment="1" pivotButton="0" quotePrefix="0" xfId="0">
      <alignment horizontal="general" vertical="center"/>
    </xf>
    <xf numFmtId="2" fontId="167" fillId="5" borderId="28" applyAlignment="1" pivotButton="0" quotePrefix="0" xfId="0">
      <alignment horizontal="center" vertical="center"/>
    </xf>
    <xf numFmtId="0" fontId="167" fillId="0" borderId="29" applyAlignment="1" pivotButton="0" quotePrefix="0" xfId="0">
      <alignment horizontal="general" vertical="center"/>
    </xf>
    <xf numFmtId="0" fontId="178" fillId="0" borderId="4" applyAlignment="1" pivotButton="0" quotePrefix="0" xfId="0">
      <alignment horizontal="center" vertical="center" wrapText="1"/>
    </xf>
    <xf numFmtId="0" fontId="156" fillId="0" borderId="0" applyAlignment="1" pivotButton="0" quotePrefix="0" xfId="0">
      <alignment horizontal="general" vertical="bottom" wrapText="1"/>
    </xf>
    <xf numFmtId="0" fontId="181" fillId="0" borderId="35" applyAlignment="1" pivotButton="0" quotePrefix="0" xfId="0">
      <alignment horizontal="general" vertical="bottom"/>
    </xf>
    <xf numFmtId="0" fontId="177" fillId="0" borderId="32" applyAlignment="1" pivotButton="0" quotePrefix="0" xfId="0">
      <alignment horizontal="general" vertical="center" wrapText="1"/>
    </xf>
    <xf numFmtId="0" fontId="167" fillId="0" borderId="35" applyAlignment="1" pivotButton="0" quotePrefix="0" xfId="0">
      <alignment horizontal="general" vertical="center" wrapText="1"/>
    </xf>
    <xf numFmtId="0" fontId="174" fillId="0" borderId="32" applyAlignment="1" pivotButton="0" quotePrefix="0" xfId="0">
      <alignment horizontal="general" vertical="center"/>
    </xf>
    <xf numFmtId="0" fontId="174" fillId="0" borderId="32" applyAlignment="1" pivotButton="0" quotePrefix="0" xfId="0">
      <alignment horizontal="general" vertical="center" wrapText="1"/>
    </xf>
    <xf numFmtId="0" fontId="174" fillId="5" borderId="36" applyAlignment="1" pivotButton="0" quotePrefix="0" xfId="0">
      <alignment horizontal="general" vertical="center"/>
    </xf>
    <xf numFmtId="0" fontId="167" fillId="0" borderId="35" applyAlignment="1" pivotButton="0" quotePrefix="0" xfId="0">
      <alignment horizontal="general" vertical="center"/>
    </xf>
    <xf numFmtId="0" fontId="167" fillId="0" borderId="32" applyAlignment="1" pivotButton="0" quotePrefix="0" xfId="0">
      <alignment horizontal="general" vertical="center" wrapText="1"/>
    </xf>
    <xf numFmtId="0" fontId="167" fillId="5" borderId="32" applyAlignment="1" pivotButton="0" quotePrefix="0" xfId="0">
      <alignment horizontal="general" vertical="center"/>
    </xf>
    <xf numFmtId="2" fontId="167" fillId="5" borderId="32" applyAlignment="1" pivotButton="0" quotePrefix="0" xfId="0">
      <alignment horizontal="center" vertical="center"/>
    </xf>
    <xf numFmtId="0" fontId="167" fillId="0" borderId="36" applyAlignment="1" pivotButton="0" quotePrefix="0" xfId="0">
      <alignment horizontal="general" vertical="center"/>
    </xf>
    <xf numFmtId="0" fontId="158" fillId="0" borderId="28" applyAlignment="1" pivotButton="0" quotePrefix="0" xfId="0">
      <alignment horizontal="center" vertical="center"/>
    </xf>
    <xf numFmtId="0" fontId="158" fillId="0" borderId="28" applyAlignment="1" pivotButton="0" quotePrefix="0" xfId="0">
      <alignment horizontal="general" vertical="center"/>
    </xf>
    <xf numFmtId="0" fontId="158" fillId="56" borderId="28" applyAlignment="1" pivotButton="0" quotePrefix="0" xfId="0">
      <alignment horizontal="center" vertical="center"/>
    </xf>
    <xf numFmtId="0" fontId="158" fillId="2" borderId="28" applyAlignment="1" pivotButton="0" quotePrefix="0" xfId="0">
      <alignment horizontal="right" vertical="center"/>
    </xf>
  </cellXfs>
  <cellStyles count="20">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0" xfId="9"/>
    <cellStyle name="Normal 12" xfId="10"/>
    <cellStyle name="Normal 19 2" xfId="11"/>
    <cellStyle name="Normal 2" xfId="12"/>
    <cellStyle name="Normal 2 2" xfId="13"/>
    <cellStyle name="Normal 2 2 2" xfId="14"/>
    <cellStyle name="Normal 2 3 2" xfId="15"/>
    <cellStyle name="Normal 3" xfId="16"/>
    <cellStyle name="Normal 3 2 2" xfId="17"/>
    <cellStyle name="Normal 3 4" xfId="18"/>
    <cellStyle name="Normal_Sheet1" xfId="19"/>
  </cellStyles>
  <dxfs count="19">
    <dxf>
      <fill>
        <patternFill>
          <bgColor rgb="FF000000"/>
        </patternFill>
      </fill>
      <border>
        <left style="thin"/>
        <right style="thin"/>
        <top/>
        <bottom/>
        <diagonal/>
      </border>
    </dxf>
    <dxf>
      <fill>
        <patternFill>
          <bgColor rgb="FF000000"/>
        </patternFill>
      </fill>
      <border>
        <left style="thin"/>
        <right style="thin"/>
        <top/>
        <bottom/>
        <diagonal/>
      </border>
    </dxf>
    <dxf>
      <fill>
        <patternFill>
          <bgColor rgb="FFC0C0C0"/>
        </patternFill>
      </fill>
      <border>
        <left style="thin"/>
        <right style="thin"/>
        <top/>
        <bottom/>
        <diagonal/>
      </border>
    </dxf>
    <dxf>
      <font>
        <color rgb="FFFFFFFF"/>
      </font>
    </dxf>
    <dxf>
      <font>
        <b val="1"/>
      </font>
      <fill>
        <patternFill/>
      </fill>
      <border>
        <left style="thin"/>
        <right/>
        <top style="thin"/>
        <bottom style="thin"/>
        <diagonal/>
      </border>
    </dxf>
    <dxf>
      <border>
        <left style="thin"/>
        <right style="thin"/>
        <top/>
        <bottom/>
        <diagonal/>
      </border>
    </dxf>
    <dxf>
      <font/>
      <fill>
        <patternFill>
          <bgColor theme="0" tint="-0.05"/>
        </patternFill>
      </fill>
      <border>
        <left/>
        <right/>
        <top style="thin"/>
        <bottom style="thin"/>
        <diagonal/>
      </border>
    </dxf>
    <dxf>
      <fill>
        <patternFill>
          <bgColor theme="1"/>
        </patternFill>
      </fill>
      <border>
        <left/>
        <right/>
        <top style="thin"/>
        <bottom style="thin"/>
        <diagonal/>
      </border>
    </dxf>
    <dxf>
      <border>
        <left/>
        <right/>
        <top style="thin"/>
        <bottom/>
        <diagonal/>
      </border>
    </dxf>
    <dxf>
      <fill>
        <patternFill>
          <bgColor rgb="FFC0C0C0"/>
        </patternFill>
      </fill>
      <border>
        <left style="thin"/>
        <right style="thin"/>
        <top/>
        <bottom/>
        <diagonal/>
      </border>
    </dxf>
    <dxf>
      <fill>
        <patternFill>
          <bgColor rgb="FFC0C0C0"/>
        </patternFill>
      </fill>
      <border>
        <left style="thin"/>
        <right style="thin"/>
        <top/>
        <bottom/>
        <diagonal/>
      </border>
    </dxf>
    <dxf>
      <border>
        <left/>
        <right style="thin"/>
        <top/>
        <bottom/>
        <diagonal/>
      </border>
    </dxf>
    <dxf>
      <fill>
        <patternFill>
          <bgColor rgb="FFFF0000"/>
        </patternFill>
      </fill>
    </dxf>
    <dxf>
      <font>
        <b val="1"/>
        <color rgb="FF0070C0"/>
      </font>
      <fill>
        <patternFill/>
      </fill>
    </dxf>
    <dxf>
      <font>
        <b val="1"/>
        <color rgb="FF0070C0"/>
      </font>
      <fill>
        <patternFill/>
      </fill>
    </dxf>
    <dxf>
      <font>
        <b val="1"/>
        <color rgb="FF000000"/>
      </font>
      <fill>
        <patternFill>
          <bgColor theme="2"/>
        </patternFill>
      </fill>
    </dxf>
    <dxf>
      <font>
        <b val="1"/>
        <color rgb="FF000000"/>
      </font>
      <fill>
        <patternFill>
          <bgColor theme="2"/>
        </patternFill>
      </fill>
    </dxf>
    <dxf>
      <font>
        <color rgb="FF000000"/>
      </font>
      <fill>
        <patternFill>
          <bgColor theme="0" tint="-0.05"/>
        </patternFill>
      </fill>
    </dxf>
    <dxf>
      <font>
        <color rgb="FF000000"/>
      </font>
      <fill>
        <patternFill/>
      </fill>
    </dxf>
  </dxfs>
  <colors>
    <indexedColors>
      <rgbColor rgb="FF000000"/>
      <rgbColor rgb="FFFFFFFF"/>
      <rgbColor rgb="FFFF0000"/>
      <rgbColor rgb="FFC5E0E5"/>
      <rgbColor rgb="FF0000FF"/>
      <rgbColor rgb="FFFFFF00"/>
      <rgbColor rgb="FFE3C7DB"/>
      <rgbColor rgb="FFBEDED8"/>
      <rgbColor rgb="FFBB0000"/>
      <rgbColor rgb="FF009D1C"/>
      <rgbColor rgb="FFE3EBBA"/>
      <rgbColor rgb="FFBFBFBF"/>
      <rgbColor rgb="FFE3CCEA"/>
      <rgbColor rgb="FFBED0E9"/>
      <rgbColor rgb="FFC0C0C0"/>
      <rgbColor rgb="FF808080"/>
      <rgbColor rgb="FFB7BACF"/>
      <rgbColor rgb="FFD4C6C7"/>
      <rgbColor rgb="FFF2F2F2"/>
      <rgbColor rgb="FFDEEBF7"/>
      <rgbColor rgb="FFE2D7E1"/>
      <rgbColor rgb="FFDDBDD0"/>
      <rgbColor rgb="FF006FC0"/>
      <rgbColor rgb="FFC3C7E6"/>
      <rgbColor rgb="FFF0E7C4"/>
      <rgbColor rgb="FFE9CACD"/>
      <rgbColor rgb="FFFFE699"/>
      <rgbColor rgb="FFC0E2DA"/>
      <rgbColor rgb="FFD8D6CC"/>
      <rgbColor rgb="FFDBDBDB"/>
      <rgbColor rgb="FFCFCCDD"/>
      <rgbColor rgb="FFE7E6E6"/>
      <rgbColor rgb="FFBDD7ED"/>
      <rgbColor rgb="FFE2F0D9"/>
      <rgbColor rgb="FFC4EACB"/>
      <rgbColor rgb="FFFFFF99"/>
      <rgbColor rgb="FFB4C7E7"/>
      <rgbColor rgb="FFDEB6D8"/>
      <rgbColor rgb="FFCDB5CD"/>
      <rgbColor rgb="FFF8CBAD"/>
      <rgbColor rgb="FFC7BACE"/>
      <rgbColor rgb="FFBDCBBE"/>
      <rgbColor rgb="FFA9D477"/>
      <rgbColor rgb="FFE2CCC2"/>
      <rgbColor rgb="FFCACAB5"/>
      <rgbColor rgb="FFF27B00"/>
      <rgbColor rgb="FF365480"/>
      <rgbColor rgb="FF8A99AD"/>
      <rgbColor rgb="FFD9D9D9"/>
      <rgbColor rgb="FFBEBCE9"/>
      <rgbColor rgb="FFE0E1EF"/>
      <rgbColor rgb="FFD4D4BD"/>
      <rgbColor rgb="FFE4C7CE"/>
      <rgbColor rgb="FFCBC8CE"/>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externalLink" Target="/xl/externalLinks/externalLink1.xml" Id="rId17" /><Relationship Type="http://schemas.openxmlformats.org/officeDocument/2006/relationships/externalLink" Target="/xl/externalLinks/externalLink2.xml" Id="rId18" /><Relationship Type="http://schemas.openxmlformats.org/officeDocument/2006/relationships/externalLink" Target="/xl/externalLinks/externalLink3.xml" Id="rId19" /><Relationship Type="http://schemas.openxmlformats.org/officeDocument/2006/relationships/externalLink" Target="/xl/externalLinks/externalLink4.xml" Id="rId20" /><Relationship Type="http://schemas.openxmlformats.org/officeDocument/2006/relationships/externalLink" Target="/xl/externalLinks/externalLink5.xml" Id="rId21" /><Relationship Type="http://schemas.openxmlformats.org/officeDocument/2006/relationships/externalLink" Target="/xl/externalLinks/externalLink6.xml" Id="rId22" /><Relationship Type="http://schemas.openxmlformats.org/officeDocument/2006/relationships/externalLink" Target="/xl/externalLinks/externalLink7.xml" Id="rId23" /><Relationship Type="http://schemas.openxmlformats.org/officeDocument/2006/relationships/externalLink" Target="/xl/externalLinks/externalLink8.xml" Id="rId24" /><Relationship Type="http://schemas.openxmlformats.org/officeDocument/2006/relationships/externalLink" Target="/xl/externalLinks/externalLink9.xml" Id="rId25" /><Relationship Type="http://schemas.openxmlformats.org/officeDocument/2006/relationships/externalLink" Target="/xl/externalLinks/externalLink10.xml" Id="rId26" /><Relationship Type="http://schemas.openxmlformats.org/officeDocument/2006/relationships/externalLink" Target="/xl/externalLinks/externalLink11.xml" Id="rId27" /><Relationship Type="http://schemas.openxmlformats.org/officeDocument/2006/relationships/externalLink" Target="/xl/externalLinks/externalLink12.xml" Id="rId28" /><Relationship Type="http://schemas.openxmlformats.org/officeDocument/2006/relationships/externalLink" Target="/xl/externalLinks/externalLink13.xml" Id="rId29" /><Relationship Type="http://schemas.openxmlformats.org/officeDocument/2006/relationships/externalLink" Target="/xl/externalLinks/externalLink14.xml" Id="rId30" /><Relationship Type="http://schemas.openxmlformats.org/officeDocument/2006/relationships/externalLink" Target="/xl/externalLinks/externalLink15.xml" Id="rId31" /><Relationship Type="http://schemas.openxmlformats.org/officeDocument/2006/relationships/externalLink" Target="/xl/externalLinks/externalLink16.xml" Id="rId32" /><Relationship Type="http://schemas.openxmlformats.org/officeDocument/2006/relationships/externalLink" Target="/xl/externalLinks/externalLink17.xml" Id="rId33" /><Relationship Type="http://schemas.openxmlformats.org/officeDocument/2006/relationships/externalLink" Target="/xl/externalLinks/externalLink18.xml" Id="rId34" /><Relationship Type="http://schemas.openxmlformats.org/officeDocument/2006/relationships/externalLink" Target="/xl/externalLinks/externalLink19.xml" Id="rId35" /><Relationship Type="http://schemas.openxmlformats.org/officeDocument/2006/relationships/externalLink" Target="/xl/externalLinks/externalLink20.xml" Id="rId36" /><Relationship Type="http://schemas.openxmlformats.org/officeDocument/2006/relationships/externalLink" Target="/xl/externalLinks/externalLink21.xml" Id="rId37" /><Relationship Type="http://schemas.openxmlformats.org/officeDocument/2006/relationships/externalLink" Target="/xl/externalLinks/externalLink22.xml" Id="rId38" /><Relationship Type="http://schemas.openxmlformats.org/officeDocument/2006/relationships/externalLink" Target="/xl/externalLinks/externalLink23.xml" Id="rId39" /><Relationship Type="http://schemas.openxmlformats.org/officeDocument/2006/relationships/externalLink" Target="/xl/externalLinks/externalLink24.xml" Id="rId40" /><Relationship Type="http://schemas.openxmlformats.org/officeDocument/2006/relationships/externalLink" Target="/xl/externalLinks/externalLink25.xml" Id="rId41" /><Relationship Type="http://schemas.openxmlformats.org/officeDocument/2006/relationships/externalLink" Target="/xl/externalLinks/externalLink26.xml" Id="rId42" /><Relationship Type="http://schemas.openxmlformats.org/officeDocument/2006/relationships/externalLink" Target="/xl/externalLinks/externalLink27.xml" Id="rId43" /><Relationship Type="http://schemas.openxmlformats.org/officeDocument/2006/relationships/externalLink" Target="/xl/externalLinks/externalLink28.xml" Id="rId44" /><Relationship Type="http://schemas.openxmlformats.org/officeDocument/2006/relationships/externalLink" Target="/xl/externalLinks/externalLink29.xml" Id="rId45" /><Relationship Type="http://schemas.openxmlformats.org/officeDocument/2006/relationships/externalLink" Target="/xl/externalLinks/externalLink30.xml" Id="rId46" /><Relationship Type="http://schemas.openxmlformats.org/officeDocument/2006/relationships/externalLink" Target="/xl/externalLinks/externalLink31.xml" Id="rId47" /><Relationship Type="http://schemas.openxmlformats.org/officeDocument/2006/relationships/externalLink" Target="/xl/externalLinks/externalLink32.xml" Id="rId48" /><Relationship Type="http://schemas.openxmlformats.org/officeDocument/2006/relationships/externalLink" Target="/xl/externalLinks/externalLink33.xml" Id="rId49" /><Relationship Type="http://schemas.openxmlformats.org/officeDocument/2006/relationships/externalLink" Target="/xl/externalLinks/externalLink34.xml" Id="rId50" /><Relationship Type="http://schemas.openxmlformats.org/officeDocument/2006/relationships/externalLink" Target="/xl/externalLinks/externalLink35.xml" Id="rId51" /><Relationship Type="http://schemas.openxmlformats.org/officeDocument/2006/relationships/externalLink" Target="/xl/externalLinks/externalLink36.xml" Id="rId52" /><Relationship Type="http://schemas.openxmlformats.org/officeDocument/2006/relationships/externalLink" Target="/xl/externalLinks/externalLink37.xml" Id="rId53" /><Relationship Type="http://schemas.openxmlformats.org/officeDocument/2006/relationships/externalLink" Target="/xl/externalLinks/externalLink38.xml" Id="rId54" /><Relationship Type="http://schemas.openxmlformats.org/officeDocument/2006/relationships/externalLink" Target="/xl/externalLinks/externalLink39.xml" Id="rId55" /><Relationship Type="http://schemas.openxmlformats.org/officeDocument/2006/relationships/externalLink" Target="/xl/externalLinks/externalLink40.xml" Id="rId56" /><Relationship Type="http://schemas.openxmlformats.org/officeDocument/2006/relationships/externalLink" Target="/xl/externalLinks/externalLink41.xml" Id="rId57" /><Relationship Type="http://schemas.openxmlformats.org/officeDocument/2006/relationships/externalLink" Target="/xl/externalLinks/externalLink42.xml" Id="rId58" /><Relationship Type="http://schemas.openxmlformats.org/officeDocument/2006/relationships/externalLink" Target="/xl/externalLinks/externalLink43.xml" Id="rId59" /><Relationship Type="http://schemas.openxmlformats.org/officeDocument/2006/relationships/externalLink" Target="/xl/externalLinks/externalLink44.xml" Id="rId60" /><Relationship Type="http://schemas.openxmlformats.org/officeDocument/2006/relationships/externalLink" Target="/xl/externalLinks/externalLink45.xml" Id="rId61" /><Relationship Type="http://schemas.openxmlformats.org/officeDocument/2006/relationships/externalLink" Target="/xl/externalLinks/externalLink46.xml" Id="rId62" /><Relationship Type="http://schemas.openxmlformats.org/officeDocument/2006/relationships/externalLink" Target="/xl/externalLinks/externalLink47.xml" Id="rId63" /><Relationship Type="http://schemas.openxmlformats.org/officeDocument/2006/relationships/externalLink" Target="/xl/externalLinks/externalLink48.xml" Id="rId64" /><Relationship Type="http://schemas.openxmlformats.org/officeDocument/2006/relationships/externalLink" Target="/xl/externalLinks/externalLink49.xml" Id="rId65" /><Relationship Type="http://schemas.openxmlformats.org/officeDocument/2006/relationships/externalLink" Target="/xl/externalLinks/externalLink50.xml" Id="rId66" /><Relationship Type="http://schemas.openxmlformats.org/officeDocument/2006/relationships/externalLink" Target="/xl/externalLinks/externalLink51.xml" Id="rId67" /><Relationship Type="http://schemas.openxmlformats.org/officeDocument/2006/relationships/externalLink" Target="/xl/externalLinks/externalLink52.xml" Id="rId68" /><Relationship Type="http://schemas.openxmlformats.org/officeDocument/2006/relationships/externalLink" Target="/xl/externalLinks/externalLink53.xml" Id="rId69" /><Relationship Type="http://schemas.openxmlformats.org/officeDocument/2006/relationships/externalLink" Target="/xl/externalLinks/externalLink54.xml" Id="rId70" /><Relationship Type="http://schemas.openxmlformats.org/officeDocument/2006/relationships/externalLink" Target="/xl/externalLinks/externalLink55.xml" Id="rId71" /><Relationship Type="http://schemas.openxmlformats.org/officeDocument/2006/relationships/externalLink" Target="/xl/externalLinks/externalLink56.xml" Id="rId72" /><Relationship Type="http://schemas.openxmlformats.org/officeDocument/2006/relationships/externalLink" Target="/xl/externalLinks/externalLink57.xml" Id="rId73" /><Relationship Type="http://schemas.openxmlformats.org/officeDocument/2006/relationships/externalLink" Target="/xl/externalLinks/externalLink58.xml" Id="rId74" /><Relationship Type="http://schemas.openxmlformats.org/officeDocument/2006/relationships/externalLink" Target="/xl/externalLinks/externalLink59.xml" Id="rId75" /><Relationship Type="http://schemas.openxmlformats.org/officeDocument/2006/relationships/externalLink" Target="/xl/externalLinks/externalLink60.xml" Id="rId76" /><Relationship Type="http://schemas.openxmlformats.org/officeDocument/2006/relationships/externalLink" Target="/xl/externalLinks/externalLink61.xml" Id="rId77" /><Relationship Type="http://schemas.openxmlformats.org/officeDocument/2006/relationships/externalLink" Target="/xl/externalLinks/externalLink62.xml" Id="rId78" /><Relationship Type="http://schemas.openxmlformats.org/officeDocument/2006/relationships/externalLink" Target="/xl/externalLinks/externalLink63.xml" Id="rId79" /><Relationship Type="http://schemas.openxmlformats.org/officeDocument/2006/relationships/externalLink" Target="/xl/externalLinks/externalLink64.xml" Id="rId80" /><Relationship Type="http://schemas.openxmlformats.org/officeDocument/2006/relationships/externalLink" Target="/xl/externalLinks/externalLink65.xml" Id="rId81" /><Relationship Type="http://schemas.openxmlformats.org/officeDocument/2006/relationships/externalLink" Target="/xl/externalLinks/externalLink66.xml" Id="rId82" /><Relationship Type="http://schemas.openxmlformats.org/officeDocument/2006/relationships/externalLink" Target="/xl/externalLinks/externalLink67.xml" Id="rId83" /><Relationship Type="http://schemas.openxmlformats.org/officeDocument/2006/relationships/externalLink" Target="/xl/externalLinks/externalLink68.xml" Id="rId84" /><Relationship Type="http://schemas.openxmlformats.org/officeDocument/2006/relationships/externalLink" Target="/xl/externalLinks/externalLink69.xml" Id="rId85" /><Relationship Type="http://schemas.openxmlformats.org/officeDocument/2006/relationships/externalLink" Target="/xl/externalLinks/externalLink70.xml" Id="rId86" /><Relationship Type="http://schemas.openxmlformats.org/officeDocument/2006/relationships/externalLink" Target="/xl/externalLinks/externalLink71.xml" Id="rId87" /><Relationship Type="http://schemas.openxmlformats.org/officeDocument/2006/relationships/externalLink" Target="/xl/externalLinks/externalLink72.xml" Id="rId88" /><Relationship Type="http://schemas.openxmlformats.org/officeDocument/2006/relationships/externalLink" Target="/xl/externalLinks/externalLink73.xml" Id="rId89" /><Relationship Type="http://schemas.openxmlformats.org/officeDocument/2006/relationships/externalLink" Target="/xl/externalLinks/externalLink74.xml" Id="rId90" /><Relationship Type="http://schemas.openxmlformats.org/officeDocument/2006/relationships/externalLink" Target="/xl/externalLinks/externalLink75.xml" Id="rId91" /><Relationship Type="http://schemas.openxmlformats.org/officeDocument/2006/relationships/externalLink" Target="/xl/externalLinks/externalLink76.xml" Id="rId92" /><Relationship Type="http://schemas.openxmlformats.org/officeDocument/2006/relationships/externalLink" Target="/xl/externalLinks/externalLink77.xml" Id="rId93" /><Relationship Type="http://schemas.openxmlformats.org/officeDocument/2006/relationships/externalLink" Target="/xl/externalLinks/externalLink78.xml" Id="rId94" /><Relationship Type="http://schemas.openxmlformats.org/officeDocument/2006/relationships/externalLink" Target="/xl/externalLinks/externalLink79.xml" Id="rId95" /><Relationship Type="http://schemas.openxmlformats.org/officeDocument/2006/relationships/externalLink" Target="/xl/externalLinks/externalLink80.xml" Id="rId96" /><Relationship Type="http://schemas.openxmlformats.org/officeDocument/2006/relationships/externalLink" Target="/xl/externalLinks/externalLink81.xml" Id="rId97" /><Relationship Type="http://schemas.openxmlformats.org/officeDocument/2006/relationships/externalLink" Target="/xl/externalLinks/externalLink82.xml" Id="rId98" /><Relationship Type="http://schemas.openxmlformats.org/officeDocument/2006/relationships/externalLink" Target="/xl/externalLinks/externalLink83.xml" Id="rId99" /><Relationship Type="http://schemas.openxmlformats.org/officeDocument/2006/relationships/externalLink" Target="/xl/externalLinks/externalLink84.xml" Id="rId100" /><Relationship Type="http://schemas.openxmlformats.org/officeDocument/2006/relationships/externalLink" Target="/xl/externalLinks/externalLink85.xml" Id="rId101" /><Relationship Type="http://schemas.openxmlformats.org/officeDocument/2006/relationships/externalLink" Target="/xl/externalLinks/externalLink86.xml" Id="rId102" /><Relationship Type="http://schemas.openxmlformats.org/officeDocument/2006/relationships/externalLink" Target="/xl/externalLinks/externalLink87.xml" Id="rId103" /><Relationship Type="http://schemas.openxmlformats.org/officeDocument/2006/relationships/externalLink" Target="/xl/externalLinks/externalLink88.xml" Id="rId104" /><Relationship Type="http://schemas.openxmlformats.org/officeDocument/2006/relationships/externalLink" Target="/xl/externalLinks/externalLink89.xml" Id="rId105" /><Relationship Type="http://schemas.openxmlformats.org/officeDocument/2006/relationships/externalLink" Target="/xl/externalLinks/externalLink90.xml" Id="rId106" /><Relationship Type="http://schemas.openxmlformats.org/officeDocument/2006/relationships/externalLink" Target="/xl/externalLinks/externalLink91.xml" Id="rId107" /><Relationship Type="http://schemas.openxmlformats.org/officeDocument/2006/relationships/externalLink" Target="/xl/externalLinks/externalLink92.xml" Id="rId108" /><Relationship Type="http://schemas.openxmlformats.org/officeDocument/2006/relationships/externalLink" Target="/xl/externalLinks/externalLink93.xml" Id="rId109" /><Relationship Type="http://schemas.openxmlformats.org/officeDocument/2006/relationships/externalLink" Target="/xl/externalLinks/externalLink94.xml" Id="rId110" /><Relationship Type="http://schemas.openxmlformats.org/officeDocument/2006/relationships/externalLink" Target="/xl/externalLinks/externalLink95.xml" Id="rId111" /><Relationship Type="http://schemas.openxmlformats.org/officeDocument/2006/relationships/externalLink" Target="/xl/externalLinks/externalLink96.xml" Id="rId112" /><Relationship Type="http://schemas.openxmlformats.org/officeDocument/2006/relationships/externalLink" Target="/xl/externalLinks/externalLink97.xml" Id="rId113" /><Relationship Type="http://schemas.openxmlformats.org/officeDocument/2006/relationships/externalLink" Target="/xl/externalLinks/externalLink98.xml" Id="rId114" /><Relationship Type="http://schemas.openxmlformats.org/officeDocument/2006/relationships/externalLink" Target="/xl/externalLinks/externalLink99.xml" Id="rId115" /><Relationship Type="http://schemas.openxmlformats.org/officeDocument/2006/relationships/externalLink" Target="/xl/externalLinks/externalLink100.xml" Id="rId116" /><Relationship Type="http://schemas.openxmlformats.org/officeDocument/2006/relationships/externalLink" Target="/xl/externalLinks/externalLink101.xml" Id="rId117" /><Relationship Type="http://schemas.openxmlformats.org/officeDocument/2006/relationships/externalLink" Target="/xl/externalLinks/externalLink102.xml" Id="rId118" /><Relationship Type="http://schemas.openxmlformats.org/officeDocument/2006/relationships/externalLink" Target="/xl/externalLinks/externalLink103.xml" Id="rId119" /><Relationship Type="http://schemas.openxmlformats.org/officeDocument/2006/relationships/externalLink" Target="/xl/externalLinks/externalLink104.xml" Id="rId120" /><Relationship Type="http://schemas.openxmlformats.org/officeDocument/2006/relationships/externalLink" Target="/xl/externalLinks/externalLink105.xml" Id="rId121" /><Relationship Type="http://schemas.openxmlformats.org/officeDocument/2006/relationships/externalLink" Target="/xl/externalLinks/externalLink106.xml" Id="rId122" /><Relationship Type="http://schemas.openxmlformats.org/officeDocument/2006/relationships/externalLink" Target="/xl/externalLinks/externalLink107.xml" Id="rId123" /><Relationship Type="http://schemas.openxmlformats.org/officeDocument/2006/relationships/externalLink" Target="/xl/externalLinks/externalLink108.xml" Id="rId124" /><Relationship Type="http://schemas.openxmlformats.org/officeDocument/2006/relationships/externalLink" Target="/xl/externalLinks/externalLink109.xml" Id="rId125" /><Relationship Type="http://schemas.openxmlformats.org/officeDocument/2006/relationships/externalLink" Target="/xl/externalLinks/externalLink110.xml" Id="rId126" /><Relationship Type="http://schemas.openxmlformats.org/officeDocument/2006/relationships/externalLink" Target="/xl/externalLinks/externalLink111.xml" Id="rId127" /><Relationship Type="http://schemas.openxmlformats.org/officeDocument/2006/relationships/externalLink" Target="/xl/externalLinks/externalLink112.xml" Id="rId128" /><Relationship Type="http://schemas.openxmlformats.org/officeDocument/2006/relationships/externalLink" Target="/xl/externalLinks/externalLink113.xml" Id="rId129" /><Relationship Type="http://schemas.openxmlformats.org/officeDocument/2006/relationships/externalLink" Target="/xl/externalLinks/externalLink114.xml" Id="rId130" /><Relationship Type="http://schemas.openxmlformats.org/officeDocument/2006/relationships/externalLink" Target="/xl/externalLinks/externalLink115.xml" Id="rId131" /><Relationship Type="http://schemas.openxmlformats.org/officeDocument/2006/relationships/externalLink" Target="/xl/externalLinks/externalLink116.xml" Id="rId132" /><Relationship Type="http://schemas.openxmlformats.org/officeDocument/2006/relationships/externalLink" Target="/xl/externalLinks/externalLink117.xml" Id="rId133" /><Relationship Type="http://schemas.openxmlformats.org/officeDocument/2006/relationships/externalLink" Target="/xl/externalLinks/externalLink118.xml" Id="rId134" /><Relationship Type="http://schemas.openxmlformats.org/officeDocument/2006/relationships/externalLink" Target="/xl/externalLinks/externalLink119.xml" Id="rId135" /><Relationship Type="http://schemas.openxmlformats.org/officeDocument/2006/relationships/externalLink" Target="/xl/externalLinks/externalLink120.xml" Id="rId136" /><Relationship Type="http://schemas.openxmlformats.org/officeDocument/2006/relationships/externalLink" Target="/xl/externalLinks/externalLink121.xml" Id="rId137" /><Relationship Type="http://schemas.openxmlformats.org/officeDocument/2006/relationships/externalLink" Target="/xl/externalLinks/externalLink122.xml" Id="rId138" /><Relationship Type="http://schemas.openxmlformats.org/officeDocument/2006/relationships/externalLink" Target="/xl/externalLinks/externalLink123.xml" Id="rId139" /><Relationship Type="http://schemas.openxmlformats.org/officeDocument/2006/relationships/externalLink" Target="/xl/externalLinks/externalLink124.xml" Id="rId140" /><Relationship Type="http://schemas.openxmlformats.org/officeDocument/2006/relationships/externalLink" Target="/xl/externalLinks/externalLink125.xml" Id="rId141" /><Relationship Type="http://schemas.openxmlformats.org/officeDocument/2006/relationships/externalLink" Target="/xl/externalLinks/externalLink126.xml" Id="rId142" /><Relationship Type="http://schemas.openxmlformats.org/officeDocument/2006/relationships/externalLink" Target="/xl/externalLinks/externalLink127.xml" Id="rId143" /><Relationship Type="http://schemas.openxmlformats.org/officeDocument/2006/relationships/externalLink" Target="/xl/externalLinks/externalLink128.xml" Id="rId144" /><Relationship Type="http://schemas.openxmlformats.org/officeDocument/2006/relationships/externalLink" Target="/xl/externalLinks/externalLink129.xml" Id="rId145" /><Relationship Type="http://schemas.openxmlformats.org/officeDocument/2006/relationships/externalLink" Target="/xl/externalLinks/externalLink130.xml" Id="rId146" /><Relationship Type="http://schemas.openxmlformats.org/officeDocument/2006/relationships/externalLink" Target="/xl/externalLinks/externalLink131.xml" Id="rId147" /><Relationship Type="http://schemas.openxmlformats.org/officeDocument/2006/relationships/externalLink" Target="/xl/externalLinks/externalLink132.xml" Id="rId148" /><Relationship Type="http://schemas.openxmlformats.org/officeDocument/2006/relationships/externalLink" Target="/xl/externalLinks/externalLink133.xml" Id="rId149" /><Relationship Type="http://schemas.openxmlformats.org/officeDocument/2006/relationships/externalLink" Target="/xl/externalLinks/externalLink134.xml" Id="rId150" /><Relationship Type="http://schemas.openxmlformats.org/officeDocument/2006/relationships/externalLink" Target="/xl/externalLinks/externalLink135.xml" Id="rId151" /><Relationship Type="http://schemas.openxmlformats.org/officeDocument/2006/relationships/externalLink" Target="/xl/externalLinks/externalLink136.xml" Id="rId152" /><Relationship Type="http://schemas.openxmlformats.org/officeDocument/2006/relationships/externalLink" Target="/xl/externalLinks/externalLink137.xml" Id="rId153" /><Relationship Type="http://schemas.openxmlformats.org/officeDocument/2006/relationships/externalLink" Target="/xl/externalLinks/externalLink138.xml" Id="rId154" /><Relationship Type="http://schemas.openxmlformats.org/officeDocument/2006/relationships/externalLink" Target="/xl/externalLinks/externalLink139.xml" Id="rId155" /><Relationship Type="http://schemas.openxmlformats.org/officeDocument/2006/relationships/externalLink" Target="/xl/externalLinks/externalLink140.xml" Id="rId156" /><Relationship Type="http://schemas.openxmlformats.org/officeDocument/2006/relationships/externalLink" Target="/xl/externalLinks/externalLink141.xml" Id="rId157" /><Relationship Type="http://schemas.openxmlformats.org/officeDocument/2006/relationships/externalLink" Target="/xl/externalLinks/externalLink142.xml" Id="rId158" /><Relationship Type="http://schemas.openxmlformats.org/officeDocument/2006/relationships/externalLink" Target="/xl/externalLinks/externalLink143.xml" Id="rId159" /><Relationship Type="http://schemas.openxmlformats.org/officeDocument/2006/relationships/externalLink" Target="/xl/externalLinks/externalLink144.xml" Id="rId160" /><Relationship Type="http://schemas.openxmlformats.org/officeDocument/2006/relationships/externalLink" Target="/xl/externalLinks/externalLink145.xml" Id="rId161" /><Relationship Type="http://schemas.openxmlformats.org/officeDocument/2006/relationships/externalLink" Target="/xl/externalLinks/externalLink146.xml" Id="rId162" /><Relationship Type="http://schemas.openxmlformats.org/officeDocument/2006/relationships/externalLink" Target="/xl/externalLinks/externalLink147.xml" Id="rId163" /><Relationship Type="http://schemas.openxmlformats.org/officeDocument/2006/relationships/externalLink" Target="/xl/externalLinks/externalLink148.xml" Id="rId164" /><Relationship Type="http://schemas.openxmlformats.org/officeDocument/2006/relationships/externalLink" Target="/xl/externalLinks/externalLink149.xml" Id="rId165" /><Relationship Type="http://schemas.openxmlformats.org/officeDocument/2006/relationships/externalLink" Target="/xl/externalLinks/externalLink150.xml" Id="rId166" /><Relationship Type="http://schemas.openxmlformats.org/officeDocument/2006/relationships/externalLink" Target="/xl/externalLinks/externalLink151.xml" Id="rId167" /><Relationship Type="http://schemas.openxmlformats.org/officeDocument/2006/relationships/externalLink" Target="/xl/externalLinks/externalLink152.xml" Id="rId168" /><Relationship Type="http://schemas.openxmlformats.org/officeDocument/2006/relationships/externalLink" Target="/xl/externalLinks/externalLink153.xml" Id="rId169" /><Relationship Type="http://schemas.openxmlformats.org/officeDocument/2006/relationships/externalLink" Target="/xl/externalLinks/externalLink154.xml" Id="rId170" /><Relationship Type="http://schemas.openxmlformats.org/officeDocument/2006/relationships/externalLink" Target="/xl/externalLinks/externalLink155.xml" Id="rId171" /><Relationship Type="http://schemas.openxmlformats.org/officeDocument/2006/relationships/externalLink" Target="/xl/externalLinks/externalLink156.xml" Id="rId172" /><Relationship Type="http://schemas.openxmlformats.org/officeDocument/2006/relationships/externalLink" Target="/xl/externalLinks/externalLink157.xml" Id="rId173" /><Relationship Type="http://schemas.openxmlformats.org/officeDocument/2006/relationships/externalLink" Target="/xl/externalLinks/externalLink158.xml" Id="rId174" /><Relationship Type="http://schemas.openxmlformats.org/officeDocument/2006/relationships/externalLink" Target="/xl/externalLinks/externalLink159.xml" Id="rId175" /><Relationship Type="http://schemas.openxmlformats.org/officeDocument/2006/relationships/externalLink" Target="/xl/externalLinks/externalLink160.xml" Id="rId176" /><Relationship Type="http://schemas.openxmlformats.org/officeDocument/2006/relationships/externalLink" Target="/xl/externalLinks/externalLink161.xml" Id="rId177" /><Relationship Type="http://schemas.openxmlformats.org/officeDocument/2006/relationships/externalLink" Target="/xl/externalLinks/externalLink162.xml" Id="rId178" /><Relationship Type="http://schemas.openxmlformats.org/officeDocument/2006/relationships/externalLink" Target="/xl/externalLinks/externalLink163.xml" Id="rId179" /><Relationship Type="http://schemas.openxmlformats.org/officeDocument/2006/relationships/externalLink" Target="/xl/externalLinks/externalLink164.xml" Id="rId180" /><Relationship Type="http://schemas.openxmlformats.org/officeDocument/2006/relationships/externalLink" Target="/xl/externalLinks/externalLink165.xml" Id="rId181" /><Relationship Type="http://schemas.openxmlformats.org/officeDocument/2006/relationships/externalLink" Target="/xl/externalLinks/externalLink166.xml" Id="rId182" /><Relationship Type="http://schemas.openxmlformats.org/officeDocument/2006/relationships/externalLink" Target="/xl/externalLinks/externalLink167.xml" Id="rId183" /><Relationship Type="http://schemas.openxmlformats.org/officeDocument/2006/relationships/externalLink" Target="/xl/externalLinks/externalLink168.xml" Id="rId184" /><Relationship Type="http://schemas.openxmlformats.org/officeDocument/2006/relationships/externalLink" Target="/xl/externalLinks/externalLink169.xml" Id="rId185" /><Relationship Type="http://schemas.openxmlformats.org/officeDocument/2006/relationships/externalLink" Target="/xl/externalLinks/externalLink170.xml" Id="rId186" /><Relationship Type="http://schemas.openxmlformats.org/officeDocument/2006/relationships/externalLink" Target="/xl/externalLinks/externalLink171.xml" Id="rId187" /><Relationship Type="http://schemas.openxmlformats.org/officeDocument/2006/relationships/externalLink" Target="/xl/externalLinks/externalLink172.xml" Id="rId188" /><Relationship Type="http://schemas.openxmlformats.org/officeDocument/2006/relationships/externalLink" Target="/xl/externalLinks/externalLink173.xml" Id="rId189" /><Relationship Type="http://schemas.openxmlformats.org/officeDocument/2006/relationships/externalLink" Target="/xl/externalLinks/externalLink174.xml" Id="rId190" /><Relationship Type="http://schemas.openxmlformats.org/officeDocument/2006/relationships/externalLink" Target="/xl/externalLinks/externalLink175.xml" Id="rId191" /><Relationship Type="http://schemas.openxmlformats.org/officeDocument/2006/relationships/externalLink" Target="/xl/externalLinks/externalLink176.xml" Id="rId192" /><Relationship Type="http://schemas.openxmlformats.org/officeDocument/2006/relationships/externalLink" Target="/xl/externalLinks/externalLink177.xml" Id="rId193" /><Relationship Type="http://schemas.openxmlformats.org/officeDocument/2006/relationships/externalLink" Target="/xl/externalLinks/externalLink178.xml" Id="rId194" /><Relationship Type="http://schemas.openxmlformats.org/officeDocument/2006/relationships/externalLink" Target="/xl/externalLinks/externalLink179.xml" Id="rId195" /><Relationship Type="http://schemas.openxmlformats.org/officeDocument/2006/relationships/externalLink" Target="/xl/externalLinks/externalLink180.xml" Id="rId196" /><Relationship Type="http://schemas.openxmlformats.org/officeDocument/2006/relationships/externalLink" Target="/xl/externalLinks/externalLink181.xml" Id="rId197" /><Relationship Type="http://schemas.openxmlformats.org/officeDocument/2006/relationships/externalLink" Target="/xl/externalLinks/externalLink182.xml" Id="rId198" /><Relationship Type="http://schemas.openxmlformats.org/officeDocument/2006/relationships/externalLink" Target="/xl/externalLinks/externalLink183.xml" Id="rId199" /><Relationship Type="http://schemas.openxmlformats.org/officeDocument/2006/relationships/externalLink" Target="/xl/externalLinks/externalLink184.xml" Id="rId200" /><Relationship Type="http://schemas.openxmlformats.org/officeDocument/2006/relationships/externalLink" Target="/xl/externalLinks/externalLink185.xml" Id="rId201" /><Relationship Type="http://schemas.openxmlformats.org/officeDocument/2006/relationships/externalLink" Target="/xl/externalLinks/externalLink186.xml" Id="rId202" /><Relationship Type="http://schemas.openxmlformats.org/officeDocument/2006/relationships/externalLink" Target="/xl/externalLinks/externalLink187.xml" Id="rId203" /><Relationship Type="http://schemas.openxmlformats.org/officeDocument/2006/relationships/externalLink" Target="/xl/externalLinks/externalLink188.xml" Id="rId204" /><Relationship Type="http://schemas.openxmlformats.org/officeDocument/2006/relationships/externalLink" Target="/xl/externalLinks/externalLink189.xml" Id="rId205" /><Relationship Type="http://schemas.openxmlformats.org/officeDocument/2006/relationships/externalLink" Target="/xl/externalLinks/externalLink190.xml" Id="rId206" /><Relationship Type="http://schemas.openxmlformats.org/officeDocument/2006/relationships/externalLink" Target="/xl/externalLinks/externalLink191.xml" Id="rId207" /><Relationship Type="http://schemas.openxmlformats.org/officeDocument/2006/relationships/externalLink" Target="/xl/externalLinks/externalLink192.xml" Id="rId208" /><Relationship Type="http://schemas.openxmlformats.org/officeDocument/2006/relationships/externalLink" Target="/xl/externalLinks/externalLink193.xml" Id="rId209" /><Relationship Type="http://schemas.openxmlformats.org/officeDocument/2006/relationships/externalLink" Target="/xl/externalLinks/externalLink194.xml" Id="rId210" /><Relationship Type="http://schemas.openxmlformats.org/officeDocument/2006/relationships/externalLink" Target="/xl/externalLinks/externalLink195.xml" Id="rId211" /><Relationship Type="http://schemas.openxmlformats.org/officeDocument/2006/relationships/externalLink" Target="/xl/externalLinks/externalLink196.xml" Id="rId212" /><Relationship Type="http://schemas.openxmlformats.org/officeDocument/2006/relationships/externalLink" Target="/xl/externalLinks/externalLink197.xml" Id="rId213" /><Relationship Type="http://schemas.openxmlformats.org/officeDocument/2006/relationships/styles" Target="styles.xml" Id="rId214" /><Relationship Type="http://schemas.openxmlformats.org/officeDocument/2006/relationships/theme" Target="theme/theme1.xml" Id="rId215" /><Relationship Type="http://schemas.microsoft.com/office/2006/relationships/vbaProject" Target="vbaProject.bin" Id="rId216"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 Type="http://schemas.openxmlformats.org/officeDocument/2006/relationships/image" Target="/xl/media/image8.jpeg" Id="rId8" /><Relationship Type="http://schemas.openxmlformats.org/officeDocument/2006/relationships/image" Target="/xl/media/image9.jpeg" Id="rId9" /></Relationships>
</file>

<file path=xl/drawings/_rels/drawing2.xml.rels><Relationships xmlns="http://schemas.openxmlformats.org/package/2006/relationships"><Relationship Type="http://schemas.openxmlformats.org/officeDocument/2006/relationships/image" Target="/xl/media/image10.png" Id="rId1" /><Relationship Type="http://schemas.openxmlformats.org/officeDocument/2006/relationships/image" Target="/xl/media/image11.png" Id="rId2" /></Relationships>
</file>

<file path=xl/drawings/_rels/drawing3.xml.rels><Relationships xmlns="http://schemas.openxmlformats.org/package/2006/relationships"><Relationship Type="http://schemas.openxmlformats.org/officeDocument/2006/relationships/image" Target="/xl/media/image12.jpeg" Id="rId1" /></Relationships>
</file>

<file path=xl/drawings/_rels/drawing4.xml.rels><Relationships xmlns="http://schemas.openxmlformats.org/package/2006/relationships"><Relationship Type="http://schemas.openxmlformats.org/officeDocument/2006/relationships/image" Target="/xl/media/image13.png" Id="rId1" /></Relationships>
</file>

<file path=xl/drawings/_rels/drawing5.xml.rels><Relationships xmlns="http://schemas.openxmlformats.org/package/2006/relationships"><Relationship Type="http://schemas.openxmlformats.org/officeDocument/2006/relationships/image" Target="/xl/media/image14.jpeg" Id="rId1" /><Relationship Type="http://schemas.openxmlformats.org/officeDocument/2006/relationships/image" Target="/xl/media/image15.png" Id="rId2" /><Relationship Type="http://schemas.openxmlformats.org/officeDocument/2006/relationships/image" Target="/xl/media/image16.png" Id="rId3" /></Relationships>
</file>

<file path=xl/drawings/_rels/drawing6.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7.xml.rels><Relationships xmlns="http://schemas.openxmlformats.org/package/2006/relationships"><Relationship Type="http://schemas.openxmlformats.org/officeDocument/2006/relationships/image" Target="/xl/media/image19.png" Id="rId1" /><Relationship Type="http://schemas.openxmlformats.org/officeDocument/2006/relationships/image" Target="/xl/media/image20.png" Id="rId2" /></Relationships>
</file>

<file path=xl/drawings/_rels/drawing8.xml.rels><Relationships xmlns="http://schemas.openxmlformats.org/package/2006/relationships"><Relationship Type="http://schemas.openxmlformats.org/officeDocument/2006/relationships/image" Target="/xl/media/image21.jpeg" Id="rId1" /><Relationship Type="http://schemas.openxmlformats.org/officeDocument/2006/relationships/image" Target="/xl/media/image22.png" Id="rId2" /></Relationships>
</file>

<file path=xl/drawings/_rels/drawing9.xml.rels><Relationships xmlns="http://schemas.openxmlformats.org/package/2006/relationships"><Relationship Type="http://schemas.openxmlformats.org/officeDocument/2006/relationships/image" Target="/xl/media/image23.png" Id="rId1" /><Relationship Type="http://schemas.openxmlformats.org/officeDocument/2006/relationships/image" Target="/xl/media/image24.png" Id="rId2" /><Relationship Type="http://schemas.openxmlformats.org/officeDocument/2006/relationships/image" Target="/xl/media/image25.png" Id="rId3" /><Relationship Type="http://schemas.openxmlformats.org/officeDocument/2006/relationships/image" Target="/xl/media/image26.png" Id="rId4" /><Relationship Type="http://schemas.openxmlformats.org/officeDocument/2006/relationships/image" Target="/xl/media/image27.png" Id="rId5" /><Relationship Type="http://schemas.openxmlformats.org/officeDocument/2006/relationships/image" Target="/xl/media/image28.png" Id="rId6" /><Relationship Type="http://schemas.openxmlformats.org/officeDocument/2006/relationships/image" Target="/xl/media/image29.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8" name="Picture 9"/>
        <cNvPicPr/>
      </nvPicPr>
      <blipFill>
        <a:blip r:embed="rId8"/>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9" name="Picture 10"/>
        <cNvPicPr/>
      </nvPicPr>
      <blipFill>
        <a:blip r:embed="rId9"/>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10"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11"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581760</colOff>
      <row>0</row>
      <rowOff>748800</rowOff>
    </to>
    <pic>
      <nvPicPr>
        <cNvPr id="12" name="Picture 1"/>
        <cNvPicPr/>
      </nvPicPr>
      <blipFill>
        <a:blip r:embed="rId1"/>
        <a:stretch>
          <a:fillRect/>
        </a:stretch>
      </blipFill>
      <spPr>
        <a:xfrm>
          <a:off x="35280" y="46800"/>
          <a:ext cx="1675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7</row>
      <rowOff>10440</rowOff>
    </to>
    <pic>
      <nvPicPr>
        <cNvPr id="13" name="Picture 1"/>
        <cNvPicPr/>
      </nvPicPr>
      <blipFill>
        <a:blip r:embed="rId1"/>
        <a:stretch>
          <a:fillRect/>
        </a:stretch>
      </blipFill>
      <spPr>
        <a:xfrm>
          <a:off x="13295160" y="66600"/>
          <a:ext cx="802800" cy="11250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285480</colOff>
      <row>11</row>
      <rowOff>55440</rowOff>
    </to>
    <pic>
      <nvPicPr>
        <cNvPr id="14" name="Picture 3"/>
        <cNvPicPr/>
      </nvPicPr>
      <blipFill>
        <a:blip r:embed="rId1"/>
        <a:stretch>
          <a:fillRect/>
        </a:stretch>
      </blipFill>
      <spPr>
        <a:xfrm>
          <a:off x="10098360" y="1779840"/>
          <a:ext cx="3015360" cy="165708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5"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6"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7"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8"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9"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20"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21"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2"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3"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4" name="Graphic 2" descr="Bar graph with downward trend with solid fill"/>
        <cNvPicPr/>
      </nvPicPr>
      <blipFill>
        <a:blip r:embed="rId2"/>
        <a:stretch>
          <a:fillRect/>
        </a:stretch>
      </blipFill>
      <spPr>
        <a:xfrm>
          <a:off x="24223680" y="2646396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5" name="Graphic 3" descr="Bar graph with upward trend with solid fill"/>
        <cNvPicPr/>
      </nvPicPr>
      <blipFill>
        <a:blip r:embed="rId3"/>
        <a:stretch>
          <a:fillRect/>
        </a:stretch>
      </blipFill>
      <spPr>
        <a:xfrm>
          <a:off x="24094440" y="2574601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6" name="Graphic 4" descr="Baseball with solid fill"/>
        <cNvPicPr/>
      </nvPicPr>
      <blipFill>
        <a:blip r:embed="rId4"/>
        <a:stretch>
          <a:fillRect/>
        </a:stretch>
      </blipFill>
      <spPr>
        <a:xfrm>
          <a:off x="24223680" y="2596752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7" name="Graphic 5" descr="Baseball with solid fill"/>
        <cNvPicPr/>
      </nvPicPr>
      <blipFill>
        <a:blip r:embed="rId5"/>
        <a:stretch>
          <a:fillRect/>
        </a:stretch>
      </blipFill>
      <spPr>
        <a:xfrm>
          <a:off x="24223680" y="2622088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8" name="Graphic 6" descr="Baseball with solid fill"/>
        <cNvPicPr/>
      </nvPicPr>
      <blipFill>
        <a:blip r:embed="rId6"/>
        <a:stretch>
          <a:fillRect/>
        </a:stretch>
      </blipFill>
      <spPr>
        <a:xfrm>
          <a:off x="24223680" y="2674954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9" name="Graphic 7" descr="Baseball with solid fill"/>
        <cNvPicPr/>
      </nvPicPr>
      <blipFill>
        <a:blip r:embed="rId7"/>
        <a:stretch>
          <a:fillRect/>
        </a:stretch>
      </blipFill>
      <spPr>
        <a:xfrm>
          <a:off x="24223680" y="2687004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3.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4.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5.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6.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88.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89.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0.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1.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92.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_rels/externalLink19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94.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95.xml.rels><Relationships xmlns="http://schemas.openxmlformats.org/package/2006/relationships"><Relationship Type="http://schemas.openxmlformats.org/officeDocument/2006/relationships/externalLinkPath" Target="../../../../personal/mahmoud_ahmed2_weatherford_com/Documents/Desktop/GLM,%20TSH,AD-89,BB-1436%20,MAY,26%20,%20%20OP407GREBB30/DSL/COMP_BB1436_OP30728CBB30_V0.xlsm" TargetMode="External" Id="rId1" /></Relationships>
</file>

<file path=xl/externalLinks/_rels/externalLink196.xml.rels><Relationships xmlns="http://schemas.openxmlformats.org/package/2006/relationships"><Relationship Type="http://schemas.openxmlformats.org/officeDocument/2006/relationships/externalLinkPath" Target="../../../../personal/mahmoud_ahmed2_weatherford_com/Documents/Desktop/GLM,%20TSH,AD-89,BB-1436%20,MAY,26%20,%20%20OP407GREBB30/DSL/BB1436%20Downhole%20Well%20Status%20(1).xlsx" TargetMode="External" Id="rId1" /></Relationships>
</file>

<file path=xl/externalLinks/_rels/externalLink197.xml.rels><Relationships xmlns="http://schemas.openxmlformats.org/package/2006/relationships"><Relationship Type="http://schemas.openxmlformats.org/officeDocument/2006/relationships/externalLinkPath" Target="../../../../C:/Users/E208947/AppData/Local/Microsoft/Windows/INetCache/Content.Outlook/GBDHQDA6/EOJR_BB1436_%20OP30728CBB30.xlsx"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95.xml><?xml version="1.0" encoding="utf-8"?>
<externalLink xmlns:r="http://schemas.openxmlformats.org/officeDocument/2006/relationships" xmlns="http://schemas.openxmlformats.org/spreadsheetml/2006/main">
  <externalBook r:id="rId1">
    <sheetNames>
      <sheetName val="PKR"/>
      <sheetName val="CC33"/>
      <sheetName val="DWS"/>
      <sheetName val="MAT_COST"/>
      <sheetName val="CONTRACT_NO"/>
      <sheetName val="HELPER"/>
      <sheetName val="RECORD"/>
      <sheetName val="RECAP"/>
      <sheetName val="DRAW1"/>
      <sheetName val="LIBRARY"/>
      <sheetName val="DL"/>
      <sheetName val="INPUT"/>
      <sheetName val="Cover"/>
      <sheetName val="Outline"/>
      <sheetName val="Control"/>
      <sheetName val="Auto_DHWS"/>
      <sheetName val="Drift"/>
      <sheetName val="Drift Method"/>
      <sheetName val="Drift BHA (example)"/>
      <sheetName val="Lower"/>
      <sheetName val="LC_Meta"/>
      <sheetName val="LC_Ap"/>
      <sheetName val="Upper"/>
      <sheetName val="UC_Meta"/>
      <sheetName val="Brine"/>
      <sheetName val="UC_Ap"/>
      <sheetName val="LEL Input"/>
      <sheetName val="DRAW_LIB"/>
      <sheetName val="E-PROFILE"/>
      <sheetName val="CP"/>
      <sheetName val="E-PROFILE LIBRARY"/>
      <sheetName val="COMP_BB1436_OP30728CBB30_V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96.xml><?xml version="1.0" encoding="utf-8"?>
<externalLink xmlns:r="http://schemas.openxmlformats.org/officeDocument/2006/relationships" xmlns="http://schemas.openxmlformats.org/spreadsheetml/2006/main">
  <externalBook r:id="rId1">
    <sheetNames>
      <sheetName val="Table 1"/>
    </sheetNames>
    <sheetDataSet>
      <sheetData sheetId="0">
        <row r="72">
          <cell r="F72">
            <v>3</v>
          </cell>
        </row>
      </sheetData>
    </sheetDataSet>
  </externalBook>
</externalLink>
</file>

<file path=xl/externalLinks/externalLink197.xml><?xml version="1.0" encoding="utf-8"?>
<externalLink xmlns:r="http://schemas.openxmlformats.org/officeDocument/2006/relationships" xmlns="http://schemas.openxmlformats.org/spreadsheetml/2006/main">
  <externalBook r:id="rId1">
    <sheetNames>
      <sheetName val="DATA (2)"/>
      <sheetName val="FINAL TALLY  (2)"/>
      <sheetName val="COVER PAGE"/>
      <sheetName val="FINAL TALLY "/>
      <sheetName val="JOB ORDER "/>
      <sheetName val="JOB LOG"/>
      <sheetName val="Tally"/>
      <sheetName val="Drawing"/>
      <sheetName val="4.5in TBG TSH BLUE"/>
    </sheetNames>
    <sheetDataSet>
      <sheetData sheetId="0"/>
      <sheetData sheetId="1"/>
      <sheetData sheetId="2"/>
      <sheetData sheetId="3">
        <row r="14">
          <cell r="G14">
            <v>11538.89</v>
          </cell>
        </row>
      </sheetData>
      <sheetData sheetId="4"/>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0.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9"/>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B16" activeCellId="0" sqref="A11:S58"/>
    </sheetView>
  </sheetViews>
  <sheetFormatPr baseColWidth="8" defaultColWidth="9.22265625" defaultRowHeight="14.25" customHeight="0" zeroHeight="0" outlineLevelRow="0"/>
  <cols>
    <col width="21.22" customWidth="1" style="1157" min="1" max="1"/>
    <col width="14.22" customWidth="1" style="1157" min="2" max="2"/>
    <col width="15.22" customWidth="1" style="1157" min="3" max="3"/>
    <col width="33.78" customWidth="1" style="1157" min="4" max="4"/>
    <col width="21.22" customWidth="1" style="1157" min="5" max="6"/>
    <col width="34.11" customWidth="1" style="1157" min="7" max="7"/>
    <col width="16.22" customWidth="1" style="1157" min="8" max="8"/>
    <col width="22.78" customWidth="1" style="1157" min="9" max="9"/>
    <col width="9.220000000000001" customWidth="1" style="1157" min="10" max="16384"/>
  </cols>
  <sheetData>
    <row r="1" ht="18" customHeight="1" s="1158">
      <c r="A1" s="1159" t="n"/>
      <c r="B1" s="1160" t="n"/>
      <c r="C1" s="1161" t="inlineStr">
        <is>
          <t>COMPLETION ASSEMBLY INSTALLATION / CONSUMPTION RECORD SHEET</t>
        </is>
      </c>
      <c r="D1" s="1162" t="n"/>
      <c r="E1" s="1162" t="n"/>
      <c r="F1" s="1162" t="n"/>
      <c r="G1" s="1163" t="n"/>
      <c r="H1" s="1164" t="n"/>
      <c r="I1" s="1163" t="n"/>
    </row>
    <row r="2" ht="15" customHeight="1" s="1158">
      <c r="A2" s="1165" t="inlineStr">
        <is>
          <t>CUSTOMER :</t>
        </is>
      </c>
      <c r="B2" s="1166" t="n"/>
      <c r="C2" s="1167" t="inlineStr">
        <is>
          <t>ADNOC ONSHORE</t>
        </is>
      </c>
      <c r="D2" s="1168" t="n"/>
      <c r="E2" s="1169" t="inlineStr">
        <is>
          <t>FIELD :</t>
        </is>
      </c>
      <c r="F2" s="1170" t="inlineStr">
        <is>
          <t>AD-141</t>
        </is>
      </c>
      <c r="G2" s="1171" t="n"/>
      <c r="H2" s="1171" t="n"/>
      <c r="I2" s="1172" t="n"/>
    </row>
    <row r="3" ht="14.25" customHeight="1" s="1158">
      <c r="A3" s="1173" t="inlineStr">
        <is>
          <t>WORK ORDER NUMBER</t>
        </is>
      </c>
      <c r="B3" s="1168" t="n"/>
      <c r="C3" s="1167" t="inlineStr">
        <is>
          <t>4700014396</t>
        </is>
      </c>
      <c r="D3" s="1168" t="n"/>
      <c r="E3" s="1174" t="inlineStr">
        <is>
          <t>CONTRACT NUMBER</t>
        </is>
      </c>
      <c r="F3" s="1175" t="inlineStr">
        <is>
          <t>FTASM 1706-B</t>
        </is>
      </c>
      <c r="G3" s="1171" t="n"/>
      <c r="H3" s="1171" t="n"/>
      <c r="I3" s="1172" t="n"/>
    </row>
    <row r="4" ht="14.25" customHeight="1" s="1158">
      <c r="A4" s="1176" t="inlineStr">
        <is>
          <t>Installation :</t>
        </is>
      </c>
      <c r="B4" s="1168" t="n"/>
      <c r="C4" s="1177" t="inlineStr">
        <is>
          <t>04-Jul-26</t>
        </is>
      </c>
      <c r="D4" s="1168" t="n"/>
      <c r="E4" s="1178" t="inlineStr">
        <is>
          <t>Reported By :</t>
        </is>
      </c>
      <c r="F4" s="1179" t="inlineStr">
        <is>
          <t xml:space="preserve">DRILLING SUPERVISOR </t>
        </is>
      </c>
      <c r="G4" s="1171" t="n"/>
      <c r="H4" s="1171" t="n"/>
      <c r="I4" s="1172" t="n"/>
    </row>
    <row r="5" ht="25.5" customHeight="1" s="1158">
      <c r="A5" s="1176" t="inlineStr">
        <is>
          <t>Date :</t>
        </is>
      </c>
      <c r="B5" s="1168" t="n"/>
      <c r="C5" s="1177" t="inlineStr">
        <is>
          <t>30-Jul-26</t>
        </is>
      </c>
      <c r="D5" s="1168" t="n"/>
      <c r="E5" s="1178" t="inlineStr">
        <is>
          <t>Production Commitment No. :</t>
        </is>
      </c>
      <c r="F5" s="1180" t="inlineStr">
        <is>
          <t>4200577342</t>
        </is>
      </c>
      <c r="G5" s="1171" t="n"/>
      <c r="H5" s="1171" t="n"/>
      <c r="I5" s="1172" t="n"/>
    </row>
    <row r="6" ht="25.5" customHeight="1" s="1158">
      <c r="A6" s="1176" t="inlineStr">
        <is>
          <t>Client's Representative Name:</t>
        </is>
      </c>
      <c r="B6" s="1168" t="n"/>
      <c r="C6" s="1181" t="n"/>
      <c r="D6" s="1168" t="n"/>
      <c r="E6" s="1178" t="inlineStr">
        <is>
          <t>Weatherford's
Representative Name:</t>
        </is>
      </c>
      <c r="F6" s="1182" t="inlineStr">
        <is>
          <t>Mahmoud Ali</t>
        </is>
      </c>
      <c r="G6" s="1171" t="n"/>
      <c r="H6" s="1171" t="n"/>
      <c r="I6" s="1172" t="n"/>
    </row>
    <row r="7" ht="52.5" customHeight="1" s="1158">
      <c r="A7" s="1183" t="inlineStr">
        <is>
          <t>Client's Representative Sign.:</t>
        </is>
      </c>
      <c r="B7" s="1184" t="n"/>
      <c r="C7" s="1185" t="n"/>
      <c r="D7" s="1184" t="n"/>
      <c r="E7" s="1186" t="inlineStr">
        <is>
          <t>Weatherford's
Representative Sign.:</t>
        </is>
      </c>
      <c r="F7" s="1187" t="n">
        <v>0</v>
      </c>
      <c r="G7" s="1188" t="n"/>
      <c r="H7" s="1188" t="n"/>
      <c r="I7" s="1189" t="n"/>
    </row>
    <row r="8" ht="15" customHeight="1" s="1158">
      <c r="A8" s="1190" t="n"/>
      <c r="B8" s="1191" t="n"/>
      <c r="C8" s="1191" t="n"/>
      <c r="D8" s="1191" t="n"/>
      <c r="E8" s="1192" t="inlineStr">
        <is>
          <t xml:space="preserve">*THE FOLLOWING ASSEMBLIES ARE TO BE SHIPPED TO : </t>
        </is>
      </c>
      <c r="F8" s="1193" t="n"/>
      <c r="G8" s="1193" t="n"/>
      <c r="H8" s="1194" t="n"/>
      <c r="I8" s="1195" t="inlineStr">
        <is>
          <t>AD-141</t>
        </is>
      </c>
    </row>
    <row r="9" ht="15" customHeight="1" s="1158">
      <c r="A9" s="1196" t="n"/>
      <c r="B9" s="1197" t="n"/>
      <c r="C9" s="1197" t="n"/>
      <c r="D9" s="1197" t="n"/>
      <c r="E9" s="1198" t="inlineStr">
        <is>
          <t xml:space="preserve">*THE FOLLOWING ASSEMBLIES HAVE BEEN RUN IN : </t>
        </is>
      </c>
      <c r="F9" s="1188" t="n"/>
      <c r="G9" s="1188" t="n"/>
      <c r="H9" s="1184" t="n"/>
      <c r="I9" s="1195" t="inlineStr">
        <is>
          <t>BB-1933</t>
        </is>
      </c>
    </row>
    <row r="10" ht="25.5" customHeight="1" s="1158">
      <c r="A10" s="1199" t="inlineStr">
        <is>
          <t>PC LINE ITEM NO.</t>
        </is>
      </c>
      <c r="B10" s="1199" t="inlineStr">
        <is>
          <t>MATERIAL REQUISITION</t>
        </is>
      </c>
      <c r="C10" s="1199" t="inlineStr">
        <is>
          <t>SAP MATERIAL NUMBER</t>
        </is>
      </c>
      <c r="D10" s="1200" t="inlineStr">
        <is>
          <t>ADNOC DESCRIPTION</t>
        </is>
      </c>
      <c r="E10" s="1200" t="inlineStr">
        <is>
          <t>WEATHERFORD
Part No:</t>
        </is>
      </c>
      <c r="F10" s="1200" t="inlineStr">
        <is>
          <t>Serial Number</t>
        </is>
      </c>
      <c r="G10" s="1200" t="inlineStr">
        <is>
          <t>DESCRIPTION</t>
        </is>
      </c>
      <c r="H10" s="1200" t="inlineStr">
        <is>
          <t>QUANTITY</t>
        </is>
      </c>
      <c r="I10" s="1201" t="inlineStr">
        <is>
          <t>COMMENTS</t>
        </is>
      </c>
    </row>
    <row r="11" ht="44.25" customFormat="1" customHeight="1" s="1202">
      <c r="A11" s="1203" t="n">
        <v>1</v>
      </c>
      <c r="B11" s="1203" t="inlineStr">
        <is>
          <t>N/A</t>
        </is>
      </c>
      <c r="C11" s="1204" t="inlineStr">
        <is>
          <t>N/A</t>
        </is>
      </c>
      <c r="D11" s="1203" t="inlineStr">
        <is>
          <t>Running and Installation</t>
        </is>
      </c>
      <c r="E11" s="1205" t="inlineStr">
        <is>
          <t>362754</t>
        </is>
      </c>
      <c r="F11" s="1205" t="inlineStr">
        <is>
          <t>N/A</t>
        </is>
      </c>
      <c r="G11" s="1203" t="inlineStr">
        <is>
          <t>Running and Installation</t>
        </is>
      </c>
      <c r="H11" s="1205" t="n">
        <v>1</v>
      </c>
      <c r="I11" s="1205" t="inlineStr">
        <is>
          <t>SUCCESSFULLY RIH</t>
        </is>
      </c>
    </row>
    <row r="12" ht="44.25" customFormat="1" customHeight="1" s="1202">
      <c r="A12" s="1203" t="n">
        <v>2</v>
      </c>
      <c r="B12" s="1203" t="inlineStr">
        <is>
          <t>N/A</t>
        </is>
      </c>
      <c r="C12" s="1204" t="inlineStr">
        <is>
          <t>N/A</t>
        </is>
      </c>
      <c r="D12" s="1203" t="inlineStr">
        <is>
          <t>TOOLBOX, OFFSHORE - WELLSITE</t>
        </is>
      </c>
      <c r="E12" s="1205" t="inlineStr">
        <is>
          <t>3027199</t>
        </is>
      </c>
      <c r="F12" s="1205" t="inlineStr">
        <is>
          <t>RZ060-012</t>
        </is>
      </c>
      <c r="G12" s="1203" t="inlineStr">
        <is>
          <t>TOOLBOX, OFFSHORE - WELLSITE</t>
        </is>
      </c>
      <c r="H12" s="1205" t="n">
        <v>1</v>
      </c>
      <c r="I12" s="1205" t="inlineStr">
        <is>
          <t>SUCCESSFULLY RIH</t>
        </is>
      </c>
    </row>
    <row r="13" ht="44.25" customFormat="1" customHeight="1" s="1202">
      <c r="A13" s="1203" t="n">
        <v>3</v>
      </c>
      <c r="B13" s="1203" t="inlineStr">
        <is>
          <t>N/A</t>
        </is>
      </c>
      <c r="C13" s="1204" t="inlineStr">
        <is>
          <t>N/A</t>
        </is>
      </c>
      <c r="D13" s="1203" t="inlineStr">
        <is>
          <t>PUMP, HYDRAULIC</t>
        </is>
      </c>
      <c r="E13" s="1205" t="inlineStr">
        <is>
          <t>300340</t>
        </is>
      </c>
      <c r="F13" s="1205" t="inlineStr">
        <is>
          <t>3254409</t>
        </is>
      </c>
      <c r="G13" s="1203" t="inlineStr">
        <is>
          <t>PUMP, HYDRAULIC</t>
        </is>
      </c>
      <c r="H13" s="1205" t="n">
        <v>1</v>
      </c>
      <c r="I13" s="1205" t="inlineStr">
        <is>
          <t>SUCCESSFULLY RIH</t>
        </is>
      </c>
    </row>
    <row r="14" ht="44.25" customFormat="1" customHeight="1" s="1202">
      <c r="A14" s="1206" t="n"/>
      <c r="B14" s="1206" t="n"/>
      <c r="C14" s="1206" t="n"/>
      <c r="D14" s="1206" t="n"/>
      <c r="E14" s="1206" t="n"/>
      <c r="F14" s="1206" t="n"/>
      <c r="G14" s="1206" t="n"/>
      <c r="H14" s="1206" t="n"/>
      <c r="I14" s="1206" t="n"/>
    </row>
    <row r="15" ht="44.25" customHeight="1" s="1158">
      <c r="A15" s="1206" t="n"/>
      <c r="B15" s="1206" t="n"/>
      <c r="C15" s="1206" t="n"/>
      <c r="D15" s="1206" t="n"/>
      <c r="E15" s="1206" t="n"/>
      <c r="F15" s="1206" t="n"/>
      <c r="G15" s="1206" t="n"/>
      <c r="H15" s="1206" t="n"/>
      <c r="I15" s="1206" t="n"/>
    </row>
    <row r="16" ht="44.25" customHeight="1" s="1158">
      <c r="A16" s="1203" t="n"/>
      <c r="B16" s="1203" t="n"/>
      <c r="C16" s="1204" t="n"/>
      <c r="D16" s="1203" t="n"/>
      <c r="E16" s="1205" t="n"/>
      <c r="F16" s="1205" t="n"/>
      <c r="G16" s="1203" t="n"/>
      <c r="H16" s="1205" t="n"/>
      <c r="I16" s="1205" t="n"/>
    </row>
    <row r="17" ht="44.25" customHeight="1" s="1158">
      <c r="A17" s="1203" t="n"/>
      <c r="B17" s="1203" t="n"/>
      <c r="C17" s="1204" t="n"/>
      <c r="D17" s="1203" t="n"/>
      <c r="E17" s="1205" t="n"/>
      <c r="F17" s="1205" t="n"/>
      <c r="G17" s="1203" t="n"/>
      <c r="H17" s="1205" t="n"/>
      <c r="I17" s="1205" t="n"/>
    </row>
    <row r="18" ht="36" customHeight="1" s="1158">
      <c r="A18" s="1203" t="n"/>
      <c r="B18" s="1206" t="n"/>
      <c r="C18" s="1206" t="n"/>
      <c r="D18" s="1206" t="n"/>
      <c r="E18" s="1206" t="n"/>
      <c r="F18" s="1206" t="n"/>
      <c r="G18" s="1206" t="n"/>
      <c r="H18" s="1206" t="n"/>
      <c r="I18" s="1206" t="n"/>
    </row>
    <row r="19" ht="44.25" customHeight="1" s="1158">
      <c r="A19" s="1203" t="n"/>
      <c r="B19" s="1206" t="n"/>
      <c r="C19" s="1206" t="n"/>
      <c r="D19" s="1206" t="n"/>
      <c r="E19" s="1206" t="n"/>
      <c r="F19" s="1206" t="n"/>
      <c r="G19" s="1206" t="n"/>
      <c r="H19" s="1206" t="n"/>
      <c r="I19" s="1206" t="n"/>
    </row>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H4" activeCellId="1" sqref="A11:S58 H4"/>
    </sheetView>
  </sheetViews>
  <sheetFormatPr baseColWidth="8" defaultColWidth="8.59765625" defaultRowHeight="14.25" customHeight="0" zeroHeight="0" outlineLevelRow="0"/>
  <cols>
    <col width="22.11" customWidth="1" style="1207" min="1" max="1"/>
    <col width="30.11" customWidth="1" style="1207" min="2" max="2"/>
    <col width="4.22" customWidth="1" style="1207" min="3" max="3"/>
    <col width="24" customWidth="1" style="1207" min="4" max="4"/>
    <col width="29.44" customWidth="1" style="1207" min="5" max="5"/>
    <col width="4.22" customWidth="1" style="1208" min="6" max="6"/>
    <col width="12.89" customWidth="1" style="1207" min="7" max="7"/>
    <col width="22.44" customWidth="1" style="1207" min="8" max="8"/>
    <col width="14.11" customWidth="1" style="1207" min="9" max="9"/>
  </cols>
  <sheetData>
    <row r="1" ht="17.35" customHeight="1" s="1158">
      <c r="A1" s="1209" t="inlineStr">
        <is>
          <t>Master Data Imput</t>
        </is>
      </c>
    </row>
    <row r="3" ht="39" customFormat="1" customHeight="1" s="1210">
      <c r="A3" s="1211" t="inlineStr">
        <is>
          <t>Customer Name</t>
        </is>
      </c>
      <c r="B3" s="1212">
        <f>'MS2'!$C$2</f>
        <v/>
      </c>
      <c r="D3" s="1211" t="inlineStr">
        <is>
          <t>Job Type</t>
        </is>
      </c>
      <c r="E3" s="1213" t="inlineStr">
        <is>
          <t>3-1/2" Single Oil Producer, Alloy-28 Tubing,</t>
        </is>
      </c>
      <c r="F3" s="1214" t="n"/>
      <c r="G3" s="1215" t="inlineStr">
        <is>
          <t>Lead Engineer</t>
        </is>
      </c>
      <c r="H3" s="1216">
        <f>'MS2'!$F$6</f>
        <v/>
      </c>
      <c r="I3" s="1217" t="inlineStr">
        <is>
          <t>Field Supervisor</t>
        </is>
      </c>
    </row>
    <row r="4" ht="24" customHeight="1" s="1158">
      <c r="A4" s="1218" t="inlineStr">
        <is>
          <t>ADNOC Rep.</t>
        </is>
      </c>
      <c r="B4" s="1219" t="inlineStr">
        <is>
          <t>ISSA</t>
        </is>
      </c>
      <c r="D4" s="1218" t="inlineStr">
        <is>
          <t>Work Description</t>
        </is>
      </c>
      <c r="E4" s="1213" t="inlineStr">
        <is>
          <t>RIH COMPLETION</t>
        </is>
      </c>
      <c r="G4" s="1220" t="inlineStr">
        <is>
          <t>Crew 1</t>
        </is>
      </c>
      <c r="H4" s="1212" t="inlineStr">
        <is>
          <t>ALI</t>
        </is>
      </c>
      <c r="I4" s="1221" t="inlineStr">
        <is>
          <t>TRSV Engineer</t>
        </is>
      </c>
    </row>
    <row r="5" ht="14.25" customHeight="1" s="1158">
      <c r="A5" s="1220" t="inlineStr">
        <is>
          <t>ADNOC Rep. Phone</t>
        </is>
      </c>
      <c r="B5" s="1222" t="n">
        <v>971508126221</v>
      </c>
      <c r="D5" s="1220" t="inlineStr">
        <is>
          <t>Field</t>
        </is>
      </c>
      <c r="E5" s="1223" t="n"/>
      <c r="G5" s="1218" t="inlineStr">
        <is>
          <t>Crew 2</t>
        </is>
      </c>
      <c r="H5" s="1216" t="inlineStr">
        <is>
          <t>AHMED</t>
        </is>
      </c>
      <c r="I5" s="1221" t="n"/>
    </row>
    <row r="6" ht="14.25" customHeight="1" s="1158">
      <c r="A6" s="1220" t="n"/>
      <c r="B6" s="1222" t="n"/>
      <c r="D6" s="1220" t="n"/>
      <c r="E6" s="1223" t="n"/>
      <c r="G6" s="1218" t="inlineStr">
        <is>
          <t>Crew 3</t>
        </is>
      </c>
      <c r="H6" s="1212" t="inlineStr">
        <is>
          <t>AHMED</t>
        </is>
      </c>
      <c r="I6" s="1221" t="n"/>
    </row>
    <row r="7" ht="14.25" customHeight="1" s="1158">
      <c r="A7" s="1218" t="n"/>
      <c r="B7" s="1224" t="n"/>
      <c r="D7" s="1220" t="n"/>
      <c r="E7" s="1223" t="n"/>
      <c r="G7" s="1218" t="inlineStr">
        <is>
          <t>Crew 4</t>
        </is>
      </c>
      <c r="H7" s="1216" t="n"/>
      <c r="I7" s="1221" t="n"/>
    </row>
    <row r="8" ht="14.25" customHeight="1" s="1158">
      <c r="A8" s="1220" t="inlineStr">
        <is>
          <t>ADNOC Rep. Phone</t>
        </is>
      </c>
      <c r="B8" s="1222" t="n">
        <v>971508126221</v>
      </c>
      <c r="D8" s="1220" t="inlineStr">
        <is>
          <t>Field</t>
        </is>
      </c>
      <c r="E8" s="1223" t="inlineStr">
        <is>
          <t>BAB</t>
        </is>
      </c>
      <c r="G8" s="1218" t="inlineStr">
        <is>
          <t>Crew 5</t>
        </is>
      </c>
      <c r="H8" s="1212" t="n"/>
      <c r="I8" s="1221" t="n"/>
    </row>
    <row r="9" ht="14.25" customHeight="1" s="1158">
      <c r="A9" s="1220" t="inlineStr">
        <is>
          <t>ADNOC Rep. Phone</t>
        </is>
      </c>
      <c r="B9" s="1222" t="n">
        <v>971508126221</v>
      </c>
      <c r="D9" s="1220" t="inlineStr">
        <is>
          <t>Field</t>
        </is>
      </c>
      <c r="E9" s="1223" t="inlineStr">
        <is>
          <t>BAB</t>
        </is>
      </c>
      <c r="G9" s="1218" t="inlineStr">
        <is>
          <t>Crew 6</t>
        </is>
      </c>
      <c r="H9" s="1216" t="n"/>
      <c r="I9" s="1221" t="n"/>
    </row>
    <row r="10" ht="14.25" customHeight="1" s="1158">
      <c r="A10" s="1218" t="inlineStr">
        <is>
          <t>Contract #</t>
        </is>
      </c>
      <c r="B10" s="1224">
        <f>'MS2'!$C$3</f>
        <v/>
      </c>
      <c r="D10" s="1218" t="inlineStr">
        <is>
          <t>Well</t>
        </is>
      </c>
      <c r="E10" s="1225">
        <f>'MS2'!I9</f>
        <v/>
      </c>
      <c r="G10" s="1220" t="n"/>
      <c r="H10" s="1212" t="n"/>
      <c r="I10" s="1221" t="n"/>
    </row>
    <row r="11" ht="14.25" customHeight="1" s="1158">
      <c r="A11" s="1226" t="inlineStr">
        <is>
          <t>Customer RO #:</t>
        </is>
      </c>
      <c r="B11" s="1227">
        <f>'MS2'!$F$5</f>
        <v/>
      </c>
      <c r="D11" s="1220" t="inlineStr">
        <is>
          <t>RIG</t>
        </is>
      </c>
      <c r="E11" s="1228">
        <f>'MS2'!I8</f>
        <v/>
      </c>
      <c r="G11" s="1218" t="n"/>
      <c r="H11" s="1219" t="n"/>
      <c r="I11" s="1221" t="n"/>
    </row>
    <row r="12" ht="14.25" customHeight="1" s="1158">
      <c r="A12" s="1220" t="inlineStr">
        <is>
          <t>Number of Days in RO</t>
        </is>
      </c>
      <c r="B12" s="1229" t="n">
        <v>11</v>
      </c>
      <c r="D12" s="1218" t="inlineStr">
        <is>
          <t>Date and time for Arrival</t>
        </is>
      </c>
      <c r="E12" s="1230">
        <f t="array" ref="E12:F12">'MS2'!C4:D4</f>
        <v/>
      </c>
      <c r="F12" s="1208" t="n">
        <v>0</v>
      </c>
      <c r="G12" s="1220" t="n"/>
      <c r="H12" s="1212" t="n"/>
      <c r="I12" s="1221" t="n"/>
    </row>
    <row r="13" ht="14.25" customHeight="1" s="1158">
      <c r="D13" s="1220" t="inlineStr">
        <is>
          <t>Date and time for Job Start</t>
        </is>
      </c>
      <c r="E13" s="1230">
        <f>E12</f>
        <v/>
      </c>
      <c r="G13" s="1218" t="n"/>
      <c r="H13" s="1219" t="n"/>
      <c r="I13" s="1217" t="n"/>
    </row>
    <row r="14" ht="14.25" customHeight="1" s="1158">
      <c r="A14" s="1220" t="inlineStr">
        <is>
          <t>Customer (Contractor) #</t>
        </is>
      </c>
      <c r="B14" s="1229" t="n"/>
      <c r="D14" s="1218" t="inlineStr">
        <is>
          <t>Date and time for Job End</t>
        </is>
      </c>
      <c r="E14" s="1230">
        <f t="array" ref="E14:F14">'MS2'!C5:D5</f>
        <v/>
      </c>
      <c r="F14" s="1208" t="n">
        <v>0</v>
      </c>
      <c r="G14" s="1220" t="n"/>
      <c r="H14" s="1212" t="n"/>
      <c r="I14" s="1221" t="n"/>
    </row>
    <row r="15" ht="14.25" customHeight="1" s="1158">
      <c r="A15" s="1220" t="inlineStr">
        <is>
          <t>Service DT</t>
        </is>
      </c>
      <c r="B15" s="1229">
        <f t="array" ref="B15:C15">'MS2'!H1:I1</f>
        <v/>
      </c>
      <c r="C15" s="1207" t="n">
        <v>0</v>
      </c>
      <c r="D15" s="1220" t="inlineStr">
        <is>
          <t>Date and time for Leave</t>
        </is>
      </c>
      <c r="E15" s="1230">
        <f>E14</f>
        <v/>
      </c>
      <c r="G15" s="1218" t="n"/>
      <c r="H15" s="1219" t="n"/>
      <c r="I15" s="1217" t="n"/>
    </row>
    <row r="16" ht="14.25" customHeight="1" s="1158">
      <c r="A16" s="1220" t="inlineStr">
        <is>
          <t>WPTS #</t>
        </is>
      </c>
      <c r="B16" s="1229" t="n"/>
      <c r="D16" s="1218" t="inlineStr">
        <is>
          <t>Total Time Hrs</t>
        </is>
      </c>
      <c r="E16" s="1225" t="n">
        <v>90</v>
      </c>
      <c r="G16" s="1220" t="n"/>
      <c r="H16" s="1212" t="n"/>
      <c r="I16" s="1221" t="n"/>
    </row>
    <row r="17" ht="14.25" customHeight="1" s="1158">
      <c r="D17" s="1220" t="inlineStr">
        <is>
          <t>Operational Time Hrs</t>
        </is>
      </c>
      <c r="E17" s="1228" t="n">
        <v>87</v>
      </c>
      <c r="G17" s="1218" t="n"/>
      <c r="H17" s="1231" t="n"/>
      <c r="I17" s="1232" t="n"/>
    </row>
    <row r="18" ht="14.25" customHeight="1" s="1158">
      <c r="A18" s="1220" t="inlineStr">
        <is>
          <t>Company</t>
        </is>
      </c>
      <c r="B18" s="1229" t="inlineStr">
        <is>
          <t>Weatherford Bin Hamoodah L.L.C</t>
        </is>
      </c>
      <c r="D18" s="1218" t="inlineStr">
        <is>
          <t>Lost Time (NPT)</t>
        </is>
      </c>
      <c r="E18" s="1225" t="n">
        <v>0</v>
      </c>
      <c r="G18" s="1220" t="n"/>
      <c r="H18" s="1212" t="n"/>
      <c r="I18" s="1221" t="n"/>
    </row>
    <row r="19" ht="14.25" customHeight="1" s="1158">
      <c r="A19" s="1218" t="inlineStr">
        <is>
          <t>WFT Contact Name</t>
        </is>
      </c>
      <c r="B19" s="1225" t="inlineStr">
        <is>
          <t>Mohamed Massood</t>
        </is>
      </c>
      <c r="D19" s="1220" t="inlineStr">
        <is>
          <t>Runs</t>
        </is>
      </c>
      <c r="E19" s="1228" t="n">
        <v>1</v>
      </c>
      <c r="G19" s="1218" t="n"/>
      <c r="H19" s="1231" t="n"/>
      <c r="I19" s="1232" t="n"/>
    </row>
    <row r="20" ht="14.25" customHeight="1" s="1158">
      <c r="A20" s="1220" t="inlineStr">
        <is>
          <t>WFT Contact Phone #</t>
        </is>
      </c>
      <c r="B20" s="1233" t="n">
        <v>971547926323</v>
      </c>
      <c r="D20" s="1218" t="inlineStr">
        <is>
          <t>Miss Runs</t>
        </is>
      </c>
      <c r="E20" s="1225" t="n">
        <v>0</v>
      </c>
    </row>
    <row r="21" ht="14.25" customHeight="1" s="1158">
      <c r="A21" s="1218" t="inlineStr">
        <is>
          <t>WFT Supervisor</t>
        </is>
      </c>
      <c r="B21" s="1216" t="inlineStr">
        <is>
          <t xml:space="preserve">Mahmoud Ali </t>
        </is>
      </c>
    </row>
    <row r="22" ht="14.25" customHeight="1" s="1158">
      <c r="A22" s="1220" t="inlineStr">
        <is>
          <t>WFT Supervisor Phone #</t>
        </is>
      </c>
      <c r="B22" s="1234" t="n">
        <v>971567203838</v>
      </c>
    </row>
    <row r="23" ht="14.25" customHeight="1" s="1158">
      <c r="D23" s="1220" t="inlineStr">
        <is>
          <t>Backload Sent</t>
        </is>
      </c>
      <c r="E23" s="1235">
        <f>E15</f>
        <v/>
      </c>
    </row>
    <row r="24" ht="14.25" customHeight="1" s="1158">
      <c r="A24" s="1218" t="inlineStr">
        <is>
          <t>PO Asociated</t>
        </is>
      </c>
      <c r="B24" s="1224" t="inlineStr">
        <is>
          <t>Q-74878</t>
        </is>
      </c>
      <c r="D24" s="1218" t="inlineStr">
        <is>
          <t>Documents Signed Date</t>
        </is>
      </c>
      <c r="E24" s="1235">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00" zoomScaleNormal="100" zoomScalePageLayoutView="100" workbookViewId="0">
      <selection pane="topLeft" activeCell="A11" activeCellId="0" sqref="A11:S58"/>
    </sheetView>
  </sheetViews>
  <sheetFormatPr baseColWidth="8" defaultColWidth="9.11328125" defaultRowHeight="12" customHeight="0" zeroHeight="0" outlineLevelRow="0"/>
  <cols>
    <col width="4.55" customWidth="1" style="1236" min="1" max="1"/>
    <col width="5" customWidth="1" style="1236" min="2" max="2"/>
    <col width="3.45" customWidth="1" style="1236" min="3" max="3"/>
    <col width="9.66" customWidth="1" style="1236" min="4" max="4"/>
    <col width="5.44" customWidth="1" style="1236" min="5" max="5"/>
    <col width="8.890000000000001" customWidth="1" style="1236" min="6" max="12"/>
    <col width="7.33" customWidth="1" style="1236" min="13" max="13"/>
    <col width="2.67" customWidth="1" style="1236" min="14" max="14"/>
    <col width="3.45" customWidth="1" style="1236" min="15" max="15"/>
    <col width="6" customWidth="1" style="1236" min="16" max="16"/>
    <col width="6.34" customWidth="1" style="1236" min="17" max="17"/>
    <col width="6.56" customWidth="1" style="1236" min="18" max="18"/>
    <col width="31.33" customWidth="1" style="1236" min="19" max="19"/>
    <col width="9.109999999999999" customWidth="1" style="1236" min="20" max="131"/>
    <col width="7.33" customWidth="1" style="1236" min="132" max="132"/>
    <col width="5" customWidth="1" style="1236" min="133" max="133"/>
    <col width="5.44" customWidth="1" style="1236" min="134" max="134"/>
    <col width="9.66" customWidth="1" style="1236" min="135" max="135"/>
    <col width="5.44" customWidth="1" style="1236" min="136" max="136"/>
    <col width="2" customWidth="1" style="1236" min="137" max="137"/>
    <col width="7.55" customWidth="1" style="1236" min="138" max="138"/>
    <col width="8.67" customWidth="1" style="1236" min="139" max="139"/>
    <col width="4.67" customWidth="1" style="1236" min="140" max="140"/>
    <col width="8.67" customWidth="1" style="1236" min="141" max="141"/>
    <col width="6" customWidth="1" style="1236" min="142" max="142"/>
    <col width="6.34" customWidth="1" style="1236" min="143" max="143"/>
    <col width="8.67" customWidth="1" style="1236" min="144" max="144"/>
    <col width="3.45" customWidth="1" style="1236" min="145" max="145"/>
    <col width="3" customWidth="1" style="1236" min="146" max="146"/>
    <col width="4.33" customWidth="1" style="1236" min="147" max="147"/>
    <col width="5.56" customWidth="1" style="1236" min="148" max="148"/>
    <col width="4.67" customWidth="1" style="1236" min="149" max="149"/>
    <col width="15.45" customWidth="1" style="1236" min="150" max="150"/>
    <col width="9.109999999999999" customWidth="1" style="1236" min="151" max="154"/>
    <col width="10.44" customWidth="1" style="1236" min="155" max="155"/>
    <col width="18" customWidth="1" style="1236" min="156" max="156"/>
    <col width="9.109999999999999" customWidth="1" style="1236" min="157" max="387"/>
    <col width="7.33" customWidth="1" style="1236" min="388" max="388"/>
    <col width="5" customWidth="1" style="1236" min="389" max="389"/>
    <col width="5.44" customWidth="1" style="1236" min="390" max="390"/>
    <col width="9.66" customWidth="1" style="1236" min="391" max="391"/>
    <col width="5.44" customWidth="1" style="1236" min="392" max="392"/>
    <col width="2" customWidth="1" style="1236" min="393" max="393"/>
    <col width="7.55" customWidth="1" style="1236" min="394" max="394"/>
    <col width="8.67" customWidth="1" style="1236" min="395" max="395"/>
    <col width="4.67" customWidth="1" style="1236" min="396" max="396"/>
    <col width="8.67" customWidth="1" style="1236" min="397" max="397"/>
    <col width="6" customWidth="1" style="1236" min="398" max="398"/>
    <col width="6.34" customWidth="1" style="1236" min="399" max="399"/>
    <col width="8.67" customWidth="1" style="1236" min="400" max="400"/>
    <col width="3.45" customWidth="1" style="1236" min="401" max="401"/>
    <col width="3" customWidth="1" style="1236" min="402" max="402"/>
    <col width="4.33" customWidth="1" style="1236" min="403" max="403"/>
    <col width="5.56" customWidth="1" style="1236" min="404" max="404"/>
    <col width="4.67" customWidth="1" style="1236" min="405" max="405"/>
    <col width="15.45" customWidth="1" style="1236" min="406" max="406"/>
    <col width="9.109999999999999" customWidth="1" style="1236" min="407" max="410"/>
    <col width="10.44" customWidth="1" style="1236" min="411" max="411"/>
    <col width="18" customWidth="1" style="1236" min="412" max="412"/>
    <col width="9.109999999999999" customWidth="1" style="1236" min="413" max="643"/>
    <col width="7.33" customWidth="1" style="1236" min="644" max="644"/>
    <col width="5" customWidth="1" style="1236" min="645" max="645"/>
    <col width="5.44" customWidth="1" style="1236" min="646" max="646"/>
    <col width="9.66" customWidth="1" style="1236" min="647" max="647"/>
    <col width="5.44" customWidth="1" style="1236" min="648" max="648"/>
    <col width="2" customWidth="1" style="1236" min="649" max="649"/>
    <col width="7.55" customWidth="1" style="1236" min="650" max="650"/>
    <col width="8.67" customWidth="1" style="1236" min="651" max="651"/>
    <col width="4.67" customWidth="1" style="1236" min="652" max="652"/>
    <col width="8.67" customWidth="1" style="1236" min="653" max="653"/>
    <col width="6" customWidth="1" style="1236" min="654" max="654"/>
    <col width="6.34" customWidth="1" style="1236" min="655" max="655"/>
    <col width="8.67" customWidth="1" style="1236" min="656" max="656"/>
    <col width="3.45" customWidth="1" style="1236" min="657" max="657"/>
    <col width="3" customWidth="1" style="1236" min="658" max="658"/>
    <col width="4.33" customWidth="1" style="1236" min="659" max="659"/>
    <col width="5.56" customWidth="1" style="1236" min="660" max="660"/>
    <col width="4.67" customWidth="1" style="1236" min="661" max="661"/>
    <col width="15.45" customWidth="1" style="1236" min="662" max="662"/>
    <col width="9.109999999999999" customWidth="1" style="1236" min="663" max="666"/>
    <col width="10.44" customWidth="1" style="1236" min="667" max="667"/>
    <col width="18" customWidth="1" style="1236" min="668" max="668"/>
    <col width="9.109999999999999" customWidth="1" style="1236" min="669" max="899"/>
    <col width="7.33" customWidth="1" style="1236" min="900" max="900"/>
    <col width="5" customWidth="1" style="1236" min="901" max="901"/>
    <col width="5.44" customWidth="1" style="1236" min="902" max="902"/>
    <col width="9.66" customWidth="1" style="1236" min="903" max="903"/>
    <col width="5.44" customWidth="1" style="1236" min="904" max="904"/>
    <col width="2" customWidth="1" style="1236" min="905" max="905"/>
    <col width="7.55" customWidth="1" style="1236" min="906" max="906"/>
    <col width="8.67" customWidth="1" style="1236" min="907" max="907"/>
    <col width="4.67" customWidth="1" style="1236" min="908" max="908"/>
    <col width="8.67" customWidth="1" style="1236" min="909" max="909"/>
    <col width="6" customWidth="1" style="1236" min="910" max="910"/>
    <col width="6.34" customWidth="1" style="1236" min="911" max="911"/>
    <col width="8.67" customWidth="1" style="1236" min="912" max="912"/>
    <col width="3.45" customWidth="1" style="1236" min="913" max="913"/>
    <col width="3" customWidth="1" style="1236" min="914" max="914"/>
    <col width="4.33" customWidth="1" style="1236" min="915" max="915"/>
    <col width="5.56" customWidth="1" style="1236" min="916" max="916"/>
    <col width="4.67" customWidth="1" style="1236" min="917" max="917"/>
    <col width="15.45" customWidth="1" style="1236" min="918" max="918"/>
    <col width="9.109999999999999" customWidth="1" style="1236" min="919" max="922"/>
    <col width="10.44" customWidth="1" style="1236" min="923" max="923"/>
    <col width="18" customWidth="1" style="1236" min="924" max="924"/>
    <col width="9.109999999999999" customWidth="1" style="1236" min="925" max="1155"/>
    <col width="7.33" customWidth="1" style="1236" min="1156" max="1156"/>
    <col width="5" customWidth="1" style="1236" min="1157" max="1157"/>
    <col width="5.44" customWidth="1" style="1236" min="1158" max="1158"/>
    <col width="9.66" customWidth="1" style="1236" min="1159" max="1159"/>
    <col width="5.44" customWidth="1" style="1236" min="1160" max="1160"/>
    <col width="2" customWidth="1" style="1236" min="1161" max="1161"/>
    <col width="7.55" customWidth="1" style="1236" min="1162" max="1162"/>
    <col width="8.67" customWidth="1" style="1236" min="1163" max="1163"/>
    <col width="4.67" customWidth="1" style="1236" min="1164" max="1164"/>
    <col width="8.67" customWidth="1" style="1236" min="1165" max="1165"/>
    <col width="6" customWidth="1" style="1236" min="1166" max="1166"/>
    <col width="6.34" customWidth="1" style="1236" min="1167" max="1167"/>
    <col width="8.67" customWidth="1" style="1236" min="1168" max="1168"/>
    <col width="3.45" customWidth="1" style="1236" min="1169" max="1169"/>
    <col width="3" customWidth="1" style="1236" min="1170" max="1170"/>
    <col width="4.33" customWidth="1" style="1236" min="1171" max="1171"/>
    <col width="5.56" customWidth="1" style="1236" min="1172" max="1172"/>
    <col width="4.67" customWidth="1" style="1236" min="1173" max="1173"/>
    <col width="15.45" customWidth="1" style="1236" min="1174" max="1174"/>
    <col width="9.109999999999999" customWidth="1" style="1236" min="1175" max="1178"/>
    <col width="10.44" customWidth="1" style="1236" min="1179" max="1179"/>
    <col width="18" customWidth="1" style="1236" min="1180" max="1180"/>
    <col width="9.109999999999999" customWidth="1" style="1236" min="1181" max="1411"/>
    <col width="7.33" customWidth="1" style="1236" min="1412" max="1412"/>
    <col width="5" customWidth="1" style="1236" min="1413" max="1413"/>
    <col width="5.44" customWidth="1" style="1236" min="1414" max="1414"/>
    <col width="9.66" customWidth="1" style="1236" min="1415" max="1415"/>
    <col width="5.44" customWidth="1" style="1236" min="1416" max="1416"/>
    <col width="2" customWidth="1" style="1236" min="1417" max="1417"/>
    <col width="7.55" customWidth="1" style="1236" min="1418" max="1418"/>
    <col width="8.67" customWidth="1" style="1236" min="1419" max="1419"/>
    <col width="4.67" customWidth="1" style="1236" min="1420" max="1420"/>
    <col width="8.67" customWidth="1" style="1236" min="1421" max="1421"/>
    <col width="6" customWidth="1" style="1236" min="1422" max="1422"/>
    <col width="6.34" customWidth="1" style="1236" min="1423" max="1423"/>
    <col width="8.67" customWidth="1" style="1236" min="1424" max="1424"/>
    <col width="3.45" customWidth="1" style="1236" min="1425" max="1425"/>
    <col width="3" customWidth="1" style="1236" min="1426" max="1426"/>
    <col width="4.33" customWidth="1" style="1236" min="1427" max="1427"/>
    <col width="5.56" customWidth="1" style="1236" min="1428" max="1428"/>
    <col width="4.67" customWidth="1" style="1236" min="1429" max="1429"/>
    <col width="15.45" customWidth="1" style="1236" min="1430" max="1430"/>
    <col width="9.109999999999999" customWidth="1" style="1236" min="1431" max="1434"/>
    <col width="10.44" customWidth="1" style="1236" min="1435" max="1435"/>
    <col width="18" customWidth="1" style="1236" min="1436" max="1436"/>
    <col width="9.109999999999999" customWidth="1" style="1236" min="1437" max="1667"/>
    <col width="7.33" customWidth="1" style="1236" min="1668" max="1668"/>
    <col width="5" customWidth="1" style="1236" min="1669" max="1669"/>
    <col width="5.44" customWidth="1" style="1236" min="1670" max="1670"/>
    <col width="9.66" customWidth="1" style="1236" min="1671" max="1671"/>
    <col width="5.44" customWidth="1" style="1236" min="1672" max="1672"/>
    <col width="2" customWidth="1" style="1236" min="1673" max="1673"/>
    <col width="7.55" customWidth="1" style="1236" min="1674" max="1674"/>
    <col width="8.67" customWidth="1" style="1236" min="1675" max="1675"/>
    <col width="4.67" customWidth="1" style="1236" min="1676" max="1676"/>
    <col width="8.67" customWidth="1" style="1236" min="1677" max="1677"/>
    <col width="6" customWidth="1" style="1236" min="1678" max="1678"/>
    <col width="6.34" customWidth="1" style="1236" min="1679" max="1679"/>
    <col width="8.67" customWidth="1" style="1236" min="1680" max="1680"/>
    <col width="3.45" customWidth="1" style="1236" min="1681" max="1681"/>
    <col width="3" customWidth="1" style="1236" min="1682" max="1682"/>
    <col width="4.33" customWidth="1" style="1236" min="1683" max="1683"/>
    <col width="5.56" customWidth="1" style="1236" min="1684" max="1684"/>
    <col width="4.67" customWidth="1" style="1236" min="1685" max="1685"/>
    <col width="15.45" customWidth="1" style="1236" min="1686" max="1686"/>
    <col width="9.109999999999999" customWidth="1" style="1236" min="1687" max="1690"/>
    <col width="10.44" customWidth="1" style="1236" min="1691" max="1691"/>
    <col width="18" customWidth="1" style="1236" min="1692" max="1692"/>
    <col width="9.109999999999999" customWidth="1" style="1236" min="1693" max="1923"/>
    <col width="7.33" customWidth="1" style="1236" min="1924" max="1924"/>
    <col width="5" customWidth="1" style="1236" min="1925" max="1925"/>
    <col width="5.44" customWidth="1" style="1236" min="1926" max="1926"/>
    <col width="9.66" customWidth="1" style="1236" min="1927" max="1927"/>
    <col width="5.44" customWidth="1" style="1236" min="1928" max="1928"/>
    <col width="2" customWidth="1" style="1236" min="1929" max="1929"/>
    <col width="7.55" customWidth="1" style="1236" min="1930" max="1930"/>
    <col width="8.67" customWidth="1" style="1236" min="1931" max="1931"/>
    <col width="4.67" customWidth="1" style="1236" min="1932" max="1932"/>
    <col width="8.67" customWidth="1" style="1236" min="1933" max="1933"/>
    <col width="6" customWidth="1" style="1236" min="1934" max="1934"/>
    <col width="6.34" customWidth="1" style="1236" min="1935" max="1935"/>
    <col width="8.67" customWidth="1" style="1236" min="1936" max="1936"/>
    <col width="3.45" customWidth="1" style="1236" min="1937" max="1937"/>
    <col width="3" customWidth="1" style="1236" min="1938" max="1938"/>
    <col width="4.33" customWidth="1" style="1236" min="1939" max="1939"/>
    <col width="5.56" customWidth="1" style="1236" min="1940" max="1940"/>
    <col width="4.67" customWidth="1" style="1236" min="1941" max="1941"/>
    <col width="15.45" customWidth="1" style="1236" min="1942" max="1942"/>
    <col width="9.109999999999999" customWidth="1" style="1236" min="1943" max="1946"/>
    <col width="10.44" customWidth="1" style="1236" min="1947" max="1947"/>
    <col width="18" customWidth="1" style="1236" min="1948" max="1948"/>
    <col width="9.109999999999999" customWidth="1" style="1236" min="1949" max="2179"/>
    <col width="7.33" customWidth="1" style="1236" min="2180" max="2180"/>
    <col width="5" customWidth="1" style="1236" min="2181" max="2181"/>
    <col width="5.44" customWidth="1" style="1236" min="2182" max="2182"/>
    <col width="9.66" customWidth="1" style="1236" min="2183" max="2183"/>
    <col width="5.44" customWidth="1" style="1236" min="2184" max="2184"/>
    <col width="2" customWidth="1" style="1236" min="2185" max="2185"/>
    <col width="7.55" customWidth="1" style="1236" min="2186" max="2186"/>
    <col width="8.67" customWidth="1" style="1236" min="2187" max="2187"/>
    <col width="4.67" customWidth="1" style="1236" min="2188" max="2188"/>
    <col width="8.67" customWidth="1" style="1236" min="2189" max="2189"/>
    <col width="6" customWidth="1" style="1236" min="2190" max="2190"/>
    <col width="6.34" customWidth="1" style="1236" min="2191" max="2191"/>
    <col width="8.67" customWidth="1" style="1236" min="2192" max="2192"/>
    <col width="3.45" customWidth="1" style="1236" min="2193" max="2193"/>
    <col width="3" customWidth="1" style="1236" min="2194" max="2194"/>
    <col width="4.33" customWidth="1" style="1236" min="2195" max="2195"/>
    <col width="5.56" customWidth="1" style="1236" min="2196" max="2196"/>
    <col width="4.67" customWidth="1" style="1236" min="2197" max="2197"/>
    <col width="15.45" customWidth="1" style="1236" min="2198" max="2198"/>
    <col width="9.109999999999999" customWidth="1" style="1236" min="2199" max="2202"/>
    <col width="10.44" customWidth="1" style="1236" min="2203" max="2203"/>
    <col width="18" customWidth="1" style="1236" min="2204" max="2204"/>
    <col width="9.109999999999999" customWidth="1" style="1236" min="2205" max="2435"/>
    <col width="7.33" customWidth="1" style="1236" min="2436" max="2436"/>
    <col width="5" customWidth="1" style="1236" min="2437" max="2437"/>
    <col width="5.44" customWidth="1" style="1236" min="2438" max="2438"/>
    <col width="9.66" customWidth="1" style="1236" min="2439" max="2439"/>
    <col width="5.44" customWidth="1" style="1236" min="2440" max="2440"/>
    <col width="2" customWidth="1" style="1236" min="2441" max="2441"/>
    <col width="7.55" customWidth="1" style="1236" min="2442" max="2442"/>
    <col width="8.67" customWidth="1" style="1236" min="2443" max="2443"/>
    <col width="4.67" customWidth="1" style="1236" min="2444" max="2444"/>
    <col width="8.67" customWidth="1" style="1236" min="2445" max="2445"/>
    <col width="6" customWidth="1" style="1236" min="2446" max="2446"/>
    <col width="6.34" customWidth="1" style="1236" min="2447" max="2447"/>
    <col width="8.67" customWidth="1" style="1236" min="2448" max="2448"/>
    <col width="3.45" customWidth="1" style="1236" min="2449" max="2449"/>
    <col width="3" customWidth="1" style="1236" min="2450" max="2450"/>
    <col width="4.33" customWidth="1" style="1236" min="2451" max="2451"/>
    <col width="5.56" customWidth="1" style="1236" min="2452" max="2452"/>
    <col width="4.67" customWidth="1" style="1236" min="2453" max="2453"/>
    <col width="15.45" customWidth="1" style="1236" min="2454" max="2454"/>
    <col width="9.109999999999999" customWidth="1" style="1236" min="2455" max="2458"/>
    <col width="10.44" customWidth="1" style="1236" min="2459" max="2459"/>
    <col width="18" customWidth="1" style="1236" min="2460" max="2460"/>
    <col width="9.109999999999999" customWidth="1" style="1236" min="2461" max="2691"/>
    <col width="7.33" customWidth="1" style="1236" min="2692" max="2692"/>
    <col width="5" customWidth="1" style="1236" min="2693" max="2693"/>
    <col width="5.44" customWidth="1" style="1236" min="2694" max="2694"/>
    <col width="9.66" customWidth="1" style="1236" min="2695" max="2695"/>
    <col width="5.44" customWidth="1" style="1236" min="2696" max="2696"/>
    <col width="2" customWidth="1" style="1236" min="2697" max="2697"/>
    <col width="7.55" customWidth="1" style="1236" min="2698" max="2698"/>
    <col width="8.67" customWidth="1" style="1236" min="2699" max="2699"/>
    <col width="4.67" customWidth="1" style="1236" min="2700" max="2700"/>
    <col width="8.67" customWidth="1" style="1236" min="2701" max="2701"/>
    <col width="6" customWidth="1" style="1236" min="2702" max="2702"/>
    <col width="6.34" customWidth="1" style="1236" min="2703" max="2703"/>
    <col width="8.67" customWidth="1" style="1236" min="2704" max="2704"/>
    <col width="3.45" customWidth="1" style="1236" min="2705" max="2705"/>
    <col width="3" customWidth="1" style="1236" min="2706" max="2706"/>
    <col width="4.33" customWidth="1" style="1236" min="2707" max="2707"/>
    <col width="5.56" customWidth="1" style="1236" min="2708" max="2708"/>
    <col width="4.67" customWidth="1" style="1236" min="2709" max="2709"/>
    <col width="15.45" customWidth="1" style="1236" min="2710" max="2710"/>
    <col width="9.109999999999999" customWidth="1" style="1236" min="2711" max="2714"/>
    <col width="10.44" customWidth="1" style="1236" min="2715" max="2715"/>
    <col width="18" customWidth="1" style="1236" min="2716" max="2716"/>
    <col width="9.109999999999999" customWidth="1" style="1236" min="2717" max="2947"/>
    <col width="7.33" customWidth="1" style="1236" min="2948" max="2948"/>
    <col width="5" customWidth="1" style="1236" min="2949" max="2949"/>
    <col width="5.44" customWidth="1" style="1236" min="2950" max="2950"/>
    <col width="9.66" customWidth="1" style="1236" min="2951" max="2951"/>
    <col width="5.44" customWidth="1" style="1236" min="2952" max="2952"/>
    <col width="2" customWidth="1" style="1236" min="2953" max="2953"/>
    <col width="7.55" customWidth="1" style="1236" min="2954" max="2954"/>
    <col width="8.67" customWidth="1" style="1236" min="2955" max="2955"/>
    <col width="4.67" customWidth="1" style="1236" min="2956" max="2956"/>
    <col width="8.67" customWidth="1" style="1236" min="2957" max="2957"/>
    <col width="6" customWidth="1" style="1236" min="2958" max="2958"/>
    <col width="6.34" customWidth="1" style="1236" min="2959" max="2959"/>
    <col width="8.67" customWidth="1" style="1236" min="2960" max="2960"/>
    <col width="3.45" customWidth="1" style="1236" min="2961" max="2961"/>
    <col width="3" customWidth="1" style="1236" min="2962" max="2962"/>
    <col width="4.33" customWidth="1" style="1236" min="2963" max="2963"/>
    <col width="5.56" customWidth="1" style="1236" min="2964" max="2964"/>
    <col width="4.67" customWidth="1" style="1236" min="2965" max="2965"/>
    <col width="15.45" customWidth="1" style="1236" min="2966" max="2966"/>
    <col width="9.109999999999999" customWidth="1" style="1236" min="2967" max="2970"/>
    <col width="10.44" customWidth="1" style="1236" min="2971" max="2971"/>
    <col width="18" customWidth="1" style="1236" min="2972" max="2972"/>
    <col width="9.109999999999999" customWidth="1" style="1236" min="2973" max="3203"/>
    <col width="7.33" customWidth="1" style="1236" min="3204" max="3204"/>
    <col width="5" customWidth="1" style="1236" min="3205" max="3205"/>
    <col width="5.44" customWidth="1" style="1236" min="3206" max="3206"/>
    <col width="9.66" customWidth="1" style="1236" min="3207" max="3207"/>
    <col width="5.44" customWidth="1" style="1236" min="3208" max="3208"/>
    <col width="2" customWidth="1" style="1236" min="3209" max="3209"/>
    <col width="7.55" customWidth="1" style="1236" min="3210" max="3210"/>
    <col width="8.67" customWidth="1" style="1236" min="3211" max="3211"/>
    <col width="4.67" customWidth="1" style="1236" min="3212" max="3212"/>
    <col width="8.67" customWidth="1" style="1236" min="3213" max="3213"/>
    <col width="6" customWidth="1" style="1236" min="3214" max="3214"/>
    <col width="6.34" customWidth="1" style="1236" min="3215" max="3215"/>
    <col width="8.67" customWidth="1" style="1236" min="3216" max="3216"/>
    <col width="3.45" customWidth="1" style="1236" min="3217" max="3217"/>
    <col width="3" customWidth="1" style="1236" min="3218" max="3218"/>
    <col width="4.33" customWidth="1" style="1236" min="3219" max="3219"/>
    <col width="5.56" customWidth="1" style="1236" min="3220" max="3220"/>
    <col width="4.67" customWidth="1" style="1236" min="3221" max="3221"/>
    <col width="15.45" customWidth="1" style="1236" min="3222" max="3222"/>
    <col width="9.109999999999999" customWidth="1" style="1236" min="3223" max="3226"/>
    <col width="10.44" customWidth="1" style="1236" min="3227" max="3227"/>
    <col width="18" customWidth="1" style="1236" min="3228" max="3228"/>
    <col width="9.109999999999999" customWidth="1" style="1236" min="3229" max="3459"/>
    <col width="7.33" customWidth="1" style="1236" min="3460" max="3460"/>
    <col width="5" customWidth="1" style="1236" min="3461" max="3461"/>
    <col width="5.44" customWidth="1" style="1236" min="3462" max="3462"/>
    <col width="9.66" customWidth="1" style="1236" min="3463" max="3463"/>
    <col width="5.44" customWidth="1" style="1236" min="3464" max="3464"/>
    <col width="2" customWidth="1" style="1236" min="3465" max="3465"/>
    <col width="7.55" customWidth="1" style="1236" min="3466" max="3466"/>
    <col width="8.67" customWidth="1" style="1236" min="3467" max="3467"/>
    <col width="4.67" customWidth="1" style="1236" min="3468" max="3468"/>
    <col width="8.67" customWidth="1" style="1236" min="3469" max="3469"/>
    <col width="6" customWidth="1" style="1236" min="3470" max="3470"/>
    <col width="6.34" customWidth="1" style="1236" min="3471" max="3471"/>
    <col width="8.67" customWidth="1" style="1236" min="3472" max="3472"/>
    <col width="3.45" customWidth="1" style="1236" min="3473" max="3473"/>
    <col width="3" customWidth="1" style="1236" min="3474" max="3474"/>
    <col width="4.33" customWidth="1" style="1236" min="3475" max="3475"/>
    <col width="5.56" customWidth="1" style="1236" min="3476" max="3476"/>
    <col width="4.67" customWidth="1" style="1236" min="3477" max="3477"/>
    <col width="15.45" customWidth="1" style="1236" min="3478" max="3478"/>
    <col width="9.109999999999999" customWidth="1" style="1236" min="3479" max="3482"/>
    <col width="10.44" customWidth="1" style="1236" min="3483" max="3483"/>
    <col width="18" customWidth="1" style="1236" min="3484" max="3484"/>
    <col width="9.109999999999999" customWidth="1" style="1236" min="3485" max="3715"/>
    <col width="7.33" customWidth="1" style="1236" min="3716" max="3716"/>
    <col width="5" customWidth="1" style="1236" min="3717" max="3717"/>
    <col width="5.44" customWidth="1" style="1236" min="3718" max="3718"/>
    <col width="9.66" customWidth="1" style="1236" min="3719" max="3719"/>
    <col width="5.44" customWidth="1" style="1236" min="3720" max="3720"/>
    <col width="2" customWidth="1" style="1236" min="3721" max="3721"/>
    <col width="7.55" customWidth="1" style="1236" min="3722" max="3722"/>
    <col width="8.67" customWidth="1" style="1236" min="3723" max="3723"/>
    <col width="4.67" customWidth="1" style="1236" min="3724" max="3724"/>
    <col width="8.67" customWidth="1" style="1236" min="3725" max="3725"/>
    <col width="6" customWidth="1" style="1236" min="3726" max="3726"/>
    <col width="6.34" customWidth="1" style="1236" min="3727" max="3727"/>
    <col width="8.67" customWidth="1" style="1236" min="3728" max="3728"/>
    <col width="3.45" customWidth="1" style="1236" min="3729" max="3729"/>
    <col width="3" customWidth="1" style="1236" min="3730" max="3730"/>
    <col width="4.33" customWidth="1" style="1236" min="3731" max="3731"/>
    <col width="5.56" customWidth="1" style="1236" min="3732" max="3732"/>
    <col width="4.67" customWidth="1" style="1236" min="3733" max="3733"/>
    <col width="15.45" customWidth="1" style="1236" min="3734" max="3734"/>
    <col width="9.109999999999999" customWidth="1" style="1236" min="3735" max="3738"/>
    <col width="10.44" customWidth="1" style="1236" min="3739" max="3739"/>
    <col width="18" customWidth="1" style="1236" min="3740" max="3740"/>
    <col width="9.109999999999999" customWidth="1" style="1236" min="3741" max="3971"/>
    <col width="7.33" customWidth="1" style="1236" min="3972" max="3972"/>
    <col width="5" customWidth="1" style="1236" min="3973" max="3973"/>
    <col width="5.44" customWidth="1" style="1236" min="3974" max="3974"/>
    <col width="9.66" customWidth="1" style="1236" min="3975" max="3975"/>
    <col width="5.44" customWidth="1" style="1236" min="3976" max="3976"/>
    <col width="2" customWidth="1" style="1236" min="3977" max="3977"/>
    <col width="7.55" customWidth="1" style="1236" min="3978" max="3978"/>
    <col width="8.67" customWidth="1" style="1236" min="3979" max="3979"/>
    <col width="4.67" customWidth="1" style="1236" min="3980" max="3980"/>
    <col width="8.67" customWidth="1" style="1236" min="3981" max="3981"/>
    <col width="6" customWidth="1" style="1236" min="3982" max="3982"/>
    <col width="6.34" customWidth="1" style="1236" min="3983" max="3983"/>
    <col width="8.67" customWidth="1" style="1236" min="3984" max="3984"/>
    <col width="3.45" customWidth="1" style="1236" min="3985" max="3985"/>
    <col width="3" customWidth="1" style="1236" min="3986" max="3986"/>
    <col width="4.33" customWidth="1" style="1236" min="3987" max="3987"/>
    <col width="5.56" customWidth="1" style="1236" min="3988" max="3988"/>
    <col width="4.67" customWidth="1" style="1236" min="3989" max="3989"/>
    <col width="15.45" customWidth="1" style="1236" min="3990" max="3990"/>
    <col width="9.109999999999999" customWidth="1" style="1236" min="3991" max="3994"/>
    <col width="10.44" customWidth="1" style="1236" min="3995" max="3995"/>
    <col width="18" customWidth="1" style="1236" min="3996" max="3996"/>
    <col width="9.109999999999999" customWidth="1" style="1236" min="3997" max="4227"/>
    <col width="7.33" customWidth="1" style="1236" min="4228" max="4228"/>
    <col width="5" customWidth="1" style="1236" min="4229" max="4229"/>
    <col width="5.44" customWidth="1" style="1236" min="4230" max="4230"/>
    <col width="9.66" customWidth="1" style="1236" min="4231" max="4231"/>
    <col width="5.44" customWidth="1" style="1236" min="4232" max="4232"/>
    <col width="2" customWidth="1" style="1236" min="4233" max="4233"/>
    <col width="7.55" customWidth="1" style="1236" min="4234" max="4234"/>
    <col width="8.67" customWidth="1" style="1236" min="4235" max="4235"/>
    <col width="4.67" customWidth="1" style="1236" min="4236" max="4236"/>
    <col width="8.67" customWidth="1" style="1236" min="4237" max="4237"/>
    <col width="6" customWidth="1" style="1236" min="4238" max="4238"/>
    <col width="6.34" customWidth="1" style="1236" min="4239" max="4239"/>
    <col width="8.67" customWidth="1" style="1236" min="4240" max="4240"/>
    <col width="3.45" customWidth="1" style="1236" min="4241" max="4241"/>
    <col width="3" customWidth="1" style="1236" min="4242" max="4242"/>
    <col width="4.33" customWidth="1" style="1236" min="4243" max="4243"/>
    <col width="5.56" customWidth="1" style="1236" min="4244" max="4244"/>
    <col width="4.67" customWidth="1" style="1236" min="4245" max="4245"/>
    <col width="15.45" customWidth="1" style="1236" min="4246" max="4246"/>
    <col width="9.109999999999999" customWidth="1" style="1236" min="4247" max="4250"/>
    <col width="10.44" customWidth="1" style="1236" min="4251" max="4251"/>
    <col width="18" customWidth="1" style="1236" min="4252" max="4252"/>
    <col width="9.109999999999999" customWidth="1" style="1236" min="4253" max="4483"/>
    <col width="7.33" customWidth="1" style="1236" min="4484" max="4484"/>
    <col width="5" customWidth="1" style="1236" min="4485" max="4485"/>
    <col width="5.44" customWidth="1" style="1236" min="4486" max="4486"/>
    <col width="9.66" customWidth="1" style="1236" min="4487" max="4487"/>
    <col width="5.44" customWidth="1" style="1236" min="4488" max="4488"/>
    <col width="2" customWidth="1" style="1236" min="4489" max="4489"/>
    <col width="7.55" customWidth="1" style="1236" min="4490" max="4490"/>
    <col width="8.67" customWidth="1" style="1236" min="4491" max="4491"/>
    <col width="4.67" customWidth="1" style="1236" min="4492" max="4492"/>
    <col width="8.67" customWidth="1" style="1236" min="4493" max="4493"/>
    <col width="6" customWidth="1" style="1236" min="4494" max="4494"/>
    <col width="6.34" customWidth="1" style="1236" min="4495" max="4495"/>
    <col width="8.67" customWidth="1" style="1236" min="4496" max="4496"/>
    <col width="3.45" customWidth="1" style="1236" min="4497" max="4497"/>
    <col width="3" customWidth="1" style="1236" min="4498" max="4498"/>
    <col width="4.33" customWidth="1" style="1236" min="4499" max="4499"/>
    <col width="5.56" customWidth="1" style="1236" min="4500" max="4500"/>
    <col width="4.67" customWidth="1" style="1236" min="4501" max="4501"/>
    <col width="15.45" customWidth="1" style="1236" min="4502" max="4502"/>
    <col width="9.109999999999999" customWidth="1" style="1236" min="4503" max="4506"/>
    <col width="10.44" customWidth="1" style="1236" min="4507" max="4507"/>
    <col width="18" customWidth="1" style="1236" min="4508" max="4508"/>
    <col width="9.109999999999999" customWidth="1" style="1236" min="4509" max="4739"/>
    <col width="7.33" customWidth="1" style="1236" min="4740" max="4740"/>
    <col width="5" customWidth="1" style="1236" min="4741" max="4741"/>
    <col width="5.44" customWidth="1" style="1236" min="4742" max="4742"/>
    <col width="9.66" customWidth="1" style="1236" min="4743" max="4743"/>
    <col width="5.44" customWidth="1" style="1236" min="4744" max="4744"/>
    <col width="2" customWidth="1" style="1236" min="4745" max="4745"/>
    <col width="7.55" customWidth="1" style="1236" min="4746" max="4746"/>
    <col width="8.67" customWidth="1" style="1236" min="4747" max="4747"/>
    <col width="4.67" customWidth="1" style="1236" min="4748" max="4748"/>
    <col width="8.67" customWidth="1" style="1236" min="4749" max="4749"/>
    <col width="6" customWidth="1" style="1236" min="4750" max="4750"/>
    <col width="6.34" customWidth="1" style="1236" min="4751" max="4751"/>
    <col width="8.67" customWidth="1" style="1236" min="4752" max="4752"/>
    <col width="3.45" customWidth="1" style="1236" min="4753" max="4753"/>
    <col width="3" customWidth="1" style="1236" min="4754" max="4754"/>
    <col width="4.33" customWidth="1" style="1236" min="4755" max="4755"/>
    <col width="5.56" customWidth="1" style="1236" min="4756" max="4756"/>
    <col width="4.67" customWidth="1" style="1236" min="4757" max="4757"/>
    <col width="15.45" customWidth="1" style="1236" min="4758" max="4758"/>
    <col width="9.109999999999999" customWidth="1" style="1236" min="4759" max="4762"/>
    <col width="10.44" customWidth="1" style="1236" min="4763" max="4763"/>
    <col width="18" customWidth="1" style="1236" min="4764" max="4764"/>
    <col width="9.109999999999999" customWidth="1" style="1236" min="4765" max="4995"/>
    <col width="7.33" customWidth="1" style="1236" min="4996" max="4996"/>
    <col width="5" customWidth="1" style="1236" min="4997" max="4997"/>
    <col width="5.44" customWidth="1" style="1236" min="4998" max="4998"/>
    <col width="9.66" customWidth="1" style="1236" min="4999" max="4999"/>
    <col width="5.44" customWidth="1" style="1236" min="5000" max="5000"/>
    <col width="2" customWidth="1" style="1236" min="5001" max="5001"/>
    <col width="7.55" customWidth="1" style="1236" min="5002" max="5002"/>
    <col width="8.67" customWidth="1" style="1236" min="5003" max="5003"/>
    <col width="4.67" customWidth="1" style="1236" min="5004" max="5004"/>
    <col width="8.67" customWidth="1" style="1236" min="5005" max="5005"/>
    <col width="6" customWidth="1" style="1236" min="5006" max="5006"/>
    <col width="6.34" customWidth="1" style="1236" min="5007" max="5007"/>
    <col width="8.67" customWidth="1" style="1236" min="5008" max="5008"/>
    <col width="3.45" customWidth="1" style="1236" min="5009" max="5009"/>
    <col width="3" customWidth="1" style="1236" min="5010" max="5010"/>
    <col width="4.33" customWidth="1" style="1236" min="5011" max="5011"/>
    <col width="5.56" customWidth="1" style="1236" min="5012" max="5012"/>
    <col width="4.67" customWidth="1" style="1236" min="5013" max="5013"/>
    <col width="15.45" customWidth="1" style="1236" min="5014" max="5014"/>
    <col width="9.109999999999999" customWidth="1" style="1236" min="5015" max="5018"/>
    <col width="10.44" customWidth="1" style="1236" min="5019" max="5019"/>
    <col width="18" customWidth="1" style="1236" min="5020" max="5020"/>
    <col width="9.109999999999999" customWidth="1" style="1236" min="5021" max="5251"/>
    <col width="7.33" customWidth="1" style="1236" min="5252" max="5252"/>
    <col width="5" customWidth="1" style="1236" min="5253" max="5253"/>
    <col width="5.44" customWidth="1" style="1236" min="5254" max="5254"/>
    <col width="9.66" customWidth="1" style="1236" min="5255" max="5255"/>
    <col width="5.44" customWidth="1" style="1236" min="5256" max="5256"/>
    <col width="2" customWidth="1" style="1236" min="5257" max="5257"/>
    <col width="7.55" customWidth="1" style="1236" min="5258" max="5258"/>
    <col width="8.67" customWidth="1" style="1236" min="5259" max="5259"/>
    <col width="4.67" customWidth="1" style="1236" min="5260" max="5260"/>
    <col width="8.67" customWidth="1" style="1236" min="5261" max="5261"/>
    <col width="6" customWidth="1" style="1236" min="5262" max="5262"/>
    <col width="6.34" customWidth="1" style="1236" min="5263" max="5263"/>
    <col width="8.67" customWidth="1" style="1236" min="5264" max="5264"/>
    <col width="3.45" customWidth="1" style="1236" min="5265" max="5265"/>
    <col width="3" customWidth="1" style="1236" min="5266" max="5266"/>
    <col width="4.33" customWidth="1" style="1236" min="5267" max="5267"/>
    <col width="5.56" customWidth="1" style="1236" min="5268" max="5268"/>
    <col width="4.67" customWidth="1" style="1236" min="5269" max="5269"/>
    <col width="15.45" customWidth="1" style="1236" min="5270" max="5270"/>
    <col width="9.109999999999999" customWidth="1" style="1236" min="5271" max="5274"/>
    <col width="10.44" customWidth="1" style="1236" min="5275" max="5275"/>
    <col width="18" customWidth="1" style="1236" min="5276" max="5276"/>
    <col width="9.109999999999999" customWidth="1" style="1236" min="5277" max="5507"/>
    <col width="7.33" customWidth="1" style="1236" min="5508" max="5508"/>
    <col width="5" customWidth="1" style="1236" min="5509" max="5509"/>
    <col width="5.44" customWidth="1" style="1236" min="5510" max="5510"/>
    <col width="9.66" customWidth="1" style="1236" min="5511" max="5511"/>
    <col width="5.44" customWidth="1" style="1236" min="5512" max="5512"/>
    <col width="2" customWidth="1" style="1236" min="5513" max="5513"/>
    <col width="7.55" customWidth="1" style="1236" min="5514" max="5514"/>
    <col width="8.67" customWidth="1" style="1236" min="5515" max="5515"/>
    <col width="4.67" customWidth="1" style="1236" min="5516" max="5516"/>
    <col width="8.67" customWidth="1" style="1236" min="5517" max="5517"/>
    <col width="6" customWidth="1" style="1236" min="5518" max="5518"/>
    <col width="6.34" customWidth="1" style="1236" min="5519" max="5519"/>
    <col width="8.67" customWidth="1" style="1236" min="5520" max="5520"/>
    <col width="3.45" customWidth="1" style="1236" min="5521" max="5521"/>
    <col width="3" customWidth="1" style="1236" min="5522" max="5522"/>
    <col width="4.33" customWidth="1" style="1236" min="5523" max="5523"/>
    <col width="5.56" customWidth="1" style="1236" min="5524" max="5524"/>
    <col width="4.67" customWidth="1" style="1236" min="5525" max="5525"/>
    <col width="15.45" customWidth="1" style="1236" min="5526" max="5526"/>
    <col width="9.109999999999999" customWidth="1" style="1236" min="5527" max="5530"/>
    <col width="10.44" customWidth="1" style="1236" min="5531" max="5531"/>
    <col width="18" customWidth="1" style="1236" min="5532" max="5532"/>
    <col width="9.109999999999999" customWidth="1" style="1236" min="5533" max="5763"/>
    <col width="7.33" customWidth="1" style="1236" min="5764" max="5764"/>
    <col width="5" customWidth="1" style="1236" min="5765" max="5765"/>
    <col width="5.44" customWidth="1" style="1236" min="5766" max="5766"/>
    <col width="9.66" customWidth="1" style="1236" min="5767" max="5767"/>
    <col width="5.44" customWidth="1" style="1236" min="5768" max="5768"/>
    <col width="2" customWidth="1" style="1236" min="5769" max="5769"/>
    <col width="7.55" customWidth="1" style="1236" min="5770" max="5770"/>
    <col width="8.67" customWidth="1" style="1236" min="5771" max="5771"/>
    <col width="4.67" customWidth="1" style="1236" min="5772" max="5772"/>
    <col width="8.67" customWidth="1" style="1236" min="5773" max="5773"/>
    <col width="6" customWidth="1" style="1236" min="5774" max="5774"/>
    <col width="6.34" customWidth="1" style="1236" min="5775" max="5775"/>
    <col width="8.67" customWidth="1" style="1236" min="5776" max="5776"/>
    <col width="3.45" customWidth="1" style="1236" min="5777" max="5777"/>
    <col width="3" customWidth="1" style="1236" min="5778" max="5778"/>
    <col width="4.33" customWidth="1" style="1236" min="5779" max="5779"/>
    <col width="5.56" customWidth="1" style="1236" min="5780" max="5780"/>
    <col width="4.67" customWidth="1" style="1236" min="5781" max="5781"/>
    <col width="15.45" customWidth="1" style="1236" min="5782" max="5782"/>
    <col width="9.109999999999999" customWidth="1" style="1236" min="5783" max="5786"/>
    <col width="10.44" customWidth="1" style="1236" min="5787" max="5787"/>
    <col width="18" customWidth="1" style="1236" min="5788" max="5788"/>
    <col width="9.109999999999999" customWidth="1" style="1236" min="5789" max="6019"/>
    <col width="7.33" customWidth="1" style="1236" min="6020" max="6020"/>
    <col width="5" customWidth="1" style="1236" min="6021" max="6021"/>
    <col width="5.44" customWidth="1" style="1236" min="6022" max="6022"/>
    <col width="9.66" customWidth="1" style="1236" min="6023" max="6023"/>
    <col width="5.44" customWidth="1" style="1236" min="6024" max="6024"/>
    <col width="2" customWidth="1" style="1236" min="6025" max="6025"/>
    <col width="7.55" customWidth="1" style="1236" min="6026" max="6026"/>
    <col width="8.67" customWidth="1" style="1236" min="6027" max="6027"/>
    <col width="4.67" customWidth="1" style="1236" min="6028" max="6028"/>
    <col width="8.67" customWidth="1" style="1236" min="6029" max="6029"/>
    <col width="6" customWidth="1" style="1236" min="6030" max="6030"/>
    <col width="6.34" customWidth="1" style="1236" min="6031" max="6031"/>
    <col width="8.67" customWidth="1" style="1236" min="6032" max="6032"/>
    <col width="3.45" customWidth="1" style="1236" min="6033" max="6033"/>
    <col width="3" customWidth="1" style="1236" min="6034" max="6034"/>
    <col width="4.33" customWidth="1" style="1236" min="6035" max="6035"/>
    <col width="5.56" customWidth="1" style="1236" min="6036" max="6036"/>
    <col width="4.67" customWidth="1" style="1236" min="6037" max="6037"/>
    <col width="15.45" customWidth="1" style="1236" min="6038" max="6038"/>
    <col width="9.109999999999999" customWidth="1" style="1236" min="6039" max="6042"/>
    <col width="10.44" customWidth="1" style="1236" min="6043" max="6043"/>
    <col width="18" customWidth="1" style="1236" min="6044" max="6044"/>
    <col width="9.109999999999999" customWidth="1" style="1236" min="6045" max="6275"/>
    <col width="7.33" customWidth="1" style="1236" min="6276" max="6276"/>
    <col width="5" customWidth="1" style="1236" min="6277" max="6277"/>
    <col width="5.44" customWidth="1" style="1236" min="6278" max="6278"/>
    <col width="9.66" customWidth="1" style="1236" min="6279" max="6279"/>
    <col width="5.44" customWidth="1" style="1236" min="6280" max="6280"/>
    <col width="2" customWidth="1" style="1236" min="6281" max="6281"/>
    <col width="7.55" customWidth="1" style="1236" min="6282" max="6282"/>
    <col width="8.67" customWidth="1" style="1236" min="6283" max="6283"/>
    <col width="4.67" customWidth="1" style="1236" min="6284" max="6284"/>
    <col width="8.67" customWidth="1" style="1236" min="6285" max="6285"/>
    <col width="6" customWidth="1" style="1236" min="6286" max="6286"/>
    <col width="6.34" customWidth="1" style="1236" min="6287" max="6287"/>
    <col width="8.67" customWidth="1" style="1236" min="6288" max="6288"/>
    <col width="3.45" customWidth="1" style="1236" min="6289" max="6289"/>
    <col width="3" customWidth="1" style="1236" min="6290" max="6290"/>
    <col width="4.33" customWidth="1" style="1236" min="6291" max="6291"/>
    <col width="5.56" customWidth="1" style="1236" min="6292" max="6292"/>
    <col width="4.67" customWidth="1" style="1236" min="6293" max="6293"/>
    <col width="15.45" customWidth="1" style="1236" min="6294" max="6294"/>
    <col width="9.109999999999999" customWidth="1" style="1236" min="6295" max="6298"/>
    <col width="10.44" customWidth="1" style="1236" min="6299" max="6299"/>
    <col width="18" customWidth="1" style="1236" min="6300" max="6300"/>
    <col width="9.109999999999999" customWidth="1" style="1236" min="6301" max="6531"/>
    <col width="7.33" customWidth="1" style="1236" min="6532" max="6532"/>
    <col width="5" customWidth="1" style="1236" min="6533" max="6533"/>
    <col width="5.44" customWidth="1" style="1236" min="6534" max="6534"/>
    <col width="9.66" customWidth="1" style="1236" min="6535" max="6535"/>
    <col width="5.44" customWidth="1" style="1236" min="6536" max="6536"/>
    <col width="2" customWidth="1" style="1236" min="6537" max="6537"/>
    <col width="7.55" customWidth="1" style="1236" min="6538" max="6538"/>
    <col width="8.67" customWidth="1" style="1236" min="6539" max="6539"/>
    <col width="4.67" customWidth="1" style="1236" min="6540" max="6540"/>
    <col width="8.67" customWidth="1" style="1236" min="6541" max="6541"/>
    <col width="6" customWidth="1" style="1236" min="6542" max="6542"/>
    <col width="6.34" customWidth="1" style="1236" min="6543" max="6543"/>
    <col width="8.67" customWidth="1" style="1236" min="6544" max="6544"/>
    <col width="3.45" customWidth="1" style="1236" min="6545" max="6545"/>
    <col width="3" customWidth="1" style="1236" min="6546" max="6546"/>
    <col width="4.33" customWidth="1" style="1236" min="6547" max="6547"/>
    <col width="5.56" customWidth="1" style="1236" min="6548" max="6548"/>
    <col width="4.67" customWidth="1" style="1236" min="6549" max="6549"/>
    <col width="15.45" customWidth="1" style="1236" min="6550" max="6550"/>
    <col width="9.109999999999999" customWidth="1" style="1236" min="6551" max="6554"/>
    <col width="10.44" customWidth="1" style="1236" min="6555" max="6555"/>
    <col width="18" customWidth="1" style="1236" min="6556" max="6556"/>
    <col width="9.109999999999999" customWidth="1" style="1236" min="6557" max="6787"/>
    <col width="7.33" customWidth="1" style="1236" min="6788" max="6788"/>
    <col width="5" customWidth="1" style="1236" min="6789" max="6789"/>
    <col width="5.44" customWidth="1" style="1236" min="6790" max="6790"/>
    <col width="9.66" customWidth="1" style="1236" min="6791" max="6791"/>
    <col width="5.44" customWidth="1" style="1236" min="6792" max="6792"/>
    <col width="2" customWidth="1" style="1236" min="6793" max="6793"/>
    <col width="7.55" customWidth="1" style="1236" min="6794" max="6794"/>
    <col width="8.67" customWidth="1" style="1236" min="6795" max="6795"/>
    <col width="4.67" customWidth="1" style="1236" min="6796" max="6796"/>
    <col width="8.67" customWidth="1" style="1236" min="6797" max="6797"/>
    <col width="6" customWidth="1" style="1236" min="6798" max="6798"/>
    <col width="6.34" customWidth="1" style="1236" min="6799" max="6799"/>
    <col width="8.67" customWidth="1" style="1236" min="6800" max="6800"/>
    <col width="3.45" customWidth="1" style="1236" min="6801" max="6801"/>
    <col width="3" customWidth="1" style="1236" min="6802" max="6802"/>
    <col width="4.33" customWidth="1" style="1236" min="6803" max="6803"/>
    <col width="5.56" customWidth="1" style="1236" min="6804" max="6804"/>
    <col width="4.67" customWidth="1" style="1236" min="6805" max="6805"/>
    <col width="15.45" customWidth="1" style="1236" min="6806" max="6806"/>
    <col width="9.109999999999999" customWidth="1" style="1236" min="6807" max="6810"/>
    <col width="10.44" customWidth="1" style="1236" min="6811" max="6811"/>
    <col width="18" customWidth="1" style="1236" min="6812" max="6812"/>
    <col width="9.109999999999999" customWidth="1" style="1236" min="6813" max="7043"/>
    <col width="7.33" customWidth="1" style="1236" min="7044" max="7044"/>
    <col width="5" customWidth="1" style="1236" min="7045" max="7045"/>
    <col width="5.44" customWidth="1" style="1236" min="7046" max="7046"/>
    <col width="9.66" customWidth="1" style="1236" min="7047" max="7047"/>
    <col width="5.44" customWidth="1" style="1236" min="7048" max="7048"/>
    <col width="2" customWidth="1" style="1236" min="7049" max="7049"/>
    <col width="7.55" customWidth="1" style="1236" min="7050" max="7050"/>
    <col width="8.67" customWidth="1" style="1236" min="7051" max="7051"/>
    <col width="4.67" customWidth="1" style="1236" min="7052" max="7052"/>
    <col width="8.67" customWidth="1" style="1236" min="7053" max="7053"/>
    <col width="6" customWidth="1" style="1236" min="7054" max="7054"/>
    <col width="6.34" customWidth="1" style="1236" min="7055" max="7055"/>
    <col width="8.67" customWidth="1" style="1236" min="7056" max="7056"/>
    <col width="3.45" customWidth="1" style="1236" min="7057" max="7057"/>
    <col width="3" customWidth="1" style="1236" min="7058" max="7058"/>
    <col width="4.33" customWidth="1" style="1236" min="7059" max="7059"/>
    <col width="5.56" customWidth="1" style="1236" min="7060" max="7060"/>
    <col width="4.67" customWidth="1" style="1236" min="7061" max="7061"/>
    <col width="15.45" customWidth="1" style="1236" min="7062" max="7062"/>
    <col width="9.109999999999999" customWidth="1" style="1236" min="7063" max="7066"/>
    <col width="10.44" customWidth="1" style="1236" min="7067" max="7067"/>
    <col width="18" customWidth="1" style="1236" min="7068" max="7068"/>
    <col width="9.109999999999999" customWidth="1" style="1236" min="7069" max="7299"/>
    <col width="7.33" customWidth="1" style="1236" min="7300" max="7300"/>
    <col width="5" customWidth="1" style="1236" min="7301" max="7301"/>
    <col width="5.44" customWidth="1" style="1236" min="7302" max="7302"/>
    <col width="9.66" customWidth="1" style="1236" min="7303" max="7303"/>
    <col width="5.44" customWidth="1" style="1236" min="7304" max="7304"/>
    <col width="2" customWidth="1" style="1236" min="7305" max="7305"/>
    <col width="7.55" customWidth="1" style="1236" min="7306" max="7306"/>
    <col width="8.67" customWidth="1" style="1236" min="7307" max="7307"/>
    <col width="4.67" customWidth="1" style="1236" min="7308" max="7308"/>
    <col width="8.67" customWidth="1" style="1236" min="7309" max="7309"/>
    <col width="6" customWidth="1" style="1236" min="7310" max="7310"/>
    <col width="6.34" customWidth="1" style="1236" min="7311" max="7311"/>
    <col width="8.67" customWidth="1" style="1236" min="7312" max="7312"/>
    <col width="3.45" customWidth="1" style="1236" min="7313" max="7313"/>
    <col width="3" customWidth="1" style="1236" min="7314" max="7314"/>
    <col width="4.33" customWidth="1" style="1236" min="7315" max="7315"/>
    <col width="5.56" customWidth="1" style="1236" min="7316" max="7316"/>
    <col width="4.67" customWidth="1" style="1236" min="7317" max="7317"/>
    <col width="15.45" customWidth="1" style="1236" min="7318" max="7318"/>
    <col width="9.109999999999999" customWidth="1" style="1236" min="7319" max="7322"/>
    <col width="10.44" customWidth="1" style="1236" min="7323" max="7323"/>
    <col width="18" customWidth="1" style="1236" min="7324" max="7324"/>
    <col width="9.109999999999999" customWidth="1" style="1236" min="7325" max="7555"/>
    <col width="7.33" customWidth="1" style="1236" min="7556" max="7556"/>
    <col width="5" customWidth="1" style="1236" min="7557" max="7557"/>
    <col width="5.44" customWidth="1" style="1236" min="7558" max="7558"/>
    <col width="9.66" customWidth="1" style="1236" min="7559" max="7559"/>
    <col width="5.44" customWidth="1" style="1236" min="7560" max="7560"/>
    <col width="2" customWidth="1" style="1236" min="7561" max="7561"/>
    <col width="7.55" customWidth="1" style="1236" min="7562" max="7562"/>
    <col width="8.67" customWidth="1" style="1236" min="7563" max="7563"/>
    <col width="4.67" customWidth="1" style="1236" min="7564" max="7564"/>
    <col width="8.67" customWidth="1" style="1236" min="7565" max="7565"/>
    <col width="6" customWidth="1" style="1236" min="7566" max="7566"/>
    <col width="6.34" customWidth="1" style="1236" min="7567" max="7567"/>
    <col width="8.67" customWidth="1" style="1236" min="7568" max="7568"/>
    <col width="3.45" customWidth="1" style="1236" min="7569" max="7569"/>
    <col width="3" customWidth="1" style="1236" min="7570" max="7570"/>
    <col width="4.33" customWidth="1" style="1236" min="7571" max="7571"/>
    <col width="5.56" customWidth="1" style="1236" min="7572" max="7572"/>
    <col width="4.67" customWidth="1" style="1236" min="7573" max="7573"/>
    <col width="15.45" customWidth="1" style="1236" min="7574" max="7574"/>
    <col width="9.109999999999999" customWidth="1" style="1236" min="7575" max="7578"/>
    <col width="10.44" customWidth="1" style="1236" min="7579" max="7579"/>
    <col width="18" customWidth="1" style="1236" min="7580" max="7580"/>
    <col width="9.109999999999999" customWidth="1" style="1236" min="7581" max="7811"/>
    <col width="7.33" customWidth="1" style="1236" min="7812" max="7812"/>
    <col width="5" customWidth="1" style="1236" min="7813" max="7813"/>
    <col width="5.44" customWidth="1" style="1236" min="7814" max="7814"/>
    <col width="9.66" customWidth="1" style="1236" min="7815" max="7815"/>
    <col width="5.44" customWidth="1" style="1236" min="7816" max="7816"/>
    <col width="2" customWidth="1" style="1236" min="7817" max="7817"/>
    <col width="7.55" customWidth="1" style="1236" min="7818" max="7818"/>
    <col width="8.67" customWidth="1" style="1236" min="7819" max="7819"/>
    <col width="4.67" customWidth="1" style="1236" min="7820" max="7820"/>
    <col width="8.67" customWidth="1" style="1236" min="7821" max="7821"/>
    <col width="6" customWidth="1" style="1236" min="7822" max="7822"/>
    <col width="6.34" customWidth="1" style="1236" min="7823" max="7823"/>
    <col width="8.67" customWidth="1" style="1236" min="7824" max="7824"/>
    <col width="3.45" customWidth="1" style="1236" min="7825" max="7825"/>
    <col width="3" customWidth="1" style="1236" min="7826" max="7826"/>
    <col width="4.33" customWidth="1" style="1236" min="7827" max="7827"/>
    <col width="5.56" customWidth="1" style="1236" min="7828" max="7828"/>
    <col width="4.67" customWidth="1" style="1236" min="7829" max="7829"/>
    <col width="15.45" customWidth="1" style="1236" min="7830" max="7830"/>
    <col width="9.109999999999999" customWidth="1" style="1236" min="7831" max="7834"/>
    <col width="10.44" customWidth="1" style="1236" min="7835" max="7835"/>
    <col width="18" customWidth="1" style="1236" min="7836" max="7836"/>
    <col width="9.109999999999999" customWidth="1" style="1236" min="7837" max="8067"/>
    <col width="7.33" customWidth="1" style="1236" min="8068" max="8068"/>
    <col width="5" customWidth="1" style="1236" min="8069" max="8069"/>
    <col width="5.44" customWidth="1" style="1236" min="8070" max="8070"/>
    <col width="9.66" customWidth="1" style="1236" min="8071" max="8071"/>
    <col width="5.44" customWidth="1" style="1236" min="8072" max="8072"/>
    <col width="2" customWidth="1" style="1236" min="8073" max="8073"/>
    <col width="7.55" customWidth="1" style="1236" min="8074" max="8074"/>
    <col width="8.67" customWidth="1" style="1236" min="8075" max="8075"/>
    <col width="4.67" customWidth="1" style="1236" min="8076" max="8076"/>
    <col width="8.67" customWidth="1" style="1236" min="8077" max="8077"/>
    <col width="6" customWidth="1" style="1236" min="8078" max="8078"/>
    <col width="6.34" customWidth="1" style="1236" min="8079" max="8079"/>
    <col width="8.67" customWidth="1" style="1236" min="8080" max="8080"/>
    <col width="3.45" customWidth="1" style="1236" min="8081" max="8081"/>
    <col width="3" customWidth="1" style="1236" min="8082" max="8082"/>
    <col width="4.33" customWidth="1" style="1236" min="8083" max="8083"/>
    <col width="5.56" customWidth="1" style="1236" min="8084" max="8084"/>
    <col width="4.67" customWidth="1" style="1236" min="8085" max="8085"/>
    <col width="15.45" customWidth="1" style="1236" min="8086" max="8086"/>
    <col width="9.109999999999999" customWidth="1" style="1236" min="8087" max="8090"/>
    <col width="10.44" customWidth="1" style="1236" min="8091" max="8091"/>
    <col width="18" customWidth="1" style="1236" min="8092" max="8092"/>
    <col width="9.109999999999999" customWidth="1" style="1236" min="8093" max="8323"/>
    <col width="7.33" customWidth="1" style="1236" min="8324" max="8324"/>
    <col width="5" customWidth="1" style="1236" min="8325" max="8325"/>
    <col width="5.44" customWidth="1" style="1236" min="8326" max="8326"/>
    <col width="9.66" customWidth="1" style="1236" min="8327" max="8327"/>
    <col width="5.44" customWidth="1" style="1236" min="8328" max="8328"/>
    <col width="2" customWidth="1" style="1236" min="8329" max="8329"/>
    <col width="7.55" customWidth="1" style="1236" min="8330" max="8330"/>
    <col width="8.67" customWidth="1" style="1236" min="8331" max="8331"/>
    <col width="4.67" customWidth="1" style="1236" min="8332" max="8332"/>
    <col width="8.67" customWidth="1" style="1236" min="8333" max="8333"/>
    <col width="6" customWidth="1" style="1236" min="8334" max="8334"/>
    <col width="6.34" customWidth="1" style="1236" min="8335" max="8335"/>
    <col width="8.67" customWidth="1" style="1236" min="8336" max="8336"/>
    <col width="3.45" customWidth="1" style="1236" min="8337" max="8337"/>
    <col width="3" customWidth="1" style="1236" min="8338" max="8338"/>
    <col width="4.33" customWidth="1" style="1236" min="8339" max="8339"/>
    <col width="5.56" customWidth="1" style="1236" min="8340" max="8340"/>
    <col width="4.67" customWidth="1" style="1236" min="8341" max="8341"/>
    <col width="15.45" customWidth="1" style="1236" min="8342" max="8342"/>
    <col width="9.109999999999999" customWidth="1" style="1236" min="8343" max="8346"/>
    <col width="10.44" customWidth="1" style="1236" min="8347" max="8347"/>
    <col width="18" customWidth="1" style="1236" min="8348" max="8348"/>
    <col width="9.109999999999999" customWidth="1" style="1236" min="8349" max="8579"/>
    <col width="7.33" customWidth="1" style="1236" min="8580" max="8580"/>
    <col width="5" customWidth="1" style="1236" min="8581" max="8581"/>
    <col width="5.44" customWidth="1" style="1236" min="8582" max="8582"/>
    <col width="9.66" customWidth="1" style="1236" min="8583" max="8583"/>
    <col width="5.44" customWidth="1" style="1236" min="8584" max="8584"/>
    <col width="2" customWidth="1" style="1236" min="8585" max="8585"/>
    <col width="7.55" customWidth="1" style="1236" min="8586" max="8586"/>
    <col width="8.67" customWidth="1" style="1236" min="8587" max="8587"/>
    <col width="4.67" customWidth="1" style="1236" min="8588" max="8588"/>
    <col width="8.67" customWidth="1" style="1236" min="8589" max="8589"/>
    <col width="6" customWidth="1" style="1236" min="8590" max="8590"/>
    <col width="6.34" customWidth="1" style="1236" min="8591" max="8591"/>
    <col width="8.67" customWidth="1" style="1236" min="8592" max="8592"/>
    <col width="3.45" customWidth="1" style="1236" min="8593" max="8593"/>
    <col width="3" customWidth="1" style="1236" min="8594" max="8594"/>
    <col width="4.33" customWidth="1" style="1236" min="8595" max="8595"/>
    <col width="5.56" customWidth="1" style="1236" min="8596" max="8596"/>
    <col width="4.67" customWidth="1" style="1236" min="8597" max="8597"/>
    <col width="15.45" customWidth="1" style="1236" min="8598" max="8598"/>
    <col width="9.109999999999999" customWidth="1" style="1236" min="8599" max="8602"/>
    <col width="10.44" customWidth="1" style="1236" min="8603" max="8603"/>
    <col width="18" customWidth="1" style="1236" min="8604" max="8604"/>
    <col width="9.109999999999999" customWidth="1" style="1236" min="8605" max="8835"/>
    <col width="7.33" customWidth="1" style="1236" min="8836" max="8836"/>
    <col width="5" customWidth="1" style="1236" min="8837" max="8837"/>
    <col width="5.44" customWidth="1" style="1236" min="8838" max="8838"/>
    <col width="9.66" customWidth="1" style="1236" min="8839" max="8839"/>
    <col width="5.44" customWidth="1" style="1236" min="8840" max="8840"/>
    <col width="2" customWidth="1" style="1236" min="8841" max="8841"/>
    <col width="7.55" customWidth="1" style="1236" min="8842" max="8842"/>
    <col width="8.67" customWidth="1" style="1236" min="8843" max="8843"/>
    <col width="4.67" customWidth="1" style="1236" min="8844" max="8844"/>
    <col width="8.67" customWidth="1" style="1236" min="8845" max="8845"/>
    <col width="6" customWidth="1" style="1236" min="8846" max="8846"/>
    <col width="6.34" customWidth="1" style="1236" min="8847" max="8847"/>
    <col width="8.67" customWidth="1" style="1236" min="8848" max="8848"/>
    <col width="3.45" customWidth="1" style="1236" min="8849" max="8849"/>
    <col width="3" customWidth="1" style="1236" min="8850" max="8850"/>
    <col width="4.33" customWidth="1" style="1236" min="8851" max="8851"/>
    <col width="5.56" customWidth="1" style="1236" min="8852" max="8852"/>
    <col width="4.67" customWidth="1" style="1236" min="8853" max="8853"/>
    <col width="15.45" customWidth="1" style="1236" min="8854" max="8854"/>
    <col width="9.109999999999999" customWidth="1" style="1236" min="8855" max="8858"/>
    <col width="10.44" customWidth="1" style="1236" min="8859" max="8859"/>
    <col width="18" customWidth="1" style="1236" min="8860" max="8860"/>
    <col width="9.109999999999999" customWidth="1" style="1236" min="8861" max="9091"/>
    <col width="7.33" customWidth="1" style="1236" min="9092" max="9092"/>
    <col width="5" customWidth="1" style="1236" min="9093" max="9093"/>
    <col width="5.44" customWidth="1" style="1236" min="9094" max="9094"/>
    <col width="9.66" customWidth="1" style="1236" min="9095" max="9095"/>
    <col width="5.44" customWidth="1" style="1236" min="9096" max="9096"/>
    <col width="2" customWidth="1" style="1236" min="9097" max="9097"/>
    <col width="7.55" customWidth="1" style="1236" min="9098" max="9098"/>
    <col width="8.67" customWidth="1" style="1236" min="9099" max="9099"/>
    <col width="4.67" customWidth="1" style="1236" min="9100" max="9100"/>
    <col width="8.67" customWidth="1" style="1236" min="9101" max="9101"/>
    <col width="6" customWidth="1" style="1236" min="9102" max="9102"/>
    <col width="6.34" customWidth="1" style="1236" min="9103" max="9103"/>
    <col width="8.67" customWidth="1" style="1236" min="9104" max="9104"/>
    <col width="3.45" customWidth="1" style="1236" min="9105" max="9105"/>
    <col width="3" customWidth="1" style="1236" min="9106" max="9106"/>
    <col width="4.33" customWidth="1" style="1236" min="9107" max="9107"/>
    <col width="5.56" customWidth="1" style="1236" min="9108" max="9108"/>
    <col width="4.67" customWidth="1" style="1236" min="9109" max="9109"/>
    <col width="15.45" customWidth="1" style="1236" min="9110" max="9110"/>
    <col width="9.109999999999999" customWidth="1" style="1236" min="9111" max="9114"/>
    <col width="10.44" customWidth="1" style="1236" min="9115" max="9115"/>
    <col width="18" customWidth="1" style="1236" min="9116" max="9116"/>
    <col width="9.109999999999999" customWidth="1" style="1236" min="9117" max="9347"/>
    <col width="7.33" customWidth="1" style="1236" min="9348" max="9348"/>
    <col width="5" customWidth="1" style="1236" min="9349" max="9349"/>
    <col width="5.44" customWidth="1" style="1236" min="9350" max="9350"/>
    <col width="9.66" customWidth="1" style="1236" min="9351" max="9351"/>
    <col width="5.44" customWidth="1" style="1236" min="9352" max="9352"/>
    <col width="2" customWidth="1" style="1236" min="9353" max="9353"/>
    <col width="7.55" customWidth="1" style="1236" min="9354" max="9354"/>
    <col width="8.67" customWidth="1" style="1236" min="9355" max="9355"/>
    <col width="4.67" customWidth="1" style="1236" min="9356" max="9356"/>
    <col width="8.67" customWidth="1" style="1236" min="9357" max="9357"/>
    <col width="6" customWidth="1" style="1236" min="9358" max="9358"/>
    <col width="6.34" customWidth="1" style="1236" min="9359" max="9359"/>
    <col width="8.67" customWidth="1" style="1236" min="9360" max="9360"/>
    <col width="3.45" customWidth="1" style="1236" min="9361" max="9361"/>
    <col width="3" customWidth="1" style="1236" min="9362" max="9362"/>
    <col width="4.33" customWidth="1" style="1236" min="9363" max="9363"/>
    <col width="5.56" customWidth="1" style="1236" min="9364" max="9364"/>
    <col width="4.67" customWidth="1" style="1236" min="9365" max="9365"/>
    <col width="15.45" customWidth="1" style="1236" min="9366" max="9366"/>
    <col width="9.109999999999999" customWidth="1" style="1236" min="9367" max="9370"/>
    <col width="10.44" customWidth="1" style="1236" min="9371" max="9371"/>
    <col width="18" customWidth="1" style="1236" min="9372" max="9372"/>
    <col width="9.109999999999999" customWidth="1" style="1236" min="9373" max="9603"/>
    <col width="7.33" customWidth="1" style="1236" min="9604" max="9604"/>
    <col width="5" customWidth="1" style="1236" min="9605" max="9605"/>
    <col width="5.44" customWidth="1" style="1236" min="9606" max="9606"/>
    <col width="9.66" customWidth="1" style="1236" min="9607" max="9607"/>
    <col width="5.44" customWidth="1" style="1236" min="9608" max="9608"/>
    <col width="2" customWidth="1" style="1236" min="9609" max="9609"/>
    <col width="7.55" customWidth="1" style="1236" min="9610" max="9610"/>
    <col width="8.67" customWidth="1" style="1236" min="9611" max="9611"/>
    <col width="4.67" customWidth="1" style="1236" min="9612" max="9612"/>
    <col width="8.67" customWidth="1" style="1236" min="9613" max="9613"/>
    <col width="6" customWidth="1" style="1236" min="9614" max="9614"/>
    <col width="6.34" customWidth="1" style="1236" min="9615" max="9615"/>
    <col width="8.67" customWidth="1" style="1236" min="9616" max="9616"/>
    <col width="3.45" customWidth="1" style="1236" min="9617" max="9617"/>
    <col width="3" customWidth="1" style="1236" min="9618" max="9618"/>
    <col width="4.33" customWidth="1" style="1236" min="9619" max="9619"/>
    <col width="5.56" customWidth="1" style="1236" min="9620" max="9620"/>
    <col width="4.67" customWidth="1" style="1236" min="9621" max="9621"/>
    <col width="15.45" customWidth="1" style="1236" min="9622" max="9622"/>
    <col width="9.109999999999999" customWidth="1" style="1236" min="9623" max="9626"/>
    <col width="10.44" customWidth="1" style="1236" min="9627" max="9627"/>
    <col width="18" customWidth="1" style="1236" min="9628" max="9628"/>
    <col width="9.109999999999999" customWidth="1" style="1236" min="9629" max="9859"/>
    <col width="7.33" customWidth="1" style="1236" min="9860" max="9860"/>
    <col width="5" customWidth="1" style="1236" min="9861" max="9861"/>
    <col width="5.44" customWidth="1" style="1236" min="9862" max="9862"/>
    <col width="9.66" customWidth="1" style="1236" min="9863" max="9863"/>
    <col width="5.44" customWidth="1" style="1236" min="9864" max="9864"/>
    <col width="2" customWidth="1" style="1236" min="9865" max="9865"/>
    <col width="7.55" customWidth="1" style="1236" min="9866" max="9866"/>
    <col width="8.67" customWidth="1" style="1236" min="9867" max="9867"/>
    <col width="4.67" customWidth="1" style="1236" min="9868" max="9868"/>
    <col width="8.67" customWidth="1" style="1236" min="9869" max="9869"/>
    <col width="6" customWidth="1" style="1236" min="9870" max="9870"/>
    <col width="6.34" customWidth="1" style="1236" min="9871" max="9871"/>
    <col width="8.67" customWidth="1" style="1236" min="9872" max="9872"/>
    <col width="3.45" customWidth="1" style="1236" min="9873" max="9873"/>
    <col width="3" customWidth="1" style="1236" min="9874" max="9874"/>
    <col width="4.33" customWidth="1" style="1236" min="9875" max="9875"/>
    <col width="5.56" customWidth="1" style="1236" min="9876" max="9876"/>
    <col width="4.67" customWidth="1" style="1236" min="9877" max="9877"/>
    <col width="15.45" customWidth="1" style="1236" min="9878" max="9878"/>
    <col width="9.109999999999999" customWidth="1" style="1236" min="9879" max="9882"/>
    <col width="10.44" customWidth="1" style="1236" min="9883" max="9883"/>
    <col width="18" customWidth="1" style="1236" min="9884" max="9884"/>
    <col width="9.109999999999999" customWidth="1" style="1236" min="9885" max="10115"/>
    <col width="7.33" customWidth="1" style="1236" min="10116" max="10116"/>
    <col width="5" customWidth="1" style="1236" min="10117" max="10117"/>
    <col width="5.44" customWidth="1" style="1236" min="10118" max="10118"/>
    <col width="9.66" customWidth="1" style="1236" min="10119" max="10119"/>
    <col width="5.44" customWidth="1" style="1236" min="10120" max="10120"/>
    <col width="2" customWidth="1" style="1236" min="10121" max="10121"/>
    <col width="7.55" customWidth="1" style="1236" min="10122" max="10122"/>
    <col width="8.67" customWidth="1" style="1236" min="10123" max="10123"/>
    <col width="4.67" customWidth="1" style="1236" min="10124" max="10124"/>
    <col width="8.67" customWidth="1" style="1236" min="10125" max="10125"/>
    <col width="6" customWidth="1" style="1236" min="10126" max="10126"/>
    <col width="6.34" customWidth="1" style="1236" min="10127" max="10127"/>
    <col width="8.67" customWidth="1" style="1236" min="10128" max="10128"/>
    <col width="3.45" customWidth="1" style="1236" min="10129" max="10129"/>
    <col width="3" customWidth="1" style="1236" min="10130" max="10130"/>
    <col width="4.33" customWidth="1" style="1236" min="10131" max="10131"/>
    <col width="5.56" customWidth="1" style="1236" min="10132" max="10132"/>
    <col width="4.67" customWidth="1" style="1236" min="10133" max="10133"/>
    <col width="15.45" customWidth="1" style="1236" min="10134" max="10134"/>
    <col width="9.109999999999999" customWidth="1" style="1236" min="10135" max="10138"/>
    <col width="10.44" customWidth="1" style="1236" min="10139" max="10139"/>
    <col width="18" customWidth="1" style="1236" min="10140" max="10140"/>
    <col width="9.109999999999999" customWidth="1" style="1236" min="10141" max="10371"/>
    <col width="7.33" customWidth="1" style="1236" min="10372" max="10372"/>
    <col width="5" customWidth="1" style="1236" min="10373" max="10373"/>
    <col width="5.44" customWidth="1" style="1236" min="10374" max="10374"/>
    <col width="9.66" customWidth="1" style="1236" min="10375" max="10375"/>
    <col width="5.44" customWidth="1" style="1236" min="10376" max="10376"/>
    <col width="2" customWidth="1" style="1236" min="10377" max="10377"/>
    <col width="7.55" customWidth="1" style="1236" min="10378" max="10378"/>
    <col width="8.67" customWidth="1" style="1236" min="10379" max="10379"/>
    <col width="4.67" customWidth="1" style="1236" min="10380" max="10380"/>
    <col width="8.67" customWidth="1" style="1236" min="10381" max="10381"/>
    <col width="6" customWidth="1" style="1236" min="10382" max="10382"/>
    <col width="6.34" customWidth="1" style="1236" min="10383" max="10383"/>
    <col width="8.67" customWidth="1" style="1236" min="10384" max="10384"/>
    <col width="3.45" customWidth="1" style="1236" min="10385" max="10385"/>
    <col width="3" customWidth="1" style="1236" min="10386" max="10386"/>
    <col width="4.33" customWidth="1" style="1236" min="10387" max="10387"/>
    <col width="5.56" customWidth="1" style="1236" min="10388" max="10388"/>
    <col width="4.67" customWidth="1" style="1236" min="10389" max="10389"/>
    <col width="15.45" customWidth="1" style="1236" min="10390" max="10390"/>
    <col width="9.109999999999999" customWidth="1" style="1236" min="10391" max="10394"/>
    <col width="10.44" customWidth="1" style="1236" min="10395" max="10395"/>
    <col width="18" customWidth="1" style="1236" min="10396" max="10396"/>
    <col width="9.109999999999999" customWidth="1" style="1236" min="10397" max="10627"/>
    <col width="7.33" customWidth="1" style="1236" min="10628" max="10628"/>
    <col width="5" customWidth="1" style="1236" min="10629" max="10629"/>
    <col width="5.44" customWidth="1" style="1236" min="10630" max="10630"/>
    <col width="9.66" customWidth="1" style="1236" min="10631" max="10631"/>
    <col width="5.44" customWidth="1" style="1236" min="10632" max="10632"/>
    <col width="2" customWidth="1" style="1236" min="10633" max="10633"/>
    <col width="7.55" customWidth="1" style="1236" min="10634" max="10634"/>
    <col width="8.67" customWidth="1" style="1236" min="10635" max="10635"/>
    <col width="4.67" customWidth="1" style="1236" min="10636" max="10636"/>
    <col width="8.67" customWidth="1" style="1236" min="10637" max="10637"/>
    <col width="6" customWidth="1" style="1236" min="10638" max="10638"/>
    <col width="6.34" customWidth="1" style="1236" min="10639" max="10639"/>
    <col width="8.67" customWidth="1" style="1236" min="10640" max="10640"/>
    <col width="3.45" customWidth="1" style="1236" min="10641" max="10641"/>
    <col width="3" customWidth="1" style="1236" min="10642" max="10642"/>
    <col width="4.33" customWidth="1" style="1236" min="10643" max="10643"/>
    <col width="5.56" customWidth="1" style="1236" min="10644" max="10644"/>
    <col width="4.67" customWidth="1" style="1236" min="10645" max="10645"/>
    <col width="15.45" customWidth="1" style="1236" min="10646" max="10646"/>
    <col width="9.109999999999999" customWidth="1" style="1236" min="10647" max="10650"/>
    <col width="10.44" customWidth="1" style="1236" min="10651" max="10651"/>
    <col width="18" customWidth="1" style="1236" min="10652" max="10652"/>
    <col width="9.109999999999999" customWidth="1" style="1236" min="10653" max="10883"/>
    <col width="7.33" customWidth="1" style="1236" min="10884" max="10884"/>
    <col width="5" customWidth="1" style="1236" min="10885" max="10885"/>
    <col width="5.44" customWidth="1" style="1236" min="10886" max="10886"/>
    <col width="9.66" customWidth="1" style="1236" min="10887" max="10887"/>
    <col width="5.44" customWidth="1" style="1236" min="10888" max="10888"/>
    <col width="2" customWidth="1" style="1236" min="10889" max="10889"/>
    <col width="7.55" customWidth="1" style="1236" min="10890" max="10890"/>
    <col width="8.67" customWidth="1" style="1236" min="10891" max="10891"/>
    <col width="4.67" customWidth="1" style="1236" min="10892" max="10892"/>
    <col width="8.67" customWidth="1" style="1236" min="10893" max="10893"/>
    <col width="6" customWidth="1" style="1236" min="10894" max="10894"/>
    <col width="6.34" customWidth="1" style="1236" min="10895" max="10895"/>
    <col width="8.67" customWidth="1" style="1236" min="10896" max="10896"/>
    <col width="3.45" customWidth="1" style="1236" min="10897" max="10897"/>
    <col width="3" customWidth="1" style="1236" min="10898" max="10898"/>
    <col width="4.33" customWidth="1" style="1236" min="10899" max="10899"/>
    <col width="5.56" customWidth="1" style="1236" min="10900" max="10900"/>
    <col width="4.67" customWidth="1" style="1236" min="10901" max="10901"/>
    <col width="15.45" customWidth="1" style="1236" min="10902" max="10902"/>
    <col width="9.109999999999999" customWidth="1" style="1236" min="10903" max="10906"/>
    <col width="10.44" customWidth="1" style="1236" min="10907" max="10907"/>
    <col width="18" customWidth="1" style="1236" min="10908" max="10908"/>
    <col width="9.109999999999999" customWidth="1" style="1236" min="10909" max="11139"/>
    <col width="7.33" customWidth="1" style="1236" min="11140" max="11140"/>
    <col width="5" customWidth="1" style="1236" min="11141" max="11141"/>
    <col width="5.44" customWidth="1" style="1236" min="11142" max="11142"/>
    <col width="9.66" customWidth="1" style="1236" min="11143" max="11143"/>
    <col width="5.44" customWidth="1" style="1236" min="11144" max="11144"/>
    <col width="2" customWidth="1" style="1236" min="11145" max="11145"/>
    <col width="7.55" customWidth="1" style="1236" min="11146" max="11146"/>
    <col width="8.67" customWidth="1" style="1236" min="11147" max="11147"/>
    <col width="4.67" customWidth="1" style="1236" min="11148" max="11148"/>
    <col width="8.67" customWidth="1" style="1236" min="11149" max="11149"/>
    <col width="6" customWidth="1" style="1236" min="11150" max="11150"/>
    <col width="6.34" customWidth="1" style="1236" min="11151" max="11151"/>
    <col width="8.67" customWidth="1" style="1236" min="11152" max="11152"/>
    <col width="3.45" customWidth="1" style="1236" min="11153" max="11153"/>
    <col width="3" customWidth="1" style="1236" min="11154" max="11154"/>
    <col width="4.33" customWidth="1" style="1236" min="11155" max="11155"/>
    <col width="5.56" customWidth="1" style="1236" min="11156" max="11156"/>
    <col width="4.67" customWidth="1" style="1236" min="11157" max="11157"/>
    <col width="15.45" customWidth="1" style="1236" min="11158" max="11158"/>
    <col width="9.109999999999999" customWidth="1" style="1236" min="11159" max="11162"/>
    <col width="10.44" customWidth="1" style="1236" min="11163" max="11163"/>
    <col width="18" customWidth="1" style="1236" min="11164" max="11164"/>
    <col width="9.109999999999999" customWidth="1" style="1236" min="11165" max="11395"/>
    <col width="7.33" customWidth="1" style="1236" min="11396" max="11396"/>
    <col width="5" customWidth="1" style="1236" min="11397" max="11397"/>
    <col width="5.44" customWidth="1" style="1236" min="11398" max="11398"/>
    <col width="9.66" customWidth="1" style="1236" min="11399" max="11399"/>
    <col width="5.44" customWidth="1" style="1236" min="11400" max="11400"/>
    <col width="2" customWidth="1" style="1236" min="11401" max="11401"/>
    <col width="7.55" customWidth="1" style="1236" min="11402" max="11402"/>
    <col width="8.67" customWidth="1" style="1236" min="11403" max="11403"/>
    <col width="4.67" customWidth="1" style="1236" min="11404" max="11404"/>
    <col width="8.67" customWidth="1" style="1236" min="11405" max="11405"/>
    <col width="6" customWidth="1" style="1236" min="11406" max="11406"/>
    <col width="6.34" customWidth="1" style="1236" min="11407" max="11407"/>
    <col width="8.67" customWidth="1" style="1236" min="11408" max="11408"/>
    <col width="3.45" customWidth="1" style="1236" min="11409" max="11409"/>
    <col width="3" customWidth="1" style="1236" min="11410" max="11410"/>
    <col width="4.33" customWidth="1" style="1236" min="11411" max="11411"/>
    <col width="5.56" customWidth="1" style="1236" min="11412" max="11412"/>
    <col width="4.67" customWidth="1" style="1236" min="11413" max="11413"/>
    <col width="15.45" customWidth="1" style="1236" min="11414" max="11414"/>
    <col width="9.109999999999999" customWidth="1" style="1236" min="11415" max="11418"/>
    <col width="10.44" customWidth="1" style="1236" min="11419" max="11419"/>
    <col width="18" customWidth="1" style="1236" min="11420" max="11420"/>
    <col width="9.109999999999999" customWidth="1" style="1236" min="11421" max="11651"/>
    <col width="7.33" customWidth="1" style="1236" min="11652" max="11652"/>
    <col width="5" customWidth="1" style="1236" min="11653" max="11653"/>
    <col width="5.44" customWidth="1" style="1236" min="11654" max="11654"/>
    <col width="9.66" customWidth="1" style="1236" min="11655" max="11655"/>
    <col width="5.44" customWidth="1" style="1236" min="11656" max="11656"/>
    <col width="2" customWidth="1" style="1236" min="11657" max="11657"/>
    <col width="7.55" customWidth="1" style="1236" min="11658" max="11658"/>
    <col width="8.67" customWidth="1" style="1236" min="11659" max="11659"/>
    <col width="4.67" customWidth="1" style="1236" min="11660" max="11660"/>
    <col width="8.67" customWidth="1" style="1236" min="11661" max="11661"/>
    <col width="6" customWidth="1" style="1236" min="11662" max="11662"/>
    <col width="6.34" customWidth="1" style="1236" min="11663" max="11663"/>
    <col width="8.67" customWidth="1" style="1236" min="11664" max="11664"/>
    <col width="3.45" customWidth="1" style="1236" min="11665" max="11665"/>
    <col width="3" customWidth="1" style="1236" min="11666" max="11666"/>
    <col width="4.33" customWidth="1" style="1236" min="11667" max="11667"/>
    <col width="5.56" customWidth="1" style="1236" min="11668" max="11668"/>
    <col width="4.67" customWidth="1" style="1236" min="11669" max="11669"/>
    <col width="15.45" customWidth="1" style="1236" min="11670" max="11670"/>
    <col width="9.109999999999999" customWidth="1" style="1236" min="11671" max="11674"/>
    <col width="10.44" customWidth="1" style="1236" min="11675" max="11675"/>
    <col width="18" customWidth="1" style="1236" min="11676" max="11676"/>
    <col width="9.109999999999999" customWidth="1" style="1236" min="11677" max="11907"/>
    <col width="7.33" customWidth="1" style="1236" min="11908" max="11908"/>
    <col width="5" customWidth="1" style="1236" min="11909" max="11909"/>
    <col width="5.44" customWidth="1" style="1236" min="11910" max="11910"/>
    <col width="9.66" customWidth="1" style="1236" min="11911" max="11911"/>
    <col width="5.44" customWidth="1" style="1236" min="11912" max="11912"/>
    <col width="2" customWidth="1" style="1236" min="11913" max="11913"/>
    <col width="7.55" customWidth="1" style="1236" min="11914" max="11914"/>
    <col width="8.67" customWidth="1" style="1236" min="11915" max="11915"/>
    <col width="4.67" customWidth="1" style="1236" min="11916" max="11916"/>
    <col width="8.67" customWidth="1" style="1236" min="11917" max="11917"/>
    <col width="6" customWidth="1" style="1236" min="11918" max="11918"/>
    <col width="6.34" customWidth="1" style="1236" min="11919" max="11919"/>
    <col width="8.67" customWidth="1" style="1236" min="11920" max="11920"/>
    <col width="3.45" customWidth="1" style="1236" min="11921" max="11921"/>
    <col width="3" customWidth="1" style="1236" min="11922" max="11922"/>
    <col width="4.33" customWidth="1" style="1236" min="11923" max="11923"/>
    <col width="5.56" customWidth="1" style="1236" min="11924" max="11924"/>
    <col width="4.67" customWidth="1" style="1236" min="11925" max="11925"/>
    <col width="15.45" customWidth="1" style="1236" min="11926" max="11926"/>
    <col width="9.109999999999999" customWidth="1" style="1236" min="11927" max="11930"/>
    <col width="10.44" customWidth="1" style="1236" min="11931" max="11931"/>
    <col width="18" customWidth="1" style="1236" min="11932" max="11932"/>
    <col width="9.109999999999999" customWidth="1" style="1236" min="11933" max="12163"/>
    <col width="7.33" customWidth="1" style="1236" min="12164" max="12164"/>
    <col width="5" customWidth="1" style="1236" min="12165" max="12165"/>
    <col width="5.44" customWidth="1" style="1236" min="12166" max="12166"/>
    <col width="9.66" customWidth="1" style="1236" min="12167" max="12167"/>
    <col width="5.44" customWidth="1" style="1236" min="12168" max="12168"/>
    <col width="2" customWidth="1" style="1236" min="12169" max="12169"/>
    <col width="7.55" customWidth="1" style="1236" min="12170" max="12170"/>
    <col width="8.67" customWidth="1" style="1236" min="12171" max="12171"/>
    <col width="4.67" customWidth="1" style="1236" min="12172" max="12172"/>
    <col width="8.67" customWidth="1" style="1236" min="12173" max="12173"/>
    <col width="6" customWidth="1" style="1236" min="12174" max="12174"/>
    <col width="6.34" customWidth="1" style="1236" min="12175" max="12175"/>
    <col width="8.67" customWidth="1" style="1236" min="12176" max="12176"/>
    <col width="3.45" customWidth="1" style="1236" min="12177" max="12177"/>
    <col width="3" customWidth="1" style="1236" min="12178" max="12178"/>
    <col width="4.33" customWidth="1" style="1236" min="12179" max="12179"/>
    <col width="5.56" customWidth="1" style="1236" min="12180" max="12180"/>
    <col width="4.67" customWidth="1" style="1236" min="12181" max="12181"/>
    <col width="15.45" customWidth="1" style="1236" min="12182" max="12182"/>
    <col width="9.109999999999999" customWidth="1" style="1236" min="12183" max="12186"/>
    <col width="10.44" customWidth="1" style="1236" min="12187" max="12187"/>
    <col width="18" customWidth="1" style="1236" min="12188" max="12188"/>
    <col width="9.109999999999999" customWidth="1" style="1236" min="12189" max="12419"/>
    <col width="7.33" customWidth="1" style="1236" min="12420" max="12420"/>
    <col width="5" customWidth="1" style="1236" min="12421" max="12421"/>
    <col width="5.44" customWidth="1" style="1236" min="12422" max="12422"/>
    <col width="9.66" customWidth="1" style="1236" min="12423" max="12423"/>
    <col width="5.44" customWidth="1" style="1236" min="12424" max="12424"/>
    <col width="2" customWidth="1" style="1236" min="12425" max="12425"/>
    <col width="7.55" customWidth="1" style="1236" min="12426" max="12426"/>
    <col width="8.67" customWidth="1" style="1236" min="12427" max="12427"/>
    <col width="4.67" customWidth="1" style="1236" min="12428" max="12428"/>
    <col width="8.67" customWidth="1" style="1236" min="12429" max="12429"/>
    <col width="6" customWidth="1" style="1236" min="12430" max="12430"/>
    <col width="6.34" customWidth="1" style="1236" min="12431" max="12431"/>
    <col width="8.67" customWidth="1" style="1236" min="12432" max="12432"/>
    <col width="3.45" customWidth="1" style="1236" min="12433" max="12433"/>
    <col width="3" customWidth="1" style="1236" min="12434" max="12434"/>
    <col width="4.33" customWidth="1" style="1236" min="12435" max="12435"/>
    <col width="5.56" customWidth="1" style="1236" min="12436" max="12436"/>
    <col width="4.67" customWidth="1" style="1236" min="12437" max="12437"/>
    <col width="15.45" customWidth="1" style="1236" min="12438" max="12438"/>
    <col width="9.109999999999999" customWidth="1" style="1236" min="12439" max="12442"/>
    <col width="10.44" customWidth="1" style="1236" min="12443" max="12443"/>
    <col width="18" customWidth="1" style="1236" min="12444" max="12444"/>
    <col width="9.109999999999999" customWidth="1" style="1236" min="12445" max="12675"/>
    <col width="7.33" customWidth="1" style="1236" min="12676" max="12676"/>
    <col width="5" customWidth="1" style="1236" min="12677" max="12677"/>
    <col width="5.44" customWidth="1" style="1236" min="12678" max="12678"/>
    <col width="9.66" customWidth="1" style="1236" min="12679" max="12679"/>
    <col width="5.44" customWidth="1" style="1236" min="12680" max="12680"/>
    <col width="2" customWidth="1" style="1236" min="12681" max="12681"/>
    <col width="7.55" customWidth="1" style="1236" min="12682" max="12682"/>
    <col width="8.67" customWidth="1" style="1236" min="12683" max="12683"/>
    <col width="4.67" customWidth="1" style="1236" min="12684" max="12684"/>
    <col width="8.67" customWidth="1" style="1236" min="12685" max="12685"/>
    <col width="6" customWidth="1" style="1236" min="12686" max="12686"/>
    <col width="6.34" customWidth="1" style="1236" min="12687" max="12687"/>
    <col width="8.67" customWidth="1" style="1236" min="12688" max="12688"/>
    <col width="3.45" customWidth="1" style="1236" min="12689" max="12689"/>
    <col width="3" customWidth="1" style="1236" min="12690" max="12690"/>
    <col width="4.33" customWidth="1" style="1236" min="12691" max="12691"/>
    <col width="5.56" customWidth="1" style="1236" min="12692" max="12692"/>
    <col width="4.67" customWidth="1" style="1236" min="12693" max="12693"/>
    <col width="15.45" customWidth="1" style="1236" min="12694" max="12694"/>
    <col width="9.109999999999999" customWidth="1" style="1236" min="12695" max="12698"/>
    <col width="10.44" customWidth="1" style="1236" min="12699" max="12699"/>
    <col width="18" customWidth="1" style="1236" min="12700" max="12700"/>
    <col width="9.109999999999999" customWidth="1" style="1236" min="12701" max="12931"/>
    <col width="7.33" customWidth="1" style="1236" min="12932" max="12932"/>
    <col width="5" customWidth="1" style="1236" min="12933" max="12933"/>
    <col width="5.44" customWidth="1" style="1236" min="12934" max="12934"/>
    <col width="9.66" customWidth="1" style="1236" min="12935" max="12935"/>
    <col width="5.44" customWidth="1" style="1236" min="12936" max="12936"/>
    <col width="2" customWidth="1" style="1236" min="12937" max="12937"/>
    <col width="7.55" customWidth="1" style="1236" min="12938" max="12938"/>
    <col width="8.67" customWidth="1" style="1236" min="12939" max="12939"/>
    <col width="4.67" customWidth="1" style="1236" min="12940" max="12940"/>
    <col width="8.67" customWidth="1" style="1236" min="12941" max="12941"/>
    <col width="6" customWidth="1" style="1236" min="12942" max="12942"/>
    <col width="6.34" customWidth="1" style="1236" min="12943" max="12943"/>
    <col width="8.67" customWidth="1" style="1236" min="12944" max="12944"/>
    <col width="3.45" customWidth="1" style="1236" min="12945" max="12945"/>
    <col width="3" customWidth="1" style="1236" min="12946" max="12946"/>
    <col width="4.33" customWidth="1" style="1236" min="12947" max="12947"/>
    <col width="5.56" customWidth="1" style="1236" min="12948" max="12948"/>
    <col width="4.67" customWidth="1" style="1236" min="12949" max="12949"/>
    <col width="15.45" customWidth="1" style="1236" min="12950" max="12950"/>
    <col width="9.109999999999999" customWidth="1" style="1236" min="12951" max="12954"/>
    <col width="10.44" customWidth="1" style="1236" min="12955" max="12955"/>
    <col width="18" customWidth="1" style="1236" min="12956" max="12956"/>
    <col width="9.109999999999999" customWidth="1" style="1236" min="12957" max="13187"/>
    <col width="7.33" customWidth="1" style="1236" min="13188" max="13188"/>
    <col width="5" customWidth="1" style="1236" min="13189" max="13189"/>
    <col width="5.44" customWidth="1" style="1236" min="13190" max="13190"/>
    <col width="9.66" customWidth="1" style="1236" min="13191" max="13191"/>
    <col width="5.44" customWidth="1" style="1236" min="13192" max="13192"/>
    <col width="2" customWidth="1" style="1236" min="13193" max="13193"/>
    <col width="7.55" customWidth="1" style="1236" min="13194" max="13194"/>
    <col width="8.67" customWidth="1" style="1236" min="13195" max="13195"/>
    <col width="4.67" customWidth="1" style="1236" min="13196" max="13196"/>
    <col width="8.67" customWidth="1" style="1236" min="13197" max="13197"/>
    <col width="6" customWidth="1" style="1236" min="13198" max="13198"/>
    <col width="6.34" customWidth="1" style="1236" min="13199" max="13199"/>
    <col width="8.67" customWidth="1" style="1236" min="13200" max="13200"/>
    <col width="3.45" customWidth="1" style="1236" min="13201" max="13201"/>
    <col width="3" customWidth="1" style="1236" min="13202" max="13202"/>
    <col width="4.33" customWidth="1" style="1236" min="13203" max="13203"/>
    <col width="5.56" customWidth="1" style="1236" min="13204" max="13204"/>
    <col width="4.67" customWidth="1" style="1236" min="13205" max="13205"/>
    <col width="15.45" customWidth="1" style="1236" min="13206" max="13206"/>
    <col width="9.109999999999999" customWidth="1" style="1236" min="13207" max="13210"/>
    <col width="10.44" customWidth="1" style="1236" min="13211" max="13211"/>
    <col width="18" customWidth="1" style="1236" min="13212" max="13212"/>
    <col width="9.109999999999999" customWidth="1" style="1236" min="13213" max="13443"/>
    <col width="7.33" customWidth="1" style="1236" min="13444" max="13444"/>
    <col width="5" customWidth="1" style="1236" min="13445" max="13445"/>
    <col width="5.44" customWidth="1" style="1236" min="13446" max="13446"/>
    <col width="9.66" customWidth="1" style="1236" min="13447" max="13447"/>
    <col width="5.44" customWidth="1" style="1236" min="13448" max="13448"/>
    <col width="2" customWidth="1" style="1236" min="13449" max="13449"/>
    <col width="7.55" customWidth="1" style="1236" min="13450" max="13450"/>
    <col width="8.67" customWidth="1" style="1236" min="13451" max="13451"/>
    <col width="4.67" customWidth="1" style="1236" min="13452" max="13452"/>
    <col width="8.67" customWidth="1" style="1236" min="13453" max="13453"/>
    <col width="6" customWidth="1" style="1236" min="13454" max="13454"/>
    <col width="6.34" customWidth="1" style="1236" min="13455" max="13455"/>
    <col width="8.67" customWidth="1" style="1236" min="13456" max="13456"/>
    <col width="3.45" customWidth="1" style="1236" min="13457" max="13457"/>
    <col width="3" customWidth="1" style="1236" min="13458" max="13458"/>
    <col width="4.33" customWidth="1" style="1236" min="13459" max="13459"/>
    <col width="5.56" customWidth="1" style="1236" min="13460" max="13460"/>
    <col width="4.67" customWidth="1" style="1236" min="13461" max="13461"/>
    <col width="15.45" customWidth="1" style="1236" min="13462" max="13462"/>
    <col width="9.109999999999999" customWidth="1" style="1236" min="13463" max="13466"/>
    <col width="10.44" customWidth="1" style="1236" min="13467" max="13467"/>
    <col width="18" customWidth="1" style="1236" min="13468" max="13468"/>
    <col width="9.109999999999999" customWidth="1" style="1236" min="13469" max="13699"/>
    <col width="7.33" customWidth="1" style="1236" min="13700" max="13700"/>
    <col width="5" customWidth="1" style="1236" min="13701" max="13701"/>
    <col width="5.44" customWidth="1" style="1236" min="13702" max="13702"/>
    <col width="9.66" customWidth="1" style="1236" min="13703" max="13703"/>
    <col width="5.44" customWidth="1" style="1236" min="13704" max="13704"/>
    <col width="2" customWidth="1" style="1236" min="13705" max="13705"/>
    <col width="7.55" customWidth="1" style="1236" min="13706" max="13706"/>
    <col width="8.67" customWidth="1" style="1236" min="13707" max="13707"/>
    <col width="4.67" customWidth="1" style="1236" min="13708" max="13708"/>
    <col width="8.67" customWidth="1" style="1236" min="13709" max="13709"/>
    <col width="6" customWidth="1" style="1236" min="13710" max="13710"/>
    <col width="6.34" customWidth="1" style="1236" min="13711" max="13711"/>
    <col width="8.67" customWidth="1" style="1236" min="13712" max="13712"/>
    <col width="3.45" customWidth="1" style="1236" min="13713" max="13713"/>
    <col width="3" customWidth="1" style="1236" min="13714" max="13714"/>
    <col width="4.33" customWidth="1" style="1236" min="13715" max="13715"/>
    <col width="5.56" customWidth="1" style="1236" min="13716" max="13716"/>
    <col width="4.67" customWidth="1" style="1236" min="13717" max="13717"/>
    <col width="15.45" customWidth="1" style="1236" min="13718" max="13718"/>
    <col width="9.109999999999999" customWidth="1" style="1236" min="13719" max="13722"/>
    <col width="10.44" customWidth="1" style="1236" min="13723" max="13723"/>
    <col width="18" customWidth="1" style="1236" min="13724" max="13724"/>
    <col width="9.109999999999999" customWidth="1" style="1236" min="13725" max="13955"/>
    <col width="7.33" customWidth="1" style="1236" min="13956" max="13956"/>
    <col width="5" customWidth="1" style="1236" min="13957" max="13957"/>
    <col width="5.44" customWidth="1" style="1236" min="13958" max="13958"/>
    <col width="9.66" customWidth="1" style="1236" min="13959" max="13959"/>
    <col width="5.44" customWidth="1" style="1236" min="13960" max="13960"/>
    <col width="2" customWidth="1" style="1236" min="13961" max="13961"/>
    <col width="7.55" customWidth="1" style="1236" min="13962" max="13962"/>
    <col width="8.67" customWidth="1" style="1236" min="13963" max="13963"/>
    <col width="4.67" customWidth="1" style="1236" min="13964" max="13964"/>
    <col width="8.67" customWidth="1" style="1236" min="13965" max="13965"/>
    <col width="6" customWidth="1" style="1236" min="13966" max="13966"/>
    <col width="6.34" customWidth="1" style="1236" min="13967" max="13967"/>
    <col width="8.67" customWidth="1" style="1236" min="13968" max="13968"/>
    <col width="3.45" customWidth="1" style="1236" min="13969" max="13969"/>
    <col width="3" customWidth="1" style="1236" min="13970" max="13970"/>
    <col width="4.33" customWidth="1" style="1236" min="13971" max="13971"/>
    <col width="5.56" customWidth="1" style="1236" min="13972" max="13972"/>
    <col width="4.67" customWidth="1" style="1236" min="13973" max="13973"/>
    <col width="15.45" customWidth="1" style="1236" min="13974" max="13974"/>
    <col width="9.109999999999999" customWidth="1" style="1236" min="13975" max="13978"/>
    <col width="10.44" customWidth="1" style="1236" min="13979" max="13979"/>
    <col width="18" customWidth="1" style="1236" min="13980" max="13980"/>
    <col width="9.109999999999999" customWidth="1" style="1236" min="13981" max="14211"/>
    <col width="7.33" customWidth="1" style="1236" min="14212" max="14212"/>
    <col width="5" customWidth="1" style="1236" min="14213" max="14213"/>
    <col width="5.44" customWidth="1" style="1236" min="14214" max="14214"/>
    <col width="9.66" customWidth="1" style="1236" min="14215" max="14215"/>
    <col width="5.44" customWidth="1" style="1236" min="14216" max="14216"/>
    <col width="2" customWidth="1" style="1236" min="14217" max="14217"/>
    <col width="7.55" customWidth="1" style="1236" min="14218" max="14218"/>
    <col width="8.67" customWidth="1" style="1236" min="14219" max="14219"/>
    <col width="4.67" customWidth="1" style="1236" min="14220" max="14220"/>
    <col width="8.67" customWidth="1" style="1236" min="14221" max="14221"/>
    <col width="6" customWidth="1" style="1236" min="14222" max="14222"/>
    <col width="6.34" customWidth="1" style="1236" min="14223" max="14223"/>
    <col width="8.67" customWidth="1" style="1236" min="14224" max="14224"/>
    <col width="3.45" customWidth="1" style="1236" min="14225" max="14225"/>
    <col width="3" customWidth="1" style="1236" min="14226" max="14226"/>
    <col width="4.33" customWidth="1" style="1236" min="14227" max="14227"/>
    <col width="5.56" customWidth="1" style="1236" min="14228" max="14228"/>
    <col width="4.67" customWidth="1" style="1236" min="14229" max="14229"/>
    <col width="15.45" customWidth="1" style="1236" min="14230" max="14230"/>
    <col width="9.109999999999999" customWidth="1" style="1236" min="14231" max="14234"/>
    <col width="10.44" customWidth="1" style="1236" min="14235" max="14235"/>
    <col width="18" customWidth="1" style="1236" min="14236" max="14236"/>
    <col width="9.109999999999999" customWidth="1" style="1236" min="14237" max="14467"/>
    <col width="7.33" customWidth="1" style="1236" min="14468" max="14468"/>
    <col width="5" customWidth="1" style="1236" min="14469" max="14469"/>
    <col width="5.44" customWidth="1" style="1236" min="14470" max="14470"/>
    <col width="9.66" customWidth="1" style="1236" min="14471" max="14471"/>
    <col width="5.44" customWidth="1" style="1236" min="14472" max="14472"/>
    <col width="2" customWidth="1" style="1236" min="14473" max="14473"/>
    <col width="7.55" customWidth="1" style="1236" min="14474" max="14474"/>
    <col width="8.67" customWidth="1" style="1236" min="14475" max="14475"/>
    <col width="4.67" customWidth="1" style="1236" min="14476" max="14476"/>
    <col width="8.67" customWidth="1" style="1236" min="14477" max="14477"/>
    <col width="6" customWidth="1" style="1236" min="14478" max="14478"/>
    <col width="6.34" customWidth="1" style="1236" min="14479" max="14479"/>
    <col width="8.67" customWidth="1" style="1236" min="14480" max="14480"/>
    <col width="3.45" customWidth="1" style="1236" min="14481" max="14481"/>
    <col width="3" customWidth="1" style="1236" min="14482" max="14482"/>
    <col width="4.33" customWidth="1" style="1236" min="14483" max="14483"/>
    <col width="5.56" customWidth="1" style="1236" min="14484" max="14484"/>
    <col width="4.67" customWidth="1" style="1236" min="14485" max="14485"/>
    <col width="15.45" customWidth="1" style="1236" min="14486" max="14486"/>
    <col width="9.109999999999999" customWidth="1" style="1236" min="14487" max="14490"/>
    <col width="10.44" customWidth="1" style="1236" min="14491" max="14491"/>
    <col width="18" customWidth="1" style="1236" min="14492" max="14492"/>
    <col width="9.109999999999999" customWidth="1" style="1236" min="14493" max="14723"/>
    <col width="7.33" customWidth="1" style="1236" min="14724" max="14724"/>
    <col width="5" customWidth="1" style="1236" min="14725" max="14725"/>
    <col width="5.44" customWidth="1" style="1236" min="14726" max="14726"/>
    <col width="9.66" customWidth="1" style="1236" min="14727" max="14727"/>
    <col width="5.44" customWidth="1" style="1236" min="14728" max="14728"/>
    <col width="2" customWidth="1" style="1236" min="14729" max="14729"/>
    <col width="7.55" customWidth="1" style="1236" min="14730" max="14730"/>
    <col width="8.67" customWidth="1" style="1236" min="14731" max="14731"/>
    <col width="4.67" customWidth="1" style="1236" min="14732" max="14732"/>
    <col width="8.67" customWidth="1" style="1236" min="14733" max="14733"/>
    <col width="6" customWidth="1" style="1236" min="14734" max="14734"/>
    <col width="6.34" customWidth="1" style="1236" min="14735" max="14735"/>
    <col width="8.67" customWidth="1" style="1236" min="14736" max="14736"/>
    <col width="3.45" customWidth="1" style="1236" min="14737" max="14737"/>
    <col width="3" customWidth="1" style="1236" min="14738" max="14738"/>
    <col width="4.33" customWidth="1" style="1236" min="14739" max="14739"/>
    <col width="5.56" customWidth="1" style="1236" min="14740" max="14740"/>
    <col width="4.67" customWidth="1" style="1236" min="14741" max="14741"/>
    <col width="15.45" customWidth="1" style="1236" min="14742" max="14742"/>
    <col width="9.109999999999999" customWidth="1" style="1236" min="14743" max="14746"/>
    <col width="10.44" customWidth="1" style="1236" min="14747" max="14747"/>
    <col width="18" customWidth="1" style="1236" min="14748" max="14748"/>
    <col width="9.109999999999999" customWidth="1" style="1236" min="14749" max="14979"/>
    <col width="7.33" customWidth="1" style="1236" min="14980" max="14980"/>
    <col width="5" customWidth="1" style="1236" min="14981" max="14981"/>
    <col width="5.44" customWidth="1" style="1236" min="14982" max="14982"/>
    <col width="9.66" customWidth="1" style="1236" min="14983" max="14983"/>
    <col width="5.44" customWidth="1" style="1236" min="14984" max="14984"/>
    <col width="2" customWidth="1" style="1236" min="14985" max="14985"/>
    <col width="7.55" customWidth="1" style="1236" min="14986" max="14986"/>
    <col width="8.67" customWidth="1" style="1236" min="14987" max="14987"/>
    <col width="4.67" customWidth="1" style="1236" min="14988" max="14988"/>
    <col width="8.67" customWidth="1" style="1236" min="14989" max="14989"/>
    <col width="6" customWidth="1" style="1236" min="14990" max="14990"/>
    <col width="6.34" customWidth="1" style="1236" min="14991" max="14991"/>
    <col width="8.67" customWidth="1" style="1236" min="14992" max="14992"/>
    <col width="3.45" customWidth="1" style="1236" min="14993" max="14993"/>
    <col width="3" customWidth="1" style="1236" min="14994" max="14994"/>
    <col width="4.33" customWidth="1" style="1236" min="14995" max="14995"/>
    <col width="5.56" customWidth="1" style="1236" min="14996" max="14996"/>
    <col width="4.67" customWidth="1" style="1236" min="14997" max="14997"/>
    <col width="15.45" customWidth="1" style="1236" min="14998" max="14998"/>
    <col width="9.109999999999999" customWidth="1" style="1236" min="14999" max="15002"/>
    <col width="10.44" customWidth="1" style="1236" min="15003" max="15003"/>
    <col width="18" customWidth="1" style="1236" min="15004" max="15004"/>
    <col width="9.109999999999999" customWidth="1" style="1236" min="15005" max="15235"/>
    <col width="7.33" customWidth="1" style="1236" min="15236" max="15236"/>
    <col width="5" customWidth="1" style="1236" min="15237" max="15237"/>
    <col width="5.44" customWidth="1" style="1236" min="15238" max="15238"/>
    <col width="9.66" customWidth="1" style="1236" min="15239" max="15239"/>
    <col width="5.44" customWidth="1" style="1236" min="15240" max="15240"/>
    <col width="2" customWidth="1" style="1236" min="15241" max="15241"/>
    <col width="7.55" customWidth="1" style="1236" min="15242" max="15242"/>
    <col width="8.67" customWidth="1" style="1236" min="15243" max="15243"/>
    <col width="4.67" customWidth="1" style="1236" min="15244" max="15244"/>
    <col width="8.67" customWidth="1" style="1236" min="15245" max="15245"/>
    <col width="6" customWidth="1" style="1236" min="15246" max="15246"/>
    <col width="6.34" customWidth="1" style="1236" min="15247" max="15247"/>
    <col width="8.67" customWidth="1" style="1236" min="15248" max="15248"/>
    <col width="3.45" customWidth="1" style="1236" min="15249" max="15249"/>
    <col width="3" customWidth="1" style="1236" min="15250" max="15250"/>
    <col width="4.33" customWidth="1" style="1236" min="15251" max="15251"/>
    <col width="5.56" customWidth="1" style="1236" min="15252" max="15252"/>
    <col width="4.67" customWidth="1" style="1236" min="15253" max="15253"/>
    <col width="15.45" customWidth="1" style="1236" min="15254" max="15254"/>
    <col width="9.109999999999999" customWidth="1" style="1236" min="15255" max="15258"/>
    <col width="10.44" customWidth="1" style="1236" min="15259" max="15259"/>
    <col width="18" customWidth="1" style="1236" min="15260" max="15260"/>
    <col width="9.109999999999999" customWidth="1" style="1236" min="15261" max="15491"/>
    <col width="7.33" customWidth="1" style="1236" min="15492" max="15492"/>
    <col width="5" customWidth="1" style="1236" min="15493" max="15493"/>
    <col width="5.44" customWidth="1" style="1236" min="15494" max="15494"/>
    <col width="9.66" customWidth="1" style="1236" min="15495" max="15495"/>
    <col width="5.44" customWidth="1" style="1236" min="15496" max="15496"/>
    <col width="2" customWidth="1" style="1236" min="15497" max="15497"/>
    <col width="7.55" customWidth="1" style="1236" min="15498" max="15498"/>
    <col width="8.67" customWidth="1" style="1236" min="15499" max="15499"/>
    <col width="4.67" customWidth="1" style="1236" min="15500" max="15500"/>
    <col width="8.67" customWidth="1" style="1236" min="15501" max="15501"/>
    <col width="6" customWidth="1" style="1236" min="15502" max="15502"/>
    <col width="6.34" customWidth="1" style="1236" min="15503" max="15503"/>
    <col width="8.67" customWidth="1" style="1236" min="15504" max="15504"/>
    <col width="3.45" customWidth="1" style="1236" min="15505" max="15505"/>
    <col width="3" customWidth="1" style="1236" min="15506" max="15506"/>
    <col width="4.33" customWidth="1" style="1236" min="15507" max="15507"/>
    <col width="5.56" customWidth="1" style="1236" min="15508" max="15508"/>
    <col width="4.67" customWidth="1" style="1236" min="15509" max="15509"/>
    <col width="15.45" customWidth="1" style="1236" min="15510" max="15510"/>
    <col width="9.109999999999999" customWidth="1" style="1236" min="15511" max="15514"/>
    <col width="10.44" customWidth="1" style="1236" min="15515" max="15515"/>
    <col width="18" customWidth="1" style="1236" min="15516" max="15516"/>
    <col width="9.109999999999999" customWidth="1" style="1236" min="15517" max="15747"/>
    <col width="7.33" customWidth="1" style="1236" min="15748" max="15748"/>
    <col width="5" customWidth="1" style="1236" min="15749" max="15749"/>
    <col width="5.44" customWidth="1" style="1236" min="15750" max="15750"/>
    <col width="9.66" customWidth="1" style="1236" min="15751" max="15751"/>
    <col width="5.44" customWidth="1" style="1236" min="15752" max="15752"/>
    <col width="2" customWidth="1" style="1236" min="15753" max="15753"/>
    <col width="7.55" customWidth="1" style="1236" min="15754" max="15754"/>
    <col width="8.67" customWidth="1" style="1236" min="15755" max="15755"/>
    <col width="4.67" customWidth="1" style="1236" min="15756" max="15756"/>
    <col width="8.67" customWidth="1" style="1236" min="15757" max="15757"/>
    <col width="6" customWidth="1" style="1236" min="15758" max="15758"/>
    <col width="6.34" customWidth="1" style="1236" min="15759" max="15759"/>
    <col width="8.67" customWidth="1" style="1236" min="15760" max="15760"/>
    <col width="3.45" customWidth="1" style="1236" min="15761" max="15761"/>
    <col width="3" customWidth="1" style="1236" min="15762" max="15762"/>
    <col width="4.33" customWidth="1" style="1236" min="15763" max="15763"/>
    <col width="5.56" customWidth="1" style="1236" min="15764" max="15764"/>
    <col width="4.67" customWidth="1" style="1236" min="15765" max="15765"/>
    <col width="15.45" customWidth="1" style="1236" min="15766" max="15766"/>
    <col width="9.109999999999999" customWidth="1" style="1236" min="15767" max="15770"/>
    <col width="10.44" customWidth="1" style="1236" min="15771" max="15771"/>
    <col width="18" customWidth="1" style="1236" min="15772" max="15772"/>
    <col width="9.109999999999999" customWidth="1" style="1236" min="15773" max="16384"/>
  </cols>
  <sheetData>
    <row r="1" ht="55.5" customFormat="1" customHeight="1" s="1237">
      <c r="A1" s="1238" t="n"/>
      <c r="B1" s="1239" t="n"/>
      <c r="C1" s="1166" t="n"/>
      <c r="D1" s="1240" t="inlineStr">
        <is>
          <t>Job Sequence of Events</t>
        </is>
      </c>
      <c r="E1" s="1239" t="n"/>
      <c r="F1" s="1239" t="n"/>
      <c r="G1" s="1239" t="n"/>
      <c r="H1" s="1239" t="n"/>
      <c r="I1" s="1239" t="n"/>
      <c r="J1" s="1239" t="n"/>
      <c r="K1" s="1239" t="n"/>
      <c r="L1" s="1239" t="n"/>
      <c r="M1" s="1239" t="n"/>
      <c r="N1" s="1239" t="n"/>
      <c r="O1" s="1239" t="n"/>
      <c r="P1" s="1239" t="n"/>
      <c r="Q1" s="1239" t="n"/>
      <c r="R1" s="1166" t="n"/>
      <c r="S1" s="1241" t="n"/>
    </row>
    <row r="2" ht="22.35" customFormat="1" customHeight="1" s="1237">
      <c r="A2" s="1242" t="inlineStr">
        <is>
          <t>DOCUMENT NUMBER</t>
        </is>
      </c>
      <c r="B2" s="1171" t="n"/>
      <c r="C2" s="1168" t="n"/>
      <c r="D2" s="1243" t="inlineStr">
        <is>
          <t>CLASSIFICATION</t>
        </is>
      </c>
      <c r="E2" s="1168" t="n"/>
      <c r="F2" s="1243" t="inlineStr">
        <is>
          <t>DOCUMENT LEVEL</t>
        </is>
      </c>
      <c r="G2" s="1171" t="n"/>
      <c r="H2" s="1168" t="n"/>
      <c r="I2" s="1243" t="inlineStr">
        <is>
          <t>REVISION NUMBER</t>
        </is>
      </c>
      <c r="J2" s="1171" t="n"/>
      <c r="K2" s="1168" t="n"/>
      <c r="L2" s="1243" t="inlineStr">
        <is>
          <t>ISSUE DATE</t>
        </is>
      </c>
      <c r="M2" s="1171" t="n"/>
      <c r="N2" s="1168" t="n"/>
      <c r="O2" s="1243" t="inlineStr">
        <is>
          <t>PREPARED BY</t>
        </is>
      </c>
      <c r="P2" s="1171" t="n"/>
      <c r="Q2" s="1171" t="n"/>
      <c r="R2" s="1168" t="n"/>
      <c r="S2" s="1244" t="inlineStr">
        <is>
          <t>APPROVAL</t>
        </is>
      </c>
    </row>
    <row r="3" ht="23.25" customFormat="1" customHeight="1" s="1237">
      <c r="A3" s="1245" t="inlineStr">
        <is>
          <t>GL-COMP-OEPS-L4-15.07</t>
        </is>
      </c>
      <c r="B3" s="1246" t="n"/>
      <c r="C3" s="1247" t="n"/>
      <c r="D3" s="1248" t="inlineStr">
        <is>
          <t>CONTROLLED</t>
        </is>
      </c>
      <c r="E3" s="1249" t="n"/>
      <c r="F3" s="1248" t="inlineStr">
        <is>
          <t>L5</t>
        </is>
      </c>
      <c r="G3" s="1250" t="n"/>
      <c r="H3" s="1249" t="n"/>
      <c r="I3" s="1248" t="n">
        <v>1</v>
      </c>
      <c r="J3" s="1250" t="n"/>
      <c r="K3" s="1249" t="n"/>
      <c r="L3" s="1251" t="n">
        <v>43116</v>
      </c>
      <c r="M3" s="1250" t="n"/>
      <c r="N3" s="1249" t="n"/>
      <c r="O3" s="1248" t="inlineStr">
        <is>
          <t>WCT TECHNICAL DOCUMENTATION GROUP</t>
        </is>
      </c>
      <c r="P3" s="1250" t="n"/>
      <c r="Q3" s="1250" t="n"/>
      <c r="R3" s="1249" t="n"/>
      <c r="S3" s="1252" t="inlineStr">
        <is>
          <t>WCT TWIC</t>
        </is>
      </c>
    </row>
    <row r="4" ht="12" customFormat="1" customHeight="1" s="1237">
      <c r="A4" s="1253" t="n"/>
      <c r="B4" s="1171" t="n"/>
      <c r="C4" s="1171" t="n"/>
      <c r="D4" s="1171" t="n"/>
      <c r="E4" s="1171" t="n"/>
      <c r="F4" s="1171" t="n"/>
      <c r="G4" s="1171" t="n"/>
      <c r="H4" s="1171" t="n"/>
      <c r="I4" s="1171" t="n"/>
      <c r="J4" s="1171" t="n"/>
      <c r="K4" s="1171" t="n"/>
      <c r="L4" s="1171" t="n"/>
      <c r="M4" s="1171" t="n"/>
      <c r="N4" s="1171" t="n"/>
      <c r="O4" s="1171" t="n"/>
      <c r="P4" s="1171" t="n"/>
      <c r="Q4" s="1171" t="n"/>
      <c r="R4" s="1171" t="n"/>
      <c r="S4" s="1172" t="n"/>
    </row>
    <row r="5" ht="21" customFormat="1" customHeight="1" s="1254">
      <c r="A5" s="1255" t="inlineStr">
        <is>
          <t xml:space="preserve">Job No.: </t>
        </is>
      </c>
      <c r="B5" s="1193" t="n"/>
      <c r="C5" s="1194" t="n"/>
      <c r="D5" s="1256">
        <f>'Master Data'!B11</f>
        <v/>
      </c>
      <c r="E5" s="1193" t="n"/>
      <c r="F5" s="1193" t="n"/>
      <c r="G5" s="1194" t="n"/>
      <c r="H5" s="1257" t="inlineStr">
        <is>
          <t>Well Name:</t>
        </is>
      </c>
      <c r="I5" s="1193" t="n"/>
      <c r="J5" s="1194" t="n"/>
      <c r="K5" s="1256">
        <f>'Master Data'!$E$10</f>
        <v/>
      </c>
      <c r="L5" s="1193" t="n"/>
      <c r="M5" s="1194" t="n"/>
      <c r="N5" s="1257" t="inlineStr">
        <is>
          <t>Rig:</t>
        </is>
      </c>
      <c r="O5" s="1193" t="n"/>
      <c r="P5" s="1193" t="n"/>
      <c r="Q5" s="1194" t="n"/>
      <c r="R5" s="1258" t="inlineStr">
        <is>
          <t>MEHZEM</t>
        </is>
      </c>
      <c r="S5" s="1259" t="n"/>
    </row>
    <row r="6" ht="33.75" customFormat="1" customHeight="1" s="1237">
      <c r="A6" s="1260" t="inlineStr">
        <is>
          <t>Client Ref.:</t>
        </is>
      </c>
      <c r="B6" s="1171" t="n"/>
      <c r="C6" s="1168" t="n"/>
      <c r="D6" s="1261" t="n"/>
      <c r="E6" s="1171" t="n"/>
      <c r="F6" s="1171" t="n"/>
      <c r="G6" s="1168" t="n"/>
      <c r="H6" s="1262" t="inlineStr">
        <is>
          <t>Start Date:</t>
        </is>
      </c>
      <c r="I6" s="1171" t="n"/>
      <c r="J6" s="1168" t="n"/>
      <c r="K6" s="1263">
        <f>'Master Data'!E12</f>
        <v/>
      </c>
      <c r="L6" s="1171" t="n"/>
      <c r="M6" s="1168" t="n"/>
      <c r="N6" s="1262" t="inlineStr">
        <is>
          <t>Job Type:</t>
        </is>
      </c>
      <c r="O6" s="1171" t="n"/>
      <c r="P6" s="1171" t="n"/>
      <c r="Q6" s="1168" t="n"/>
      <c r="R6" s="1264">
        <f>'Master Data'!E3</f>
        <v/>
      </c>
      <c r="S6" s="1172" t="n"/>
    </row>
    <row r="7" ht="21" customFormat="1" customHeight="1" s="1237">
      <c r="A7" s="1260" t="inlineStr">
        <is>
          <t>Client:</t>
        </is>
      </c>
      <c r="B7" s="1171" t="n"/>
      <c r="C7" s="1168" t="n"/>
      <c r="D7" s="1243">
        <f>'Master Data'!B3</f>
        <v/>
      </c>
      <c r="E7" s="1171" t="n"/>
      <c r="F7" s="1171" t="n"/>
      <c r="G7" s="1168" t="n"/>
      <c r="H7" s="1262" t="inlineStr">
        <is>
          <t>End Date:</t>
        </is>
      </c>
      <c r="I7" s="1171" t="n"/>
      <c r="J7" s="1168" t="n"/>
      <c r="K7" s="1265">
        <f>'Master Data'!E15</f>
        <v/>
      </c>
      <c r="L7" s="1171" t="n"/>
      <c r="M7" s="1168" t="n"/>
      <c r="N7" s="1262" t="inlineStr">
        <is>
          <t>WCT Rep:</t>
        </is>
      </c>
      <c r="O7" s="1171" t="n"/>
      <c r="P7" s="1171" t="n"/>
      <c r="Q7" s="1168" t="n"/>
      <c r="R7" s="1264">
        <f>'Master Data'!B21</f>
        <v/>
      </c>
      <c r="S7" s="1172" t="n"/>
    </row>
    <row r="8" ht="26.25" customFormat="1" customHeight="1" s="1237">
      <c r="A8" s="1266" t="inlineStr">
        <is>
          <t>Total Time:</t>
        </is>
      </c>
      <c r="B8" s="1188" t="n"/>
      <c r="C8" s="1184" t="n"/>
      <c r="D8" s="1267">
        <f>'Master Data'!E16</f>
        <v/>
      </c>
      <c r="E8" s="1268" t="inlineStr">
        <is>
          <t>Work Time:</t>
        </is>
      </c>
      <c r="F8" s="1188" t="n"/>
      <c r="G8" s="1184" t="n"/>
      <c r="H8" s="1269">
        <f>'Master Data'!E17</f>
        <v/>
      </c>
      <c r="I8" s="1268" t="inlineStr">
        <is>
          <t>Lost Time:</t>
        </is>
      </c>
      <c r="J8" s="1184" t="n"/>
      <c r="K8" s="1269">
        <f>'Master Data'!E18</f>
        <v/>
      </c>
      <c r="L8" s="1184" t="n"/>
      <c r="M8" s="1268" t="inlineStr">
        <is>
          <t>Runs:</t>
        </is>
      </c>
      <c r="N8" s="1184" t="n"/>
      <c r="O8" s="1269">
        <f>'Master Data'!E19</f>
        <v/>
      </c>
      <c r="P8" s="1184" t="n"/>
      <c r="Q8" s="1268" t="inlineStr">
        <is>
          <t>Miss Runs:</t>
        </is>
      </c>
      <c r="R8" s="1184" t="n"/>
      <c r="S8" s="1270">
        <f>'Master Data'!E20</f>
        <v/>
      </c>
    </row>
    <row r="9" ht="12" customFormat="1" customHeight="1" s="1237">
      <c r="A9" s="1271" t="n"/>
      <c r="S9" s="1272" t="n"/>
    </row>
    <row r="10" ht="12" customFormat="1" customHeight="1" s="1237">
      <c r="A10" s="1273" t="inlineStr">
        <is>
          <t>Date</t>
        </is>
      </c>
      <c r="B10" s="1171" t="n"/>
      <c r="C10" s="1168" t="n"/>
      <c r="D10" s="1274" t="inlineStr">
        <is>
          <t>Time</t>
        </is>
      </c>
      <c r="E10" s="1275" t="inlineStr">
        <is>
          <t>Event</t>
        </is>
      </c>
      <c r="F10" s="1171" t="n"/>
      <c r="G10" s="1171" t="n"/>
      <c r="H10" s="1171" t="n"/>
      <c r="I10" s="1171" t="n"/>
      <c r="J10" s="1171" t="n"/>
      <c r="K10" s="1171" t="n"/>
      <c r="L10" s="1171" t="n"/>
      <c r="M10" s="1171" t="n"/>
      <c r="N10" s="1171" t="n"/>
      <c r="O10" s="1171" t="n"/>
      <c r="P10" s="1171" t="n"/>
      <c r="Q10" s="1171" t="n"/>
      <c r="R10" s="1171" t="n"/>
      <c r="S10" s="1172" t="n"/>
    </row>
    <row r="11" ht="23.25" customHeight="1" s="1158">
      <c r="A11" s="1276" t="n"/>
      <c r="B11" s="1277" t="n"/>
      <c r="C11" s="1278" t="n"/>
      <c r="D11" s="1279" t="n"/>
      <c r="E11" s="1280" t="n"/>
      <c r="F11" s="1277" t="n"/>
      <c r="G11" s="1277" t="n"/>
      <c r="H11" s="1277" t="n"/>
      <c r="I11" s="1277" t="n"/>
      <c r="J11" s="1277" t="n"/>
      <c r="K11" s="1277" t="n"/>
      <c r="L11" s="1277" t="n"/>
      <c r="M11" s="1277" t="n"/>
      <c r="N11" s="1277" t="n"/>
      <c r="O11" s="1277" t="n"/>
      <c r="P11" s="1277" t="n"/>
      <c r="Q11" s="1277" t="n"/>
      <c r="R11" s="1277" t="n"/>
      <c r="S11" s="1281" t="n"/>
    </row>
    <row r="12" ht="50.25" customHeight="1" s="1158">
      <c r="A12" s="1282" t="n"/>
      <c r="B12" s="1277" t="n"/>
      <c r="C12" s="1278" t="n"/>
      <c r="D12" s="1283" t="n"/>
      <c r="E12" s="1284" t="n"/>
      <c r="F12" s="1277" t="n"/>
      <c r="G12" s="1277" t="n"/>
      <c r="H12" s="1277" t="n"/>
      <c r="I12" s="1277" t="n"/>
      <c r="J12" s="1277" t="n"/>
      <c r="K12" s="1277" t="n"/>
      <c r="L12" s="1277" t="n"/>
      <c r="M12" s="1277" t="n"/>
      <c r="N12" s="1277" t="n"/>
      <c r="O12" s="1277" t="n"/>
      <c r="P12" s="1277" t="n"/>
      <c r="Q12" s="1277" t="n"/>
      <c r="R12" s="1277" t="n"/>
      <c r="S12" s="1281" t="n"/>
    </row>
    <row r="13" ht="36" customHeight="1" s="1158">
      <c r="A13" s="1282" t="n"/>
      <c r="B13" s="1277" t="n"/>
      <c r="C13" s="1278" t="n"/>
      <c r="D13" s="1283" t="n"/>
      <c r="E13" s="1284" t="n"/>
      <c r="F13" s="1277" t="n"/>
      <c r="G13" s="1277" t="n"/>
      <c r="H13" s="1277" t="n"/>
      <c r="I13" s="1277" t="n"/>
      <c r="J13" s="1277" t="n"/>
      <c r="K13" s="1277" t="n"/>
      <c r="L13" s="1277" t="n"/>
      <c r="M13" s="1277" t="n"/>
      <c r="N13" s="1277" t="n"/>
      <c r="O13" s="1277" t="n"/>
      <c r="P13" s="1277" t="n"/>
      <c r="Q13" s="1277" t="n"/>
      <c r="R13" s="1277" t="n"/>
      <c r="S13" s="1281" t="n"/>
    </row>
    <row r="14" ht="36" customHeight="1" s="1158">
      <c r="A14" s="1282" t="n"/>
      <c r="B14" s="1277" t="n"/>
      <c r="C14" s="1278" t="n"/>
      <c r="D14" s="1283" t="n"/>
      <c r="E14" s="1284" t="n"/>
      <c r="F14" s="1277" t="n"/>
      <c r="G14" s="1277" t="n"/>
      <c r="H14" s="1277" t="n"/>
      <c r="I14" s="1277" t="n"/>
      <c r="J14" s="1277" t="n"/>
      <c r="K14" s="1277" t="n"/>
      <c r="L14" s="1277" t="n"/>
      <c r="M14" s="1277" t="n"/>
      <c r="N14" s="1277" t="n"/>
      <c r="O14" s="1277" t="n"/>
      <c r="P14" s="1277" t="n"/>
      <c r="Q14" s="1277" t="n"/>
      <c r="R14" s="1277" t="n"/>
      <c r="S14" s="1281" t="n"/>
    </row>
    <row r="15" ht="36" customHeight="1" s="1158">
      <c r="A15" s="1282" t="n"/>
      <c r="B15" s="1277" t="n"/>
      <c r="C15" s="1278" t="n"/>
      <c r="D15" s="1283" t="n"/>
      <c r="E15" s="1284" t="n"/>
      <c r="F15" s="1277" t="n"/>
      <c r="G15" s="1277" t="n"/>
      <c r="H15" s="1277" t="n"/>
      <c r="I15" s="1277" t="n"/>
      <c r="J15" s="1277" t="n"/>
      <c r="K15" s="1277" t="n"/>
      <c r="L15" s="1277" t="n"/>
      <c r="M15" s="1277" t="n"/>
      <c r="N15" s="1277" t="n"/>
      <c r="O15" s="1277" t="n"/>
      <c r="P15" s="1277" t="n"/>
      <c r="Q15" s="1277" t="n"/>
      <c r="R15" s="1277" t="n"/>
      <c r="S15" s="1281" t="n"/>
    </row>
    <row r="16" ht="36" customHeight="1" s="1158">
      <c r="A16" s="1282" t="n"/>
      <c r="B16" s="1277" t="n"/>
      <c r="C16" s="1278" t="n"/>
      <c r="D16" s="1283" t="n"/>
      <c r="E16" s="1284" t="n"/>
      <c r="F16" s="1277" t="n"/>
      <c r="G16" s="1277" t="n"/>
      <c r="H16" s="1277" t="n"/>
      <c r="I16" s="1277" t="n"/>
      <c r="J16" s="1277" t="n"/>
      <c r="K16" s="1277" t="n"/>
      <c r="L16" s="1277" t="n"/>
      <c r="M16" s="1277" t="n"/>
      <c r="N16" s="1277" t="n"/>
      <c r="O16" s="1277" t="n"/>
      <c r="P16" s="1277" t="n"/>
      <c r="Q16" s="1277" t="n"/>
      <c r="R16" s="1277" t="n"/>
      <c r="S16" s="1281" t="n"/>
    </row>
    <row r="17" ht="36" customHeight="1" s="1158">
      <c r="A17" s="1282" t="n"/>
      <c r="B17" s="1277" t="n"/>
      <c r="C17" s="1278" t="n"/>
      <c r="D17" s="1283" t="n"/>
      <c r="E17" s="1284" t="n"/>
      <c r="F17" s="1277" t="n"/>
      <c r="G17" s="1277" t="n"/>
      <c r="H17" s="1277" t="n"/>
      <c r="I17" s="1277" t="n"/>
      <c r="J17" s="1277" t="n"/>
      <c r="K17" s="1277" t="n"/>
      <c r="L17" s="1277" t="n"/>
      <c r="M17" s="1277" t="n"/>
      <c r="N17" s="1277" t="n"/>
      <c r="O17" s="1277" t="n"/>
      <c r="P17" s="1277" t="n"/>
      <c r="Q17" s="1277" t="n"/>
      <c r="R17" s="1277" t="n"/>
      <c r="S17" s="1281" t="n"/>
    </row>
    <row r="18" ht="36" customHeight="1" s="1158">
      <c r="A18" s="1282" t="n"/>
      <c r="B18" s="1277" t="n"/>
      <c r="C18" s="1278" t="n"/>
      <c r="D18" s="1283" t="n"/>
      <c r="E18" s="1284" t="n"/>
      <c r="F18" s="1277" t="n"/>
      <c r="G18" s="1277" t="n"/>
      <c r="H18" s="1277" t="n"/>
      <c r="I18" s="1277" t="n"/>
      <c r="J18" s="1277" t="n"/>
      <c r="K18" s="1277" t="n"/>
      <c r="L18" s="1277" t="n"/>
      <c r="M18" s="1277" t="n"/>
      <c r="N18" s="1277" t="n"/>
      <c r="O18" s="1277" t="n"/>
      <c r="P18" s="1277" t="n"/>
      <c r="Q18" s="1277" t="n"/>
      <c r="R18" s="1277" t="n"/>
      <c r="S18" s="1281" t="n"/>
    </row>
    <row r="19" ht="51" customHeight="1" s="1158">
      <c r="A19" s="1282" t="n"/>
      <c r="B19" s="1277" t="n"/>
      <c r="C19" s="1278" t="n"/>
      <c r="D19" s="1283" t="n"/>
      <c r="E19" s="1284" t="n"/>
      <c r="F19" s="1277" t="n"/>
      <c r="G19" s="1277" t="n"/>
      <c r="H19" s="1277" t="n"/>
      <c r="I19" s="1277" t="n"/>
      <c r="J19" s="1277" t="n"/>
      <c r="K19" s="1277" t="n"/>
      <c r="L19" s="1277" t="n"/>
      <c r="M19" s="1277" t="n"/>
      <c r="N19" s="1277" t="n"/>
      <c r="O19" s="1277" t="n"/>
      <c r="P19" s="1277" t="n"/>
      <c r="Q19" s="1277" t="n"/>
      <c r="R19" s="1277" t="n"/>
      <c r="S19" s="1281" t="n"/>
    </row>
    <row r="20" ht="36" customHeight="1" s="1158">
      <c r="A20" s="1282" t="n"/>
      <c r="B20" s="1277" t="n"/>
      <c r="C20" s="1278" t="n"/>
      <c r="D20" s="1283" t="n"/>
      <c r="E20" s="1284" t="n"/>
      <c r="F20" s="1277" t="n"/>
      <c r="G20" s="1277" t="n"/>
      <c r="H20" s="1277" t="n"/>
      <c r="I20" s="1277" t="n"/>
      <c r="J20" s="1277" t="n"/>
      <c r="K20" s="1277" t="n"/>
      <c r="L20" s="1277" t="n"/>
      <c r="M20" s="1277" t="n"/>
      <c r="N20" s="1277" t="n"/>
      <c r="O20" s="1277" t="n"/>
      <c r="P20" s="1277" t="n"/>
      <c r="Q20" s="1277" t="n"/>
      <c r="R20" s="1277" t="n"/>
      <c r="S20" s="1281" t="n"/>
    </row>
    <row r="21" ht="39.75" customHeight="1" s="1158">
      <c r="A21" s="1282" t="n"/>
      <c r="B21" s="1277" t="n"/>
      <c r="C21" s="1278" t="n"/>
      <c r="D21" s="1283" t="n"/>
      <c r="E21" s="1284" t="n"/>
      <c r="F21" s="1277" t="n"/>
      <c r="G21" s="1277" t="n"/>
      <c r="H21" s="1277" t="n"/>
      <c r="I21" s="1277" t="n"/>
      <c r="J21" s="1277" t="n"/>
      <c r="K21" s="1277" t="n"/>
      <c r="L21" s="1277" t="n"/>
      <c r="M21" s="1277" t="n"/>
      <c r="N21" s="1277" t="n"/>
      <c r="O21" s="1277" t="n"/>
      <c r="P21" s="1277" t="n"/>
      <c r="Q21" s="1277" t="n"/>
      <c r="R21" s="1277" t="n"/>
      <c r="S21" s="1281" t="n"/>
    </row>
    <row r="22" ht="36" customFormat="1" customHeight="1" s="1285">
      <c r="A22" s="1282" t="n"/>
      <c r="B22" s="1277" t="n"/>
      <c r="C22" s="1278" t="n"/>
      <c r="D22" s="1283" t="n"/>
      <c r="E22" s="1284" t="n"/>
      <c r="F22" s="1277" t="n"/>
      <c r="G22" s="1277" t="n"/>
      <c r="H22" s="1277" t="n"/>
      <c r="I22" s="1277" t="n"/>
      <c r="J22" s="1277" t="n"/>
      <c r="K22" s="1277" t="n"/>
      <c r="L22" s="1277" t="n"/>
      <c r="M22" s="1277" t="n"/>
      <c r="N22" s="1277" t="n"/>
      <c r="O22" s="1277" t="n"/>
      <c r="P22" s="1277" t="n"/>
      <c r="Q22" s="1277" t="n"/>
      <c r="R22" s="1277" t="n"/>
      <c r="S22" s="1281" t="n"/>
    </row>
    <row r="23" ht="87.75" customHeight="1" s="1158">
      <c r="A23" s="1282" t="n"/>
      <c r="B23" s="1277" t="n"/>
      <c r="C23" s="1278" t="n"/>
      <c r="D23" s="1283" t="n"/>
      <c r="E23" s="1284" t="n"/>
      <c r="F23" s="1277" t="n"/>
      <c r="G23" s="1277" t="n"/>
      <c r="H23" s="1277" t="n"/>
      <c r="I23" s="1277" t="n"/>
      <c r="J23" s="1277" t="n"/>
      <c r="K23" s="1277" t="n"/>
      <c r="L23" s="1277" t="n"/>
      <c r="M23" s="1277" t="n"/>
      <c r="N23" s="1277" t="n"/>
      <c r="O23" s="1277" t="n"/>
      <c r="P23" s="1277" t="n"/>
      <c r="Q23" s="1277" t="n"/>
      <c r="R23" s="1277" t="n"/>
      <c r="S23" s="1281" t="n"/>
    </row>
    <row r="24" ht="36" customHeight="1" s="1158">
      <c r="A24" s="1282" t="n"/>
      <c r="B24" s="1277" t="n"/>
      <c r="C24" s="1278" t="n"/>
      <c r="D24" s="1283" t="n"/>
      <c r="E24" s="1284" t="n"/>
      <c r="F24" s="1277" t="n"/>
      <c r="G24" s="1277" t="n"/>
      <c r="H24" s="1277" t="n"/>
      <c r="I24" s="1277" t="n"/>
      <c r="J24" s="1277" t="n"/>
      <c r="K24" s="1277" t="n"/>
      <c r="L24" s="1277" t="n"/>
      <c r="M24" s="1277" t="n"/>
      <c r="N24" s="1277" t="n"/>
      <c r="O24" s="1277" t="n"/>
      <c r="P24" s="1277" t="n"/>
      <c r="Q24" s="1277" t="n"/>
      <c r="R24" s="1277" t="n"/>
      <c r="S24" s="1281" t="n"/>
    </row>
    <row r="25" ht="86.25" customHeight="1" s="1158">
      <c r="A25" s="1282" t="n"/>
      <c r="B25" s="1277" t="n"/>
      <c r="C25" s="1278" t="n"/>
      <c r="D25" s="1283" t="n"/>
      <c r="E25" s="1284" t="n"/>
      <c r="F25" s="1277" t="n"/>
      <c r="G25" s="1277" t="n"/>
      <c r="H25" s="1277" t="n"/>
      <c r="I25" s="1277" t="n"/>
      <c r="J25" s="1277" t="n"/>
      <c r="K25" s="1277" t="n"/>
      <c r="L25" s="1277" t="n"/>
      <c r="M25" s="1277" t="n"/>
      <c r="N25" s="1277" t="n"/>
      <c r="O25" s="1277" t="n"/>
      <c r="P25" s="1277" t="n"/>
      <c r="Q25" s="1277" t="n"/>
      <c r="R25" s="1277" t="n"/>
      <c r="S25" s="1281" t="n"/>
    </row>
    <row r="26" ht="36" customHeight="1" s="1158">
      <c r="A26" s="1282" t="n"/>
      <c r="B26" s="1277" t="n"/>
      <c r="C26" s="1278" t="n"/>
      <c r="D26" s="1283" t="n"/>
      <c r="E26" s="1284" t="n"/>
      <c r="F26" s="1277" t="n"/>
      <c r="G26" s="1277" t="n"/>
      <c r="H26" s="1277" t="n"/>
      <c r="I26" s="1277" t="n"/>
      <c r="J26" s="1277" t="n"/>
      <c r="K26" s="1277" t="n"/>
      <c r="L26" s="1277" t="n"/>
      <c r="M26" s="1277" t="n"/>
      <c r="N26" s="1277" t="n"/>
      <c r="O26" s="1277" t="n"/>
      <c r="P26" s="1277" t="n"/>
      <c r="Q26" s="1277" t="n"/>
      <c r="R26" s="1277" t="n"/>
      <c r="S26" s="1281" t="n"/>
    </row>
    <row r="27" ht="30" customHeight="1" s="1158">
      <c r="A27" s="1282" t="n"/>
      <c r="B27" s="1277" t="n"/>
      <c r="C27" s="1278" t="n"/>
      <c r="D27" s="1283" t="n"/>
      <c r="E27" s="1284" t="n"/>
      <c r="F27" s="1277" t="n"/>
      <c r="G27" s="1277" t="n"/>
      <c r="H27" s="1277" t="n"/>
      <c r="I27" s="1277" t="n"/>
      <c r="J27" s="1277" t="n"/>
      <c r="K27" s="1277" t="n"/>
      <c r="L27" s="1277" t="n"/>
      <c r="M27" s="1277" t="n"/>
      <c r="N27" s="1277" t="n"/>
      <c r="O27" s="1277" t="n"/>
      <c r="P27" s="1277" t="n"/>
      <c r="Q27" s="1277" t="n"/>
      <c r="R27" s="1277" t="n"/>
      <c r="S27" s="1281" t="n"/>
    </row>
    <row r="28" ht="102.75" customHeight="1" s="1158">
      <c r="A28" s="1282" t="n"/>
      <c r="B28" s="1277" t="n"/>
      <c r="C28" s="1278" t="n"/>
      <c r="D28" s="1283" t="n"/>
      <c r="E28" s="1284" t="n"/>
      <c r="F28" s="1277" t="n"/>
      <c r="G28" s="1277" t="n"/>
      <c r="H28" s="1277" t="n"/>
      <c r="I28" s="1277" t="n"/>
      <c r="J28" s="1277" t="n"/>
      <c r="K28" s="1277" t="n"/>
      <c r="L28" s="1277" t="n"/>
      <c r="M28" s="1277" t="n"/>
      <c r="N28" s="1277" t="n"/>
      <c r="O28" s="1277" t="n"/>
      <c r="P28" s="1277" t="n"/>
      <c r="Q28" s="1277" t="n"/>
      <c r="R28" s="1277" t="n"/>
      <c r="S28" s="1281" t="n"/>
    </row>
    <row r="29" ht="36" customHeight="1" s="1158">
      <c r="A29" s="1282" t="n"/>
      <c r="B29" s="1277" t="n"/>
      <c r="C29" s="1278" t="n"/>
      <c r="D29" s="1283" t="n"/>
      <c r="E29" s="1284" t="n"/>
      <c r="F29" s="1277" t="n"/>
      <c r="G29" s="1277" t="n"/>
      <c r="H29" s="1277" t="n"/>
      <c r="I29" s="1277" t="n"/>
      <c r="J29" s="1277" t="n"/>
      <c r="K29" s="1277" t="n"/>
      <c r="L29" s="1277" t="n"/>
      <c r="M29" s="1277" t="n"/>
      <c r="N29" s="1277" t="n"/>
      <c r="O29" s="1277" t="n"/>
      <c r="P29" s="1277" t="n"/>
      <c r="Q29" s="1277" t="n"/>
      <c r="R29" s="1277" t="n"/>
      <c r="S29" s="1281" t="n"/>
    </row>
    <row r="30" ht="72" customHeight="1" s="1158">
      <c r="A30" s="1282" t="n"/>
      <c r="B30" s="1277" t="n"/>
      <c r="C30" s="1278" t="n"/>
      <c r="D30" s="1283" t="n"/>
      <c r="E30" s="1284" t="n"/>
      <c r="F30" s="1277" t="n"/>
      <c r="G30" s="1277" t="n"/>
      <c r="H30" s="1277" t="n"/>
      <c r="I30" s="1277" t="n"/>
      <c r="J30" s="1277" t="n"/>
      <c r="K30" s="1277" t="n"/>
      <c r="L30" s="1277" t="n"/>
      <c r="M30" s="1277" t="n"/>
      <c r="N30" s="1277" t="n"/>
      <c r="O30" s="1277" t="n"/>
      <c r="P30" s="1277" t="n"/>
      <c r="Q30" s="1277" t="n"/>
      <c r="R30" s="1277" t="n"/>
      <c r="S30" s="1281" t="n"/>
    </row>
    <row r="31" ht="36" customHeight="1" s="1158">
      <c r="A31" s="1282" t="n"/>
      <c r="B31" s="1277" t="n"/>
      <c r="C31" s="1278" t="n"/>
      <c r="D31" s="1283" t="n"/>
      <c r="E31" s="1284" t="n"/>
      <c r="F31" s="1277" t="n"/>
      <c r="G31" s="1277" t="n"/>
      <c r="H31" s="1277" t="n"/>
      <c r="I31" s="1277" t="n"/>
      <c r="J31" s="1277" t="n"/>
      <c r="K31" s="1277" t="n"/>
      <c r="L31" s="1277" t="n"/>
      <c r="M31" s="1277" t="n"/>
      <c r="N31" s="1277" t="n"/>
      <c r="O31" s="1277" t="n"/>
      <c r="P31" s="1277" t="n"/>
      <c r="Q31" s="1277" t="n"/>
      <c r="R31" s="1277" t="n"/>
      <c r="S31" s="1281" t="n"/>
    </row>
    <row r="32" ht="93" customHeight="1" s="1158">
      <c r="A32" s="1282" t="n"/>
      <c r="B32" s="1277" t="n"/>
      <c r="C32" s="1278" t="n"/>
      <c r="D32" s="1283" t="n"/>
      <c r="E32" s="1284" t="n"/>
      <c r="F32" s="1277" t="n"/>
      <c r="G32" s="1277" t="n"/>
      <c r="H32" s="1277" t="n"/>
      <c r="I32" s="1277" t="n"/>
      <c r="J32" s="1277" t="n"/>
      <c r="K32" s="1277" t="n"/>
      <c r="L32" s="1277" t="n"/>
      <c r="M32" s="1277" t="n"/>
      <c r="N32" s="1277" t="n"/>
      <c r="O32" s="1277" t="n"/>
      <c r="P32" s="1277" t="n"/>
      <c r="Q32" s="1277" t="n"/>
      <c r="R32" s="1277" t="n"/>
      <c r="S32" s="1281" t="n"/>
    </row>
    <row r="33" ht="36" customHeight="1" s="1158">
      <c r="A33" s="1282" t="n"/>
      <c r="B33" s="1277" t="n"/>
      <c r="C33" s="1278" t="n"/>
      <c r="D33" s="1283" t="n"/>
      <c r="E33" s="1284" t="n"/>
      <c r="F33" s="1277" t="n"/>
      <c r="G33" s="1277" t="n"/>
      <c r="H33" s="1277" t="n"/>
      <c r="I33" s="1277" t="n"/>
      <c r="J33" s="1277" t="n"/>
      <c r="K33" s="1277" t="n"/>
      <c r="L33" s="1277" t="n"/>
      <c r="M33" s="1277" t="n"/>
      <c r="N33" s="1277" t="n"/>
      <c r="O33" s="1277" t="n"/>
      <c r="P33" s="1277" t="n"/>
      <c r="Q33" s="1277" t="n"/>
      <c r="R33" s="1277" t="n"/>
      <c r="S33" s="1281" t="n"/>
    </row>
    <row r="34" ht="72" customHeight="1" s="1158">
      <c r="A34" s="1282" t="n"/>
      <c r="B34" s="1277" t="n"/>
      <c r="C34" s="1278" t="n"/>
      <c r="D34" s="1283" t="n"/>
      <c r="E34" s="1284" t="n"/>
      <c r="F34" s="1277" t="n"/>
      <c r="G34" s="1277" t="n"/>
      <c r="H34" s="1277" t="n"/>
      <c r="I34" s="1277" t="n"/>
      <c r="J34" s="1277" t="n"/>
      <c r="K34" s="1277" t="n"/>
      <c r="L34" s="1277" t="n"/>
      <c r="M34" s="1277" t="n"/>
      <c r="N34" s="1277" t="n"/>
      <c r="O34" s="1277" t="n"/>
      <c r="P34" s="1277" t="n"/>
      <c r="Q34" s="1277" t="n"/>
      <c r="R34" s="1277" t="n"/>
      <c r="S34" s="1281" t="n"/>
    </row>
    <row r="35" ht="31.5" customHeight="1" s="1158">
      <c r="A35" s="1282" t="n"/>
      <c r="B35" s="1277" t="n"/>
      <c r="C35" s="1278" t="n"/>
      <c r="D35" s="1283" t="n"/>
      <c r="E35" s="1284" t="n"/>
      <c r="F35" s="1277" t="n"/>
      <c r="G35" s="1277" t="n"/>
      <c r="H35" s="1277" t="n"/>
      <c r="I35" s="1277" t="n"/>
      <c r="J35" s="1277" t="n"/>
      <c r="K35" s="1277" t="n"/>
      <c r="L35" s="1277" t="n"/>
      <c r="M35" s="1277" t="n"/>
      <c r="N35" s="1277" t="n"/>
      <c r="O35" s="1277" t="n"/>
      <c r="P35" s="1277" t="n"/>
      <c r="Q35" s="1277" t="n"/>
      <c r="R35" s="1277" t="n"/>
      <c r="S35" s="1281" t="n"/>
    </row>
    <row r="36" ht="59.25" customHeight="1" s="1158">
      <c r="A36" s="1282" t="n"/>
      <c r="B36" s="1277" t="n"/>
      <c r="C36" s="1278" t="n"/>
      <c r="D36" s="1283" t="n"/>
      <c r="E36" s="1284" t="n"/>
      <c r="F36" s="1277" t="n"/>
      <c r="G36" s="1277" t="n"/>
      <c r="H36" s="1277" t="n"/>
      <c r="I36" s="1277" t="n"/>
      <c r="J36" s="1277" t="n"/>
      <c r="K36" s="1277" t="n"/>
      <c r="L36" s="1277" t="n"/>
      <c r="M36" s="1277" t="n"/>
      <c r="N36" s="1277" t="n"/>
      <c r="O36" s="1277" t="n"/>
      <c r="P36" s="1277" t="n"/>
      <c r="Q36" s="1277" t="n"/>
      <c r="R36" s="1277" t="n"/>
      <c r="S36" s="1281" t="n"/>
    </row>
    <row r="37" ht="59.25" customHeight="1" s="1158">
      <c r="A37" s="1282" t="n"/>
      <c r="B37" s="1277" t="n"/>
      <c r="C37" s="1278" t="n"/>
      <c r="D37" s="1283" t="n"/>
      <c r="E37" s="1284" t="n"/>
      <c r="F37" s="1277" t="n"/>
      <c r="G37" s="1277" t="n"/>
      <c r="H37" s="1277" t="n"/>
      <c r="I37" s="1277" t="n"/>
      <c r="J37" s="1277" t="n"/>
      <c r="K37" s="1277" t="n"/>
      <c r="L37" s="1277" t="n"/>
      <c r="M37" s="1277" t="n"/>
      <c r="N37" s="1277" t="n"/>
      <c r="O37" s="1277" t="n"/>
      <c r="P37" s="1277" t="n"/>
      <c r="Q37" s="1277" t="n"/>
      <c r="R37" s="1277" t="n"/>
      <c r="S37" s="1281" t="n"/>
    </row>
    <row r="38" ht="30" customHeight="1" s="1158">
      <c r="A38" s="1282" t="n"/>
      <c r="B38" s="1277" t="n"/>
      <c r="C38" s="1278" t="n"/>
      <c r="D38" s="1283" t="n"/>
      <c r="E38" s="1284" t="n"/>
      <c r="F38" s="1277" t="n"/>
      <c r="G38" s="1277" t="n"/>
      <c r="H38" s="1277" t="n"/>
      <c r="I38" s="1277" t="n"/>
      <c r="J38" s="1277" t="n"/>
      <c r="K38" s="1277" t="n"/>
      <c r="L38" s="1277" t="n"/>
      <c r="M38" s="1277" t="n"/>
      <c r="N38" s="1277" t="n"/>
      <c r="O38" s="1277" t="n"/>
      <c r="P38" s="1277" t="n"/>
      <c r="Q38" s="1277" t="n"/>
      <c r="R38" s="1277" t="n"/>
      <c r="S38" s="1281" t="n"/>
    </row>
    <row r="39" ht="21.75" customHeight="1" s="1158">
      <c r="A39" s="1282" t="n"/>
      <c r="B39" s="1277" t="n"/>
      <c r="C39" s="1278" t="n"/>
      <c r="D39" s="1283" t="n"/>
      <c r="E39" s="1284" t="n"/>
      <c r="F39" s="1277" t="n"/>
      <c r="G39" s="1277" t="n"/>
      <c r="H39" s="1277" t="n"/>
      <c r="I39" s="1277" t="n"/>
      <c r="J39" s="1277" t="n"/>
      <c r="K39" s="1277" t="n"/>
      <c r="L39" s="1277" t="n"/>
      <c r="M39" s="1277" t="n"/>
      <c r="N39" s="1277" t="n"/>
      <c r="O39" s="1277" t="n"/>
      <c r="P39" s="1277" t="n"/>
      <c r="Q39" s="1277" t="n"/>
      <c r="R39" s="1277" t="n"/>
      <c r="S39" s="1281" t="n"/>
    </row>
    <row r="40" ht="53.25" customHeight="1" s="1158">
      <c r="A40" s="1282" t="n"/>
      <c r="B40" s="1277" t="n"/>
      <c r="C40" s="1278" t="n"/>
      <c r="D40" s="1286" t="n"/>
      <c r="E40" s="1284" t="n"/>
      <c r="F40" s="1277" t="n"/>
      <c r="G40" s="1277" t="n"/>
      <c r="H40" s="1277" t="n"/>
      <c r="I40" s="1277" t="n"/>
      <c r="J40" s="1277" t="n"/>
      <c r="K40" s="1277" t="n"/>
      <c r="L40" s="1277" t="n"/>
      <c r="M40" s="1277" t="n"/>
      <c r="N40" s="1277" t="n"/>
      <c r="O40" s="1277" t="n"/>
      <c r="P40" s="1277" t="n"/>
      <c r="Q40" s="1277" t="n"/>
      <c r="R40" s="1277" t="n"/>
      <c r="S40" s="1281" t="n"/>
    </row>
    <row r="41" ht="18" customHeight="1" s="1158">
      <c r="A41" s="1282" t="n"/>
      <c r="B41" s="1277" t="n"/>
      <c r="C41" s="1278" t="n"/>
      <c r="D41" s="1287" t="n"/>
      <c r="E41" s="1284" t="n"/>
      <c r="F41" s="1277" t="n"/>
      <c r="G41" s="1277" t="n"/>
      <c r="H41" s="1277" t="n"/>
      <c r="I41" s="1277" t="n"/>
      <c r="J41" s="1277" t="n"/>
      <c r="K41" s="1277" t="n"/>
      <c r="L41" s="1277" t="n"/>
      <c r="M41" s="1277" t="n"/>
      <c r="N41" s="1277" t="n"/>
      <c r="O41" s="1277" t="n"/>
      <c r="P41" s="1277" t="n"/>
      <c r="Q41" s="1277" t="n"/>
      <c r="R41" s="1277" t="n"/>
      <c r="S41" s="1281" t="n"/>
    </row>
    <row r="42" ht="44.25" customHeight="1" s="1158">
      <c r="A42" s="1282" t="n"/>
      <c r="B42" s="1277" t="n"/>
      <c r="C42" s="1278" t="n"/>
      <c r="D42" s="1283" t="n"/>
      <c r="E42" s="1284" t="n"/>
      <c r="F42" s="1277" t="n"/>
      <c r="G42" s="1277" t="n"/>
      <c r="H42" s="1277" t="n"/>
      <c r="I42" s="1277" t="n"/>
      <c r="J42" s="1277" t="n"/>
      <c r="K42" s="1277" t="n"/>
      <c r="L42" s="1277" t="n"/>
      <c r="M42" s="1277" t="n"/>
      <c r="N42" s="1277" t="n"/>
      <c r="O42" s="1277" t="n"/>
      <c r="P42" s="1277" t="n"/>
      <c r="Q42" s="1277" t="n"/>
      <c r="R42" s="1277" t="n"/>
      <c r="S42" s="1281" t="n"/>
    </row>
    <row r="43" ht="42" customHeight="1" s="1158">
      <c r="A43" s="1282" t="n"/>
      <c r="B43" s="1277" t="n"/>
      <c r="C43" s="1278" t="n"/>
      <c r="D43" s="1283" t="n"/>
      <c r="E43" s="1284" t="n"/>
      <c r="F43" s="1277" t="n"/>
      <c r="G43" s="1277" t="n"/>
      <c r="H43" s="1277" t="n"/>
      <c r="I43" s="1277" t="n"/>
      <c r="J43" s="1277" t="n"/>
      <c r="K43" s="1277" t="n"/>
      <c r="L43" s="1277" t="n"/>
      <c r="M43" s="1277" t="n"/>
      <c r="N43" s="1277" t="n"/>
      <c r="O43" s="1277" t="n"/>
      <c r="P43" s="1277" t="n"/>
      <c r="Q43" s="1277" t="n"/>
      <c r="R43" s="1277" t="n"/>
      <c r="S43" s="1281" t="n"/>
    </row>
    <row r="44" ht="33.75" customHeight="1" s="1158">
      <c r="A44" s="1282" t="n"/>
      <c r="B44" s="1277" t="n"/>
      <c r="C44" s="1278" t="n"/>
      <c r="D44" s="1283" t="n"/>
      <c r="E44" s="1284" t="n"/>
      <c r="F44" s="1277" t="n"/>
      <c r="G44" s="1277" t="n"/>
      <c r="H44" s="1277" t="n"/>
      <c r="I44" s="1277" t="n"/>
      <c r="J44" s="1277" t="n"/>
      <c r="K44" s="1277" t="n"/>
      <c r="L44" s="1277" t="n"/>
      <c r="M44" s="1277" t="n"/>
      <c r="N44" s="1277" t="n"/>
      <c r="O44" s="1277" t="n"/>
      <c r="P44" s="1277" t="n"/>
      <c r="Q44" s="1277" t="n"/>
      <c r="R44" s="1277" t="n"/>
      <c r="S44" s="1281" t="n"/>
    </row>
    <row r="45" ht="31.5" customHeight="1" s="1158">
      <c r="A45" s="1282" t="n"/>
      <c r="B45" s="1277" t="n"/>
      <c r="C45" s="1278" t="n"/>
      <c r="D45" s="1283" t="n"/>
      <c r="E45" s="1284" t="n"/>
      <c r="F45" s="1277" t="n"/>
      <c r="G45" s="1277" t="n"/>
      <c r="H45" s="1277" t="n"/>
      <c r="I45" s="1277" t="n"/>
      <c r="J45" s="1277" t="n"/>
      <c r="K45" s="1277" t="n"/>
      <c r="L45" s="1277" t="n"/>
      <c r="M45" s="1277" t="n"/>
      <c r="N45" s="1277" t="n"/>
      <c r="O45" s="1277" t="n"/>
      <c r="P45" s="1277" t="n"/>
      <c r="Q45" s="1277" t="n"/>
      <c r="R45" s="1277" t="n"/>
      <c r="S45" s="1281" t="n"/>
    </row>
    <row r="46" ht="53.25" customHeight="1" s="1158">
      <c r="A46" s="1282" t="n"/>
      <c r="B46" s="1277" t="n"/>
      <c r="C46" s="1278" t="n"/>
      <c r="D46" s="1283" t="n"/>
      <c r="E46" s="1284" t="n"/>
      <c r="F46" s="1277" t="n"/>
      <c r="G46" s="1277" t="n"/>
      <c r="H46" s="1277" t="n"/>
      <c r="I46" s="1277" t="n"/>
      <c r="J46" s="1277" t="n"/>
      <c r="K46" s="1277" t="n"/>
      <c r="L46" s="1277" t="n"/>
      <c r="M46" s="1277" t="n"/>
      <c r="N46" s="1277" t="n"/>
      <c r="O46" s="1277" t="n"/>
      <c r="P46" s="1277" t="n"/>
      <c r="Q46" s="1277" t="n"/>
      <c r="R46" s="1277" t="n"/>
      <c r="S46" s="1281" t="n"/>
    </row>
    <row r="47" ht="48" customHeight="1" s="1158">
      <c r="A47" s="1282" t="n"/>
      <c r="B47" s="1277" t="n"/>
      <c r="C47" s="1278" t="n"/>
      <c r="D47" s="1283" t="n"/>
      <c r="E47" s="1284" t="n"/>
      <c r="F47" s="1277" t="n"/>
      <c r="G47" s="1277" t="n"/>
      <c r="H47" s="1277" t="n"/>
      <c r="I47" s="1277" t="n"/>
      <c r="J47" s="1277" t="n"/>
      <c r="K47" s="1277" t="n"/>
      <c r="L47" s="1277" t="n"/>
      <c r="M47" s="1277" t="n"/>
      <c r="N47" s="1277" t="n"/>
      <c r="O47" s="1277" t="n"/>
      <c r="P47" s="1277" t="n"/>
      <c r="Q47" s="1277" t="n"/>
      <c r="R47" s="1277" t="n"/>
      <c r="S47" s="1281" t="n"/>
    </row>
    <row r="48" ht="53.25" customHeight="1" s="1158">
      <c r="A48" s="1282" t="n"/>
      <c r="B48" s="1277" t="n"/>
      <c r="C48" s="1278" t="n"/>
      <c r="D48" s="1283" t="n"/>
      <c r="E48" s="1284" t="n"/>
      <c r="F48" s="1277" t="n"/>
      <c r="G48" s="1277" t="n"/>
      <c r="H48" s="1277" t="n"/>
      <c r="I48" s="1277" t="n"/>
      <c r="J48" s="1277" t="n"/>
      <c r="K48" s="1277" t="n"/>
      <c r="L48" s="1277" t="n"/>
      <c r="M48" s="1277" t="n"/>
      <c r="N48" s="1277" t="n"/>
      <c r="O48" s="1277" t="n"/>
      <c r="P48" s="1277" t="n"/>
      <c r="Q48" s="1277" t="n"/>
      <c r="R48" s="1277" t="n"/>
      <c r="S48" s="1281" t="n"/>
    </row>
    <row r="49" ht="42" customHeight="1" s="1158">
      <c r="A49" s="1282" t="n"/>
      <c r="B49" s="1277" t="n"/>
      <c r="C49" s="1278" t="n"/>
      <c r="D49" s="1283" t="n"/>
      <c r="E49" s="1284" t="n"/>
      <c r="F49" s="1277" t="n"/>
      <c r="G49" s="1277" t="n"/>
      <c r="H49" s="1277" t="n"/>
      <c r="I49" s="1277" t="n"/>
      <c r="J49" s="1277" t="n"/>
      <c r="K49" s="1277" t="n"/>
      <c r="L49" s="1277" t="n"/>
      <c r="M49" s="1277" t="n"/>
      <c r="N49" s="1277" t="n"/>
      <c r="O49" s="1277" t="n"/>
      <c r="P49" s="1277" t="n"/>
      <c r="Q49" s="1277" t="n"/>
      <c r="R49" s="1277" t="n"/>
      <c r="S49" s="1281" t="n"/>
    </row>
    <row r="50" ht="40.5" customHeight="1" s="1158">
      <c r="A50" s="1282" t="n"/>
      <c r="B50" s="1277" t="n"/>
      <c r="C50" s="1278" t="n"/>
      <c r="D50" s="1283" t="n"/>
      <c r="E50" s="1284" t="n"/>
      <c r="F50" s="1277" t="n"/>
      <c r="G50" s="1277" t="n"/>
      <c r="H50" s="1277" t="n"/>
      <c r="I50" s="1277" t="n"/>
      <c r="J50" s="1277" t="n"/>
      <c r="K50" s="1277" t="n"/>
      <c r="L50" s="1277" t="n"/>
      <c r="M50" s="1277" t="n"/>
      <c r="N50" s="1277" t="n"/>
      <c r="O50" s="1277" t="n"/>
      <c r="P50" s="1277" t="n"/>
      <c r="Q50" s="1277" t="n"/>
      <c r="R50" s="1277" t="n"/>
      <c r="S50" s="1281" t="n"/>
    </row>
    <row r="51" ht="54" customHeight="1" s="1158">
      <c r="A51" s="1282" t="n"/>
      <c r="B51" s="1277" t="n"/>
      <c r="C51" s="1278" t="n"/>
      <c r="D51" s="1283" t="n"/>
      <c r="E51" s="1284" t="n"/>
      <c r="F51" s="1277" t="n"/>
      <c r="G51" s="1277" t="n"/>
      <c r="H51" s="1277" t="n"/>
      <c r="I51" s="1277" t="n"/>
      <c r="J51" s="1277" t="n"/>
      <c r="K51" s="1277" t="n"/>
      <c r="L51" s="1277" t="n"/>
      <c r="M51" s="1277" t="n"/>
      <c r="N51" s="1277" t="n"/>
      <c r="O51" s="1277" t="n"/>
      <c r="P51" s="1277" t="n"/>
      <c r="Q51" s="1277" t="n"/>
      <c r="R51" s="1277" t="n"/>
      <c r="S51" s="1281" t="n"/>
    </row>
    <row r="52" ht="27" customHeight="1" s="1158">
      <c r="A52" s="1282" t="n"/>
      <c r="B52" s="1277" t="n"/>
      <c r="C52" s="1278" t="n"/>
      <c r="D52" s="1283" t="n"/>
      <c r="E52" s="1284" t="n"/>
      <c r="F52" s="1277" t="n"/>
      <c r="G52" s="1277" t="n"/>
      <c r="H52" s="1277" t="n"/>
      <c r="I52" s="1277" t="n"/>
      <c r="J52" s="1277" t="n"/>
      <c r="K52" s="1277" t="n"/>
      <c r="L52" s="1277" t="n"/>
      <c r="M52" s="1277" t="n"/>
      <c r="N52" s="1277" t="n"/>
      <c r="O52" s="1277" t="n"/>
      <c r="P52" s="1277" t="n"/>
      <c r="Q52" s="1277" t="n"/>
      <c r="R52" s="1277" t="n"/>
      <c r="S52" s="1281" t="n"/>
    </row>
    <row r="53" ht="39" customHeight="1" s="1158">
      <c r="A53" s="1282" t="n"/>
      <c r="B53" s="1277" t="n"/>
      <c r="C53" s="1278" t="n"/>
      <c r="D53" s="1283" t="n"/>
      <c r="E53" s="1284" t="n"/>
      <c r="F53" s="1277" t="n"/>
      <c r="G53" s="1277" t="n"/>
      <c r="H53" s="1277" t="n"/>
      <c r="I53" s="1277" t="n"/>
      <c r="J53" s="1277" t="n"/>
      <c r="K53" s="1277" t="n"/>
      <c r="L53" s="1277" t="n"/>
      <c r="M53" s="1277" t="n"/>
      <c r="N53" s="1277" t="n"/>
      <c r="O53" s="1277" t="n"/>
      <c r="P53" s="1277" t="n"/>
      <c r="Q53" s="1277" t="n"/>
      <c r="R53" s="1277" t="n"/>
      <c r="S53" s="1281" t="n"/>
    </row>
    <row r="54" ht="36" customHeight="1" s="1158">
      <c r="A54" s="1282" t="n"/>
      <c r="B54" s="1277" t="n"/>
      <c r="C54" s="1278" t="n"/>
      <c r="D54" s="1283" t="n"/>
      <c r="E54" s="1284" t="n"/>
      <c r="F54" s="1277" t="n"/>
      <c r="G54" s="1277" t="n"/>
      <c r="H54" s="1277" t="n"/>
      <c r="I54" s="1277" t="n"/>
      <c r="J54" s="1277" t="n"/>
      <c r="K54" s="1277" t="n"/>
      <c r="L54" s="1277" t="n"/>
      <c r="M54" s="1277" t="n"/>
      <c r="N54" s="1277" t="n"/>
      <c r="O54" s="1277" t="n"/>
      <c r="P54" s="1277" t="n"/>
      <c r="Q54" s="1277" t="n"/>
      <c r="R54" s="1277" t="n"/>
      <c r="S54" s="1281" t="n"/>
    </row>
    <row r="55" ht="28.5" customHeight="1" s="1158">
      <c r="A55" s="1282" t="n"/>
      <c r="B55" s="1277" t="n"/>
      <c r="C55" s="1278" t="n"/>
      <c r="D55" s="1283" t="n"/>
      <c r="E55" s="1284" t="n"/>
      <c r="F55" s="1277" t="n"/>
      <c r="G55" s="1277" t="n"/>
      <c r="H55" s="1277" t="n"/>
      <c r="I55" s="1277" t="n"/>
      <c r="J55" s="1277" t="n"/>
      <c r="K55" s="1277" t="n"/>
      <c r="L55" s="1277" t="n"/>
      <c r="M55" s="1277" t="n"/>
      <c r="N55" s="1277" t="n"/>
      <c r="O55" s="1277" t="n"/>
      <c r="P55" s="1277" t="n"/>
      <c r="Q55" s="1277" t="n"/>
      <c r="R55" s="1277" t="n"/>
      <c r="S55" s="1281" t="n"/>
    </row>
    <row r="56" ht="30" customHeight="1" s="1158">
      <c r="A56" s="1282" t="n"/>
      <c r="B56" s="1277" t="n"/>
      <c r="C56" s="1278" t="n"/>
      <c r="D56" s="1283" t="n"/>
      <c r="E56" s="1284" t="n"/>
      <c r="F56" s="1277" t="n"/>
      <c r="G56" s="1277" t="n"/>
      <c r="H56" s="1277" t="n"/>
      <c r="I56" s="1277" t="n"/>
      <c r="J56" s="1277" t="n"/>
      <c r="K56" s="1277" t="n"/>
      <c r="L56" s="1277" t="n"/>
      <c r="M56" s="1277" t="n"/>
      <c r="N56" s="1277" t="n"/>
      <c r="O56" s="1277" t="n"/>
      <c r="P56" s="1277" t="n"/>
      <c r="Q56" s="1277" t="n"/>
      <c r="R56" s="1277" t="n"/>
      <c r="S56" s="1281" t="n"/>
    </row>
    <row r="57" ht="31.5" customHeight="1" s="1158">
      <c r="A57" s="1282" t="n"/>
      <c r="B57" s="1277" t="n"/>
      <c r="C57" s="1278" t="n"/>
      <c r="D57" s="1283" t="n"/>
      <c r="E57" s="1284" t="n"/>
      <c r="F57" s="1277" t="n"/>
      <c r="G57" s="1277" t="n"/>
      <c r="H57" s="1277" t="n"/>
      <c r="I57" s="1277" t="n"/>
      <c r="J57" s="1277" t="n"/>
      <c r="K57" s="1277" t="n"/>
      <c r="L57" s="1277" t="n"/>
      <c r="M57" s="1277" t="n"/>
      <c r="N57" s="1277" t="n"/>
      <c r="O57" s="1277" t="n"/>
      <c r="P57" s="1277" t="n"/>
      <c r="Q57" s="1277" t="n"/>
      <c r="R57" s="1277" t="n"/>
      <c r="S57" s="1281" t="n"/>
    </row>
    <row r="58" ht="24" customHeight="1" s="1158">
      <c r="A58" s="1282" t="n"/>
      <c r="B58" s="1277" t="n"/>
      <c r="C58" s="1278" t="n"/>
      <c r="D58" s="1283" t="n"/>
      <c r="E58" s="1284" t="n"/>
      <c r="F58" s="1277" t="n"/>
      <c r="G58" s="1277" t="n"/>
      <c r="H58" s="1277" t="n"/>
      <c r="I58" s="1277" t="n"/>
      <c r="J58" s="1277" t="n"/>
      <c r="K58" s="1277" t="n"/>
      <c r="L58" s="1277" t="n"/>
      <c r="M58" s="1277" t="n"/>
      <c r="N58" s="1277" t="n"/>
      <c r="O58" s="1277" t="n"/>
      <c r="P58" s="1277" t="n"/>
      <c r="Q58" s="1277" t="n"/>
      <c r="R58" s="1277" t="n"/>
      <c r="S58" s="1281" t="n"/>
    </row>
    <row r="59" ht="14.25" customHeight="1" s="1158">
      <c r="A59" s="1288" t="n"/>
      <c r="B59" s="1246" t="n"/>
      <c r="C59" s="1246" t="n"/>
      <c r="D59" s="1246" t="n"/>
      <c r="E59" s="1246" t="n"/>
      <c r="F59" s="1246" t="n"/>
      <c r="G59" s="1246" t="n"/>
      <c r="H59" s="1246" t="n"/>
      <c r="I59" s="1246" t="n"/>
      <c r="J59" s="1246" t="n"/>
      <c r="K59" s="1246" t="n"/>
      <c r="L59" s="1246" t="n"/>
      <c r="M59" s="1246" t="n"/>
      <c r="N59" s="1246" t="n"/>
      <c r="O59" s="1246" t="n"/>
      <c r="P59" s="1246" t="n"/>
      <c r="Q59" s="1246" t="n"/>
      <c r="R59" s="1246" t="n"/>
      <c r="S59" s="1289" t="n"/>
      <c r="T59" s="1290" t="n"/>
      <c r="U59" s="1290" t="n"/>
      <c r="V59" s="1290" t="n"/>
      <c r="W59" s="1290" t="n"/>
      <c r="X59" s="1290" t="n"/>
      <c r="Y59" s="1290" t="n"/>
      <c r="Z59" s="1290" t="n"/>
      <c r="AA59" s="1290" t="n"/>
      <c r="AB59" s="1290" t="n"/>
      <c r="AC59" s="1290" t="n"/>
      <c r="AD59" s="1290" t="n"/>
      <c r="AE59" s="1290" t="n"/>
      <c r="AF59" s="1290" t="n"/>
      <c r="AG59" s="1290" t="n"/>
      <c r="AH59" s="1290" t="n"/>
      <c r="AI59" s="1290" t="n"/>
      <c r="AJ59" s="1290" t="n"/>
      <c r="AK59" s="1290" t="n"/>
      <c r="AL59" s="1291" t="n"/>
    </row>
    <row r="60" ht="27" customHeight="1" s="1158">
      <c r="A60" s="1292" t="inlineStr">
        <is>
          <t xml:space="preserve">CUSTOMER REP. </t>
        </is>
      </c>
      <c r="B60" s="1162" t="n"/>
      <c r="C60" s="1162" t="n"/>
      <c r="D60" s="1162" t="n"/>
      <c r="E60" s="1293">
        <f>'Master Data'!B4</f>
        <v/>
      </c>
      <c r="F60" s="1162" t="n"/>
      <c r="G60" s="1162" t="n"/>
      <c r="H60" s="1162" t="n"/>
      <c r="I60" s="1162" t="n"/>
      <c r="J60" s="1162" t="n"/>
      <c r="K60" s="1162" t="n"/>
      <c r="L60" s="1163" t="n"/>
      <c r="M60" s="1292" t="inlineStr">
        <is>
          <t>OPERATIONS REP. NAME:</t>
        </is>
      </c>
      <c r="N60" s="1162" t="n"/>
      <c r="O60" s="1162" t="n"/>
      <c r="P60" s="1162" t="n"/>
      <c r="Q60" s="1162" t="n"/>
      <c r="R60" s="1162" t="n"/>
      <c r="S60" s="1294">
        <f>'Master Data'!B21</f>
        <v/>
      </c>
      <c r="U60" s="1295">
        <f>E60</f>
        <v/>
      </c>
      <c r="V60" s="1295" t="n"/>
      <c r="W60" s="1295" t="n"/>
      <c r="X60" s="1295" t="n"/>
      <c r="Y60" s="1295" t="n"/>
      <c r="Z60" s="1295" t="n"/>
      <c r="AA60" s="1295" t="n"/>
      <c r="AE60" s="1296">
        <f>'Master Data'!B21</f>
        <v/>
      </c>
      <c r="AF60" s="1297" t="n"/>
      <c r="AG60" s="1297" t="n"/>
      <c r="AH60" s="1297" t="n"/>
      <c r="AI60" s="1297" t="n"/>
      <c r="AJ60" s="1297" t="n"/>
      <c r="AK60" s="1297" t="n"/>
      <c r="AL60" s="1298" t="n"/>
    </row>
    <row r="61" ht="27" customHeight="1" s="1158">
      <c r="A61" s="1293" t="inlineStr">
        <is>
          <t>SIGNATURE:</t>
        </is>
      </c>
      <c r="B61" s="1162" t="n"/>
      <c r="C61" s="1162" t="n"/>
      <c r="D61" s="1162" t="n"/>
      <c r="E61" s="1162" t="n"/>
      <c r="F61" s="1162" t="n"/>
      <c r="G61" s="1162" t="n"/>
      <c r="H61" s="1162" t="n"/>
      <c r="I61" s="1162" t="n"/>
      <c r="J61" s="1162" t="n"/>
      <c r="K61" s="1162" t="n"/>
      <c r="L61" s="1163" t="n"/>
      <c r="M61" s="1299" t="inlineStr">
        <is>
          <t>SIGNATURE:</t>
        </is>
      </c>
      <c r="S61" s="1272" t="n"/>
      <c r="U61" s="1295" t="n"/>
      <c r="V61" s="1295" t="n"/>
      <c r="W61" s="1295" t="n"/>
      <c r="X61" s="1295" t="n"/>
      <c r="Y61" s="1295" t="n"/>
      <c r="Z61" s="1295" t="n"/>
      <c r="AA61" s="1295" t="n"/>
      <c r="AE61" s="1297" t="n"/>
      <c r="AF61" s="1297" t="n"/>
      <c r="AG61" s="1297" t="n"/>
      <c r="AH61" s="1297" t="n"/>
      <c r="AI61" s="1297" t="n"/>
      <c r="AJ61" s="1297" t="n"/>
      <c r="AK61" s="1297" t="n"/>
      <c r="AL61" s="1298" t="n"/>
    </row>
    <row r="62" ht="15" customHeight="1" s="1158">
      <c r="A62" s="1300" t="inlineStr">
        <is>
          <t>Signature / Date</t>
        </is>
      </c>
      <c r="B62" s="1297" t="n"/>
      <c r="C62" s="1297" t="n"/>
      <c r="D62" s="1301" t="n"/>
      <c r="E62" s="1302">
        <f>P62</f>
        <v/>
      </c>
      <c r="F62" s="1297" t="n"/>
      <c r="G62" s="1297" t="n"/>
      <c r="H62" s="1297" t="n"/>
      <c r="I62" s="1301" t="n"/>
      <c r="J62" s="1303" t="n"/>
      <c r="K62" s="1300" t="inlineStr">
        <is>
          <t>Signature / Date</t>
        </is>
      </c>
      <c r="L62" s="1297" t="n"/>
      <c r="M62" s="1297" t="n"/>
      <c r="N62" s="1297" t="n"/>
      <c r="O62" s="1301" t="n"/>
      <c r="P62" s="1304">
        <f>K7</f>
        <v/>
      </c>
      <c r="Q62" s="1305" t="n"/>
      <c r="R62" s="1305" t="n"/>
      <c r="S62" s="1306" t="n"/>
    </row>
    <row r="63" ht="13.5" customHeight="1" s="1158">
      <c r="A63" s="1307" t="n"/>
      <c r="B63" s="1308" t="n"/>
      <c r="C63" s="1308" t="n"/>
      <c r="D63" s="1309" t="n"/>
      <c r="E63" s="1307" t="n"/>
      <c r="F63" s="1308" t="n"/>
      <c r="G63" s="1308" t="n"/>
      <c r="H63" s="1308" t="n"/>
      <c r="I63" s="1309" t="n"/>
      <c r="J63" s="1308" t="n"/>
      <c r="K63" s="1307" t="n"/>
      <c r="L63" s="1308" t="n"/>
      <c r="M63" s="1308" t="n"/>
      <c r="N63" s="1308" t="n"/>
      <c r="O63" s="1309" t="n"/>
      <c r="P63" s="1307" t="n"/>
      <c r="Q63" s="1308" t="n"/>
      <c r="R63" s="1308" t="n"/>
      <c r="S63" s="1309" t="n"/>
    </row>
    <row r="64" ht="12" customHeight="1" s="1158">
      <c r="A64" s="1310"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1297" t="n"/>
      <c r="C64" s="1297" t="n"/>
      <c r="D64" s="1297" t="n"/>
      <c r="E64" s="1297" t="n"/>
      <c r="F64" s="1297" t="n"/>
      <c r="G64" s="1297" t="n"/>
      <c r="H64" s="1297" t="n"/>
      <c r="I64" s="1297" t="n"/>
      <c r="J64" s="1297" t="n"/>
      <c r="K64" s="1297" t="n"/>
      <c r="L64" s="1297" t="n"/>
      <c r="M64" s="1297" t="n"/>
      <c r="N64" s="1297" t="n"/>
      <c r="O64" s="1297" t="n"/>
      <c r="P64" s="1297" t="n"/>
      <c r="Q64" s="1297" t="n"/>
      <c r="R64" s="1297" t="n"/>
      <c r="S64" s="1301" t="n"/>
    </row>
    <row r="65" ht="12" customHeight="1" s="1158">
      <c r="A65" s="1311" t="n"/>
      <c r="B65" s="1297" t="n"/>
      <c r="C65" s="1297" t="n"/>
      <c r="D65" s="1297" t="n"/>
      <c r="E65" s="1297" t="n"/>
      <c r="F65" s="1297" t="n"/>
      <c r="G65" s="1297" t="n"/>
      <c r="H65" s="1297" t="n"/>
      <c r="I65" s="1297" t="n"/>
      <c r="J65" s="1297" t="n"/>
      <c r="K65" s="1297" t="n"/>
      <c r="L65" s="1297" t="n"/>
      <c r="M65" s="1297" t="n"/>
      <c r="N65" s="1297" t="n"/>
      <c r="O65" s="1297" t="n"/>
      <c r="P65" s="1297" t="n"/>
      <c r="Q65" s="1297" t="n"/>
      <c r="R65" s="1297" t="n"/>
      <c r="S65" s="1301" t="n"/>
    </row>
    <row r="66" ht="12" customHeight="1" s="1158">
      <c r="A66" s="1311" t="n"/>
      <c r="B66" s="1297" t="n"/>
      <c r="C66" s="1297" t="n"/>
      <c r="D66" s="1297" t="n"/>
      <c r="E66" s="1297" t="n"/>
      <c r="F66" s="1297" t="n"/>
      <c r="G66" s="1297" t="n"/>
      <c r="H66" s="1297" t="n"/>
      <c r="I66" s="1297" t="n"/>
      <c r="J66" s="1297" t="n"/>
      <c r="K66" s="1297" t="n"/>
      <c r="L66" s="1297" t="n"/>
      <c r="M66" s="1297" t="n"/>
      <c r="N66" s="1297" t="n"/>
      <c r="O66" s="1297" t="n"/>
      <c r="P66" s="1297" t="n"/>
      <c r="Q66" s="1297" t="n"/>
      <c r="R66" s="1297" t="n"/>
      <c r="S66" s="1301" t="n"/>
    </row>
    <row r="67" ht="12" customHeight="1" s="1158">
      <c r="A67" s="1311" t="n"/>
      <c r="B67" s="1297" t="n"/>
      <c r="C67" s="1297" t="n"/>
      <c r="D67" s="1297" t="n"/>
      <c r="E67" s="1297" t="n"/>
      <c r="F67" s="1297" t="n"/>
      <c r="G67" s="1297" t="n"/>
      <c r="H67" s="1297" t="n"/>
      <c r="I67" s="1297" t="n"/>
      <c r="J67" s="1297" t="n"/>
      <c r="K67" s="1297" t="n"/>
      <c r="L67" s="1297" t="n"/>
      <c r="M67" s="1297" t="n"/>
      <c r="N67" s="1297" t="n"/>
      <c r="O67" s="1297" t="n"/>
      <c r="P67" s="1297" t="n"/>
      <c r="Q67" s="1297" t="n"/>
      <c r="R67" s="1297" t="n"/>
      <c r="S67" s="1301" t="n"/>
    </row>
    <row r="68" ht="12" customHeight="1" s="1158">
      <c r="A68" s="1307" t="n"/>
      <c r="B68" s="1308" t="n"/>
      <c r="C68" s="1308" t="n"/>
      <c r="D68" s="1308" t="n"/>
      <c r="E68" s="1308" t="n"/>
      <c r="F68" s="1308" t="n"/>
      <c r="G68" s="1308" t="n"/>
      <c r="H68" s="1308" t="n"/>
      <c r="I68" s="1308" t="n"/>
      <c r="J68" s="1308" t="n"/>
      <c r="K68" s="1308" t="n"/>
      <c r="L68" s="1308" t="n"/>
      <c r="M68" s="1308" t="n"/>
      <c r="N68" s="1308" t="n"/>
      <c r="O68" s="1308" t="n"/>
      <c r="P68" s="1308" t="n"/>
      <c r="Q68" s="1308" t="n"/>
      <c r="R68" s="1308" t="n"/>
      <c r="S68" s="1309" t="n"/>
    </row>
    <row r="69" ht="12" customHeight="1" s="1158">
      <c r="A69" s="1312" t="n"/>
      <c r="B69" s="1312" t="n"/>
      <c r="C69" s="1312" t="n"/>
      <c r="D69" s="1312" t="n"/>
      <c r="E69" s="1312" t="n"/>
      <c r="F69" s="1312" t="n"/>
      <c r="G69" s="1312" t="n"/>
      <c r="H69" s="1312" t="n"/>
      <c r="I69" s="1312" t="n"/>
      <c r="J69" s="1312" t="n"/>
      <c r="K69" s="1312" t="n"/>
      <c r="L69" s="1312" t="n"/>
      <c r="M69" s="1312" t="n"/>
      <c r="N69" s="1312" t="n"/>
      <c r="O69" s="1312" t="n"/>
      <c r="P69" s="1312" t="n"/>
      <c r="Q69" s="1312" t="n"/>
      <c r="R69" s="1312" t="n"/>
      <c r="S69" s="1312" t="n"/>
    </row>
    <row r="70" ht="12" customHeight="1" s="1158">
      <c r="A70" s="1312" t="n"/>
      <c r="B70" s="1312" t="n"/>
      <c r="C70" s="1312" t="n"/>
      <c r="D70" s="1312" t="n"/>
      <c r="E70" s="1312" t="n"/>
      <c r="F70" s="1312" t="n"/>
      <c r="G70" s="1312" t="n"/>
      <c r="H70" s="1312" t="n"/>
      <c r="I70" s="1312" t="n"/>
      <c r="J70" s="1312" t="n"/>
      <c r="K70" s="1312" t="n"/>
      <c r="L70" s="1312" t="n"/>
      <c r="M70" s="1312" t="n"/>
      <c r="N70" s="1312" t="n"/>
      <c r="O70" s="1312" t="n"/>
      <c r="P70" s="1312" t="n"/>
      <c r="Q70" s="1312" t="n"/>
      <c r="R70" s="1312" t="n"/>
      <c r="S70" s="1312" t="n"/>
    </row>
    <row r="71" ht="12" customHeight="1" s="1158">
      <c r="A71" s="1312" t="n"/>
      <c r="B71" s="1312" t="n"/>
      <c r="C71" s="1312" t="n"/>
      <c r="D71" s="1312" t="n"/>
      <c r="E71" s="1312" t="n"/>
      <c r="F71" s="1312" t="n"/>
      <c r="G71" s="1312" t="n"/>
      <c r="H71" s="1312" t="n"/>
      <c r="I71" s="1312" t="n"/>
      <c r="J71" s="1312" t="n"/>
      <c r="K71" s="1312" t="n"/>
      <c r="L71" s="1312" t="n"/>
      <c r="M71" s="1312" t="n"/>
      <c r="N71" s="1312" t="n"/>
      <c r="O71" s="1312" t="n"/>
      <c r="P71" s="1312" t="n"/>
      <c r="Q71" s="1312" t="n"/>
      <c r="R71" s="1312" t="n"/>
      <c r="S71" s="1312" t="n"/>
    </row>
    <row r="72" ht="12" customHeight="1" s="1158">
      <c r="A72" s="1312" t="n"/>
      <c r="B72" s="1312" t="n"/>
      <c r="C72" s="1312" t="n"/>
      <c r="D72" s="1312" t="n"/>
      <c r="E72" s="1312" t="n"/>
      <c r="F72" s="1312" t="n"/>
      <c r="G72" s="1312" t="n"/>
      <c r="H72" s="1312" t="n"/>
      <c r="I72" s="1312" t="n"/>
      <c r="J72" s="1312" t="n"/>
      <c r="K72" s="1312" t="n"/>
      <c r="L72" s="1312" t="n"/>
      <c r="M72" s="1312" t="n"/>
      <c r="N72" s="1312" t="n"/>
      <c r="O72" s="1312" t="n"/>
      <c r="P72" s="1312" t="n"/>
      <c r="Q72" s="1312" t="n"/>
      <c r="R72" s="1312" t="n"/>
      <c r="S72" s="1312" t="n"/>
    </row>
    <row r="73" ht="12" customHeight="1" s="1158">
      <c r="A73" s="1312" t="n"/>
      <c r="B73" s="1312" t="n"/>
      <c r="C73" s="1312" t="n"/>
      <c r="D73" s="1312" t="n"/>
      <c r="E73" s="1312" t="n"/>
      <c r="F73" s="1312" t="n"/>
      <c r="G73" s="1312" t="n"/>
      <c r="H73" s="1312" t="n"/>
      <c r="I73" s="1312" t="n"/>
      <c r="J73" s="1312" t="n"/>
      <c r="K73" s="1312" t="n"/>
      <c r="L73" s="1312" t="n"/>
      <c r="M73" s="1312" t="n"/>
      <c r="N73" s="1312" t="n"/>
      <c r="O73" s="1312" t="n"/>
      <c r="P73" s="1312" t="n"/>
      <c r="Q73" s="1312" t="n"/>
      <c r="R73" s="1312" t="n"/>
      <c r="S73" s="1312" t="n"/>
    </row>
    <row r="74" ht="12" customHeight="1" s="1158">
      <c r="A74" s="1312" t="n"/>
      <c r="B74" s="1312" t="n"/>
      <c r="C74" s="1312" t="n"/>
      <c r="D74" s="1312" t="n"/>
      <c r="E74" s="1312" t="n"/>
      <c r="F74" s="1312" t="n"/>
      <c r="G74" s="1312" t="n"/>
      <c r="H74" s="1312" t="n"/>
      <c r="I74" s="1312" t="n"/>
      <c r="J74" s="1312" t="n"/>
      <c r="K74" s="1312" t="n"/>
      <c r="L74" s="1312" t="n"/>
      <c r="M74" s="1312" t="n"/>
      <c r="N74" s="1312" t="n"/>
      <c r="O74" s="1312" t="n"/>
      <c r="P74" s="1312" t="n"/>
      <c r="Q74" s="1312" t="n"/>
      <c r="R74" s="1312" t="n"/>
      <c r="S74" s="1312" t="n"/>
    </row>
    <row r="75" ht="12" customHeight="1" s="1158">
      <c r="A75" s="1312" t="n"/>
      <c r="B75" s="1312" t="n"/>
      <c r="C75" s="1312" t="n"/>
      <c r="D75" s="1312" t="n"/>
      <c r="E75" s="1312" t="n"/>
      <c r="F75" s="1312" t="n"/>
      <c r="G75" s="1312" t="n"/>
      <c r="H75" s="1312" t="n"/>
      <c r="I75" s="1312" t="n"/>
      <c r="J75" s="1312" t="n"/>
      <c r="K75" s="1312" t="n"/>
      <c r="L75" s="1312" t="n"/>
      <c r="M75" s="1312" t="n"/>
      <c r="N75" s="1312" t="n"/>
      <c r="O75" s="1312" t="n"/>
      <c r="P75" s="1312" t="n"/>
      <c r="Q75" s="1312" t="n"/>
      <c r="R75" s="1312" t="n"/>
      <c r="S75" s="1312" t="n"/>
    </row>
    <row r="76" ht="12" customHeight="1" s="1158">
      <c r="A76" s="1312" t="n"/>
      <c r="B76" s="1312" t="n"/>
      <c r="C76" s="1312" t="n"/>
      <c r="D76" s="1312" t="n"/>
      <c r="E76" s="1312" t="n"/>
      <c r="F76" s="1312" t="n"/>
      <c r="G76" s="1312" t="n"/>
      <c r="H76" s="1312" t="n"/>
      <c r="I76" s="1312" t="n"/>
      <c r="J76" s="1312" t="n"/>
      <c r="K76" s="1312" t="n"/>
      <c r="L76" s="1312" t="n"/>
      <c r="M76" s="1312" t="n"/>
      <c r="N76" s="1312" t="n"/>
      <c r="O76" s="1312" t="n"/>
      <c r="P76" s="1312" t="n"/>
      <c r="Q76" s="1312" t="n"/>
      <c r="R76" s="1312" t="n"/>
      <c r="S76" s="1312" t="n"/>
    </row>
    <row r="77" ht="12" customHeight="1" s="1158">
      <c r="A77" s="1312" t="n"/>
      <c r="B77" s="1312" t="n"/>
      <c r="C77" s="1312" t="n"/>
      <c r="D77" s="1312" t="n"/>
      <c r="E77" s="1312" t="n"/>
      <c r="F77" s="1312" t="n"/>
      <c r="G77" s="1312" t="n"/>
      <c r="H77" s="1312" t="n"/>
      <c r="I77" s="1312" t="n"/>
      <c r="J77" s="1312" t="n"/>
      <c r="K77" s="1312" t="n"/>
      <c r="L77" s="1312" t="n"/>
      <c r="M77" s="1312" t="n"/>
      <c r="N77" s="1312" t="n"/>
      <c r="O77" s="1312" t="n"/>
      <c r="P77" s="1312" t="n"/>
      <c r="Q77" s="1312" t="n"/>
      <c r="R77" s="1312" t="n"/>
      <c r="S77" s="1312" t="n"/>
    </row>
    <row r="78" ht="12" customHeight="1" s="1158">
      <c r="A78" s="1312" t="n"/>
      <c r="B78" s="1312" t="n"/>
      <c r="C78" s="1312" t="n"/>
      <c r="D78" s="1312" t="n"/>
      <c r="E78" s="1312" t="n"/>
      <c r="F78" s="1312" t="n"/>
      <c r="G78" s="1312" t="n"/>
      <c r="H78" s="1312" t="n"/>
      <c r="I78" s="1312" t="n"/>
      <c r="J78" s="1312" t="n"/>
      <c r="K78" s="1312" t="n"/>
      <c r="L78" s="1312" t="n"/>
      <c r="M78" s="1312" t="n"/>
      <c r="N78" s="1312" t="n"/>
      <c r="O78" s="1312" t="n"/>
      <c r="P78" s="1312" t="n"/>
      <c r="Q78" s="1312" t="n"/>
      <c r="R78" s="1312" t="n"/>
      <c r="S78" s="1312" t="n"/>
    </row>
    <row r="79" ht="12" customHeight="1" s="1158">
      <c r="A79" s="1312" t="n"/>
      <c r="B79" s="1312" t="n"/>
      <c r="C79" s="1312" t="n"/>
      <c r="D79" s="1312" t="n"/>
      <c r="E79" s="1312" t="n"/>
      <c r="F79" s="1312" t="n"/>
      <c r="G79" s="1312" t="n"/>
      <c r="H79" s="1312" t="n"/>
      <c r="I79" s="1312" t="n"/>
      <c r="J79" s="1312" t="n"/>
      <c r="K79" s="1312" t="n"/>
      <c r="L79" s="1312" t="n"/>
      <c r="M79" s="1312" t="n"/>
      <c r="N79" s="1312" t="n"/>
      <c r="O79" s="1312" t="n"/>
      <c r="P79" s="1312" t="n"/>
      <c r="Q79" s="1312" t="n"/>
      <c r="R79" s="1312" t="n"/>
      <c r="S79" s="1312" t="n"/>
    </row>
    <row r="80" ht="12" customHeight="1" s="1158">
      <c r="A80" s="1312" t="n"/>
      <c r="B80" s="1312" t="n"/>
      <c r="C80" s="1312" t="n"/>
      <c r="D80" s="1312" t="n"/>
      <c r="E80" s="1312" t="n"/>
      <c r="F80" s="1312" t="n"/>
      <c r="G80" s="1312" t="n"/>
      <c r="H80" s="1312" t="n"/>
      <c r="I80" s="1312" t="n"/>
      <c r="J80" s="1312" t="n"/>
      <c r="K80" s="1312" t="n"/>
      <c r="L80" s="1312" t="n"/>
      <c r="M80" s="1312" t="n"/>
      <c r="N80" s="1312" t="n"/>
      <c r="O80" s="1312" t="n"/>
      <c r="P80" s="1312" t="n"/>
      <c r="Q80" s="1312" t="n"/>
      <c r="R80" s="1312" t="n"/>
      <c r="S80" s="1312" t="n"/>
    </row>
    <row r="81" ht="12" customHeight="1" s="1158">
      <c r="A81" s="1312" t="n"/>
      <c r="B81" s="1312" t="n"/>
      <c r="C81" s="1312" t="n"/>
      <c r="D81" s="1312" t="n"/>
      <c r="E81" s="1312" t="n"/>
      <c r="F81" s="1312" t="n"/>
      <c r="G81" s="1312" t="n"/>
      <c r="H81" s="1312" t="n"/>
      <c r="I81" s="1312" t="n"/>
      <c r="J81" s="1312" t="n"/>
      <c r="K81" s="1312" t="n"/>
      <c r="L81" s="1312" t="n"/>
      <c r="M81" s="1312" t="n"/>
      <c r="N81" s="1312" t="n"/>
      <c r="O81" s="1312" t="n"/>
      <c r="P81" s="1312" t="n"/>
      <c r="Q81" s="1312" t="n"/>
      <c r="R81" s="1312" t="n"/>
      <c r="S81" s="1312" t="n"/>
    </row>
    <row r="82" ht="12" customHeight="1" s="1158">
      <c r="A82" s="1312" t="n"/>
      <c r="B82" s="1312" t="n"/>
      <c r="C82" s="1312" t="n"/>
      <c r="D82" s="1312" t="n"/>
      <c r="E82" s="1312" t="n"/>
      <c r="F82" s="1312" t="n"/>
      <c r="G82" s="1312" t="n"/>
      <c r="H82" s="1312" t="n"/>
      <c r="I82" s="1312" t="n"/>
      <c r="J82" s="1312" t="n"/>
      <c r="K82" s="1312" t="n"/>
      <c r="L82" s="1312" t="n"/>
      <c r="M82" s="1312" t="n"/>
      <c r="N82" s="1312" t="n"/>
      <c r="O82" s="1312" t="n"/>
      <c r="P82" s="1312" t="n"/>
      <c r="Q82" s="1312" t="n"/>
      <c r="R82" s="1312" t="n"/>
      <c r="S82" s="1312" t="n"/>
    </row>
    <row r="83" ht="12" customHeight="1" s="1158">
      <c r="A83" s="1312" t="n"/>
      <c r="B83" s="1312" t="n"/>
      <c r="C83" s="1312" t="n"/>
      <c r="D83" s="1312" t="n"/>
      <c r="E83" s="1312" t="n"/>
      <c r="F83" s="1312" t="n"/>
      <c r="G83" s="1312" t="n"/>
      <c r="H83" s="1312" t="n"/>
      <c r="I83" s="1312" t="n"/>
      <c r="J83" s="1312" t="n"/>
      <c r="K83" s="1312" t="n"/>
      <c r="L83" s="1312" t="n"/>
      <c r="M83" s="1312" t="n"/>
      <c r="N83" s="1312" t="n"/>
      <c r="O83" s="1312" t="n"/>
      <c r="P83" s="1312" t="n"/>
      <c r="Q83" s="1312" t="n"/>
      <c r="R83" s="1312" t="n"/>
      <c r="S83" s="1312" t="n"/>
    </row>
    <row r="84" ht="12" customHeight="1" s="1158">
      <c r="A84" s="1312" t="n"/>
      <c r="B84" s="1312" t="n"/>
      <c r="C84" s="1312" t="n"/>
      <c r="D84" s="1312" t="n"/>
      <c r="E84" s="1312" t="n"/>
      <c r="F84" s="1312" t="n"/>
      <c r="G84" s="1312" t="n"/>
      <c r="H84" s="1312" t="n"/>
      <c r="I84" s="1312" t="n"/>
      <c r="J84" s="1312" t="n"/>
      <c r="K84" s="1312" t="n"/>
      <c r="L84" s="1312" t="n"/>
      <c r="M84" s="1312" t="n"/>
      <c r="N84" s="1312" t="n"/>
      <c r="O84" s="1312" t="n"/>
      <c r="P84" s="1312" t="n"/>
      <c r="Q84" s="1312" t="n"/>
      <c r="R84" s="1312" t="n"/>
      <c r="S84" s="1312" t="n"/>
    </row>
    <row r="85" ht="12" customHeight="1" s="1158">
      <c r="A85" s="1312" t="n"/>
      <c r="B85" s="1312" t="n"/>
      <c r="C85" s="1312" t="n"/>
      <c r="D85" s="1312" t="n"/>
      <c r="E85" s="1312" t="n"/>
      <c r="F85" s="1312" t="n"/>
      <c r="G85" s="1312" t="n"/>
      <c r="H85" s="1312" t="n"/>
      <c r="I85" s="1312" t="n"/>
      <c r="J85" s="1312" t="n"/>
      <c r="K85" s="1312" t="n"/>
      <c r="L85" s="1312" t="n"/>
      <c r="M85" s="1312" t="n"/>
      <c r="N85" s="1312" t="n"/>
      <c r="O85" s="1312" t="n"/>
      <c r="P85" s="1312" t="n"/>
      <c r="Q85" s="1312" t="n"/>
      <c r="R85" s="1312" t="n"/>
      <c r="S85" s="1312" t="n"/>
    </row>
    <row r="86" ht="12" customHeight="1" s="1158">
      <c r="A86" s="1312" t="n"/>
      <c r="B86" s="1312" t="n"/>
      <c r="C86" s="1312" t="n"/>
      <c r="D86" s="1312" t="n"/>
      <c r="E86" s="1312" t="n"/>
      <c r="F86" s="1312" t="n"/>
      <c r="G86" s="1312" t="n"/>
      <c r="H86" s="1312" t="n"/>
      <c r="I86" s="1312" t="n"/>
      <c r="J86" s="1312" t="n"/>
      <c r="K86" s="1312" t="n"/>
      <c r="L86" s="1312" t="n"/>
      <c r="M86" s="1312" t="n"/>
      <c r="N86" s="1312" t="n"/>
      <c r="O86" s="1312" t="n"/>
      <c r="P86" s="1312" t="n"/>
      <c r="Q86" s="1312" t="n"/>
      <c r="R86" s="1312" t="n"/>
      <c r="S86" s="1312" t="n"/>
    </row>
    <row r="87" ht="12" customHeight="1" s="1158">
      <c r="A87" s="1312" t="n"/>
      <c r="B87" s="1312" t="n"/>
      <c r="C87" s="1312" t="n"/>
      <c r="D87" s="1312" t="n"/>
      <c r="E87" s="1312" t="n"/>
      <c r="F87" s="1312" t="n"/>
      <c r="G87" s="1312" t="n"/>
      <c r="H87" s="1312" t="n"/>
      <c r="I87" s="1312" t="n"/>
      <c r="J87" s="1312" t="n"/>
      <c r="K87" s="1312" t="n"/>
      <c r="L87" s="1312" t="n"/>
      <c r="M87" s="1312" t="n"/>
      <c r="N87" s="1312" t="n"/>
      <c r="O87" s="1312" t="n"/>
      <c r="P87" s="1312" t="n"/>
      <c r="Q87" s="1312" t="n"/>
      <c r="R87" s="1312" t="n"/>
      <c r="S87" s="1312" t="n"/>
    </row>
    <row r="88" ht="12" customHeight="1" s="1158">
      <c r="A88" s="1312" t="n"/>
      <c r="B88" s="1312" t="n"/>
      <c r="C88" s="1312" t="n"/>
      <c r="D88" s="1312" t="n"/>
      <c r="E88" s="1312" t="n"/>
      <c r="F88" s="1312" t="n"/>
      <c r="G88" s="1312" t="n"/>
      <c r="H88" s="1312" t="n"/>
      <c r="I88" s="1312" t="n"/>
      <c r="J88" s="1312" t="n"/>
      <c r="K88" s="1312" t="n"/>
      <c r="L88" s="1312" t="n"/>
      <c r="M88" s="1312" t="n"/>
      <c r="N88" s="1312" t="n"/>
      <c r="O88" s="1312" t="n"/>
      <c r="P88" s="1312" t="n"/>
      <c r="Q88" s="1312" t="n"/>
      <c r="R88" s="1312" t="n"/>
      <c r="S88" s="1312" t="n"/>
    </row>
    <row r="89" ht="12" customHeight="1" s="1158">
      <c r="A89" s="1312" t="n"/>
      <c r="B89" s="1312" t="n"/>
      <c r="C89" s="1312" t="n"/>
      <c r="D89" s="1312" t="n"/>
      <c r="E89" s="1312" t="n"/>
      <c r="F89" s="1312" t="n"/>
      <c r="G89" s="1312" t="n"/>
      <c r="H89" s="1312" t="n"/>
      <c r="I89" s="1312" t="n"/>
      <c r="J89" s="1312" t="n"/>
      <c r="K89" s="1312" t="n"/>
      <c r="L89" s="1312" t="n"/>
      <c r="M89" s="1312" t="n"/>
      <c r="N89" s="1312" t="n"/>
      <c r="O89" s="1312" t="n"/>
      <c r="P89" s="1312" t="n"/>
      <c r="Q89" s="1312" t="n"/>
      <c r="R89" s="1312" t="n"/>
      <c r="S89" s="1312" t="n"/>
    </row>
    <row r="90" ht="12" customHeight="1" s="1158">
      <c r="A90" s="1312" t="n"/>
      <c r="B90" s="1312" t="n"/>
      <c r="C90" s="1312" t="n"/>
      <c r="D90" s="1312" t="n"/>
      <c r="E90" s="1312" t="n"/>
      <c r="F90" s="1312" t="n"/>
      <c r="G90" s="1312" t="n"/>
      <c r="H90" s="1312" t="n"/>
      <c r="I90" s="1312" t="n"/>
      <c r="J90" s="1312" t="n"/>
      <c r="K90" s="1312" t="n"/>
      <c r="L90" s="1312" t="n"/>
      <c r="M90" s="1312" t="n"/>
      <c r="N90" s="1312" t="n"/>
      <c r="O90" s="1312" t="n"/>
      <c r="P90" s="1312" t="n"/>
      <c r="Q90" s="1312" t="n"/>
      <c r="R90" s="1312" t="n"/>
      <c r="S90" s="1312" t="n"/>
    </row>
    <row r="91" ht="12" customHeight="1" s="1158">
      <c r="A91" s="1312" t="n"/>
      <c r="B91" s="1312" t="n"/>
      <c r="C91" s="1312" t="n"/>
      <c r="D91" s="1312" t="n"/>
      <c r="E91" s="1312" t="n"/>
      <c r="F91" s="1312" t="n"/>
      <c r="G91" s="1312" t="n"/>
      <c r="H91" s="1312" t="n"/>
      <c r="I91" s="1312" t="n"/>
      <c r="J91" s="1312" t="n"/>
      <c r="K91" s="1312" t="n"/>
      <c r="L91" s="1312" t="n"/>
      <c r="M91" s="1312" t="n"/>
      <c r="N91" s="1312" t="n"/>
      <c r="O91" s="1312" t="n"/>
      <c r="P91" s="1312" t="n"/>
      <c r="Q91" s="1312" t="n"/>
      <c r="R91" s="1312" t="n"/>
      <c r="S91" s="1312" t="n"/>
    </row>
    <row r="92" ht="12" customHeight="1" s="1158">
      <c r="A92" s="1312" t="n"/>
      <c r="B92" s="1312" t="n"/>
      <c r="C92" s="1312" t="n"/>
      <c r="D92" s="1312" t="n"/>
      <c r="E92" s="1312" t="n"/>
      <c r="F92" s="1312" t="n"/>
      <c r="G92" s="1312" t="n"/>
      <c r="H92" s="1312" t="n"/>
      <c r="I92" s="1312" t="n"/>
      <c r="J92" s="1312" t="n"/>
      <c r="K92" s="1312" t="n"/>
      <c r="L92" s="1312" t="n"/>
      <c r="M92" s="1312" t="n"/>
      <c r="N92" s="1312" t="n"/>
      <c r="O92" s="1312" t="n"/>
      <c r="P92" s="1312" t="n"/>
      <c r="Q92" s="1312" t="n"/>
      <c r="R92" s="1312" t="n"/>
      <c r="S92" s="1312" t="n"/>
    </row>
    <row r="93" ht="12" customHeight="1" s="1158">
      <c r="A93" s="1312" t="n"/>
      <c r="B93" s="1312" t="n"/>
      <c r="C93" s="1312" t="n"/>
      <c r="D93" s="1312" t="n"/>
      <c r="E93" s="1312" t="n"/>
      <c r="F93" s="1312" t="n"/>
      <c r="G93" s="1312" t="n"/>
      <c r="H93" s="1312" t="n"/>
      <c r="I93" s="1312" t="n"/>
      <c r="J93" s="1312" t="n"/>
      <c r="K93" s="1312" t="n"/>
      <c r="L93" s="1312" t="n"/>
      <c r="M93" s="1312" t="n"/>
      <c r="N93" s="1312" t="n"/>
      <c r="O93" s="1312" t="n"/>
      <c r="P93" s="1312" t="n"/>
      <c r="Q93" s="1312" t="n"/>
      <c r="R93" s="1312" t="n"/>
      <c r="S93" s="1312" t="n"/>
    </row>
    <row r="94" ht="12" customHeight="1" s="1158">
      <c r="A94" s="1312" t="n"/>
      <c r="B94" s="1312" t="n"/>
      <c r="C94" s="1312" t="n"/>
      <c r="D94" s="1312" t="n"/>
      <c r="E94" s="1312" t="n"/>
      <c r="F94" s="1312" t="n"/>
      <c r="G94" s="1312" t="n"/>
      <c r="H94" s="1312" t="n"/>
      <c r="I94" s="1312" t="n"/>
      <c r="J94" s="1312" t="n"/>
      <c r="K94" s="1312" t="n"/>
      <c r="L94" s="1312" t="n"/>
      <c r="M94" s="1312" t="n"/>
      <c r="N94" s="1312" t="n"/>
      <c r="O94" s="1312" t="n"/>
      <c r="P94" s="1312" t="n"/>
      <c r="Q94" s="1312" t="n"/>
      <c r="R94" s="1312" t="n"/>
      <c r="S94" s="1312" t="n"/>
    </row>
    <row r="95" ht="12" customHeight="1" s="1158">
      <c r="A95" s="1312" t="n"/>
      <c r="B95" s="1312" t="n"/>
      <c r="C95" s="1312" t="n"/>
      <c r="D95" s="1312" t="n"/>
      <c r="E95" s="1312" t="n"/>
      <c r="F95" s="1312" t="n"/>
      <c r="G95" s="1312" t="n"/>
      <c r="H95" s="1312" t="n"/>
      <c r="I95" s="1312" t="n"/>
      <c r="J95" s="1312" t="n"/>
      <c r="K95" s="1312" t="n"/>
      <c r="L95" s="1312" t="n"/>
      <c r="M95" s="1312" t="n"/>
      <c r="N95" s="1312" t="n"/>
      <c r="O95" s="1312" t="n"/>
      <c r="P95" s="1312" t="n"/>
      <c r="Q95" s="1312" t="n"/>
      <c r="R95" s="1312" t="n"/>
      <c r="S95" s="1312" t="n"/>
    </row>
    <row r="96" ht="12" customHeight="1" s="1158">
      <c r="A96" s="1312" t="n"/>
      <c r="B96" s="1312" t="n"/>
      <c r="C96" s="1312" t="n"/>
      <c r="D96" s="1312" t="n"/>
      <c r="E96" s="1312" t="n"/>
      <c r="F96" s="1312" t="n"/>
      <c r="G96" s="1312" t="n"/>
      <c r="H96" s="1312" t="n"/>
      <c r="I96" s="1312" t="n"/>
      <c r="J96" s="1312" t="n"/>
      <c r="K96" s="1312" t="n"/>
      <c r="L96" s="1312" t="n"/>
      <c r="M96" s="1312" t="n"/>
      <c r="N96" s="1312" t="n"/>
      <c r="O96" s="1312" t="n"/>
      <c r="P96" s="1312" t="n"/>
      <c r="Q96" s="1312" t="n"/>
      <c r="R96" s="1312" t="n"/>
      <c r="S96" s="1312" t="n"/>
    </row>
    <row r="97" ht="12" customHeight="1" s="1158">
      <c r="A97" s="1312" t="n"/>
      <c r="B97" s="1312" t="n"/>
      <c r="C97" s="1312" t="n"/>
      <c r="D97" s="1312" t="n"/>
      <c r="E97" s="1312" t="n"/>
      <c r="F97" s="1312" t="n"/>
      <c r="G97" s="1312" t="n"/>
      <c r="H97" s="1312" t="n"/>
      <c r="I97" s="1312" t="n"/>
      <c r="J97" s="1312" t="n"/>
      <c r="K97" s="1312" t="n"/>
      <c r="L97" s="1312" t="n"/>
      <c r="M97" s="1312" t="n"/>
      <c r="N97" s="1312" t="n"/>
      <c r="O97" s="1312" t="n"/>
      <c r="P97" s="1312" t="n"/>
      <c r="Q97" s="1312" t="n"/>
      <c r="R97" s="1312" t="n"/>
      <c r="S97" s="1312" t="n"/>
    </row>
    <row r="98" ht="12" customHeight="1" s="1158">
      <c r="A98" s="1312" t="n"/>
      <c r="B98" s="1312" t="n"/>
      <c r="C98" s="1312" t="n"/>
      <c r="D98" s="1312" t="n"/>
      <c r="E98" s="1312" t="n"/>
      <c r="F98" s="1312" t="n"/>
      <c r="G98" s="1312" t="n"/>
      <c r="H98" s="1312" t="n"/>
      <c r="I98" s="1312" t="n"/>
      <c r="J98" s="1312" t="n"/>
      <c r="K98" s="1312" t="n"/>
      <c r="L98" s="1312" t="n"/>
      <c r="M98" s="1312" t="n"/>
      <c r="N98" s="1312" t="n"/>
      <c r="O98" s="1312" t="n"/>
      <c r="P98" s="1312" t="n"/>
      <c r="Q98" s="1312" t="n"/>
      <c r="R98" s="1312" t="n"/>
      <c r="S98" s="1312" t="n"/>
    </row>
    <row r="99" ht="12" customHeight="1" s="1158">
      <c r="A99" s="1312" t="n"/>
      <c r="B99" s="1312" t="n"/>
      <c r="C99" s="1312" t="n"/>
      <c r="D99" s="1312" t="n"/>
      <c r="E99" s="1312" t="n"/>
      <c r="F99" s="1312" t="n"/>
      <c r="G99" s="1312" t="n"/>
      <c r="H99" s="1312" t="n"/>
      <c r="I99" s="1312" t="n"/>
      <c r="J99" s="1312" t="n"/>
      <c r="K99" s="1312" t="n"/>
      <c r="L99" s="1312" t="n"/>
      <c r="M99" s="1312" t="n"/>
      <c r="N99" s="1312" t="n"/>
      <c r="O99" s="1312" t="n"/>
      <c r="P99" s="1312" t="n"/>
      <c r="Q99" s="1312" t="n"/>
      <c r="R99" s="1312" t="n"/>
      <c r="S99" s="1312" t="n"/>
    </row>
    <row r="100" ht="12" customHeight="1" s="1158">
      <c r="A100" s="1312" t="n"/>
      <c r="B100" s="1312" t="n"/>
      <c r="C100" s="1312" t="n"/>
      <c r="D100" s="1312" t="n"/>
      <c r="E100" s="1312" t="n"/>
      <c r="F100" s="1312" t="n"/>
      <c r="G100" s="1312" t="n"/>
      <c r="H100" s="1312" t="n"/>
      <c r="I100" s="1312" t="n"/>
      <c r="J100" s="1312" t="n"/>
      <c r="K100" s="1312" t="n"/>
      <c r="L100" s="1312" t="n"/>
      <c r="M100" s="1312" t="n"/>
      <c r="N100" s="1312" t="n"/>
      <c r="O100" s="1312" t="n"/>
      <c r="P100" s="1312" t="n"/>
      <c r="Q100" s="1312" t="n"/>
      <c r="R100" s="1312" t="n"/>
      <c r="S100" s="1312" t="n"/>
    </row>
    <row r="101" ht="12" customHeight="1" s="1158">
      <c r="A101" s="1312" t="n"/>
      <c r="B101" s="1312" t="n"/>
      <c r="C101" s="1312" t="n"/>
      <c r="D101" s="1312" t="n"/>
      <c r="E101" s="1312" t="n"/>
      <c r="F101" s="1312" t="n"/>
      <c r="G101" s="1312" t="n"/>
      <c r="H101" s="1312" t="n"/>
      <c r="I101" s="1312" t="n"/>
      <c r="J101" s="1312" t="n"/>
      <c r="K101" s="1312" t="n"/>
      <c r="L101" s="1312" t="n"/>
      <c r="M101" s="1312" t="n"/>
      <c r="N101" s="1312" t="n"/>
      <c r="O101" s="1312" t="n"/>
      <c r="P101" s="1312" t="n"/>
      <c r="Q101" s="1312" t="n"/>
      <c r="R101" s="1312" t="n"/>
      <c r="S101" s="1312" t="n"/>
    </row>
    <row r="102" ht="12" customHeight="1" s="1158">
      <c r="A102" s="1312" t="n"/>
      <c r="B102" s="1312" t="n"/>
      <c r="C102" s="1312" t="n"/>
      <c r="D102" s="1312" t="n"/>
      <c r="E102" s="1312" t="n"/>
      <c r="F102" s="1312" t="n"/>
      <c r="G102" s="1312" t="n"/>
      <c r="H102" s="1312" t="n"/>
      <c r="I102" s="1312" t="n"/>
      <c r="J102" s="1312" t="n"/>
      <c r="K102" s="1312" t="n"/>
      <c r="L102" s="1312" t="n"/>
      <c r="M102" s="1312" t="n"/>
      <c r="N102" s="1312" t="n"/>
      <c r="O102" s="1312" t="n"/>
      <c r="P102" s="1312" t="n"/>
      <c r="Q102" s="1312" t="n"/>
      <c r="R102" s="1312" t="n"/>
      <c r="S102" s="1312" t="n"/>
    </row>
    <row r="103" ht="12" customHeight="1" s="1158">
      <c r="A103" s="1312" t="n"/>
      <c r="B103" s="1312" t="n"/>
      <c r="C103" s="1312" t="n"/>
      <c r="D103" s="1312" t="n"/>
      <c r="E103" s="1312" t="n"/>
      <c r="F103" s="1312" t="n"/>
      <c r="G103" s="1312" t="n"/>
      <c r="H103" s="1312" t="n"/>
      <c r="I103" s="1312" t="n"/>
      <c r="J103" s="1312" t="n"/>
      <c r="K103" s="1312" t="n"/>
      <c r="L103" s="1312" t="n"/>
      <c r="M103" s="1312" t="n"/>
      <c r="N103" s="1312" t="n"/>
      <c r="O103" s="1312" t="n"/>
      <c r="P103" s="1312" t="n"/>
      <c r="Q103" s="1312" t="n"/>
      <c r="R103" s="1312" t="n"/>
      <c r="S103" s="1312" t="n"/>
    </row>
    <row r="104" ht="12" customHeight="1" s="1158">
      <c r="A104" s="1312" t="n"/>
      <c r="B104" s="1312" t="n"/>
      <c r="C104" s="1312" t="n"/>
      <c r="D104" s="1312" t="n"/>
      <c r="E104" s="1312" t="n"/>
      <c r="F104" s="1312" t="n"/>
      <c r="G104" s="1312" t="n"/>
      <c r="H104" s="1312" t="n"/>
      <c r="I104" s="1312" t="n"/>
      <c r="J104" s="1312" t="n"/>
      <c r="K104" s="1312" t="n"/>
      <c r="L104" s="1312" t="n"/>
      <c r="M104" s="1312" t="n"/>
      <c r="N104" s="1312" t="n"/>
      <c r="O104" s="1312" t="n"/>
      <c r="P104" s="1312" t="n"/>
      <c r="Q104" s="1312" t="n"/>
      <c r="R104" s="1312" t="n"/>
      <c r="S104" s="1312" t="n"/>
    </row>
    <row r="105" ht="12" customHeight="1" s="1158">
      <c r="A105" s="1312" t="n"/>
      <c r="B105" s="1312" t="n"/>
      <c r="C105" s="1312" t="n"/>
      <c r="D105" s="1312" t="n"/>
      <c r="E105" s="1312" t="n"/>
      <c r="F105" s="1312" t="n"/>
      <c r="G105" s="1312" t="n"/>
      <c r="H105" s="1312" t="n"/>
      <c r="I105" s="1312" t="n"/>
      <c r="J105" s="1312" t="n"/>
      <c r="K105" s="1312" t="n"/>
      <c r="L105" s="1312" t="n"/>
      <c r="M105" s="1312" t="n"/>
      <c r="N105" s="1312" t="n"/>
      <c r="O105" s="1312" t="n"/>
      <c r="P105" s="1312" t="n"/>
      <c r="Q105" s="1312" t="n"/>
      <c r="R105" s="1312" t="n"/>
      <c r="S105" s="1312" t="n"/>
    </row>
    <row r="106" ht="12" customHeight="1" s="1158">
      <c r="A106" s="1312" t="n"/>
      <c r="B106" s="1312" t="n"/>
      <c r="C106" s="1312" t="n"/>
      <c r="D106" s="1312" t="n"/>
      <c r="E106" s="1312" t="n"/>
      <c r="F106" s="1312" t="n"/>
      <c r="G106" s="1312" t="n"/>
      <c r="H106" s="1312" t="n"/>
      <c r="I106" s="1312" t="n"/>
      <c r="J106" s="1312" t="n"/>
      <c r="K106" s="1312" t="n"/>
      <c r="L106" s="1312" t="n"/>
      <c r="M106" s="1312" t="n"/>
      <c r="N106" s="1312" t="n"/>
      <c r="O106" s="1312" t="n"/>
      <c r="P106" s="1312" t="n"/>
      <c r="Q106" s="1312" t="n"/>
      <c r="R106" s="1312" t="n"/>
      <c r="S106" s="1312" t="n"/>
    </row>
    <row r="107" ht="12" customHeight="1" s="1158">
      <c r="A107" s="1312" t="n"/>
      <c r="B107" s="1312" t="n"/>
      <c r="C107" s="1312" t="n"/>
      <c r="D107" s="1312" t="n"/>
      <c r="E107" s="1312" t="n"/>
      <c r="F107" s="1312" t="n"/>
      <c r="G107" s="1312" t="n"/>
      <c r="H107" s="1312" t="n"/>
      <c r="I107" s="1312" t="n"/>
      <c r="J107" s="1312" t="n"/>
      <c r="K107" s="1312" t="n"/>
      <c r="L107" s="1312" t="n"/>
      <c r="M107" s="1312" t="n"/>
      <c r="N107" s="1312" t="n"/>
      <c r="O107" s="1312" t="n"/>
      <c r="P107" s="1312" t="n"/>
      <c r="Q107" s="1312" t="n"/>
      <c r="R107" s="1312" t="n"/>
      <c r="S107" s="1312"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AE60:AK61"/>
    <mergeCell ref="E60:L60"/>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K8:L8"/>
    <mergeCell ref="A64:S6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C5" activeCellId="1" sqref="A11:S58 C5"/>
    </sheetView>
  </sheetViews>
  <sheetFormatPr baseColWidth="8" defaultColWidth="9.3359375" defaultRowHeight="13.5" customHeight="0" zeroHeight="0" outlineLevelRow="0"/>
  <cols>
    <col width="7.33" customWidth="1" style="1313" min="1" max="1"/>
    <col width="6.78" customWidth="1" style="1313" min="2" max="2"/>
    <col width="50.11" customWidth="1" style="1313" min="3" max="3"/>
    <col width="14.89" customWidth="1" style="1313" min="4" max="4"/>
    <col width="9.33" customWidth="1" style="1313" min="5" max="5"/>
    <col width="15.11" customWidth="1" style="1313" min="6" max="6"/>
    <col width="9.33" customWidth="1" style="1313" min="7" max="16384"/>
  </cols>
  <sheetData>
    <row r="1" ht="63" customHeight="1" s="1158">
      <c r="A1" s="1314" t="n"/>
      <c r="B1" s="1315" t="n"/>
      <c r="C1" s="1315" t="n"/>
      <c r="D1" s="1315" t="n"/>
      <c r="E1" s="1315" t="n"/>
      <c r="F1" s="1316" t="n"/>
    </row>
    <row r="2" ht="13.5" customHeight="1" s="1158">
      <c r="A2" s="1317" t="inlineStr">
        <is>
          <t>Final Proforma Invoice</t>
        </is>
      </c>
      <c r="B2" s="1162" t="n"/>
      <c r="C2" s="1162" t="n"/>
      <c r="D2" s="1162" t="n"/>
      <c r="E2" s="1162" t="n"/>
      <c r="F2" s="1163" t="n"/>
    </row>
    <row r="3" ht="14.9" customHeight="1" s="1158">
      <c r="A3" s="1318" t="inlineStr">
        <is>
          <t>Rig</t>
        </is>
      </c>
      <c r="B3" s="1319" t="n"/>
      <c r="C3" s="1320">
        <f>'Master Data'!E11</f>
        <v/>
      </c>
      <c r="D3" s="1321" t="inlineStr">
        <is>
          <t>DT</t>
        </is>
      </c>
      <c r="E3" s="1322">
        <f>'Master Data'!B15</f>
        <v/>
      </c>
      <c r="F3" s="1323" t="n"/>
    </row>
    <row r="4" ht="14.9" customHeight="1" s="1158">
      <c r="A4" s="1324" t="inlineStr">
        <is>
          <t>Well</t>
        </is>
      </c>
      <c r="C4" s="1325">
        <f>'Master Data'!E10</f>
        <v/>
      </c>
      <c r="D4" s="1326" t="inlineStr">
        <is>
          <t>PO</t>
        </is>
      </c>
      <c r="E4" s="1327">
        <f>'Master Data'!B11</f>
        <v/>
      </c>
      <c r="F4" s="1272" t="n"/>
    </row>
    <row r="5" ht="14.9" customHeight="1" s="1158">
      <c r="A5" s="1324" t="inlineStr">
        <is>
          <t>Job</t>
        </is>
      </c>
      <c r="C5" s="1328">
        <f>'Master Data'!E3</f>
        <v/>
      </c>
      <c r="D5" s="1326" t="inlineStr">
        <is>
          <t>Contract</t>
        </is>
      </c>
      <c r="E5" s="1327">
        <f>'Master Data'!B10</f>
        <v/>
      </c>
      <c r="F5" s="1272" t="n"/>
    </row>
    <row r="6" ht="14.9" customHeight="1" s="1158">
      <c r="A6" s="1329" t="n"/>
      <c r="B6" s="1330" t="n"/>
      <c r="C6" s="1330" t="n"/>
      <c r="D6" s="1328" t="inlineStr">
        <is>
          <t>Customer</t>
        </is>
      </c>
      <c r="E6" s="1331">
        <f>'Master Data'!B3</f>
        <v/>
      </c>
      <c r="F6" s="1332" t="n"/>
    </row>
    <row r="7" ht="14.9" customFormat="1" customHeight="1" s="1333">
      <c r="A7" s="1334" t="inlineStr">
        <is>
          <t>S.No.</t>
        </is>
      </c>
      <c r="B7" s="1335" t="inlineStr">
        <is>
          <t>Description</t>
        </is>
      </c>
      <c r="C7" s="1330" t="n"/>
      <c r="D7" s="1336" t="inlineStr">
        <is>
          <t>Per Day Rate $</t>
        </is>
      </c>
      <c r="E7" s="1336" t="inlineStr">
        <is>
          <t># Days</t>
        </is>
      </c>
      <c r="F7" s="1337" t="inlineStr">
        <is>
          <t>Total</t>
        </is>
      </c>
      <c r="H7" s="1333" t="inlineStr">
        <is>
          <t>,</t>
        </is>
      </c>
    </row>
    <row r="8" ht="33" customHeight="1" s="1158">
      <c r="A8" s="1338" t="n">
        <v>1</v>
      </c>
      <c r="B8" s="1339" t="inlineStr">
        <is>
          <t xml:space="preserve">Table1, P1 | SERVICE ENGINEER RIG SITE
COMPLETION ENG: 5 DAYS , TRSV ENG:3 DAYS </t>
        </is>
      </c>
      <c r="C8" s="1340" t="n"/>
      <c r="D8" s="1341" t="n">
        <v>1124</v>
      </c>
      <c r="E8" s="1342" t="n">
        <v>8</v>
      </c>
      <c r="F8" s="1343">
        <f>D8*E8</f>
        <v/>
      </c>
    </row>
    <row r="9" ht="33" customHeight="1" s="1158">
      <c r="A9" s="1344" t="n">
        <v>2</v>
      </c>
      <c r="B9" s="1345" t="inlineStr">
        <is>
          <t>Table15, S1 | SUB ASSEMBLY MAKE UP</t>
        </is>
      </c>
      <c r="C9" s="1278" t="n"/>
      <c r="D9" s="1341" t="n">
        <v>9384.379999999999</v>
      </c>
      <c r="E9" s="1346" t="n">
        <v>1</v>
      </c>
      <c r="F9" s="1343">
        <f>D9*E9</f>
        <v/>
      </c>
    </row>
    <row r="10" ht="33" customHeight="1" s="1158">
      <c r="A10" s="1344" t="n">
        <v>3</v>
      </c>
      <c r="B10" s="1345" t="inlineStr">
        <is>
          <t>Table15, S2 | ASSEMBLY PRESSURE TEST</t>
        </is>
      </c>
      <c r="C10" s="1278" t="n"/>
      <c r="D10" s="1341" t="n">
        <v>4933.5</v>
      </c>
      <c r="E10" s="1346" t="n">
        <v>1</v>
      </c>
      <c r="F10" s="1343">
        <f>D10*E10</f>
        <v/>
      </c>
    </row>
    <row r="11" ht="33" customHeight="1" s="1158">
      <c r="A11" s="1344" t="n">
        <v>4</v>
      </c>
      <c r="B11" s="1345" t="inlineStr">
        <is>
          <t>Table15, S3 | TRANSPORTATION</t>
        </is>
      </c>
      <c r="C11" s="1278" t="n"/>
      <c r="D11" s="1341" t="n">
        <v>3289</v>
      </c>
      <c r="E11" s="1346" t="n">
        <v>1</v>
      </c>
      <c r="F11" s="1343">
        <f>D11*E11</f>
        <v/>
      </c>
    </row>
    <row r="12" ht="33" customHeight="1" s="1158">
      <c r="A12" s="1344" t="n">
        <v>5</v>
      </c>
      <c r="B12" s="1345" t="inlineStr">
        <is>
          <t>Table15, S4 | RUNNING/INSTALLATION SERV.</t>
        </is>
      </c>
      <c r="C12" s="1278" t="n"/>
      <c r="D12" s="1341" t="n">
        <v>14550.25</v>
      </c>
      <c r="E12" s="1346" t="n">
        <v>1</v>
      </c>
      <c r="F12" s="1343">
        <f>D12*E12</f>
        <v/>
      </c>
    </row>
    <row r="13" ht="33" customHeight="1" s="1158">
      <c r="A13" s="1344" t="n">
        <v>6</v>
      </c>
      <c r="B13" s="1345" t="inlineStr">
        <is>
          <t>Table6, A24 | PIP TAG</t>
        </is>
      </c>
      <c r="C13" s="1278" t="n"/>
      <c r="D13" s="1347" t="n">
        <v>12600</v>
      </c>
      <c r="E13" s="1348" t="n">
        <v>0.5</v>
      </c>
      <c r="F13" s="1349">
        <f>D13*E13</f>
        <v/>
      </c>
    </row>
    <row r="14" ht="33" customHeight="1" s="1158">
      <c r="A14" s="1344" t="n"/>
      <c r="B14" s="1345" t="n"/>
      <c r="C14" s="1278" t="n"/>
      <c r="D14" s="1347" t="n"/>
      <c r="E14" s="1350" t="n"/>
      <c r="F14" s="1349" t="n"/>
    </row>
    <row r="15" ht="19.5" customHeight="1" s="1158">
      <c r="A15" s="1351" t="inlineStr">
        <is>
          <t>DS Signature and Stamp                                       Weatherford Service Eng.</t>
        </is>
      </c>
      <c r="B15" s="1352" t="n"/>
      <c r="C15" s="1353" t="n"/>
      <c r="D15" s="1354" t="inlineStr">
        <is>
          <t>Gross Value $</t>
        </is>
      </c>
      <c r="E15" s="1278" t="n"/>
      <c r="F15" s="1355">
        <f>SUM(F8:F14)</f>
        <v/>
      </c>
    </row>
    <row r="16" ht="19.5" customHeight="1" s="1158">
      <c r="A16" s="1311" t="n"/>
      <c r="B16" s="1297" t="n"/>
      <c r="C16" s="1356" t="n"/>
      <c r="D16" s="1354" t="n"/>
      <c r="E16" s="1278" t="n"/>
      <c r="F16" s="1355" t="n"/>
    </row>
    <row r="17" ht="19.5" customHeight="1" s="1158">
      <c r="A17" s="1307" t="n"/>
      <c r="B17" s="1308" t="n"/>
      <c r="C17" s="1357" t="n"/>
      <c r="D17" s="1358" t="inlineStr">
        <is>
          <t>Net Invoice Value $</t>
        </is>
      </c>
      <c r="E17" s="1359" t="n"/>
      <c r="F17" s="1360">
        <f>F16+F15</f>
        <v/>
      </c>
    </row>
    <row r="18" ht="13.5" customHeight="1" s="1158">
      <c r="C18" s="1361" t="n"/>
      <c r="F18" s="1362" t="n"/>
    </row>
    <row r="19" ht="13.5" customHeight="1" s="1158">
      <c r="F19" s="1362" t="n"/>
    </row>
    <row r="20" ht="13.5" customHeight="1" s="1158">
      <c r="F20" s="1362"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H6" activeCellId="1" sqref="A11:S58 H6"/>
    </sheetView>
  </sheetViews>
  <sheetFormatPr baseColWidth="8" defaultColWidth="9.11328125" defaultRowHeight="14.25" customHeight="0" zeroHeight="0" outlineLevelRow="0"/>
  <cols>
    <col width="2.11" customWidth="1" style="1207" min="1" max="1"/>
    <col width="14" customWidth="1" style="1207" min="2" max="2"/>
    <col width="22.44" customWidth="1" style="1207" min="3" max="3"/>
    <col width="39.11" customWidth="1" style="1207" min="4" max="4"/>
    <col width="8.67" customWidth="1" style="1207" min="5" max="5"/>
    <col width="9.56" customWidth="1" style="1207" min="6" max="6"/>
    <col width="32.45" customWidth="1" style="1207" min="7" max="7"/>
    <col width="35.33" customWidth="1" style="1207" min="8" max="8"/>
    <col width="17" customWidth="1" style="1207" min="9" max="9"/>
    <col width="0.33" customWidth="1" style="1207" min="11" max="11"/>
  </cols>
  <sheetData>
    <row r="1" ht="4.5" customHeight="1" s="1158"/>
    <row r="2" ht="15" customHeight="1" s="1158">
      <c r="B2" s="1363" t="inlineStr">
        <is>
          <t>ADNOC</t>
        </is>
      </c>
      <c r="C2" s="1319" t="n"/>
      <c r="D2" s="1319" t="n"/>
      <c r="E2" s="1364" t="n"/>
      <c r="F2" s="1365" t="inlineStr">
        <is>
          <t xml:space="preserve">Doc No: FO-ADC-DMET-COMP-Rev1 </t>
        </is>
      </c>
      <c r="G2" s="1364" t="n"/>
      <c r="H2" s="1365" t="inlineStr">
        <is>
          <t>Doc Owner: ADNOC DMET TEAM</t>
        </is>
      </c>
      <c r="I2" s="1366" t="n"/>
    </row>
    <row r="3" ht="15" customHeight="1" s="1158">
      <c r="B3" s="1367" t="inlineStr">
        <is>
          <t xml:space="preserve"> KEY PERFORMANCE INDICTOR " KPI"</t>
        </is>
      </c>
      <c r="C3" s="1193" t="n"/>
      <c r="D3" s="1193" t="n"/>
      <c r="E3" s="1193" t="n"/>
      <c r="F3" s="1207" t="inlineStr">
        <is>
          <t>CONTRACTORS PEFORMANCE TRAKER / JOB EVALUATION</t>
        </is>
      </c>
      <c r="G3" s="1368" t="n"/>
      <c r="H3" s="1369" t="n"/>
      <c r="I3" s="1370" t="n"/>
    </row>
    <row r="4" ht="15" customHeight="1" s="1158">
      <c r="B4" s="1371" t="inlineStr">
        <is>
          <t>Job Type :</t>
        </is>
      </c>
      <c r="C4" s="1168" t="n"/>
      <c r="D4" s="1372">
        <f>'Master Data'!E4</f>
        <v/>
      </c>
      <c r="E4" s="1373" t="inlineStr">
        <is>
          <t xml:space="preserve">Job Completed Scussfuly </t>
        </is>
      </c>
      <c r="F4" s="1323" t="n"/>
      <c r="G4" s="1374" t="inlineStr">
        <is>
          <t>Service Provider :</t>
        </is>
      </c>
      <c r="H4" s="1218">
        <f>'Master Data'!B18</f>
        <v/>
      </c>
      <c r="I4" s="1370" t="n"/>
    </row>
    <row r="5" ht="14.25" customHeight="1" s="1158">
      <c r="B5" s="1371" t="inlineStr">
        <is>
          <t>Rig Name :</t>
        </is>
      </c>
      <c r="C5" s="1168" t="n"/>
      <c r="D5" s="1372">
        <f>'Master Data'!E11</f>
        <v/>
      </c>
      <c r="E5" s="1375" t="n"/>
      <c r="F5" s="1272" t="n"/>
      <c r="G5" s="1376" t="inlineStr">
        <is>
          <t>Contractor's Rep. Lead :</t>
        </is>
      </c>
      <c r="H5" s="1218">
        <f>'Master Data'!B21</f>
        <v/>
      </c>
      <c r="I5" s="1370" t="n"/>
    </row>
    <row r="6" ht="15" customHeight="1" s="1158">
      <c r="B6" s="1371" t="inlineStr">
        <is>
          <t>Well No:</t>
        </is>
      </c>
      <c r="C6" s="1168" t="n"/>
      <c r="D6" s="1372">
        <f>'Master Data'!E10</f>
        <v/>
      </c>
      <c r="E6" s="1375" t="n"/>
      <c r="F6" s="1272" t="n"/>
      <c r="G6" s="1374" t="inlineStr">
        <is>
          <t>Crew 1</t>
        </is>
      </c>
      <c r="H6" s="1218">
        <f>'Master Data'!H4</f>
        <v/>
      </c>
      <c r="I6" s="1370" t="n"/>
    </row>
    <row r="7" ht="14.25" customHeight="1" s="1158">
      <c r="B7" s="1371" t="inlineStr">
        <is>
          <t>ADNOC Rep. :</t>
        </is>
      </c>
      <c r="C7" s="1168" t="n"/>
      <c r="D7" s="1372">
        <f>'Master Data'!B4</f>
        <v/>
      </c>
      <c r="E7" s="1375" t="n"/>
      <c r="F7" s="1272" t="n"/>
      <c r="G7" s="1374" t="inlineStr">
        <is>
          <t>Crew 2</t>
        </is>
      </c>
      <c r="H7" s="1377">
        <f>'Master Data'!H8</f>
        <v/>
      </c>
      <c r="I7" s="1370" t="n"/>
    </row>
    <row r="8" ht="15" customHeight="1" s="1158">
      <c r="B8" s="1371" t="inlineStr">
        <is>
          <t xml:space="preserve">Job Duration </t>
        </is>
      </c>
      <c r="C8" s="1168" t="n"/>
      <c r="D8" s="1378">
        <f>ROUNDUP(INT('Master Data'!E15)-INT('Master Data'!E12),0)+1&amp;" days"</f>
        <v/>
      </c>
      <c r="E8" s="1375" t="n"/>
      <c r="F8" s="1272" t="n"/>
      <c r="G8" s="1374" t="inlineStr">
        <is>
          <t>Crew 3</t>
        </is>
      </c>
      <c r="H8" s="1377">
        <f>'Master Data'!H10</f>
        <v/>
      </c>
      <c r="I8" s="1379" t="inlineStr">
        <is>
          <t xml:space="preserve">Date </t>
        </is>
      </c>
    </row>
    <row r="9" ht="14.25" customHeight="1" s="1158">
      <c r="B9" s="1380" t="inlineStr">
        <is>
          <t>Period from / to (Date):</t>
        </is>
      </c>
      <c r="C9" s="1184" t="n"/>
      <c r="D9" s="1381">
        <f>"from "&amp;TEXT('Master Data'!E12,"dd/mmm/yy")&amp;"  to "&amp;TEXT('Master Data'!E15,"dd/mmm/yy")</f>
        <v/>
      </c>
      <c r="E9" s="1382" t="n"/>
      <c r="F9" s="1332" t="n"/>
      <c r="G9" s="1383" t="inlineStr">
        <is>
          <t>Crew 4</t>
        </is>
      </c>
      <c r="H9" s="1377">
        <f>'Master Data'!H11</f>
        <v/>
      </c>
      <c r="I9" s="1384">
        <f>I44</f>
        <v/>
      </c>
    </row>
    <row r="10" ht="17.35" customHeight="1" s="1158">
      <c r="B10" s="1385" t="inlineStr">
        <is>
          <t>Contract Service Operation Execution KPIs</t>
        </is>
      </c>
      <c r="C10" s="1239" t="n"/>
      <c r="D10" s="1239" t="n"/>
      <c r="E10" s="1386" t="inlineStr">
        <is>
          <t xml:space="preserve">Yes </t>
        </is>
      </c>
      <c r="F10" s="1387" t="inlineStr">
        <is>
          <t xml:space="preserve">No </t>
        </is>
      </c>
      <c r="G10" s="1388" t="n"/>
      <c r="H10" s="1166" t="n"/>
      <c r="I10" s="1389" t="n"/>
    </row>
    <row r="11" ht="6" customHeight="1" s="1158">
      <c r="B11" s="1390" t="n"/>
      <c r="C11" s="1391" t="n"/>
      <c r="D11" s="1391" t="n"/>
      <c r="E11" s="1392" t="n"/>
      <c r="F11" s="1392" t="n"/>
      <c r="G11" s="1391" t="n"/>
      <c r="H11" s="1391" t="n"/>
      <c r="I11" s="1393" t="n"/>
    </row>
    <row r="12" ht="15" customHeight="1" s="1158">
      <c r="B12" s="1394" t="inlineStr">
        <is>
          <t>A) Pre- Job Documentation .</t>
        </is>
      </c>
      <c r="C12" s="1171" t="n"/>
      <c r="D12" s="1171" t="n"/>
      <c r="E12" s="1395" t="n"/>
      <c r="F12" s="1395" t="n"/>
      <c r="G12" s="1396" t="inlineStr">
        <is>
          <t xml:space="preserve">Comments </t>
        </is>
      </c>
      <c r="H12" s="1194" t="n"/>
      <c r="I12" s="1397" t="inlineStr">
        <is>
          <t xml:space="preserve">Scoring </t>
        </is>
      </c>
    </row>
    <row r="13" ht="60" customHeight="1" s="1158">
      <c r="B13" s="1398" t="inlineStr">
        <is>
          <t>1. Engineer Has the latest revision of well program detailing job procedures &amp; design , which communicated to the ADNOC completion engineer &amp; has  the job packet including the well calculation / Simulation ,Sub Assembly Report  etc. ? .</t>
        </is>
      </c>
      <c r="C13" s="1171" t="n"/>
      <c r="D13" s="1168" t="n"/>
      <c r="E13" s="1399" t="n"/>
      <c r="F13" s="1399" t="n"/>
      <c r="G13" s="1400" t="n"/>
      <c r="H13" s="1171" t="n"/>
      <c r="I13" s="1401" t="n">
        <v>0.2</v>
      </c>
      <c r="K13" s="1402" t="n">
        <v>0.07000000000000001</v>
      </c>
    </row>
    <row r="14" ht="54" customHeight="1" s="1158">
      <c r="B14" s="1398" t="inlineStr">
        <is>
          <t>2. Engineers conducted Pre-Job meeting with Technical Rep / Operation Support reviews the completion design in town &amp; have the contingency plan  in place ?</t>
        </is>
      </c>
      <c r="C14" s="1171" t="n"/>
      <c r="D14" s="1168" t="n"/>
      <c r="E14" s="1218" t="n"/>
      <c r="F14" s="1403" t="n"/>
      <c r="G14" s="1400" t="n"/>
      <c r="H14" s="1171" t="n"/>
      <c r="I14" s="1404" t="n"/>
      <c r="K14" s="1402" t="n">
        <v>0.07000000000000001</v>
      </c>
    </row>
    <row r="15" ht="30" customHeight="1" s="1158">
      <c r="B15" s="1398" t="inlineStr">
        <is>
          <t>3. Engineer Has the agreed Risk Analysis "RA/JSA" identifying each step of the operations ?</t>
        </is>
      </c>
      <c r="C15" s="1171" t="n"/>
      <c r="D15" s="1168" t="n"/>
      <c r="E15" s="1218" t="n"/>
      <c r="F15" s="1403" t="n"/>
      <c r="G15" s="1400" t="n"/>
      <c r="H15" s="1171" t="n"/>
      <c r="I15" s="1405" t="n"/>
      <c r="K15" s="1402" t="n">
        <v>0.06</v>
      </c>
    </row>
    <row r="16" ht="15" customHeight="1" s="1158">
      <c r="B16" s="1406" t="inlineStr">
        <is>
          <t xml:space="preserve">B) On site Delivered Equipment's  Check .          </t>
        </is>
      </c>
      <c r="C16" s="1171" t="n"/>
      <c r="D16" s="1171" t="n"/>
      <c r="E16" s="1171" t="n"/>
      <c r="F16" s="1171" t="n"/>
      <c r="G16" s="1171" t="n"/>
      <c r="H16" s="1171" t="n"/>
      <c r="I16" s="1172" t="n"/>
      <c r="K16" s="1402" t="n"/>
    </row>
    <row r="17" ht="51" customHeight="1" s="1158">
      <c r="B17" s="1398" t="inlineStr">
        <is>
          <t>1. Equipment's delivered on time   with correct signed documentation  &amp; all in good condition including back up assembly , service tool , baskets, spoolers, pumps, toolbox , if there's any issue, did the engineer report on time ?.</t>
        </is>
      </c>
      <c r="C17" s="1171" t="n"/>
      <c r="D17" s="1168" t="n"/>
      <c r="E17" s="1218" t="n"/>
      <c r="F17" s="1403" t="n"/>
      <c r="G17" s="1400" t="n"/>
      <c r="H17" s="1171" t="n"/>
      <c r="I17" s="1401" t="n">
        <v>0.15</v>
      </c>
      <c r="K17" s="1402" t="n">
        <v>0.08</v>
      </c>
    </row>
    <row r="18" ht="46.5" customHeight="1" s="1158">
      <c r="B18" s="1398" t="inlineStr">
        <is>
          <t xml:space="preserve">2. Pre-load out checklist completed (to include maintenance records, and certifications) and the engineer physically checked the offloaded material and lay it out probably for inspection on time ? </t>
        </is>
      </c>
      <c r="C18" s="1171" t="n"/>
      <c r="D18" s="1168" t="n"/>
      <c r="E18" s="1218" t="n"/>
      <c r="F18" s="1403" t="n"/>
      <c r="G18" s="1400" t="n"/>
      <c r="H18" s="1171" t="n"/>
      <c r="I18" s="1405" t="n"/>
      <c r="K18" s="1402" t="n">
        <v>0.07000000000000001</v>
      </c>
    </row>
    <row r="19" ht="15" customHeight="1" s="1158">
      <c r="B19" s="1406" t="inlineStr">
        <is>
          <t xml:space="preserve">C)  On site Preparation efficiencies </t>
        </is>
      </c>
      <c r="C19" s="1171" t="n"/>
      <c r="D19" s="1171" t="n"/>
      <c r="E19" s="1171" t="n"/>
      <c r="F19" s="1171" t="n"/>
      <c r="G19" s="1171" t="n"/>
      <c r="H19" s="1171" t="n"/>
      <c r="I19" s="1172" t="n"/>
      <c r="K19" s="1402" t="n"/>
    </row>
    <row r="20" ht="60" customHeight="1" s="1158">
      <c r="B20" s="1398" t="inlineStr">
        <is>
          <t>1. Did the Engineer Discussed the Well Operations with drilling supervisors , checked and confirmed well information and configuration  , calculated Tally and checked all equipment's /Accessories required for the Job ?</t>
        </is>
      </c>
      <c r="C20" s="1171" t="n"/>
      <c r="D20" s="1168" t="n"/>
      <c r="E20" s="1218" t="n"/>
      <c r="F20" s="1407" t="n"/>
      <c r="G20" s="1400" t="n"/>
      <c r="H20" s="1171" t="n"/>
      <c r="I20" s="1401" t="n">
        <v>0.15</v>
      </c>
      <c r="K20" s="1402" t="n">
        <v>0.08</v>
      </c>
    </row>
    <row r="21" ht="62.25" customHeight="1" s="1158">
      <c r="B21" s="1408" t="inlineStr">
        <is>
          <t>2. Did the Engineer conduct Pre Job Briefing with rig crew , TRS, Slick line , WH etc. identifying all safety critical points &amp; explain the  critical steps &amp; agreed about all parties interfaces, tasks ,responsibility ?</t>
        </is>
      </c>
      <c r="C21" s="1171" t="n"/>
      <c r="D21" s="1168" t="n"/>
      <c r="E21" s="1218" t="n"/>
      <c r="F21" s="1407" t="n"/>
      <c r="G21" s="1400" t="n"/>
      <c r="H21" s="1171" t="n"/>
      <c r="I21" s="1405" t="n"/>
      <c r="K21" s="1402" t="n">
        <v>0.07000000000000001</v>
      </c>
    </row>
    <row r="22" ht="15" customHeight="1" s="1158">
      <c r="B22" s="1406" t="inlineStr">
        <is>
          <t xml:space="preserve">D)  Job Executing </t>
        </is>
      </c>
      <c r="C22" s="1171" t="n"/>
      <c r="D22" s="1171" t="n"/>
      <c r="E22" s="1171" t="n"/>
      <c r="F22" s="1171" t="n"/>
      <c r="G22" s="1171" t="n"/>
      <c r="H22" s="1171" t="n"/>
      <c r="I22" s="1172" t="n"/>
      <c r="K22" s="1402" t="n"/>
    </row>
    <row r="23" ht="28.5" customHeight="1" s="1158">
      <c r="B23" s="1398" t="inlineStr">
        <is>
          <t>1. Are the Equipment in good Condition .</t>
        </is>
      </c>
      <c r="C23" s="1171" t="n"/>
      <c r="D23" s="1168" t="n"/>
      <c r="E23" s="1218" t="n"/>
      <c r="F23" s="1407" t="n"/>
      <c r="G23" s="1400" t="n"/>
      <c r="H23" s="1171" t="n"/>
      <c r="I23" s="1409" t="n">
        <v>0.3</v>
      </c>
      <c r="K23" s="1402" t="n">
        <v>0.03</v>
      </c>
    </row>
    <row r="24" ht="28.5" customHeight="1" s="1158">
      <c r="B24" s="1398" t="inlineStr">
        <is>
          <t>2. Are the equipment Operational performed as expected .</t>
        </is>
      </c>
      <c r="C24" s="1171" t="n"/>
      <c r="D24" s="1168" t="n"/>
      <c r="E24" s="1218" t="n"/>
      <c r="F24" s="1407" t="n"/>
      <c r="G24" s="1400" t="n"/>
      <c r="H24" s="1171" t="n"/>
      <c r="I24" s="1410" t="n"/>
      <c r="K24" s="1402" t="n">
        <v>0.03</v>
      </c>
    </row>
    <row r="25" ht="49.5" customHeight="1" s="1158">
      <c r="B25" s="1398" t="inlineStr">
        <is>
          <t>3. Are the successfully installed equipment has performed without any troubleshooting or any interventions?
 If there’s any issue please write details in the comments.</t>
        </is>
      </c>
      <c r="C25" s="1171" t="n"/>
      <c r="D25" s="1168" t="n"/>
      <c r="E25" s="1218" t="n"/>
      <c r="F25" s="1407" t="n"/>
      <c r="G25" s="1400" t="n"/>
      <c r="H25" s="1171" t="n"/>
      <c r="I25" s="1410" t="n"/>
      <c r="K25" s="1402" t="n">
        <v>0.03</v>
      </c>
    </row>
    <row r="26" ht="28.5" customHeight="1" s="1158">
      <c r="B26" s="1398" t="inlineStr">
        <is>
          <t xml:space="preserve">4. Are all the service Equipment’s such as Running Tools , Spoolers , DTS Surface Monitoring system Etc. performed as Expected ? </t>
        </is>
      </c>
      <c r="C26" s="1171" t="n"/>
      <c r="D26" s="1168" t="n"/>
      <c r="E26" s="1218" t="n"/>
      <c r="F26" s="1407" t="n"/>
      <c r="G26" s="1411" t="n"/>
      <c r="H26" s="1171" t="n"/>
      <c r="I26" s="1410" t="n"/>
      <c r="K26" s="1402" t="n">
        <v>0.03</v>
      </c>
    </row>
    <row r="27" ht="28.5" customHeight="1" s="1158">
      <c r="B27" s="1398" t="inlineStr">
        <is>
          <t>5. Do service personnel meet the level of competence required for the operation they will be preform ?</t>
        </is>
      </c>
      <c r="C27" s="1171" t="n"/>
      <c r="D27" s="1168" t="n"/>
      <c r="E27" s="1218" t="n"/>
      <c r="F27" s="1407" t="n"/>
      <c r="G27" s="1412" t="n"/>
      <c r="H27" s="1171" t="n"/>
      <c r="I27" s="1410" t="n"/>
      <c r="K27" s="1402" t="n">
        <v>0.02</v>
      </c>
    </row>
    <row r="28" ht="19.5" customHeight="1" s="1158">
      <c r="B28" s="1398" t="inlineStr">
        <is>
          <t>6.Engineer Communication Skills and Attitude .</t>
        </is>
      </c>
      <c r="C28" s="1171" t="n"/>
      <c r="D28" s="1168" t="n"/>
      <c r="E28" s="1218" t="n"/>
      <c r="F28" s="1407" t="n"/>
      <c r="G28" s="1400" t="n"/>
      <c r="H28" s="1171" t="n"/>
      <c r="I28" s="1410" t="n"/>
      <c r="K28" s="1402" t="n">
        <v>0.02</v>
      </c>
    </row>
    <row r="29" ht="44.25" customHeight="1" s="1158">
      <c r="B29" s="1398" t="inlineStr">
        <is>
          <t>7.Dose service specialist understands the job can be stopped if operational or HSE issue is noticed and adherence to HSE , Participate in ADNOC HSE System  ?</t>
        </is>
      </c>
      <c r="C29" s="1171" t="n"/>
      <c r="D29" s="1168" t="n"/>
      <c r="E29" s="1218" t="n"/>
      <c r="F29" s="1407" t="n"/>
      <c r="G29" s="1400" t="n"/>
      <c r="H29" s="1171" t="n"/>
      <c r="I29" s="1410" t="n"/>
      <c r="K29" s="1402" t="n">
        <v>0.02</v>
      </c>
    </row>
    <row r="30" ht="35.25" customHeight="1" s="1158">
      <c r="B30" s="1398" t="inlineStr">
        <is>
          <t xml:space="preserve">8.Does service specialist have hand carry consumable items such as Redress kit Fitting and his own hand tools . </t>
        </is>
      </c>
      <c r="C30" s="1171" t="n"/>
      <c r="D30" s="1168" t="n"/>
      <c r="E30" s="1218" t="n"/>
      <c r="F30" s="1407" t="n"/>
      <c r="G30" s="1400" t="n"/>
      <c r="H30" s="1171" t="n"/>
      <c r="I30" s="1410" t="n"/>
      <c r="K30" s="1402" t="n">
        <v>0.02</v>
      </c>
    </row>
    <row r="31" ht="33.75" customHeight="1" s="1158">
      <c r="B31" s="1398" t="inlineStr">
        <is>
          <t>9.dose the Engineer Complete job and coordinate equipment rig down ensuring all equipment requiring maintenance is identified, and report if any issue ?</t>
        </is>
      </c>
      <c r="C31" s="1171" t="n"/>
      <c r="D31" s="1168" t="n"/>
      <c r="E31" s="1218" t="n"/>
      <c r="F31" s="1407" t="n"/>
      <c r="G31" s="1400" t="n"/>
      <c r="H31" s="1171" t="n"/>
      <c r="I31" s="1410" t="n"/>
      <c r="K31" s="1402" t="n">
        <v>0.02</v>
      </c>
    </row>
    <row r="32" ht="61.5" customHeight="1" s="1158">
      <c r="B32" s="1398" t="inlineStr">
        <is>
          <t>10.Determine where equipment is to be sent, advise relevant personnel and complete required shipping documents/manifest, as applicable. Securely package equipment ensuring it is environmentally safe and ready for transportation on timely manner ?</t>
        </is>
      </c>
      <c r="C32" s="1171" t="n"/>
      <c r="D32" s="1168" t="n"/>
      <c r="E32" s="1218" t="n"/>
      <c r="F32" s="1407" t="n"/>
      <c r="G32" s="1400" t="n"/>
      <c r="H32" s="1171" t="n"/>
      <c r="I32" s="1410" t="n"/>
      <c r="K32" s="1402" t="n">
        <v>0.02</v>
      </c>
    </row>
    <row r="33" ht="30.75" customHeight="1" s="1158">
      <c r="B33" s="1398" t="inlineStr">
        <is>
          <t>11.Complete location EOWR  and field tickets  accurately and provide relevant documents to ADNOC Rep .</t>
        </is>
      </c>
      <c r="C33" s="1171" t="n"/>
      <c r="D33" s="1168" t="n"/>
      <c r="E33" s="1218" t="n"/>
      <c r="F33" s="1407" t="n"/>
      <c r="G33" s="1412" t="n"/>
      <c r="H33" s="1171" t="n"/>
      <c r="I33" s="1410" t="n"/>
      <c r="K33" s="1402" t="n">
        <v>0.02</v>
      </c>
    </row>
    <row r="34" ht="36" customHeight="1" s="1158">
      <c r="B34" s="1398" t="inlineStr">
        <is>
          <t xml:space="preserve">12.dose the Engineer Identify Lesson Learned (if Applicable  )and added to the Report and share it on the Morning call. </t>
        </is>
      </c>
      <c r="C34" s="1171" t="n"/>
      <c r="D34" s="1168" t="n"/>
      <c r="E34" s="1218" t="n"/>
      <c r="F34" s="1407" t="n"/>
      <c r="G34" s="1412" t="n"/>
      <c r="H34" s="1171" t="n"/>
      <c r="I34" s="1410" t="n"/>
      <c r="K34" s="1402" t="n">
        <v>0.02</v>
      </c>
    </row>
    <row r="35" ht="15" customHeight="1" s="1158">
      <c r="B35" s="1398" t="inlineStr">
        <is>
          <t>13. House Keeping After the Job ?</t>
        </is>
      </c>
      <c r="C35" s="1171" t="n"/>
      <c r="D35" s="1168" t="n"/>
      <c r="E35" s="1218" t="n"/>
      <c r="F35" s="1407" t="n"/>
      <c r="G35" s="1412" t="n"/>
      <c r="H35" s="1171" t="n"/>
      <c r="I35" s="1413" t="n"/>
      <c r="K35" s="1402" t="n">
        <v>0.02</v>
      </c>
    </row>
    <row r="36" ht="14.25" customHeight="1" s="1158">
      <c r="B36" s="1398" t="n"/>
      <c r="C36" s="1171" t="n"/>
      <c r="D36" s="1168" t="n"/>
      <c r="E36" s="1218" t="n"/>
      <c r="F36" s="1414" t="n"/>
      <c r="G36" s="1400" t="n"/>
      <c r="H36" s="1171" t="n"/>
      <c r="I36" s="1415" t="n"/>
    </row>
    <row r="37" ht="17.35" customHeight="1" s="1158">
      <c r="B37" s="1416" t="inlineStr">
        <is>
          <t xml:space="preserve">Vendor Delivery KPIs (Total Score)                  </t>
        </is>
      </c>
      <c r="C37" s="1162" t="n"/>
      <c r="D37" s="1163" t="n"/>
      <c r="E37" s="1417" t="n"/>
      <c r="F37" s="1162" t="n"/>
      <c r="G37" s="1418" t="n"/>
      <c r="H37" s="1163" t="n"/>
      <c r="I37" s="1419" t="n"/>
    </row>
    <row r="38" ht="6.75" customHeight="1" s="1158">
      <c r="F38" s="1420" t="n"/>
      <c r="G38" s="1421" t="n"/>
      <c r="H38" s="1421" t="n"/>
    </row>
    <row r="39" ht="23.25" customHeight="1" s="1158">
      <c r="B39" s="1422" t="inlineStr">
        <is>
          <t>ADDITIONAL COMMENTS :-</t>
        </is>
      </c>
      <c r="C39" s="1166" t="n"/>
      <c r="D39" s="1423" t="n"/>
      <c r="E39" s="1239" t="n"/>
      <c r="F39" s="1239" t="n"/>
      <c r="G39" s="1239" t="n"/>
      <c r="H39" s="1239" t="n"/>
      <c r="I39" s="1424" t="n"/>
    </row>
    <row r="40" ht="26.25" customHeight="1" s="1158">
      <c r="B40" s="1425" t="n"/>
      <c r="C40" s="1171" t="n"/>
      <c r="D40" s="1171" t="n"/>
      <c r="E40" s="1171" t="n"/>
      <c r="F40" s="1171" t="n"/>
      <c r="G40" s="1171" t="n"/>
      <c r="H40" s="1171" t="n"/>
      <c r="I40" s="1172" t="n"/>
    </row>
    <row r="41" ht="24.75" customHeight="1" s="1158">
      <c r="B41" s="1426" t="n"/>
      <c r="C41" s="1188" t="n"/>
      <c r="D41" s="1188" t="n"/>
      <c r="E41" s="1188" t="n"/>
      <c r="F41" s="1188" t="n"/>
      <c r="G41" s="1188" t="n"/>
      <c r="H41" s="1188" t="n"/>
      <c r="I41" s="1189" t="n"/>
    </row>
    <row r="42" ht="15.75" customHeight="1" s="1158">
      <c r="B42" s="1427" t="inlineStr">
        <is>
          <t>Lesson Learned / Improvements</t>
        </is>
      </c>
      <c r="C42" s="1428" t="n"/>
      <c r="D42" s="1429" t="inlineStr">
        <is>
          <t>Recommendations</t>
        </is>
      </c>
      <c r="F42" s="1272" t="n"/>
      <c r="G42" s="1430" t="inlineStr">
        <is>
          <t xml:space="preserve">Name </t>
        </is>
      </c>
      <c r="H42" s="1430" t="inlineStr">
        <is>
          <t>Signature</t>
        </is>
      </c>
      <c r="I42" s="1431" t="inlineStr">
        <is>
          <t>Date</t>
        </is>
      </c>
    </row>
    <row r="43" ht="14.25" customHeight="1" s="1158">
      <c r="B43" s="1375" t="n"/>
      <c r="C43" s="1428" t="n"/>
      <c r="D43" s="1432" t="n"/>
      <c r="F43" s="1272" t="n"/>
      <c r="G43" s="1395" t="n"/>
      <c r="H43" s="1395" t="n"/>
      <c r="I43" s="1395" t="n"/>
    </row>
    <row r="44" ht="14.25" customHeight="1" s="1158">
      <c r="B44" s="1433" t="n"/>
      <c r="C44" s="1434" t="n"/>
      <c r="D44" s="1435" t="n"/>
      <c r="E44" s="1319" t="n"/>
      <c r="F44" s="1323" t="n"/>
      <c r="G44" s="1436" t="inlineStr">
        <is>
          <t>ADNOC Rep.</t>
        </is>
      </c>
      <c r="H44" s="1437" t="n"/>
      <c r="I44" s="1438">
        <f>'Master Data'!E24</f>
        <v/>
      </c>
    </row>
    <row r="45" ht="14.25" customHeight="1" s="1158">
      <c r="B45" s="1439" t="n"/>
      <c r="C45" s="1194" t="n"/>
      <c r="D45" s="1432" t="n"/>
      <c r="F45" s="1272" t="n"/>
      <c r="G45" s="1439" t="n"/>
      <c r="H45" s="1440" t="n"/>
      <c r="I45" s="1413" t="n"/>
    </row>
    <row r="46" ht="15" customHeight="1" s="1158">
      <c r="B46" s="1380" t="n"/>
      <c r="C46" s="1247" t="n"/>
      <c r="D46" s="1441" t="n"/>
      <c r="E46" s="1246" t="n"/>
      <c r="F46" s="1289" t="n"/>
      <c r="G46" s="1442" t="inlineStr">
        <is>
          <t xml:space="preserve">Contractor Rep . </t>
        </is>
      </c>
      <c r="H46" s="1437" t="n"/>
      <c r="I46" s="1438">
        <f>'Master Data'!E24</f>
        <v/>
      </c>
    </row>
    <row r="47" ht="14.25" customHeight="1" s="1158">
      <c r="B47" s="1382" t="n"/>
      <c r="C47" s="1443" t="n"/>
      <c r="D47" s="1444" t="n"/>
      <c r="E47" s="1330" t="n"/>
      <c r="F47" s="1332" t="n"/>
      <c r="G47" s="1196" t="n"/>
      <c r="H47" s="1440" t="n"/>
      <c r="I47" s="1413" t="n"/>
    </row>
    <row r="48" ht="14.25" customHeight="1" s="1158">
      <c r="B48" s="1445" t="n"/>
      <c r="D48" s="1207" t="n"/>
      <c r="E48" s="1207" t="n"/>
      <c r="F48" s="1420" t="n"/>
      <c r="G48" s="1446" t="n"/>
      <c r="H48" s="1319" t="n"/>
      <c r="I48" s="1319" t="n"/>
    </row>
    <row r="49" ht="14.25" customHeight="1" s="1158">
      <c r="G49" s="1447" t="n"/>
      <c r="H49" s="1447" t="n"/>
    </row>
    <row r="50" ht="14.25" customHeight="1" s="1158">
      <c r="F50" s="1420" t="n"/>
      <c r="G50" s="1421" t="n"/>
      <c r="H50" s="1421" t="n"/>
    </row>
    <row r="51" ht="14.25" customHeight="1" s="1158">
      <c r="F51" s="1420" t="n"/>
      <c r="G51" s="1421" t="n"/>
      <c r="H51" s="1421" t="n"/>
    </row>
    <row r="52" ht="14.25" customHeight="1" s="1158">
      <c r="F52" s="1420" t="n"/>
      <c r="G52" s="1421" t="n"/>
      <c r="H52" s="1421" t="n"/>
    </row>
    <row r="53" ht="14.25" customHeight="1" s="1158">
      <c r="F53" s="1420" t="n"/>
      <c r="G53" s="1421" t="n"/>
      <c r="H53" s="1421" t="n"/>
    </row>
    <row r="54" ht="14.25" customHeight="1" s="1158">
      <c r="F54" s="1420" t="n"/>
      <c r="G54" s="1421" t="n"/>
      <c r="H54" s="1421" t="n"/>
    </row>
    <row r="55" ht="14.25" customHeight="1" s="1158">
      <c r="F55" s="1420" t="n"/>
      <c r="G55" s="1421" t="n"/>
      <c r="H55" s="1421" t="n"/>
    </row>
    <row r="56" ht="14.25" customHeight="1" s="1158">
      <c r="F56" s="1420" t="n"/>
      <c r="G56" s="1421" t="n"/>
      <c r="H56" s="1421" t="n"/>
    </row>
    <row r="57" ht="14.25" customHeight="1" s="1158">
      <c r="F57" s="1420" t="n"/>
      <c r="G57" s="1421" t="n"/>
      <c r="H57" s="1421" t="n"/>
    </row>
    <row r="58" ht="14.25" customHeight="1" s="1158">
      <c r="F58" s="1420" t="n"/>
      <c r="G58" s="1421" t="n"/>
      <c r="H58" s="1421" t="n"/>
    </row>
    <row r="59" ht="14.25" customHeight="1" s="1158">
      <c r="F59" s="1420" t="n"/>
      <c r="G59" s="1421" t="n"/>
      <c r="H59" s="1421" t="n"/>
    </row>
    <row r="60" ht="14.25" customHeight="1" s="1158">
      <c r="F60" s="1420" t="n"/>
      <c r="G60" s="1421" t="n"/>
      <c r="H60" s="1421" t="n"/>
    </row>
    <row r="61" ht="14.25" customHeight="1" s="1158">
      <c r="F61" s="1420" t="n"/>
      <c r="G61" s="1421" t="n"/>
      <c r="H61" s="1421" t="n"/>
    </row>
    <row r="62" ht="14.25" customHeight="1" s="1158">
      <c r="F62" s="1420" t="n"/>
      <c r="G62" s="1421" t="n"/>
      <c r="H62" s="1421" t="n"/>
    </row>
    <row r="63" ht="14.25" customHeight="1" s="1158">
      <c r="F63" s="1420" t="n"/>
      <c r="G63" s="1421" t="n"/>
      <c r="H63" s="1421" t="n"/>
    </row>
    <row r="64" ht="14.25" customHeight="1" s="1158">
      <c r="F64" s="1420" t="n"/>
      <c r="G64" s="1421" t="n"/>
      <c r="H64" s="1421" t="n"/>
    </row>
    <row r="65" ht="14.25" customHeight="1" s="1158">
      <c r="F65" s="1420" t="n"/>
      <c r="G65" s="1421" t="n"/>
      <c r="H65" s="1421" t="n"/>
    </row>
    <row r="66" ht="14.25" customHeight="1" s="1158">
      <c r="F66" s="1420" t="n"/>
      <c r="G66" s="1421" t="n"/>
      <c r="H66" s="1421" t="n"/>
    </row>
    <row r="67" ht="14.25" customHeight="1" s="1158">
      <c r="F67" s="1420" t="n"/>
      <c r="G67" s="1421" t="n"/>
      <c r="H67" s="1421" t="n"/>
    </row>
    <row r="68" ht="14.25" customHeight="1" s="1158">
      <c r="F68" s="1420" t="n"/>
      <c r="G68" s="1421" t="n"/>
      <c r="H68" s="1421" t="n"/>
    </row>
    <row r="69" ht="14.25" customHeight="1" s="1158">
      <c r="F69" s="1420" t="n"/>
      <c r="G69" s="1421" t="n"/>
      <c r="H69" s="1421" t="n"/>
    </row>
    <row r="70" ht="14.25" customHeight="1" s="1158">
      <c r="F70" s="1420" t="n"/>
      <c r="G70" s="1421" t="n"/>
      <c r="H70" s="1421" t="n"/>
    </row>
    <row r="71" ht="14.25" customHeight="1" s="1158">
      <c r="F71" s="1420" t="n"/>
      <c r="G71" s="1421" t="n"/>
      <c r="H71" s="1421" t="n"/>
    </row>
    <row r="72" ht="14.25" customHeight="1" s="1158">
      <c r="F72" s="1420" t="n"/>
      <c r="G72" s="1421" t="n"/>
      <c r="H72" s="1421" t="n"/>
    </row>
    <row r="73" ht="14.25" customHeight="1" s="1158">
      <c r="F73" s="1420" t="n"/>
      <c r="G73" s="1421" t="n"/>
      <c r="H73" s="1421" t="n"/>
    </row>
    <row r="74" ht="14.25" customHeight="1" s="1158">
      <c r="F74" s="1420" t="n"/>
      <c r="G74" s="1421" t="n"/>
      <c r="H74" s="1421" t="n"/>
    </row>
    <row r="75" ht="14.25" customHeight="1" s="1158">
      <c r="F75" s="1420" t="n"/>
      <c r="G75" s="1421" t="n"/>
      <c r="H75" s="1421" t="n"/>
    </row>
    <row r="76" ht="14.25" customHeight="1" s="1158">
      <c r="F76" s="1420" t="n"/>
      <c r="G76" s="1421" t="n"/>
      <c r="H76" s="1421" t="n"/>
    </row>
    <row r="77" ht="14.25" customHeight="1" s="1158">
      <c r="F77" s="1420" t="n"/>
      <c r="G77" s="1421" t="n"/>
      <c r="H77" s="1421" t="n"/>
    </row>
    <row r="78" ht="14.25" customHeight="1" s="1158">
      <c r="F78" s="1420" t="n"/>
      <c r="G78" s="1421" t="n"/>
      <c r="H78" s="1421" t="n"/>
    </row>
    <row r="79" ht="14.25" customHeight="1" s="1158">
      <c r="F79" s="1420" t="n"/>
      <c r="G79" s="1421" t="n"/>
      <c r="H79" s="1421" t="n"/>
    </row>
    <row r="80" ht="14.25" customHeight="1" s="1158">
      <c r="F80" s="1420" t="n"/>
      <c r="G80" s="1421" t="n"/>
      <c r="H80" s="1421" t="n"/>
    </row>
    <row r="81" ht="14.25" customHeight="1" s="1158">
      <c r="F81" s="1420" t="n"/>
      <c r="G81" s="1421" t="n"/>
      <c r="H81" s="1421" t="n"/>
    </row>
    <row r="82" ht="14.25" customHeight="1" s="1158">
      <c r="F82" s="1420" t="n"/>
      <c r="G82" s="1421" t="n"/>
      <c r="H82" s="1421" t="n"/>
    </row>
    <row r="83" ht="14.25" customHeight="1" s="1158">
      <c r="F83" s="1420" t="n"/>
      <c r="G83" s="1421" t="n"/>
      <c r="H83" s="1421" t="n"/>
    </row>
    <row r="84" ht="14.25" customHeight="1" s="1158">
      <c r="F84" s="1420" t="n"/>
      <c r="G84" s="1421" t="n"/>
      <c r="H84" s="1421" t="n"/>
    </row>
    <row r="85" ht="14.25" customHeight="1" s="1158">
      <c r="F85" s="1420" t="n"/>
      <c r="G85" s="1421" t="n"/>
      <c r="H85" s="1421" t="n"/>
    </row>
    <row r="86" ht="14.25" customHeight="1" s="1158">
      <c r="F86" s="1420" t="n"/>
      <c r="G86" s="1421" t="n"/>
      <c r="H86" s="1421" t="n"/>
    </row>
    <row r="87" ht="14.25" customHeight="1" s="1158">
      <c r="F87" s="1420" t="n"/>
      <c r="G87" s="1421" t="n"/>
      <c r="H87" s="1421" t="n"/>
    </row>
    <row r="88" ht="14.25" customHeight="1" s="1158">
      <c r="F88" s="1420" t="n"/>
      <c r="G88" s="1421" t="n"/>
      <c r="H88" s="1421" t="n"/>
    </row>
    <row r="89" ht="14.25" customHeight="1" s="1158">
      <c r="F89" s="1420" t="n"/>
      <c r="G89" s="1421" t="n"/>
      <c r="H89" s="1421" t="n"/>
    </row>
    <row r="90" ht="14.25" customHeight="1" s="1158">
      <c r="F90" s="1420" t="n"/>
      <c r="G90" s="1421" t="n"/>
      <c r="H90" s="1421" t="n"/>
    </row>
    <row r="91" ht="14.25" customHeight="1" s="1158">
      <c r="F91" s="1420" t="n"/>
      <c r="G91" s="1421" t="n"/>
      <c r="H91" s="1421" t="n"/>
    </row>
    <row r="92" ht="14.25" customHeight="1" s="1158">
      <c r="F92" s="1420" t="n"/>
      <c r="G92" s="1421" t="n"/>
      <c r="H92" s="1421" t="n"/>
    </row>
    <row r="93" ht="14.25" customHeight="1" s="1158">
      <c r="F93" s="1420" t="n"/>
      <c r="G93" s="1421" t="n"/>
      <c r="H93" s="1421" t="n"/>
    </row>
    <row r="94" ht="14.25" customHeight="1" s="1158">
      <c r="F94" s="1420" t="n"/>
      <c r="G94" s="1421" t="n"/>
      <c r="H94" s="1421" t="n"/>
    </row>
    <row r="95" ht="14.25" customHeight="1" s="1158">
      <c r="F95" s="1420" t="n"/>
      <c r="G95" s="1421" t="n"/>
      <c r="H95" s="1421" t="n"/>
    </row>
    <row r="96" ht="14.25" customHeight="1" s="1158">
      <c r="F96" s="1420" t="n"/>
      <c r="G96" s="1421" t="n"/>
      <c r="H96" s="1421" t="n"/>
    </row>
    <row r="97" ht="14.25" customHeight="1" s="1158">
      <c r="F97" s="1420" t="n"/>
      <c r="G97" s="1421" t="n"/>
      <c r="H97" s="1421" t="n"/>
    </row>
    <row r="98" ht="14.25" customHeight="1" s="1158">
      <c r="F98" s="1420" t="n"/>
      <c r="G98" s="1421" t="n"/>
      <c r="H98" s="1421" t="n"/>
    </row>
    <row r="99" ht="14.25" customHeight="1" s="1158">
      <c r="F99" s="1420" t="n"/>
      <c r="G99" s="1421" t="n"/>
      <c r="H99" s="1421" t="n"/>
    </row>
    <row r="100" ht="14.25" customHeight="1" s="1158">
      <c r="F100" s="1420" t="n"/>
      <c r="G100" s="1421" t="n"/>
      <c r="H100" s="1421" t="n"/>
    </row>
    <row r="101" ht="14.25" customHeight="1" s="1158">
      <c r="F101" s="1420" t="n"/>
      <c r="G101" s="1421" t="n"/>
      <c r="H101" s="1421" t="n"/>
    </row>
    <row r="102" ht="14.25" customHeight="1" s="1158">
      <c r="F102" s="1420" t="n"/>
      <c r="G102" s="1421" t="n"/>
      <c r="H102" s="1421" t="n"/>
    </row>
    <row r="103" ht="14.25" customHeight="1" s="1158">
      <c r="F103" s="1420" t="n"/>
      <c r="G103" s="1421" t="n"/>
      <c r="H103" s="1421" t="n"/>
    </row>
    <row r="104" ht="14.25" customHeight="1" s="1158">
      <c r="F104" s="1420" t="n"/>
      <c r="G104" s="1421" t="n"/>
      <c r="H104" s="1421" t="n"/>
    </row>
    <row r="105" ht="14.25" customHeight="1" s="1158">
      <c r="F105" s="1420" t="n"/>
      <c r="G105" s="1421" t="n"/>
      <c r="H105" s="1421" t="n"/>
    </row>
    <row r="106" ht="14.25" customHeight="1" s="1158">
      <c r="F106" s="1420" t="n"/>
      <c r="G106" s="1421" t="n"/>
      <c r="H106" s="1421" t="n"/>
    </row>
    <row r="107" ht="14.25" customHeight="1" s="1158">
      <c r="F107" s="1420" t="n"/>
      <c r="G107" s="1421" t="n"/>
      <c r="H107" s="1421" t="n"/>
    </row>
    <row r="108" ht="14.25" customHeight="1" s="1158">
      <c r="F108" s="1420" t="n"/>
      <c r="G108" s="1421" t="n"/>
      <c r="H108" s="1421" t="n"/>
    </row>
    <row r="109" ht="14.25" customHeight="1" s="1158">
      <c r="F109" s="1420" t="n"/>
      <c r="G109" s="1421" t="n"/>
      <c r="H109" s="1421" t="n"/>
    </row>
    <row r="110" ht="14.25" customHeight="1" s="1158">
      <c r="F110" s="1420" t="n"/>
      <c r="G110" s="1421" t="n"/>
      <c r="H110" s="1421" t="n"/>
    </row>
    <row r="111" ht="14.25" customHeight="1" s="1158">
      <c r="F111" s="1420" t="n"/>
      <c r="G111" s="1421" t="n"/>
      <c r="H111" s="1421" t="n"/>
    </row>
    <row r="112" ht="14.25" customHeight="1" s="1158">
      <c r="F112" s="1420" t="n"/>
      <c r="G112" s="1421" t="n"/>
      <c r="H112" s="1421" t="n"/>
    </row>
    <row r="113" ht="14.25" customHeight="1" s="1158">
      <c r="F113" s="1420" t="n"/>
      <c r="G113" s="1421" t="n"/>
      <c r="H113" s="1421" t="n"/>
    </row>
    <row r="114" ht="14.25" customHeight="1" s="1158">
      <c r="F114" s="1420" t="n"/>
      <c r="G114" s="1421" t="n"/>
      <c r="H114" s="1421" t="n"/>
    </row>
    <row r="115" ht="14.25" customHeight="1" s="1158">
      <c r="F115" s="1420" t="n"/>
      <c r="G115" s="1421" t="n"/>
      <c r="H115" s="1421" t="n"/>
    </row>
    <row r="116" ht="14.25" customHeight="1" s="1158">
      <c r="F116" s="1420" t="n"/>
      <c r="G116" s="1421" t="n"/>
      <c r="H116" s="1421" t="n"/>
    </row>
    <row r="117" ht="14.25" customHeight="1" s="1158">
      <c r="F117" s="1420" t="n"/>
      <c r="G117" s="1421" t="n"/>
      <c r="H117" s="1421" t="n"/>
    </row>
    <row r="118" ht="14.25" customHeight="1" s="1158">
      <c r="F118" s="1420" t="n"/>
      <c r="G118" s="1421" t="n"/>
      <c r="H118" s="1421" t="n"/>
    </row>
    <row r="119" ht="14.25" customHeight="1" s="1158">
      <c r="F119" s="1420" t="n"/>
      <c r="G119" s="1421" t="n"/>
      <c r="H119" s="1421" t="n"/>
    </row>
    <row r="120" ht="14.25" customHeight="1" s="1158">
      <c r="F120" s="1420" t="n"/>
      <c r="G120" s="1421" t="n"/>
      <c r="H120" s="1421" t="n"/>
    </row>
    <row r="121" ht="14.25" customHeight="1" s="1158">
      <c r="F121" s="1420" t="n"/>
      <c r="G121" s="1421" t="n"/>
      <c r="H121" s="1421" t="n"/>
    </row>
    <row r="122" ht="14.25" customHeight="1" s="1158">
      <c r="F122" s="1420" t="n"/>
      <c r="G122" s="1421" t="n"/>
      <c r="H122" s="1421" t="n"/>
    </row>
    <row r="123" ht="14.25" customHeight="1" s="1158">
      <c r="F123" s="1420" t="n"/>
      <c r="G123" s="1421" t="n"/>
      <c r="H123" s="1421" t="n"/>
    </row>
    <row r="124" ht="14.25" customHeight="1" s="1158">
      <c r="F124" s="1420" t="n"/>
      <c r="G124" s="1421" t="n"/>
      <c r="H124" s="1421" t="n"/>
    </row>
    <row r="125" ht="14.25" customHeight="1" s="1158">
      <c r="F125" s="1420" t="n"/>
      <c r="G125" s="1421" t="n"/>
      <c r="H125" s="1421" t="n"/>
    </row>
    <row r="126" ht="14.25" customHeight="1" s="1158">
      <c r="F126" s="1420" t="n"/>
      <c r="G126" s="1421" t="n"/>
      <c r="H126" s="1421" t="n"/>
    </row>
    <row r="127" ht="14.25" customHeight="1" s="1158">
      <c r="F127" s="1420" t="n"/>
      <c r="G127" s="1421" t="n"/>
      <c r="H127" s="1421" t="n"/>
    </row>
    <row r="128" ht="14.25" customHeight="1" s="1158">
      <c r="F128" s="1420" t="n"/>
      <c r="G128" s="1421" t="n"/>
      <c r="H128" s="1421" t="n"/>
    </row>
    <row r="129" ht="14.25" customHeight="1" s="1158">
      <c r="F129" s="1420" t="n"/>
      <c r="G129" s="1421" t="n"/>
      <c r="H129" s="1421" t="n"/>
    </row>
    <row r="130" ht="14.25" customHeight="1" s="1158">
      <c r="F130" s="1420" t="n"/>
      <c r="G130" s="1421" t="n"/>
      <c r="H130" s="1421" t="n"/>
    </row>
    <row r="131" ht="14.25" customHeight="1" s="1158">
      <c r="F131" s="1420" t="n"/>
      <c r="G131" s="1421" t="n"/>
      <c r="H131" s="1421" t="n"/>
    </row>
    <row r="132" ht="14.25" customHeight="1" s="1158">
      <c r="F132" s="1420" t="n"/>
      <c r="G132" s="1421" t="n"/>
      <c r="H132" s="1421" t="n"/>
    </row>
    <row r="133" ht="14.25" customHeight="1" s="1158">
      <c r="F133" s="1420" t="n"/>
      <c r="G133" s="1421" t="n"/>
      <c r="H133" s="1421" t="n"/>
    </row>
    <row r="134" ht="14.25" customHeight="1" s="1158">
      <c r="F134" s="1420" t="n"/>
      <c r="G134" s="1421" t="n"/>
      <c r="H134" s="1421" t="n"/>
    </row>
    <row r="135" ht="14.25" customHeight="1" s="1158">
      <c r="F135" s="1420" t="n"/>
      <c r="G135" s="1421" t="n"/>
      <c r="H135" s="1421" t="n"/>
    </row>
    <row r="136" ht="14.25" customHeight="1" s="1158">
      <c r="F136" s="1420" t="n"/>
      <c r="G136" s="1421" t="n"/>
      <c r="H136" s="1421" t="n"/>
    </row>
    <row r="137" ht="14.25" customHeight="1" s="1158">
      <c r="F137" s="1420" t="n"/>
      <c r="G137" s="1421" t="n"/>
      <c r="H137" s="1421" t="n"/>
    </row>
    <row r="138" ht="14.25" customHeight="1" s="1158">
      <c r="F138" s="1420" t="n"/>
      <c r="G138" s="1421" t="n"/>
      <c r="H138" s="1421" t="n"/>
    </row>
    <row r="139" ht="14.25" customHeight="1" s="1158">
      <c r="F139" s="1420" t="n"/>
      <c r="G139" s="1421" t="n"/>
      <c r="H139" s="1421" t="n"/>
    </row>
    <row r="140" ht="14.25" customHeight="1" s="1158">
      <c r="F140" s="1420" t="n"/>
      <c r="G140" s="1421" t="n"/>
      <c r="H140" s="1421" t="n"/>
    </row>
    <row r="141" ht="14.25" customHeight="1" s="1158">
      <c r="F141" s="1420" t="n"/>
      <c r="G141" s="1421" t="n"/>
      <c r="H141" s="1421" t="n"/>
    </row>
    <row r="142" ht="14.25" customHeight="1" s="1158">
      <c r="F142" s="1420" t="n"/>
      <c r="G142" s="1421" t="n"/>
      <c r="H142" s="1421" t="n"/>
    </row>
    <row r="143" ht="14.25" customHeight="1" s="1158">
      <c r="F143" s="1420" t="n"/>
      <c r="G143" s="1421" t="n"/>
      <c r="H143" s="1421" t="n"/>
    </row>
    <row r="144" ht="14.25" customHeight="1" s="1158">
      <c r="F144" s="1420" t="n"/>
      <c r="G144" s="1421" t="n"/>
      <c r="H144" s="1421" t="n"/>
    </row>
    <row r="145" ht="14.25" customHeight="1" s="1158">
      <c r="F145" s="1420" t="n"/>
      <c r="G145" s="1421" t="n"/>
      <c r="H145" s="1421" t="n"/>
    </row>
    <row r="146" ht="14.25" customHeight="1" s="1158">
      <c r="F146" s="1420" t="n"/>
      <c r="G146" s="1421" t="n"/>
      <c r="H146" s="1421" t="n"/>
    </row>
    <row r="147" ht="14.25" customHeight="1" s="1158">
      <c r="F147" s="1420" t="n"/>
      <c r="G147" s="1421" t="n"/>
      <c r="H147" s="1421" t="n"/>
    </row>
    <row r="148" ht="14.25" customHeight="1" s="1158">
      <c r="F148" s="1420" t="n"/>
      <c r="G148" s="1421" t="n"/>
      <c r="H148" s="1421" t="n"/>
    </row>
    <row r="149" ht="14.25" customHeight="1" s="1158">
      <c r="F149" s="1420" t="n"/>
      <c r="G149" s="1421" t="n"/>
      <c r="H149" s="1421" t="n"/>
    </row>
    <row r="150" ht="14.25" customHeight="1" s="1158">
      <c r="F150" s="1420" t="n"/>
      <c r="G150" s="1421" t="n"/>
      <c r="H150" s="1421" t="n"/>
    </row>
    <row r="151" ht="14.25" customHeight="1" s="1158">
      <c r="F151" s="1420" t="n"/>
      <c r="G151" s="1421" t="n"/>
      <c r="H151" s="1421" t="n"/>
    </row>
    <row r="152" ht="14.25" customHeight="1" s="1158">
      <c r="F152" s="1420" t="n"/>
      <c r="G152" s="1421" t="n"/>
      <c r="H152" s="1421" t="n"/>
    </row>
    <row r="153" ht="14.25" customHeight="1" s="1158">
      <c r="F153" s="1420" t="n"/>
      <c r="G153" s="1421" t="n"/>
      <c r="H153" s="1421" t="n"/>
    </row>
    <row r="154" ht="14.25" customHeight="1" s="1158">
      <c r="F154" s="1420" t="n"/>
      <c r="G154" s="1421" t="n"/>
      <c r="H154" s="1421" t="n"/>
    </row>
    <row r="155" ht="14.25" customHeight="1" s="1158">
      <c r="F155" s="1420" t="n"/>
      <c r="G155" s="1421" t="n"/>
      <c r="H155" s="1421" t="n"/>
    </row>
    <row r="156" ht="14.25" customHeight="1" s="1158">
      <c r="F156" s="1420" t="n"/>
      <c r="G156" s="1421" t="n"/>
      <c r="H156" s="1421" t="n"/>
    </row>
    <row r="157" ht="14.25" customHeight="1" s="1158">
      <c r="F157" s="1420" t="n"/>
      <c r="G157" s="1421" t="n"/>
      <c r="H157" s="1421" t="n"/>
    </row>
    <row r="158" ht="14.25" customHeight="1" s="1158">
      <c r="F158" s="1420" t="n"/>
      <c r="G158" s="1421" t="n"/>
      <c r="H158" s="1421" t="n"/>
    </row>
    <row r="159" ht="14.25" customHeight="1" s="1158">
      <c r="F159" s="1420" t="n"/>
      <c r="G159" s="1421" t="n"/>
      <c r="H159" s="1421" t="n"/>
    </row>
    <row r="160" ht="14.25" customHeight="1" s="1158">
      <c r="F160" s="1420" t="n"/>
      <c r="G160" s="1421" t="n"/>
      <c r="H160" s="1421" t="n"/>
    </row>
    <row r="161" ht="14.25" customHeight="1" s="1158">
      <c r="F161" s="1420" t="n"/>
      <c r="G161" s="1421" t="n"/>
      <c r="H161" s="1421" t="n"/>
    </row>
    <row r="162" ht="14.25" customHeight="1" s="1158">
      <c r="F162" s="1420" t="n"/>
      <c r="G162" s="1421" t="n"/>
      <c r="H162" s="1421" t="n"/>
    </row>
    <row r="163" ht="14.25" customHeight="1" s="1158">
      <c r="F163" s="1420" t="n"/>
      <c r="G163" s="1421" t="n"/>
      <c r="H163" s="1421" t="n"/>
    </row>
    <row r="164" ht="14.25" customHeight="1" s="1158">
      <c r="F164" s="1420" t="n"/>
      <c r="G164" s="1421" t="n"/>
      <c r="H164" s="1421" t="n"/>
    </row>
    <row r="165" ht="14.25" customHeight="1" s="1158">
      <c r="F165" s="1420" t="n"/>
      <c r="G165" s="1421" t="n"/>
      <c r="H165" s="1421" t="n"/>
    </row>
    <row r="166" ht="14.25" customHeight="1" s="1158">
      <c r="F166" s="1420" t="n"/>
      <c r="G166" s="1421" t="n"/>
      <c r="H166" s="1421" t="n"/>
    </row>
    <row r="167" ht="14.25" customHeight="1" s="1158">
      <c r="F167" s="1420" t="n"/>
      <c r="G167" s="1421" t="n"/>
      <c r="H167" s="1421" t="n"/>
    </row>
    <row r="168" ht="14.25" customHeight="1" s="1158">
      <c r="F168" s="1420" t="n"/>
      <c r="G168" s="1421" t="n"/>
      <c r="H168" s="1421" t="n"/>
    </row>
    <row r="169" ht="14.25" customHeight="1" s="1158">
      <c r="F169" s="1420" t="n"/>
      <c r="G169" s="1421" t="n"/>
      <c r="H169" s="1421" t="n"/>
    </row>
    <row r="170" ht="14.25" customHeight="1" s="1158">
      <c r="F170" s="1420" t="n"/>
      <c r="G170" s="1421" t="n"/>
      <c r="H170" s="1421" t="n"/>
    </row>
    <row r="171" ht="14.25" customHeight="1" s="1158">
      <c r="F171" s="1420" t="n"/>
      <c r="G171" s="1421" t="n"/>
      <c r="H171" s="1421" t="n"/>
    </row>
    <row r="172" ht="14.25" customHeight="1" s="1158">
      <c r="F172" s="1420" t="n"/>
      <c r="G172" s="1421" t="n"/>
      <c r="H172" s="1421" t="n"/>
    </row>
    <row r="173" ht="14.25" customHeight="1" s="1158">
      <c r="F173" s="1420" t="n"/>
      <c r="G173" s="1421" t="n"/>
      <c r="H173" s="1421" t="n"/>
    </row>
    <row r="174" ht="14.25" customHeight="1" s="1158">
      <c r="F174" s="1420" t="n"/>
      <c r="G174" s="1421" t="n"/>
      <c r="H174" s="1421" t="n"/>
    </row>
    <row r="175" ht="14.25" customHeight="1" s="1158">
      <c r="F175" s="1420" t="n"/>
      <c r="G175" s="1421" t="n"/>
      <c r="H175" s="1421" t="n"/>
    </row>
    <row r="176" ht="14.25" customHeight="1" s="1158">
      <c r="F176" s="1420" t="n"/>
      <c r="G176" s="1421" t="n"/>
      <c r="H176" s="1421" t="n"/>
    </row>
    <row r="177" ht="14.25" customHeight="1" s="1158">
      <c r="F177" s="1420" t="n"/>
      <c r="G177" s="1421" t="n"/>
      <c r="H177" s="1421" t="n"/>
    </row>
    <row r="178" ht="14.25" customHeight="1" s="1158">
      <c r="F178" s="1420" t="n"/>
      <c r="G178" s="1421" t="n"/>
      <c r="H178" s="1421" t="n"/>
    </row>
    <row r="179" ht="14.25" customHeight="1" s="1158">
      <c r="F179" s="1420" t="n"/>
      <c r="G179" s="1421" t="n"/>
      <c r="H179" s="1421" t="n"/>
    </row>
    <row r="180" ht="14.25" customHeight="1" s="1158">
      <c r="F180" s="1420" t="n"/>
      <c r="G180" s="1421" t="n"/>
      <c r="H180" s="1421" t="n"/>
    </row>
    <row r="181" ht="14.25" customHeight="1" s="1158">
      <c r="F181" s="1420" t="n"/>
      <c r="G181" s="1421" t="n"/>
      <c r="H181" s="1421" t="n"/>
    </row>
    <row r="182" ht="14.25" customHeight="1" s="1158">
      <c r="F182" s="1420" t="n"/>
      <c r="G182" s="1421" t="n"/>
      <c r="H182" s="1421" t="n"/>
    </row>
    <row r="183" ht="14.25" customHeight="1" s="1158">
      <c r="F183" s="1420" t="n"/>
      <c r="G183" s="1421" t="n"/>
      <c r="H183" s="1421" t="n"/>
    </row>
    <row r="184" ht="14.25" customHeight="1" s="1158">
      <c r="F184" s="1420" t="n"/>
      <c r="G184" s="1421" t="n"/>
      <c r="H184" s="1421" t="n"/>
    </row>
    <row r="185" ht="14.25" customHeight="1" s="1158">
      <c r="F185" s="1420" t="n"/>
      <c r="G185" s="1421" t="n"/>
      <c r="H185" s="1421" t="n"/>
    </row>
    <row r="186" ht="14.25" customHeight="1" s="1158">
      <c r="F186" s="1420" t="n"/>
      <c r="G186" s="1421" t="n"/>
      <c r="H186" s="1421" t="n"/>
    </row>
    <row r="187" ht="14.25" customHeight="1" s="1158">
      <c r="F187" s="1420" t="n"/>
      <c r="G187" s="1421" t="n"/>
      <c r="H187" s="1421" t="n"/>
    </row>
    <row r="188" ht="14.25" customHeight="1" s="1158">
      <c r="F188" s="1420" t="n"/>
      <c r="G188" s="1421" t="n"/>
      <c r="H188" s="1421" t="n"/>
    </row>
    <row r="189" ht="14.25" customHeight="1" s="1158">
      <c r="F189" s="1420" t="n"/>
      <c r="G189" s="1421" t="n"/>
      <c r="H189" s="1421" t="n"/>
    </row>
    <row r="190" ht="14.25" customHeight="1" s="1158">
      <c r="F190" s="1420" t="n"/>
      <c r="G190" s="1421" t="n"/>
      <c r="H190" s="1421" t="n"/>
    </row>
    <row r="191" ht="14.25" customHeight="1" s="1158">
      <c r="F191" s="1420" t="n"/>
      <c r="G191" s="1421" t="n"/>
      <c r="H191" s="1421" t="n"/>
    </row>
    <row r="192" ht="14.25" customHeight="1" s="1158">
      <c r="F192" s="1420" t="n"/>
      <c r="G192" s="1421" t="n"/>
      <c r="H192" s="1421" t="n"/>
    </row>
    <row r="193" ht="14.25" customHeight="1" s="1158">
      <c r="F193" s="1420" t="n"/>
      <c r="G193" s="1421" t="n"/>
      <c r="H193" s="1421" t="n"/>
    </row>
    <row r="194" ht="14.25" customHeight="1" s="1158">
      <c r="F194" s="1420" t="n"/>
      <c r="G194" s="1421" t="n"/>
      <c r="H194" s="1421" t="n"/>
    </row>
    <row r="195" ht="14.25" customHeight="1" s="1158">
      <c r="F195" s="1420" t="n"/>
      <c r="G195" s="1421" t="n"/>
      <c r="H195" s="1421" t="n"/>
    </row>
    <row r="196" ht="14.25" customHeight="1" s="1158">
      <c r="F196" s="1420" t="n"/>
      <c r="G196" s="1421" t="n"/>
      <c r="H196" s="1421" t="n"/>
    </row>
    <row r="197" ht="14.25" customHeight="1" s="1158">
      <c r="F197" s="1420" t="n"/>
      <c r="G197" s="1421" t="n"/>
      <c r="H197" s="1421" t="n"/>
    </row>
    <row r="198" ht="14.25" customHeight="1" s="1158">
      <c r="F198" s="1420" t="n"/>
      <c r="G198" s="1421" t="n"/>
      <c r="H198" s="1421" t="n"/>
    </row>
    <row r="199" ht="14.25" customHeight="1" s="1158">
      <c r="F199" s="1420" t="n"/>
      <c r="G199" s="1421" t="n"/>
      <c r="H199" s="1421" t="n"/>
    </row>
    <row r="200" ht="14.25" customHeight="1" s="1158">
      <c r="F200" s="1420" t="n"/>
      <c r="G200" s="1421" t="n"/>
      <c r="H200" s="1421" t="n"/>
    </row>
    <row r="201" ht="14.25" customHeight="1" s="1158">
      <c r="F201" s="1420" t="n"/>
      <c r="G201" s="1421" t="n"/>
      <c r="H201" s="1421" t="n"/>
    </row>
    <row r="202" ht="14.25" customHeight="1" s="1158">
      <c r="F202" s="1420" t="n"/>
      <c r="G202" s="1421" t="n"/>
      <c r="H202" s="1421" t="n"/>
    </row>
    <row r="203" ht="14.25" customHeight="1" s="1158">
      <c r="F203" s="1420" t="n"/>
      <c r="G203" s="1421" t="n"/>
      <c r="H203" s="1421" t="n"/>
    </row>
    <row r="204" ht="14.25" customHeight="1" s="1158">
      <c r="F204" s="1420" t="n"/>
      <c r="G204" s="1421" t="n"/>
      <c r="H204" s="1421" t="n"/>
    </row>
    <row r="205" ht="14.25" customHeight="1" s="1158">
      <c r="F205" s="1420" t="n"/>
      <c r="G205" s="1421" t="n"/>
      <c r="H205" s="1421" t="n"/>
    </row>
    <row r="206" ht="14.25" customHeight="1" s="1158">
      <c r="F206" s="1420" t="n"/>
      <c r="G206" s="1421" t="n"/>
      <c r="H206" s="1421" t="n"/>
    </row>
    <row r="207" ht="14.25" customHeight="1" s="1158">
      <c r="F207" s="1420" t="n"/>
      <c r="G207" s="1421" t="n"/>
      <c r="H207" s="1421" t="n"/>
    </row>
    <row r="208" ht="14.25" customHeight="1" s="1158">
      <c r="F208" s="1420" t="n"/>
      <c r="G208" s="1421" t="n"/>
      <c r="H208" s="1421" t="n"/>
    </row>
    <row r="209" ht="14.25" customHeight="1" s="1158">
      <c r="F209" s="1420" t="n"/>
      <c r="G209" s="1421" t="n"/>
      <c r="H209" s="1421" t="n"/>
    </row>
    <row r="210" ht="14.25" customHeight="1" s="1158">
      <c r="F210" s="1420" t="n"/>
      <c r="G210" s="1421" t="n"/>
      <c r="H210" s="1421" t="n"/>
    </row>
    <row r="211" ht="14.25" customHeight="1" s="1158">
      <c r="F211" s="1420" t="n"/>
      <c r="G211" s="1421" t="n"/>
      <c r="H211" s="1421" t="n"/>
    </row>
    <row r="212" ht="14.25" customHeight="1" s="1158">
      <c r="F212" s="1420" t="n"/>
      <c r="G212" s="1421" t="n"/>
      <c r="H212" s="1421" t="n"/>
    </row>
    <row r="213" ht="14.25" customHeight="1" s="1158">
      <c r="F213" s="1420" t="n"/>
      <c r="G213" s="1421" t="n"/>
      <c r="H213" s="1421" t="n"/>
    </row>
    <row r="214" ht="14.25" customHeight="1" s="1158">
      <c r="F214" s="1420" t="n"/>
      <c r="G214" s="1421" t="n"/>
      <c r="H214" s="1421" t="n"/>
    </row>
    <row r="215" ht="14.25" customHeight="1" s="1158">
      <c r="F215" s="1420" t="n"/>
      <c r="G215" s="1421" t="n"/>
      <c r="H215" s="1421" t="n"/>
    </row>
    <row r="216" ht="14.25" customHeight="1" s="1158">
      <c r="F216" s="1420" t="n"/>
      <c r="G216" s="1421" t="n"/>
      <c r="H216" s="1421" t="n"/>
    </row>
    <row r="217" ht="14.25" customHeight="1" s="1158">
      <c r="F217" s="1420" t="n"/>
      <c r="G217" s="1421" t="n"/>
      <c r="H217" s="1421" t="n"/>
    </row>
    <row r="218" ht="14.25" customHeight="1" s="1158">
      <c r="F218" s="1420" t="n"/>
      <c r="G218" s="1421" t="n"/>
      <c r="H218" s="1421" t="n"/>
    </row>
    <row r="219" ht="14.25" customHeight="1" s="1158">
      <c r="F219" s="1420" t="n"/>
      <c r="G219" s="1421" t="n"/>
      <c r="H219" s="1421" t="n"/>
    </row>
    <row r="220" ht="14.25" customHeight="1" s="1158">
      <c r="F220" s="1420" t="n"/>
      <c r="G220" s="1421" t="n"/>
      <c r="H220" s="1421" t="n"/>
    </row>
    <row r="221" ht="14.25" customHeight="1" s="1158">
      <c r="F221" s="1420" t="n"/>
      <c r="G221" s="1421" t="n"/>
      <c r="H221" s="1421" t="n"/>
    </row>
    <row r="222" ht="14.25" customHeight="1" s="1158">
      <c r="F222" s="1420" t="n"/>
      <c r="G222" s="1421" t="n"/>
      <c r="H222" s="1421" t="n"/>
    </row>
    <row r="223" ht="14.25" customHeight="1" s="1158">
      <c r="F223" s="1420" t="n"/>
      <c r="G223" s="1421" t="n"/>
      <c r="H223" s="1421" t="n"/>
    </row>
    <row r="224" ht="14.25" customHeight="1" s="1158">
      <c r="F224" s="1420" t="n"/>
      <c r="G224" s="1421" t="n"/>
      <c r="H224" s="1421" t="n"/>
    </row>
    <row r="225" ht="14.25" customHeight="1" s="1158">
      <c r="F225" s="1420" t="n"/>
      <c r="G225" s="1421" t="n"/>
      <c r="H225" s="1421" t="n"/>
    </row>
    <row r="226" ht="14.25" customHeight="1" s="1158">
      <c r="F226" s="1420" t="n"/>
      <c r="G226" s="1421" t="n"/>
      <c r="H226" s="1421" t="n"/>
    </row>
    <row r="227" ht="14.25" customHeight="1" s="1158">
      <c r="F227" s="1420" t="n"/>
      <c r="G227" s="1421" t="n"/>
      <c r="H227" s="1421" t="n"/>
    </row>
    <row r="228" ht="14.25" customHeight="1" s="1158">
      <c r="F228" s="1420" t="n"/>
      <c r="G228" s="1421" t="n"/>
      <c r="H228" s="1421" t="n"/>
    </row>
    <row r="229" ht="14.25" customHeight="1" s="1158">
      <c r="F229" s="1420" t="n"/>
      <c r="G229" s="1421" t="n"/>
      <c r="H229" s="1421" t="n"/>
    </row>
    <row r="230" ht="14.25" customHeight="1" s="1158">
      <c r="F230" s="1420" t="n"/>
      <c r="G230" s="1421" t="n"/>
      <c r="H230" s="1421" t="n"/>
    </row>
    <row r="231" ht="14.25" customHeight="1" s="1158">
      <c r="F231" s="1420" t="n"/>
      <c r="G231" s="1421" t="n"/>
      <c r="H231" s="1421" t="n"/>
    </row>
    <row r="232" ht="14.25" customHeight="1" s="1158">
      <c r="F232" s="1420" t="n"/>
      <c r="G232" s="1421" t="n"/>
      <c r="H232" s="1421" t="n"/>
    </row>
    <row r="233" ht="14.25" customHeight="1" s="1158">
      <c r="F233" s="1420" t="n"/>
      <c r="G233" s="1421" t="n"/>
      <c r="H233" s="1421" t="n"/>
    </row>
    <row r="234" ht="14.25" customHeight="1" s="1158">
      <c r="F234" s="1420" t="n"/>
      <c r="G234" s="1421" t="n"/>
      <c r="H234" s="1421" t="n"/>
    </row>
    <row r="235" ht="14.25" customHeight="1" s="1158">
      <c r="F235" s="1420" t="n"/>
      <c r="G235" s="1421" t="n"/>
      <c r="H235" s="1421" t="n"/>
    </row>
    <row r="236" ht="14.25" customHeight="1" s="1158">
      <c r="F236" s="1420" t="n"/>
      <c r="G236" s="1421" t="n"/>
      <c r="H236" s="1421" t="n"/>
    </row>
    <row r="237" ht="14.25" customHeight="1" s="1158">
      <c r="F237" s="1420" t="n"/>
      <c r="G237" s="1421" t="n"/>
      <c r="H237" s="1421" t="n"/>
    </row>
    <row r="238" ht="14.25" customHeight="1" s="1158">
      <c r="F238" s="1420" t="n"/>
      <c r="G238" s="1421" t="n"/>
      <c r="H238" s="1421" t="n"/>
    </row>
    <row r="239" ht="14.25" customHeight="1" s="1158">
      <c r="F239" s="1420" t="n"/>
      <c r="G239" s="1421" t="n"/>
      <c r="H239" s="1421" t="n"/>
    </row>
    <row r="240" ht="14.25" customHeight="1" s="1158">
      <c r="F240" s="1420" t="n"/>
      <c r="G240" s="1421" t="n"/>
      <c r="H240" s="1421" t="n"/>
    </row>
    <row r="241" ht="14.25" customHeight="1" s="1158">
      <c r="F241" s="1420" t="n"/>
      <c r="G241" s="1421" t="n"/>
      <c r="H241" s="1421" t="n"/>
    </row>
    <row r="242" ht="14.25" customHeight="1" s="1158">
      <c r="F242" s="1420" t="n"/>
      <c r="G242" s="1421" t="n"/>
      <c r="H242" s="1421" t="n"/>
    </row>
    <row r="243" ht="14.25" customHeight="1" s="1158">
      <c r="F243" s="1420" t="n"/>
      <c r="G243" s="1421" t="n"/>
      <c r="H243" s="1421" t="n"/>
    </row>
    <row r="244" ht="14.25" customHeight="1" s="1158">
      <c r="F244" s="1420" t="n"/>
      <c r="G244" s="1421" t="n"/>
      <c r="H244" s="1421" t="n"/>
    </row>
    <row r="245" ht="14.25" customHeight="1" s="1158">
      <c r="F245" s="1420" t="n"/>
      <c r="G245" s="1421" t="n"/>
      <c r="H245" s="1421" t="n"/>
    </row>
    <row r="246" ht="14.25" customHeight="1" s="1158">
      <c r="F246" s="1420" t="n"/>
      <c r="G246" s="1421" t="n"/>
      <c r="H246" s="1421" t="n"/>
    </row>
    <row r="247" ht="14.25" customHeight="1" s="1158">
      <c r="F247" s="1420" t="n"/>
      <c r="G247" s="1421" t="n"/>
      <c r="H247" s="1421" t="n"/>
    </row>
    <row r="248" ht="14.25" customHeight="1" s="1158">
      <c r="F248" s="1420" t="n"/>
      <c r="G248" s="1421" t="n"/>
      <c r="H248" s="1421" t="n"/>
    </row>
    <row r="249" ht="14.25" customHeight="1" s="1158">
      <c r="F249" s="1420" t="n"/>
      <c r="G249" s="1421" t="n"/>
      <c r="H249" s="1421" t="n"/>
    </row>
    <row r="250" ht="14.25" customHeight="1" s="1158">
      <c r="F250" s="1420" t="n"/>
      <c r="G250" s="1421" t="n"/>
      <c r="H250" s="1421" t="n"/>
    </row>
    <row r="251" ht="14.25" customHeight="1" s="1158">
      <c r="F251" s="1420" t="n"/>
      <c r="G251" s="1421" t="n"/>
      <c r="H251" s="1421" t="n"/>
    </row>
    <row r="252" ht="14.25" customHeight="1" s="1158">
      <c r="F252" s="1420" t="n"/>
      <c r="G252" s="1421" t="n"/>
      <c r="H252" s="1421" t="n"/>
    </row>
    <row r="253" ht="14.25" customHeight="1" s="1158">
      <c r="F253" s="1420" t="n"/>
      <c r="G253" s="1421" t="n"/>
      <c r="H253" s="1421" t="n"/>
    </row>
    <row r="254" ht="14.25" customHeight="1" s="1158">
      <c r="F254" s="1420" t="n"/>
      <c r="G254" s="1421" t="n"/>
      <c r="H254" s="1421" t="n"/>
    </row>
    <row r="255" ht="14.25" customHeight="1" s="1158">
      <c r="F255" s="1420" t="n"/>
      <c r="G255" s="1421" t="n"/>
      <c r="H255" s="1421" t="n"/>
    </row>
    <row r="256" ht="14.25" customHeight="1" s="1158">
      <c r="F256" s="1420" t="n"/>
      <c r="G256" s="1421" t="n"/>
      <c r="H256" s="1421" t="n"/>
    </row>
    <row r="257" ht="14.25" customHeight="1" s="1158">
      <c r="F257" s="1420" t="n"/>
      <c r="G257" s="1421" t="n"/>
      <c r="H257" s="1421"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A11:S58"/>
    </sheetView>
  </sheetViews>
  <sheetFormatPr baseColWidth="8" defaultColWidth="9.11328125" defaultRowHeight="13.5" customHeight="0" zeroHeight="0" outlineLevelRow="0"/>
  <cols>
    <col width="21" customWidth="1" style="1448" min="1" max="1"/>
    <col width="12.67" customWidth="1" style="1449" min="2" max="13"/>
    <col width="9.109999999999999" customWidth="1" style="1450" min="14" max="16384"/>
  </cols>
  <sheetData>
    <row r="1" ht="61.5" customHeight="1" s="1158">
      <c r="A1" s="1451" t="n"/>
      <c r="B1" s="1452" t="inlineStr">
        <is>
          <t>FIELD SERVICE QUALITY SURVEY (OFFLINE)</t>
        </is>
      </c>
      <c r="C1" s="1171" t="n"/>
      <c r="D1" s="1171" t="n"/>
      <c r="E1" s="1171" t="n"/>
      <c r="F1" s="1171" t="n"/>
      <c r="G1" s="1171" t="n"/>
      <c r="H1" s="1171" t="n"/>
      <c r="I1" s="1171" t="n"/>
      <c r="J1" s="1171" t="n"/>
      <c r="K1" s="1168" t="n"/>
      <c r="L1" s="1453" t="n"/>
      <c r="M1" s="1168" t="n"/>
    </row>
    <row r="2" ht="15" customHeight="1" s="1158">
      <c r="A2" s="1454" t="inlineStr">
        <is>
          <t>DOCUMENT NUMBER</t>
        </is>
      </c>
      <c r="B2" s="1454" t="inlineStr">
        <is>
          <t>CLASSIFICATION</t>
        </is>
      </c>
      <c r="C2" s="1168" t="n"/>
      <c r="D2" s="1454" t="inlineStr">
        <is>
          <t>DOCUMENT LEVEL</t>
        </is>
      </c>
      <c r="E2" s="1168" t="n"/>
      <c r="F2" s="1454" t="inlineStr">
        <is>
          <t>REVISION NUMBER</t>
        </is>
      </c>
      <c r="G2" s="1168" t="n"/>
      <c r="H2" s="1454" t="inlineStr">
        <is>
          <t>ISSUE DATE</t>
        </is>
      </c>
      <c r="I2" s="1168" t="n"/>
      <c r="J2" s="1454" t="inlineStr">
        <is>
          <t>PREPARED BY</t>
        </is>
      </c>
      <c r="K2" s="1168" t="n"/>
      <c r="L2" s="1454" t="inlineStr">
        <is>
          <t>APPROVAL</t>
        </is>
      </c>
      <c r="M2" s="1168" t="n"/>
    </row>
    <row r="3" ht="26.25" customHeight="1" s="1158">
      <c r="A3" s="1455" t="inlineStr">
        <is>
          <t>GL-WFT-OEPS-L2-10.03</t>
        </is>
      </c>
      <c r="B3" s="1456" t="inlineStr">
        <is>
          <t>CONTROLLED</t>
        </is>
      </c>
      <c r="C3" s="1168" t="n"/>
      <c r="D3" s="1456" t="inlineStr">
        <is>
          <t>L5</t>
        </is>
      </c>
      <c r="E3" s="1168" t="n"/>
      <c r="F3" s="1456" t="n">
        <v>1</v>
      </c>
      <c r="G3" s="1168" t="n"/>
      <c r="H3" s="1457" t="inlineStr">
        <is>
          <t>09 SEP 2020</t>
        </is>
      </c>
      <c r="I3" s="1168" t="n"/>
      <c r="J3" s="1458" t="inlineStr">
        <is>
          <t>TECHNICAL ADVISORY COMMITTEE</t>
        </is>
      </c>
      <c r="K3" s="1168" t="n"/>
      <c r="L3" s="1456" t="inlineStr">
        <is>
          <t>OEP APPROVAL BOARD</t>
        </is>
      </c>
      <c r="M3" s="1168" t="n"/>
    </row>
    <row r="4" ht="37.5" customHeight="1" s="1158"/>
    <row r="5" ht="18" customHeight="1" s="1158">
      <c r="A5" s="1459" t="inlineStr">
        <is>
          <t>Date</t>
        </is>
      </c>
      <c r="B5" s="1460">
        <f>'Master Data'!E24</f>
        <v/>
      </c>
      <c r="C5" s="1461" t="n"/>
      <c r="D5" s="1461" t="n"/>
      <c r="E5" s="1461" t="n"/>
      <c r="F5" s="1461" t="n"/>
      <c r="G5" s="1461" t="n"/>
      <c r="H5" s="1462" t="n"/>
      <c r="I5" s="1463" t="n"/>
      <c r="L5" s="1450" t="n"/>
      <c r="M5" s="1450" t="n"/>
    </row>
    <row r="6" ht="18" customHeight="1" s="1158">
      <c r="A6" s="1464" t="inlineStr">
        <is>
          <t>Client</t>
        </is>
      </c>
      <c r="B6" s="1465">
        <f>'Master Data'!B3</f>
        <v/>
      </c>
      <c r="C6" s="1466" t="n"/>
      <c r="D6" s="1466" t="n"/>
      <c r="E6" s="1466" t="n"/>
      <c r="F6" s="1466" t="n"/>
      <c r="G6" s="1466" t="n"/>
      <c r="H6" s="1467" t="n"/>
      <c r="I6" s="1468" t="n"/>
      <c r="L6" s="1450" t="n"/>
      <c r="M6" s="1450" t="n"/>
    </row>
    <row r="7" ht="18" customHeight="1" s="1158">
      <c r="A7" s="1464" t="inlineStr">
        <is>
          <t>Client Contact</t>
        </is>
      </c>
      <c r="B7" s="1465">
        <f>'Master Data'!B4</f>
        <v/>
      </c>
      <c r="C7" s="1466" t="n"/>
      <c r="D7" s="1466" t="n"/>
      <c r="E7" s="1466" t="n"/>
      <c r="F7" s="1466" t="n"/>
      <c r="G7" s="1466" t="n"/>
      <c r="H7" s="1467" t="n"/>
      <c r="I7" s="1468" t="n"/>
      <c r="L7" s="1450" t="n"/>
      <c r="M7" s="1450" t="n"/>
    </row>
    <row r="8" ht="18" customHeight="1" s="1158">
      <c r="A8" s="1464" t="inlineStr">
        <is>
          <t>Project</t>
        </is>
      </c>
      <c r="B8" s="1465">
        <f>'Master Data'!E10</f>
        <v/>
      </c>
      <c r="C8" s="1466" t="n"/>
      <c r="D8" s="1466" t="n"/>
      <c r="E8" s="1466" t="n"/>
      <c r="F8" s="1466" t="n"/>
      <c r="G8" s="1466" t="n"/>
      <c r="H8" s="1467" t="n"/>
      <c r="I8" s="1468" t="n"/>
      <c r="L8" s="1450" t="n"/>
      <c r="M8" s="1450" t="n"/>
    </row>
    <row r="9" ht="18" customHeight="1" s="1158">
      <c r="A9" s="1464" t="inlineStr">
        <is>
          <t>Location</t>
        </is>
      </c>
      <c r="B9" s="1465">
        <f>'Master Data'!E8</f>
        <v/>
      </c>
      <c r="C9" s="1466" t="n"/>
      <c r="D9" s="1466" t="n"/>
      <c r="E9" s="1466" t="n"/>
      <c r="F9" s="1466" t="n"/>
      <c r="G9" s="1466" t="n"/>
      <c r="H9" s="1467" t="n"/>
      <c r="I9" s="1468" t="n"/>
      <c r="L9" s="1450" t="n"/>
      <c r="M9" s="1450" t="n"/>
    </row>
    <row r="10" ht="18" customHeight="1" s="1158">
      <c r="A10" s="1464" t="inlineStr">
        <is>
          <t>WFT Product Line</t>
        </is>
      </c>
      <c r="B10" s="1465" t="inlineStr">
        <is>
          <t>Completion</t>
        </is>
      </c>
      <c r="C10" s="1466" t="n"/>
      <c r="D10" s="1466" t="n"/>
      <c r="E10" s="1466" t="n"/>
      <c r="F10" s="1466" t="n"/>
      <c r="G10" s="1466" t="n"/>
      <c r="H10" s="1467" t="n"/>
      <c r="I10" s="1468" t="n"/>
      <c r="L10" s="1450" t="n"/>
      <c r="M10" s="1450" t="n"/>
    </row>
    <row r="11" ht="18" customHeight="1" s="1158">
      <c r="A11" s="1469" t="inlineStr">
        <is>
          <t>WFT Contact</t>
        </is>
      </c>
      <c r="B11" s="1470" t="inlineStr">
        <is>
          <t>Samy Ahmed</t>
        </is>
      </c>
      <c r="C11" s="1471" t="n"/>
      <c r="D11" s="1471" t="n"/>
      <c r="E11" s="1471" t="n"/>
      <c r="F11" s="1471" t="n"/>
      <c r="G11" s="1471" t="n"/>
      <c r="H11" s="1472" t="n"/>
      <c r="I11" s="1468" t="n"/>
      <c r="L11" s="1450" t="n"/>
      <c r="M11" s="1450" t="n"/>
    </row>
    <row r="12" ht="40.5" customHeight="1" s="1158">
      <c r="M12" s="1473" t="inlineStr">
        <is>
          <t>Mark 'X' Below Coloured Performance Score</t>
        </is>
      </c>
    </row>
    <row r="13" ht="18" customHeight="1" s="1158">
      <c r="A13" s="1474" t="inlineStr">
        <is>
          <t>Personnel</t>
        </is>
      </c>
      <c r="B13" s="1475" t="n">
        <v>1</v>
      </c>
      <c r="C13" s="1476" t="n"/>
      <c r="D13" s="1477" t="n">
        <v>2</v>
      </c>
      <c r="E13" s="1476" t="n"/>
      <c r="F13" s="1478" t="n">
        <v>3</v>
      </c>
      <c r="G13" s="1476" t="n"/>
      <c r="H13" s="1479" t="n">
        <v>4</v>
      </c>
      <c r="I13" s="1476" t="n"/>
      <c r="J13" s="1480" t="n">
        <v>5</v>
      </c>
      <c r="K13" s="1476" t="n"/>
      <c r="L13" s="1481" t="n">
        <v>6</v>
      </c>
      <c r="M13" s="1482" t="n"/>
    </row>
    <row r="14" ht="18" customHeight="1" s="1158">
      <c r="A14" s="1483" t="n"/>
      <c r="B14" s="1484" t="n"/>
      <c r="C14" s="1485" t="n"/>
      <c r="D14" s="1484" t="n"/>
      <c r="E14" s="1485" t="n"/>
      <c r="F14" s="1484" t="n"/>
      <c r="G14" s="1485" t="n"/>
      <c r="H14" s="1484" t="n"/>
      <c r="I14" s="1485" t="n"/>
      <c r="J14" s="1484" t="n"/>
      <c r="K14" s="1485" t="n"/>
      <c r="L14" s="1486" t="n"/>
      <c r="M14" s="1487" t="n"/>
    </row>
    <row r="15" ht="18" customHeight="1" s="1158">
      <c r="A15" s="1483" t="n"/>
      <c r="B15" s="1488" t="inlineStr">
        <is>
          <t>Failure</t>
        </is>
      </c>
      <c r="C15" s="1489" t="n"/>
      <c r="D15" s="1488" t="inlineStr">
        <is>
          <t>Poor</t>
        </is>
      </c>
      <c r="E15" s="1489" t="n"/>
      <c r="F15" s="1488" t="inlineStr">
        <is>
          <t>Mediocre</t>
        </is>
      </c>
      <c r="G15" s="1489" t="n"/>
      <c r="H15" s="1488" t="inlineStr">
        <is>
          <t>Satisfactory</t>
        </is>
      </c>
      <c r="I15" s="1489" t="n"/>
      <c r="J15" s="1488" t="inlineStr">
        <is>
          <t>Good</t>
        </is>
      </c>
      <c r="K15" s="1489" t="n"/>
      <c r="L15" s="1490" t="inlineStr">
        <is>
          <t>Excellent</t>
        </is>
      </c>
      <c r="M15" s="1491" t="n"/>
    </row>
    <row r="16" ht="66" customHeight="1" s="1158">
      <c r="A16" s="1492" t="n"/>
      <c r="B16" s="1493" t="inlineStr">
        <is>
          <t xml:space="preserve">Personnel are not sufficiently trained nor competent to provide  the specific service(s) requested.
</t>
        </is>
      </c>
      <c r="C16" s="1492" t="n"/>
      <c r="D16" s="1494" t="inlineStr">
        <is>
          <t>Insufficient trained and competent personnel to provide satisfactory service.</t>
        </is>
      </c>
      <c r="E16" s="1492" t="n"/>
      <c r="F16" s="1494" t="inlineStr">
        <is>
          <t>Personnel were not fully equipped to be able to provide completely satisfactory service.</t>
        </is>
      </c>
      <c r="G16" s="1492" t="n"/>
      <c r="H16" s="1494" t="inlineStr">
        <is>
          <t>Personnel are trained and competent to provide the requested service.</t>
        </is>
      </c>
      <c r="I16" s="1492" t="n"/>
      <c r="J16" s="1494" t="inlineStr">
        <is>
          <t>Personnel are competent and experienced in service provided.</t>
        </is>
      </c>
      <c r="K16" s="1492" t="n"/>
      <c r="L16" s="1495" t="inlineStr">
        <is>
          <t>Disciplined and professional. Performance is amongst the highest relative to peers.</t>
        </is>
      </c>
      <c r="M16" s="1496" t="n"/>
    </row>
    <row r="17" ht="15" customHeight="1" s="1158">
      <c r="A17" s="1497" t="n"/>
      <c r="B17" s="1498" t="n"/>
      <c r="C17" s="1498" t="n"/>
      <c r="D17" s="1498" t="n"/>
      <c r="E17" s="1498" t="n"/>
      <c r="F17" s="1498" t="n"/>
      <c r="G17" s="1498" t="n"/>
      <c r="H17" s="1498" t="n"/>
      <c r="I17" s="1498" t="n"/>
      <c r="J17" s="1498" t="n"/>
      <c r="K17" s="1498" t="n"/>
      <c r="L17" s="1498" t="n"/>
      <c r="M17" s="1473" t="inlineStr">
        <is>
          <t>Mark 'X' Below Coloured Performance Score</t>
        </is>
      </c>
    </row>
    <row r="18" ht="18" customHeight="1" s="1158">
      <c r="A18" s="1474" t="inlineStr">
        <is>
          <t>Equipment / Service</t>
        </is>
      </c>
      <c r="B18" s="1475" t="n">
        <v>1</v>
      </c>
      <c r="C18" s="1476" t="n"/>
      <c r="D18" s="1477" t="n">
        <v>2</v>
      </c>
      <c r="E18" s="1476" t="n"/>
      <c r="F18" s="1478" t="n">
        <v>3</v>
      </c>
      <c r="G18" s="1476" t="n"/>
      <c r="H18" s="1479" t="n">
        <v>4</v>
      </c>
      <c r="I18" s="1476" t="n"/>
      <c r="J18" s="1480" t="n">
        <v>5</v>
      </c>
      <c r="K18" s="1476" t="n"/>
      <c r="L18" s="1481" t="n">
        <v>6</v>
      </c>
      <c r="M18" s="1482" t="n"/>
    </row>
    <row r="19" ht="18" customHeight="1" s="1158">
      <c r="A19" s="1483" t="n"/>
      <c r="B19" s="1484" t="n"/>
      <c r="C19" s="1485" t="n"/>
      <c r="D19" s="1484" t="n"/>
      <c r="E19" s="1485" t="n"/>
      <c r="F19" s="1484" t="n"/>
      <c r="G19" s="1485" t="n"/>
      <c r="H19" s="1484" t="n"/>
      <c r="I19" s="1485" t="n"/>
      <c r="J19" s="1484" t="n"/>
      <c r="K19" s="1485" t="n"/>
      <c r="L19" s="1486" t="n"/>
      <c r="M19" s="1487" t="n"/>
    </row>
    <row r="20" ht="18" customHeight="1" s="1158">
      <c r="A20" s="1483" t="n"/>
      <c r="B20" s="1488" t="inlineStr">
        <is>
          <t>Failure</t>
        </is>
      </c>
      <c r="C20" s="1489" t="n"/>
      <c r="D20" s="1488" t="inlineStr">
        <is>
          <t>Poor</t>
        </is>
      </c>
      <c r="E20" s="1489" t="n"/>
      <c r="F20" s="1488" t="inlineStr">
        <is>
          <t>Mediocre</t>
        </is>
      </c>
      <c r="G20" s="1489" t="n"/>
      <c r="H20" s="1488" t="inlineStr">
        <is>
          <t>Satisfactory</t>
        </is>
      </c>
      <c r="I20" s="1489" t="n"/>
      <c r="J20" s="1488" t="inlineStr">
        <is>
          <t>Good</t>
        </is>
      </c>
      <c r="K20" s="1489" t="n"/>
      <c r="L20" s="1490" t="inlineStr">
        <is>
          <t>Excellent</t>
        </is>
      </c>
      <c r="M20" s="1491" t="n"/>
    </row>
    <row r="21" ht="66" customHeight="1" s="1158">
      <c r="A21" s="1492" t="n"/>
      <c r="B21" s="1494" t="inlineStr">
        <is>
          <t xml:space="preserve">Equipment/Service not fit for use.
</t>
        </is>
      </c>
      <c r="C21" s="1492" t="n"/>
      <c r="D21" s="1494" t="inlineStr">
        <is>
          <t>Inadequate and/or unreliable equipment/service provided.</t>
        </is>
      </c>
      <c r="E21" s="1492" t="n"/>
      <c r="F21" s="1494" t="inlineStr">
        <is>
          <t xml:space="preserve">Equipment/Service performed but problems were encountered, and level of quality was below expectation. </t>
        </is>
      </c>
      <c r="G21" s="1492" t="n"/>
      <c r="H21" s="1494" t="inlineStr">
        <is>
          <t>The quantity and quality of equipment/service is adequate to provide the service requested.</t>
        </is>
      </c>
      <c r="I21" s="1492" t="n"/>
      <c r="J21" s="1494" t="inlineStr">
        <is>
          <t xml:space="preserve">The equipment/service provided is fit for use, well maintained and reliable. </t>
        </is>
      </c>
      <c r="K21" s="1492" t="n"/>
      <c r="L21" s="1495" t="inlineStr">
        <is>
          <t>Equipment/Service exceeded expectations. Performance is amongst the highest relative to peers.</t>
        </is>
      </c>
      <c r="M21" s="1496" t="n"/>
    </row>
    <row r="22" ht="15" customHeight="1" s="1158">
      <c r="A22" s="1497" t="n"/>
      <c r="B22" s="1498" t="n"/>
      <c r="C22" s="1498" t="n"/>
      <c r="D22" s="1498" t="n"/>
      <c r="E22" s="1498" t="n"/>
      <c r="F22" s="1498" t="n"/>
      <c r="G22" s="1498" t="n"/>
      <c r="H22" s="1498" t="n"/>
      <c r="I22" s="1498" t="n"/>
      <c r="J22" s="1498" t="n"/>
      <c r="K22" s="1498" t="n"/>
      <c r="L22" s="1498" t="n"/>
      <c r="M22" s="1473" t="inlineStr">
        <is>
          <t>Mark 'X' Below Coloured Performance Score</t>
        </is>
      </c>
    </row>
    <row r="23" ht="18" customHeight="1" s="1158">
      <c r="A23" s="1474" t="inlineStr">
        <is>
          <t>Communication</t>
        </is>
      </c>
      <c r="B23" s="1475" t="n">
        <v>1</v>
      </c>
      <c r="C23" s="1476" t="n"/>
      <c r="D23" s="1477" t="n">
        <v>2</v>
      </c>
      <c r="E23" s="1476" t="n"/>
      <c r="F23" s="1478" t="n">
        <v>3</v>
      </c>
      <c r="G23" s="1476" t="n"/>
      <c r="H23" s="1479" t="n">
        <v>4</v>
      </c>
      <c r="I23" s="1476" t="n"/>
      <c r="J23" s="1480" t="n">
        <v>5</v>
      </c>
      <c r="K23" s="1476" t="n"/>
      <c r="L23" s="1481" t="n">
        <v>6</v>
      </c>
      <c r="M23" s="1482" t="n"/>
    </row>
    <row r="24" ht="18" customHeight="1" s="1158">
      <c r="A24" s="1483" t="n"/>
      <c r="B24" s="1484" t="n"/>
      <c r="C24" s="1485" t="n"/>
      <c r="D24" s="1484" t="n"/>
      <c r="E24" s="1485" t="n"/>
      <c r="F24" s="1484" t="n"/>
      <c r="G24" s="1485" t="n"/>
      <c r="H24" s="1484" t="n"/>
      <c r="I24" s="1485" t="n"/>
      <c r="J24" s="1484" t="n"/>
      <c r="K24" s="1485" t="n"/>
      <c r="L24" s="1486" t="n"/>
      <c r="M24" s="1487" t="n"/>
    </row>
    <row r="25" ht="18" customHeight="1" s="1158">
      <c r="A25" s="1483" t="n"/>
      <c r="B25" s="1488" t="inlineStr">
        <is>
          <t>Failure</t>
        </is>
      </c>
      <c r="C25" s="1489" t="n"/>
      <c r="D25" s="1488" t="inlineStr">
        <is>
          <t>Poor</t>
        </is>
      </c>
      <c r="E25" s="1489" t="n"/>
      <c r="F25" s="1488" t="inlineStr">
        <is>
          <t>Mediocre</t>
        </is>
      </c>
      <c r="G25" s="1489" t="n"/>
      <c r="H25" s="1488" t="inlineStr">
        <is>
          <t>Satisfactory</t>
        </is>
      </c>
      <c r="I25" s="1489" t="n"/>
      <c r="J25" s="1488" t="inlineStr">
        <is>
          <t>Good</t>
        </is>
      </c>
      <c r="K25" s="1489" t="n"/>
      <c r="L25" s="1490" t="inlineStr">
        <is>
          <t>Excellent</t>
        </is>
      </c>
      <c r="M25" s="1491" t="n"/>
    </row>
    <row r="26" ht="66" customHeight="1" s="1158">
      <c r="A26" s="1492" t="n"/>
      <c r="B26" s="1494" t="inlineStr">
        <is>
          <t>Failed to understand customer requirements and/or personnel do not function as a team.</t>
        </is>
      </c>
      <c r="C26" s="1492" t="n"/>
      <c r="D26" s="1494" t="inlineStr">
        <is>
          <t xml:space="preserve">Unsatisfactory communication with customer and/or between team members. </t>
        </is>
      </c>
      <c r="E26" s="1492" t="n"/>
      <c r="F26" s="1494" t="inlineStr">
        <is>
          <t>Low level of communication with customer and between team members.</t>
        </is>
      </c>
      <c r="G26" s="1492" t="n"/>
      <c r="H26" s="1494" t="inlineStr">
        <is>
          <t>Satisfactory communication with customer and between team members.</t>
        </is>
      </c>
      <c r="I26" s="1492" t="n"/>
      <c r="J26" s="1494" t="inlineStr">
        <is>
          <t>Good understanding of customer requirements. Personnel work well as a team.</t>
        </is>
      </c>
      <c r="K26" s="1492" t="n"/>
      <c r="L26" s="1495" t="inlineStr">
        <is>
          <t>Personnel are responsive to customer requirements and foster collaboration amongst all stakeholders</t>
        </is>
      </c>
      <c r="M26" s="1496" t="n"/>
    </row>
    <row r="27" ht="15" customHeight="1" s="1158">
      <c r="A27" s="1497" t="n"/>
      <c r="B27" s="1498" t="n"/>
      <c r="C27" s="1498" t="n"/>
      <c r="D27" s="1498" t="n"/>
      <c r="E27" s="1498" t="n"/>
      <c r="F27" s="1498" t="n"/>
      <c r="G27" s="1498" t="n"/>
      <c r="H27" s="1498" t="n"/>
      <c r="I27" s="1498" t="n"/>
      <c r="J27" s="1498" t="n"/>
      <c r="K27" s="1498" t="n"/>
      <c r="L27" s="1498" t="n"/>
      <c r="M27" s="1473" t="inlineStr">
        <is>
          <t>Mark 'X' Below Coloured Performance Score</t>
        </is>
      </c>
    </row>
    <row r="28" ht="18" customHeight="1" s="1158">
      <c r="A28" s="1474" t="inlineStr">
        <is>
          <t>HSSE</t>
        </is>
      </c>
      <c r="B28" s="1475" t="n">
        <v>1</v>
      </c>
      <c r="C28" s="1476" t="n"/>
      <c r="D28" s="1477" t="n">
        <v>2</v>
      </c>
      <c r="E28" s="1476" t="n"/>
      <c r="F28" s="1478" t="n">
        <v>3</v>
      </c>
      <c r="G28" s="1476" t="n"/>
      <c r="H28" s="1479" t="n">
        <v>4</v>
      </c>
      <c r="I28" s="1476" t="n"/>
      <c r="J28" s="1480" t="n">
        <v>5</v>
      </c>
      <c r="K28" s="1476" t="n"/>
      <c r="L28" s="1481" t="n">
        <v>6</v>
      </c>
      <c r="M28" s="1482" t="n"/>
    </row>
    <row r="29" ht="18" customHeight="1" s="1158">
      <c r="A29" s="1483" t="n"/>
      <c r="B29" s="1499" t="n"/>
      <c r="C29" s="1485" t="n"/>
      <c r="D29" s="1499" t="n"/>
      <c r="E29" s="1485" t="n"/>
      <c r="F29" s="1499" t="n"/>
      <c r="G29" s="1485" t="n"/>
      <c r="H29" s="1499" t="n"/>
      <c r="I29" s="1485" t="n"/>
      <c r="J29" s="1499" t="n"/>
      <c r="K29" s="1485" t="n"/>
      <c r="L29" s="1500" t="n"/>
      <c r="M29" s="1487" t="n"/>
    </row>
    <row r="30" ht="18" customHeight="1" s="1158">
      <c r="A30" s="1483" t="n"/>
      <c r="B30" s="1488" t="inlineStr">
        <is>
          <t>Failure</t>
        </is>
      </c>
      <c r="C30" s="1489" t="n"/>
      <c r="D30" s="1488" t="inlineStr">
        <is>
          <t>Poor</t>
        </is>
      </c>
      <c r="E30" s="1489" t="n"/>
      <c r="F30" s="1488" t="inlineStr">
        <is>
          <t>Mediocre</t>
        </is>
      </c>
      <c r="G30" s="1489" t="n"/>
      <c r="H30" s="1488" t="inlineStr">
        <is>
          <t>Satisfactory</t>
        </is>
      </c>
      <c r="I30" s="1489" t="n"/>
      <c r="J30" s="1488" t="inlineStr">
        <is>
          <t>Good</t>
        </is>
      </c>
      <c r="K30" s="1489" t="n"/>
      <c r="L30" s="1490" t="inlineStr">
        <is>
          <t>Excellent</t>
        </is>
      </c>
      <c r="M30" s="1491" t="n"/>
    </row>
    <row r="31" ht="66" customHeight="1" s="1158">
      <c r="A31" s="1492" t="n"/>
      <c r="B31" s="1494" t="inlineStr">
        <is>
          <t xml:space="preserve">  Loss and/or damage occurred due to Weatherford.                        Ineffective HSSE processes.</t>
        </is>
      </c>
      <c r="C31" s="1492" t="n"/>
      <c r="D31" s="1494" t="inlineStr">
        <is>
          <t>Loss and/or damage occurred due to Weatherford.                           HSSE processes not followed.</t>
        </is>
      </c>
      <c r="E31" s="1492" t="n"/>
      <c r="F31" s="1494" t="inlineStr">
        <is>
          <t>No loss or damage encountered but HSSE processes were not visible / adhered to.</t>
        </is>
      </c>
      <c r="G31" s="1492" t="n"/>
      <c r="H31" s="1494" t="inlineStr">
        <is>
          <t>No loss or damage due to Weatherford. Effective HSSE processes and adherence.</t>
        </is>
      </c>
      <c r="I31" s="1492" t="n"/>
      <c r="J31" s="1494" t="inlineStr">
        <is>
          <t>All operations conducted in a safe manner, in accordance with Risk Assessment &amp; HSSE Processes.</t>
        </is>
      </c>
      <c r="K31" s="1492" t="n"/>
      <c r="L31" s="1495" t="inlineStr">
        <is>
          <t xml:space="preserve">HSSE performance exceeds expectations. Performance is amongst the highest relative to peers. </t>
        </is>
      </c>
      <c r="M31" s="1496" t="n"/>
    </row>
    <row r="32" ht="15" customHeight="1" s="1158">
      <c r="A32" s="1497" t="n"/>
      <c r="B32" s="1498" t="n"/>
      <c r="C32" s="1498" t="n"/>
      <c r="D32" s="1498" t="n"/>
      <c r="E32" s="1498" t="n"/>
      <c r="F32" s="1498" t="n"/>
      <c r="G32" s="1498" t="n"/>
      <c r="H32" s="1498" t="n"/>
      <c r="I32" s="1498" t="n"/>
      <c r="J32" s="1498" t="n"/>
      <c r="K32" s="1498" t="n"/>
      <c r="L32" s="1498" t="n"/>
      <c r="M32" s="1473" t="inlineStr">
        <is>
          <t>Mark 'X' Below Coloured Performance Score</t>
        </is>
      </c>
    </row>
    <row r="33" ht="18" customHeight="1" s="1158">
      <c r="A33" s="1474" t="inlineStr">
        <is>
          <t>Overall</t>
        </is>
      </c>
      <c r="B33" s="1475" t="n">
        <v>1</v>
      </c>
      <c r="C33" s="1476" t="n"/>
      <c r="D33" s="1477" t="n">
        <v>2</v>
      </c>
      <c r="E33" s="1476" t="n"/>
      <c r="F33" s="1478" t="n">
        <v>3</v>
      </c>
      <c r="G33" s="1476" t="n"/>
      <c r="H33" s="1479" t="n">
        <v>4</v>
      </c>
      <c r="I33" s="1476" t="n"/>
      <c r="J33" s="1480" t="n">
        <v>5</v>
      </c>
      <c r="K33" s="1476" t="n"/>
      <c r="L33" s="1481" t="n">
        <v>6</v>
      </c>
      <c r="M33" s="1482" t="n"/>
    </row>
    <row r="34" ht="18" customHeight="1" s="1158">
      <c r="A34" s="1483" t="n"/>
      <c r="B34" s="1484" t="n"/>
      <c r="C34" s="1485" t="n"/>
      <c r="D34" s="1484" t="n"/>
      <c r="E34" s="1485" t="n"/>
      <c r="F34" s="1484" t="n"/>
      <c r="G34" s="1485" t="n"/>
      <c r="H34" s="1484" t="n"/>
      <c r="I34" s="1485" t="n"/>
      <c r="J34" s="1484" t="n"/>
      <c r="K34" s="1485" t="n"/>
      <c r="L34" s="1486" t="n"/>
      <c r="M34" s="1487" t="n"/>
    </row>
    <row r="35" ht="18" customHeight="1" s="1158">
      <c r="A35" s="1483" t="n"/>
      <c r="B35" s="1488" t="inlineStr">
        <is>
          <t>Failure</t>
        </is>
      </c>
      <c r="C35" s="1489" t="n"/>
      <c r="D35" s="1488" t="inlineStr">
        <is>
          <t>Poor</t>
        </is>
      </c>
      <c r="E35" s="1489" t="n"/>
      <c r="F35" s="1488" t="inlineStr">
        <is>
          <t>Mediocre</t>
        </is>
      </c>
      <c r="G35" s="1489" t="n"/>
      <c r="H35" s="1488" t="inlineStr">
        <is>
          <t>Satisfactory</t>
        </is>
      </c>
      <c r="I35" s="1489" t="n"/>
      <c r="J35" s="1488" t="inlineStr">
        <is>
          <t>Good</t>
        </is>
      </c>
      <c r="K35" s="1489" t="n"/>
      <c r="L35" s="1490" t="inlineStr">
        <is>
          <t>Excellent</t>
        </is>
      </c>
      <c r="M35" s="1491" t="n"/>
    </row>
    <row r="36" ht="66" customHeight="1" s="1158">
      <c r="A36" s="1492" t="n"/>
      <c r="B36" s="1494" t="inlineStr">
        <is>
          <t>The overall level of service does not meet expectations and is amongst the lowest relative to peers.</t>
        </is>
      </c>
      <c r="C36" s="1492" t="n"/>
      <c r="D36" s="1494" t="inlineStr">
        <is>
          <t xml:space="preserve"> The overall level of service does not meet expectations</t>
        </is>
      </c>
      <c r="E36" s="1492" t="n"/>
      <c r="F36" s="1494" t="inlineStr">
        <is>
          <t>The requirements were met but overall service quality was below expectation.</t>
        </is>
      </c>
      <c r="G36" s="1492" t="n"/>
      <c r="H36" s="1494" t="inlineStr">
        <is>
          <t>The level of service provided conforms to mutually agreed requirements, the first time.</t>
        </is>
      </c>
      <c r="I36" s="1492" t="n"/>
      <c r="J36" s="1494" t="inlineStr">
        <is>
          <t>The overall level of service is good and exceeded expectations in some area.</t>
        </is>
      </c>
      <c r="K36" s="1492" t="n"/>
      <c r="L36" s="1495" t="inlineStr">
        <is>
          <t xml:space="preserve">Level of service provided exceeds expectations and is amongst the highest relative to peers. </t>
        </is>
      </c>
      <c r="M36" s="1496" t="n"/>
    </row>
    <row r="37" ht="15" customHeight="1" s="1158">
      <c r="A37" s="1501" t="n"/>
      <c r="B37" s="1498" t="n"/>
      <c r="C37" s="1498" t="n"/>
      <c r="D37" s="1498" t="n"/>
      <c r="E37" s="1498" t="n"/>
      <c r="F37" s="1498" t="n"/>
      <c r="G37" s="1498" t="n"/>
      <c r="H37" s="1498" t="n"/>
      <c r="I37" s="1498" t="n"/>
      <c r="J37" s="1498" t="n"/>
      <c r="K37" s="1498" t="n"/>
      <c r="L37" s="1498" t="n"/>
      <c r="M37" s="1498" t="n"/>
    </row>
    <row r="38" ht="18" customHeight="1" s="1158">
      <c r="A38" s="1502" t="inlineStr">
        <is>
          <t xml:space="preserve">How Can We Improve?
</t>
        </is>
      </c>
      <c r="B38" s="1503" t="n"/>
      <c r="C38" s="1503" t="n"/>
      <c r="D38" s="1503" t="n"/>
      <c r="E38" s="1503" t="n"/>
      <c r="F38" s="1503" t="n"/>
      <c r="G38" s="1504" t="n"/>
      <c r="H38" s="1504" t="n"/>
      <c r="I38" s="1504" t="n"/>
      <c r="J38" s="1504" t="n"/>
      <c r="K38" s="1504" t="n"/>
      <c r="L38" s="1504" t="n"/>
      <c r="M38" s="1504" t="n"/>
    </row>
    <row r="39" ht="18" customHeight="1" s="1158">
      <c r="B39" s="1505" t="n"/>
      <c r="C39" s="1297" t="n"/>
      <c r="D39" s="1297" t="n"/>
      <c r="E39" s="1297" t="n"/>
      <c r="F39" s="1297" t="n"/>
      <c r="G39" s="1297" t="n"/>
      <c r="H39" s="1297" t="n"/>
      <c r="I39" s="1297" t="n"/>
      <c r="J39" s="1297" t="n"/>
      <c r="K39" s="1297" t="n"/>
      <c r="L39" s="1297" t="n"/>
      <c r="M39" s="1506" t="n"/>
    </row>
    <row r="40" ht="84" customHeight="1" s="1158">
      <c r="A40" s="1507" t="n"/>
      <c r="B40" s="1508" t="n"/>
      <c r="C40" s="1509" t="n"/>
      <c r="D40" s="1509" t="n"/>
      <c r="E40" s="1509" t="n"/>
      <c r="F40" s="1509" t="n"/>
      <c r="G40" s="1509" t="n"/>
      <c r="H40" s="1509" t="n"/>
      <c r="I40" s="1509" t="n"/>
      <c r="J40" s="1509" t="n"/>
      <c r="K40" s="1509" t="n"/>
      <c r="L40" s="1509" t="n"/>
      <c r="M40" s="1510" t="n"/>
    </row>
    <row r="41" ht="13.5" customFormat="1" customHeight="1" s="1511">
      <c r="A41" s="1512" t="n"/>
      <c r="B41" s="1513" t="n"/>
      <c r="C41" s="1513" t="n"/>
      <c r="D41" s="1513" t="n"/>
      <c r="E41" s="1513" t="n"/>
      <c r="F41" s="1513" t="n"/>
      <c r="G41" s="1513" t="n"/>
      <c r="H41" s="1513" t="n"/>
      <c r="I41" s="1513" t="n"/>
      <c r="J41" s="1513" t="n"/>
      <c r="K41" s="1513" t="n"/>
      <c r="L41" s="1513" t="n"/>
      <c r="M41" s="1513" t="n"/>
    </row>
    <row r="42" ht="13.5" customFormat="1" customHeight="1" s="1511">
      <c r="A42" s="1512" t="n"/>
      <c r="B42" s="1513" t="n"/>
      <c r="C42" s="1513" t="n"/>
      <c r="D42" s="1513" t="n"/>
      <c r="E42" s="1513" t="n"/>
      <c r="F42" s="1513" t="n"/>
      <c r="G42" s="1513" t="n"/>
      <c r="H42" s="1513" t="n"/>
      <c r="I42" s="1513" t="n"/>
      <c r="J42" s="1513" t="n"/>
      <c r="K42" s="1514"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511">
      <c r="A43" s="1512" t="n"/>
      <c r="B43" s="1513" t="n"/>
      <c r="C43" s="1513" t="n"/>
      <c r="D43" s="1513" t="n"/>
      <c r="E43" s="1513" t="n"/>
      <c r="F43" s="1513" t="n"/>
      <c r="G43" s="1513" t="n"/>
      <c r="H43" s="1513" t="n"/>
      <c r="I43" s="1513" t="n"/>
      <c r="J43" s="1513" t="n"/>
    </row>
    <row r="44" ht="13.5" customFormat="1" customHeight="1" s="1511">
      <c r="A44" s="1515">
        <f>'Master Data'!B4</f>
        <v/>
      </c>
      <c r="E44" s="1513" t="n"/>
      <c r="F44" s="1515">
        <f>'Master Data'!B21</f>
        <v/>
      </c>
      <c r="J44" s="1513" t="n"/>
    </row>
    <row r="45" ht="13.5" customFormat="1" customHeight="1" s="1511">
      <c r="A45" s="1193" t="n"/>
      <c r="B45" s="1193" t="n"/>
      <c r="C45" s="1193" t="n"/>
      <c r="D45" s="1193" t="n"/>
      <c r="E45" s="1513" t="n"/>
      <c r="F45" s="1193" t="n"/>
      <c r="G45" s="1193" t="n"/>
      <c r="H45" s="1193" t="n"/>
      <c r="I45" s="1193" t="n"/>
      <c r="J45" s="1516" t="n"/>
    </row>
    <row r="46" ht="13.5" customFormat="1" customHeight="1" s="1511">
      <c r="A46" s="1517" t="inlineStr">
        <is>
          <t>Customer Representative</t>
        </is>
      </c>
      <c r="B46" s="1518" t="n"/>
      <c r="C46" s="1518" t="n"/>
      <c r="D46" s="1518" t="n"/>
      <c r="E46" s="1519" t="n"/>
      <c r="F46" s="1517" t="inlineStr">
        <is>
          <t>Weatherford Representative</t>
        </is>
      </c>
      <c r="G46" s="1519" t="n"/>
      <c r="H46" s="1519" t="n"/>
      <c r="I46" s="1519" t="n"/>
    </row>
    <row r="47" ht="23.25" customFormat="1" customHeight="1" s="1511">
      <c r="A47" s="1520" t="n"/>
      <c r="B47" s="1519" t="n"/>
      <c r="C47" s="1519" t="n"/>
      <c r="D47" s="1519" t="n"/>
      <c r="E47" s="1519" t="n"/>
      <c r="F47" s="1519" t="n"/>
      <c r="G47" s="1519" t="n"/>
      <c r="H47" s="1519" t="n"/>
      <c r="I47" s="1519" t="n"/>
      <c r="J47" s="1513" t="n"/>
    </row>
    <row r="48" ht="13.5" customFormat="1" customHeight="1" s="1511">
      <c r="A48" s="1515" t="n"/>
      <c r="E48" s="1519" t="n"/>
      <c r="F48" s="1515" t="n"/>
      <c r="J48" s="1513" t="n"/>
    </row>
    <row r="49" ht="13.5" customFormat="1" customHeight="1" s="1511">
      <c r="A49" s="1193" t="n"/>
      <c r="B49" s="1193" t="n"/>
      <c r="C49" s="1193" t="n"/>
      <c r="D49" s="1193" t="n"/>
      <c r="E49" s="1519" t="n"/>
      <c r="F49" s="1193" t="n"/>
      <c r="G49" s="1193" t="n"/>
      <c r="H49" s="1193" t="n"/>
      <c r="I49" s="1193" t="n"/>
      <c r="J49" s="1516" t="n"/>
    </row>
    <row r="50" ht="13.5" customFormat="1" customHeight="1" s="1511">
      <c r="A50" s="1517" t="inlineStr">
        <is>
          <t>Signature</t>
        </is>
      </c>
      <c r="B50" s="1518" t="inlineStr">
        <is>
          <t> </t>
        </is>
      </c>
      <c r="C50" s="1518" t="n"/>
      <c r="D50" s="1518" t="n"/>
      <c r="E50" s="1519" t="n"/>
      <c r="F50" s="1517" t="inlineStr">
        <is>
          <t>Signature</t>
        </is>
      </c>
      <c r="G50" s="1519" t="n"/>
      <c r="H50" s="1519" t="n"/>
      <c r="I50" s="1519" t="n"/>
    </row>
    <row r="51" ht="13.5" customFormat="1" customHeight="1" s="1511">
      <c r="A51" s="1512" t="n"/>
      <c r="B51" s="1513" t="n"/>
      <c r="C51" s="1513" t="n"/>
      <c r="D51" s="1513" t="n"/>
      <c r="E51" s="1513" t="n"/>
      <c r="F51" s="1513" t="n"/>
      <c r="G51" s="1513" t="n"/>
      <c r="H51" s="1513" t="n"/>
      <c r="I51" s="1513" t="n"/>
      <c r="J51" s="1513" t="n"/>
    </row>
    <row r="52" ht="12.75" customFormat="1" customHeight="1" s="1511">
      <c r="A52" s="1512" t="n"/>
      <c r="B52" s="1521" t="n"/>
      <c r="C52" s="1521" t="n"/>
      <c r="D52" s="1521" t="n"/>
      <c r="E52" s="1521" t="n"/>
      <c r="F52" s="1521" t="n"/>
      <c r="G52" s="1521" t="n"/>
      <c r="H52" s="1521" t="n"/>
      <c r="I52" s="1521" t="n"/>
      <c r="J52" s="1521" t="n"/>
    </row>
    <row r="53" ht="13.5" customHeight="1" s="1158">
      <c r="A53" s="1522"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1158"/>
    <row r="55" ht="13.5" customHeight="1" s="1158"/>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B27" activeCellId="0" sqref="A11:S58"/>
    </sheetView>
  </sheetViews>
  <sheetFormatPr baseColWidth="8" defaultColWidth="9.11328125" defaultRowHeight="14.25" customHeight="0" zeroHeight="0" outlineLevelRow="0"/>
  <cols>
    <col width="1.66" customWidth="1" style="1523" min="1" max="1"/>
    <col width="25.89" customWidth="1" style="1523" min="2" max="2"/>
    <col width="29.56" customWidth="1" style="1523" min="3" max="3"/>
    <col width="3.55" customWidth="1" style="1523" min="4" max="4"/>
    <col width="3.67" customWidth="1" style="1523" min="5" max="5"/>
    <col width="3.55" customWidth="1" style="1523" min="6" max="40"/>
    <col width="13.11" customWidth="1" style="1523" min="41" max="41"/>
    <col width="1.66" customWidth="1" style="1523" min="42" max="42"/>
    <col width="9.109999999999999" customWidth="1" style="1523" min="43" max="43"/>
    <col hidden="1" width="9.109999999999999" customWidth="1" style="1523" min="44" max="80"/>
    <col width="9.109999999999999" customWidth="1" style="1523" min="81" max="16384"/>
  </cols>
  <sheetData>
    <row r="1" ht="6.75" customHeight="1" s="1158">
      <c r="A1" s="1524" t="n"/>
      <c r="B1" s="1524" t="n"/>
      <c r="C1" s="1524" t="n"/>
      <c r="D1" s="1524" t="n"/>
      <c r="E1" s="1524" t="n"/>
      <c r="F1" s="1524" t="n"/>
      <c r="G1" s="1524" t="n"/>
      <c r="H1" s="1524" t="n"/>
      <c r="I1" s="1524" t="n"/>
      <c r="J1" s="1524" t="n"/>
      <c r="K1" s="1524" t="n"/>
      <c r="L1" s="1524" t="n"/>
      <c r="M1" s="1524" t="n"/>
      <c r="N1" s="1524" t="n"/>
      <c r="O1" s="1524" t="n"/>
      <c r="P1" s="1524" t="n"/>
      <c r="Q1" s="1524" t="n"/>
      <c r="R1" s="1524" t="n"/>
      <c r="S1" s="1524" t="n"/>
      <c r="T1" s="1524" t="n"/>
      <c r="U1" s="1524" t="n"/>
      <c r="V1" s="1524" t="n"/>
      <c r="W1" s="1524" t="n"/>
      <c r="X1" s="1524" t="n"/>
      <c r="Y1" s="1524" t="n"/>
      <c r="Z1" s="1524" t="n"/>
      <c r="AA1" s="1524" t="n"/>
      <c r="AB1" s="1524" t="n"/>
      <c r="AC1" s="1524" t="n"/>
      <c r="AD1" s="1524" t="n"/>
      <c r="AE1" s="1524" t="n"/>
      <c r="AF1" s="1524" t="n"/>
      <c r="AG1" s="1524" t="n"/>
      <c r="AH1" s="1524" t="n"/>
      <c r="AI1" s="1524" t="n"/>
      <c r="AJ1" s="1524" t="n"/>
      <c r="AK1" s="1524" t="n"/>
      <c r="AL1" s="1524" t="n"/>
      <c r="AM1" s="1524" t="n"/>
      <c r="AN1" s="1524" t="n"/>
      <c r="AO1" s="1524" t="n"/>
      <c r="AP1" s="1524" t="n"/>
    </row>
    <row r="2" ht="28.5" customHeight="1" s="1158">
      <c r="A2" s="1524" t="n"/>
      <c r="B2" s="1525" t="n"/>
      <c r="C2" s="1526" t="inlineStr">
        <is>
          <t>PERSONNEL AND EQUIPMENT TIMESHEET</t>
        </is>
      </c>
      <c r="D2" s="1527" t="n"/>
      <c r="E2" s="1527" t="n"/>
      <c r="F2" s="1527" t="n"/>
      <c r="G2" s="1527" t="n"/>
      <c r="H2" s="1527" t="n"/>
      <c r="I2" s="1527" t="n"/>
      <c r="J2" s="1527" t="n"/>
      <c r="K2" s="1527" t="n"/>
      <c r="L2" s="1527" t="n"/>
      <c r="M2" s="1527" t="n"/>
      <c r="N2" s="1527" t="n"/>
      <c r="O2" s="1527" t="n"/>
      <c r="P2" s="1527" t="n"/>
      <c r="Q2" s="1527" t="n"/>
      <c r="R2" s="1527" t="n"/>
      <c r="S2" s="1527" t="n"/>
      <c r="T2" s="1527" t="n"/>
      <c r="U2" s="1527" t="n"/>
      <c r="V2" s="1527" t="n"/>
      <c r="W2" s="1527" t="n"/>
      <c r="X2" s="1527" t="n"/>
      <c r="Y2" s="1527" t="n"/>
      <c r="Z2" s="1527" t="n"/>
      <c r="AA2" s="1527" t="n"/>
      <c r="AB2" s="1527" t="n"/>
      <c r="AC2" s="1527" t="n"/>
      <c r="AD2" s="1527" t="n"/>
      <c r="AE2" s="1527" t="n"/>
      <c r="AF2" s="1527" t="n"/>
      <c r="AG2" s="1527" t="n"/>
      <c r="AH2" s="1527" t="n"/>
      <c r="AI2" s="1527" t="n"/>
      <c r="AJ2" s="1527" t="n"/>
      <c r="AK2" s="1527" t="n"/>
      <c r="AL2" s="1527" t="n"/>
      <c r="AM2" s="1528" t="n"/>
      <c r="AN2" s="1529" t="n"/>
      <c r="AO2" s="1530" t="n"/>
      <c r="AP2" s="1524" t="n"/>
    </row>
    <row r="3" ht="10.5" customHeight="1" s="1158">
      <c r="A3" s="1524" t="n"/>
      <c r="B3" s="1531" t="n"/>
      <c r="C3" s="1532" t="inlineStr">
        <is>
          <t xml:space="preserve">Document Number </t>
        </is>
      </c>
      <c r="D3" s="1532" t="inlineStr">
        <is>
          <t xml:space="preserve">Function/ Devesion </t>
        </is>
      </c>
      <c r="E3" s="1527" t="n"/>
      <c r="F3" s="1527" t="n"/>
      <c r="G3" s="1527" t="n"/>
      <c r="H3" s="1527" t="n"/>
      <c r="I3" s="1533" t="n"/>
      <c r="J3" s="1532" t="inlineStr">
        <is>
          <t xml:space="preserve">Owner </t>
        </is>
      </c>
      <c r="K3" s="1527" t="n"/>
      <c r="L3" s="1527" t="n"/>
      <c r="M3" s="1527" t="n"/>
      <c r="N3" s="1527" t="n"/>
      <c r="O3" s="1533" t="n"/>
      <c r="P3" s="1532" t="inlineStr">
        <is>
          <t>SQ Review</t>
        </is>
      </c>
      <c r="Q3" s="1527" t="n"/>
      <c r="R3" s="1527" t="n"/>
      <c r="S3" s="1527" t="n"/>
      <c r="T3" s="1527" t="n"/>
      <c r="U3" s="1533" t="n"/>
      <c r="V3" s="1532" t="inlineStr">
        <is>
          <t xml:space="preserve">Approved by </t>
        </is>
      </c>
      <c r="W3" s="1527" t="n"/>
      <c r="X3" s="1527" t="n"/>
      <c r="Y3" s="1527" t="n"/>
      <c r="Z3" s="1527" t="n"/>
      <c r="AA3" s="1533" t="n"/>
      <c r="AB3" s="1532" t="inlineStr">
        <is>
          <t xml:space="preserve">Rev Date </t>
        </is>
      </c>
      <c r="AC3" s="1527" t="n"/>
      <c r="AD3" s="1527" t="n"/>
      <c r="AE3" s="1527" t="n"/>
      <c r="AF3" s="1527" t="n"/>
      <c r="AG3" s="1533" t="n"/>
      <c r="AH3" s="1532" t="inlineStr">
        <is>
          <t xml:space="preserve">Rev # </t>
        </is>
      </c>
      <c r="AI3" s="1527" t="n"/>
      <c r="AJ3" s="1527" t="n"/>
      <c r="AK3" s="1527" t="n"/>
      <c r="AL3" s="1533" t="n"/>
      <c r="AM3" s="1534" t="n"/>
      <c r="AN3" s="1535" t="n"/>
      <c r="AO3" s="1536" t="n"/>
      <c r="AP3" s="1524" t="n"/>
    </row>
    <row r="4" ht="11.25" customHeight="1" s="1158">
      <c r="A4" s="1524" t="n"/>
      <c r="B4" s="1531" t="n"/>
      <c r="C4" s="1537" t="inlineStr">
        <is>
          <t>UAE-COMP-OEPS-L5-036</t>
        </is>
      </c>
      <c r="D4" s="1538" t="inlineStr">
        <is>
          <t xml:space="preserve">Completion </t>
        </is>
      </c>
      <c r="E4" s="1527" t="n"/>
      <c r="F4" s="1527" t="n"/>
      <c r="G4" s="1527" t="n"/>
      <c r="H4" s="1527" t="n"/>
      <c r="I4" s="1533" t="n"/>
      <c r="J4" s="1538" t="inlineStr">
        <is>
          <t>Hamed Hassan</t>
        </is>
      </c>
      <c r="K4" s="1527" t="n"/>
      <c r="L4" s="1527" t="n"/>
      <c r="M4" s="1527" t="n"/>
      <c r="N4" s="1527" t="n"/>
      <c r="O4" s="1533" t="n"/>
      <c r="P4" s="1538" t="inlineStr">
        <is>
          <t xml:space="preserve">Lambi Leslie </t>
        </is>
      </c>
      <c r="Q4" s="1527" t="n"/>
      <c r="R4" s="1527" t="n"/>
      <c r="S4" s="1527" t="n"/>
      <c r="T4" s="1527" t="n"/>
      <c r="U4" s="1533" t="n"/>
      <c r="V4" s="1538" t="inlineStr">
        <is>
          <t>Bassem Mahmoud</t>
        </is>
      </c>
      <c r="W4" s="1527" t="n"/>
      <c r="X4" s="1527" t="n"/>
      <c r="Y4" s="1527" t="n"/>
      <c r="Z4" s="1527" t="n"/>
      <c r="AA4" s="1533" t="n"/>
      <c r="AB4" s="1539" t="n">
        <v>45627</v>
      </c>
      <c r="AC4" s="1527" t="n"/>
      <c r="AD4" s="1527" t="n"/>
      <c r="AE4" s="1527" t="n"/>
      <c r="AF4" s="1527" t="n"/>
      <c r="AG4" s="1533" t="n"/>
      <c r="AH4" s="1538" t="n">
        <v>1</v>
      </c>
      <c r="AI4" s="1527" t="n"/>
      <c r="AJ4" s="1527" t="n"/>
      <c r="AK4" s="1527" t="n"/>
      <c r="AL4" s="1533" t="n"/>
      <c r="AM4" s="1534" t="n"/>
      <c r="AN4" s="1535" t="n"/>
      <c r="AO4" s="1536" t="n"/>
      <c r="AP4" s="1524" t="n"/>
    </row>
    <row r="5" ht="19.5" customHeight="1" s="1158">
      <c r="A5" s="1524" t="n"/>
      <c r="B5" s="1531" t="n"/>
      <c r="C5" s="1540" t="inlineStr">
        <is>
          <t xml:space="preserve">Field : </t>
        </is>
      </c>
      <c r="D5" s="1541">
        <f>'Master Data'!E8</f>
        <v/>
      </c>
      <c r="E5" s="1527" t="n"/>
      <c r="F5" s="1527" t="n"/>
      <c r="G5" s="1527" t="n"/>
      <c r="H5" s="1533" t="n"/>
      <c r="I5" s="1542" t="inlineStr">
        <is>
          <t xml:space="preserve">Contract # : </t>
        </is>
      </c>
      <c r="J5" s="1527" t="n"/>
      <c r="K5" s="1527" t="n"/>
      <c r="L5" s="1527" t="n"/>
      <c r="M5" s="1527" t="n"/>
      <c r="N5" s="1527" t="n"/>
      <c r="O5" s="1533" t="n"/>
      <c r="P5" s="1543">
        <f>'Master Data'!B10</f>
        <v/>
      </c>
      <c r="Q5" s="1527" t="n"/>
      <c r="R5" s="1527" t="n"/>
      <c r="S5" s="1527" t="n"/>
      <c r="T5" s="1527" t="n"/>
      <c r="U5" s="1527" t="n"/>
      <c r="V5" s="1542" t="inlineStr">
        <is>
          <t>FTL / Service Ticket #:</t>
        </is>
      </c>
      <c r="W5" s="1527" t="n"/>
      <c r="X5" s="1527" t="n"/>
      <c r="Y5" s="1527" t="n"/>
      <c r="Z5" s="1527" t="n"/>
      <c r="AA5" s="1533" t="n"/>
      <c r="AB5" s="1544">
        <f>'Master Data'!B15</f>
        <v/>
      </c>
      <c r="AC5" s="1527" t="n"/>
      <c r="AD5" s="1527" t="n"/>
      <c r="AE5" s="1527" t="n"/>
      <c r="AF5" s="1527" t="n"/>
      <c r="AG5" s="1527" t="n"/>
      <c r="AH5" s="1527" t="n"/>
      <c r="AI5" s="1527" t="n"/>
      <c r="AJ5" s="1527" t="n"/>
      <c r="AK5" s="1527" t="n"/>
      <c r="AL5" s="1533" t="n"/>
      <c r="AM5" s="1534" t="n"/>
      <c r="AN5" s="1535" t="n"/>
      <c r="AO5" s="1536" t="n"/>
      <c r="AP5" s="1524" t="n"/>
    </row>
    <row r="6" ht="18.75" customHeight="1" s="1158">
      <c r="A6" s="1524" t="n"/>
      <c r="B6" s="1545" t="n"/>
      <c r="C6" s="1540" t="inlineStr">
        <is>
          <t>Rig name:</t>
        </is>
      </c>
      <c r="D6" s="1541">
        <f>'Master Data'!E11</f>
        <v/>
      </c>
      <c r="E6" s="1527" t="n"/>
      <c r="F6" s="1527" t="n"/>
      <c r="G6" s="1527" t="n"/>
      <c r="H6" s="1533" t="n"/>
      <c r="I6" s="1542" t="inlineStr">
        <is>
          <t>Customer RO  #:</t>
        </is>
      </c>
      <c r="J6" s="1527" t="n"/>
      <c r="K6" s="1527" t="n"/>
      <c r="L6" s="1527" t="n"/>
      <c r="M6" s="1527" t="n"/>
      <c r="N6" s="1527" t="n"/>
      <c r="O6" s="1533" t="n"/>
      <c r="P6" s="1543">
        <f>'Master Data'!B11</f>
        <v/>
      </c>
      <c r="Q6" s="1527" t="n"/>
      <c r="R6" s="1527" t="n"/>
      <c r="S6" s="1527" t="n"/>
      <c r="T6" s="1527" t="n"/>
      <c r="U6" s="1527" t="n"/>
      <c r="V6" s="1542" t="inlineStr">
        <is>
          <t xml:space="preserve">Date </t>
        </is>
      </c>
      <c r="W6" s="1527" t="n"/>
      <c r="X6" s="1527" t="n"/>
      <c r="Y6" s="1527" t="n"/>
      <c r="Z6" s="1527" t="n"/>
      <c r="AA6" s="1533" t="n"/>
      <c r="AB6" s="1546" t="inlineStr">
        <is>
          <t xml:space="preserve">From </t>
        </is>
      </c>
      <c r="AC6" s="1527" t="n"/>
      <c r="AD6" s="1547">
        <f>'Master Data'!E12</f>
        <v/>
      </c>
      <c r="AE6" s="1527" t="n"/>
      <c r="AF6" s="1527" t="n"/>
      <c r="AG6" s="1527" t="n"/>
      <c r="AH6" s="1548" t="inlineStr">
        <is>
          <t>To:</t>
        </is>
      </c>
      <c r="AI6" s="1549">
        <f>'Master Data'!E15</f>
        <v/>
      </c>
      <c r="AJ6" s="1527" t="n"/>
      <c r="AK6" s="1527" t="n"/>
      <c r="AL6" s="1533" t="n"/>
      <c r="AM6" s="1550" t="n"/>
      <c r="AN6" s="1551" t="n"/>
      <c r="AO6" s="1552" t="n"/>
      <c r="AP6" s="1524" t="n"/>
    </row>
    <row r="7" ht="15" customHeight="1" s="1158">
      <c r="A7" s="1524" t="n"/>
      <c r="B7" s="1553" t="inlineStr">
        <is>
          <t xml:space="preserve">Weatherford </t>
        </is>
      </c>
      <c r="C7" s="1540" t="inlineStr">
        <is>
          <t>Well Number:</t>
        </is>
      </c>
      <c r="D7" s="1541">
        <f>'Master Data'!E10</f>
        <v/>
      </c>
      <c r="E7" s="1527" t="n"/>
      <c r="F7" s="1527" t="n"/>
      <c r="G7" s="1527" t="n"/>
      <c r="H7" s="1533" t="n"/>
      <c r="I7" s="1542" t="inlineStr">
        <is>
          <t>Services performed:</t>
        </is>
      </c>
      <c r="J7" s="1527" t="n"/>
      <c r="K7" s="1527" t="n"/>
      <c r="L7" s="1527" t="n"/>
      <c r="M7" s="1527" t="n"/>
      <c r="N7" s="1527" t="n"/>
      <c r="O7" s="1533" t="n"/>
      <c r="P7" s="1554">
        <f>'Master Data'!E4</f>
        <v/>
      </c>
      <c r="Q7" s="1527" t="n"/>
      <c r="R7" s="1527" t="n"/>
      <c r="S7" s="1527" t="n"/>
      <c r="T7" s="1527" t="n"/>
      <c r="U7" s="1527" t="n"/>
      <c r="V7" s="1527" t="n"/>
      <c r="W7" s="1527" t="n"/>
      <c r="X7" s="1527" t="n"/>
      <c r="Y7" s="1527" t="n"/>
      <c r="Z7" s="1527" t="n"/>
      <c r="AA7" s="1527" t="n"/>
      <c r="AB7" s="1527" t="n"/>
      <c r="AC7" s="1527" t="n"/>
      <c r="AD7" s="1527" t="n"/>
      <c r="AE7" s="1527" t="n"/>
      <c r="AF7" s="1527" t="n"/>
      <c r="AG7" s="1527" t="n"/>
      <c r="AH7" s="1527" t="n"/>
      <c r="AI7" s="1527" t="n"/>
      <c r="AJ7" s="1527" t="n"/>
      <c r="AK7" s="1527" t="n"/>
      <c r="AL7" s="1533" t="n"/>
      <c r="AM7" s="1555" t="inlineStr">
        <is>
          <t>AON-STD-PET-24-0</t>
        </is>
      </c>
      <c r="AN7" s="1527" t="n"/>
      <c r="AO7" s="1533" t="n"/>
      <c r="AP7" s="1524" t="n"/>
    </row>
    <row r="8" ht="15" customHeight="1" s="1158">
      <c r="A8" s="1524" t="n"/>
      <c r="B8" s="1556" t="n"/>
      <c r="C8" s="1557" t="n"/>
      <c r="D8" s="1558">
        <f>IF(TEXT(AD6,"mmm")=TEXT(AI6,"mmm"),TEXT(AD6,"mmm/yyy"),IF(TEXT(AD6,"yyyy")=TEXT(AI6,"yyyy"),TEXT(AD6,"mmm")&amp;" - "&amp;TEXT(AI6,"mmm")&amp;"/"&amp;TEXT(AI6,"yyyy"),TEXT(AD6,"mmm/yyyy")&amp;" - "&amp;TEXT(AI6,"mmm/yyyy")))</f>
        <v/>
      </c>
      <c r="E8" s="1527" t="n"/>
      <c r="F8" s="1527" t="n"/>
      <c r="G8" s="1527" t="n"/>
      <c r="H8" s="1527" t="n"/>
      <c r="I8" s="1527" t="n"/>
      <c r="J8" s="1527" t="n"/>
      <c r="K8" s="1527" t="n"/>
      <c r="L8" s="1527" t="n"/>
      <c r="M8" s="1527" t="n"/>
      <c r="N8" s="1527" t="n"/>
      <c r="O8" s="1527" t="n"/>
      <c r="P8" s="1527" t="n"/>
      <c r="Q8" s="1527" t="n"/>
      <c r="R8" s="1527" t="n"/>
      <c r="S8" s="1527" t="n"/>
      <c r="T8" s="1527" t="n"/>
      <c r="U8" s="1527" t="n"/>
      <c r="V8" s="1527" t="n"/>
      <c r="W8" s="1527" t="n"/>
      <c r="X8" s="1527" t="n"/>
      <c r="Y8" s="1527" t="n"/>
      <c r="Z8" s="1527" t="n"/>
      <c r="AA8" s="1527" t="n"/>
      <c r="AB8" s="1527" t="n"/>
      <c r="AC8" s="1527" t="n"/>
      <c r="AD8" s="1527" t="n"/>
      <c r="AE8" s="1527" t="n"/>
      <c r="AF8" s="1527" t="n"/>
      <c r="AG8" s="1527" t="n"/>
      <c r="AH8" s="1527" t="n"/>
      <c r="AI8" s="1527" t="n"/>
      <c r="AJ8" s="1527" t="n"/>
      <c r="AK8" s="1527" t="n"/>
      <c r="AL8" s="1533" t="n"/>
      <c r="AM8" s="1559" t="inlineStr">
        <is>
          <t>ADNOC ONSHORE</t>
        </is>
      </c>
      <c r="AN8" s="1527" t="n"/>
      <c r="AO8" s="1533" t="n"/>
      <c r="AP8" s="1560" t="n"/>
    </row>
    <row r="9" ht="18" customHeight="1" s="1158">
      <c r="A9" s="1524" t="n"/>
      <c r="B9" s="1561" t="inlineStr">
        <is>
          <t xml:space="preserve">Eng Name </t>
        </is>
      </c>
      <c r="C9" s="1561" t="inlineStr">
        <is>
          <t xml:space="preserve">Designation </t>
        </is>
      </c>
      <c r="D9" s="1562">
        <f>$AD$6</f>
        <v/>
      </c>
      <c r="E9" s="1562">
        <f>D9+1</f>
        <v/>
      </c>
      <c r="F9" s="1562">
        <f>E9+1</f>
        <v/>
      </c>
      <c r="G9" s="1562">
        <f>F9+1</f>
        <v/>
      </c>
      <c r="H9" s="1562">
        <f>G9+1</f>
        <v/>
      </c>
      <c r="I9" s="1562">
        <f>H9+1</f>
        <v/>
      </c>
      <c r="J9" s="1562">
        <f>I9+1</f>
        <v/>
      </c>
      <c r="K9" s="1562">
        <f>J9+1</f>
        <v/>
      </c>
      <c r="L9" s="1562">
        <f>K9+1</f>
        <v/>
      </c>
      <c r="M9" s="1562">
        <f>L9+1</f>
        <v/>
      </c>
      <c r="N9" s="1562">
        <f>M9+1</f>
        <v/>
      </c>
      <c r="O9" s="1562">
        <f>N9+1</f>
        <v/>
      </c>
      <c r="P9" s="1562">
        <f>O9+1</f>
        <v/>
      </c>
      <c r="Q9" s="1562">
        <f>P9+1</f>
        <v/>
      </c>
      <c r="R9" s="1562">
        <f>Q9+1</f>
        <v/>
      </c>
      <c r="S9" s="1562">
        <f>R9+1</f>
        <v/>
      </c>
      <c r="T9" s="1562">
        <f>S9+1</f>
        <v/>
      </c>
      <c r="U9" s="1562">
        <f>T9+1</f>
        <v/>
      </c>
      <c r="V9" s="1562">
        <f>U9+1</f>
        <v/>
      </c>
      <c r="W9" s="1562">
        <f>V9+1</f>
        <v/>
      </c>
      <c r="X9" s="1562">
        <f>W9+1</f>
        <v/>
      </c>
      <c r="Y9" s="1562">
        <f>X9+1</f>
        <v/>
      </c>
      <c r="Z9" s="1562">
        <f>Y9+1</f>
        <v/>
      </c>
      <c r="AA9" s="1562">
        <f>Z9+1</f>
        <v/>
      </c>
      <c r="AB9" s="1562">
        <f>AA9+1</f>
        <v/>
      </c>
      <c r="AC9" s="1562">
        <f>AB9+1</f>
        <v/>
      </c>
      <c r="AD9" s="1562">
        <f>AC9+1</f>
        <v/>
      </c>
      <c r="AE9" s="1562">
        <f>AD9+1</f>
        <v/>
      </c>
      <c r="AF9" s="1562">
        <f>AE9+1</f>
        <v/>
      </c>
      <c r="AG9" s="1562">
        <f>AF9+1</f>
        <v/>
      </c>
      <c r="AH9" s="1562">
        <f>AG9+1</f>
        <v/>
      </c>
      <c r="AI9" s="1562">
        <f>AH9+1</f>
        <v/>
      </c>
      <c r="AJ9" s="1562">
        <f>AI9+1</f>
        <v/>
      </c>
      <c r="AK9" s="1562">
        <f>AJ9+1</f>
        <v/>
      </c>
      <c r="AL9" s="1562">
        <f>AK9+1</f>
        <v/>
      </c>
      <c r="AM9" s="1563" t="inlineStr">
        <is>
          <t>Total Days</t>
        </is>
      </c>
      <c r="AN9" s="1535" t="n"/>
      <c r="AO9" s="1536" t="n"/>
      <c r="AP9" s="1524" t="n"/>
    </row>
    <row r="10" ht="15.75" customHeight="1" s="1158">
      <c r="A10" s="1524" t="n"/>
      <c r="B10" s="1531" t="n"/>
      <c r="C10" s="1531" t="n"/>
      <c r="D10" s="1545" t="n"/>
      <c r="E10" s="1545" t="n"/>
      <c r="F10" s="1545" t="n"/>
      <c r="G10" s="1545" t="n"/>
      <c r="H10" s="1545" t="n"/>
      <c r="I10" s="1545" t="n"/>
      <c r="J10" s="1545" t="n"/>
      <c r="K10" s="1545" t="n"/>
      <c r="L10" s="1545" t="n"/>
      <c r="M10" s="1545" t="n"/>
      <c r="N10" s="1545" t="n"/>
      <c r="O10" s="1545" t="n"/>
      <c r="P10" s="1545" t="n"/>
      <c r="Q10" s="1545" t="n"/>
      <c r="R10" s="1545" t="n"/>
      <c r="S10" s="1545" t="n"/>
      <c r="T10" s="1545" t="n"/>
      <c r="U10" s="1545" t="n"/>
      <c r="V10" s="1545" t="n"/>
      <c r="W10" s="1545" t="n"/>
      <c r="X10" s="1545" t="n"/>
      <c r="Y10" s="1545" t="n"/>
      <c r="Z10" s="1545" t="n"/>
      <c r="AA10" s="1545" t="n"/>
      <c r="AB10" s="1545" t="n"/>
      <c r="AC10" s="1545" t="n"/>
      <c r="AD10" s="1545" t="n"/>
      <c r="AE10" s="1545" t="n"/>
      <c r="AF10" s="1545" t="n"/>
      <c r="AG10" s="1545" t="n"/>
      <c r="AH10" s="1545" t="n"/>
      <c r="AI10" s="1545" t="n"/>
      <c r="AJ10" s="1545" t="n"/>
      <c r="AK10" s="1545" t="n"/>
      <c r="AL10" s="1545" t="n"/>
      <c r="AM10" s="1534" t="n"/>
      <c r="AN10" s="1535" t="n"/>
      <c r="AO10" s="1536" t="n"/>
      <c r="AP10" s="1524" t="n"/>
    </row>
    <row r="11" ht="13.5" customHeight="1" s="1158">
      <c r="A11" s="1524" t="n"/>
      <c r="B11" s="1545" t="n"/>
      <c r="C11" s="1545" t="n"/>
      <c r="D11" s="1561" t="inlineStr">
        <is>
          <t>Personnel</t>
        </is>
      </c>
      <c r="E11" s="1527" t="n"/>
      <c r="F11" s="1527" t="n"/>
      <c r="G11" s="1527" t="n"/>
      <c r="H11" s="1527" t="n"/>
      <c r="I11" s="1527" t="n"/>
      <c r="J11" s="1527" t="n"/>
      <c r="K11" s="1527" t="n"/>
      <c r="L11" s="1527" t="n"/>
      <c r="M11" s="1527" t="n"/>
      <c r="N11" s="1527" t="n"/>
      <c r="O11" s="1527" t="n"/>
      <c r="P11" s="1527" t="n"/>
      <c r="Q11" s="1527" t="n"/>
      <c r="R11" s="1527" t="n"/>
      <c r="S11" s="1527" t="n"/>
      <c r="T11" s="1527" t="n"/>
      <c r="U11" s="1527" t="n"/>
      <c r="V11" s="1527" t="n"/>
      <c r="W11" s="1527" t="n"/>
      <c r="X11" s="1527" t="n"/>
      <c r="Y11" s="1527" t="n"/>
      <c r="Z11" s="1527" t="n"/>
      <c r="AA11" s="1527" t="n"/>
      <c r="AB11" s="1527" t="n"/>
      <c r="AC11" s="1527" t="n"/>
      <c r="AD11" s="1527" t="n"/>
      <c r="AE11" s="1527" t="n"/>
      <c r="AF11" s="1527" t="n"/>
      <c r="AG11" s="1527" t="n"/>
      <c r="AH11" s="1527" t="n"/>
      <c r="AI11" s="1527" t="n"/>
      <c r="AJ11" s="1527" t="n"/>
      <c r="AK11" s="1527" t="n"/>
      <c r="AL11" s="1533" t="n"/>
      <c r="AM11" s="1550" t="n"/>
      <c r="AN11" s="1551" t="n"/>
      <c r="AO11" s="1552" t="n"/>
      <c r="AP11" s="1524" t="n"/>
    </row>
    <row r="12" ht="14.25" customFormat="1" customHeight="1" s="1564">
      <c r="A12" s="1565" t="n"/>
      <c r="B12" s="1566">
        <f>IF('Master Data'!H3="","",'Master Data'!H3)</f>
        <v/>
      </c>
      <c r="C12" s="1566">
        <f>IF('Master Data'!I3="","",'Master Data'!I3)</f>
        <v/>
      </c>
      <c r="D12" s="1567" t="inlineStr">
        <is>
          <t>x</t>
        </is>
      </c>
      <c r="E12" s="1567" t="inlineStr">
        <is>
          <t>x</t>
        </is>
      </c>
      <c r="F12" s="1567" t="inlineStr">
        <is>
          <t>x</t>
        </is>
      </c>
      <c r="G12" s="1567" t="inlineStr">
        <is>
          <t>x</t>
        </is>
      </c>
      <c r="H12" s="1567" t="inlineStr">
        <is>
          <t>x</t>
        </is>
      </c>
      <c r="I12" s="1567" t="inlineStr">
        <is>
          <t>x</t>
        </is>
      </c>
      <c r="J12" s="1567" t="inlineStr">
        <is>
          <t>x</t>
        </is>
      </c>
      <c r="K12" s="1567" t="inlineStr">
        <is>
          <t>x</t>
        </is>
      </c>
      <c r="L12" s="1567" t="inlineStr">
        <is>
          <t>x</t>
        </is>
      </c>
      <c r="M12" s="1567" t="inlineStr">
        <is>
          <t>x</t>
        </is>
      </c>
      <c r="N12" s="1567" t="inlineStr">
        <is>
          <t>x</t>
        </is>
      </c>
      <c r="O12" s="1567" t="inlineStr">
        <is>
          <t>x</t>
        </is>
      </c>
      <c r="P12" s="1567" t="inlineStr">
        <is>
          <t>x</t>
        </is>
      </c>
      <c r="Q12" s="1567" t="inlineStr">
        <is>
          <t>x</t>
        </is>
      </c>
      <c r="R12" s="1567" t="inlineStr">
        <is>
          <t>x</t>
        </is>
      </c>
      <c r="S12" s="1567" t="inlineStr">
        <is>
          <t>x</t>
        </is>
      </c>
      <c r="T12" s="1567" t="inlineStr">
        <is>
          <t>x</t>
        </is>
      </c>
      <c r="U12" s="1567" t="inlineStr">
        <is>
          <t>x</t>
        </is>
      </c>
      <c r="V12" s="1567" t="inlineStr">
        <is>
          <t>x</t>
        </is>
      </c>
      <c r="W12" s="1567" t="inlineStr">
        <is>
          <t>x</t>
        </is>
      </c>
      <c r="X12" s="1567" t="inlineStr">
        <is>
          <t>x</t>
        </is>
      </c>
      <c r="Y12" s="1567" t="inlineStr">
        <is>
          <t>x</t>
        </is>
      </c>
      <c r="Z12" s="1567" t="inlineStr">
        <is>
          <t>x</t>
        </is>
      </c>
      <c r="AA12" s="1567" t="n"/>
      <c r="AB12" s="1567" t="n"/>
      <c r="AC12" s="1567" t="n"/>
      <c r="AD12" s="1567" t="n"/>
      <c r="AE12" s="1567" t="n"/>
      <c r="AF12" s="1567" t="n"/>
      <c r="AG12" s="1567" t="n"/>
      <c r="AH12" s="1567" t="n"/>
      <c r="AI12" s="1567" t="n"/>
      <c r="AJ12" s="1567" t="n"/>
      <c r="AK12" s="1567" t="n"/>
      <c r="AL12" s="1567" t="n"/>
      <c r="AM12" s="1568">
        <f>IF(COUNTA(D12:AL12)=0,"",COUNTA(D12:AL12))</f>
        <v/>
      </c>
      <c r="AN12" s="1527" t="n"/>
      <c r="AO12" s="1533" t="n"/>
      <c r="AP12" s="1565" t="n"/>
      <c r="AR12" s="1564">
        <f>IF(D12="X",1,0)</f>
        <v/>
      </c>
      <c r="AS12" s="1564">
        <f>IF(E12="X",1,0)</f>
        <v/>
      </c>
      <c r="AT12" s="1564">
        <f>IF(F12="X",1,0)</f>
        <v/>
      </c>
      <c r="AU12" s="1564">
        <f>IF(G12="X",1,0)</f>
        <v/>
      </c>
      <c r="AV12" s="1564">
        <f>IF(H12="X",1,0)</f>
        <v/>
      </c>
      <c r="AW12" s="1564">
        <f>IF(I12="X",1,0)</f>
        <v/>
      </c>
      <c r="AX12" s="1564">
        <f>IF(J12="X",1,0)</f>
        <v/>
      </c>
      <c r="AY12" s="1564">
        <f>IF(K12="X",1,0)</f>
        <v/>
      </c>
      <c r="AZ12" s="1564">
        <f>IF(L12="X",1,0)</f>
        <v/>
      </c>
      <c r="BA12" s="1564">
        <f>IF(M12="X",1,0)</f>
        <v/>
      </c>
      <c r="BB12" s="1564">
        <f>IF(N12="X",1,0)</f>
        <v/>
      </c>
      <c r="BC12" s="1564">
        <f>IF(O12="X",1,0)</f>
        <v/>
      </c>
      <c r="BD12" s="1564">
        <f>IF(P12="X",1,0)</f>
        <v/>
      </c>
      <c r="BE12" s="1564">
        <f>IF(Q12="X",1,0)</f>
        <v/>
      </c>
      <c r="BF12" s="1564">
        <f>IF(R12="X",1,0)</f>
        <v/>
      </c>
      <c r="BG12" s="1564">
        <f>IF(S12="X",1,0)</f>
        <v/>
      </c>
      <c r="BH12" s="1564">
        <f>IF(T12="X",1,0)</f>
        <v/>
      </c>
      <c r="BI12" s="1564">
        <f>IF(U12="X",1,0)</f>
        <v/>
      </c>
      <c r="BJ12" s="1564">
        <f>IF(V12="X",1,0)</f>
        <v/>
      </c>
      <c r="BK12" s="1564">
        <f>IF(W12="X",1,0)</f>
        <v/>
      </c>
      <c r="BL12" s="1564">
        <f>IF(X12="X",1,0)</f>
        <v/>
      </c>
      <c r="BM12" s="1564">
        <f>IF(Y12="X",1,0)</f>
        <v/>
      </c>
      <c r="BN12" s="1564">
        <f>IF(Z12="X",1,0)</f>
        <v/>
      </c>
      <c r="BO12" s="1564">
        <f>IF(AA12="X",1,0)</f>
        <v/>
      </c>
      <c r="BP12" s="1564">
        <f>IF(AB12="X",1,0)</f>
        <v/>
      </c>
      <c r="BQ12" s="1564">
        <f>IF(AC12="X",1,0)</f>
        <v/>
      </c>
      <c r="BR12" s="1564">
        <f>IF(AD12="X",1,0)</f>
        <v/>
      </c>
      <c r="BS12" s="1564">
        <f>IF(AE12="X",1,0)</f>
        <v/>
      </c>
      <c r="BT12" s="1564">
        <f>IF(AF12="X",1,0)</f>
        <v/>
      </c>
      <c r="BU12" s="1564">
        <f>IF(AG12="X",1,0)</f>
        <v/>
      </c>
      <c r="BV12" s="1564">
        <f>IF(AH12="X",1,0)</f>
        <v/>
      </c>
      <c r="BW12" s="1564">
        <f>IF(AI12="X",1,0)</f>
        <v/>
      </c>
      <c r="BX12" s="1564">
        <f>IF(AJ12="X",1,0)</f>
        <v/>
      </c>
      <c r="BY12" s="1564">
        <f>IF(AK12="X",1,0)</f>
        <v/>
      </c>
      <c r="BZ12" s="1564">
        <f>IF(AL12="X",1,0)</f>
        <v/>
      </c>
      <c r="CA12" s="1564">
        <f>IF(AM12="X",1,0)</f>
        <v/>
      </c>
      <c r="CB12" s="1564">
        <f>IF(AN12="X",1,0)</f>
        <v/>
      </c>
    </row>
    <row r="13" ht="14.25" customFormat="1" customHeight="1" s="1564">
      <c r="A13" s="1565" t="n"/>
      <c r="B13" s="1566">
        <f>IF('Master Data'!H4="","",'Master Data'!H4)</f>
        <v/>
      </c>
      <c r="C13" s="1566">
        <f>IF('Master Data'!I4="","",'Master Data'!I4)</f>
        <v/>
      </c>
      <c r="D13" s="1567" t="n"/>
      <c r="E13" s="1567" t="n"/>
      <c r="F13" s="1567" t="n"/>
      <c r="G13" s="1567" t="inlineStr">
        <is>
          <t>x</t>
        </is>
      </c>
      <c r="H13" s="1567" t="inlineStr">
        <is>
          <t>x</t>
        </is>
      </c>
      <c r="I13" s="1567" t="inlineStr">
        <is>
          <t>x</t>
        </is>
      </c>
      <c r="J13" s="1567" t="n"/>
      <c r="K13" s="1567" t="n"/>
      <c r="L13" s="1567" t="n"/>
      <c r="M13" s="1567" t="n"/>
      <c r="N13" s="1567" t="n"/>
      <c r="O13" s="1567" t="n"/>
      <c r="P13" s="1567" t="n"/>
      <c r="Q13" s="1567" t="n"/>
      <c r="R13" s="1567" t="n"/>
      <c r="S13" s="1567" t="n"/>
      <c r="T13" s="1567" t="n"/>
      <c r="U13" s="1567" t="n"/>
      <c r="V13" s="1567" t="n"/>
      <c r="W13" s="1567" t="n"/>
      <c r="X13" s="1567" t="n"/>
      <c r="Y13" s="1567" t="n"/>
      <c r="Z13" s="1567" t="n"/>
      <c r="AA13" s="1567" t="n"/>
      <c r="AB13" s="1569" t="n"/>
      <c r="AC13" s="1569" t="n"/>
      <c r="AD13" s="1569" t="n"/>
      <c r="AE13" s="1569" t="n"/>
      <c r="AF13" s="1569" t="n"/>
      <c r="AG13" s="1569" t="n"/>
      <c r="AH13" s="1569" t="n"/>
      <c r="AI13" s="1569" t="n"/>
      <c r="AJ13" s="1567" t="n"/>
      <c r="AK13" s="1567" t="n"/>
      <c r="AL13" s="1567" t="n"/>
      <c r="AM13" s="1568">
        <f>IF(COUNTA(D13:AL13)=0,"",COUNTA(D13:AL13))</f>
        <v/>
      </c>
      <c r="AN13" s="1527" t="n"/>
      <c r="AO13" s="1533" t="n"/>
      <c r="AP13" s="1565" t="n"/>
      <c r="AR13" s="1564">
        <f>IF(D13="X",1,0)</f>
        <v/>
      </c>
      <c r="AS13" s="1564">
        <f>IF(E13="X",1,0)</f>
        <v/>
      </c>
      <c r="AT13" s="1564">
        <f>IF(F13="X",1,0)</f>
        <v/>
      </c>
      <c r="AU13" s="1564">
        <f>IF(G13="X",1,0)</f>
        <v/>
      </c>
      <c r="AV13" s="1564">
        <f>IF(H13="X",1,0)</f>
        <v/>
      </c>
      <c r="AW13" s="1564">
        <f>IF(I13="X",1,0)</f>
        <v/>
      </c>
      <c r="AX13" s="1564">
        <f>IF(J13="X",1,0)</f>
        <v/>
      </c>
      <c r="AY13" s="1564">
        <f>IF(K13="X",1,0)</f>
        <v/>
      </c>
      <c r="AZ13" s="1564">
        <f>IF(L13="X",1,0)</f>
        <v/>
      </c>
      <c r="BA13" s="1564">
        <f>IF(M13="X",1,0)</f>
        <v/>
      </c>
      <c r="BB13" s="1564">
        <f>IF(N13="X",1,0)</f>
        <v/>
      </c>
      <c r="BC13" s="1564">
        <f>IF(O13="X",1,0)</f>
        <v/>
      </c>
      <c r="BD13" s="1564">
        <f>IF(P13="X",1,0)</f>
        <v/>
      </c>
      <c r="BE13" s="1564">
        <f>IF(Q13="X",1,0)</f>
        <v/>
      </c>
      <c r="BF13" s="1564">
        <f>IF(R13="X",1,0)</f>
        <v/>
      </c>
      <c r="BG13" s="1564">
        <f>IF(S13="X",1,0)</f>
        <v/>
      </c>
      <c r="BH13" s="1564">
        <f>IF(T13="X",1,0)</f>
        <v/>
      </c>
      <c r="BI13" s="1564">
        <f>IF(U13="X",1,0)</f>
        <v/>
      </c>
      <c r="BJ13" s="1564">
        <f>IF(V13="X",1,0)</f>
        <v/>
      </c>
      <c r="BK13" s="1564">
        <f>IF(W13="X",1,0)</f>
        <v/>
      </c>
      <c r="BL13" s="1564">
        <f>IF(X13="X",1,0)</f>
        <v/>
      </c>
      <c r="BM13" s="1564">
        <f>IF(Y13="X",1,0)</f>
        <v/>
      </c>
      <c r="BN13" s="1564">
        <f>IF(Z13="X",1,0)</f>
        <v/>
      </c>
      <c r="BO13" s="1564">
        <f>IF(AA13="X",1,0)</f>
        <v/>
      </c>
      <c r="BP13" s="1564">
        <f>IF(AB13="X",1,0)</f>
        <v/>
      </c>
      <c r="BQ13" s="1564">
        <f>IF(AC13="X",1,0)</f>
        <v/>
      </c>
      <c r="BR13" s="1564">
        <f>IF(AD13="X",1,0)</f>
        <v/>
      </c>
      <c r="BS13" s="1564">
        <f>IF(AE13="X",1,0)</f>
        <v/>
      </c>
      <c r="BT13" s="1564">
        <f>IF(AF13="X",1,0)</f>
        <v/>
      </c>
      <c r="BU13" s="1564">
        <f>IF(AG13="X",1,0)</f>
        <v/>
      </c>
      <c r="BV13" s="1564">
        <f>IF(AH13="X",1,0)</f>
        <v/>
      </c>
      <c r="BW13" s="1564">
        <f>IF(AI13="X",1,0)</f>
        <v/>
      </c>
      <c r="BX13" s="1564">
        <f>IF(AJ13="X",1,0)</f>
        <v/>
      </c>
      <c r="BY13" s="1564">
        <f>IF(AK13="X",1,0)</f>
        <v/>
      </c>
      <c r="BZ13" s="1564">
        <f>IF(AL13="X",1,0)</f>
        <v/>
      </c>
      <c r="CA13" s="1564">
        <f>IF(AM13="X",1,0)</f>
        <v/>
      </c>
      <c r="CB13" s="1564">
        <f>IF(AN13="X",1,0)</f>
        <v/>
      </c>
    </row>
    <row r="14" ht="14.25" customFormat="1" customHeight="1" s="1564">
      <c r="A14" s="1565" t="n"/>
      <c r="B14" s="1566">
        <f>IF('Master Data'!H8="","",'Master Data'!H8)</f>
        <v/>
      </c>
      <c r="C14" s="1566">
        <f>IF('Master Data'!I8="","",'Master Data'!I8)</f>
        <v/>
      </c>
      <c r="D14" s="1567" t="n"/>
      <c r="E14" s="1567" t="n"/>
      <c r="F14" s="1567" t="n"/>
      <c r="G14" s="1567" t="n"/>
      <c r="H14" s="1567" t="n"/>
      <c r="I14" s="1567" t="n"/>
      <c r="J14" s="1567" t="n"/>
      <c r="K14" s="1567" t="n"/>
      <c r="L14" s="1567" t="n"/>
      <c r="M14" s="1567" t="n"/>
      <c r="N14" s="1567" t="n"/>
      <c r="O14" s="1567" t="n"/>
      <c r="P14" s="1567" t="n"/>
      <c r="Q14" s="1567" t="n"/>
      <c r="R14" s="1567" t="n"/>
      <c r="S14" s="1567" t="n"/>
      <c r="T14" s="1567" t="n"/>
      <c r="U14" s="1567" t="n"/>
      <c r="V14" s="1567" t="n"/>
      <c r="W14" s="1567" t="n"/>
      <c r="X14" s="1567" t="n"/>
      <c r="Y14" s="1567" t="n"/>
      <c r="Z14" s="1567" t="n"/>
      <c r="AA14" s="1569" t="n"/>
      <c r="AB14" s="1569" t="n"/>
      <c r="AC14" s="1569" t="n"/>
      <c r="AD14" s="1569" t="n"/>
      <c r="AE14" s="1569" t="n"/>
      <c r="AF14" s="1569" t="n"/>
      <c r="AG14" s="1569" t="n"/>
      <c r="AH14" s="1569" t="n"/>
      <c r="AI14" s="1567" t="n"/>
      <c r="AJ14" s="1567" t="n"/>
      <c r="AK14" s="1567" t="n"/>
      <c r="AL14" s="1567" t="n"/>
      <c r="AM14" s="1568">
        <f>IF(COUNTA(D14:AL14)=0,"",COUNTA(D14:AL14))</f>
        <v/>
      </c>
      <c r="AN14" s="1527" t="n"/>
      <c r="AO14" s="1533" t="n"/>
      <c r="AP14" s="1565" t="n"/>
      <c r="AR14" s="1564">
        <f>IF(D14="X",1,0)</f>
        <v/>
      </c>
      <c r="AS14" s="1564">
        <f>IF(E14="X",1,0)</f>
        <v/>
      </c>
      <c r="AT14" s="1564">
        <f>IF(F14="X",1,0)</f>
        <v/>
      </c>
      <c r="AU14" s="1564">
        <f>IF(G14="X",1,0)</f>
        <v/>
      </c>
      <c r="AV14" s="1564">
        <f>IF(H14="X",1,0)</f>
        <v/>
      </c>
      <c r="AW14" s="1564">
        <f>IF(I14="X",1,0)</f>
        <v/>
      </c>
      <c r="AX14" s="1564">
        <f>IF(J14="X",1,0)</f>
        <v/>
      </c>
      <c r="AY14" s="1564">
        <f>IF(K14="X",1,0)</f>
        <v/>
      </c>
      <c r="AZ14" s="1564">
        <f>IF(L14="X",1,0)</f>
        <v/>
      </c>
      <c r="BA14" s="1564">
        <f>IF(M14="X",1,0)</f>
        <v/>
      </c>
      <c r="BB14" s="1564">
        <f>IF(N14="X",1,0)</f>
        <v/>
      </c>
      <c r="BC14" s="1564">
        <f>IF(O14="X",1,0)</f>
        <v/>
      </c>
      <c r="BD14" s="1564">
        <f>IF(P14="X",1,0)</f>
        <v/>
      </c>
      <c r="BE14" s="1564">
        <f>IF(Q14="X",1,0)</f>
        <v/>
      </c>
      <c r="BF14" s="1564">
        <f>IF(R14="X",1,0)</f>
        <v/>
      </c>
      <c r="BG14" s="1564">
        <f>IF(S14="X",1,0)</f>
        <v/>
      </c>
      <c r="BH14" s="1564">
        <f>IF(T14="X",1,0)</f>
        <v/>
      </c>
      <c r="BI14" s="1564">
        <f>IF(U14="X",1,0)</f>
        <v/>
      </c>
      <c r="BJ14" s="1564">
        <f>IF(V14="X",1,0)</f>
        <v/>
      </c>
      <c r="BK14" s="1564">
        <f>IF(W14="X",1,0)</f>
        <v/>
      </c>
      <c r="BL14" s="1564">
        <f>IF(X14="X",1,0)</f>
        <v/>
      </c>
      <c r="BM14" s="1564">
        <f>IF(Y14="X",1,0)</f>
        <v/>
      </c>
      <c r="BN14" s="1564">
        <f>IF(Z14="X",1,0)</f>
        <v/>
      </c>
      <c r="BO14" s="1564">
        <f>IF(AA14="X",1,0)</f>
        <v/>
      </c>
      <c r="BP14" s="1564">
        <f>IF(AB14="X",1,0)</f>
        <v/>
      </c>
      <c r="BQ14" s="1564">
        <f>IF(AC14="X",1,0)</f>
        <v/>
      </c>
      <c r="BR14" s="1564">
        <f>IF(AD14="X",1,0)</f>
        <v/>
      </c>
      <c r="BS14" s="1564">
        <f>IF(AE14="X",1,0)</f>
        <v/>
      </c>
      <c r="BT14" s="1564">
        <f>IF(AF14="X",1,0)</f>
        <v/>
      </c>
      <c r="BU14" s="1564">
        <f>IF(AG14="X",1,0)</f>
        <v/>
      </c>
      <c r="BV14" s="1564">
        <f>IF(AH14="X",1,0)</f>
        <v/>
      </c>
      <c r="BW14" s="1564">
        <f>IF(AI14="X",1,0)</f>
        <v/>
      </c>
      <c r="BX14" s="1564">
        <f>IF(AJ14="X",1,0)</f>
        <v/>
      </c>
      <c r="BY14" s="1564">
        <f>IF(AK14="X",1,0)</f>
        <v/>
      </c>
      <c r="BZ14" s="1564">
        <f>IF(AL14="X",1,0)</f>
        <v/>
      </c>
      <c r="CA14" s="1564">
        <f>IF(AM14="X",1,0)</f>
        <v/>
      </c>
      <c r="CB14" s="1564">
        <f>IF(AN14="X",1,0)</f>
        <v/>
      </c>
    </row>
    <row r="15" ht="14.25" customFormat="1" customHeight="1" s="1564">
      <c r="A15" s="1565" t="n"/>
      <c r="B15" s="1568">
        <f>IF('Master Data'!H10="","",'Master Data'!H10)</f>
        <v/>
      </c>
      <c r="C15" s="1568">
        <f>IF('Master Data'!I10="","",'Master Data'!I10)</f>
        <v/>
      </c>
      <c r="D15" s="1567" t="n"/>
      <c r="E15" s="1567" t="n"/>
      <c r="F15" s="1567" t="n"/>
      <c r="G15" s="1567" t="n"/>
      <c r="H15" s="1567" t="n"/>
      <c r="I15" s="1567" t="n"/>
      <c r="J15" s="1567" t="n"/>
      <c r="K15" s="1567" t="n"/>
      <c r="L15" s="1567" t="n"/>
      <c r="M15" s="1567" t="n"/>
      <c r="N15" s="1567" t="n"/>
      <c r="O15" s="1567" t="n"/>
      <c r="P15" s="1567" t="n"/>
      <c r="Q15" s="1567" t="n"/>
      <c r="R15" s="1567" t="n"/>
      <c r="S15" s="1567" t="n"/>
      <c r="T15" s="1567" t="n"/>
      <c r="U15" s="1567" t="n"/>
      <c r="V15" s="1567" t="n"/>
      <c r="W15" s="1567" t="n"/>
      <c r="X15" s="1567" t="n"/>
      <c r="Y15" s="1567" t="n"/>
      <c r="Z15" s="1567" t="n"/>
      <c r="AA15" s="1567" t="n"/>
      <c r="AB15" s="1567" t="n"/>
      <c r="AC15" s="1567" t="n"/>
      <c r="AD15" s="1567" t="n"/>
      <c r="AE15" s="1567" t="n"/>
      <c r="AF15" s="1567" t="n"/>
      <c r="AG15" s="1567" t="n"/>
      <c r="AH15" s="1567" t="n"/>
      <c r="AI15" s="1567" t="n"/>
      <c r="AJ15" s="1567" t="n"/>
      <c r="AK15" s="1567" t="n"/>
      <c r="AL15" s="1567" t="n"/>
      <c r="AM15" s="1568">
        <f>IF(COUNTA(D15:AL15)=0,"",COUNTA(D15:AL15))</f>
        <v/>
      </c>
      <c r="AN15" s="1527" t="n"/>
      <c r="AO15" s="1533" t="n"/>
      <c r="AP15" s="1565" t="n"/>
    </row>
    <row r="16" ht="14.25" customFormat="1" customHeight="1" s="1564">
      <c r="A16" s="1565" t="n"/>
      <c r="B16" s="1568">
        <f>IF('Master Data'!H11="","",'Master Data'!H11)</f>
        <v/>
      </c>
      <c r="C16" s="1568">
        <f>IF('Master Data'!I11="","",'Master Data'!I11)</f>
        <v/>
      </c>
      <c r="D16" s="1567" t="n"/>
      <c r="E16" s="1567" t="n"/>
      <c r="F16" s="1567" t="n"/>
      <c r="G16" s="1567" t="n"/>
      <c r="H16" s="1567" t="n"/>
      <c r="I16" s="1567" t="n"/>
      <c r="J16" s="1567" t="n"/>
      <c r="K16" s="1567" t="n"/>
      <c r="L16" s="1567" t="n"/>
      <c r="M16" s="1567" t="n"/>
      <c r="N16" s="1567" t="n"/>
      <c r="O16" s="1567" t="n"/>
      <c r="P16" s="1567" t="n"/>
      <c r="Q16" s="1567" t="n"/>
      <c r="R16" s="1567" t="n"/>
      <c r="S16" s="1567" t="n"/>
      <c r="T16" s="1567" t="n"/>
      <c r="U16" s="1567" t="n"/>
      <c r="V16" s="1567" t="n"/>
      <c r="W16" s="1567" t="n"/>
      <c r="X16" s="1567" t="n"/>
      <c r="Y16" s="1567" t="n"/>
      <c r="Z16" s="1567" t="n"/>
      <c r="AA16" s="1567" t="n"/>
      <c r="AB16" s="1567" t="n"/>
      <c r="AC16" s="1567" t="n"/>
      <c r="AD16" s="1567" t="n"/>
      <c r="AE16" s="1567" t="n"/>
      <c r="AF16" s="1567" t="n"/>
      <c r="AG16" s="1567" t="n"/>
      <c r="AH16" s="1567" t="n"/>
      <c r="AI16" s="1567" t="n"/>
      <c r="AJ16" s="1567" t="n"/>
      <c r="AK16" s="1567" t="n"/>
      <c r="AL16" s="1567" t="n"/>
      <c r="AM16" s="1568">
        <f>IF(COUNTA(D16:AL16)=0,"",COUNTA(D16:AL16))</f>
        <v/>
      </c>
      <c r="AN16" s="1527" t="n"/>
      <c r="AO16" s="1533" t="n"/>
      <c r="AP16" s="1565" t="n"/>
    </row>
    <row r="17" ht="14.25" customFormat="1" customHeight="1" s="1564">
      <c r="A17" s="1565" t="n"/>
      <c r="B17" s="1568">
        <f>IF('Master Data'!H12="","",'Master Data'!H12)</f>
        <v/>
      </c>
      <c r="C17" s="1568">
        <f>IF('Master Data'!I12="","",'Master Data'!I12)</f>
        <v/>
      </c>
      <c r="D17" s="1567" t="n"/>
      <c r="E17" s="1567" t="n"/>
      <c r="F17" s="1567" t="n"/>
      <c r="G17" s="1567" t="n"/>
      <c r="H17" s="1567" t="n"/>
      <c r="I17" s="1567" t="n"/>
      <c r="J17" s="1567" t="n"/>
      <c r="K17" s="1567" t="n"/>
      <c r="L17" s="1567" t="n"/>
      <c r="M17" s="1567" t="n"/>
      <c r="N17" s="1567" t="n"/>
      <c r="O17" s="1567" t="n"/>
      <c r="P17" s="1567" t="n"/>
      <c r="Q17" s="1567" t="n"/>
      <c r="R17" s="1567" t="n"/>
      <c r="S17" s="1567" t="n"/>
      <c r="T17" s="1567" t="n"/>
      <c r="U17" s="1567" t="n"/>
      <c r="V17" s="1567" t="n"/>
      <c r="W17" s="1567" t="n"/>
      <c r="X17" s="1567" t="n"/>
      <c r="Y17" s="1567" t="n"/>
      <c r="Z17" s="1567" t="n"/>
      <c r="AA17" s="1567" t="n"/>
      <c r="AB17" s="1567" t="n"/>
      <c r="AC17" s="1567" t="n"/>
      <c r="AD17" s="1567" t="n"/>
      <c r="AE17" s="1567" t="n"/>
      <c r="AF17" s="1567" t="n"/>
      <c r="AG17" s="1567" t="n"/>
      <c r="AH17" s="1567" t="n"/>
      <c r="AI17" s="1567" t="n"/>
      <c r="AJ17" s="1567" t="n"/>
      <c r="AK17" s="1567" t="n"/>
      <c r="AL17" s="1567" t="n"/>
      <c r="AM17" s="1568">
        <f>IF(COUNTA(D17:AL17)=0,"",COUNTA(D17:AL17))</f>
        <v/>
      </c>
      <c r="AN17" s="1527" t="n"/>
      <c r="AO17" s="1533" t="n"/>
      <c r="AP17" s="1565" t="n"/>
    </row>
    <row r="18" ht="14.25" customFormat="1" customHeight="1" s="1564">
      <c r="A18" s="1565" t="n"/>
      <c r="B18" s="1568">
        <f>IF('Master Data'!H13="","",'Master Data'!H13)</f>
        <v/>
      </c>
      <c r="C18" s="1568">
        <f>IF('Master Data'!I13="","",'Master Data'!I13)</f>
        <v/>
      </c>
      <c r="D18" s="1567" t="n"/>
      <c r="E18" s="1567" t="n"/>
      <c r="F18" s="1567" t="n"/>
      <c r="G18" s="1567" t="n"/>
      <c r="H18" s="1567" t="n"/>
      <c r="I18" s="1567" t="n"/>
      <c r="J18" s="1567" t="n"/>
      <c r="K18" s="1567" t="n"/>
      <c r="L18" s="1567" t="n"/>
      <c r="M18" s="1567" t="n"/>
      <c r="N18" s="1567" t="n"/>
      <c r="O18" s="1567" t="n"/>
      <c r="P18" s="1567" t="n"/>
      <c r="Q18" s="1567" t="n"/>
      <c r="R18" s="1567" t="n"/>
      <c r="S18" s="1567" t="n"/>
      <c r="T18" s="1567" t="n"/>
      <c r="U18" s="1567" t="n"/>
      <c r="V18" s="1567" t="n"/>
      <c r="W18" s="1567" t="n"/>
      <c r="X18" s="1567" t="n"/>
      <c r="Y18" s="1567" t="n"/>
      <c r="Z18" s="1567" t="n"/>
      <c r="AA18" s="1567" t="n"/>
      <c r="AB18" s="1567" t="n"/>
      <c r="AC18" s="1567" t="n"/>
      <c r="AD18" s="1567" t="n"/>
      <c r="AE18" s="1567" t="n"/>
      <c r="AF18" s="1567" t="n"/>
      <c r="AG18" s="1567" t="n"/>
      <c r="AH18" s="1567" t="n"/>
      <c r="AI18" s="1567" t="n"/>
      <c r="AJ18" s="1567" t="n"/>
      <c r="AK18" s="1567" t="n"/>
      <c r="AL18" s="1567" t="n"/>
      <c r="AM18" s="1568">
        <f>IF(COUNTA(D18:AL18)=0,"",COUNTA(D18:AL18))</f>
        <v/>
      </c>
      <c r="AN18" s="1527" t="n"/>
      <c r="AO18" s="1533" t="n"/>
      <c r="AP18" s="1565" t="n"/>
    </row>
    <row r="19" ht="14.25" customFormat="1" customHeight="1" s="1564">
      <c r="A19" s="1565" t="n"/>
      <c r="B19" s="1568">
        <f>IF('Master Data'!H14="","",'Master Data'!H14)</f>
        <v/>
      </c>
      <c r="C19" s="1568">
        <f>IF('Master Data'!I14="","",'Master Data'!I14)</f>
        <v/>
      </c>
      <c r="D19" s="1567" t="n"/>
      <c r="E19" s="1567" t="n"/>
      <c r="F19" s="1567" t="n"/>
      <c r="G19" s="1567" t="n"/>
      <c r="H19" s="1567" t="n"/>
      <c r="I19" s="1567" t="n"/>
      <c r="J19" s="1567" t="n"/>
      <c r="K19" s="1567" t="n"/>
      <c r="L19" s="1567" t="n"/>
      <c r="M19" s="1567" t="n"/>
      <c r="N19" s="1567" t="n"/>
      <c r="O19" s="1567" t="n"/>
      <c r="P19" s="1567" t="n"/>
      <c r="Q19" s="1567" t="n"/>
      <c r="R19" s="1567" t="n"/>
      <c r="S19" s="1567" t="n"/>
      <c r="T19" s="1567" t="n"/>
      <c r="U19" s="1567" t="n"/>
      <c r="V19" s="1567" t="n"/>
      <c r="W19" s="1567" t="n"/>
      <c r="X19" s="1567" t="n"/>
      <c r="Y19" s="1567" t="n"/>
      <c r="Z19" s="1567" t="n"/>
      <c r="AA19" s="1567" t="n"/>
      <c r="AB19" s="1567" t="n"/>
      <c r="AC19" s="1567" t="n"/>
      <c r="AD19" s="1567" t="n"/>
      <c r="AE19" s="1567" t="n"/>
      <c r="AF19" s="1567" t="n"/>
      <c r="AG19" s="1567" t="n"/>
      <c r="AH19" s="1567" t="n"/>
      <c r="AI19" s="1567" t="n"/>
      <c r="AJ19" s="1567" t="n"/>
      <c r="AK19" s="1567" t="n"/>
      <c r="AL19" s="1567" t="n"/>
      <c r="AM19" s="1568">
        <f>IF(COUNTA(D19:AL19)=0,"",COUNTA(D19:AL19))</f>
        <v/>
      </c>
      <c r="AN19" s="1527" t="n"/>
      <c r="AO19" s="1533" t="n"/>
      <c r="AP19" s="1565" t="n"/>
    </row>
    <row r="20" ht="14.25" customFormat="1" customHeight="1" s="1564">
      <c r="A20" s="1565" t="n"/>
      <c r="B20" s="1568">
        <f>IF('Master Data'!H15="","",'Master Data'!H15)</f>
        <v/>
      </c>
      <c r="C20" s="1568">
        <f>IF('Master Data'!I15="","",'Master Data'!I15)</f>
        <v/>
      </c>
      <c r="D20" s="1567" t="n"/>
      <c r="E20" s="1567" t="n"/>
      <c r="F20" s="1567" t="n"/>
      <c r="G20" s="1567" t="n"/>
      <c r="H20" s="1567" t="n"/>
      <c r="I20" s="1567" t="n"/>
      <c r="J20" s="1567" t="n"/>
      <c r="K20" s="1567" t="n"/>
      <c r="L20" s="1567" t="n"/>
      <c r="M20" s="1567" t="n"/>
      <c r="N20" s="1567" t="n"/>
      <c r="O20" s="1567" t="n"/>
      <c r="P20" s="1567" t="n"/>
      <c r="Q20" s="1567" t="n"/>
      <c r="R20" s="1567" t="n"/>
      <c r="S20" s="1567" t="n"/>
      <c r="T20" s="1567" t="n"/>
      <c r="U20" s="1567" t="n"/>
      <c r="V20" s="1567" t="n"/>
      <c r="W20" s="1567" t="n"/>
      <c r="X20" s="1567" t="n"/>
      <c r="Y20" s="1567" t="n"/>
      <c r="Z20" s="1567" t="n"/>
      <c r="AA20" s="1567" t="n"/>
      <c r="AB20" s="1567" t="n"/>
      <c r="AC20" s="1567" t="n"/>
      <c r="AD20" s="1567" t="n"/>
      <c r="AE20" s="1567" t="n"/>
      <c r="AF20" s="1567" t="n"/>
      <c r="AG20" s="1567" t="n"/>
      <c r="AH20" s="1567" t="n"/>
      <c r="AI20" s="1567" t="n"/>
      <c r="AJ20" s="1567" t="n"/>
      <c r="AK20" s="1567" t="n"/>
      <c r="AL20" s="1567" t="n"/>
      <c r="AM20" s="1568">
        <f>IF(COUNTA(D20:AL20)=0,"",COUNTA(D20:AL20))</f>
        <v/>
      </c>
      <c r="AN20" s="1527" t="n"/>
      <c r="AO20" s="1533" t="n"/>
      <c r="AP20" s="1565" t="n"/>
    </row>
    <row r="21" ht="14.25" customFormat="1" customHeight="1" s="1564">
      <c r="A21" s="1565" t="n"/>
      <c r="B21" s="1568">
        <f>IF('Master Data'!H16="","",'Master Data'!H16)</f>
        <v/>
      </c>
      <c r="C21" s="1568">
        <f>IF('Master Data'!I16="","",'Master Data'!I16)</f>
        <v/>
      </c>
      <c r="D21" s="1567" t="n"/>
      <c r="E21" s="1567" t="n"/>
      <c r="F21" s="1567" t="n"/>
      <c r="G21" s="1567" t="n"/>
      <c r="H21" s="1567" t="n"/>
      <c r="I21" s="1567" t="n"/>
      <c r="J21" s="1567" t="n"/>
      <c r="K21" s="1567" t="n"/>
      <c r="L21" s="1567" t="n"/>
      <c r="M21" s="1567" t="n"/>
      <c r="N21" s="1567" t="n"/>
      <c r="O21" s="1567" t="n"/>
      <c r="P21" s="1567" t="n"/>
      <c r="Q21" s="1567" t="n"/>
      <c r="R21" s="1567" t="n"/>
      <c r="S21" s="1567" t="n"/>
      <c r="T21" s="1567" t="n"/>
      <c r="U21" s="1567" t="n"/>
      <c r="V21" s="1567" t="n"/>
      <c r="W21" s="1567" t="n"/>
      <c r="X21" s="1567" t="n"/>
      <c r="Y21" s="1567" t="n"/>
      <c r="Z21" s="1567" t="n"/>
      <c r="AA21" s="1567" t="n"/>
      <c r="AB21" s="1567" t="n"/>
      <c r="AC21" s="1567" t="n"/>
      <c r="AD21" s="1567" t="n"/>
      <c r="AE21" s="1567" t="n"/>
      <c r="AF21" s="1567" t="n"/>
      <c r="AG21" s="1567" t="n"/>
      <c r="AH21" s="1567" t="n"/>
      <c r="AI21" s="1567" t="n"/>
      <c r="AJ21" s="1567" t="n"/>
      <c r="AK21" s="1567" t="n"/>
      <c r="AL21" s="1567" t="n"/>
      <c r="AM21" s="1568">
        <f>IF(COUNTA(D21:AL21)=0,"",COUNTA(D21:AL21))</f>
        <v/>
      </c>
      <c r="AN21" s="1527" t="n"/>
      <c r="AO21" s="1533" t="n"/>
      <c r="AP21" s="1565" t="n"/>
    </row>
    <row r="22" ht="14.25" customFormat="1" customHeight="1" s="1564">
      <c r="A22" s="1565" t="n"/>
      <c r="B22" s="1568">
        <f>IF('Master Data'!H17="","",'Master Data'!H17)</f>
        <v/>
      </c>
      <c r="C22" s="1568">
        <f>IF('Master Data'!I17="","",'Master Data'!I17)</f>
        <v/>
      </c>
      <c r="D22" s="1567" t="n"/>
      <c r="E22" s="1567" t="n"/>
      <c r="F22" s="1567" t="n"/>
      <c r="G22" s="1567" t="n"/>
      <c r="H22" s="1567" t="n"/>
      <c r="I22" s="1567" t="n"/>
      <c r="J22" s="1567" t="n"/>
      <c r="K22" s="1567" t="n"/>
      <c r="L22" s="1567" t="n"/>
      <c r="M22" s="1567" t="n"/>
      <c r="N22" s="1567" t="n"/>
      <c r="O22" s="1567" t="n"/>
      <c r="P22" s="1567" t="n"/>
      <c r="Q22" s="1567" t="n"/>
      <c r="R22" s="1567" t="n"/>
      <c r="S22" s="1567" t="n"/>
      <c r="T22" s="1567" t="n"/>
      <c r="U22" s="1567" t="n"/>
      <c r="V22" s="1567" t="n"/>
      <c r="W22" s="1567" t="n"/>
      <c r="X22" s="1567" t="n"/>
      <c r="Y22" s="1567" t="n"/>
      <c r="Z22" s="1567" t="n"/>
      <c r="AA22" s="1567" t="n"/>
      <c r="AB22" s="1567" t="n"/>
      <c r="AC22" s="1567" t="n"/>
      <c r="AD22" s="1567" t="n"/>
      <c r="AE22" s="1567" t="n"/>
      <c r="AF22" s="1567" t="n"/>
      <c r="AG22" s="1567" t="n"/>
      <c r="AH22" s="1567" t="n"/>
      <c r="AI22" s="1567" t="n"/>
      <c r="AJ22" s="1567" t="n"/>
      <c r="AK22" s="1567" t="n"/>
      <c r="AL22" s="1567" t="n"/>
      <c r="AM22" s="1568">
        <f>IF(COUNTA(D22:AL22)=0,"",COUNTA(D22:AL22))</f>
        <v/>
      </c>
      <c r="AN22" s="1527" t="n"/>
      <c r="AO22" s="1533" t="n"/>
      <c r="AP22" s="1565" t="n"/>
      <c r="AR22" s="1564">
        <f>IF(D22="X",1,0)</f>
        <v/>
      </c>
      <c r="AS22" s="1564">
        <f>IF(E22="X",1,0)</f>
        <v/>
      </c>
      <c r="AT22" s="1564">
        <f>IF(F22="X",1,0)</f>
        <v/>
      </c>
      <c r="AU22" s="1564">
        <f>IF(G22="X",1,0)</f>
        <v/>
      </c>
      <c r="AV22" s="1564">
        <f>IF(H22="X",1,0)</f>
        <v/>
      </c>
      <c r="AW22" s="1564">
        <f>IF(I22="X",1,0)</f>
        <v/>
      </c>
      <c r="AX22" s="1564">
        <f>IF(J22="X",1,0)</f>
        <v/>
      </c>
      <c r="AY22" s="1564">
        <f>IF(K22="X",1,0)</f>
        <v/>
      </c>
      <c r="AZ22" s="1564">
        <f>IF(L22="X",1,0)</f>
        <v/>
      </c>
      <c r="BA22" s="1564">
        <f>IF(M22="X",1,0)</f>
        <v/>
      </c>
      <c r="BB22" s="1564">
        <f>IF(N22="X",1,0)</f>
        <v/>
      </c>
      <c r="BC22" s="1564">
        <f>IF(O22="X",1,0)</f>
        <v/>
      </c>
      <c r="BD22" s="1564">
        <f>IF(P22="X",1,0)</f>
        <v/>
      </c>
      <c r="BE22" s="1564">
        <f>IF(Q22="X",1,0)</f>
        <v/>
      </c>
      <c r="BF22" s="1564">
        <f>IF(R22="X",1,0)</f>
        <v/>
      </c>
      <c r="BG22" s="1564">
        <f>IF(S22="X",1,0)</f>
        <v/>
      </c>
      <c r="BH22" s="1564">
        <f>IF(T22="X",1,0)</f>
        <v/>
      </c>
      <c r="BI22" s="1564">
        <f>IF(U22="X",1,0)</f>
        <v/>
      </c>
      <c r="BJ22" s="1564">
        <f>IF(V22="X",1,0)</f>
        <v/>
      </c>
      <c r="BK22" s="1564">
        <f>IF(W22="X",1,0)</f>
        <v/>
      </c>
      <c r="BL22" s="1564">
        <f>IF(X22="X",1,0)</f>
        <v/>
      </c>
      <c r="BM22" s="1564">
        <f>IF(Y22="X",1,0)</f>
        <v/>
      </c>
      <c r="BN22" s="1564">
        <f>IF(Z22="X",1,0)</f>
        <v/>
      </c>
      <c r="BO22" s="1564">
        <f>IF(AA22="X",1,0)</f>
        <v/>
      </c>
      <c r="BP22" s="1564">
        <f>IF(AB22="X",1,0)</f>
        <v/>
      </c>
      <c r="BQ22" s="1564">
        <f>IF(AC22="X",1,0)</f>
        <v/>
      </c>
      <c r="BR22" s="1564">
        <f>IF(AD22="X",1,0)</f>
        <v/>
      </c>
      <c r="BS22" s="1564">
        <f>IF(AE22="X",1,0)</f>
        <v/>
      </c>
      <c r="BT22" s="1564">
        <f>IF(AF22="X",1,0)</f>
        <v/>
      </c>
      <c r="BU22" s="1564">
        <f>IF(AG22="X",1,0)</f>
        <v/>
      </c>
      <c r="BV22" s="1564">
        <f>IF(AH22="X",1,0)</f>
        <v/>
      </c>
      <c r="BW22" s="1564">
        <f>IF(AI22="X",1,0)</f>
        <v/>
      </c>
      <c r="BX22" s="1564">
        <f>IF(AJ22="X",1,0)</f>
        <v/>
      </c>
      <c r="BY22" s="1564">
        <f>IF(AK22="X",1,0)</f>
        <v/>
      </c>
      <c r="BZ22" s="1564">
        <f>IF(AL22="X",1,0)</f>
        <v/>
      </c>
      <c r="CA22" s="1564">
        <f>IF(AM22="X",1,0)</f>
        <v/>
      </c>
      <c r="CB22" s="1564">
        <f>IF(AN22="X",1,0)</f>
        <v/>
      </c>
    </row>
    <row r="23" ht="14.25" customHeight="1" s="1158">
      <c r="A23" s="1524" t="n"/>
      <c r="B23" s="1568">
        <f>IF('Master Data'!H18="","",'Master Data'!H18)</f>
        <v/>
      </c>
      <c r="C23" s="1568">
        <f>IF('Master Data'!I18="","",'Master Data'!I18)</f>
        <v/>
      </c>
      <c r="D23" s="1567" t="n"/>
      <c r="E23" s="1567" t="n"/>
      <c r="F23" s="1567" t="n"/>
      <c r="G23" s="1567" t="n"/>
      <c r="H23" s="1567" t="n"/>
      <c r="I23" s="1567" t="n"/>
      <c r="J23" s="1567" t="n"/>
      <c r="K23" s="1567" t="n"/>
      <c r="L23" s="1567" t="n"/>
      <c r="M23" s="1567" t="n"/>
      <c r="N23" s="1567" t="n"/>
      <c r="O23" s="1567" t="n"/>
      <c r="P23" s="1567" t="n"/>
      <c r="Q23" s="1567" t="n"/>
      <c r="R23" s="1567" t="n"/>
      <c r="S23" s="1567" t="n"/>
      <c r="T23" s="1567" t="n"/>
      <c r="U23" s="1567" t="n"/>
      <c r="V23" s="1567" t="n"/>
      <c r="W23" s="1567" t="n"/>
      <c r="X23" s="1567" t="n"/>
      <c r="Y23" s="1567" t="n"/>
      <c r="Z23" s="1567" t="n"/>
      <c r="AA23" s="1567" t="n"/>
      <c r="AB23" s="1567" t="n"/>
      <c r="AC23" s="1567" t="n"/>
      <c r="AD23" s="1567" t="n"/>
      <c r="AE23" s="1567" t="n"/>
      <c r="AF23" s="1567" t="n"/>
      <c r="AG23" s="1567" t="n"/>
      <c r="AH23" s="1567" t="n"/>
      <c r="AI23" s="1567" t="n"/>
      <c r="AJ23" s="1567" t="n"/>
      <c r="AK23" s="1567" t="n"/>
      <c r="AL23" s="1567" t="n"/>
      <c r="AM23" s="1568">
        <f>IF(COUNTA(D23:AL23)=0,"",COUNTA(D23:AL23))</f>
        <v/>
      </c>
      <c r="AN23" s="1527" t="n"/>
      <c r="AO23" s="1533" t="n"/>
      <c r="AP23" s="1524" t="n"/>
      <c r="AR23" s="1564">
        <f>IF(D23="X",1,0)</f>
        <v/>
      </c>
      <c r="AS23" s="1564">
        <f>IF(E23="X",1,0)</f>
        <v/>
      </c>
      <c r="AT23" s="1564">
        <f>IF(F23="X",1,0)</f>
        <v/>
      </c>
      <c r="AU23" s="1564">
        <f>IF(G23="X",1,0)</f>
        <v/>
      </c>
      <c r="AV23" s="1564">
        <f>IF(H23="X",1,0)</f>
        <v/>
      </c>
      <c r="AW23" s="1564">
        <f>IF(I23="X",1,0)</f>
        <v/>
      </c>
      <c r="AX23" s="1564">
        <f>IF(J23="X",1,0)</f>
        <v/>
      </c>
      <c r="AY23" s="1564">
        <f>IF(K23="X",1,0)</f>
        <v/>
      </c>
      <c r="AZ23" s="1564">
        <f>IF(L23="X",1,0)</f>
        <v/>
      </c>
      <c r="BA23" s="1564">
        <f>IF(M23="X",1,0)</f>
        <v/>
      </c>
      <c r="BB23" s="1564">
        <f>IF(N23="X",1,0)</f>
        <v/>
      </c>
      <c r="BC23" s="1564">
        <f>IF(O23="X",1,0)</f>
        <v/>
      </c>
      <c r="BD23" s="1564">
        <f>IF(P23="X",1,0)</f>
        <v/>
      </c>
      <c r="BE23" s="1564">
        <f>IF(Q23="X",1,0)</f>
        <v/>
      </c>
      <c r="BF23" s="1564">
        <f>IF(R23="X",1,0)</f>
        <v/>
      </c>
      <c r="BG23" s="1564">
        <f>IF(S23="X",1,0)</f>
        <v/>
      </c>
      <c r="BH23" s="1564">
        <f>IF(T23="X",1,0)</f>
        <v/>
      </c>
      <c r="BI23" s="1564">
        <f>IF(U23="X",1,0)</f>
        <v/>
      </c>
      <c r="BJ23" s="1564">
        <f>IF(V23="X",1,0)</f>
        <v/>
      </c>
      <c r="BK23" s="1564">
        <f>IF(W23="X",1,0)</f>
        <v/>
      </c>
      <c r="BL23" s="1564">
        <f>IF(X23="X",1,0)</f>
        <v/>
      </c>
      <c r="BM23" s="1564">
        <f>IF(Y23="X",1,0)</f>
        <v/>
      </c>
      <c r="BN23" s="1564">
        <f>IF(Z23="X",1,0)</f>
        <v/>
      </c>
      <c r="BO23" s="1564">
        <f>IF(AA23="X",1,0)</f>
        <v/>
      </c>
      <c r="BP23" s="1564">
        <f>IF(AB23="X",1,0)</f>
        <v/>
      </c>
      <c r="BQ23" s="1564">
        <f>IF(AC23="X",1,0)</f>
        <v/>
      </c>
      <c r="BR23" s="1564">
        <f>IF(AD23="X",1,0)</f>
        <v/>
      </c>
      <c r="BS23" s="1564">
        <f>IF(AE23="X",1,0)</f>
        <v/>
      </c>
      <c r="BT23" s="1564">
        <f>IF(AF23="X",1,0)</f>
        <v/>
      </c>
      <c r="BU23" s="1564">
        <f>IF(AG23="X",1,0)</f>
        <v/>
      </c>
      <c r="BV23" s="1564">
        <f>IF(AH23="X",1,0)</f>
        <v/>
      </c>
      <c r="BW23" s="1564">
        <f>IF(AI23="X",1,0)</f>
        <v/>
      </c>
      <c r="BX23" s="1564">
        <f>IF(AJ23="X",1,0)</f>
        <v/>
      </c>
      <c r="BY23" s="1564">
        <f>IF(AK23="X",1,0)</f>
        <v/>
      </c>
      <c r="BZ23" s="1564">
        <f>IF(AL23="X",1,0)</f>
        <v/>
      </c>
      <c r="CA23" s="1564">
        <f>IF(AM23="X",1,0)</f>
        <v/>
      </c>
      <c r="CB23" s="1564">
        <f>IF(AN23="X",1,0)</f>
        <v/>
      </c>
    </row>
    <row r="24" ht="14.25" customHeight="1" s="1158">
      <c r="A24" s="1524" t="n"/>
      <c r="B24" s="1561" t="inlineStr">
        <is>
          <t>Part # /Serial #</t>
        </is>
      </c>
      <c r="C24" s="1561" t="inlineStr">
        <is>
          <t xml:space="preserve">Service Equipment </t>
        </is>
      </c>
      <c r="D24" s="1570" t="n"/>
      <c r="E24" s="1570" t="n"/>
      <c r="F24" s="1570" t="n"/>
      <c r="G24" s="1570" t="n"/>
      <c r="H24" s="1570" t="n"/>
      <c r="I24" s="1570" t="n"/>
      <c r="J24" s="1570" t="n"/>
      <c r="K24" s="1570" t="n"/>
      <c r="L24" s="1570" t="n"/>
      <c r="M24" s="1570" t="n"/>
      <c r="N24" s="1570" t="n"/>
      <c r="O24" s="1570" t="n"/>
      <c r="P24" s="1570" t="n"/>
      <c r="Q24" s="1570" t="n"/>
      <c r="R24" s="1570" t="n"/>
      <c r="S24" s="1570" t="n"/>
      <c r="T24" s="1570" t="n"/>
      <c r="U24" s="1570" t="n"/>
      <c r="V24" s="1570" t="n"/>
      <c r="W24" s="1570" t="n"/>
      <c r="X24" s="1570" t="n"/>
      <c r="Y24" s="1570" t="n"/>
      <c r="Z24" s="1570" t="n"/>
      <c r="AA24" s="1570" t="n"/>
      <c r="AB24" s="1570" t="n"/>
      <c r="AC24" s="1570" t="n"/>
      <c r="AD24" s="1570" t="n"/>
      <c r="AE24" s="1570" t="n"/>
      <c r="AF24" s="1570" t="n"/>
      <c r="AG24" s="1570" t="n"/>
      <c r="AH24" s="1570" t="n"/>
      <c r="AI24" s="1570" t="n"/>
      <c r="AJ24" s="1570" t="n"/>
      <c r="AK24" s="1570" t="n"/>
      <c r="AL24" s="1570" t="n"/>
      <c r="AM24" s="1571" t="n"/>
      <c r="AN24" s="1527" t="n"/>
      <c r="AO24" s="1533" t="n"/>
      <c r="AP24" s="1524" t="n"/>
      <c r="AR24" s="1564" t="n"/>
      <c r="AS24" s="1564" t="n"/>
      <c r="AT24" s="1564" t="n"/>
      <c r="AU24" s="1564" t="n"/>
      <c r="AV24" s="1564" t="n"/>
      <c r="AW24" s="1564" t="n"/>
      <c r="AX24" s="1564" t="n"/>
      <c r="AY24" s="1564" t="n"/>
      <c r="AZ24" s="1564" t="n"/>
      <c r="BA24" s="1564" t="n"/>
      <c r="BB24" s="1564" t="n"/>
      <c r="BC24" s="1564" t="n"/>
      <c r="BD24" s="1564" t="n"/>
      <c r="BE24" s="1564" t="n"/>
      <c r="BF24" s="1564" t="n"/>
      <c r="BG24" s="1564" t="n"/>
      <c r="BH24" s="1564" t="n"/>
      <c r="BI24" s="1564" t="n"/>
      <c r="BJ24" s="1564" t="n"/>
      <c r="BK24" s="1564" t="n"/>
      <c r="BL24" s="1564" t="n"/>
      <c r="BM24" s="1564" t="n"/>
      <c r="BN24" s="1564" t="n"/>
      <c r="BO24" s="1564" t="n"/>
      <c r="BP24" s="1564" t="n"/>
      <c r="BQ24" s="1564" t="n"/>
      <c r="BR24" s="1564" t="n"/>
      <c r="BS24" s="1564" t="n"/>
      <c r="BT24" s="1564" t="n"/>
      <c r="BU24" s="1564" t="n"/>
      <c r="BV24" s="1564" t="n"/>
      <c r="BW24" s="1564" t="n"/>
      <c r="BX24" s="1564" t="n"/>
      <c r="BY24" s="1564" t="n"/>
      <c r="BZ24" s="1564" t="n"/>
      <c r="CA24" s="1564" t="n"/>
      <c r="CB24" s="1564" t="n"/>
    </row>
    <row r="25" ht="14.25" customHeight="1" s="1158">
      <c r="A25" s="1524" t="n"/>
      <c r="B25" s="1572">
        <f>'MS2'!F11</f>
        <v/>
      </c>
      <c r="C25" s="1573">
        <f>'MS2'!G11</f>
        <v/>
      </c>
      <c r="D25" s="1567" t="inlineStr">
        <is>
          <t>x</t>
        </is>
      </c>
      <c r="E25" s="1567" t="inlineStr">
        <is>
          <t>x</t>
        </is>
      </c>
      <c r="F25" s="1567" t="inlineStr">
        <is>
          <t>x</t>
        </is>
      </c>
      <c r="G25" s="1567" t="inlineStr">
        <is>
          <t>x</t>
        </is>
      </c>
      <c r="H25" s="1567" t="inlineStr">
        <is>
          <t>x</t>
        </is>
      </c>
      <c r="I25" s="1567" t="inlineStr">
        <is>
          <t>x</t>
        </is>
      </c>
      <c r="J25" s="1574" t="n"/>
      <c r="K25" s="1574" t="n"/>
      <c r="L25" s="1574" t="n"/>
      <c r="M25" s="1574" t="n"/>
      <c r="N25" s="1574" t="n"/>
      <c r="O25" s="1575" t="n"/>
      <c r="P25" s="1575" t="n"/>
      <c r="Q25" s="1575" t="n"/>
      <c r="R25" s="1575" t="n"/>
      <c r="S25" s="1575" t="n"/>
      <c r="T25" s="1575" t="n"/>
      <c r="U25" s="1575" t="n"/>
      <c r="V25" s="1575" t="n"/>
      <c r="W25" s="1575" t="n"/>
      <c r="X25" s="1575" t="n"/>
      <c r="Y25" s="1575" t="n"/>
      <c r="Z25" s="1569" t="n"/>
      <c r="AA25" s="1569" t="n"/>
      <c r="AB25" s="1569" t="n"/>
      <c r="AC25" s="1569" t="n"/>
      <c r="AD25" s="1569" t="n"/>
      <c r="AE25" s="1569" t="n"/>
      <c r="AF25" s="1569" t="n"/>
      <c r="AG25" s="1569" t="n"/>
      <c r="AH25" s="1574" t="n"/>
      <c r="AI25" s="1574" t="n"/>
      <c r="AJ25" s="1574" t="n"/>
      <c r="AK25" s="1574" t="n"/>
      <c r="AL25" s="1574" t="n"/>
      <c r="AM25" s="1568">
        <f>IF(COUNTA(D25:AL25)=0,"",COUNTA(D25:AL25))</f>
        <v/>
      </c>
      <c r="AN25" s="1527" t="n"/>
      <c r="AO25" s="1533" t="n"/>
      <c r="AP25" s="1524" t="n"/>
      <c r="AR25" s="1564">
        <f>IF(D25="X",1,0)</f>
        <v/>
      </c>
      <c r="AS25" s="1564">
        <f>IF(E25="X",1,0)</f>
        <v/>
      </c>
      <c r="AT25" s="1564">
        <f>IF(F25="X",1,0)</f>
        <v/>
      </c>
      <c r="AU25" s="1564">
        <f>IF(G25="X",1,0)</f>
        <v/>
      </c>
      <c r="AV25" s="1564">
        <f>IF(H25="X",1,0)</f>
        <v/>
      </c>
      <c r="AW25" s="1564">
        <f>IF(I25="X",1,0)</f>
        <v/>
      </c>
      <c r="AX25" s="1564">
        <f>IF(J25="X",1,0)</f>
        <v/>
      </c>
      <c r="AY25" s="1564">
        <f>IF(K25="X",1,0)</f>
        <v/>
      </c>
      <c r="AZ25" s="1564">
        <f>IF(L25="X",1,0)</f>
        <v/>
      </c>
      <c r="BA25" s="1564">
        <f>IF(M25="X",1,0)</f>
        <v/>
      </c>
      <c r="BB25" s="1564">
        <f>IF(N25="X",1,0)</f>
        <v/>
      </c>
      <c r="BC25" s="1564">
        <f>IF(O25="X",1,0)</f>
        <v/>
      </c>
      <c r="BD25" s="1564">
        <f>IF(P25="X",1,0)</f>
        <v/>
      </c>
      <c r="BE25" s="1564">
        <f>IF(Q25="X",1,0)</f>
        <v/>
      </c>
      <c r="BF25" s="1564">
        <f>IF(R25="X",1,0)</f>
        <v/>
      </c>
      <c r="BG25" s="1564">
        <f>IF(S25="X",1,0)</f>
        <v/>
      </c>
      <c r="BH25" s="1564">
        <f>IF(T25="X",1,0)</f>
        <v/>
      </c>
      <c r="BI25" s="1564">
        <f>IF(U25="X",1,0)</f>
        <v/>
      </c>
      <c r="BJ25" s="1564">
        <f>IF(V25="X",1,0)</f>
        <v/>
      </c>
      <c r="BK25" s="1564">
        <f>IF(W25="X",1,0)</f>
        <v/>
      </c>
      <c r="BL25" s="1564">
        <f>IF(X25="X",1,0)</f>
        <v/>
      </c>
      <c r="BM25" s="1564">
        <f>IF(Y25="X",1,0)</f>
        <v/>
      </c>
      <c r="BN25" s="1564">
        <f>IF(Z25="X",1,0)</f>
        <v/>
      </c>
      <c r="BO25" s="1564">
        <f>IF(AA25="X",1,0)</f>
        <v/>
      </c>
      <c r="BP25" s="1564">
        <f>IF(AB25="X",1,0)</f>
        <v/>
      </c>
      <c r="BQ25" s="1564">
        <f>IF(AC25="X",1,0)</f>
        <v/>
      </c>
      <c r="BR25" s="1564">
        <f>IF(AD25="X",1,0)</f>
        <v/>
      </c>
      <c r="BS25" s="1564">
        <f>IF(AE25="X",1,0)</f>
        <v/>
      </c>
      <c r="BT25" s="1564">
        <f>IF(AF25="X",1,0)</f>
        <v/>
      </c>
      <c r="BU25" s="1564">
        <f>IF(AG25="X",1,0)</f>
        <v/>
      </c>
      <c r="BV25" s="1564">
        <f>IF(AH25="X",1,0)</f>
        <v/>
      </c>
      <c r="BW25" s="1564">
        <f>IF(AI25="X",1,0)</f>
        <v/>
      </c>
      <c r="BX25" s="1564">
        <f>IF(AJ25="X",1,0)</f>
        <v/>
      </c>
      <c r="BY25" s="1564">
        <f>IF(AK25="X",1,0)</f>
        <v/>
      </c>
      <c r="BZ25" s="1564">
        <f>IF(AL25="X",1,0)</f>
        <v/>
      </c>
      <c r="CA25" s="1564">
        <f>IF(AM25="X",1,0)</f>
        <v/>
      </c>
      <c r="CB25" s="1564">
        <f>IF(AN25="X",1,0)</f>
        <v/>
      </c>
    </row>
    <row r="26" ht="14.25" customHeight="1" s="1158">
      <c r="A26" s="1524" t="n"/>
      <c r="B26" s="1576">
        <f>'MS2'!F12</f>
        <v/>
      </c>
      <c r="C26" s="1577">
        <f>'MS2'!G12</f>
        <v/>
      </c>
      <c r="D26" s="1575" t="n"/>
      <c r="E26" s="1575" t="n"/>
      <c r="F26" s="1575" t="n"/>
      <c r="G26" s="1575" t="n"/>
      <c r="H26" s="1575" t="n"/>
      <c r="I26" s="1575" t="n"/>
      <c r="J26" s="1575" t="n"/>
      <c r="K26" s="1575" t="n"/>
      <c r="L26" s="1575" t="n"/>
      <c r="M26" s="1575" t="n"/>
      <c r="N26" s="1575" t="n"/>
      <c r="O26" s="1575" t="n"/>
      <c r="P26" s="1575" t="n"/>
      <c r="Q26" s="1575" t="n"/>
      <c r="R26" s="1575" t="n"/>
      <c r="S26" s="1575" t="n"/>
      <c r="T26" s="1575" t="n"/>
      <c r="U26" s="1575" t="n"/>
      <c r="V26" s="1575" t="n"/>
      <c r="W26" s="1575" t="n"/>
      <c r="X26" s="1575" t="n"/>
      <c r="Y26" s="1575" t="n"/>
      <c r="Z26" s="1569" t="n"/>
      <c r="AA26" s="1569" t="n"/>
      <c r="AB26" s="1569" t="n"/>
      <c r="AC26" s="1569" t="n"/>
      <c r="AD26" s="1569" t="n"/>
      <c r="AE26" s="1569" t="n"/>
      <c r="AF26" s="1569" t="n"/>
      <c r="AG26" s="1569" t="n"/>
      <c r="AH26" s="1569" t="n"/>
      <c r="AI26" s="1575" t="n"/>
      <c r="AJ26" s="1575" t="n"/>
      <c r="AK26" s="1575" t="n"/>
      <c r="AL26" s="1575" t="n"/>
      <c r="AM26" s="1568">
        <f>IF(COUNTA(D26:AL26)=0,"",COUNTA(D26:AL26))</f>
        <v/>
      </c>
      <c r="AN26" s="1527" t="n"/>
      <c r="AO26" s="1533" t="n"/>
      <c r="AP26" s="1524" t="n"/>
      <c r="AR26" s="1564">
        <f>IF(D26="X",1,0)</f>
        <v/>
      </c>
      <c r="AS26" s="1564">
        <f>IF(E26="X",1,0)</f>
        <v/>
      </c>
      <c r="AT26" s="1564">
        <f>IF(F26="X",1,0)</f>
        <v/>
      </c>
      <c r="AU26" s="1564">
        <f>IF(G26="X",1,0)</f>
        <v/>
      </c>
      <c r="AV26" s="1564">
        <f>IF(H26="X",1,0)</f>
        <v/>
      </c>
      <c r="AW26" s="1564">
        <f>IF(I26="X",1,0)</f>
        <v/>
      </c>
      <c r="AX26" s="1564">
        <f>IF(J26="X",1,0)</f>
        <v/>
      </c>
      <c r="AY26" s="1564">
        <f>IF(K26="X",1,0)</f>
        <v/>
      </c>
      <c r="AZ26" s="1564">
        <f>IF(L26="X",1,0)</f>
        <v/>
      </c>
      <c r="BA26" s="1564">
        <f>IF(M26="X",1,0)</f>
        <v/>
      </c>
      <c r="BB26" s="1564">
        <f>IF(N26="X",1,0)</f>
        <v/>
      </c>
      <c r="BC26" s="1564">
        <f>IF(O26="X",1,0)</f>
        <v/>
      </c>
      <c r="BD26" s="1564">
        <f>IF(P26="X",1,0)</f>
        <v/>
      </c>
      <c r="BE26" s="1564">
        <f>IF(Q26="X",1,0)</f>
        <v/>
      </c>
      <c r="BF26" s="1564">
        <f>IF(R26="X",1,0)</f>
        <v/>
      </c>
      <c r="BG26" s="1564">
        <f>IF(S26="X",1,0)</f>
        <v/>
      </c>
      <c r="BH26" s="1564">
        <f>IF(T26="X",1,0)</f>
        <v/>
      </c>
      <c r="BI26" s="1564">
        <f>IF(U26="X",1,0)</f>
        <v/>
      </c>
      <c r="BJ26" s="1564">
        <f>IF(V26="X",1,0)</f>
        <v/>
      </c>
      <c r="BK26" s="1564">
        <f>IF(W26="X",1,0)</f>
        <v/>
      </c>
      <c r="BL26" s="1564">
        <f>IF(X26="X",1,0)</f>
        <v/>
      </c>
      <c r="BM26" s="1564">
        <f>IF(Y26="X",1,0)</f>
        <v/>
      </c>
      <c r="BN26" s="1564">
        <f>IF(Z26="X",1,0)</f>
        <v/>
      </c>
      <c r="BO26" s="1564">
        <f>IF(AA26="X",1,0)</f>
        <v/>
      </c>
      <c r="BP26" s="1564">
        <f>IF(AB26="X",1,0)</f>
        <v/>
      </c>
      <c r="BQ26" s="1564">
        <f>IF(AC26="X",1,0)</f>
        <v/>
      </c>
      <c r="BR26" s="1564">
        <f>IF(AD26="X",1,0)</f>
        <v/>
      </c>
      <c r="BS26" s="1564">
        <f>IF(AE26="X",1,0)</f>
        <v/>
      </c>
      <c r="BT26" s="1564">
        <f>IF(AF26="X",1,0)</f>
        <v/>
      </c>
      <c r="BU26" s="1564">
        <f>IF(AG26="X",1,0)</f>
        <v/>
      </c>
      <c r="BV26" s="1564">
        <f>IF(AH26="X",1,0)</f>
        <v/>
      </c>
      <c r="BW26" s="1564">
        <f>IF(AI26="X",1,0)</f>
        <v/>
      </c>
      <c r="BX26" s="1564">
        <f>IF(AJ26="X",1,0)</f>
        <v/>
      </c>
      <c r="BY26" s="1564">
        <f>IF(AK26="X",1,0)</f>
        <v/>
      </c>
      <c r="BZ26" s="1564">
        <f>IF(AL26="X",1,0)</f>
        <v/>
      </c>
      <c r="CA26" s="1564">
        <f>IF(AM26="X",1,0)</f>
        <v/>
      </c>
      <c r="CB26" s="1564">
        <f>IF(AN26="X",1,0)</f>
        <v/>
      </c>
    </row>
    <row r="27" ht="14.25" customHeight="1" s="1158">
      <c r="A27" s="1524" t="n"/>
      <c r="B27" s="1572">
        <f>'MS2'!F13</f>
        <v/>
      </c>
      <c r="C27" s="1577">
        <f>'MS2'!G13</f>
        <v/>
      </c>
      <c r="D27" s="1575" t="n"/>
      <c r="E27" s="1575" t="n"/>
      <c r="F27" s="1575" t="n"/>
      <c r="G27" s="1575" t="n"/>
      <c r="H27" s="1575" t="n"/>
      <c r="I27" s="1575" t="n"/>
      <c r="J27" s="1575" t="n"/>
      <c r="K27" s="1575" t="n"/>
      <c r="L27" s="1575" t="n"/>
      <c r="M27" s="1575" t="n"/>
      <c r="N27" s="1575" t="n"/>
      <c r="O27" s="1575" t="n"/>
      <c r="P27" s="1575" t="n"/>
      <c r="Q27" s="1575" t="n"/>
      <c r="R27" s="1575" t="n"/>
      <c r="S27" s="1575" t="n"/>
      <c r="T27" s="1575" t="n"/>
      <c r="U27" s="1575" t="n"/>
      <c r="V27" s="1575" t="n"/>
      <c r="W27" s="1575" t="n"/>
      <c r="X27" s="1575" t="n"/>
      <c r="Y27" s="1575" t="n"/>
      <c r="Z27" s="1575" t="n"/>
      <c r="AA27" s="1575" t="n"/>
      <c r="AB27" s="1575" t="n"/>
      <c r="AC27" s="1575" t="n"/>
      <c r="AD27" s="1575" t="n"/>
      <c r="AE27" s="1575" t="n"/>
      <c r="AF27" s="1575" t="n"/>
      <c r="AG27" s="1575" t="n"/>
      <c r="AH27" s="1575" t="n"/>
      <c r="AI27" s="1575" t="n"/>
      <c r="AJ27" s="1575" t="n"/>
      <c r="AK27" s="1575" t="n"/>
      <c r="AL27" s="1575" t="n"/>
      <c r="AM27" s="1568">
        <f>IF(COUNTA(D27:AL27)=0,"",COUNTA(D27:AL27))</f>
        <v/>
      </c>
      <c r="AN27" s="1527" t="n"/>
      <c r="AO27" s="1533" t="n"/>
      <c r="AP27" s="1524" t="n"/>
      <c r="AR27" s="1564">
        <f>IF(D27="X",1,0)</f>
        <v/>
      </c>
      <c r="AS27" s="1564">
        <f>IF(E27="X",1,0)</f>
        <v/>
      </c>
      <c r="AT27" s="1564">
        <f>IF(F27="X",1,0)</f>
        <v/>
      </c>
      <c r="AU27" s="1564">
        <f>IF(G27="X",1,0)</f>
        <v/>
      </c>
      <c r="AV27" s="1564">
        <f>IF(H27="X",1,0)</f>
        <v/>
      </c>
      <c r="AW27" s="1564">
        <f>IF(I27="X",1,0)</f>
        <v/>
      </c>
      <c r="AX27" s="1564">
        <f>IF(J27="X",1,0)</f>
        <v/>
      </c>
      <c r="AY27" s="1564">
        <f>IF(K27="X",1,0)</f>
        <v/>
      </c>
      <c r="AZ27" s="1564">
        <f>IF(L27="X",1,0)</f>
        <v/>
      </c>
      <c r="BA27" s="1564">
        <f>IF(M27="X",1,0)</f>
        <v/>
      </c>
      <c r="BB27" s="1564">
        <f>IF(N27="X",1,0)</f>
        <v/>
      </c>
      <c r="BC27" s="1564">
        <f>IF(O27="X",1,0)</f>
        <v/>
      </c>
      <c r="BD27" s="1564">
        <f>IF(P27="X",1,0)</f>
        <v/>
      </c>
      <c r="BE27" s="1564">
        <f>IF(Q27="X",1,0)</f>
        <v/>
      </c>
      <c r="BF27" s="1564">
        <f>IF(R27="X",1,0)</f>
        <v/>
      </c>
      <c r="BG27" s="1564">
        <f>IF(S27="X",1,0)</f>
        <v/>
      </c>
      <c r="BH27" s="1564">
        <f>IF(T27="X",1,0)</f>
        <v/>
      </c>
      <c r="BI27" s="1564">
        <f>IF(U27="X",1,0)</f>
        <v/>
      </c>
      <c r="BJ27" s="1564">
        <f>IF(V27="X",1,0)</f>
        <v/>
      </c>
      <c r="BK27" s="1564">
        <f>IF(W27="X",1,0)</f>
        <v/>
      </c>
      <c r="BL27" s="1564">
        <f>IF(X27="X",1,0)</f>
        <v/>
      </c>
      <c r="BM27" s="1564">
        <f>IF(Y27="X",1,0)</f>
        <v/>
      </c>
      <c r="BN27" s="1564">
        <f>IF(Z27="X",1,0)</f>
        <v/>
      </c>
      <c r="BO27" s="1564">
        <f>IF(AA27="X",1,0)</f>
        <v/>
      </c>
      <c r="BP27" s="1564">
        <f>IF(AB27="X",1,0)</f>
        <v/>
      </c>
      <c r="BQ27" s="1564">
        <f>IF(AC27="X",1,0)</f>
        <v/>
      </c>
      <c r="BR27" s="1564">
        <f>IF(AD27="X",1,0)</f>
        <v/>
      </c>
      <c r="BS27" s="1564">
        <f>IF(AE27="X",1,0)</f>
        <v/>
      </c>
      <c r="BT27" s="1564">
        <f>IF(AF27="X",1,0)</f>
        <v/>
      </c>
      <c r="BU27" s="1564">
        <f>IF(AG27="X",1,0)</f>
        <v/>
      </c>
      <c r="BV27" s="1564">
        <f>IF(AH27="X",1,0)</f>
        <v/>
      </c>
      <c r="BW27" s="1564">
        <f>IF(AI27="X",1,0)</f>
        <v/>
      </c>
      <c r="BX27" s="1564">
        <f>IF(AJ27="X",1,0)</f>
        <v/>
      </c>
      <c r="BY27" s="1564">
        <f>IF(AK27="X",1,0)</f>
        <v/>
      </c>
      <c r="BZ27" s="1564">
        <f>IF(AL27="X",1,0)</f>
        <v/>
      </c>
      <c r="CA27" s="1564">
        <f>IF(AM27="X",1,0)</f>
        <v/>
      </c>
      <c r="CB27" s="1564">
        <f>IF(AN27="X",1,0)</f>
        <v/>
      </c>
    </row>
    <row r="28" ht="14.25" customHeight="1" s="1158">
      <c r="A28" s="1524" t="n"/>
      <c r="B28" s="1578">
        <f>'MS2'!F14</f>
        <v/>
      </c>
      <c r="C28" s="1578">
        <f>'MS2'!G14</f>
        <v/>
      </c>
      <c r="D28" s="1575" t="n"/>
      <c r="E28" s="1575" t="n"/>
      <c r="F28" s="1575" t="n"/>
      <c r="G28" s="1575" t="n"/>
      <c r="H28" s="1575" t="n"/>
      <c r="I28" s="1575" t="n"/>
      <c r="J28" s="1575" t="n"/>
      <c r="K28" s="1575" t="n"/>
      <c r="L28" s="1575" t="n"/>
      <c r="M28" s="1575" t="n"/>
      <c r="N28" s="1575" t="n"/>
      <c r="O28" s="1575" t="n"/>
      <c r="P28" s="1575" t="n"/>
      <c r="Q28" s="1575" t="n"/>
      <c r="R28" s="1575" t="n"/>
      <c r="S28" s="1575" t="n"/>
      <c r="T28" s="1575" t="n"/>
      <c r="U28" s="1575" t="n"/>
      <c r="V28" s="1575" t="n"/>
      <c r="W28" s="1575" t="n"/>
      <c r="X28" s="1575" t="n"/>
      <c r="Y28" s="1575" t="n"/>
      <c r="Z28" s="1575" t="n"/>
      <c r="AA28" s="1575" t="n"/>
      <c r="AB28" s="1575" t="n"/>
      <c r="AC28" s="1575" t="n"/>
      <c r="AD28" s="1575" t="n"/>
      <c r="AE28" s="1575" t="n"/>
      <c r="AF28" s="1575" t="n"/>
      <c r="AG28" s="1575" t="n"/>
      <c r="AH28" s="1575" t="n"/>
      <c r="AI28" s="1575" t="n"/>
      <c r="AJ28" s="1575" t="n"/>
      <c r="AK28" s="1575" t="n"/>
      <c r="AL28" s="1575" t="n"/>
      <c r="AM28" s="1568">
        <f>IF(COUNTA(D28:AL28)=0,"",COUNTA(D28:AL28))</f>
        <v/>
      </c>
      <c r="AN28" s="1527" t="n"/>
      <c r="AO28" s="1533" t="n"/>
      <c r="AP28" s="1524" t="n"/>
      <c r="AR28" s="1564" t="n"/>
      <c r="AS28" s="1564" t="n"/>
      <c r="AT28" s="1564" t="n"/>
      <c r="AU28" s="1564" t="n"/>
      <c r="AV28" s="1564" t="n"/>
      <c r="AW28" s="1564" t="n"/>
      <c r="AX28" s="1564" t="n"/>
      <c r="AY28" s="1564" t="n"/>
      <c r="AZ28" s="1564" t="n"/>
      <c r="BA28" s="1564" t="n"/>
      <c r="BB28" s="1564" t="n"/>
      <c r="BC28" s="1564" t="n"/>
      <c r="BD28" s="1564" t="n"/>
      <c r="BE28" s="1564" t="n"/>
      <c r="BF28" s="1564" t="n"/>
      <c r="BG28" s="1564" t="n"/>
      <c r="BH28" s="1564" t="n"/>
      <c r="BI28" s="1564" t="n"/>
      <c r="BJ28" s="1564" t="n"/>
      <c r="BK28" s="1564" t="n"/>
      <c r="BL28" s="1564" t="n"/>
      <c r="BM28" s="1564" t="n"/>
      <c r="BN28" s="1564" t="n"/>
      <c r="BO28" s="1564" t="n"/>
      <c r="BP28" s="1564" t="n"/>
      <c r="BQ28" s="1564" t="n"/>
      <c r="BR28" s="1564" t="n"/>
      <c r="BS28" s="1564" t="n"/>
      <c r="BT28" s="1564" t="n"/>
      <c r="BU28" s="1564" t="n"/>
      <c r="BV28" s="1564" t="n"/>
      <c r="BW28" s="1564" t="n"/>
      <c r="BX28" s="1564" t="n"/>
      <c r="BY28" s="1564" t="n"/>
      <c r="BZ28" s="1564" t="n"/>
      <c r="CA28" s="1564" t="n"/>
      <c r="CB28" s="1564" t="n"/>
    </row>
    <row r="29" ht="14.25" customHeight="1" s="1158">
      <c r="A29" s="1524" t="n"/>
      <c r="B29" s="1578">
        <f>'MS2'!F15</f>
        <v/>
      </c>
      <c r="C29" s="1578">
        <f>'MS2'!G15</f>
        <v/>
      </c>
      <c r="D29" s="1575" t="n"/>
      <c r="E29" s="1575" t="n"/>
      <c r="F29" s="1575" t="n"/>
      <c r="G29" s="1575" t="n"/>
      <c r="H29" s="1575" t="n"/>
      <c r="I29" s="1575" t="n"/>
      <c r="J29" s="1575" t="n"/>
      <c r="K29" s="1575" t="n"/>
      <c r="L29" s="1575" t="n"/>
      <c r="M29" s="1575" t="n"/>
      <c r="N29" s="1575" t="n"/>
      <c r="O29" s="1575" t="n"/>
      <c r="P29" s="1575" t="n"/>
      <c r="Q29" s="1575" t="n"/>
      <c r="R29" s="1575" t="n"/>
      <c r="S29" s="1575" t="n"/>
      <c r="T29" s="1575" t="n"/>
      <c r="U29" s="1575" t="n"/>
      <c r="V29" s="1575" t="n"/>
      <c r="W29" s="1575" t="n"/>
      <c r="X29" s="1575" t="n"/>
      <c r="Y29" s="1575" t="n"/>
      <c r="Z29" s="1575" t="n"/>
      <c r="AA29" s="1575" t="n"/>
      <c r="AB29" s="1575" t="n"/>
      <c r="AC29" s="1575" t="n"/>
      <c r="AD29" s="1575" t="n"/>
      <c r="AE29" s="1575" t="n"/>
      <c r="AF29" s="1575" t="n"/>
      <c r="AG29" s="1575" t="n"/>
      <c r="AH29" s="1575" t="n"/>
      <c r="AI29" s="1575" t="n"/>
      <c r="AJ29" s="1575" t="n"/>
      <c r="AK29" s="1575" t="n"/>
      <c r="AL29" s="1575" t="n"/>
      <c r="AM29" s="1568">
        <f>IF(COUNTA(D29:AL29)=0,"",COUNTA(D29:AL29))</f>
        <v/>
      </c>
      <c r="AN29" s="1527" t="n"/>
      <c r="AO29" s="1533" t="n"/>
      <c r="AP29" s="1524" t="n"/>
      <c r="AR29" s="1564" t="n"/>
      <c r="AS29" s="1564" t="n"/>
      <c r="AT29" s="1564" t="n"/>
      <c r="AU29" s="1564" t="n"/>
      <c r="AV29" s="1564" t="n"/>
      <c r="AW29" s="1564" t="n"/>
      <c r="AX29" s="1564" t="n"/>
      <c r="AY29" s="1564" t="n"/>
      <c r="AZ29" s="1564" t="n"/>
      <c r="BA29" s="1564" t="n"/>
      <c r="BB29" s="1564" t="n"/>
      <c r="BC29" s="1564" t="n"/>
      <c r="BD29" s="1564" t="n"/>
      <c r="BE29" s="1564" t="n"/>
      <c r="BF29" s="1564" t="n"/>
      <c r="BG29" s="1564" t="n"/>
      <c r="BH29" s="1564" t="n"/>
      <c r="BI29" s="1564" t="n"/>
      <c r="BJ29" s="1564" t="n"/>
      <c r="BK29" s="1564" t="n"/>
      <c r="BL29" s="1564" t="n"/>
      <c r="BM29" s="1564" t="n"/>
      <c r="BN29" s="1564" t="n"/>
      <c r="BO29" s="1564" t="n"/>
      <c r="BP29" s="1564" t="n"/>
      <c r="BQ29" s="1564" t="n"/>
      <c r="BR29" s="1564" t="n"/>
      <c r="BS29" s="1564" t="n"/>
      <c r="BT29" s="1564" t="n"/>
      <c r="BU29" s="1564" t="n"/>
      <c r="BV29" s="1564" t="n"/>
      <c r="BW29" s="1564" t="n"/>
      <c r="BX29" s="1564" t="n"/>
      <c r="BY29" s="1564" t="n"/>
      <c r="BZ29" s="1564" t="n"/>
      <c r="CA29" s="1564" t="n"/>
      <c r="CB29" s="1564" t="n"/>
    </row>
    <row r="30" ht="14.25" customHeight="1" s="1158">
      <c r="A30" s="1524" t="n"/>
      <c r="B30" s="1578">
        <f>'MS2'!F16</f>
        <v/>
      </c>
      <c r="C30" s="1579">
        <f>'MS2'!D16</f>
        <v/>
      </c>
      <c r="D30" s="1575" t="n"/>
      <c r="E30" s="1575" t="n"/>
      <c r="F30" s="1575" t="n"/>
      <c r="G30" s="1575" t="n"/>
      <c r="H30" s="1575" t="n"/>
      <c r="I30" s="1575" t="n"/>
      <c r="J30" s="1575" t="n"/>
      <c r="K30" s="1575" t="n"/>
      <c r="L30" s="1575" t="n"/>
      <c r="M30" s="1575" t="n"/>
      <c r="N30" s="1575" t="n"/>
      <c r="O30" s="1575" t="n"/>
      <c r="P30" s="1575" t="n"/>
      <c r="Q30" s="1575" t="n"/>
      <c r="R30" s="1575" t="n"/>
      <c r="S30" s="1575" t="n"/>
      <c r="T30" s="1575" t="n"/>
      <c r="U30" s="1575" t="n"/>
      <c r="V30" s="1575" t="n"/>
      <c r="W30" s="1575" t="n"/>
      <c r="X30" s="1575" t="n"/>
      <c r="Y30" s="1575" t="n"/>
      <c r="Z30" s="1575" t="n"/>
      <c r="AA30" s="1575" t="n"/>
      <c r="AB30" s="1575" t="n"/>
      <c r="AC30" s="1575" t="n"/>
      <c r="AD30" s="1575" t="n"/>
      <c r="AE30" s="1575" t="n"/>
      <c r="AF30" s="1575" t="n"/>
      <c r="AG30" s="1575" t="n"/>
      <c r="AH30" s="1575" t="n"/>
      <c r="AI30" s="1575" t="n"/>
      <c r="AJ30" s="1575" t="n"/>
      <c r="AK30" s="1575" t="n"/>
      <c r="AL30" s="1575" t="n"/>
      <c r="AM30" s="1568">
        <f>IF(COUNTA(D30:AL30)=0,"",COUNTA(D30:AL30))</f>
        <v/>
      </c>
      <c r="AN30" s="1527" t="n"/>
      <c r="AO30" s="1533" t="n"/>
      <c r="AP30" s="1524" t="n"/>
      <c r="AR30" s="1564">
        <f>IF(D30="X",1,0)</f>
        <v/>
      </c>
      <c r="AS30" s="1564">
        <f>IF(E30="X",1,0)</f>
        <v/>
      </c>
      <c r="AT30" s="1564">
        <f>IF(F30="X",1,0)</f>
        <v/>
      </c>
      <c r="AU30" s="1564">
        <f>IF(G30="X",1,0)</f>
        <v/>
      </c>
      <c r="AV30" s="1564">
        <f>IF(H30="X",1,0)</f>
        <v/>
      </c>
      <c r="AW30" s="1564">
        <f>IF(I30="X",1,0)</f>
        <v/>
      </c>
      <c r="AX30" s="1564">
        <f>IF(J30="X",1,0)</f>
        <v/>
      </c>
      <c r="AY30" s="1564">
        <f>IF(K30="X",1,0)</f>
        <v/>
      </c>
      <c r="AZ30" s="1564">
        <f>IF(L30="X",1,0)</f>
        <v/>
      </c>
      <c r="BA30" s="1564">
        <f>IF(M30="X",1,0)</f>
        <v/>
      </c>
      <c r="BB30" s="1564">
        <f>IF(N30="X",1,0)</f>
        <v/>
      </c>
      <c r="BC30" s="1564">
        <f>IF(O30="X",1,0)</f>
        <v/>
      </c>
      <c r="BD30" s="1564">
        <f>IF(P30="X",1,0)</f>
        <v/>
      </c>
      <c r="BE30" s="1564">
        <f>IF(Q30="X",1,0)</f>
        <v/>
      </c>
      <c r="BF30" s="1564">
        <f>IF(R30="X",1,0)</f>
        <v/>
      </c>
      <c r="BG30" s="1564">
        <f>IF(S30="X",1,0)</f>
        <v/>
      </c>
      <c r="BH30" s="1564">
        <f>IF(T30="X",1,0)</f>
        <v/>
      </c>
      <c r="BI30" s="1564">
        <f>IF(U30="X",1,0)</f>
        <v/>
      </c>
      <c r="BJ30" s="1564">
        <f>IF(V30="X",1,0)</f>
        <v/>
      </c>
      <c r="BK30" s="1564">
        <f>IF(W30="X",1,0)</f>
        <v/>
      </c>
      <c r="BL30" s="1564">
        <f>IF(X30="X",1,0)</f>
        <v/>
      </c>
      <c r="BM30" s="1564">
        <f>IF(Y30="X",1,0)</f>
        <v/>
      </c>
      <c r="BN30" s="1564">
        <f>IF(Z30="X",1,0)</f>
        <v/>
      </c>
      <c r="BO30" s="1564">
        <f>IF(AA30="X",1,0)</f>
        <v/>
      </c>
      <c r="BP30" s="1564">
        <f>IF(AB30="X",1,0)</f>
        <v/>
      </c>
      <c r="BQ30" s="1564">
        <f>IF(AC30="X",1,0)</f>
        <v/>
      </c>
      <c r="BR30" s="1564">
        <f>IF(AD30="X",1,0)</f>
        <v/>
      </c>
      <c r="BS30" s="1564">
        <f>IF(AE30="X",1,0)</f>
        <v/>
      </c>
      <c r="BT30" s="1564">
        <f>IF(AF30="X",1,0)</f>
        <v/>
      </c>
      <c r="BU30" s="1564">
        <f>IF(AG30="X",1,0)</f>
        <v/>
      </c>
      <c r="BV30" s="1564">
        <f>IF(AH30="X",1,0)</f>
        <v/>
      </c>
      <c r="BW30" s="1564">
        <f>IF(AI30="X",1,0)</f>
        <v/>
      </c>
      <c r="BX30" s="1564">
        <f>IF(AJ30="X",1,0)</f>
        <v/>
      </c>
      <c r="BY30" s="1564">
        <f>IF(AK30="X",1,0)</f>
        <v/>
      </c>
      <c r="BZ30" s="1564">
        <f>IF(AL30="X",1,0)</f>
        <v/>
      </c>
      <c r="CA30" s="1564">
        <f>IF(AM30="X",1,0)</f>
        <v/>
      </c>
      <c r="CB30" s="1564">
        <f>IF(AN30="X",1,0)</f>
        <v/>
      </c>
    </row>
    <row r="31" ht="14.25" customHeight="1" s="1158">
      <c r="A31" s="1524" t="n"/>
      <c r="B31" s="1578">
        <f>'MS2'!F17</f>
        <v/>
      </c>
      <c r="C31" s="1579">
        <f>'MS2'!D17</f>
        <v/>
      </c>
      <c r="D31" s="1575" t="n"/>
      <c r="E31" s="1575" t="n"/>
      <c r="F31" s="1575" t="n"/>
      <c r="G31" s="1575" t="n"/>
      <c r="H31" s="1575" t="n"/>
      <c r="I31" s="1575" t="n"/>
      <c r="J31" s="1575" t="n"/>
      <c r="K31" s="1575" t="n"/>
      <c r="L31" s="1575" t="n"/>
      <c r="M31" s="1575" t="n"/>
      <c r="N31" s="1575" t="n"/>
      <c r="O31" s="1575" t="n"/>
      <c r="P31" s="1575" t="n"/>
      <c r="Q31" s="1575" t="n"/>
      <c r="R31" s="1575" t="n"/>
      <c r="S31" s="1575" t="n"/>
      <c r="T31" s="1575" t="n"/>
      <c r="U31" s="1575" t="n"/>
      <c r="V31" s="1575" t="n"/>
      <c r="W31" s="1575" t="n"/>
      <c r="X31" s="1575" t="n"/>
      <c r="Y31" s="1575" t="n"/>
      <c r="Z31" s="1575" t="n"/>
      <c r="AA31" s="1575" t="n"/>
      <c r="AB31" s="1575" t="n"/>
      <c r="AC31" s="1575" t="n"/>
      <c r="AD31" s="1575" t="n"/>
      <c r="AE31" s="1575" t="n"/>
      <c r="AF31" s="1575" t="n"/>
      <c r="AG31" s="1575" t="n"/>
      <c r="AH31" s="1575" t="n"/>
      <c r="AI31" s="1575" t="n"/>
      <c r="AJ31" s="1575" t="n"/>
      <c r="AK31" s="1575" t="n"/>
      <c r="AL31" s="1575" t="n"/>
      <c r="AM31" s="1568">
        <f>IF(COUNTA(D31:AL31)=0,"",COUNTA(D31:AL31))</f>
        <v/>
      </c>
      <c r="AN31" s="1527" t="n"/>
      <c r="AO31" s="1533" t="n"/>
      <c r="AP31" s="1524" t="n"/>
      <c r="AR31" s="1564" t="n"/>
      <c r="AS31" s="1564" t="n"/>
      <c r="AT31" s="1564" t="n"/>
      <c r="AU31" s="1564" t="n"/>
      <c r="AV31" s="1564" t="n"/>
      <c r="AW31" s="1564" t="n"/>
      <c r="AX31" s="1564" t="n"/>
      <c r="AY31" s="1564" t="n"/>
      <c r="AZ31" s="1564" t="n"/>
      <c r="BA31" s="1564" t="n"/>
      <c r="BB31" s="1564" t="n"/>
      <c r="BC31" s="1564" t="n"/>
      <c r="BD31" s="1564" t="n"/>
      <c r="BE31" s="1564" t="n"/>
      <c r="BF31" s="1564" t="n"/>
      <c r="BG31" s="1564" t="n"/>
      <c r="BH31" s="1564" t="n"/>
      <c r="BI31" s="1564" t="n"/>
      <c r="BJ31" s="1564" t="n"/>
      <c r="BK31" s="1564" t="n"/>
      <c r="BL31" s="1564" t="n"/>
      <c r="BM31" s="1564" t="n"/>
      <c r="BN31" s="1564" t="n"/>
      <c r="BO31" s="1564" t="n"/>
      <c r="BP31" s="1564" t="n"/>
      <c r="BQ31" s="1564" t="n"/>
      <c r="BR31" s="1564" t="n"/>
      <c r="BS31" s="1564" t="n"/>
      <c r="BT31" s="1564" t="n"/>
      <c r="BU31" s="1564" t="n"/>
      <c r="BV31" s="1564" t="n"/>
      <c r="BW31" s="1564" t="n"/>
      <c r="BX31" s="1564" t="n"/>
      <c r="BY31" s="1564" t="n"/>
      <c r="BZ31" s="1564" t="n"/>
      <c r="CA31" s="1564" t="n"/>
      <c r="CB31" s="1564" t="n"/>
    </row>
    <row r="32" ht="14.25" customHeight="1" s="1158">
      <c r="A32" s="1524" t="n"/>
      <c r="B32" s="1576" t="n"/>
      <c r="C32" s="1576" t="n"/>
      <c r="D32" s="1575" t="n"/>
      <c r="E32" s="1575" t="n"/>
      <c r="F32" s="1575" t="n"/>
      <c r="G32" s="1575" t="n"/>
      <c r="H32" s="1575" t="n"/>
      <c r="I32" s="1575" t="n"/>
      <c r="J32" s="1575" t="n"/>
      <c r="K32" s="1575" t="n"/>
      <c r="L32" s="1575" t="n"/>
      <c r="M32" s="1575" t="n"/>
      <c r="N32" s="1575" t="n"/>
      <c r="O32" s="1575" t="n"/>
      <c r="P32" s="1575" t="n"/>
      <c r="Q32" s="1575" t="n"/>
      <c r="R32" s="1575" t="n"/>
      <c r="S32" s="1575" t="n"/>
      <c r="T32" s="1575" t="n"/>
      <c r="U32" s="1575" t="n"/>
      <c r="V32" s="1575" t="n"/>
      <c r="W32" s="1575" t="n"/>
      <c r="X32" s="1575" t="n"/>
      <c r="Y32" s="1575" t="n"/>
      <c r="Z32" s="1575" t="n"/>
      <c r="AA32" s="1575" t="n"/>
      <c r="AB32" s="1575" t="n"/>
      <c r="AC32" s="1575" t="n"/>
      <c r="AD32" s="1575" t="n"/>
      <c r="AE32" s="1575" t="n"/>
      <c r="AF32" s="1575" t="n"/>
      <c r="AG32" s="1575" t="n"/>
      <c r="AH32" s="1575" t="n"/>
      <c r="AI32" s="1575" t="n"/>
      <c r="AJ32" s="1575" t="n"/>
      <c r="AK32" s="1575" t="n"/>
      <c r="AL32" s="1575" t="n"/>
      <c r="AM32" s="1568">
        <f>IF(COUNTA(D32:AL32)=0,"",COUNTA(D32:AL32))</f>
        <v/>
      </c>
      <c r="AN32" s="1527" t="n"/>
      <c r="AO32" s="1533" t="n"/>
      <c r="AP32" s="1524" t="n"/>
      <c r="AR32" s="1564" t="n"/>
      <c r="AS32" s="1564" t="n"/>
      <c r="AT32" s="1564" t="n"/>
      <c r="AU32" s="1564" t="n"/>
      <c r="AV32" s="1564" t="n"/>
      <c r="AW32" s="1564" t="n"/>
      <c r="AX32" s="1564" t="n"/>
      <c r="AY32" s="1564" t="n"/>
      <c r="AZ32" s="1564" t="n"/>
      <c r="BA32" s="1564" t="n"/>
      <c r="BB32" s="1564" t="n"/>
      <c r="BC32" s="1564" t="n"/>
      <c r="BD32" s="1564" t="n"/>
      <c r="BE32" s="1564" t="n"/>
      <c r="BF32" s="1564" t="n"/>
      <c r="BG32" s="1564" t="n"/>
      <c r="BH32" s="1564" t="n"/>
      <c r="BI32" s="1564" t="n"/>
      <c r="BJ32" s="1564" t="n"/>
      <c r="BK32" s="1564" t="n"/>
      <c r="BL32" s="1564" t="n"/>
      <c r="BM32" s="1564" t="n"/>
      <c r="BN32" s="1564" t="n"/>
      <c r="BO32" s="1564" t="n"/>
      <c r="BP32" s="1564" t="n"/>
      <c r="BQ32" s="1564" t="n"/>
      <c r="BR32" s="1564" t="n"/>
      <c r="BS32" s="1564" t="n"/>
      <c r="BT32" s="1564" t="n"/>
      <c r="BU32" s="1564" t="n"/>
      <c r="BV32" s="1564" t="n"/>
      <c r="BW32" s="1564" t="n"/>
      <c r="BX32" s="1564" t="n"/>
      <c r="BY32" s="1564" t="n"/>
      <c r="BZ32" s="1564" t="n"/>
      <c r="CA32" s="1564" t="n"/>
      <c r="CB32" s="1564" t="n"/>
    </row>
    <row r="33" ht="14.25" customHeight="1" s="1158">
      <c r="A33" s="1524" t="n"/>
      <c r="B33" s="1576" t="n"/>
      <c r="C33" s="1576" t="n"/>
      <c r="D33" s="1575" t="n"/>
      <c r="E33" s="1575" t="n"/>
      <c r="F33" s="1575" t="n"/>
      <c r="G33" s="1575" t="n"/>
      <c r="H33" s="1575" t="n"/>
      <c r="I33" s="1575" t="n"/>
      <c r="J33" s="1575" t="n"/>
      <c r="K33" s="1575" t="n"/>
      <c r="L33" s="1575" t="n"/>
      <c r="M33" s="1575" t="n"/>
      <c r="N33" s="1575" t="n"/>
      <c r="O33" s="1575" t="n"/>
      <c r="P33" s="1575" t="n"/>
      <c r="Q33" s="1575" t="n"/>
      <c r="R33" s="1575" t="n"/>
      <c r="S33" s="1575" t="n"/>
      <c r="T33" s="1575" t="n"/>
      <c r="U33" s="1575" t="n"/>
      <c r="V33" s="1575" t="n"/>
      <c r="W33" s="1575" t="n"/>
      <c r="X33" s="1575" t="n"/>
      <c r="Y33" s="1575" t="n"/>
      <c r="Z33" s="1575" t="n"/>
      <c r="AA33" s="1575" t="n"/>
      <c r="AB33" s="1575" t="n"/>
      <c r="AC33" s="1575" t="n"/>
      <c r="AD33" s="1575" t="n"/>
      <c r="AE33" s="1575" t="n"/>
      <c r="AF33" s="1575" t="n"/>
      <c r="AG33" s="1575" t="n"/>
      <c r="AH33" s="1575" t="n"/>
      <c r="AI33" s="1575" t="n"/>
      <c r="AJ33" s="1575" t="n"/>
      <c r="AK33" s="1575" t="n"/>
      <c r="AL33" s="1575" t="n"/>
      <c r="AM33" s="1568">
        <f>IF(COUNTA(D33:AL33)=0,"",COUNTA(D33:AL33))</f>
        <v/>
      </c>
      <c r="AN33" s="1527" t="n"/>
      <c r="AO33" s="1533" t="n"/>
      <c r="AP33" s="1524" t="n"/>
      <c r="AR33" s="1564">
        <f>IF(D33="X",1,0)</f>
        <v/>
      </c>
      <c r="AS33" s="1564">
        <f>IF(E33="X",1,0)</f>
        <v/>
      </c>
      <c r="AT33" s="1564">
        <f>IF(F33="X",1,0)</f>
        <v/>
      </c>
      <c r="AU33" s="1564">
        <f>IF(G33="X",1,0)</f>
        <v/>
      </c>
      <c r="AV33" s="1564">
        <f>IF(H33="X",1,0)</f>
        <v/>
      </c>
      <c r="AW33" s="1564">
        <f>IF(I33="X",1,0)</f>
        <v/>
      </c>
      <c r="AX33" s="1564">
        <f>IF(J33="X",1,0)</f>
        <v/>
      </c>
      <c r="AY33" s="1564">
        <f>IF(K33="X",1,0)</f>
        <v/>
      </c>
      <c r="AZ33" s="1564">
        <f>IF(L33="X",1,0)</f>
        <v/>
      </c>
      <c r="BA33" s="1564">
        <f>IF(M33="X",1,0)</f>
        <v/>
      </c>
      <c r="BB33" s="1564">
        <f>IF(N33="X",1,0)</f>
        <v/>
      </c>
      <c r="BC33" s="1564">
        <f>IF(O33="X",1,0)</f>
        <v/>
      </c>
      <c r="BD33" s="1564">
        <f>IF(P33="X",1,0)</f>
        <v/>
      </c>
      <c r="BE33" s="1564">
        <f>IF(Q33="X",1,0)</f>
        <v/>
      </c>
      <c r="BF33" s="1564">
        <f>IF(R33="X",1,0)</f>
        <v/>
      </c>
      <c r="BG33" s="1564">
        <f>IF(S33="X",1,0)</f>
        <v/>
      </c>
      <c r="BH33" s="1564">
        <f>IF(T33="X",1,0)</f>
        <v/>
      </c>
      <c r="BI33" s="1564">
        <f>IF(U33="X",1,0)</f>
        <v/>
      </c>
      <c r="BJ33" s="1564">
        <f>IF(V33="X",1,0)</f>
        <v/>
      </c>
      <c r="BK33" s="1564">
        <f>IF(W33="X",1,0)</f>
        <v/>
      </c>
      <c r="BL33" s="1564">
        <f>IF(X33="X",1,0)</f>
        <v/>
      </c>
      <c r="BM33" s="1564">
        <f>IF(Y33="X",1,0)</f>
        <v/>
      </c>
      <c r="BN33" s="1564">
        <f>IF(Z33="X",1,0)</f>
        <v/>
      </c>
      <c r="BO33" s="1564">
        <f>IF(AA33="X",1,0)</f>
        <v/>
      </c>
      <c r="BP33" s="1564">
        <f>IF(AB33="X",1,0)</f>
        <v/>
      </c>
      <c r="BQ33" s="1564">
        <f>IF(AC33="X",1,0)</f>
        <v/>
      </c>
      <c r="BR33" s="1564">
        <f>IF(AD33="X",1,0)</f>
        <v/>
      </c>
      <c r="BS33" s="1564">
        <f>IF(AE33="X",1,0)</f>
        <v/>
      </c>
      <c r="BT33" s="1564">
        <f>IF(AF33="X",1,0)</f>
        <v/>
      </c>
      <c r="BU33" s="1564">
        <f>IF(AG33="X",1,0)</f>
        <v/>
      </c>
      <c r="BV33" s="1564">
        <f>IF(AH33="X",1,0)</f>
        <v/>
      </c>
      <c r="BW33" s="1564">
        <f>IF(AI33="X",1,0)</f>
        <v/>
      </c>
      <c r="BX33" s="1564">
        <f>IF(AJ33="X",1,0)</f>
        <v/>
      </c>
      <c r="BY33" s="1564">
        <f>IF(AK33="X",1,0)</f>
        <v/>
      </c>
      <c r="BZ33" s="1564">
        <f>IF(AL33="X",1,0)</f>
        <v/>
      </c>
      <c r="CA33" s="1564">
        <f>IF(AM33="X",1,0)</f>
        <v/>
      </c>
      <c r="CB33" s="1564">
        <f>IF(AN33="X",1,0)</f>
        <v/>
      </c>
    </row>
    <row r="34" ht="14.25" customHeight="1" s="1158">
      <c r="A34" s="1524" t="n"/>
      <c r="B34" s="1576" t="n"/>
      <c r="C34" s="1576" t="n"/>
      <c r="D34" s="1575" t="n"/>
      <c r="E34" s="1575" t="n"/>
      <c r="F34" s="1575" t="n"/>
      <c r="G34" s="1575" t="n"/>
      <c r="H34" s="1575" t="n"/>
      <c r="I34" s="1575" t="n"/>
      <c r="J34" s="1575" t="n"/>
      <c r="K34" s="1575" t="n"/>
      <c r="L34" s="1575" t="n"/>
      <c r="M34" s="1575" t="n"/>
      <c r="N34" s="1575" t="n"/>
      <c r="O34" s="1575" t="n"/>
      <c r="P34" s="1575" t="n"/>
      <c r="Q34" s="1575" t="n"/>
      <c r="R34" s="1575" t="n"/>
      <c r="S34" s="1575" t="n"/>
      <c r="T34" s="1575" t="n"/>
      <c r="U34" s="1575" t="n"/>
      <c r="V34" s="1575" t="n"/>
      <c r="W34" s="1575" t="n"/>
      <c r="X34" s="1575" t="n"/>
      <c r="Y34" s="1575" t="n"/>
      <c r="Z34" s="1575" t="n"/>
      <c r="AA34" s="1575" t="n"/>
      <c r="AB34" s="1575" t="n"/>
      <c r="AC34" s="1575" t="n"/>
      <c r="AD34" s="1575" t="n"/>
      <c r="AE34" s="1575" t="n"/>
      <c r="AF34" s="1575" t="n"/>
      <c r="AG34" s="1575" t="n"/>
      <c r="AH34" s="1575" t="n"/>
      <c r="AI34" s="1575" t="n"/>
      <c r="AJ34" s="1575" t="n"/>
      <c r="AK34" s="1575" t="n"/>
      <c r="AL34" s="1575" t="n"/>
      <c r="AM34" s="1568">
        <f>IF(COUNTA(D34:AL34)=0,"",COUNTA(D34:AL34))</f>
        <v/>
      </c>
      <c r="AN34" s="1527" t="n"/>
      <c r="AO34" s="1533" t="n"/>
      <c r="AP34" s="1524" t="n"/>
      <c r="AR34" s="1564">
        <f>IF(D34="X",1,0)</f>
        <v/>
      </c>
      <c r="AS34" s="1564">
        <f>IF(E34="X",1,0)</f>
        <v/>
      </c>
      <c r="AT34" s="1564">
        <f>IF(F34="X",1,0)</f>
        <v/>
      </c>
      <c r="AU34" s="1564">
        <f>IF(G34="X",1,0)</f>
        <v/>
      </c>
      <c r="AV34" s="1564">
        <f>IF(H34="X",1,0)</f>
        <v/>
      </c>
      <c r="AW34" s="1564">
        <f>IF(I34="X",1,0)</f>
        <v/>
      </c>
      <c r="AX34" s="1564">
        <f>IF(J34="X",1,0)</f>
        <v/>
      </c>
      <c r="AY34" s="1564">
        <f>IF(K34="X",1,0)</f>
        <v/>
      </c>
      <c r="AZ34" s="1564">
        <f>IF(L34="X",1,0)</f>
        <v/>
      </c>
      <c r="BA34" s="1564">
        <f>IF(M34="X",1,0)</f>
        <v/>
      </c>
      <c r="BB34" s="1564">
        <f>IF(N34="X",1,0)</f>
        <v/>
      </c>
      <c r="BC34" s="1564">
        <f>IF(O34="X",1,0)</f>
        <v/>
      </c>
      <c r="BD34" s="1564">
        <f>IF(P34="X",1,0)</f>
        <v/>
      </c>
      <c r="BE34" s="1564">
        <f>IF(Q34="X",1,0)</f>
        <v/>
      </c>
      <c r="BF34" s="1564">
        <f>IF(R34="X",1,0)</f>
        <v/>
      </c>
      <c r="BG34" s="1564">
        <f>IF(S34="X",1,0)</f>
        <v/>
      </c>
      <c r="BH34" s="1564">
        <f>IF(T34="X",1,0)</f>
        <v/>
      </c>
      <c r="BI34" s="1564">
        <f>IF(U34="X",1,0)</f>
        <v/>
      </c>
      <c r="BJ34" s="1564">
        <f>IF(V34="X",1,0)</f>
        <v/>
      </c>
      <c r="BK34" s="1564">
        <f>IF(W34="X",1,0)</f>
        <v/>
      </c>
      <c r="BL34" s="1564">
        <f>IF(X34="X",1,0)</f>
        <v/>
      </c>
      <c r="BM34" s="1564">
        <f>IF(Y34="X",1,0)</f>
        <v/>
      </c>
      <c r="BN34" s="1564">
        <f>IF(Z34="X",1,0)</f>
        <v/>
      </c>
      <c r="BO34" s="1564">
        <f>IF(AA34="X",1,0)</f>
        <v/>
      </c>
      <c r="BP34" s="1564">
        <f>IF(AB34="X",1,0)</f>
        <v/>
      </c>
      <c r="BQ34" s="1564">
        <f>IF(AC34="X",1,0)</f>
        <v/>
      </c>
      <c r="BR34" s="1564">
        <f>IF(AD34="X",1,0)</f>
        <v/>
      </c>
      <c r="BS34" s="1564">
        <f>IF(AE34="X",1,0)</f>
        <v/>
      </c>
      <c r="BT34" s="1564">
        <f>IF(AF34="X",1,0)</f>
        <v/>
      </c>
      <c r="BU34" s="1564">
        <f>IF(AG34="X",1,0)</f>
        <v/>
      </c>
      <c r="BV34" s="1564">
        <f>IF(AH34="X",1,0)</f>
        <v/>
      </c>
      <c r="BW34" s="1564">
        <f>IF(AI34="X",1,0)</f>
        <v/>
      </c>
      <c r="BX34" s="1564">
        <f>IF(AJ34="X",1,0)</f>
        <v/>
      </c>
      <c r="BY34" s="1564">
        <f>IF(AK34="X",1,0)</f>
        <v/>
      </c>
      <c r="BZ34" s="1564">
        <f>IF(AL34="X",1,0)</f>
        <v/>
      </c>
      <c r="CA34" s="1564">
        <f>IF(AM34="X",1,0)</f>
        <v/>
      </c>
      <c r="CB34" s="1564">
        <f>IF(AN34="X",1,0)</f>
        <v/>
      </c>
    </row>
    <row r="35" ht="9.75" customHeight="1" s="1158">
      <c r="A35" s="1524" t="n"/>
      <c r="B35" s="1580" t="inlineStr">
        <is>
          <t>Operational Hours:</t>
        </is>
      </c>
      <c r="C35" s="1530" t="n"/>
      <c r="D35" s="1581" t="n"/>
      <c r="E35" s="1529" t="n"/>
      <c r="F35" s="1529" t="n"/>
      <c r="G35" s="1529" t="n"/>
      <c r="H35" s="1529" t="n"/>
      <c r="I35" s="1529" t="n"/>
      <c r="J35" s="1529" t="n"/>
      <c r="K35" s="1529" t="n"/>
      <c r="L35" s="1529" t="n"/>
      <c r="M35" s="1529" t="n"/>
      <c r="N35" s="1529" t="n"/>
      <c r="O35" s="1529" t="n"/>
      <c r="P35" s="1529" t="n"/>
      <c r="Q35" s="1529" t="n"/>
      <c r="R35" s="1529" t="n"/>
      <c r="S35" s="1529" t="n"/>
      <c r="T35" s="1529" t="n"/>
      <c r="U35" s="1529" t="n"/>
      <c r="V35" s="1529" t="n"/>
      <c r="W35" s="1529" t="n"/>
      <c r="X35" s="1529" t="n"/>
      <c r="Y35" s="1529" t="n"/>
      <c r="Z35" s="1529" t="n"/>
      <c r="AA35" s="1529" t="n"/>
      <c r="AB35" s="1529" t="n"/>
      <c r="AC35" s="1529" t="n"/>
      <c r="AD35" s="1529" t="n"/>
      <c r="AE35" s="1529" t="n"/>
      <c r="AF35" s="1529" t="n"/>
      <c r="AG35" s="1529" t="n"/>
      <c r="AH35" s="1529" t="n"/>
      <c r="AI35" s="1529" t="n"/>
      <c r="AJ35" s="1529" t="n"/>
      <c r="AK35" s="1529" t="n"/>
      <c r="AL35" s="1529" t="n"/>
      <c r="AM35" s="1529" t="n"/>
      <c r="AN35" s="1529" t="n"/>
      <c r="AO35" s="1530" t="n"/>
      <c r="AP35" s="1524" t="n"/>
    </row>
    <row r="36" ht="9.75" customHeight="1" s="1158">
      <c r="A36" s="1524" t="n"/>
      <c r="B36" s="1550" t="n"/>
      <c r="C36" s="1552" t="n"/>
      <c r="D36" s="1550" t="n"/>
      <c r="E36" s="1551" t="n"/>
      <c r="F36" s="1551" t="n"/>
      <c r="G36" s="1551" t="n"/>
      <c r="H36" s="1551" t="n"/>
      <c r="I36" s="1551" t="n"/>
      <c r="J36" s="1551" t="n"/>
      <c r="K36" s="1551" t="n"/>
      <c r="L36" s="1551" t="n"/>
      <c r="M36" s="1551" t="n"/>
      <c r="N36" s="1551" t="n"/>
      <c r="O36" s="1551" t="n"/>
      <c r="P36" s="1551" t="n"/>
      <c r="Q36" s="1551" t="n"/>
      <c r="R36" s="1551" t="n"/>
      <c r="S36" s="1551" t="n"/>
      <c r="T36" s="1551" t="n"/>
      <c r="U36" s="1551" t="n"/>
      <c r="V36" s="1551" t="n"/>
      <c r="W36" s="1551" t="n"/>
      <c r="X36" s="1551" t="n"/>
      <c r="Y36" s="1551" t="n"/>
      <c r="Z36" s="1551" t="n"/>
      <c r="AA36" s="1551" t="n"/>
      <c r="AB36" s="1551" t="n"/>
      <c r="AC36" s="1551" t="n"/>
      <c r="AD36" s="1551" t="n"/>
      <c r="AE36" s="1551" t="n"/>
      <c r="AF36" s="1551" t="n"/>
      <c r="AG36" s="1551" t="n"/>
      <c r="AH36" s="1551" t="n"/>
      <c r="AI36" s="1551" t="n"/>
      <c r="AJ36" s="1551" t="n"/>
      <c r="AK36" s="1551" t="n"/>
      <c r="AL36" s="1551" t="n"/>
      <c r="AM36" s="1551" t="n"/>
      <c r="AN36" s="1551" t="n"/>
      <c r="AO36" s="1552" t="n"/>
      <c r="AP36" s="1524" t="n"/>
    </row>
    <row r="37" ht="19.5" customHeight="1" s="1158">
      <c r="A37" s="1524" t="n"/>
      <c r="B37" s="1582" t="inlineStr">
        <is>
          <t xml:space="preserve">Supplier - Rep. </t>
        </is>
      </c>
      <c r="C37" s="1583">
        <f>'Master Data'!B21</f>
        <v/>
      </c>
      <c r="D37" s="1527" t="n"/>
      <c r="E37" s="1527" t="n"/>
      <c r="F37" s="1527" t="n"/>
      <c r="G37" s="1527" t="n"/>
      <c r="H37" s="1533" t="n"/>
      <c r="I37" s="1584" t="inlineStr">
        <is>
          <t>Customer Rep.</t>
        </is>
      </c>
      <c r="J37" s="1527" t="n"/>
      <c r="K37" s="1527" t="n"/>
      <c r="L37" s="1527" t="n"/>
      <c r="M37" s="1527" t="n"/>
      <c r="N37" s="1527" t="n"/>
      <c r="O37" s="1527" t="n"/>
      <c r="P37" s="1527" t="n"/>
      <c r="Q37" s="1527" t="n"/>
      <c r="R37" s="1527" t="n"/>
      <c r="S37" s="1527" t="n"/>
      <c r="T37" s="1527" t="n"/>
      <c r="U37" s="1533" t="n"/>
      <c r="V37" s="1584">
        <f>'Master Data'!B4</f>
        <v/>
      </c>
      <c r="W37" s="1527" t="n"/>
      <c r="X37" s="1527" t="n"/>
      <c r="Y37" s="1527" t="n"/>
      <c r="Z37" s="1527" t="n"/>
      <c r="AA37" s="1527" t="n"/>
      <c r="AB37" s="1527" t="n"/>
      <c r="AC37" s="1527" t="n"/>
      <c r="AD37" s="1527" t="n"/>
      <c r="AE37" s="1527" t="n"/>
      <c r="AF37" s="1527" t="n"/>
      <c r="AG37" s="1533" t="n"/>
      <c r="AH37" s="1585" t="inlineStr">
        <is>
          <t xml:space="preserve">Customer Stamp </t>
        </is>
      </c>
      <c r="AI37" s="1529" t="n"/>
      <c r="AJ37" s="1529" t="n"/>
      <c r="AK37" s="1529" t="n"/>
      <c r="AL37" s="1529" t="n"/>
      <c r="AM37" s="1529" t="n"/>
      <c r="AN37" s="1529" t="n"/>
      <c r="AO37" s="1530" t="n"/>
      <c r="AP37" s="1524" t="n"/>
    </row>
    <row r="38" ht="19.5" customHeight="1" s="1158">
      <c r="A38" s="1524" t="n"/>
      <c r="B38" s="1582" t="inlineStr">
        <is>
          <t>Signature</t>
        </is>
      </c>
      <c r="C38" s="1583" t="n"/>
      <c r="D38" s="1527" t="n"/>
      <c r="E38" s="1527" t="n"/>
      <c r="F38" s="1527" t="n"/>
      <c r="G38" s="1527" t="n"/>
      <c r="H38" s="1533" t="n"/>
      <c r="I38" s="1584" t="inlineStr">
        <is>
          <t>Signature</t>
        </is>
      </c>
      <c r="J38" s="1527" t="n"/>
      <c r="K38" s="1527" t="n"/>
      <c r="L38" s="1527" t="n"/>
      <c r="M38" s="1527" t="n"/>
      <c r="N38" s="1527" t="n"/>
      <c r="O38" s="1527" t="n"/>
      <c r="P38" s="1527" t="n"/>
      <c r="Q38" s="1527" t="n"/>
      <c r="R38" s="1527" t="n"/>
      <c r="S38" s="1527" t="n"/>
      <c r="T38" s="1527" t="n"/>
      <c r="U38" s="1533" t="n"/>
      <c r="V38" s="1584" t="n"/>
      <c r="W38" s="1527" t="n"/>
      <c r="X38" s="1527" t="n"/>
      <c r="Y38" s="1527" t="n"/>
      <c r="Z38" s="1527" t="n"/>
      <c r="AA38" s="1527" t="n"/>
      <c r="AB38" s="1527" t="n"/>
      <c r="AC38" s="1527" t="n"/>
      <c r="AD38" s="1527" t="n"/>
      <c r="AE38" s="1527" t="n"/>
      <c r="AF38" s="1527" t="n"/>
      <c r="AG38" s="1533" t="n"/>
      <c r="AH38" s="1534" t="n"/>
      <c r="AI38" s="1535" t="n"/>
      <c r="AJ38" s="1535" t="n"/>
      <c r="AK38" s="1535" t="n"/>
      <c r="AL38" s="1535" t="n"/>
      <c r="AM38" s="1535" t="n"/>
      <c r="AN38" s="1535" t="n"/>
      <c r="AO38" s="1536" t="n"/>
      <c r="AP38" s="1524" t="n"/>
    </row>
    <row r="39" ht="18.75" customHeight="1" s="1158">
      <c r="A39" s="1524" t="n"/>
      <c r="B39" s="1582" t="inlineStr">
        <is>
          <t xml:space="preserve">Date :- </t>
        </is>
      </c>
      <c r="C39" s="1586">
        <f>'Master Data'!E24</f>
        <v/>
      </c>
      <c r="D39" s="1277" t="n"/>
      <c r="E39" s="1277" t="n"/>
      <c r="F39" s="1277" t="n"/>
      <c r="G39" s="1277" t="n"/>
      <c r="H39" s="1278" t="n"/>
      <c r="I39" s="1583" t="inlineStr">
        <is>
          <t xml:space="preserve">Date :- </t>
        </is>
      </c>
      <c r="J39" s="1527" t="n"/>
      <c r="K39" s="1527" t="n"/>
      <c r="L39" s="1527" t="n"/>
      <c r="M39" s="1527" t="n"/>
      <c r="N39" s="1527" t="n"/>
      <c r="O39" s="1527" t="n"/>
      <c r="P39" s="1527" t="n"/>
      <c r="Q39" s="1527" t="n"/>
      <c r="R39" s="1527" t="n"/>
      <c r="S39" s="1527" t="n"/>
      <c r="T39" s="1527" t="n"/>
      <c r="U39" s="1533" t="n"/>
      <c r="V39" s="1586">
        <f>'Master Data'!E24</f>
        <v/>
      </c>
      <c r="W39" s="1277" t="n"/>
      <c r="X39" s="1277" t="n"/>
      <c r="Y39" s="1277" t="n"/>
      <c r="Z39" s="1277" t="n"/>
      <c r="AA39" s="1277" t="n"/>
      <c r="AB39" s="1277" t="n"/>
      <c r="AC39" s="1277" t="n"/>
      <c r="AD39" s="1277" t="n"/>
      <c r="AE39" s="1277" t="n"/>
      <c r="AF39" s="1277" t="n"/>
      <c r="AG39" s="1278" t="n"/>
      <c r="AH39" s="1550" t="n"/>
      <c r="AI39" s="1551" t="n"/>
      <c r="AJ39" s="1551" t="n"/>
      <c r="AK39" s="1551" t="n"/>
      <c r="AL39" s="1551" t="n"/>
      <c r="AM39" s="1551" t="n"/>
      <c r="AN39" s="1551" t="n"/>
      <c r="AO39" s="1552" t="n"/>
      <c r="AP39" s="1524" t="n"/>
      <c r="AR39" s="1564" t="n"/>
      <c r="AS39" s="1564" t="n"/>
      <c r="AT39" s="1564" t="n"/>
      <c r="AU39" s="1564" t="n"/>
      <c r="AV39" s="1564" t="n"/>
      <c r="AW39" s="1564" t="n"/>
      <c r="AX39" s="1564" t="n"/>
      <c r="AY39" s="1564" t="n"/>
      <c r="AZ39" s="1564" t="n"/>
      <c r="BA39" s="1564" t="n"/>
      <c r="BB39" s="1564" t="n"/>
      <c r="BC39" s="1564" t="n"/>
      <c r="BD39" s="1564" t="n"/>
      <c r="BE39" s="1564" t="n"/>
      <c r="BF39" s="1564" t="n"/>
      <c r="BG39" s="1564" t="n"/>
      <c r="BH39" s="1564" t="n"/>
      <c r="BI39" s="1564" t="n"/>
      <c r="BJ39" s="1564" t="n"/>
      <c r="BK39" s="1564" t="n"/>
      <c r="BL39" s="1564" t="n"/>
      <c r="BM39" s="1564" t="n"/>
      <c r="BN39" s="1564" t="n"/>
      <c r="BO39" s="1564" t="n"/>
      <c r="BP39" s="1564" t="n"/>
      <c r="BQ39" s="1564" t="n"/>
      <c r="BR39" s="1564" t="n"/>
      <c r="BS39" s="1564" t="n"/>
      <c r="BT39" s="1564" t="n"/>
      <c r="BU39" s="1564" t="n"/>
      <c r="BV39" s="1564" t="n"/>
      <c r="BW39" s="1564" t="n"/>
      <c r="BX39" s="1564" t="n"/>
      <c r="BY39" s="1564" t="n"/>
      <c r="BZ39" s="1564" t="n"/>
      <c r="CA39" s="1564" t="n"/>
      <c r="CB39" s="1564" t="n"/>
    </row>
    <row r="40" ht="14.25" customHeight="1" s="1158">
      <c r="A40" s="1524" t="n"/>
      <c r="B40" s="1524" t="n"/>
      <c r="C40" s="1524" t="n"/>
      <c r="D40" s="1524" t="n"/>
      <c r="E40" s="1524" t="n"/>
      <c r="F40" s="1524" t="n"/>
      <c r="G40" s="1524" t="n"/>
      <c r="H40" s="1524" t="n"/>
      <c r="I40" s="1524" t="n"/>
      <c r="J40" s="1524" t="n"/>
      <c r="K40" s="1524" t="n"/>
      <c r="L40" s="1524" t="n"/>
      <c r="M40" s="1524" t="n"/>
      <c r="N40" s="1524" t="n"/>
      <c r="O40" s="1524" t="n"/>
      <c r="P40" s="1524" t="n"/>
      <c r="Q40" s="1524" t="n"/>
      <c r="R40" s="1524" t="n"/>
      <c r="S40" s="1524" t="n"/>
      <c r="T40" s="1524" t="n"/>
      <c r="U40" s="1524" t="n"/>
      <c r="V40" s="1524" t="n"/>
      <c r="W40" s="1524" t="n"/>
      <c r="X40" s="1524" t="n"/>
      <c r="Y40" s="1524" t="n"/>
      <c r="Z40" s="1524" t="n"/>
      <c r="AA40" s="1524" t="n"/>
      <c r="AB40" s="1524" t="n"/>
      <c r="AC40" s="1524" t="n"/>
      <c r="AD40" s="1524" t="n"/>
      <c r="AE40" s="1524" t="n"/>
      <c r="AF40" s="1524" t="n"/>
      <c r="AG40" s="1524" t="n"/>
      <c r="AH40" s="1524" t="n"/>
      <c r="AI40" s="1524" t="n"/>
      <c r="AJ40" s="1524" t="n"/>
      <c r="AK40" s="1524" t="n"/>
      <c r="AL40" s="1524" t="n"/>
      <c r="AM40" s="1524" t="n"/>
      <c r="AN40" s="1524" t="n"/>
      <c r="AO40" s="1524" t="n"/>
      <c r="AP40" s="1524" t="n"/>
    </row>
    <row r="43" ht="14.25" customHeight="1" s="1158">
      <c r="E43" s="158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9"/>
  <sheetViews>
    <sheetView showFormulas="0" showGridLines="0" showRowColHeaders="1" showZeros="1" rightToLeft="0" tabSelected="0" showOutlineSymbols="1" defaultGridColor="1" view="pageBreakPreview" topLeftCell="A9" colorId="64" zoomScale="115" zoomScaleNormal="100" zoomScalePageLayoutView="115" workbookViewId="0">
      <selection pane="topLeft" activeCell="A19" activeCellId="0" sqref="A11:S58"/>
    </sheetView>
  </sheetViews>
  <sheetFormatPr baseColWidth="8" defaultColWidth="8.59765625" defaultRowHeight="14.25" customHeight="0" zeroHeight="0" outlineLevelRow="0"/>
  <cols>
    <col width="6.56" customWidth="1" style="1207" min="3" max="3"/>
    <col width="17.56" customWidth="1" style="1207" min="4" max="5"/>
    <col width="5.44" customWidth="1" style="1207" min="6" max="6"/>
    <col width="14.78" customWidth="1" style="1207" min="7" max="7"/>
    <col width="6.67" customWidth="1" style="1207" min="8" max="8"/>
    <col width="6.56" customWidth="1" style="1207" min="9" max="9"/>
    <col width="9.220000000000001" customWidth="1" style="1207" min="10" max="10"/>
    <col width="8.33" customWidth="1" style="1207" min="11" max="11"/>
  </cols>
  <sheetData>
    <row r="1" ht="45.75" customHeight="1" s="1158">
      <c r="A1" s="1588" t="n"/>
      <c r="B1" s="1163" t="n"/>
      <c r="C1" s="1589" t="inlineStr">
        <is>
          <t>1 of 1</t>
        </is>
      </c>
      <c r="D1" s="1590" t="inlineStr">
        <is>
          <t>Tools Backload Sheet</t>
        </is>
      </c>
      <c r="E1" s="1162" t="n"/>
      <c r="F1" s="1162" t="n"/>
      <c r="G1" s="1162" t="n"/>
      <c r="H1" s="1162" t="n"/>
      <c r="I1" s="1163" t="n"/>
      <c r="J1" s="1590" t="n"/>
      <c r="K1" s="1163" t="n"/>
    </row>
    <row r="2" ht="14.25" customHeight="1" s="1158">
      <c r="A2" s="1589" t="inlineStr">
        <is>
          <t>DOCUMENT NUMBER</t>
        </is>
      </c>
      <c r="B2" s="1163" t="n"/>
      <c r="C2" s="1589" t="inlineStr">
        <is>
          <t>CLASSIFICATION</t>
        </is>
      </c>
      <c r="D2" s="1163" t="n"/>
      <c r="E2" s="1589" t="inlineStr">
        <is>
          <t>DOCUMENT LEVEL</t>
        </is>
      </c>
      <c r="F2" s="1163" t="n"/>
      <c r="G2" s="1589" t="inlineStr">
        <is>
          <t>REVISION NUMBER</t>
        </is>
      </c>
      <c r="H2" s="1589" t="inlineStr">
        <is>
          <t>ISSUE DATE</t>
        </is>
      </c>
      <c r="I2" s="1163" t="n"/>
      <c r="J2" s="1589" t="inlineStr">
        <is>
          <t>PREPARED BY</t>
        </is>
      </c>
      <c r="K2" s="1589" t="inlineStr">
        <is>
          <t>APPROVAL</t>
        </is>
      </c>
    </row>
    <row r="3" ht="18.75" customHeight="1" s="1158">
      <c r="A3" s="1591" t="inlineStr">
        <is>
          <t>GL-COMP-OEPS-L4-15.10</t>
        </is>
      </c>
      <c r="B3" s="1163" t="n"/>
      <c r="C3" s="1592" t="inlineStr">
        <is>
          <t>CONTROLLED</t>
        </is>
      </c>
      <c r="D3" s="1163" t="n"/>
      <c r="E3" s="1592" t="inlineStr">
        <is>
          <t>L5</t>
        </is>
      </c>
      <c r="F3" s="1163" t="n"/>
      <c r="G3" s="1592" t="n">
        <v>0</v>
      </c>
      <c r="H3" s="1592" t="inlineStr">
        <is>
          <t>6th September 2015</t>
        </is>
      </c>
      <c r="I3" s="1163" t="n"/>
      <c r="J3" s="1592" t="inlineStr">
        <is>
          <t>WCT TAC</t>
        </is>
      </c>
      <c r="K3" s="1592" t="inlineStr">
        <is>
          <t>WCT TWIC</t>
        </is>
      </c>
    </row>
    <row r="5" ht="14.9" customHeight="1" s="1158">
      <c r="A5" s="1593" t="inlineStr">
        <is>
          <t xml:space="preserve"> Backload From:</t>
        </is>
      </c>
      <c r="B5" s="1163" t="n"/>
      <c r="C5" s="1594">
        <f>'Master Data'!E10</f>
        <v/>
      </c>
      <c r="D5" s="1162" t="n"/>
      <c r="E5" s="1163" t="n"/>
      <c r="F5" s="1593" t="inlineStr">
        <is>
          <t xml:space="preserve"> Job Number</t>
        </is>
      </c>
      <c r="G5" s="1593" t="n"/>
      <c r="H5" s="1594">
        <f>'Master Data'!B11</f>
        <v/>
      </c>
      <c r="I5" s="1162" t="n"/>
      <c r="J5" s="1162" t="n"/>
      <c r="K5" s="1163" t="n"/>
    </row>
    <row r="6" ht="14.9" customHeight="1" s="1158">
      <c r="A6" s="1593" t="inlineStr">
        <is>
          <t xml:space="preserve"> Backload to:</t>
        </is>
      </c>
      <c r="B6" s="1163" t="n"/>
      <c r="C6" s="1595" t="inlineStr">
        <is>
          <t xml:space="preserve">Weatherford ICAD Base </t>
        </is>
      </c>
      <c r="D6" s="1596" t="n"/>
      <c r="E6" s="1597" t="n"/>
      <c r="F6" s="1593" t="inlineStr">
        <is>
          <t xml:space="preserve"> Rig/Well No.</t>
        </is>
      </c>
      <c r="G6" s="1593" t="n"/>
      <c r="H6" s="1598">
        <f>_xlfn.CONCAT('Master Data'!E11," / ", 'Master Data'!E10)</f>
        <v/>
      </c>
      <c r="I6" s="1599" t="n"/>
      <c r="J6" s="1599" t="n"/>
      <c r="K6" s="1600" t="n"/>
    </row>
    <row r="7" ht="14.25" customHeight="1" s="1158">
      <c r="A7" s="1594" t="inlineStr">
        <is>
          <t>Backload Delivery</t>
        </is>
      </c>
      <c r="B7" s="1162" t="n"/>
      <c r="C7" s="1162" t="n"/>
      <c r="D7" s="1162" t="n"/>
      <c r="E7" s="1162" t="n"/>
      <c r="F7" s="1162" t="n"/>
      <c r="G7" s="1162" t="n"/>
      <c r="H7" s="1162" t="n"/>
      <c r="I7" s="1162" t="n"/>
      <c r="J7" s="1162" t="n"/>
      <c r="K7" s="1163" t="n"/>
    </row>
    <row r="8" ht="14.25" customHeight="1" s="1158">
      <c r="A8" s="1594" t="inlineStr">
        <is>
          <t>Item</t>
        </is>
      </c>
      <c r="B8" s="1594" t="inlineStr">
        <is>
          <t>Description</t>
        </is>
      </c>
      <c r="C8" s="1162" t="n"/>
      <c r="D8" s="1162" t="n"/>
      <c r="E8" s="1163" t="n"/>
      <c r="F8" s="1594" t="inlineStr">
        <is>
          <t>Serial Number</t>
        </is>
      </c>
      <c r="G8" s="1163" t="n"/>
      <c r="H8" s="1594" t="inlineStr">
        <is>
          <t>Status</t>
        </is>
      </c>
      <c r="I8" s="1162" t="n"/>
      <c r="J8" s="1163" t="n"/>
      <c r="K8" s="1594" t="inlineStr">
        <is>
          <t>Quantity</t>
        </is>
      </c>
    </row>
    <row r="9" ht="14.25" customHeight="1" s="1158">
      <c r="A9" s="1601" t="inlineStr">
        <is>
          <t xml:space="preserve">RENTAL ITEMS </t>
        </is>
      </c>
      <c r="B9" s="1162" t="n"/>
      <c r="C9" s="1162" t="n"/>
      <c r="D9" s="1162" t="n"/>
      <c r="E9" s="1163" t="n"/>
      <c r="F9" s="1601" t="n"/>
      <c r="G9" s="1162" t="n"/>
      <c r="H9" s="1162" t="n"/>
      <c r="I9" s="1162" t="n"/>
      <c r="J9" s="1162" t="n"/>
      <c r="K9" s="1163" t="n"/>
    </row>
    <row r="10" ht="21" customHeight="1" s="1158">
      <c r="A10" s="1602">
        <f>'MS2'!A11</f>
        <v/>
      </c>
      <c r="B10" s="1603">
        <f>'MS2'!D11</f>
        <v/>
      </c>
      <c r="C10" s="1596" t="n"/>
      <c r="D10" s="1596" t="n"/>
      <c r="E10" s="1597" t="n"/>
      <c r="F10" s="1604">
        <f>'MS2'!F11</f>
        <v/>
      </c>
      <c r="G10" s="1597" t="n"/>
      <c r="H10" s="1604" t="n"/>
      <c r="I10" s="1596" t="n"/>
      <c r="J10" s="1597" t="n"/>
      <c r="K10" s="1604" t="inlineStr">
        <is>
          <t>1 EA</t>
        </is>
      </c>
    </row>
    <row r="11" ht="21" customHeight="1" s="1158">
      <c r="A11" s="1605">
        <f>'MS2'!A12</f>
        <v/>
      </c>
      <c r="B11" s="1603">
        <f>'MS2'!D12</f>
        <v/>
      </c>
      <c r="C11" s="1596" t="n"/>
      <c r="D11" s="1596" t="n"/>
      <c r="E11" s="1597" t="n"/>
      <c r="F11" s="1606">
        <f>'MS2'!F12</f>
        <v/>
      </c>
      <c r="G11" s="1306" t="n"/>
      <c r="H11" s="1606" t="n"/>
      <c r="I11" s="1305" t="n"/>
      <c r="J11" s="1306" t="n"/>
      <c r="K11" s="1606" t="inlineStr">
        <is>
          <t>1 EA</t>
        </is>
      </c>
    </row>
    <row r="12" ht="21" customHeight="1" s="1158">
      <c r="A12" s="1604">
        <f>'MS2'!A13</f>
        <v/>
      </c>
      <c r="B12" s="1603">
        <f>'MS2'!D13</f>
        <v/>
      </c>
      <c r="C12" s="1596" t="n"/>
      <c r="D12" s="1596" t="n"/>
      <c r="E12" s="1597" t="n"/>
      <c r="F12" s="1604">
        <f>'MS2'!F13</f>
        <v/>
      </c>
      <c r="G12" s="1597" t="n"/>
      <c r="H12" s="1604" t="n"/>
      <c r="I12" s="1596" t="n"/>
      <c r="J12" s="1597" t="n"/>
      <c r="K12" s="1604" t="inlineStr">
        <is>
          <t>1EA</t>
        </is>
      </c>
    </row>
    <row r="13" ht="21" customHeight="1" s="1158">
      <c r="A13" s="1607">
        <f>'MS2'!A14</f>
        <v/>
      </c>
      <c r="B13" s="1608">
        <f>'MS2'!D14</f>
        <v/>
      </c>
      <c r="C13" s="1596" t="n"/>
      <c r="D13" s="1596" t="n"/>
      <c r="E13" s="1597" t="n"/>
      <c r="F13" s="1607">
        <f>'MS2'!F14</f>
        <v/>
      </c>
      <c r="G13" s="1597" t="n"/>
      <c r="H13" s="1607" t="n"/>
      <c r="I13" s="1596" t="n"/>
      <c r="J13" s="1597" t="n"/>
      <c r="K13" s="1607" t="inlineStr">
        <is>
          <t>1EA</t>
        </is>
      </c>
      <c r="O13" s="1609" t="n"/>
    </row>
    <row r="14" ht="21" customHeight="1" s="1158">
      <c r="A14" s="1607">
        <f>'MS2'!A15</f>
        <v/>
      </c>
      <c r="B14" s="1610">
        <f>'MS2'!D15</f>
        <v/>
      </c>
      <c r="C14" s="1596" t="n"/>
      <c r="D14" s="1596" t="n"/>
      <c r="E14" s="1597" t="n"/>
      <c r="F14" s="1607">
        <f>'MS2'!F15</f>
        <v/>
      </c>
      <c r="G14" s="1597" t="n"/>
      <c r="H14" s="1607" t="n"/>
      <c r="I14" s="1596" t="n"/>
      <c r="J14" s="1597" t="n"/>
      <c r="K14" s="1607" t="inlineStr">
        <is>
          <t>1EA</t>
        </is>
      </c>
    </row>
    <row r="15" ht="21" customHeight="1" s="1158">
      <c r="A15" s="1611">
        <f>'MS2'!A16</f>
        <v/>
      </c>
      <c r="B15" s="1612">
        <f>'MS2'!D16</f>
        <v/>
      </c>
      <c r="C15" s="1596" t="n"/>
      <c r="D15" s="1596" t="n"/>
      <c r="E15" s="1597" t="n"/>
      <c r="F15" s="1607">
        <f>'MS2'!F16</f>
        <v/>
      </c>
      <c r="G15" s="1597" t="n"/>
      <c r="H15" s="1607" t="n"/>
      <c r="I15" s="1596" t="n"/>
      <c r="J15" s="1597" t="n"/>
      <c r="K15" s="1607">
        <f>K10</f>
        <v/>
      </c>
    </row>
    <row r="16" ht="21" customHeight="1" s="1158">
      <c r="A16" s="1611">
        <f>'MS2'!A17</f>
        <v/>
      </c>
      <c r="B16" s="1612">
        <f>'MS2'!D17</f>
        <v/>
      </c>
      <c r="C16" s="1596" t="n"/>
      <c r="D16" s="1596" t="n"/>
      <c r="E16" s="1597" t="n"/>
      <c r="F16" s="1607">
        <f>'MS2'!F17</f>
        <v/>
      </c>
      <c r="G16" s="1597" t="n"/>
      <c r="H16" s="1607" t="n"/>
      <c r="I16" s="1596" t="n"/>
      <c r="J16" s="1597" t="n"/>
      <c r="K16" s="1607">
        <f>K10</f>
        <v/>
      </c>
    </row>
    <row r="17" ht="21" customHeight="1" s="1158">
      <c r="A17" s="1611">
        <f>'MS2'!A18</f>
        <v/>
      </c>
      <c r="B17" s="1610">
        <f>'MS2'!D18</f>
        <v/>
      </c>
      <c r="C17" s="1596" t="n"/>
      <c r="D17" s="1596" t="n"/>
      <c r="E17" s="1597" t="n"/>
      <c r="F17" s="1607">
        <f>'MS2'!F18</f>
        <v/>
      </c>
      <c r="G17" s="1597" t="n"/>
      <c r="H17" s="1607" t="n"/>
      <c r="I17" s="1596" t="n"/>
      <c r="J17" s="1597" t="n"/>
      <c r="K17" s="1607">
        <f>K10</f>
        <v/>
      </c>
    </row>
    <row r="18" ht="21" customHeight="1" s="1158">
      <c r="A18" s="1611">
        <f>'MS2'!A19</f>
        <v/>
      </c>
      <c r="B18" s="1610">
        <f>'MS2'!D19</f>
        <v/>
      </c>
      <c r="C18" s="1596" t="n"/>
      <c r="D18" s="1596" t="n"/>
      <c r="E18" s="1597" t="n"/>
      <c r="F18" s="1607">
        <f>'MS2'!F19</f>
        <v/>
      </c>
      <c r="G18" s="1597" t="n"/>
      <c r="H18" s="1607" t="n"/>
      <c r="I18" s="1596" t="n"/>
      <c r="J18" s="1597" t="n"/>
      <c r="K18" s="1607">
        <f>K10</f>
        <v/>
      </c>
    </row>
    <row r="19" ht="14.25" customHeight="1" s="1158">
      <c r="A19" s="1613" t="inlineStr">
        <is>
          <t>REMARKS:</t>
        </is>
      </c>
      <c r="B19" s="1596" t="n"/>
      <c r="C19" s="1596" t="n"/>
      <c r="D19" s="1596" t="n"/>
      <c r="E19" s="1596" t="n"/>
      <c r="F19" s="1596" t="n"/>
      <c r="G19" s="1596" t="n"/>
      <c r="H19" s="1596" t="n"/>
      <c r="I19" s="1596" t="n"/>
      <c r="J19" s="1596" t="n"/>
      <c r="K19" s="1597" t="n"/>
    </row>
    <row r="20" ht="14.25" customHeight="1" s="1158">
      <c r="A20" s="1614" t="n"/>
      <c r="B20" s="1596" t="n"/>
      <c r="C20" s="1596" t="n"/>
      <c r="D20" s="1596" t="n"/>
      <c r="E20" s="1596" t="n"/>
      <c r="F20" s="1596" t="n"/>
      <c r="G20" s="1596" t="n"/>
      <c r="H20" s="1596" t="n"/>
      <c r="I20" s="1596" t="n"/>
      <c r="J20" s="1596" t="n"/>
      <c r="K20" s="1597" t="n"/>
    </row>
    <row r="21" ht="14.25" customHeight="1" s="1158">
      <c r="A21" s="1614" t="n"/>
      <c r="B21" s="1596" t="n"/>
      <c r="C21" s="1596" t="n"/>
      <c r="D21" s="1596" t="n"/>
      <c r="E21" s="1596" t="n"/>
      <c r="F21" s="1596" t="n"/>
      <c r="G21" s="1596" t="n"/>
      <c r="H21" s="1596" t="n"/>
      <c r="I21" s="1596" t="n"/>
      <c r="J21" s="1596" t="n"/>
      <c r="K21" s="1597" t="n"/>
    </row>
    <row r="22" ht="14.25" customHeight="1" s="1158">
      <c r="A22" s="1615" t="n"/>
      <c r="B22" s="1596" t="n"/>
      <c r="C22" s="1596" t="n"/>
      <c r="D22" s="1596" t="n"/>
      <c r="E22" s="1596" t="n"/>
      <c r="F22" s="1596" t="n"/>
      <c r="G22" s="1596" t="n"/>
      <c r="H22" s="1596" t="n"/>
      <c r="I22" s="1596" t="n"/>
      <c r="J22" s="1596" t="n"/>
      <c r="K22" s="1597" t="n"/>
    </row>
    <row r="23" ht="14.9" customHeight="1" s="1158">
      <c r="A23" s="1616" t="inlineStr">
        <is>
          <t>WFT Engineer:</t>
        </is>
      </c>
      <c r="B23" s="1162" t="n"/>
      <c r="C23" s="1163" t="n"/>
      <c r="D23" s="1617">
        <f>'Master Data'!B21</f>
        <v/>
      </c>
      <c r="E23" s="1162" t="n"/>
      <c r="F23" s="1162" t="n"/>
      <c r="G23" s="1163" t="n"/>
      <c r="H23" s="1618" t="inlineStr">
        <is>
          <t>Date :</t>
        </is>
      </c>
      <c r="I23" s="1619">
        <f>'Master Data'!E24</f>
        <v/>
      </c>
      <c r="J23" s="1596" t="n"/>
      <c r="K23" s="1597" t="n"/>
    </row>
    <row r="24" ht="14.9" customHeight="1" s="1158">
      <c r="A24" s="1616" t="inlineStr">
        <is>
          <t>Company Representative:</t>
        </is>
      </c>
      <c r="B24" s="1162" t="n"/>
      <c r="C24" s="1163" t="n"/>
      <c r="D24" s="1617" t="n"/>
      <c r="E24" s="1162" t="n"/>
      <c r="F24" s="1162" t="n"/>
      <c r="G24" s="1163" t="n"/>
      <c r="H24" s="1618" t="inlineStr">
        <is>
          <t>Date :</t>
        </is>
      </c>
      <c r="I24" s="1619">
        <f>'Master Data'!E24</f>
        <v/>
      </c>
      <c r="J24" s="1596" t="n"/>
      <c r="K24" s="1597" t="n"/>
    </row>
    <row r="25" ht="14.9" customHeight="1" s="1158">
      <c r="A25" s="1616" t="inlineStr">
        <is>
          <t>Delivery Method:</t>
        </is>
      </c>
      <c r="B25" s="1162" t="n"/>
      <c r="C25" s="1163" t="n"/>
      <c r="D25" s="1617" t="inlineStr">
        <is>
          <t> </t>
        </is>
      </c>
      <c r="E25" s="1162" t="n"/>
      <c r="F25" s="1162" t="n"/>
      <c r="G25" s="1163" t="n"/>
      <c r="H25" s="1618" t="inlineStr">
        <is>
          <t>Date :</t>
        </is>
      </c>
      <c r="I25" s="1620" t="n"/>
      <c r="J25" s="1162" t="n"/>
      <c r="K25" s="1163" t="n"/>
    </row>
    <row r="26" ht="14.9" customHeight="1" s="1158">
      <c r="A26" s="1621" t="n"/>
      <c r="B26" s="1162" t="n"/>
      <c r="C26" s="1163" t="n"/>
      <c r="D26" s="1617" t="n"/>
      <c r="E26" s="1162" t="n"/>
      <c r="F26" s="1162" t="n"/>
      <c r="G26" s="1163" t="n"/>
      <c r="H26" s="1618" t="inlineStr">
        <is>
          <t>Date :</t>
        </is>
      </c>
      <c r="I26" s="1620" t="n"/>
      <c r="J26" s="1162" t="n"/>
      <c r="K26" s="1163" t="n"/>
    </row>
    <row r="27" ht="12" customHeight="1" s="1158">
      <c r="A27" s="1622" t="n"/>
    </row>
    <row r="28" ht="14.25" customHeight="1" s="1158">
      <c r="A28" s="1623" t="inlineStr">
        <is>
          <t>© ©2015 WEATHERFORD ALL RIGHTS RESERVED PROPRIETARY AND CONFIDENTIAL.</t>
        </is>
      </c>
    </row>
    <row r="29" ht="42.75" customHeight="1" s="1158">
      <c r="A29" s="1624"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9">
    <mergeCell ref="A25:C25"/>
    <mergeCell ref="F11:G11"/>
    <mergeCell ref="F10:G10"/>
    <mergeCell ref="F16:G16"/>
    <mergeCell ref="D25:G25"/>
    <mergeCell ref="J1:K1"/>
    <mergeCell ref="B15:E15"/>
    <mergeCell ref="D24:G24"/>
    <mergeCell ref="A1:B1"/>
    <mergeCell ref="H17:J17"/>
    <mergeCell ref="H11:J11"/>
    <mergeCell ref="A6:B6"/>
    <mergeCell ref="A26:C26"/>
    <mergeCell ref="H5:K5"/>
    <mergeCell ref="H16:J16"/>
    <mergeCell ref="D23:G23"/>
    <mergeCell ref="F12:G12"/>
    <mergeCell ref="I24:K24"/>
    <mergeCell ref="D26:G26"/>
    <mergeCell ref="F15:G15"/>
    <mergeCell ref="A23:C23"/>
    <mergeCell ref="A7:K7"/>
    <mergeCell ref="H13:J13"/>
    <mergeCell ref="I23:K23"/>
    <mergeCell ref="B16:E16"/>
    <mergeCell ref="F18:G18"/>
    <mergeCell ref="F9:K9"/>
    <mergeCell ref="H12:J12"/>
    <mergeCell ref="A3:B3"/>
    <mergeCell ref="F17:G17"/>
    <mergeCell ref="A27:K27"/>
    <mergeCell ref="F8:G8"/>
    <mergeCell ref="H15:J15"/>
    <mergeCell ref="B18:E18"/>
    <mergeCell ref="A2:B2"/>
    <mergeCell ref="H2:I2"/>
    <mergeCell ref="C2:D2"/>
    <mergeCell ref="H18:J18"/>
    <mergeCell ref="H14:J14"/>
    <mergeCell ref="E2:F2"/>
    <mergeCell ref="B12:E12"/>
    <mergeCell ref="A21:K21"/>
    <mergeCell ref="A5:B5"/>
    <mergeCell ref="H8:J8"/>
    <mergeCell ref="H6:K6"/>
    <mergeCell ref="B11:E11"/>
    <mergeCell ref="F13:G13"/>
    <mergeCell ref="A24:C24"/>
    <mergeCell ref="C6:E6"/>
    <mergeCell ref="H3:I3"/>
    <mergeCell ref="D1:I1"/>
    <mergeCell ref="B14:E14"/>
    <mergeCell ref="B17:E17"/>
    <mergeCell ref="A22:K22"/>
    <mergeCell ref="H10:J10"/>
    <mergeCell ref="B8:E8"/>
    <mergeCell ref="C5:E5"/>
    <mergeCell ref="A20:K20"/>
    <mergeCell ref="B13:E13"/>
    <mergeCell ref="A29:K29"/>
    <mergeCell ref="A19:K19"/>
    <mergeCell ref="I26:K26"/>
    <mergeCell ref="F14:G14"/>
    <mergeCell ref="A28:K28"/>
    <mergeCell ref="B10:E10"/>
    <mergeCell ref="C3:D3"/>
    <mergeCell ref="A9:E9"/>
    <mergeCell ref="E3:F3"/>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31" colorId="64" zoomScale="100" zoomScaleNormal="72" zoomScalePageLayoutView="100" workbookViewId="0">
      <selection pane="topLeft" activeCell="I29" activeCellId="0" sqref="A11:S58"/>
    </sheetView>
  </sheetViews>
  <sheetFormatPr baseColWidth="8" defaultColWidth="8.890625" defaultRowHeight="12.75" customHeight="0" zeroHeight="0" outlineLevelRow="0"/>
  <cols>
    <col width="4.89" customWidth="1" style="1625" min="1" max="1"/>
    <col width="8.890000000000001" customWidth="1" style="1626" min="2" max="2"/>
    <col width="8.890000000000001" customWidth="1" style="1625" min="3" max="3"/>
    <col width="13.89" customWidth="1" style="1625" min="4" max="4"/>
    <col width="8.890000000000001" customWidth="1" style="1625" min="5" max="5"/>
    <col width="13.44" customWidth="1" style="1625" min="6" max="6"/>
    <col width="8.890000000000001" customWidth="1" style="1625" min="7" max="8"/>
    <col width="14" customWidth="1" style="1625" min="9" max="9"/>
    <col width="16.45" customWidth="1" style="1625" min="10" max="10"/>
    <col width="10.11" customWidth="1" style="1625" min="11" max="11"/>
    <col width="12.11" customWidth="1" style="1625" min="12" max="12"/>
    <col width="16.55" customWidth="1" style="1625" min="13" max="14"/>
    <col width="8.890000000000001" customWidth="1" style="1625" min="15" max="259"/>
    <col width="13.89" customWidth="1" style="1625" min="260" max="260"/>
    <col width="8.890000000000001" customWidth="1" style="1625" min="261" max="261"/>
    <col width="13.44" customWidth="1" style="1625" min="262" max="262"/>
    <col width="8.890000000000001" customWidth="1" style="1625" min="263" max="264"/>
    <col width="12.55" customWidth="1" style="1625" min="265" max="265"/>
    <col width="16.45" customWidth="1" style="1625" min="266" max="266"/>
    <col width="10.11" customWidth="1" style="1625" min="267" max="267"/>
    <col width="9.109999999999999" customWidth="1" style="1625" min="268" max="268"/>
    <col width="11.55" customWidth="1" style="1625" min="269" max="269"/>
    <col width="8.890000000000001" customWidth="1" style="1625" min="270" max="515"/>
    <col width="13.89" customWidth="1" style="1625" min="516" max="516"/>
    <col width="8.890000000000001" customWidth="1" style="1625" min="517" max="517"/>
    <col width="13.44" customWidth="1" style="1625" min="518" max="518"/>
    <col width="8.890000000000001" customWidth="1" style="1625" min="519" max="520"/>
    <col width="12.55" customWidth="1" style="1625" min="521" max="521"/>
    <col width="16.45" customWidth="1" style="1625" min="522" max="522"/>
    <col width="10.11" customWidth="1" style="1625" min="523" max="523"/>
    <col width="9.109999999999999" customWidth="1" style="1625" min="524" max="524"/>
    <col width="11.55" customWidth="1" style="1625" min="525" max="525"/>
    <col width="8.890000000000001" customWidth="1" style="1625" min="526" max="771"/>
    <col width="13.89" customWidth="1" style="1625" min="772" max="772"/>
    <col width="8.890000000000001" customWidth="1" style="1625" min="773" max="773"/>
    <col width="13.44" customWidth="1" style="1625" min="774" max="774"/>
    <col width="8.890000000000001" customWidth="1" style="1625" min="775" max="776"/>
    <col width="12.55" customWidth="1" style="1625" min="777" max="777"/>
    <col width="16.45" customWidth="1" style="1625" min="778" max="778"/>
    <col width="10.11" customWidth="1" style="1625" min="779" max="779"/>
    <col width="9.109999999999999" customWidth="1" style="1625" min="780" max="780"/>
    <col width="11.55" customWidth="1" style="1625" min="781" max="781"/>
    <col width="8.890000000000001" customWidth="1" style="1625" min="782" max="1027"/>
    <col width="13.89" customWidth="1" style="1625" min="1028" max="1028"/>
    <col width="8.890000000000001" customWidth="1" style="1625" min="1029" max="1029"/>
    <col width="13.44" customWidth="1" style="1625" min="1030" max="1030"/>
    <col width="8.890000000000001" customWidth="1" style="1625" min="1031" max="1032"/>
    <col width="12.55" customWidth="1" style="1625" min="1033" max="1033"/>
    <col width="16.45" customWidth="1" style="1625" min="1034" max="1034"/>
    <col width="10.11" customWidth="1" style="1625" min="1035" max="1035"/>
    <col width="9.109999999999999" customWidth="1" style="1625" min="1036" max="1036"/>
    <col width="11.55" customWidth="1" style="1625" min="1037" max="1037"/>
    <col width="8.890000000000001" customWidth="1" style="1625" min="1038" max="1283"/>
    <col width="13.89" customWidth="1" style="1625" min="1284" max="1284"/>
    <col width="8.890000000000001" customWidth="1" style="1625" min="1285" max="1285"/>
    <col width="13.44" customWidth="1" style="1625" min="1286" max="1286"/>
    <col width="8.890000000000001" customWidth="1" style="1625" min="1287" max="1288"/>
    <col width="12.55" customWidth="1" style="1625" min="1289" max="1289"/>
    <col width="16.45" customWidth="1" style="1625" min="1290" max="1290"/>
    <col width="10.11" customWidth="1" style="1625" min="1291" max="1291"/>
    <col width="9.109999999999999" customWidth="1" style="1625" min="1292" max="1292"/>
    <col width="11.55" customWidth="1" style="1625" min="1293" max="1293"/>
    <col width="8.890000000000001" customWidth="1" style="1625" min="1294" max="1539"/>
    <col width="13.89" customWidth="1" style="1625" min="1540" max="1540"/>
    <col width="8.890000000000001" customWidth="1" style="1625" min="1541" max="1541"/>
    <col width="13.44" customWidth="1" style="1625" min="1542" max="1542"/>
    <col width="8.890000000000001" customWidth="1" style="1625" min="1543" max="1544"/>
    <col width="12.55" customWidth="1" style="1625" min="1545" max="1545"/>
    <col width="16.45" customWidth="1" style="1625" min="1546" max="1546"/>
    <col width="10.11" customWidth="1" style="1625" min="1547" max="1547"/>
    <col width="9.109999999999999" customWidth="1" style="1625" min="1548" max="1548"/>
    <col width="11.55" customWidth="1" style="1625" min="1549" max="1549"/>
    <col width="8.890000000000001" customWidth="1" style="1625" min="1550" max="1795"/>
    <col width="13.89" customWidth="1" style="1625" min="1796" max="1796"/>
    <col width="8.890000000000001" customWidth="1" style="1625" min="1797" max="1797"/>
    <col width="13.44" customWidth="1" style="1625" min="1798" max="1798"/>
    <col width="8.890000000000001" customWidth="1" style="1625" min="1799" max="1800"/>
    <col width="12.55" customWidth="1" style="1625" min="1801" max="1801"/>
    <col width="16.45" customWidth="1" style="1625" min="1802" max="1802"/>
    <col width="10.11" customWidth="1" style="1625" min="1803" max="1803"/>
    <col width="9.109999999999999" customWidth="1" style="1625" min="1804" max="1804"/>
    <col width="11.55" customWidth="1" style="1625" min="1805" max="1805"/>
    <col width="8.890000000000001" customWidth="1" style="1625" min="1806" max="2051"/>
    <col width="13.89" customWidth="1" style="1625" min="2052" max="2052"/>
    <col width="8.890000000000001" customWidth="1" style="1625" min="2053" max="2053"/>
    <col width="13.44" customWidth="1" style="1625" min="2054" max="2054"/>
    <col width="8.890000000000001" customWidth="1" style="1625" min="2055" max="2056"/>
    <col width="12.55" customWidth="1" style="1625" min="2057" max="2057"/>
    <col width="16.45" customWidth="1" style="1625" min="2058" max="2058"/>
    <col width="10.11" customWidth="1" style="1625" min="2059" max="2059"/>
    <col width="9.109999999999999" customWidth="1" style="1625" min="2060" max="2060"/>
    <col width="11.55" customWidth="1" style="1625" min="2061" max="2061"/>
    <col width="8.890000000000001" customWidth="1" style="1625" min="2062" max="2307"/>
    <col width="13.89" customWidth="1" style="1625" min="2308" max="2308"/>
    <col width="8.890000000000001" customWidth="1" style="1625" min="2309" max="2309"/>
    <col width="13.44" customWidth="1" style="1625" min="2310" max="2310"/>
    <col width="8.890000000000001" customWidth="1" style="1625" min="2311" max="2312"/>
    <col width="12.55" customWidth="1" style="1625" min="2313" max="2313"/>
    <col width="16.45" customWidth="1" style="1625" min="2314" max="2314"/>
    <col width="10.11" customWidth="1" style="1625" min="2315" max="2315"/>
    <col width="9.109999999999999" customWidth="1" style="1625" min="2316" max="2316"/>
    <col width="11.55" customWidth="1" style="1625" min="2317" max="2317"/>
    <col width="8.890000000000001" customWidth="1" style="1625" min="2318" max="2563"/>
    <col width="13.89" customWidth="1" style="1625" min="2564" max="2564"/>
    <col width="8.890000000000001" customWidth="1" style="1625" min="2565" max="2565"/>
    <col width="13.44" customWidth="1" style="1625" min="2566" max="2566"/>
    <col width="8.890000000000001" customWidth="1" style="1625" min="2567" max="2568"/>
    <col width="12.55" customWidth="1" style="1625" min="2569" max="2569"/>
    <col width="16.45" customWidth="1" style="1625" min="2570" max="2570"/>
    <col width="10.11" customWidth="1" style="1625" min="2571" max="2571"/>
    <col width="9.109999999999999" customWidth="1" style="1625" min="2572" max="2572"/>
    <col width="11.55" customWidth="1" style="1625" min="2573" max="2573"/>
    <col width="8.890000000000001" customWidth="1" style="1625" min="2574" max="2819"/>
    <col width="13.89" customWidth="1" style="1625" min="2820" max="2820"/>
    <col width="8.890000000000001" customWidth="1" style="1625" min="2821" max="2821"/>
    <col width="13.44" customWidth="1" style="1625" min="2822" max="2822"/>
    <col width="8.890000000000001" customWidth="1" style="1625" min="2823" max="2824"/>
    <col width="12.55" customWidth="1" style="1625" min="2825" max="2825"/>
    <col width="16.45" customWidth="1" style="1625" min="2826" max="2826"/>
    <col width="10.11" customWidth="1" style="1625" min="2827" max="2827"/>
    <col width="9.109999999999999" customWidth="1" style="1625" min="2828" max="2828"/>
    <col width="11.55" customWidth="1" style="1625" min="2829" max="2829"/>
    <col width="8.890000000000001" customWidth="1" style="1625" min="2830" max="3075"/>
    <col width="13.89" customWidth="1" style="1625" min="3076" max="3076"/>
    <col width="8.890000000000001" customWidth="1" style="1625" min="3077" max="3077"/>
    <col width="13.44" customWidth="1" style="1625" min="3078" max="3078"/>
    <col width="8.890000000000001" customWidth="1" style="1625" min="3079" max="3080"/>
    <col width="12.55" customWidth="1" style="1625" min="3081" max="3081"/>
    <col width="16.45" customWidth="1" style="1625" min="3082" max="3082"/>
    <col width="10.11" customWidth="1" style="1625" min="3083" max="3083"/>
    <col width="9.109999999999999" customWidth="1" style="1625" min="3084" max="3084"/>
    <col width="11.55" customWidth="1" style="1625" min="3085" max="3085"/>
    <col width="8.890000000000001" customWidth="1" style="1625" min="3086" max="3331"/>
    <col width="13.89" customWidth="1" style="1625" min="3332" max="3332"/>
    <col width="8.890000000000001" customWidth="1" style="1625" min="3333" max="3333"/>
    <col width="13.44" customWidth="1" style="1625" min="3334" max="3334"/>
    <col width="8.890000000000001" customWidth="1" style="1625" min="3335" max="3336"/>
    <col width="12.55" customWidth="1" style="1625" min="3337" max="3337"/>
    <col width="16.45" customWidth="1" style="1625" min="3338" max="3338"/>
    <col width="10.11" customWidth="1" style="1625" min="3339" max="3339"/>
    <col width="9.109999999999999" customWidth="1" style="1625" min="3340" max="3340"/>
    <col width="11.55" customWidth="1" style="1625" min="3341" max="3341"/>
    <col width="8.890000000000001" customWidth="1" style="1625" min="3342" max="3587"/>
    <col width="13.89" customWidth="1" style="1625" min="3588" max="3588"/>
    <col width="8.890000000000001" customWidth="1" style="1625" min="3589" max="3589"/>
    <col width="13.44" customWidth="1" style="1625" min="3590" max="3590"/>
    <col width="8.890000000000001" customWidth="1" style="1625" min="3591" max="3592"/>
    <col width="12.55" customWidth="1" style="1625" min="3593" max="3593"/>
    <col width="16.45" customWidth="1" style="1625" min="3594" max="3594"/>
    <col width="10.11" customWidth="1" style="1625" min="3595" max="3595"/>
    <col width="9.109999999999999" customWidth="1" style="1625" min="3596" max="3596"/>
    <col width="11.55" customWidth="1" style="1625" min="3597" max="3597"/>
    <col width="8.890000000000001" customWidth="1" style="1625" min="3598" max="3843"/>
    <col width="13.89" customWidth="1" style="1625" min="3844" max="3844"/>
    <col width="8.890000000000001" customWidth="1" style="1625" min="3845" max="3845"/>
    <col width="13.44" customWidth="1" style="1625" min="3846" max="3846"/>
    <col width="8.890000000000001" customWidth="1" style="1625" min="3847" max="3848"/>
    <col width="12.55" customWidth="1" style="1625" min="3849" max="3849"/>
    <col width="16.45" customWidth="1" style="1625" min="3850" max="3850"/>
    <col width="10.11" customWidth="1" style="1625" min="3851" max="3851"/>
    <col width="9.109999999999999" customWidth="1" style="1625" min="3852" max="3852"/>
    <col width="11.55" customWidth="1" style="1625" min="3853" max="3853"/>
    <col width="8.890000000000001" customWidth="1" style="1625" min="3854" max="4099"/>
    <col width="13.89" customWidth="1" style="1625" min="4100" max="4100"/>
    <col width="8.890000000000001" customWidth="1" style="1625" min="4101" max="4101"/>
    <col width="13.44" customWidth="1" style="1625" min="4102" max="4102"/>
    <col width="8.890000000000001" customWidth="1" style="1625" min="4103" max="4104"/>
    <col width="12.55" customWidth="1" style="1625" min="4105" max="4105"/>
    <col width="16.45" customWidth="1" style="1625" min="4106" max="4106"/>
    <col width="10.11" customWidth="1" style="1625" min="4107" max="4107"/>
    <col width="9.109999999999999" customWidth="1" style="1625" min="4108" max="4108"/>
    <col width="11.55" customWidth="1" style="1625" min="4109" max="4109"/>
    <col width="8.890000000000001" customWidth="1" style="1625" min="4110" max="4355"/>
    <col width="13.89" customWidth="1" style="1625" min="4356" max="4356"/>
    <col width="8.890000000000001" customWidth="1" style="1625" min="4357" max="4357"/>
    <col width="13.44" customWidth="1" style="1625" min="4358" max="4358"/>
    <col width="8.890000000000001" customWidth="1" style="1625" min="4359" max="4360"/>
    <col width="12.55" customWidth="1" style="1625" min="4361" max="4361"/>
    <col width="16.45" customWidth="1" style="1625" min="4362" max="4362"/>
    <col width="10.11" customWidth="1" style="1625" min="4363" max="4363"/>
    <col width="9.109999999999999" customWidth="1" style="1625" min="4364" max="4364"/>
    <col width="11.55" customWidth="1" style="1625" min="4365" max="4365"/>
    <col width="8.890000000000001" customWidth="1" style="1625" min="4366" max="4611"/>
    <col width="13.89" customWidth="1" style="1625" min="4612" max="4612"/>
    <col width="8.890000000000001" customWidth="1" style="1625" min="4613" max="4613"/>
    <col width="13.44" customWidth="1" style="1625" min="4614" max="4614"/>
    <col width="8.890000000000001" customWidth="1" style="1625" min="4615" max="4616"/>
    <col width="12.55" customWidth="1" style="1625" min="4617" max="4617"/>
    <col width="16.45" customWidth="1" style="1625" min="4618" max="4618"/>
    <col width="10.11" customWidth="1" style="1625" min="4619" max="4619"/>
    <col width="9.109999999999999" customWidth="1" style="1625" min="4620" max="4620"/>
    <col width="11.55" customWidth="1" style="1625" min="4621" max="4621"/>
    <col width="8.890000000000001" customWidth="1" style="1625" min="4622" max="4867"/>
    <col width="13.89" customWidth="1" style="1625" min="4868" max="4868"/>
    <col width="8.890000000000001" customWidth="1" style="1625" min="4869" max="4869"/>
    <col width="13.44" customWidth="1" style="1625" min="4870" max="4870"/>
    <col width="8.890000000000001" customWidth="1" style="1625" min="4871" max="4872"/>
    <col width="12.55" customWidth="1" style="1625" min="4873" max="4873"/>
    <col width="16.45" customWidth="1" style="1625" min="4874" max="4874"/>
    <col width="10.11" customWidth="1" style="1625" min="4875" max="4875"/>
    <col width="9.109999999999999" customWidth="1" style="1625" min="4876" max="4876"/>
    <col width="11.55" customWidth="1" style="1625" min="4877" max="4877"/>
    <col width="8.890000000000001" customWidth="1" style="1625" min="4878" max="5123"/>
    <col width="13.89" customWidth="1" style="1625" min="5124" max="5124"/>
    <col width="8.890000000000001" customWidth="1" style="1625" min="5125" max="5125"/>
    <col width="13.44" customWidth="1" style="1625" min="5126" max="5126"/>
    <col width="8.890000000000001" customWidth="1" style="1625" min="5127" max="5128"/>
    <col width="12.55" customWidth="1" style="1625" min="5129" max="5129"/>
    <col width="16.45" customWidth="1" style="1625" min="5130" max="5130"/>
    <col width="10.11" customWidth="1" style="1625" min="5131" max="5131"/>
    <col width="9.109999999999999" customWidth="1" style="1625" min="5132" max="5132"/>
    <col width="11.55" customWidth="1" style="1625" min="5133" max="5133"/>
    <col width="8.890000000000001" customWidth="1" style="1625" min="5134" max="5379"/>
    <col width="13.89" customWidth="1" style="1625" min="5380" max="5380"/>
    <col width="8.890000000000001" customWidth="1" style="1625" min="5381" max="5381"/>
    <col width="13.44" customWidth="1" style="1625" min="5382" max="5382"/>
    <col width="8.890000000000001" customWidth="1" style="1625" min="5383" max="5384"/>
    <col width="12.55" customWidth="1" style="1625" min="5385" max="5385"/>
    <col width="16.45" customWidth="1" style="1625" min="5386" max="5386"/>
    <col width="10.11" customWidth="1" style="1625" min="5387" max="5387"/>
    <col width="9.109999999999999" customWidth="1" style="1625" min="5388" max="5388"/>
    <col width="11.55" customWidth="1" style="1625" min="5389" max="5389"/>
    <col width="8.890000000000001" customWidth="1" style="1625" min="5390" max="5635"/>
    <col width="13.89" customWidth="1" style="1625" min="5636" max="5636"/>
    <col width="8.890000000000001" customWidth="1" style="1625" min="5637" max="5637"/>
    <col width="13.44" customWidth="1" style="1625" min="5638" max="5638"/>
    <col width="8.890000000000001" customWidth="1" style="1625" min="5639" max="5640"/>
    <col width="12.55" customWidth="1" style="1625" min="5641" max="5641"/>
    <col width="16.45" customWidth="1" style="1625" min="5642" max="5642"/>
    <col width="10.11" customWidth="1" style="1625" min="5643" max="5643"/>
    <col width="9.109999999999999" customWidth="1" style="1625" min="5644" max="5644"/>
    <col width="11.55" customWidth="1" style="1625" min="5645" max="5645"/>
    <col width="8.890000000000001" customWidth="1" style="1625" min="5646" max="5891"/>
    <col width="13.89" customWidth="1" style="1625" min="5892" max="5892"/>
    <col width="8.890000000000001" customWidth="1" style="1625" min="5893" max="5893"/>
    <col width="13.44" customWidth="1" style="1625" min="5894" max="5894"/>
    <col width="8.890000000000001" customWidth="1" style="1625" min="5895" max="5896"/>
    <col width="12.55" customWidth="1" style="1625" min="5897" max="5897"/>
    <col width="16.45" customWidth="1" style="1625" min="5898" max="5898"/>
    <col width="10.11" customWidth="1" style="1625" min="5899" max="5899"/>
    <col width="9.109999999999999" customWidth="1" style="1625" min="5900" max="5900"/>
    <col width="11.55" customWidth="1" style="1625" min="5901" max="5901"/>
    <col width="8.890000000000001" customWidth="1" style="1625" min="5902" max="6147"/>
    <col width="13.89" customWidth="1" style="1625" min="6148" max="6148"/>
    <col width="8.890000000000001" customWidth="1" style="1625" min="6149" max="6149"/>
    <col width="13.44" customWidth="1" style="1625" min="6150" max="6150"/>
    <col width="8.890000000000001" customWidth="1" style="1625" min="6151" max="6152"/>
    <col width="12.55" customWidth="1" style="1625" min="6153" max="6153"/>
    <col width="16.45" customWidth="1" style="1625" min="6154" max="6154"/>
    <col width="10.11" customWidth="1" style="1625" min="6155" max="6155"/>
    <col width="9.109999999999999" customWidth="1" style="1625" min="6156" max="6156"/>
    <col width="11.55" customWidth="1" style="1625" min="6157" max="6157"/>
    <col width="8.890000000000001" customWidth="1" style="1625" min="6158" max="6403"/>
    <col width="13.89" customWidth="1" style="1625" min="6404" max="6404"/>
    <col width="8.890000000000001" customWidth="1" style="1625" min="6405" max="6405"/>
    <col width="13.44" customWidth="1" style="1625" min="6406" max="6406"/>
    <col width="8.890000000000001" customWidth="1" style="1625" min="6407" max="6408"/>
    <col width="12.55" customWidth="1" style="1625" min="6409" max="6409"/>
    <col width="16.45" customWidth="1" style="1625" min="6410" max="6410"/>
    <col width="10.11" customWidth="1" style="1625" min="6411" max="6411"/>
    <col width="9.109999999999999" customWidth="1" style="1625" min="6412" max="6412"/>
    <col width="11.55" customWidth="1" style="1625" min="6413" max="6413"/>
    <col width="8.890000000000001" customWidth="1" style="1625" min="6414" max="6659"/>
    <col width="13.89" customWidth="1" style="1625" min="6660" max="6660"/>
    <col width="8.890000000000001" customWidth="1" style="1625" min="6661" max="6661"/>
    <col width="13.44" customWidth="1" style="1625" min="6662" max="6662"/>
    <col width="8.890000000000001" customWidth="1" style="1625" min="6663" max="6664"/>
    <col width="12.55" customWidth="1" style="1625" min="6665" max="6665"/>
    <col width="16.45" customWidth="1" style="1625" min="6666" max="6666"/>
    <col width="10.11" customWidth="1" style="1625" min="6667" max="6667"/>
    <col width="9.109999999999999" customWidth="1" style="1625" min="6668" max="6668"/>
    <col width="11.55" customWidth="1" style="1625" min="6669" max="6669"/>
    <col width="8.890000000000001" customWidth="1" style="1625" min="6670" max="6915"/>
    <col width="13.89" customWidth="1" style="1625" min="6916" max="6916"/>
    <col width="8.890000000000001" customWidth="1" style="1625" min="6917" max="6917"/>
    <col width="13.44" customWidth="1" style="1625" min="6918" max="6918"/>
    <col width="8.890000000000001" customWidth="1" style="1625" min="6919" max="6920"/>
    <col width="12.55" customWidth="1" style="1625" min="6921" max="6921"/>
    <col width="16.45" customWidth="1" style="1625" min="6922" max="6922"/>
    <col width="10.11" customWidth="1" style="1625" min="6923" max="6923"/>
    <col width="9.109999999999999" customWidth="1" style="1625" min="6924" max="6924"/>
    <col width="11.55" customWidth="1" style="1625" min="6925" max="6925"/>
    <col width="8.890000000000001" customWidth="1" style="1625" min="6926" max="7171"/>
    <col width="13.89" customWidth="1" style="1625" min="7172" max="7172"/>
    <col width="8.890000000000001" customWidth="1" style="1625" min="7173" max="7173"/>
    <col width="13.44" customWidth="1" style="1625" min="7174" max="7174"/>
    <col width="8.890000000000001" customWidth="1" style="1625" min="7175" max="7176"/>
    <col width="12.55" customWidth="1" style="1625" min="7177" max="7177"/>
    <col width="16.45" customWidth="1" style="1625" min="7178" max="7178"/>
    <col width="10.11" customWidth="1" style="1625" min="7179" max="7179"/>
    <col width="9.109999999999999" customWidth="1" style="1625" min="7180" max="7180"/>
    <col width="11.55" customWidth="1" style="1625" min="7181" max="7181"/>
    <col width="8.890000000000001" customWidth="1" style="1625" min="7182" max="7427"/>
    <col width="13.89" customWidth="1" style="1625" min="7428" max="7428"/>
    <col width="8.890000000000001" customWidth="1" style="1625" min="7429" max="7429"/>
    <col width="13.44" customWidth="1" style="1625" min="7430" max="7430"/>
    <col width="8.890000000000001" customWidth="1" style="1625" min="7431" max="7432"/>
    <col width="12.55" customWidth="1" style="1625" min="7433" max="7433"/>
    <col width="16.45" customWidth="1" style="1625" min="7434" max="7434"/>
    <col width="10.11" customWidth="1" style="1625" min="7435" max="7435"/>
    <col width="9.109999999999999" customWidth="1" style="1625" min="7436" max="7436"/>
    <col width="11.55" customWidth="1" style="1625" min="7437" max="7437"/>
    <col width="8.890000000000001" customWidth="1" style="1625" min="7438" max="7683"/>
    <col width="13.89" customWidth="1" style="1625" min="7684" max="7684"/>
    <col width="8.890000000000001" customWidth="1" style="1625" min="7685" max="7685"/>
    <col width="13.44" customWidth="1" style="1625" min="7686" max="7686"/>
    <col width="8.890000000000001" customWidth="1" style="1625" min="7687" max="7688"/>
    <col width="12.55" customWidth="1" style="1625" min="7689" max="7689"/>
    <col width="16.45" customWidth="1" style="1625" min="7690" max="7690"/>
    <col width="10.11" customWidth="1" style="1625" min="7691" max="7691"/>
    <col width="9.109999999999999" customWidth="1" style="1625" min="7692" max="7692"/>
    <col width="11.55" customWidth="1" style="1625" min="7693" max="7693"/>
    <col width="8.890000000000001" customWidth="1" style="1625" min="7694" max="7939"/>
    <col width="13.89" customWidth="1" style="1625" min="7940" max="7940"/>
    <col width="8.890000000000001" customWidth="1" style="1625" min="7941" max="7941"/>
    <col width="13.44" customWidth="1" style="1625" min="7942" max="7942"/>
    <col width="8.890000000000001" customWidth="1" style="1625" min="7943" max="7944"/>
    <col width="12.55" customWidth="1" style="1625" min="7945" max="7945"/>
    <col width="16.45" customWidth="1" style="1625" min="7946" max="7946"/>
    <col width="10.11" customWidth="1" style="1625" min="7947" max="7947"/>
    <col width="9.109999999999999" customWidth="1" style="1625" min="7948" max="7948"/>
    <col width="11.55" customWidth="1" style="1625" min="7949" max="7949"/>
    <col width="8.890000000000001" customWidth="1" style="1625" min="7950" max="8195"/>
    <col width="13.89" customWidth="1" style="1625" min="8196" max="8196"/>
    <col width="8.890000000000001" customWidth="1" style="1625" min="8197" max="8197"/>
    <col width="13.44" customWidth="1" style="1625" min="8198" max="8198"/>
    <col width="8.890000000000001" customWidth="1" style="1625" min="8199" max="8200"/>
    <col width="12.55" customWidth="1" style="1625" min="8201" max="8201"/>
    <col width="16.45" customWidth="1" style="1625" min="8202" max="8202"/>
    <col width="10.11" customWidth="1" style="1625" min="8203" max="8203"/>
    <col width="9.109999999999999" customWidth="1" style="1625" min="8204" max="8204"/>
    <col width="11.55" customWidth="1" style="1625" min="8205" max="8205"/>
    <col width="8.890000000000001" customWidth="1" style="1625" min="8206" max="8451"/>
    <col width="13.89" customWidth="1" style="1625" min="8452" max="8452"/>
    <col width="8.890000000000001" customWidth="1" style="1625" min="8453" max="8453"/>
    <col width="13.44" customWidth="1" style="1625" min="8454" max="8454"/>
    <col width="8.890000000000001" customWidth="1" style="1625" min="8455" max="8456"/>
    <col width="12.55" customWidth="1" style="1625" min="8457" max="8457"/>
    <col width="16.45" customWidth="1" style="1625" min="8458" max="8458"/>
    <col width="10.11" customWidth="1" style="1625" min="8459" max="8459"/>
    <col width="9.109999999999999" customWidth="1" style="1625" min="8460" max="8460"/>
    <col width="11.55" customWidth="1" style="1625" min="8461" max="8461"/>
    <col width="8.890000000000001" customWidth="1" style="1625" min="8462" max="8707"/>
    <col width="13.89" customWidth="1" style="1625" min="8708" max="8708"/>
    <col width="8.890000000000001" customWidth="1" style="1625" min="8709" max="8709"/>
    <col width="13.44" customWidth="1" style="1625" min="8710" max="8710"/>
    <col width="8.890000000000001" customWidth="1" style="1625" min="8711" max="8712"/>
    <col width="12.55" customWidth="1" style="1625" min="8713" max="8713"/>
    <col width="16.45" customWidth="1" style="1625" min="8714" max="8714"/>
    <col width="10.11" customWidth="1" style="1625" min="8715" max="8715"/>
    <col width="9.109999999999999" customWidth="1" style="1625" min="8716" max="8716"/>
    <col width="11.55" customWidth="1" style="1625" min="8717" max="8717"/>
    <col width="8.890000000000001" customWidth="1" style="1625" min="8718" max="8963"/>
    <col width="13.89" customWidth="1" style="1625" min="8964" max="8964"/>
    <col width="8.890000000000001" customWidth="1" style="1625" min="8965" max="8965"/>
    <col width="13.44" customWidth="1" style="1625" min="8966" max="8966"/>
    <col width="8.890000000000001" customWidth="1" style="1625" min="8967" max="8968"/>
    <col width="12.55" customWidth="1" style="1625" min="8969" max="8969"/>
    <col width="16.45" customWidth="1" style="1625" min="8970" max="8970"/>
    <col width="10.11" customWidth="1" style="1625" min="8971" max="8971"/>
    <col width="9.109999999999999" customWidth="1" style="1625" min="8972" max="8972"/>
    <col width="11.55" customWidth="1" style="1625" min="8973" max="8973"/>
    <col width="8.890000000000001" customWidth="1" style="1625" min="8974" max="9219"/>
    <col width="13.89" customWidth="1" style="1625" min="9220" max="9220"/>
    <col width="8.890000000000001" customWidth="1" style="1625" min="9221" max="9221"/>
    <col width="13.44" customWidth="1" style="1625" min="9222" max="9222"/>
    <col width="8.890000000000001" customWidth="1" style="1625" min="9223" max="9224"/>
    <col width="12.55" customWidth="1" style="1625" min="9225" max="9225"/>
    <col width="16.45" customWidth="1" style="1625" min="9226" max="9226"/>
    <col width="10.11" customWidth="1" style="1625" min="9227" max="9227"/>
    <col width="9.109999999999999" customWidth="1" style="1625" min="9228" max="9228"/>
    <col width="11.55" customWidth="1" style="1625" min="9229" max="9229"/>
    <col width="8.890000000000001" customWidth="1" style="1625" min="9230" max="9475"/>
    <col width="13.89" customWidth="1" style="1625" min="9476" max="9476"/>
    <col width="8.890000000000001" customWidth="1" style="1625" min="9477" max="9477"/>
    <col width="13.44" customWidth="1" style="1625" min="9478" max="9478"/>
    <col width="8.890000000000001" customWidth="1" style="1625" min="9479" max="9480"/>
    <col width="12.55" customWidth="1" style="1625" min="9481" max="9481"/>
    <col width="16.45" customWidth="1" style="1625" min="9482" max="9482"/>
    <col width="10.11" customWidth="1" style="1625" min="9483" max="9483"/>
    <col width="9.109999999999999" customWidth="1" style="1625" min="9484" max="9484"/>
    <col width="11.55" customWidth="1" style="1625" min="9485" max="9485"/>
    <col width="8.890000000000001" customWidth="1" style="1625" min="9486" max="9731"/>
    <col width="13.89" customWidth="1" style="1625" min="9732" max="9732"/>
    <col width="8.890000000000001" customWidth="1" style="1625" min="9733" max="9733"/>
    <col width="13.44" customWidth="1" style="1625" min="9734" max="9734"/>
    <col width="8.890000000000001" customWidth="1" style="1625" min="9735" max="9736"/>
    <col width="12.55" customWidth="1" style="1625" min="9737" max="9737"/>
    <col width="16.45" customWidth="1" style="1625" min="9738" max="9738"/>
    <col width="10.11" customWidth="1" style="1625" min="9739" max="9739"/>
    <col width="9.109999999999999" customWidth="1" style="1625" min="9740" max="9740"/>
    <col width="11.55" customWidth="1" style="1625" min="9741" max="9741"/>
    <col width="8.890000000000001" customWidth="1" style="1625" min="9742" max="9987"/>
    <col width="13.89" customWidth="1" style="1625" min="9988" max="9988"/>
    <col width="8.890000000000001" customWidth="1" style="1625" min="9989" max="9989"/>
    <col width="13.44" customWidth="1" style="1625" min="9990" max="9990"/>
    <col width="8.890000000000001" customWidth="1" style="1625" min="9991" max="9992"/>
    <col width="12.55" customWidth="1" style="1625" min="9993" max="9993"/>
    <col width="16.45" customWidth="1" style="1625" min="9994" max="9994"/>
    <col width="10.11" customWidth="1" style="1625" min="9995" max="9995"/>
    <col width="9.109999999999999" customWidth="1" style="1625" min="9996" max="9996"/>
    <col width="11.55" customWidth="1" style="1625" min="9997" max="9997"/>
    <col width="8.890000000000001" customWidth="1" style="1625" min="9998" max="10243"/>
    <col width="13.89" customWidth="1" style="1625" min="10244" max="10244"/>
    <col width="8.890000000000001" customWidth="1" style="1625" min="10245" max="10245"/>
    <col width="13.44" customWidth="1" style="1625" min="10246" max="10246"/>
    <col width="8.890000000000001" customWidth="1" style="1625" min="10247" max="10248"/>
    <col width="12.55" customWidth="1" style="1625" min="10249" max="10249"/>
    <col width="16.45" customWidth="1" style="1625" min="10250" max="10250"/>
    <col width="10.11" customWidth="1" style="1625" min="10251" max="10251"/>
    <col width="9.109999999999999" customWidth="1" style="1625" min="10252" max="10252"/>
    <col width="11.55" customWidth="1" style="1625" min="10253" max="10253"/>
    <col width="8.890000000000001" customWidth="1" style="1625" min="10254" max="10499"/>
    <col width="13.89" customWidth="1" style="1625" min="10500" max="10500"/>
    <col width="8.890000000000001" customWidth="1" style="1625" min="10501" max="10501"/>
    <col width="13.44" customWidth="1" style="1625" min="10502" max="10502"/>
    <col width="8.890000000000001" customWidth="1" style="1625" min="10503" max="10504"/>
    <col width="12.55" customWidth="1" style="1625" min="10505" max="10505"/>
    <col width="16.45" customWidth="1" style="1625" min="10506" max="10506"/>
    <col width="10.11" customWidth="1" style="1625" min="10507" max="10507"/>
    <col width="9.109999999999999" customWidth="1" style="1625" min="10508" max="10508"/>
    <col width="11.55" customWidth="1" style="1625" min="10509" max="10509"/>
    <col width="8.890000000000001" customWidth="1" style="1625" min="10510" max="10755"/>
    <col width="13.89" customWidth="1" style="1625" min="10756" max="10756"/>
    <col width="8.890000000000001" customWidth="1" style="1625" min="10757" max="10757"/>
    <col width="13.44" customWidth="1" style="1625" min="10758" max="10758"/>
    <col width="8.890000000000001" customWidth="1" style="1625" min="10759" max="10760"/>
    <col width="12.55" customWidth="1" style="1625" min="10761" max="10761"/>
    <col width="16.45" customWidth="1" style="1625" min="10762" max="10762"/>
    <col width="10.11" customWidth="1" style="1625" min="10763" max="10763"/>
    <col width="9.109999999999999" customWidth="1" style="1625" min="10764" max="10764"/>
    <col width="11.55" customWidth="1" style="1625" min="10765" max="10765"/>
    <col width="8.890000000000001" customWidth="1" style="1625" min="10766" max="11011"/>
    <col width="13.89" customWidth="1" style="1625" min="11012" max="11012"/>
    <col width="8.890000000000001" customWidth="1" style="1625" min="11013" max="11013"/>
    <col width="13.44" customWidth="1" style="1625" min="11014" max="11014"/>
    <col width="8.890000000000001" customWidth="1" style="1625" min="11015" max="11016"/>
    <col width="12.55" customWidth="1" style="1625" min="11017" max="11017"/>
    <col width="16.45" customWidth="1" style="1625" min="11018" max="11018"/>
    <col width="10.11" customWidth="1" style="1625" min="11019" max="11019"/>
    <col width="9.109999999999999" customWidth="1" style="1625" min="11020" max="11020"/>
    <col width="11.55" customWidth="1" style="1625" min="11021" max="11021"/>
    <col width="8.890000000000001" customWidth="1" style="1625" min="11022" max="11267"/>
    <col width="13.89" customWidth="1" style="1625" min="11268" max="11268"/>
    <col width="8.890000000000001" customWidth="1" style="1625" min="11269" max="11269"/>
    <col width="13.44" customWidth="1" style="1625" min="11270" max="11270"/>
    <col width="8.890000000000001" customWidth="1" style="1625" min="11271" max="11272"/>
    <col width="12.55" customWidth="1" style="1625" min="11273" max="11273"/>
    <col width="16.45" customWidth="1" style="1625" min="11274" max="11274"/>
    <col width="10.11" customWidth="1" style="1625" min="11275" max="11275"/>
    <col width="9.109999999999999" customWidth="1" style="1625" min="11276" max="11276"/>
    <col width="11.55" customWidth="1" style="1625" min="11277" max="11277"/>
    <col width="8.890000000000001" customWidth="1" style="1625" min="11278" max="11523"/>
    <col width="13.89" customWidth="1" style="1625" min="11524" max="11524"/>
    <col width="8.890000000000001" customWidth="1" style="1625" min="11525" max="11525"/>
    <col width="13.44" customWidth="1" style="1625" min="11526" max="11526"/>
    <col width="8.890000000000001" customWidth="1" style="1625" min="11527" max="11528"/>
    <col width="12.55" customWidth="1" style="1625" min="11529" max="11529"/>
    <col width="16.45" customWidth="1" style="1625" min="11530" max="11530"/>
    <col width="10.11" customWidth="1" style="1625" min="11531" max="11531"/>
    <col width="9.109999999999999" customWidth="1" style="1625" min="11532" max="11532"/>
    <col width="11.55" customWidth="1" style="1625" min="11533" max="11533"/>
    <col width="8.890000000000001" customWidth="1" style="1625" min="11534" max="11779"/>
    <col width="13.89" customWidth="1" style="1625" min="11780" max="11780"/>
    <col width="8.890000000000001" customWidth="1" style="1625" min="11781" max="11781"/>
    <col width="13.44" customWidth="1" style="1625" min="11782" max="11782"/>
    <col width="8.890000000000001" customWidth="1" style="1625" min="11783" max="11784"/>
    <col width="12.55" customWidth="1" style="1625" min="11785" max="11785"/>
    <col width="16.45" customWidth="1" style="1625" min="11786" max="11786"/>
    <col width="10.11" customWidth="1" style="1625" min="11787" max="11787"/>
    <col width="9.109999999999999" customWidth="1" style="1625" min="11788" max="11788"/>
    <col width="11.55" customWidth="1" style="1625" min="11789" max="11789"/>
    <col width="8.890000000000001" customWidth="1" style="1625" min="11790" max="12035"/>
    <col width="13.89" customWidth="1" style="1625" min="12036" max="12036"/>
    <col width="8.890000000000001" customWidth="1" style="1625" min="12037" max="12037"/>
    <col width="13.44" customWidth="1" style="1625" min="12038" max="12038"/>
    <col width="8.890000000000001" customWidth="1" style="1625" min="12039" max="12040"/>
    <col width="12.55" customWidth="1" style="1625" min="12041" max="12041"/>
    <col width="16.45" customWidth="1" style="1625" min="12042" max="12042"/>
    <col width="10.11" customWidth="1" style="1625" min="12043" max="12043"/>
    <col width="9.109999999999999" customWidth="1" style="1625" min="12044" max="12044"/>
    <col width="11.55" customWidth="1" style="1625" min="12045" max="12045"/>
    <col width="8.890000000000001" customWidth="1" style="1625" min="12046" max="12291"/>
    <col width="13.89" customWidth="1" style="1625" min="12292" max="12292"/>
    <col width="8.890000000000001" customWidth="1" style="1625" min="12293" max="12293"/>
    <col width="13.44" customWidth="1" style="1625" min="12294" max="12294"/>
    <col width="8.890000000000001" customWidth="1" style="1625" min="12295" max="12296"/>
    <col width="12.55" customWidth="1" style="1625" min="12297" max="12297"/>
    <col width="16.45" customWidth="1" style="1625" min="12298" max="12298"/>
    <col width="10.11" customWidth="1" style="1625" min="12299" max="12299"/>
    <col width="9.109999999999999" customWidth="1" style="1625" min="12300" max="12300"/>
    <col width="11.55" customWidth="1" style="1625" min="12301" max="12301"/>
    <col width="8.890000000000001" customWidth="1" style="1625" min="12302" max="12547"/>
    <col width="13.89" customWidth="1" style="1625" min="12548" max="12548"/>
    <col width="8.890000000000001" customWidth="1" style="1625" min="12549" max="12549"/>
    <col width="13.44" customWidth="1" style="1625" min="12550" max="12550"/>
    <col width="8.890000000000001" customWidth="1" style="1625" min="12551" max="12552"/>
    <col width="12.55" customWidth="1" style="1625" min="12553" max="12553"/>
    <col width="16.45" customWidth="1" style="1625" min="12554" max="12554"/>
    <col width="10.11" customWidth="1" style="1625" min="12555" max="12555"/>
    <col width="9.109999999999999" customWidth="1" style="1625" min="12556" max="12556"/>
    <col width="11.55" customWidth="1" style="1625" min="12557" max="12557"/>
    <col width="8.890000000000001" customWidth="1" style="1625" min="12558" max="12803"/>
    <col width="13.89" customWidth="1" style="1625" min="12804" max="12804"/>
    <col width="8.890000000000001" customWidth="1" style="1625" min="12805" max="12805"/>
    <col width="13.44" customWidth="1" style="1625" min="12806" max="12806"/>
    <col width="8.890000000000001" customWidth="1" style="1625" min="12807" max="12808"/>
    <col width="12.55" customWidth="1" style="1625" min="12809" max="12809"/>
    <col width="16.45" customWidth="1" style="1625" min="12810" max="12810"/>
    <col width="10.11" customWidth="1" style="1625" min="12811" max="12811"/>
    <col width="9.109999999999999" customWidth="1" style="1625" min="12812" max="12812"/>
    <col width="11.55" customWidth="1" style="1625" min="12813" max="12813"/>
    <col width="8.890000000000001" customWidth="1" style="1625" min="12814" max="13059"/>
    <col width="13.89" customWidth="1" style="1625" min="13060" max="13060"/>
    <col width="8.890000000000001" customWidth="1" style="1625" min="13061" max="13061"/>
    <col width="13.44" customWidth="1" style="1625" min="13062" max="13062"/>
    <col width="8.890000000000001" customWidth="1" style="1625" min="13063" max="13064"/>
    <col width="12.55" customWidth="1" style="1625" min="13065" max="13065"/>
    <col width="16.45" customWidth="1" style="1625" min="13066" max="13066"/>
    <col width="10.11" customWidth="1" style="1625" min="13067" max="13067"/>
    <col width="9.109999999999999" customWidth="1" style="1625" min="13068" max="13068"/>
    <col width="11.55" customWidth="1" style="1625" min="13069" max="13069"/>
    <col width="8.890000000000001" customWidth="1" style="1625" min="13070" max="13315"/>
    <col width="13.89" customWidth="1" style="1625" min="13316" max="13316"/>
    <col width="8.890000000000001" customWidth="1" style="1625" min="13317" max="13317"/>
    <col width="13.44" customWidth="1" style="1625" min="13318" max="13318"/>
    <col width="8.890000000000001" customWidth="1" style="1625" min="13319" max="13320"/>
    <col width="12.55" customWidth="1" style="1625" min="13321" max="13321"/>
    <col width="16.45" customWidth="1" style="1625" min="13322" max="13322"/>
    <col width="10.11" customWidth="1" style="1625" min="13323" max="13323"/>
    <col width="9.109999999999999" customWidth="1" style="1625" min="13324" max="13324"/>
    <col width="11.55" customWidth="1" style="1625" min="13325" max="13325"/>
    <col width="8.890000000000001" customWidth="1" style="1625" min="13326" max="13571"/>
    <col width="13.89" customWidth="1" style="1625" min="13572" max="13572"/>
    <col width="8.890000000000001" customWidth="1" style="1625" min="13573" max="13573"/>
    <col width="13.44" customWidth="1" style="1625" min="13574" max="13574"/>
    <col width="8.890000000000001" customWidth="1" style="1625" min="13575" max="13576"/>
    <col width="12.55" customWidth="1" style="1625" min="13577" max="13577"/>
    <col width="16.45" customWidth="1" style="1625" min="13578" max="13578"/>
    <col width="10.11" customWidth="1" style="1625" min="13579" max="13579"/>
    <col width="9.109999999999999" customWidth="1" style="1625" min="13580" max="13580"/>
    <col width="11.55" customWidth="1" style="1625" min="13581" max="13581"/>
    <col width="8.890000000000001" customWidth="1" style="1625" min="13582" max="13827"/>
    <col width="13.89" customWidth="1" style="1625" min="13828" max="13828"/>
    <col width="8.890000000000001" customWidth="1" style="1625" min="13829" max="13829"/>
    <col width="13.44" customWidth="1" style="1625" min="13830" max="13830"/>
    <col width="8.890000000000001" customWidth="1" style="1625" min="13831" max="13832"/>
    <col width="12.55" customWidth="1" style="1625" min="13833" max="13833"/>
    <col width="16.45" customWidth="1" style="1625" min="13834" max="13834"/>
    <col width="10.11" customWidth="1" style="1625" min="13835" max="13835"/>
    <col width="9.109999999999999" customWidth="1" style="1625" min="13836" max="13836"/>
    <col width="11.55" customWidth="1" style="1625" min="13837" max="13837"/>
    <col width="8.890000000000001" customWidth="1" style="1625" min="13838" max="14083"/>
    <col width="13.89" customWidth="1" style="1625" min="14084" max="14084"/>
    <col width="8.890000000000001" customWidth="1" style="1625" min="14085" max="14085"/>
    <col width="13.44" customWidth="1" style="1625" min="14086" max="14086"/>
    <col width="8.890000000000001" customWidth="1" style="1625" min="14087" max="14088"/>
    <col width="12.55" customWidth="1" style="1625" min="14089" max="14089"/>
    <col width="16.45" customWidth="1" style="1625" min="14090" max="14090"/>
    <col width="10.11" customWidth="1" style="1625" min="14091" max="14091"/>
    <col width="9.109999999999999" customWidth="1" style="1625" min="14092" max="14092"/>
    <col width="11.55" customWidth="1" style="1625" min="14093" max="14093"/>
    <col width="8.890000000000001" customWidth="1" style="1625" min="14094" max="14339"/>
    <col width="13.89" customWidth="1" style="1625" min="14340" max="14340"/>
    <col width="8.890000000000001" customWidth="1" style="1625" min="14341" max="14341"/>
    <col width="13.44" customWidth="1" style="1625" min="14342" max="14342"/>
    <col width="8.890000000000001" customWidth="1" style="1625" min="14343" max="14344"/>
    <col width="12.55" customWidth="1" style="1625" min="14345" max="14345"/>
    <col width="16.45" customWidth="1" style="1625" min="14346" max="14346"/>
    <col width="10.11" customWidth="1" style="1625" min="14347" max="14347"/>
    <col width="9.109999999999999" customWidth="1" style="1625" min="14348" max="14348"/>
    <col width="11.55" customWidth="1" style="1625" min="14349" max="14349"/>
    <col width="8.890000000000001" customWidth="1" style="1625" min="14350" max="14595"/>
    <col width="13.89" customWidth="1" style="1625" min="14596" max="14596"/>
    <col width="8.890000000000001" customWidth="1" style="1625" min="14597" max="14597"/>
    <col width="13.44" customWidth="1" style="1625" min="14598" max="14598"/>
    <col width="8.890000000000001" customWidth="1" style="1625" min="14599" max="14600"/>
    <col width="12.55" customWidth="1" style="1625" min="14601" max="14601"/>
    <col width="16.45" customWidth="1" style="1625" min="14602" max="14602"/>
    <col width="10.11" customWidth="1" style="1625" min="14603" max="14603"/>
    <col width="9.109999999999999" customWidth="1" style="1625" min="14604" max="14604"/>
    <col width="11.55" customWidth="1" style="1625" min="14605" max="14605"/>
    <col width="8.890000000000001" customWidth="1" style="1625" min="14606" max="14851"/>
    <col width="13.89" customWidth="1" style="1625" min="14852" max="14852"/>
    <col width="8.890000000000001" customWidth="1" style="1625" min="14853" max="14853"/>
    <col width="13.44" customWidth="1" style="1625" min="14854" max="14854"/>
    <col width="8.890000000000001" customWidth="1" style="1625" min="14855" max="14856"/>
    <col width="12.55" customWidth="1" style="1625" min="14857" max="14857"/>
    <col width="16.45" customWidth="1" style="1625" min="14858" max="14858"/>
    <col width="10.11" customWidth="1" style="1625" min="14859" max="14859"/>
    <col width="9.109999999999999" customWidth="1" style="1625" min="14860" max="14860"/>
    <col width="11.55" customWidth="1" style="1625" min="14861" max="14861"/>
    <col width="8.890000000000001" customWidth="1" style="1625" min="14862" max="15107"/>
    <col width="13.89" customWidth="1" style="1625" min="15108" max="15108"/>
    <col width="8.890000000000001" customWidth="1" style="1625" min="15109" max="15109"/>
    <col width="13.44" customWidth="1" style="1625" min="15110" max="15110"/>
    <col width="8.890000000000001" customWidth="1" style="1625" min="15111" max="15112"/>
    <col width="12.55" customWidth="1" style="1625" min="15113" max="15113"/>
    <col width="16.45" customWidth="1" style="1625" min="15114" max="15114"/>
    <col width="10.11" customWidth="1" style="1625" min="15115" max="15115"/>
    <col width="9.109999999999999" customWidth="1" style="1625" min="15116" max="15116"/>
    <col width="11.55" customWidth="1" style="1625" min="15117" max="15117"/>
    <col width="8.890000000000001" customWidth="1" style="1625" min="15118" max="15363"/>
    <col width="13.89" customWidth="1" style="1625" min="15364" max="15364"/>
    <col width="8.890000000000001" customWidth="1" style="1625" min="15365" max="15365"/>
    <col width="13.44" customWidth="1" style="1625" min="15366" max="15366"/>
    <col width="8.890000000000001" customWidth="1" style="1625" min="15367" max="15368"/>
    <col width="12.55" customWidth="1" style="1625" min="15369" max="15369"/>
    <col width="16.45" customWidth="1" style="1625" min="15370" max="15370"/>
    <col width="10.11" customWidth="1" style="1625" min="15371" max="15371"/>
    <col width="9.109999999999999" customWidth="1" style="1625" min="15372" max="15372"/>
    <col width="11.55" customWidth="1" style="1625" min="15373" max="15373"/>
    <col width="8.890000000000001" customWidth="1" style="1625" min="15374" max="15619"/>
    <col width="13.89" customWidth="1" style="1625" min="15620" max="15620"/>
    <col width="8.890000000000001" customWidth="1" style="1625" min="15621" max="15621"/>
    <col width="13.44" customWidth="1" style="1625" min="15622" max="15622"/>
    <col width="8.890000000000001" customWidth="1" style="1625" min="15623" max="15624"/>
    <col width="12.55" customWidth="1" style="1625" min="15625" max="15625"/>
    <col width="16.45" customWidth="1" style="1625" min="15626" max="15626"/>
    <col width="10.11" customWidth="1" style="1625" min="15627" max="15627"/>
    <col width="9.109999999999999" customWidth="1" style="1625" min="15628" max="15628"/>
    <col width="11.55" customWidth="1" style="1625" min="15629" max="15629"/>
    <col width="8.890000000000001" customWidth="1" style="1625" min="15630" max="15875"/>
    <col width="13.89" customWidth="1" style="1625" min="15876" max="15876"/>
    <col width="8.890000000000001" customWidth="1" style="1625" min="15877" max="15877"/>
    <col width="13.44" customWidth="1" style="1625" min="15878" max="15878"/>
    <col width="8.890000000000001" customWidth="1" style="1625" min="15879" max="15880"/>
    <col width="12.55" customWidth="1" style="1625" min="15881" max="15881"/>
    <col width="16.45" customWidth="1" style="1625" min="15882" max="15882"/>
    <col width="10.11" customWidth="1" style="1625" min="15883" max="15883"/>
    <col width="9.109999999999999" customWidth="1" style="1625" min="15884" max="15884"/>
    <col width="11.55" customWidth="1" style="1625" min="15885" max="15885"/>
    <col width="8.890000000000001" customWidth="1" style="1625" min="15886" max="16131"/>
    <col width="13.89" customWidth="1" style="1625" min="16132" max="16132"/>
    <col width="8.890000000000001" customWidth="1" style="1625" min="16133" max="16133"/>
    <col width="13.44" customWidth="1" style="1625" min="16134" max="16134"/>
    <col width="8.890000000000001" customWidth="1" style="1625" min="16135" max="16136"/>
    <col width="12.55" customWidth="1" style="1625" min="16137" max="16137"/>
    <col width="16.45" customWidth="1" style="1625" min="16138" max="16138"/>
    <col width="10.11" customWidth="1" style="1625" min="16139" max="16139"/>
    <col width="9.109999999999999" customWidth="1" style="1625" min="16140" max="16140"/>
    <col width="11.55" customWidth="1" style="1625" min="16141" max="16141"/>
    <col width="8.890000000000001" customWidth="1" style="1625" min="16142" max="16384"/>
  </cols>
  <sheetData>
    <row r="2" ht="12.75" customHeight="1" s="1158">
      <c r="A2" s="1627" t="n"/>
      <c r="B2" s="1628" t="n"/>
      <c r="C2" s="1629" t="n"/>
      <c r="D2" s="1629" t="n"/>
      <c r="E2" s="1629" t="n"/>
      <c r="F2" s="1629" t="n"/>
      <c r="G2" s="1629" t="n"/>
      <c r="H2" s="1629" t="n"/>
      <c r="I2" s="1629" t="n"/>
      <c r="J2" s="1629" t="n"/>
      <c r="K2" s="1629" t="n"/>
      <c r="L2" s="1629" t="n"/>
      <c r="M2" s="1629" t="n"/>
      <c r="N2" s="1630" t="n"/>
    </row>
    <row r="3" ht="12.75" customHeight="1" s="1158">
      <c r="A3" s="1631" t="n"/>
      <c r="N3" s="1632" t="n"/>
    </row>
    <row r="4" ht="12.75" customHeight="1" s="1158">
      <c r="A4" s="1631" t="n"/>
      <c r="N4" s="1632" t="n"/>
    </row>
    <row r="5" ht="12.75" customHeight="1" s="1158">
      <c r="A5" s="1631" t="n"/>
      <c r="N5" s="1632" t="n"/>
    </row>
    <row r="6" ht="12.75" customHeight="1" s="1158">
      <c r="A6" s="1631" t="n"/>
      <c r="N6" s="1632" t="n"/>
    </row>
    <row r="7" ht="12.75" customHeight="1" s="1158">
      <c r="A7" s="1631" t="n"/>
      <c r="N7" s="1632" t="n"/>
    </row>
    <row r="8" ht="19.5" customHeight="1" s="1158">
      <c r="A8" s="1631" t="n"/>
      <c r="L8" s="1633" t="n"/>
      <c r="N8" s="1632" t="n"/>
    </row>
    <row r="9" ht="12.75" customHeight="1" s="1158">
      <c r="A9" s="1631" t="n"/>
      <c r="N9" s="1632" t="n"/>
    </row>
    <row r="10" ht="12.75" customHeight="1" s="1158">
      <c r="A10" s="1631" t="n"/>
      <c r="N10" s="1632" t="n"/>
    </row>
    <row r="11" ht="12.75" customHeight="1" s="1158">
      <c r="A11" s="1631" t="n"/>
      <c r="N11" s="1632" t="n"/>
    </row>
    <row r="12" ht="12.75" customHeight="1" s="1158">
      <c r="A12" s="1631" t="n"/>
      <c r="N12" s="1632" t="n"/>
    </row>
    <row r="13" ht="12.75" customHeight="1" s="1158">
      <c r="A13" s="1631" t="n"/>
      <c r="N13" s="1632" t="n"/>
    </row>
    <row r="14" ht="24" customHeight="1" s="1158">
      <c r="A14" s="1631" t="n"/>
      <c r="B14" s="1634" t="inlineStr">
        <is>
          <t>Well Completion Report</t>
        </is>
      </c>
      <c r="N14" s="1635" t="n"/>
      <c r="O14" s="1636" t="n"/>
      <c r="P14" s="1636" t="n"/>
      <c r="Q14" s="1636" t="n"/>
      <c r="R14" s="1636" t="n"/>
      <c r="S14" s="1636" t="n"/>
      <c r="T14" s="1636" t="n"/>
    </row>
    <row r="15" ht="24" customHeight="1" s="1158">
      <c r="A15" s="1631" t="n"/>
      <c r="N15" s="1635" t="n"/>
      <c r="O15" s="1636" t="n"/>
      <c r="P15" s="1636" t="n"/>
      <c r="Q15" s="1636" t="n"/>
      <c r="R15" s="1636" t="n"/>
      <c r="S15" s="1636" t="n"/>
      <c r="T15" s="1636" t="n"/>
    </row>
    <row r="16" ht="24" customHeight="1" s="1158">
      <c r="A16" s="1631" t="n"/>
      <c r="N16" s="1635" t="n"/>
      <c r="O16" s="1636" t="n"/>
      <c r="P16" s="1636" t="n"/>
      <c r="Q16" s="1636" t="n"/>
      <c r="R16" s="1636" t="n"/>
      <c r="S16" s="1636" t="n"/>
      <c r="T16" s="1636" t="n"/>
    </row>
    <row r="17" ht="24" customHeight="1" s="1158">
      <c r="A17" s="1631" t="n"/>
      <c r="N17" s="1635" t="n"/>
      <c r="O17" s="1636" t="n"/>
      <c r="P17" s="1636" t="n"/>
      <c r="Q17" s="1636" t="n"/>
      <c r="R17" s="1636" t="n"/>
      <c r="S17" s="1636" t="n"/>
      <c r="T17" s="1636" t="n"/>
    </row>
    <row r="18" ht="30" customHeight="1" s="1158">
      <c r="A18" s="1631" t="n"/>
      <c r="N18" s="1635" t="n"/>
      <c r="O18" s="1636" t="n"/>
      <c r="P18" s="1636" t="n"/>
      <c r="Q18" s="1636" t="n"/>
      <c r="R18" s="1636" t="n"/>
      <c r="S18" s="1636" t="n"/>
      <c r="T18" s="1636" t="n"/>
    </row>
    <row r="19" ht="30" customHeight="1" s="1158">
      <c r="A19" s="1631" t="n"/>
      <c r="N19" s="1635" t="n"/>
      <c r="O19" s="1636" t="n"/>
      <c r="P19" s="1636" t="n"/>
      <c r="Q19" s="1636" t="n"/>
      <c r="R19" s="1636" t="n"/>
      <c r="S19" s="1636" t="n"/>
      <c r="T19" s="1636" t="n"/>
    </row>
    <row r="20" ht="30" customHeight="1" s="1158">
      <c r="A20" s="1631" t="n"/>
      <c r="N20" s="1635" t="n"/>
      <c r="O20" s="1636" t="n"/>
      <c r="P20" s="1636" t="n"/>
      <c r="Q20" s="1636" t="n"/>
      <c r="R20" s="1636" t="n"/>
      <c r="S20" s="1636" t="n"/>
      <c r="T20" s="1636" t="n"/>
    </row>
    <row r="21" ht="25.5" customHeight="1" s="1158">
      <c r="A21" s="1631" t="n"/>
      <c r="B21" s="1637" t="n"/>
      <c r="C21" s="1637" t="n"/>
      <c r="D21" s="1637" t="n"/>
      <c r="E21" s="1637" t="n"/>
      <c r="F21" s="1637" t="n"/>
      <c r="G21" s="1637" t="n"/>
      <c r="H21" s="1637" t="n"/>
      <c r="I21" s="1637" t="n"/>
      <c r="J21" s="1637" t="n"/>
      <c r="K21" s="1637" t="n"/>
      <c r="L21" s="1637" t="n"/>
      <c r="M21" s="1637" t="n"/>
      <c r="N21" s="1635" t="n"/>
      <c r="O21" s="1636" t="n"/>
      <c r="P21" s="1636" t="n"/>
      <c r="Q21" s="1636" t="n"/>
      <c r="R21" s="1636" t="n"/>
      <c r="S21" s="1636" t="n"/>
      <c r="T21" s="1636" t="n"/>
    </row>
    <row r="22" ht="17.25" customHeight="1" s="1158">
      <c r="A22" s="1631" t="n"/>
      <c r="B22" s="1638" t="n"/>
      <c r="C22" s="1638" t="n"/>
      <c r="D22" s="1639" t="n"/>
      <c r="E22" s="1640" t="n"/>
      <c r="F22" s="1640" t="n"/>
      <c r="G22" s="1640" t="n"/>
      <c r="H22" s="1640" t="n"/>
      <c r="I22" s="1640" t="n"/>
      <c r="J22" s="1640" t="n"/>
      <c r="K22" s="1640" t="n"/>
      <c r="L22" s="1640" t="n"/>
      <c r="M22" s="1640" t="n"/>
      <c r="N22" s="1641" t="n"/>
      <c r="O22" s="1639" t="n"/>
      <c r="P22" s="1639" t="n"/>
    </row>
    <row r="23" ht="28.5" customHeight="1" s="1158">
      <c r="A23" s="1631" t="n"/>
      <c r="B23" s="1639" t="n"/>
      <c r="C23" s="1639" t="n"/>
      <c r="D23" s="1639" t="n"/>
      <c r="E23" s="1639" t="n"/>
      <c r="F23" s="1639" t="n"/>
      <c r="G23" s="1642" t="inlineStr">
        <is>
          <t>CUSTOMER:</t>
        </is>
      </c>
      <c r="H23" s="1643" t="n"/>
      <c r="I23" s="1644">
        <f>_xlfn.CONCAT('MS2'!C2:D2)</f>
        <v/>
      </c>
      <c r="N23" s="1641" t="n"/>
      <c r="O23" s="1639" t="n"/>
      <c r="P23" s="1639" t="n"/>
    </row>
    <row r="24" ht="28.5" customHeight="1" s="1158">
      <c r="A24" s="1631" t="n"/>
      <c r="B24" s="1645" t="n"/>
      <c r="C24" s="1639" t="n"/>
      <c r="D24" s="1639" t="n"/>
      <c r="E24" s="1639" t="n"/>
      <c r="F24" s="1639" t="n"/>
      <c r="G24" s="1643" t="n"/>
      <c r="H24" s="1643" t="n"/>
      <c r="I24" s="1644" t="n"/>
      <c r="J24" s="1644" t="n"/>
      <c r="K24" s="1644" t="n"/>
      <c r="L24" s="1644" t="n"/>
      <c r="M24" s="1644" t="n"/>
      <c r="N24" s="1641" t="n"/>
      <c r="O24" s="1639" t="n"/>
      <c r="P24" s="1639" t="n"/>
    </row>
    <row r="25" ht="28.5" customHeight="1" s="1158">
      <c r="A25" s="1631" t="n"/>
      <c r="B25" s="1645" t="n"/>
      <c r="C25" s="1639" t="n"/>
      <c r="D25" s="1639" t="n"/>
      <c r="E25" s="1639" t="n"/>
      <c r="F25" s="1639" t="n"/>
      <c r="G25" s="1642" t="inlineStr">
        <is>
          <t>FIELD:</t>
        </is>
      </c>
      <c r="H25" s="1643" t="n"/>
      <c r="I25" s="1644" t="inlineStr">
        <is>
          <t>BAB</t>
        </is>
      </c>
      <c r="N25" s="1641" t="n"/>
      <c r="O25" s="1639" t="n"/>
      <c r="P25" s="1639" t="n"/>
    </row>
    <row r="26" ht="28.5" customHeight="1" s="1158">
      <c r="A26" s="1631" t="n"/>
      <c r="B26" s="1645" t="n"/>
      <c r="C26" s="1639" t="n"/>
      <c r="D26" s="1639" t="n"/>
      <c r="E26" s="1639" t="n"/>
      <c r="F26" s="1639" t="n"/>
      <c r="G26" s="1643" t="n"/>
      <c r="H26" s="1643" t="n"/>
      <c r="I26" s="1644" t="n"/>
      <c r="J26" s="1644" t="n"/>
      <c r="K26" s="1644" t="n"/>
      <c r="L26" s="1644" t="n"/>
      <c r="M26" s="1644" t="n"/>
      <c r="N26" s="1641" t="n"/>
      <c r="O26" s="1639" t="n"/>
      <c r="P26" s="1639" t="n"/>
    </row>
    <row r="27" ht="28.5" customHeight="1" s="1158">
      <c r="A27" s="1631" t="n"/>
      <c r="B27" s="1639" t="n"/>
      <c r="C27" s="1639" t="n"/>
      <c r="D27" s="1639" t="n"/>
      <c r="E27" s="1639" t="n"/>
      <c r="F27" s="1639" t="n"/>
      <c r="G27" s="1642" t="inlineStr">
        <is>
          <t>WELL:</t>
        </is>
      </c>
      <c r="H27" s="1643" t="n"/>
      <c r="I27" s="1644">
        <f>'MS2'!I9</f>
        <v/>
      </c>
      <c r="N27" s="1641" t="n"/>
      <c r="O27" s="1639" t="n"/>
      <c r="P27" s="1639" t="n"/>
    </row>
    <row r="28" ht="28.5" customHeight="1" s="1158">
      <c r="A28" s="1631" t="n"/>
      <c r="B28" s="1645" t="n"/>
      <c r="C28" s="1639" t="n"/>
      <c r="D28" s="1639" t="n"/>
      <c r="E28" s="1639" t="n"/>
      <c r="F28" s="1639" t="n"/>
      <c r="G28" s="1643" t="n"/>
      <c r="H28" s="1643" t="n"/>
      <c r="I28" s="1644" t="n"/>
      <c r="J28" s="1644" t="n"/>
      <c r="K28" s="1644" t="n"/>
      <c r="L28" s="1644" t="n"/>
      <c r="M28" s="1644" t="n"/>
      <c r="N28" s="1641" t="n"/>
      <c r="O28" s="1639" t="n"/>
      <c r="P28" s="1639" t="n"/>
    </row>
    <row r="29" ht="120" customHeight="1" s="1158">
      <c r="A29" s="1631" t="n"/>
      <c r="B29" s="1639" t="n"/>
      <c r="C29" s="1639" t="n"/>
      <c r="D29" s="1639" t="n"/>
      <c r="E29" s="1639" t="n"/>
      <c r="F29" s="1639" t="n"/>
      <c r="G29" s="1646" t="inlineStr">
        <is>
          <t>COMPLETION TYPE:</t>
        </is>
      </c>
      <c r="H29" s="1643" t="n"/>
      <c r="I29" s="1647" t="inlineStr">
        <is>
          <t xml:space="preserve">3-1/2" Single Oil Producer, Alloy-28 Tubing, 3-1/2" TRSV, Permanent Conventional Packer, W/ Gas Lift, W/ Actuated Wellhead, Y-Shape
 </t>
        </is>
      </c>
      <c r="N29" s="1641" t="n"/>
      <c r="O29" s="1639" t="n"/>
      <c r="P29" s="1639" t="n"/>
    </row>
    <row r="30" ht="28.5" customHeight="1" s="1158">
      <c r="A30" s="1631" t="n"/>
      <c r="B30" s="1639" t="n"/>
      <c r="C30" s="1639" t="n"/>
      <c r="D30" s="1639" t="n"/>
      <c r="E30" s="1639" t="n"/>
      <c r="F30" s="1639" t="n"/>
      <c r="G30" s="1642" t="n"/>
      <c r="H30" s="1643" t="n"/>
      <c r="I30" s="1644" t="n"/>
      <c r="J30" s="1644" t="n"/>
      <c r="K30" s="1644" t="n"/>
      <c r="L30" s="1644" t="n"/>
      <c r="M30" s="1644" t="n"/>
      <c r="N30" s="1641" t="n"/>
      <c r="O30" s="1639" t="n"/>
      <c r="P30" s="1639" t="n"/>
    </row>
    <row r="31" ht="28.5" customHeight="1" s="1158">
      <c r="A31" s="1631" t="n"/>
      <c r="B31" s="1639" t="n"/>
      <c r="C31" s="1639" t="n"/>
      <c r="D31" s="1639" t="n"/>
      <c r="E31" s="1639" t="n"/>
      <c r="F31" s="1639" t="n"/>
      <c r="G31" s="1642" t="inlineStr">
        <is>
          <t>COMPLETION DATE:</t>
        </is>
      </c>
      <c r="H31" s="1643" t="n"/>
      <c r="I31" s="1644">
        <f>_xlfn.CONCAT('MS2'!C5:D5)</f>
        <v/>
      </c>
      <c r="N31" s="1641" t="n"/>
      <c r="O31" s="1639" t="n"/>
      <c r="P31" s="1639" t="n"/>
    </row>
    <row r="32" ht="28.5" customHeight="1" s="1158">
      <c r="A32" s="1631" t="n"/>
      <c r="B32" s="1639" t="n"/>
      <c r="C32" s="1639" t="n"/>
      <c r="D32" s="1639" t="n"/>
      <c r="E32" s="1639" t="n"/>
      <c r="F32" s="1639" t="n"/>
      <c r="G32" s="1642" t="n"/>
      <c r="H32" s="1643" t="n"/>
      <c r="I32" s="1644" t="n"/>
      <c r="N32" s="1641" t="n"/>
      <c r="O32" s="1639" t="n"/>
      <c r="P32" s="1639" t="n"/>
    </row>
    <row r="33" ht="28.5" customHeight="1" s="1158">
      <c r="A33" s="1631" t="n"/>
      <c r="B33" s="1639" t="n"/>
      <c r="C33" s="1639" t="n"/>
      <c r="D33" s="1639" t="n"/>
      <c r="E33" s="1639" t="n"/>
      <c r="F33" s="1639" t="n"/>
      <c r="G33" s="1642" t="inlineStr">
        <is>
          <t>DRILLING CONTRACTOR:</t>
        </is>
      </c>
      <c r="H33" s="1643" t="n"/>
      <c r="I33" s="1644" t="inlineStr">
        <is>
          <t>ADNOC DRILLING</t>
        </is>
      </c>
      <c r="N33" s="1641" t="n"/>
      <c r="O33" s="1639" t="n"/>
      <c r="P33" s="1639" t="n"/>
    </row>
    <row r="34" ht="28.5" customHeight="1" s="1158">
      <c r="A34" s="1631" t="n"/>
      <c r="B34" s="1639" t="n"/>
      <c r="C34" s="1639" t="n"/>
      <c r="D34" s="1639" t="n"/>
      <c r="E34" s="1639" t="n"/>
      <c r="F34" s="1639" t="n"/>
      <c r="G34" s="1642" t="n"/>
      <c r="H34" s="1643" t="n"/>
      <c r="I34" s="1644" t="n"/>
      <c r="J34" s="1644" t="n"/>
      <c r="K34" s="1644" t="n"/>
      <c r="L34" s="1644" t="n"/>
      <c r="M34" s="1644" t="n"/>
      <c r="N34" s="1641" t="n"/>
      <c r="O34" s="1639" t="n"/>
      <c r="P34" s="1639" t="n"/>
    </row>
    <row r="35" ht="28.5" customHeight="1" s="1158">
      <c r="A35" s="1631" t="n"/>
      <c r="B35" s="1639" t="n"/>
      <c r="C35" s="1639" t="n"/>
      <c r="D35" s="1639" t="n"/>
      <c r="E35" s="1639" t="n"/>
      <c r="F35" s="1639" t="n"/>
      <c r="G35" s="1642" t="inlineStr">
        <is>
          <t>RIG:</t>
        </is>
      </c>
      <c r="H35" s="1643" t="n"/>
      <c r="I35" s="1644">
        <f>'MS2'!I8</f>
        <v/>
      </c>
      <c r="N35" s="1641" t="n"/>
      <c r="O35" s="1639" t="n"/>
      <c r="P35" s="1639" t="n"/>
    </row>
    <row r="36" ht="28.5" customHeight="1" s="1158">
      <c r="A36" s="1631" t="n"/>
      <c r="B36" s="1639" t="n"/>
      <c r="C36" s="1639" t="n"/>
      <c r="D36" s="1639" t="n"/>
      <c r="E36" s="1639" t="n"/>
      <c r="F36" s="1639" t="n"/>
      <c r="G36" s="1642" t="n"/>
      <c r="H36" s="1643" t="n"/>
      <c r="I36" s="1644" t="n"/>
      <c r="J36" s="1644" t="n"/>
      <c r="K36" s="1644" t="n"/>
      <c r="L36" s="1644" t="n"/>
      <c r="M36" s="1644" t="n"/>
      <c r="N36" s="1641" t="n"/>
      <c r="O36" s="1639" t="n"/>
      <c r="P36" s="1639" t="n"/>
    </row>
    <row r="37" ht="28.5" customHeight="1" s="1158">
      <c r="A37" s="1631" t="n"/>
      <c r="B37" s="1639" t="n"/>
      <c r="C37" s="1639" t="n"/>
      <c r="D37" s="1639" t="n"/>
      <c r="E37" s="1639" t="n"/>
      <c r="F37" s="1639" t="n"/>
      <c r="G37" s="1642" t="inlineStr">
        <is>
          <t>ADNOC COMPLETION ENGINEER:</t>
        </is>
      </c>
      <c r="H37" s="1643" t="n"/>
      <c r="I37" s="1644" t="inlineStr">
        <is>
          <t xml:space="preserve">Mariam Rashed Alnuaimi </t>
        </is>
      </c>
      <c r="N37" s="1641" t="n"/>
      <c r="O37" s="1639" t="n"/>
      <c r="P37" s="1639" t="n"/>
    </row>
    <row r="38" ht="28.5" customHeight="1" s="1158">
      <c r="A38" s="1631" t="n"/>
      <c r="B38" s="1639" t="n"/>
      <c r="C38" s="1639" t="n"/>
      <c r="D38" s="1639" t="n"/>
      <c r="E38" s="1639" t="n"/>
      <c r="F38" s="1639" t="n"/>
      <c r="G38" s="1642" t="n"/>
      <c r="H38" s="1643" t="n"/>
      <c r="I38" s="1644" t="n"/>
      <c r="J38" s="1644" t="n"/>
      <c r="K38" s="1644" t="n"/>
      <c r="L38" s="1644" t="n"/>
      <c r="M38" s="1644" t="n"/>
      <c r="N38" s="1641" t="n"/>
      <c r="O38" s="1639" t="n"/>
      <c r="P38" s="1639" t="n"/>
    </row>
    <row r="39" ht="28.5" customHeight="1" s="1158">
      <c r="A39" s="1631" t="n"/>
      <c r="B39" s="1639" t="n"/>
      <c r="C39" s="1639" t="n"/>
      <c r="D39" s="1639" t="n"/>
      <c r="E39" s="1639" t="n"/>
      <c r="F39" s="1639" t="n"/>
      <c r="G39" s="1642" t="inlineStr">
        <is>
          <t>DRILLING SUPERVISOR:</t>
        </is>
      </c>
      <c r="H39" s="1643" t="n"/>
      <c r="I39" s="1644">
        <f>'Master Data'!B4</f>
        <v/>
      </c>
      <c r="N39" s="1641" t="n"/>
      <c r="O39" s="1639" t="n"/>
      <c r="P39" s="1639" t="n"/>
    </row>
    <row r="40" ht="28.5" customHeight="1" s="1158">
      <c r="A40" s="1631" t="n"/>
      <c r="B40" s="1639" t="n"/>
      <c r="C40" s="1639" t="n"/>
      <c r="D40" s="1639" t="n"/>
      <c r="E40" s="1639" t="n"/>
      <c r="F40" s="1639" t="n"/>
      <c r="G40" s="1648" t="n"/>
      <c r="H40" s="1643" t="n"/>
      <c r="I40" s="1644" t="n"/>
      <c r="J40" s="1644" t="n"/>
      <c r="K40" s="1644" t="n"/>
      <c r="L40" s="1644" t="n"/>
      <c r="M40" s="1644" t="n"/>
      <c r="N40" s="1641" t="n"/>
      <c r="O40" s="1639" t="n"/>
      <c r="P40" s="1639" t="n"/>
    </row>
    <row r="41" ht="28.5" customHeight="1" s="1158">
      <c r="A41" s="1631" t="n"/>
      <c r="B41" s="1639" t="n"/>
      <c r="C41" s="1639" t="n"/>
      <c r="D41" s="1649" t="n"/>
      <c r="E41" s="1639" t="n"/>
      <c r="F41" s="1639" t="n"/>
      <c r="G41" s="1642" t="inlineStr">
        <is>
          <t>WEATHERFORD ENGINEER:</t>
        </is>
      </c>
      <c r="H41" s="1643" t="n"/>
      <c r="I41" s="1644" t="inlineStr">
        <is>
          <t xml:space="preserve">MAHMOUD ALI </t>
        </is>
      </c>
      <c r="N41" s="1641" t="n"/>
      <c r="O41" s="1639" t="n"/>
      <c r="P41" s="1639" t="n"/>
    </row>
    <row r="42" ht="28.5" customHeight="1" s="1158">
      <c r="A42" s="1631" t="n"/>
      <c r="B42" s="1650" t="n"/>
      <c r="C42" s="1639" t="n"/>
      <c r="D42" s="1639" t="n"/>
      <c r="E42" s="1639" t="n"/>
      <c r="F42" s="1639" t="n"/>
      <c r="G42" s="1651" t="n"/>
      <c r="H42" s="1651" t="n"/>
      <c r="I42" s="1652" t="n"/>
      <c r="J42" s="1653" t="n"/>
      <c r="K42" s="1653" t="n"/>
      <c r="L42" s="1653" t="n"/>
      <c r="M42" s="1653" t="n"/>
      <c r="N42" s="1641" t="n"/>
      <c r="O42" s="1639" t="n"/>
      <c r="P42" s="1639" t="n"/>
    </row>
    <row r="43" ht="28.5" customHeight="1" s="1158">
      <c r="A43" s="1631" t="n"/>
      <c r="B43" s="1650" t="n"/>
      <c r="C43" s="1639" t="n"/>
      <c r="D43" s="1639" t="n"/>
      <c r="E43" s="1639" t="n"/>
      <c r="F43" s="1639" t="n"/>
      <c r="G43" s="1642" t="inlineStr">
        <is>
          <t>COMPLETION CODE:</t>
        </is>
      </c>
      <c r="H43" s="1643" t="n"/>
      <c r="I43" s="1654" t="inlineStr">
        <is>
          <t xml:space="preserve">OP307/28CBB30 
</t>
        </is>
      </c>
      <c r="J43" s="1319" t="n"/>
      <c r="K43" s="1319" t="n"/>
      <c r="L43" s="1319" t="n"/>
      <c r="M43" s="1319" t="n"/>
      <c r="N43" s="1319" t="n"/>
      <c r="O43" s="1319" t="n"/>
      <c r="P43" s="1323" t="n"/>
    </row>
    <row r="44" ht="17.35" customHeight="1" s="1158">
      <c r="A44" s="1631" t="n"/>
      <c r="B44" s="1650" t="n"/>
      <c r="C44" s="1639" t="n"/>
      <c r="D44" s="1639" t="n"/>
      <c r="E44" s="1653" t="n"/>
      <c r="F44" s="1653" t="n"/>
      <c r="G44" s="1653" t="n"/>
      <c r="H44" s="1653" t="n"/>
      <c r="I44" s="1382" t="n"/>
      <c r="J44" s="1330" t="n"/>
      <c r="K44" s="1330" t="n"/>
      <c r="L44" s="1330" t="n"/>
      <c r="M44" s="1330" t="n"/>
      <c r="N44" s="1330" t="n"/>
      <c r="O44" s="1330" t="n"/>
      <c r="P44" s="1332" t="n"/>
    </row>
    <row r="45" ht="17.35" customHeight="1" s="1158">
      <c r="A45" s="1631" t="n"/>
      <c r="B45" s="1650" t="n"/>
      <c r="C45" s="1639" t="n"/>
      <c r="D45" s="1639" t="n"/>
      <c r="E45" s="1653" t="n"/>
      <c r="F45" s="1653" t="n"/>
      <c r="G45" s="1653" t="n"/>
      <c r="H45" s="1653" t="n"/>
      <c r="I45" s="1653" t="n"/>
      <c r="J45" s="1653" t="n"/>
      <c r="K45" s="1653" t="n"/>
      <c r="L45" s="1653" t="n"/>
      <c r="M45" s="1653" t="n"/>
      <c r="N45" s="1641" t="n"/>
      <c r="O45" s="1639" t="n"/>
      <c r="P45" s="1639" t="n"/>
    </row>
    <row r="46" ht="12.75" customHeight="1" s="1158">
      <c r="A46" s="1655" t="n"/>
      <c r="B46" s="1656" t="n"/>
      <c r="C46" s="1657" t="n"/>
      <c r="D46" s="1657" t="n"/>
      <c r="E46" s="1657" t="n"/>
      <c r="F46" s="1657" t="n"/>
      <c r="G46" s="1657" t="n"/>
      <c r="H46" s="1657" t="n"/>
      <c r="I46" s="1657" t="n"/>
      <c r="J46" s="1657" t="n"/>
      <c r="K46" s="1657" t="n"/>
      <c r="L46" s="1657" t="n"/>
      <c r="M46" s="1657" t="n"/>
      <c r="N46" s="1658"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65" colorId="64" zoomScale="40" zoomScaleNormal="55" zoomScalePageLayoutView="40" workbookViewId="0">
      <selection pane="topLeft" activeCell="D167" activeCellId="1" sqref="A11:S58 D167"/>
    </sheetView>
  </sheetViews>
  <sheetFormatPr baseColWidth="8" defaultColWidth="8.78125" defaultRowHeight="12.75" customHeight="0" zeroHeight="0" outlineLevelRow="0"/>
  <cols>
    <col width="29.33" customWidth="1" style="1659" min="1" max="1"/>
    <col width="78.22" customWidth="1" style="1660" min="2" max="2"/>
    <col width="20.22" customWidth="1" style="1659" min="3" max="3"/>
    <col width="27.11" customWidth="1" style="1661" min="4" max="4"/>
    <col width="26.67" customWidth="1" style="1661" min="5" max="5"/>
    <col width="33.22" customWidth="1" style="1661" min="6" max="6"/>
    <col width="33.44" customWidth="1" style="1661" min="7" max="7"/>
    <col width="35.78" customWidth="1" style="1661" min="8" max="8"/>
    <col width="18.78" customWidth="1" style="1661" min="9" max="9"/>
    <col width="19.67" customWidth="1" style="1661" min="10" max="10"/>
    <col width="6.67" customWidth="1" style="1661" min="11" max="11"/>
    <col hidden="1" width="8.779999999999999" customWidth="1" style="1661" min="12" max="13"/>
    <col hidden="1" width="10.16" customWidth="1" style="1661" min="14" max="14"/>
    <col width="47.45" customWidth="1" style="1661" min="15" max="15"/>
    <col width="17.66" customWidth="1" style="1661" min="16" max="16"/>
    <col width="8.779999999999999" customWidth="1" style="1661" min="17" max="16384"/>
  </cols>
  <sheetData>
    <row r="1" ht="39.75" customHeight="1" s="1158">
      <c r="A1" s="1662" t="n"/>
      <c r="B1" s="1663" t="inlineStr">
        <is>
          <t>1 of 1</t>
        </is>
      </c>
      <c r="C1" s="1664" t="inlineStr">
        <is>
          <t xml:space="preserve">Completion Runninng Tally </t>
        </is>
      </c>
      <c r="D1" s="1239" t="n"/>
      <c r="E1" s="1239" t="n"/>
      <c r="F1" s="1239" t="n"/>
      <c r="G1" s="1166" t="n"/>
      <c r="H1" s="1665" t="n"/>
      <c r="I1" s="1666" t="n"/>
    </row>
    <row r="2" ht="39.75" customHeight="1" s="1158">
      <c r="A2" s="1667" t="n"/>
      <c r="B2" s="1663" t="n"/>
      <c r="C2" s="1667" t="inlineStr">
        <is>
          <t>CLASSIFICATION</t>
        </is>
      </c>
      <c r="D2" s="1668" t="inlineStr">
        <is>
          <t>DOCUMENT LEVEL</t>
        </is>
      </c>
      <c r="E2" s="1669" t="inlineStr">
        <is>
          <t>REVISION NUMBER</t>
        </is>
      </c>
      <c r="F2" s="1669" t="inlineStr">
        <is>
          <t>ISSUE DATE</t>
        </is>
      </c>
      <c r="G2" s="1669" t="inlineStr">
        <is>
          <t>PREPARED BY</t>
        </is>
      </c>
      <c r="H2" s="1670" t="inlineStr">
        <is>
          <t>APPROVAL</t>
        </is>
      </c>
      <c r="I2" s="1666" t="n"/>
    </row>
    <row r="3" ht="39.75" customHeight="1" s="1158">
      <c r="A3" s="1671" t="inlineStr">
        <is>
          <t>AE- COMP -OEPS-L4-090</t>
        </is>
      </c>
      <c r="B3" s="1663" t="n"/>
      <c r="C3" s="1662" t="inlineStr">
        <is>
          <t>CONTROLLED</t>
        </is>
      </c>
      <c r="D3" s="1672" t="inlineStr">
        <is>
          <t>L5</t>
        </is>
      </c>
      <c r="E3" s="1673" t="inlineStr">
        <is>
          <t>FINAL</t>
        </is>
      </c>
      <c r="F3" s="1674" t="n">
        <v>43382</v>
      </c>
      <c r="G3" s="1673" t="inlineStr">
        <is>
          <t>WCT UAE</t>
        </is>
      </c>
      <c r="H3" s="1675" t="inlineStr">
        <is>
          <t>WCT TWIC</t>
        </is>
      </c>
      <c r="I3" s="1666" t="n"/>
      <c r="K3" s="1676" t="n"/>
    </row>
    <row r="4" ht="39.75" customHeight="1" s="1158">
      <c r="A4" s="1677" t="n"/>
      <c r="B4" s="1246" t="n"/>
      <c r="C4" s="1246" t="n"/>
      <c r="D4" s="1246" t="n"/>
      <c r="E4" s="1246" t="n"/>
      <c r="F4" s="1246" t="n"/>
      <c r="G4" s="1246" t="n"/>
      <c r="H4" s="1289" t="n"/>
      <c r="I4" s="1678" t="n"/>
      <c r="O4" s="1679" t="n"/>
    </row>
    <row r="5" ht="97.5" customHeight="1" s="1158">
      <c r="A5" s="1680" t="inlineStr">
        <is>
          <t xml:space="preserve">Customer </t>
        </is>
      </c>
      <c r="B5" s="1681">
        <f>_xlfn.CONCAT('MS2'!C2:D2)</f>
        <v/>
      </c>
      <c r="C5" s="1680" t="inlineStr">
        <is>
          <t xml:space="preserve">Start Date </t>
        </is>
      </c>
      <c r="D5" s="1682">
        <f t="array" ref="D5:D5">_xlfn.CONCAT('MS2'!C4:D4+2)</f>
        <v/>
      </c>
      <c r="E5" s="1683" t="inlineStr">
        <is>
          <t xml:space="preserve">Completion Type </t>
        </is>
      </c>
      <c r="F5" s="1684" t="inlineStr">
        <is>
          <t>3-1/2" Single Oil Producer, Alloy-28 Tubing, 3-1/2" TRSV,Packer, W/
Gas Lift, W/ Actuated Wellhead, Y-Shape</t>
        </is>
      </c>
      <c r="G5" s="1683" t="inlineStr">
        <is>
          <t>Co.man Representative</t>
        </is>
      </c>
      <c r="H5" s="1685">
        <f>'Master Data'!B4</f>
        <v/>
      </c>
      <c r="I5" s="1678" t="n"/>
    </row>
    <row r="6" ht="39.75" customHeight="1" s="1158">
      <c r="A6" s="1680" t="inlineStr">
        <is>
          <t xml:space="preserve">Rig Name </t>
        </is>
      </c>
      <c r="B6" s="1681">
        <f>'MS2'!I8</f>
        <v/>
      </c>
      <c r="C6" s="1680" t="inlineStr">
        <is>
          <t xml:space="preserve">Field Name </t>
        </is>
      </c>
      <c r="D6" s="1686" t="inlineStr">
        <is>
          <t>BAB</t>
        </is>
      </c>
      <c r="E6" s="1680" t="inlineStr">
        <is>
          <t>Rig Type</t>
        </is>
      </c>
      <c r="F6" s="1687" t="inlineStr">
        <is>
          <t>LAND RIG</t>
        </is>
      </c>
      <c r="G6" s="1688" t="inlineStr">
        <is>
          <t xml:space="preserve">ADNOC Eng. </t>
        </is>
      </c>
      <c r="H6" s="1689" t="inlineStr">
        <is>
          <t xml:space="preserve">Mariam Rashed Alnuaimi </t>
        </is>
      </c>
      <c r="I6" s="1678" t="n"/>
      <c r="O6" s="1690" t="n"/>
      <c r="P6" s="1690" t="n"/>
    </row>
    <row r="7" ht="39.75" customHeight="1" s="1158">
      <c r="A7" s="1680" t="inlineStr">
        <is>
          <t xml:space="preserve">Well Name </t>
        </is>
      </c>
      <c r="B7" s="1681">
        <f>'MS2'!I9</f>
        <v/>
      </c>
      <c r="C7" s="1680" t="inlineStr">
        <is>
          <t xml:space="preserve">Rig Location </t>
        </is>
      </c>
      <c r="D7" s="1691" t="inlineStr">
        <is>
          <t>ABU DHABI</t>
        </is>
      </c>
      <c r="E7" s="1692" t="inlineStr">
        <is>
          <t xml:space="preserve">Drilling Enginner </t>
        </is>
      </c>
      <c r="F7" s="1693" t="n"/>
      <c r="G7" s="1694" t="inlineStr">
        <is>
          <t xml:space="preserve">WFD Eng. </t>
        </is>
      </c>
      <c r="H7" s="1695">
        <f t="array" ref="H7:K7">'MS2'!F6:I6</f>
        <v/>
      </c>
      <c r="I7" s="1696" t="n">
        <v>0</v>
      </c>
      <c r="J7" s="1661" t="n">
        <v>0</v>
      </c>
      <c r="K7" s="1661" t="n">
        <v>0</v>
      </c>
      <c r="O7" s="1690" t="n"/>
      <c r="P7" s="1690" t="n"/>
    </row>
    <row r="8" ht="39.75" customFormat="1" customHeight="1" s="1697">
      <c r="A8" s="1698" t="inlineStr">
        <is>
          <t>Top Of Packr</t>
        </is>
      </c>
      <c r="B8" s="1699">
        <f>G175</f>
        <v/>
      </c>
      <c r="C8" s="1700" t="n"/>
      <c r="D8" s="1701" t="n"/>
      <c r="E8" s="1702" t="n"/>
      <c r="F8" s="1701" t="n"/>
      <c r="G8" s="1703" t="n"/>
      <c r="H8" s="1704" t="n"/>
      <c r="O8" s="1705" t="n"/>
      <c r="P8" s="1705" t="n"/>
    </row>
    <row r="9" ht="39.75" customHeight="1" s="1158">
      <c r="A9" s="1698" t="inlineStr">
        <is>
          <t>Top Of Packr to Top of Element</t>
        </is>
      </c>
      <c r="B9" s="1706">
        <f>B8+2.75</f>
        <v/>
      </c>
      <c r="C9" s="1707" t="inlineStr">
        <is>
          <t>TOP DRIVE Wt.</t>
        </is>
      </c>
      <c r="D9" s="1708" t="inlineStr">
        <is>
          <t>5,000 LBS</t>
        </is>
      </c>
      <c r="E9" s="1709" t="inlineStr">
        <is>
          <t xml:space="preserve">PUW </t>
        </is>
      </c>
      <c r="F9" s="1710" t="n"/>
      <c r="G9" s="1711" t="inlineStr">
        <is>
          <t xml:space="preserve">Tubing Size, Weight, Grade </t>
        </is>
      </c>
      <c r="H9" s="1712" t="inlineStr">
        <is>
          <t>3-1/2" TUBING 9.2 LB/FT ALLOY 28 TSH BL</t>
        </is>
      </c>
      <c r="O9" s="1713" t="n"/>
      <c r="P9" s="1690" t="n"/>
    </row>
    <row r="10" ht="39.75" customHeight="1" s="1158">
      <c r="A10" s="1698" t="inlineStr">
        <is>
          <t>Top of Packr to Top of CTR</t>
        </is>
      </c>
      <c r="B10" s="1714">
        <f>B9+5.98</f>
        <v/>
      </c>
      <c r="C10" s="1707" t="inlineStr">
        <is>
          <t>7" CASING COLLAR</t>
        </is>
      </c>
      <c r="D10" s="1715" t="inlineStr">
        <is>
          <t>6863.71' -6906.28'</t>
        </is>
      </c>
      <c r="E10" s="1707" t="inlineStr">
        <is>
          <t>SOW</t>
        </is>
      </c>
      <c r="F10" s="1716" t="n"/>
      <c r="G10" s="1717" t="inlineStr">
        <is>
          <t xml:space="preserve">Tubing Connection </t>
        </is>
      </c>
      <c r="H10" s="1718" t="inlineStr">
        <is>
          <t xml:space="preserve">TSH BLUE </t>
        </is>
      </c>
      <c r="I10" s="1679" t="n"/>
      <c r="O10" s="1713" t="n"/>
      <c r="P10" s="1690" t="n"/>
    </row>
    <row r="11" ht="39.75" customHeight="1" s="1158">
      <c r="A11" s="1719" t="inlineStr">
        <is>
          <t>length of CTR Target</t>
        </is>
      </c>
      <c r="B11" s="1720">
        <f>B10+2</f>
        <v/>
      </c>
      <c r="C11" s="1721" t="inlineStr">
        <is>
          <t>Packer Away From Collar</t>
        </is>
      </c>
      <c r="D11" s="1194" t="n"/>
      <c r="E11" s="1722">
        <f>I2-B9</f>
        <v/>
      </c>
      <c r="F11" s="1723" t="n"/>
      <c r="G11" s="1724" t="inlineStr">
        <is>
          <t>M/UP LOSS</t>
        </is>
      </c>
      <c r="H11" s="1725" t="n">
        <v>0.301</v>
      </c>
      <c r="I11" s="1726" t="n"/>
      <c r="O11" s="1678" t="n"/>
    </row>
    <row r="12" ht="39.75" customHeight="1" s="1158">
      <c r="A12" s="1719" t="inlineStr">
        <is>
          <t>Top of Packer to PIP Tag</t>
        </is>
      </c>
      <c r="B12" s="1720">
        <f>B8+8.68</f>
        <v/>
      </c>
      <c r="C12" s="1727" t="n"/>
      <c r="D12" s="1728" t="n"/>
      <c r="E12" s="1728" t="n"/>
      <c r="F12" s="1728" t="n"/>
      <c r="G12" s="1724" t="inlineStr">
        <is>
          <t>3 1/2" V.TOP 9.2 ,L80</t>
        </is>
      </c>
      <c r="H12" s="1725" t="inlineStr">
        <is>
          <t xml:space="preserve">3 1/2" V.TOP 9.2 ,L80 TUBING </t>
        </is>
      </c>
      <c r="O12" s="1678" t="n"/>
    </row>
    <row r="13" ht="72.75" customFormat="1" customHeight="1" s="1729">
      <c r="A13" s="1730" t="inlineStr">
        <is>
          <t xml:space="preserve">Run No </t>
        </is>
      </c>
      <c r="B13" s="1730" t="inlineStr">
        <is>
          <t>Description</t>
        </is>
      </c>
      <c r="C13" s="1730" t="inlineStr">
        <is>
          <t>Item Length [ft]</t>
        </is>
      </c>
      <c r="D13" s="1731" t="inlineStr">
        <is>
          <t>Net Length [ft]</t>
        </is>
      </c>
      <c r="E13" s="1732" t="inlineStr">
        <is>
          <t>Cum Length [ft]</t>
        </is>
      </c>
      <c r="F13" s="1732" t="inlineStr">
        <is>
          <t>Bottom Depth [ft]</t>
        </is>
      </c>
      <c r="G13" s="1732" t="inlineStr">
        <is>
          <t>Top Depth [ft]</t>
        </is>
      </c>
      <c r="H13" s="1733" t="inlineStr">
        <is>
          <t xml:space="preserve">Assembly number and equipment details </t>
        </is>
      </c>
      <c r="I13" s="1734" t="n"/>
    </row>
    <row r="14" ht="123" customFormat="1" customHeight="1" s="1735">
      <c r="A14" s="1736" t="inlineStr">
        <is>
          <t>A</t>
        </is>
      </c>
      <c r="B14" s="1737" t="inlineStr">
        <is>
          <t>UPPER CONN. 3-1/2" VAM TOP 9.2#PPF BOX VM 28 110 KSI
DESCRIPTION: WIRELINE ENTRY GUIDE
SN: 16339547-10-008
PN 2996481
SAP: 130010036277
SUPPLIER: WEATHERFORD</t>
        </is>
      </c>
      <c r="C14" s="1738" t="n">
        <v>0.6</v>
      </c>
      <c r="D14" s="1739">
        <f>C14</f>
        <v/>
      </c>
      <c r="E14" s="1740">
        <f>D14</f>
        <v/>
      </c>
      <c r="F14" s="1741" t="n">
        <v>11538.89</v>
      </c>
      <c r="G14" s="1741">
        <f>F14-D14</f>
        <v/>
      </c>
      <c r="H14" s="1742">
        <f>F423</f>
        <v/>
      </c>
      <c r="I14" s="1743" t="n"/>
      <c r="J14" s="1744" t="n"/>
      <c r="K14" s="1297" t="n"/>
      <c r="L14" s="1297" t="n"/>
      <c r="O14" s="1745" t="n"/>
    </row>
    <row r="15" ht="132" customFormat="1" customHeight="1" s="1735">
      <c r="A15" s="1440" t="n"/>
      <c r="B15" s="1737" t="inlineStr">
        <is>
          <t>UPPER CONN. 3-1/2" TSH BLUE BOX 9.2 PPF SN 28 110 KSI
DESCRIPTION: 5 FEET XOVER
SAP: 130005011340
SUPPLIER: TENARIS
LOWER CONN. 3-1/2" VAM TOP PIN 9.2 PPF SN 28 110 KSI</t>
        </is>
      </c>
      <c r="C15" s="1738" t="n">
        <v>4.96</v>
      </c>
      <c r="D15" s="1746">
        <f>C15</f>
        <v/>
      </c>
      <c r="E15" s="1747">
        <f>E14+D15</f>
        <v/>
      </c>
      <c r="F15" s="1747">
        <f>F14-D14</f>
        <v/>
      </c>
      <c r="G15" s="1748">
        <f>G14-D15</f>
        <v/>
      </c>
      <c r="H15" s="1749">
        <f>F14-H14</f>
        <v/>
      </c>
      <c r="I15" s="1750" t="n"/>
      <c r="J15" s="1744" t="n"/>
      <c r="K15" s="1751" t="n"/>
      <c r="L15" s="1751" t="n"/>
      <c r="O15" s="1752" t="n"/>
      <c r="P15" s="1753" t="n"/>
      <c r="Q15" s="1753" t="n"/>
      <c r="R15" s="1753" t="n"/>
      <c r="S15" s="1753" t="n"/>
      <c r="T15" s="1753" t="n"/>
    </row>
    <row r="16" ht="39" customFormat="1" customHeight="1" s="1735">
      <c r="A16" s="1754" t="inlineStr">
        <is>
          <t>JT.#1</t>
        </is>
      </c>
      <c r="B16" s="1754" t="inlineStr">
        <is>
          <t>3 1/2" TSH</t>
        </is>
      </c>
      <c r="C16" s="1755" t="n">
        <v>31</v>
      </c>
      <c r="D16" s="1756">
        <f>C16-0.301</f>
        <v/>
      </c>
      <c r="E16" s="1747">
        <f>E15+D16</f>
        <v/>
      </c>
      <c r="F16" s="1747">
        <f>F15-D15</f>
        <v/>
      </c>
      <c r="G16" s="1748">
        <f>G15-D16</f>
        <v/>
      </c>
      <c r="H16" s="1757" t="n"/>
      <c r="O16" s="1752" t="n"/>
      <c r="P16" s="1753" t="n"/>
      <c r="Q16" s="1753" t="n"/>
      <c r="R16" s="1753" t="n"/>
      <c r="S16" s="1753" t="n"/>
      <c r="T16" s="1753" t="n"/>
    </row>
    <row r="17" ht="39.75" customFormat="1" customHeight="1" s="1735">
      <c r="A17" s="1754" t="inlineStr">
        <is>
          <t>JT.#2</t>
        </is>
      </c>
      <c r="B17" s="1754" t="inlineStr">
        <is>
          <t>3 1/2" TSH</t>
        </is>
      </c>
      <c r="C17" s="1755" t="n">
        <v>31</v>
      </c>
      <c r="D17" s="1756">
        <f>C17-0.301</f>
        <v/>
      </c>
      <c r="E17" s="1747">
        <f>E16+D17</f>
        <v/>
      </c>
      <c r="F17" s="1747">
        <f>F16-D16</f>
        <v/>
      </c>
      <c r="G17" s="1748">
        <f>G16-D17</f>
        <v/>
      </c>
      <c r="H17" s="1758" t="n"/>
      <c r="O17" s="1752" t="n"/>
      <c r="P17" s="1753" t="n"/>
      <c r="Q17" s="1753" t="n"/>
      <c r="R17" s="1753" t="n"/>
      <c r="S17" s="1753" t="n"/>
      <c r="T17" s="1753" t="n"/>
    </row>
    <row r="18" ht="39.75" customFormat="1" customHeight="1" s="1735">
      <c r="A18" s="1754" t="inlineStr">
        <is>
          <t>JT.#3</t>
        </is>
      </c>
      <c r="B18" s="1754" t="inlineStr">
        <is>
          <t>3 1/2" TSH</t>
        </is>
      </c>
      <c r="C18" s="1755" t="n">
        <v>31</v>
      </c>
      <c r="D18" s="1756">
        <f>C18-0.301</f>
        <v/>
      </c>
      <c r="E18" s="1747">
        <f>E17+D18</f>
        <v/>
      </c>
      <c r="F18" s="1747">
        <f>F17-D17</f>
        <v/>
      </c>
      <c r="G18" s="1748">
        <f>G17-D18</f>
        <v/>
      </c>
      <c r="H18" s="1757" t="n"/>
      <c r="I18" s="1759" t="n"/>
      <c r="O18" s="1752" t="n"/>
      <c r="P18" s="1753" t="n"/>
      <c r="Q18" s="1753" t="n"/>
      <c r="R18" s="1753" t="n"/>
      <c r="S18" s="1753" t="n"/>
      <c r="T18" s="1753" t="n"/>
    </row>
    <row r="19" ht="39.75" customFormat="1" customHeight="1" s="1735">
      <c r="A19" s="1754" t="inlineStr">
        <is>
          <t>JT.#4</t>
        </is>
      </c>
      <c r="B19" s="1754" t="inlineStr">
        <is>
          <t>3 1/2" TSH</t>
        </is>
      </c>
      <c r="C19" s="1755" t="n">
        <v>31</v>
      </c>
      <c r="D19" s="1756">
        <f>C19-0.301</f>
        <v/>
      </c>
      <c r="E19" s="1747">
        <f>E18+D19</f>
        <v/>
      </c>
      <c r="F19" s="1747">
        <f>F18-D18</f>
        <v/>
      </c>
      <c r="G19" s="1748">
        <f>G18-D19</f>
        <v/>
      </c>
      <c r="H19" s="1758" t="n"/>
      <c r="O19" s="1752" t="n"/>
      <c r="P19" s="1753" t="n"/>
      <c r="Q19" s="1753" t="n"/>
      <c r="R19" s="1753" t="n"/>
      <c r="S19" s="1753" t="n"/>
      <c r="T19" s="1753" t="n"/>
    </row>
    <row r="20" ht="39.75" customFormat="1" customHeight="1" s="1735">
      <c r="A20" s="1754" t="inlineStr">
        <is>
          <t>JT.#5</t>
        </is>
      </c>
      <c r="B20" s="1754" t="inlineStr">
        <is>
          <t>3 1/2" TSH</t>
        </is>
      </c>
      <c r="C20" s="1755" t="n">
        <v>31</v>
      </c>
      <c r="D20" s="1756">
        <f>C20-0.301</f>
        <v/>
      </c>
      <c r="E20" s="1747">
        <f>E19+D20</f>
        <v/>
      </c>
      <c r="F20" s="1747">
        <f>F19-D19</f>
        <v/>
      </c>
      <c r="G20" s="1748">
        <f>G19-D20</f>
        <v/>
      </c>
      <c r="H20" s="1760" t="n"/>
      <c r="I20" s="1761" t="n"/>
      <c r="K20" s="1762" t="n"/>
      <c r="O20" s="1752" t="n"/>
      <c r="P20" s="1753" t="n"/>
      <c r="Q20" s="1753" t="n"/>
      <c r="R20" s="1753" t="n"/>
      <c r="S20" s="1753" t="n"/>
      <c r="T20" s="1753" t="n"/>
    </row>
    <row r="21" ht="39.75" customFormat="1" customHeight="1" s="1735">
      <c r="A21" s="1763" t="inlineStr">
        <is>
          <t>SP-01</t>
        </is>
      </c>
      <c r="B21" s="1764" t="inlineStr">
        <is>
          <t>UPPER CONN. 3-1/2" VAM TOP BOX 9.2 PPF SN 28 110 KSI
DESCRIPTION: 5 FEET XOVER
SAP: 130005011340
SUPPLIER: TENARIS
UPPER CONN. 3-1/2" TSH BLUE PIN 9.2 PPF SN 28 110 KSI</t>
        </is>
      </c>
      <c r="C21" s="1765" t="n">
        <v>5.18</v>
      </c>
      <c r="D21" s="1756">
        <f>C21-0.301</f>
        <v/>
      </c>
      <c r="E21" s="1747">
        <f>E20+D21</f>
        <v/>
      </c>
      <c r="F21" s="1747">
        <f>F20-D20</f>
        <v/>
      </c>
      <c r="G21" s="1748">
        <f>G20-D21</f>
        <v/>
      </c>
      <c r="H21" s="1760" t="n"/>
      <c r="I21" s="1761" t="n"/>
      <c r="K21" s="1762" t="n"/>
      <c r="O21" s="1752" t="n"/>
      <c r="P21" s="1753" t="n"/>
      <c r="Q21" s="1753" t="n"/>
      <c r="R21" s="1753" t="n"/>
      <c r="S21" s="1753" t="n"/>
      <c r="T21" s="1753" t="n"/>
    </row>
    <row r="22" ht="39.75" customFormat="1" customHeight="1" s="1735">
      <c r="A22" s="1766" t="n"/>
      <c r="B22" s="1764" t="inlineStr">
        <is>
          <t>UPPER CONN.
3-1/2 9.2 PPF, 110KSI VAM TOP BOX
DESCRIPTION:
PCKR, SWEL,6,3-1/2,A925, OIL
P/N: 2991712
S/N: RDT-UAE-1003629
SAP: 130010039426
SUPPLIER: WFD-REACTIVE
LOWER CONN.</t>
        </is>
      </c>
      <c r="C22" s="1765" t="n">
        <v>30.88</v>
      </c>
      <c r="D22" s="1756">
        <f>C22-0.301</f>
        <v/>
      </c>
      <c r="E22" s="1747">
        <f>E21+D22</f>
        <v/>
      </c>
      <c r="F22" s="1747">
        <f>F21-D21</f>
        <v/>
      </c>
      <c r="G22" s="1748">
        <f>G21-D22</f>
        <v/>
      </c>
      <c r="H22" s="1760" t="n"/>
      <c r="I22" s="1761" t="n"/>
      <c r="K22" s="1762" t="n"/>
      <c r="O22" s="1752" t="n"/>
      <c r="P22" s="1753" t="n"/>
      <c r="Q22" s="1753" t="n"/>
      <c r="R22" s="1753" t="n"/>
      <c r="S22" s="1753" t="n"/>
      <c r="T22" s="1753" t="n"/>
    </row>
    <row r="23" ht="39.75" customFormat="1" customHeight="1" s="1735">
      <c r="A23" s="1440" t="n"/>
      <c r="B23" s="1764" t="inlineStr">
        <is>
          <t>UPPER CONN . 3-1/2" TSH BLUE BOX 9.2 PPF SN 28 110 KSI
DESCRIPTION: 3 FEET XOVER
SAP: 130005011337
SUPPLIER: TENARIS
LOWER CONN. 3-1/2" VAM TOP PIN 9.2 PPF SN 28 110 KSI</t>
        </is>
      </c>
      <c r="C23" s="1765" t="n">
        <v>2.78</v>
      </c>
      <c r="D23" s="1756">
        <f>C23-0.301</f>
        <v/>
      </c>
      <c r="E23" s="1747">
        <f>E22+D23</f>
        <v/>
      </c>
      <c r="F23" s="1747">
        <f>F22-D22</f>
        <v/>
      </c>
      <c r="G23" s="1748">
        <f>G22-D23</f>
        <v/>
      </c>
      <c r="H23" s="1760" t="n"/>
      <c r="I23" s="1761" t="n"/>
      <c r="K23" s="1762" t="n"/>
      <c r="O23" s="1752" t="n"/>
      <c r="P23" s="1753" t="n"/>
      <c r="Q23" s="1753" t="n"/>
      <c r="R23" s="1753" t="n"/>
      <c r="S23" s="1753" t="n"/>
      <c r="T23" s="1753" t="n"/>
    </row>
    <row r="24" ht="39.75" customFormat="1" customHeight="1" s="1735">
      <c r="A24" s="1754" t="inlineStr">
        <is>
          <t>JT.#6</t>
        </is>
      </c>
      <c r="B24" s="1754" t="inlineStr">
        <is>
          <t>3 1/2" TSH</t>
        </is>
      </c>
      <c r="C24" s="1755" t="n">
        <v>31</v>
      </c>
      <c r="D24" s="1756">
        <f>C24-0.301</f>
        <v/>
      </c>
      <c r="E24" s="1747">
        <f>E23+D24</f>
        <v/>
      </c>
      <c r="F24" s="1747">
        <f>F23-D23</f>
        <v/>
      </c>
      <c r="G24" s="1748">
        <f>G23-D24</f>
        <v/>
      </c>
      <c r="H24" s="1757" t="n"/>
      <c r="O24" s="1752" t="n"/>
      <c r="P24" s="1753" t="n"/>
      <c r="Q24" s="1753" t="n"/>
      <c r="R24" s="1753" t="n"/>
      <c r="S24" s="1753" t="n"/>
      <c r="T24" s="1753" t="n"/>
    </row>
    <row r="25" ht="39.75" customFormat="1" customHeight="1" s="1735">
      <c r="A25" s="1754" t="inlineStr">
        <is>
          <t>JT.#7</t>
        </is>
      </c>
      <c r="B25" s="1754" t="inlineStr">
        <is>
          <t>3 1/2" TSH</t>
        </is>
      </c>
      <c r="C25" s="1755" t="n">
        <v>31</v>
      </c>
      <c r="D25" s="1756">
        <f>C25-0.301</f>
        <v/>
      </c>
      <c r="E25" s="1747">
        <f>E24+D25</f>
        <v/>
      </c>
      <c r="F25" s="1747">
        <f>F24-D24</f>
        <v/>
      </c>
      <c r="G25" s="1748">
        <f>G24-D25</f>
        <v/>
      </c>
      <c r="H25" s="1757" t="n"/>
      <c r="O25" s="1752" t="n"/>
      <c r="P25" s="1753" t="n"/>
      <c r="Q25" s="1753" t="n"/>
      <c r="R25" s="1753" t="n"/>
      <c r="S25" s="1753" t="n"/>
      <c r="T25" s="1753" t="n"/>
    </row>
    <row r="26" ht="39.75" customFormat="1" customHeight="1" s="1735">
      <c r="A26" s="1754" t="inlineStr">
        <is>
          <t>JT.#8</t>
        </is>
      </c>
      <c r="B26" s="1754" t="inlineStr">
        <is>
          <t>3 1/2" TSH</t>
        </is>
      </c>
      <c r="C26" s="1755" t="n">
        <v>31</v>
      </c>
      <c r="D26" s="1756">
        <f>C26-0.301</f>
        <v/>
      </c>
      <c r="E26" s="1747">
        <f>E25+D26</f>
        <v/>
      </c>
      <c r="F26" s="1747">
        <f>F25-D25</f>
        <v/>
      </c>
      <c r="G26" s="1748">
        <f>G25-D26</f>
        <v/>
      </c>
      <c r="H26" s="1757" t="n"/>
      <c r="O26" s="1752" t="n"/>
      <c r="P26" s="1753" t="n"/>
      <c r="Q26" s="1753" t="n"/>
      <c r="R26" s="1753" t="n"/>
      <c r="S26" s="1753" t="n"/>
      <c r="T26" s="1753" t="n"/>
    </row>
    <row r="27" ht="39" customFormat="1" customHeight="1" s="1735">
      <c r="A27" s="1754" t="inlineStr">
        <is>
          <t>JT.#9</t>
        </is>
      </c>
      <c r="B27" s="1754" t="inlineStr">
        <is>
          <t>3 1/2" TSH</t>
        </is>
      </c>
      <c r="C27" s="1755" t="n">
        <v>31</v>
      </c>
      <c r="D27" s="1756">
        <f>C27-0.301</f>
        <v/>
      </c>
      <c r="E27" s="1747">
        <f>E26+D27</f>
        <v/>
      </c>
      <c r="F27" s="1747">
        <f>F26-D26</f>
        <v/>
      </c>
      <c r="G27" s="1748">
        <f>G26-D27</f>
        <v/>
      </c>
      <c r="H27" s="1757" t="n"/>
      <c r="O27" s="1752" t="n"/>
      <c r="P27" s="1753" t="n"/>
      <c r="Q27" s="1753" t="n"/>
      <c r="R27" s="1753" t="n"/>
      <c r="S27" s="1753" t="n"/>
      <c r="T27" s="1753" t="n"/>
    </row>
    <row r="28" ht="39.75" customFormat="1" customHeight="1" s="1735">
      <c r="A28" s="1754" t="inlineStr">
        <is>
          <t>JT.#10</t>
        </is>
      </c>
      <c r="B28" s="1754" t="inlineStr">
        <is>
          <t>3 1/2" TSH</t>
        </is>
      </c>
      <c r="C28" s="1755" t="n">
        <v>31</v>
      </c>
      <c r="D28" s="1756">
        <f>C28-0.301</f>
        <v/>
      </c>
      <c r="E28" s="1747">
        <f>E27+D28</f>
        <v/>
      </c>
      <c r="F28" s="1747">
        <f>F27-D27</f>
        <v/>
      </c>
      <c r="G28" s="1748">
        <f>G27-D28</f>
        <v/>
      </c>
      <c r="H28" s="1757" t="n"/>
      <c r="O28" s="1752" t="n"/>
      <c r="P28" s="1753" t="n"/>
      <c r="Q28" s="1753" t="n"/>
      <c r="R28" s="1753" t="n"/>
      <c r="S28" s="1753" t="n"/>
      <c r="T28" s="1753" t="n"/>
    </row>
    <row r="29" ht="39.75" customFormat="1" customHeight="1" s="1735">
      <c r="A29" s="1754" t="inlineStr">
        <is>
          <t>JT.#11</t>
        </is>
      </c>
      <c r="B29" s="1754" t="inlineStr">
        <is>
          <t>3 1/2" TSH</t>
        </is>
      </c>
      <c r="C29" s="1755" t="n">
        <v>31</v>
      </c>
      <c r="D29" s="1756">
        <f>C29-0.301</f>
        <v/>
      </c>
      <c r="E29" s="1747">
        <f>E28+D29</f>
        <v/>
      </c>
      <c r="F29" s="1747">
        <f>F28-D28</f>
        <v/>
      </c>
      <c r="G29" s="1748">
        <f>G28-D29</f>
        <v/>
      </c>
      <c r="H29" s="1757" t="n"/>
      <c r="O29" s="1752" t="n"/>
    </row>
    <row r="30" ht="39.75" customFormat="1" customHeight="1" s="1735">
      <c r="A30" s="1754" t="inlineStr">
        <is>
          <t>JT.#12</t>
        </is>
      </c>
      <c r="B30" s="1754" t="inlineStr">
        <is>
          <t>3 1/2" TSH</t>
        </is>
      </c>
      <c r="C30" s="1755" t="n">
        <v>31</v>
      </c>
      <c r="D30" s="1756">
        <f>C30-0.301</f>
        <v/>
      </c>
      <c r="E30" s="1747">
        <f>E29+D30</f>
        <v/>
      </c>
      <c r="F30" s="1747">
        <f>F29-D29</f>
        <v/>
      </c>
      <c r="G30" s="1748">
        <f>G29-D30</f>
        <v/>
      </c>
      <c r="H30" s="1757" t="n"/>
      <c r="O30" s="1752" t="n"/>
    </row>
    <row r="31" ht="39.75" customFormat="1" customHeight="1" s="1735">
      <c r="A31" s="1754" t="inlineStr">
        <is>
          <t>JT.#13</t>
        </is>
      </c>
      <c r="B31" s="1754" t="inlineStr">
        <is>
          <t>3 1/2" TSH</t>
        </is>
      </c>
      <c r="C31" s="1755" t="n">
        <v>31</v>
      </c>
      <c r="D31" s="1756">
        <f>C31-0.301</f>
        <v/>
      </c>
      <c r="E31" s="1747">
        <f>E30+D31</f>
        <v/>
      </c>
      <c r="F31" s="1747">
        <f>F30-D30</f>
        <v/>
      </c>
      <c r="G31" s="1748">
        <f>G30-D31</f>
        <v/>
      </c>
      <c r="H31" s="1757" t="n"/>
      <c r="O31" s="1752" t="n"/>
    </row>
    <row r="32" ht="39.75" customFormat="1" customHeight="1" s="1735">
      <c r="A32" s="1754" t="inlineStr">
        <is>
          <t>JT.#14</t>
        </is>
      </c>
      <c r="B32" s="1754" t="inlineStr">
        <is>
          <t>3 1/2" TSH</t>
        </is>
      </c>
      <c r="C32" s="1755" t="n">
        <v>31</v>
      </c>
      <c r="D32" s="1756">
        <f>C32-0.301</f>
        <v/>
      </c>
      <c r="E32" s="1747">
        <f>E31+D32</f>
        <v/>
      </c>
      <c r="F32" s="1747">
        <f>F31-D31</f>
        <v/>
      </c>
      <c r="G32" s="1748">
        <f>G31-D32</f>
        <v/>
      </c>
      <c r="H32" s="1757" t="n"/>
    </row>
    <row r="33" ht="39.75" customFormat="1" customHeight="1" s="1735">
      <c r="A33" s="1754" t="inlineStr">
        <is>
          <t>JT.#15</t>
        </is>
      </c>
      <c r="B33" s="1754" t="inlineStr">
        <is>
          <t>3 1/2" TSH</t>
        </is>
      </c>
      <c r="C33" s="1755" t="n">
        <v>31</v>
      </c>
      <c r="D33" s="1756">
        <f>C33-0.301</f>
        <v/>
      </c>
      <c r="E33" s="1747">
        <f>E32+D33</f>
        <v/>
      </c>
      <c r="F33" s="1747">
        <f>F32-D32</f>
        <v/>
      </c>
      <c r="G33" s="1748">
        <f>G32-D33</f>
        <v/>
      </c>
      <c r="H33" s="1757" t="n"/>
    </row>
    <row r="34" ht="39.75" customFormat="1" customHeight="1" s="1735">
      <c r="A34" s="1767" t="inlineStr">
        <is>
          <t>B</t>
        </is>
      </c>
      <c r="B34" s="1768" t="inlineStr">
        <is>
          <t>UPPER CONN. 3-1/2" VAM TOP BOX 9.2 PPF SN 28 110 KSI
DESCRIPTION: 5 FEET XOVER
SAP: 130005011340
SUPPLIER: TENARIS
LOWER CONN. 3-1/2" TSH BLUE PIN 9.2 PPF SN 28 110 KSI</t>
        </is>
      </c>
      <c r="C34" s="1769" t="n">
        <v>5.18</v>
      </c>
      <c r="D34" s="1756">
        <f>C34-0.301</f>
        <v/>
      </c>
      <c r="E34" s="1747">
        <f>E33+D34</f>
        <v/>
      </c>
      <c r="F34" s="1747">
        <f>F33-D33</f>
        <v/>
      </c>
      <c r="G34" s="1748">
        <f>G33-D34</f>
        <v/>
      </c>
      <c r="H34" s="1757" t="n"/>
    </row>
    <row r="35" ht="39.75" customFormat="1" customHeight="1" s="1735">
      <c r="A35" s="1766" t="n"/>
      <c r="B35" s="1768" t="inlineStr">
        <is>
          <t>UPPER CONN. 3-1/2" SENTINEL PRIME BOX 9.2 PPF TX28-110 KSI
DESCRIPTION: 5 FEET XOVER
SAP: 130013006385
SUPPLIER: TBX
LOWER CONN. 3-1/2" VAM TOP PIN 9.2 PPF TX28- 110 KSI</t>
        </is>
      </c>
      <c r="C35" s="1769" t="n">
        <v>4.91</v>
      </c>
      <c r="D35" s="1756">
        <f>C35-0.301</f>
        <v/>
      </c>
      <c r="E35" s="1747">
        <f>E34+D35</f>
        <v/>
      </c>
      <c r="F35" s="1747">
        <f>F34-D34</f>
        <v/>
      </c>
      <c r="G35" s="1748">
        <f>G34-D35</f>
        <v/>
      </c>
      <c r="H35" s="1757" t="n"/>
    </row>
    <row r="36" ht="39.75" customFormat="1" customHeight="1" s="1735">
      <c r="A36" s="1766" t="n"/>
      <c r="B36" s="1768" t="inlineStr">
        <is>
          <t>UPPER CONN. 3-1/2" SENTINEL PRIME 9.2#PPF INC 925 BOX
DESCRIPTION: NINE ENERGY MULTICYCLE BARRIER DEVICE
7 CYCLES REMAINING
P/N: 3207251
S/N: 100 086 877
SAP: 130010036003 SUPPLIER: NINE ENERGY
LOWER CONN- 3 1/2 9.2 SENTINEL PRIME 9.2 PPF INC 925 PIN</t>
        </is>
      </c>
      <c r="C36" s="1769" t="n">
        <v>5.22</v>
      </c>
      <c r="D36" s="1756">
        <f>C36-0.301</f>
        <v/>
      </c>
      <c r="E36" s="1747">
        <f>E35+D36</f>
        <v/>
      </c>
      <c r="F36" s="1747">
        <f>F35-D35</f>
        <v/>
      </c>
      <c r="G36" s="1748">
        <f>G35-D36</f>
        <v/>
      </c>
      <c r="H36" s="1757" t="n"/>
    </row>
    <row r="37" ht="39.75" customFormat="1" customHeight="1" s="1735">
      <c r="A37" s="1766" t="n"/>
      <c r="B37" s="1768" t="inlineStr">
        <is>
          <t>UPPER CONN. 3-1/2" VAM TOP BOX 9.2 PPF TX28- 110 KSI
DESCRIPTION: 5 FEET XOVER
SAP: 130013006383
SUPPLIER: TBX
LOWER CONN -3-1/2" SENTINEL PRIME PIN 9.2 PPF TX28-110 KSI</t>
        </is>
      </c>
      <c r="C37" s="1769" t="n">
        <v>4.8</v>
      </c>
      <c r="D37" s="1756">
        <f>C37-0.301</f>
        <v/>
      </c>
      <c r="E37" s="1747">
        <f>E36+D37</f>
        <v/>
      </c>
      <c r="F37" s="1747">
        <f>F36-D36</f>
        <v/>
      </c>
      <c r="G37" s="1748">
        <f>G36-D37</f>
        <v/>
      </c>
      <c r="H37" s="1757" t="n"/>
    </row>
    <row r="38" ht="39.75" customFormat="1" customHeight="1" s="1735">
      <c r="A38" s="1440" t="n"/>
      <c r="B38" s="1768" t="inlineStr">
        <is>
          <t>UPPER CONN. 3-1/2" TSH BLUE BOX 9.2 PPF SN 28 110 KSI
DESCRIPTION: 10 FEET XOVER
SAP: 130005011444
SUPPLIER: TENARIS
LOWER CONN. 3-1/2" VAM TOP PIN 9.2 PPF SN 28 110 KSI</t>
        </is>
      </c>
      <c r="C38" s="1769" t="n">
        <v>9.83</v>
      </c>
      <c r="D38" s="1756">
        <f>C38-0.301</f>
        <v/>
      </c>
      <c r="E38" s="1747">
        <f>E37+D38</f>
        <v/>
      </c>
      <c r="F38" s="1747">
        <f>F37-D37</f>
        <v/>
      </c>
      <c r="G38" s="1748">
        <f>G37-D38</f>
        <v/>
      </c>
      <c r="H38" s="1757" t="n"/>
    </row>
    <row r="39" ht="39.75" customFormat="1" customHeight="1" s="1735">
      <c r="A39" s="1754" t="inlineStr">
        <is>
          <t>JT.#16</t>
        </is>
      </c>
      <c r="B39" s="1754" t="inlineStr">
        <is>
          <t>3 1/2" TSH</t>
        </is>
      </c>
      <c r="C39" s="1755" t="n">
        <v>31</v>
      </c>
      <c r="D39" s="1756">
        <f>C39-0.301</f>
        <v/>
      </c>
      <c r="E39" s="1747">
        <f>E38+D39</f>
        <v/>
      </c>
      <c r="F39" s="1747">
        <f>F38-D38</f>
        <v/>
      </c>
      <c r="G39" s="1748">
        <f>G38-D39</f>
        <v/>
      </c>
      <c r="H39" s="1757" t="n"/>
    </row>
    <row r="40" ht="39.75" customFormat="1" customHeight="1" s="1735">
      <c r="A40" s="1754" t="inlineStr">
        <is>
          <t>JT.#17</t>
        </is>
      </c>
      <c r="B40" s="1754" t="inlineStr">
        <is>
          <t>3 1/2" TSH</t>
        </is>
      </c>
      <c r="C40" s="1755" t="n">
        <v>31</v>
      </c>
      <c r="D40" s="1756">
        <f>C40-0.301</f>
        <v/>
      </c>
      <c r="E40" s="1747">
        <f>E39+D40</f>
        <v/>
      </c>
      <c r="F40" s="1747">
        <f>F39-D39</f>
        <v/>
      </c>
      <c r="G40" s="1748">
        <f>G39-D40</f>
        <v/>
      </c>
      <c r="H40" s="1757" t="n"/>
    </row>
    <row r="41" ht="39.75" customFormat="1" customHeight="1" s="1735">
      <c r="A41" s="1754" t="inlineStr">
        <is>
          <t>JT.#18</t>
        </is>
      </c>
      <c r="B41" s="1754" t="inlineStr">
        <is>
          <t>3 1/2" TSH</t>
        </is>
      </c>
      <c r="C41" s="1755" t="n">
        <v>31</v>
      </c>
      <c r="D41" s="1756">
        <f>C41-0.301</f>
        <v/>
      </c>
      <c r="E41" s="1747">
        <f>E40+D41</f>
        <v/>
      </c>
      <c r="F41" s="1747">
        <f>F40-D40</f>
        <v/>
      </c>
      <c r="G41" s="1748">
        <f>G40-D41</f>
        <v/>
      </c>
      <c r="H41" s="1757" t="n"/>
    </row>
    <row r="42" ht="39.75" customFormat="1" customHeight="1" s="1735">
      <c r="A42" s="1754" t="inlineStr">
        <is>
          <t>JT.#19</t>
        </is>
      </c>
      <c r="B42" s="1754" t="inlineStr">
        <is>
          <t>3 1/2" TSH</t>
        </is>
      </c>
      <c r="C42" s="1755" t="n">
        <v>31</v>
      </c>
      <c r="D42" s="1756">
        <f>C42-0.301</f>
        <v/>
      </c>
      <c r="E42" s="1747">
        <f>E41+D42</f>
        <v/>
      </c>
      <c r="F42" s="1747">
        <f>F41-D41</f>
        <v/>
      </c>
      <c r="G42" s="1748">
        <f>G41-D42</f>
        <v/>
      </c>
      <c r="H42" s="1757" t="n"/>
    </row>
    <row r="43" ht="39.75" customFormat="1" customHeight="1" s="1735">
      <c r="A43" s="1754" t="inlineStr">
        <is>
          <t>JT.#20</t>
        </is>
      </c>
      <c r="B43" s="1754" t="inlineStr">
        <is>
          <t>3 1/2" TSH</t>
        </is>
      </c>
      <c r="C43" s="1755" t="n">
        <v>31</v>
      </c>
      <c r="D43" s="1756">
        <f>C43-0.301</f>
        <v/>
      </c>
      <c r="E43" s="1747">
        <f>E42+D43</f>
        <v/>
      </c>
      <c r="F43" s="1747">
        <f>F42-D42</f>
        <v/>
      </c>
      <c r="G43" s="1748">
        <f>G42-D43</f>
        <v/>
      </c>
      <c r="H43" s="1757" t="n"/>
    </row>
    <row r="44" ht="39.75" customFormat="1" customHeight="1" s="1735">
      <c r="A44" s="1754" t="inlineStr">
        <is>
          <t>JT.#21</t>
        </is>
      </c>
      <c r="B44" s="1754" t="inlineStr">
        <is>
          <t>3 1/2" TSH</t>
        </is>
      </c>
      <c r="C44" s="1755" t="n">
        <v>31</v>
      </c>
      <c r="D44" s="1756">
        <f>C44-0.301</f>
        <v/>
      </c>
      <c r="E44" s="1747">
        <f>E43+D44</f>
        <v/>
      </c>
      <c r="F44" s="1747">
        <f>F43-D43</f>
        <v/>
      </c>
      <c r="G44" s="1748">
        <f>G43-D44</f>
        <v/>
      </c>
      <c r="H44" s="1757" t="n"/>
    </row>
    <row r="45" ht="39.75" customFormat="1" customHeight="1" s="1735">
      <c r="A45" s="1754" t="inlineStr">
        <is>
          <t>JT.#22</t>
        </is>
      </c>
      <c r="B45" s="1754" t="inlineStr">
        <is>
          <t>3 1/2" TSH</t>
        </is>
      </c>
      <c r="C45" s="1755" t="n">
        <v>31</v>
      </c>
      <c r="D45" s="1756">
        <f>C45-0.301</f>
        <v/>
      </c>
      <c r="E45" s="1747">
        <f>E44+D45</f>
        <v/>
      </c>
      <c r="F45" s="1747">
        <f>F44-D44</f>
        <v/>
      </c>
      <c r="G45" s="1748">
        <f>G44-D45</f>
        <v/>
      </c>
      <c r="H45" s="1757" t="n"/>
    </row>
    <row r="46" ht="39.75" customFormat="1" customHeight="1" s="1735">
      <c r="A46" s="1754" t="inlineStr">
        <is>
          <t>JT.#23</t>
        </is>
      </c>
      <c r="B46" s="1754" t="inlineStr">
        <is>
          <t>3 1/2" TSH</t>
        </is>
      </c>
      <c r="C46" s="1755" t="n">
        <v>31</v>
      </c>
      <c r="D46" s="1756">
        <f>C46-0.301</f>
        <v/>
      </c>
      <c r="E46" s="1747">
        <f>E45+D46</f>
        <v/>
      </c>
      <c r="F46" s="1747">
        <f>F45-D45</f>
        <v/>
      </c>
      <c r="G46" s="1748">
        <f>G45-D46</f>
        <v/>
      </c>
      <c r="H46" s="1757" t="n"/>
    </row>
    <row r="47" ht="39.75" customFormat="1" customHeight="1" s="1735">
      <c r="A47" s="1754" t="inlineStr">
        <is>
          <t>JT.#24</t>
        </is>
      </c>
      <c r="B47" s="1754" t="inlineStr">
        <is>
          <t>3 1/2" TSH</t>
        </is>
      </c>
      <c r="C47" s="1755" t="n">
        <v>31</v>
      </c>
      <c r="D47" s="1756">
        <f>C47-0.301</f>
        <v/>
      </c>
      <c r="E47" s="1747">
        <f>E46+D47</f>
        <v/>
      </c>
      <c r="F47" s="1747">
        <f>F46-D46</f>
        <v/>
      </c>
      <c r="G47" s="1748">
        <f>G46-D47</f>
        <v/>
      </c>
      <c r="H47" s="1757" t="n"/>
    </row>
    <row r="48" ht="39.75" customFormat="1" customHeight="1" s="1735">
      <c r="A48" s="1754" t="inlineStr">
        <is>
          <t>JT.#25</t>
        </is>
      </c>
      <c r="B48" s="1754" t="inlineStr">
        <is>
          <t>3 1/2" TSH</t>
        </is>
      </c>
      <c r="C48" s="1755" t="n">
        <v>31</v>
      </c>
      <c r="D48" s="1756">
        <f>C48-0.301</f>
        <v/>
      </c>
      <c r="E48" s="1747">
        <f>E47+D48</f>
        <v/>
      </c>
      <c r="F48" s="1747">
        <f>F47-D47</f>
        <v/>
      </c>
      <c r="G48" s="1748">
        <f>G47-D48</f>
        <v/>
      </c>
      <c r="H48" s="1757" t="n"/>
    </row>
    <row r="49" ht="39.75" customFormat="1" customHeight="1" s="1735">
      <c r="A49" s="1754" t="inlineStr">
        <is>
          <t>JT.#26</t>
        </is>
      </c>
      <c r="B49" s="1754" t="inlineStr">
        <is>
          <t>3 1/2" TSH</t>
        </is>
      </c>
      <c r="C49" s="1755" t="n">
        <v>31</v>
      </c>
      <c r="D49" s="1756">
        <f>C49-0.301</f>
        <v/>
      </c>
      <c r="E49" s="1747">
        <f>E48+D49</f>
        <v/>
      </c>
      <c r="F49" s="1747">
        <f>F48-D48</f>
        <v/>
      </c>
      <c r="G49" s="1748">
        <f>G48-D49</f>
        <v/>
      </c>
      <c r="H49" s="1757" t="n"/>
    </row>
    <row r="50" ht="39.75" customFormat="1" customHeight="1" s="1735">
      <c r="A50" s="1754" t="inlineStr">
        <is>
          <t>JT.#27</t>
        </is>
      </c>
      <c r="B50" s="1754" t="inlineStr">
        <is>
          <t>3 1/2" TSH</t>
        </is>
      </c>
      <c r="C50" s="1755" t="n">
        <v>31</v>
      </c>
      <c r="D50" s="1756">
        <f>C50-0.301</f>
        <v/>
      </c>
      <c r="E50" s="1747">
        <f>E49+D50</f>
        <v/>
      </c>
      <c r="F50" s="1747">
        <f>F49-D49</f>
        <v/>
      </c>
      <c r="G50" s="1748">
        <f>G49-D50</f>
        <v/>
      </c>
      <c r="H50" s="1757" t="n"/>
    </row>
    <row r="51" ht="39.75" customFormat="1" customHeight="1" s="1735">
      <c r="A51" s="1754" t="inlineStr">
        <is>
          <t>JT.#28</t>
        </is>
      </c>
      <c r="B51" s="1754" t="inlineStr">
        <is>
          <t>3 1/2" TSH</t>
        </is>
      </c>
      <c r="C51" s="1755" t="n">
        <v>31</v>
      </c>
      <c r="D51" s="1756">
        <f>C51-0.301</f>
        <v/>
      </c>
      <c r="E51" s="1747">
        <f>E50+D51</f>
        <v/>
      </c>
      <c r="F51" s="1747">
        <f>F50-D50</f>
        <v/>
      </c>
      <c r="G51" s="1748">
        <f>G50-D51</f>
        <v/>
      </c>
      <c r="H51" s="1757" t="n"/>
    </row>
    <row r="52" ht="39.75" customFormat="1" customHeight="1" s="1735">
      <c r="A52" s="1754" t="inlineStr">
        <is>
          <t>JT.#29</t>
        </is>
      </c>
      <c r="B52" s="1754" t="inlineStr">
        <is>
          <t>3 1/2" TSH</t>
        </is>
      </c>
      <c r="C52" s="1755" t="n">
        <v>31</v>
      </c>
      <c r="D52" s="1756">
        <f>C52-0.301</f>
        <v/>
      </c>
      <c r="E52" s="1747">
        <f>E51+D52</f>
        <v/>
      </c>
      <c r="F52" s="1747">
        <f>F51-D51</f>
        <v/>
      </c>
      <c r="G52" s="1748">
        <f>G51-D52</f>
        <v/>
      </c>
      <c r="H52" s="1757" t="n"/>
    </row>
    <row r="53" ht="39.75" customFormat="1" customHeight="1" s="1735">
      <c r="A53" s="1754" t="inlineStr">
        <is>
          <t>JT.#30</t>
        </is>
      </c>
      <c r="B53" s="1754" t="inlineStr">
        <is>
          <t>3 1/2" TSH</t>
        </is>
      </c>
      <c r="C53" s="1755" t="n">
        <v>31</v>
      </c>
      <c r="D53" s="1756">
        <f>C53-0.301</f>
        <v/>
      </c>
      <c r="E53" s="1747">
        <f>E52+D53</f>
        <v/>
      </c>
      <c r="F53" s="1747">
        <f>F52-D52</f>
        <v/>
      </c>
      <c r="G53" s="1748">
        <f>G52-D53</f>
        <v/>
      </c>
      <c r="H53" s="1757" t="n"/>
    </row>
    <row r="54" ht="39.75" customFormat="1" customHeight="1" s="1735">
      <c r="A54" s="1754" t="inlineStr">
        <is>
          <t>JT.#31</t>
        </is>
      </c>
      <c r="B54" s="1754" t="inlineStr">
        <is>
          <t>3 1/2" TSH</t>
        </is>
      </c>
      <c r="C54" s="1755" t="n">
        <v>31</v>
      </c>
      <c r="D54" s="1756">
        <f>C54-0.301</f>
        <v/>
      </c>
      <c r="E54" s="1747">
        <f>E53+D54</f>
        <v/>
      </c>
      <c r="F54" s="1747">
        <f>F53-D53</f>
        <v/>
      </c>
      <c r="G54" s="1748">
        <f>G53-D54</f>
        <v/>
      </c>
      <c r="H54" s="1757" t="n"/>
    </row>
    <row r="55" ht="39.75" customFormat="1" customHeight="1" s="1735">
      <c r="A55" s="1754" t="inlineStr">
        <is>
          <t>JT.#32</t>
        </is>
      </c>
      <c r="B55" s="1754" t="inlineStr">
        <is>
          <t>3 1/2" TSH</t>
        </is>
      </c>
      <c r="C55" s="1755" t="n">
        <v>31</v>
      </c>
      <c r="D55" s="1756">
        <f>C55-0.301</f>
        <v/>
      </c>
      <c r="E55" s="1747">
        <f>E54+D55</f>
        <v/>
      </c>
      <c r="F55" s="1747">
        <f>F54-D54</f>
        <v/>
      </c>
      <c r="G55" s="1748">
        <f>G54-D55</f>
        <v/>
      </c>
      <c r="H55" s="1757" t="n"/>
    </row>
    <row r="56" ht="39.75" customFormat="1" customHeight="1" s="1735">
      <c r="A56" s="1754" t="inlineStr">
        <is>
          <t>JT.#33</t>
        </is>
      </c>
      <c r="B56" s="1754" t="inlineStr">
        <is>
          <t>3 1/2" TSH</t>
        </is>
      </c>
      <c r="C56" s="1755" t="n">
        <v>31</v>
      </c>
      <c r="D56" s="1756">
        <f>C56-0.301</f>
        <v/>
      </c>
      <c r="E56" s="1747">
        <f>E55+D56</f>
        <v/>
      </c>
      <c r="F56" s="1747">
        <f>F55-D55</f>
        <v/>
      </c>
      <c r="G56" s="1748">
        <f>G55-D56</f>
        <v/>
      </c>
      <c r="H56" s="1757" t="n"/>
    </row>
    <row r="57" ht="39.75" customFormat="1" customHeight="1" s="1735">
      <c r="A57" s="1754" t="inlineStr">
        <is>
          <t>JT.#34</t>
        </is>
      </c>
      <c r="B57" s="1754" t="inlineStr">
        <is>
          <t>3 1/2" TSH</t>
        </is>
      </c>
      <c r="C57" s="1755" t="n">
        <v>31</v>
      </c>
      <c r="D57" s="1756">
        <f>C57-0.301</f>
        <v/>
      </c>
      <c r="E57" s="1747">
        <f>E56+D57</f>
        <v/>
      </c>
      <c r="F57" s="1747">
        <f>F56-D56</f>
        <v/>
      </c>
      <c r="G57" s="1748">
        <f>G56-D57</f>
        <v/>
      </c>
      <c r="H57" s="1757" t="n"/>
    </row>
    <row r="58" ht="39.75" customFormat="1" customHeight="1" s="1735">
      <c r="A58" s="1754" t="inlineStr">
        <is>
          <t>JT.#35</t>
        </is>
      </c>
      <c r="B58" s="1754" t="inlineStr">
        <is>
          <t>3 1/2" TSH</t>
        </is>
      </c>
      <c r="C58" s="1755" t="n">
        <v>31</v>
      </c>
      <c r="D58" s="1756">
        <f>C58-0.301</f>
        <v/>
      </c>
      <c r="E58" s="1747">
        <f>E57+D58</f>
        <v/>
      </c>
      <c r="F58" s="1747">
        <f>F57-D57</f>
        <v/>
      </c>
      <c r="G58" s="1748">
        <f>G57-D58</f>
        <v/>
      </c>
      <c r="H58" s="1757" t="n"/>
    </row>
    <row r="59" ht="39.75" customFormat="1" customHeight="1" s="1735">
      <c r="A59" s="1754" t="inlineStr">
        <is>
          <t>JT.#36</t>
        </is>
      </c>
      <c r="B59" s="1754" t="inlineStr">
        <is>
          <t>3 1/2" TSH</t>
        </is>
      </c>
      <c r="C59" s="1755" t="n">
        <v>31</v>
      </c>
      <c r="D59" s="1756">
        <f>C59-0.301</f>
        <v/>
      </c>
      <c r="E59" s="1747">
        <f>E58+D59</f>
        <v/>
      </c>
      <c r="F59" s="1747">
        <f>F58-D58</f>
        <v/>
      </c>
      <c r="G59" s="1748">
        <f>G58-D59</f>
        <v/>
      </c>
      <c r="H59" s="1757" t="n"/>
    </row>
    <row r="60" ht="39.75" customFormat="1" customHeight="1" s="1735">
      <c r="A60" s="1754" t="inlineStr">
        <is>
          <t>JT.#37</t>
        </is>
      </c>
      <c r="B60" s="1754" t="inlineStr">
        <is>
          <t>3 1/2" TSH</t>
        </is>
      </c>
      <c r="C60" s="1755" t="n">
        <v>31</v>
      </c>
      <c r="D60" s="1756">
        <f>C60-0.301</f>
        <v/>
      </c>
      <c r="E60" s="1747">
        <f>E59+D60</f>
        <v/>
      </c>
      <c r="F60" s="1747">
        <f>F59-D59</f>
        <v/>
      </c>
      <c r="G60" s="1748">
        <f>G59-D60</f>
        <v/>
      </c>
      <c r="H60" s="1757" t="n"/>
    </row>
    <row r="61" ht="39.75" customFormat="1" customHeight="1" s="1735">
      <c r="A61" s="1770" t="inlineStr">
        <is>
          <t>C</t>
        </is>
      </c>
      <c r="B61" s="1771" t="inlineStr">
        <is>
          <t>UPPER CONN. 3-1/2" VAM TOP BOX 9.2 PPF SN 28 110 KSI
DESCRIPTION: 5 FEET XOVER
SAP: 130005011340
SUPPLIER: TENARIS
LOWER CONN. 3-1/2" TSH BLUE PIN 9.2 PPF SN 28 110 KSI</t>
        </is>
      </c>
      <c r="C61" s="1772" t="n">
        <v>5.16</v>
      </c>
      <c r="D61" s="1756">
        <f>C61-0.301</f>
        <v/>
      </c>
      <c r="E61" s="1747">
        <f>E60+D61</f>
        <v/>
      </c>
      <c r="F61" s="1747">
        <f>F60-D60</f>
        <v/>
      </c>
      <c r="G61" s="1748">
        <f>G60-D61</f>
        <v/>
      </c>
      <c r="H61" s="1757" t="n"/>
    </row>
    <row r="62" ht="39.75" customFormat="1" customHeight="1" s="1735">
      <c r="A62" s="1766" t="n"/>
      <c r="B62" s="1771" t="inlineStr">
        <is>
          <t>UPPER CONN. 3-1/2" VAM TOP 9.2#PPF INC 925 KSI BOX
DESCRIPTION: 2.750 WXN Nipple
PN: 2963809
S/N :12527047-08
SAP: 130010036868
SUPPLIER: WEATHERFORD
LOWER CONN.3-1/2" VAM TOP 9.2#PPF INC 925KSI PIN</t>
        </is>
      </c>
      <c r="C62" s="1772" t="n">
        <v>1.15</v>
      </c>
      <c r="D62" s="1756">
        <f>C62-0.301</f>
        <v/>
      </c>
      <c r="E62" s="1747">
        <f>E61+D62</f>
        <v/>
      </c>
      <c r="F62" s="1747">
        <f>F61-D61</f>
        <v/>
      </c>
      <c r="G62" s="1748">
        <f>G61-D62</f>
        <v/>
      </c>
      <c r="H62" s="1757" t="n"/>
    </row>
    <row r="63" ht="39.75" customFormat="1" customHeight="1" s="1735">
      <c r="A63" s="1766" t="n"/>
      <c r="B63" s="1771" t="inlineStr">
        <is>
          <t>UPPER CONN. 3-1/2" VAM TOP 9.2#PPF SM 2535 BOX
DESCRIPTION: 5 FEET PUP JOINT
SAP: 130005002758
SUPPLIER: VAM
LOWER CONN. 3-1/2" VAM TOP 9.2#PPF SM 2535 PIN</t>
        </is>
      </c>
      <c r="C63" s="1772" t="n">
        <v>4.92</v>
      </c>
      <c r="D63" s="1773">
        <f>C63-0.301</f>
        <v/>
      </c>
      <c r="E63" s="1747">
        <f>E62+D63</f>
        <v/>
      </c>
      <c r="F63" s="1747">
        <f>F62-D62</f>
        <v/>
      </c>
      <c r="G63" s="1748">
        <f>G62-D63</f>
        <v/>
      </c>
      <c r="H63" s="1774" t="n"/>
    </row>
    <row r="64" ht="39.75" customFormat="1" customHeight="1" s="1735">
      <c r="A64" s="1766" t="n"/>
      <c r="B64" s="1771" t="inlineStr">
        <is>
          <t>UPPER CONN. 3-1/2" VAM TOP 9.2#PPF SM2535 BOX
DESCRIPTION: 10 FEET PUP JOINT
SAP: 130013000213
SUPPLIER: VAM
LOWER CONN. 3-1/2" VAM TOP 9.2#PPF SM2535 PIN</t>
        </is>
      </c>
      <c r="C64" s="1772" t="n">
        <v>9.92</v>
      </c>
      <c r="D64" s="1756">
        <f>C64-0.301</f>
        <v/>
      </c>
      <c r="E64" s="1747">
        <f>E63+D64</f>
        <v/>
      </c>
      <c r="F64" s="1747">
        <f>F63-D63</f>
        <v/>
      </c>
      <c r="G64" s="1748">
        <f>G63-D64</f>
        <v/>
      </c>
      <c r="H64" s="1775" t="n"/>
      <c r="K64" s="1762" t="n"/>
    </row>
    <row r="65" ht="39.75" customFormat="1" customHeight="1" s="1735">
      <c r="A65" s="1766" t="n"/>
      <c r="B65" s="177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772" t="n">
        <v>9.710000000000001</v>
      </c>
      <c r="D65" s="1756">
        <f>C65-0.301</f>
        <v/>
      </c>
      <c r="E65" s="1747">
        <f>E64+D65</f>
        <v/>
      </c>
      <c r="F65" s="1747">
        <f>F64-D64</f>
        <v/>
      </c>
      <c r="G65" s="1748">
        <f>G64-D65</f>
        <v/>
      </c>
      <c r="H65" s="1775" t="n"/>
      <c r="K65" s="1762" t="n"/>
    </row>
    <row r="66" ht="39.75" customFormat="1" customHeight="1" s="1735">
      <c r="A66" s="1440" t="n"/>
      <c r="B66" s="1771" t="inlineStr">
        <is>
          <t>UPPER CONN. 3-1/2" TSH BLUE BOX 9.2 PPF SN 28 110 KSI
DESCRIPTION: 5 FEET XOVER
SAP: 130005011444
SUPPLIER: TENARIS
LOWER CONN. 3-1/2" VAM TOP PIN 9.2 PPF SN 28 110 KSI</t>
        </is>
      </c>
      <c r="C66" s="1772" t="n">
        <v>4.99</v>
      </c>
      <c r="D66" s="1773">
        <f>C66-0.301</f>
        <v/>
      </c>
      <c r="E66" s="1747">
        <f>E65+D66</f>
        <v/>
      </c>
      <c r="F66" s="1747">
        <f>F65-D65</f>
        <v/>
      </c>
      <c r="G66" s="1748">
        <f>G65-D66</f>
        <v/>
      </c>
      <c r="H66" s="1776" t="n"/>
      <c r="K66" s="1762" t="n"/>
    </row>
    <row r="67" ht="39.75" customFormat="1" customHeight="1" s="1735">
      <c r="A67" s="1754" t="inlineStr">
        <is>
          <t>JT.#38</t>
        </is>
      </c>
      <c r="B67" s="1754" t="inlineStr">
        <is>
          <t>3 1/2" TSH</t>
        </is>
      </c>
      <c r="C67" s="1755" t="n">
        <v>31</v>
      </c>
      <c r="D67" s="1756">
        <f>C67-0.301</f>
        <v/>
      </c>
      <c r="E67" s="1747">
        <f>E66+D67</f>
        <v/>
      </c>
      <c r="F67" s="1747">
        <f>F66-D66</f>
        <v/>
      </c>
      <c r="G67" s="1748">
        <f>G66-D67</f>
        <v/>
      </c>
      <c r="H67" s="1760" t="n"/>
      <c r="K67" s="1762" t="n"/>
    </row>
    <row r="68" ht="39.75" customFormat="1" customHeight="1" s="1735">
      <c r="A68" s="1754" t="inlineStr">
        <is>
          <t>JT.#39</t>
        </is>
      </c>
      <c r="B68" s="1754" t="inlineStr">
        <is>
          <t>3 1/2" TSH</t>
        </is>
      </c>
      <c r="C68" s="1755" t="n">
        <v>31</v>
      </c>
      <c r="D68" s="1756">
        <f>C68-0.301</f>
        <v/>
      </c>
      <c r="E68" s="1747">
        <f>E67+D68</f>
        <v/>
      </c>
      <c r="F68" s="1747">
        <f>F67-D67</f>
        <v/>
      </c>
      <c r="G68" s="1748">
        <f>G67-D68</f>
        <v/>
      </c>
      <c r="H68" s="1760" t="n"/>
      <c r="K68" s="1762" t="n"/>
    </row>
    <row r="69" ht="39.75" customFormat="1" customHeight="1" s="1735">
      <c r="A69" s="1754" t="inlineStr">
        <is>
          <t>JT.#40</t>
        </is>
      </c>
      <c r="B69" s="1754" t="inlineStr">
        <is>
          <t>3 1/2" TSH</t>
        </is>
      </c>
      <c r="C69" s="1755" t="n">
        <v>31</v>
      </c>
      <c r="D69" s="1756">
        <f>C69-0.301</f>
        <v/>
      </c>
      <c r="E69" s="1747">
        <f>E68+D69</f>
        <v/>
      </c>
      <c r="F69" s="1747">
        <f>F68-D68</f>
        <v/>
      </c>
      <c r="G69" s="1748">
        <f>G68-D69</f>
        <v/>
      </c>
      <c r="H69" s="1760" t="n"/>
      <c r="K69" s="1762" t="n"/>
    </row>
    <row r="70" ht="39.75" customFormat="1" customHeight="1" s="1735">
      <c r="A70" s="1754" t="inlineStr">
        <is>
          <t>JT.#41</t>
        </is>
      </c>
      <c r="B70" s="1754" t="inlineStr">
        <is>
          <t>3 1/2" TSH</t>
        </is>
      </c>
      <c r="C70" s="1755" t="n">
        <v>31</v>
      </c>
      <c r="D70" s="1756">
        <f>C70-0.301</f>
        <v/>
      </c>
      <c r="E70" s="1747">
        <f>E69+D70</f>
        <v/>
      </c>
      <c r="F70" s="1747">
        <f>F69-D69</f>
        <v/>
      </c>
      <c r="G70" s="1748">
        <f>G69-D70</f>
        <v/>
      </c>
      <c r="H70" s="1760" t="n"/>
      <c r="K70" s="1762" t="n"/>
    </row>
    <row r="71" ht="39.75" customFormat="1" customHeight="1" s="1735">
      <c r="A71" s="1754" t="inlineStr">
        <is>
          <t>JT.#42</t>
        </is>
      </c>
      <c r="B71" s="1754" t="inlineStr">
        <is>
          <t>3 1/2" TSH</t>
        </is>
      </c>
      <c r="C71" s="1755" t="n">
        <v>31</v>
      </c>
      <c r="D71" s="1756">
        <f>C71-0.301</f>
        <v/>
      </c>
      <c r="E71" s="1747">
        <f>E70+D71</f>
        <v/>
      </c>
      <c r="F71" s="1747">
        <f>F70-D70</f>
        <v/>
      </c>
      <c r="G71" s="1748">
        <f>G70-D71</f>
        <v/>
      </c>
      <c r="H71" s="1760" t="n"/>
      <c r="K71" s="1762" t="n"/>
    </row>
    <row r="72" ht="39.75" customFormat="1" customHeight="1" s="1735">
      <c r="A72" s="1754" t="inlineStr">
        <is>
          <t>JT.#43</t>
        </is>
      </c>
      <c r="B72" s="1754" t="inlineStr">
        <is>
          <t>3 1/2" TSH</t>
        </is>
      </c>
      <c r="C72" s="1755" t="n">
        <v>31</v>
      </c>
      <c r="D72" s="1756">
        <f>C72-0.301</f>
        <v/>
      </c>
      <c r="E72" s="1747">
        <f>E71+D72</f>
        <v/>
      </c>
      <c r="F72" s="1747">
        <f>F71-D71</f>
        <v/>
      </c>
      <c r="G72" s="1748">
        <f>G71-D72</f>
        <v/>
      </c>
      <c r="H72" s="1760" t="n"/>
      <c r="K72" s="1762" t="n"/>
    </row>
    <row r="73" ht="39.75" customFormat="1" customHeight="1" s="1735">
      <c r="A73" s="1754" t="inlineStr">
        <is>
          <t>JT.#44</t>
        </is>
      </c>
      <c r="B73" s="1754" t="inlineStr">
        <is>
          <t>3 1/2" TSH</t>
        </is>
      </c>
      <c r="C73" s="1755" t="n">
        <v>31</v>
      </c>
      <c r="D73" s="1756">
        <f>C73-0.301</f>
        <v/>
      </c>
      <c r="E73" s="1747">
        <f>E72+D73</f>
        <v/>
      </c>
      <c r="F73" s="1747">
        <f>F72-D72</f>
        <v/>
      </c>
      <c r="G73" s="1748">
        <f>G72-D73</f>
        <v/>
      </c>
      <c r="H73" s="1760" t="n"/>
      <c r="K73" s="1762" t="n"/>
    </row>
    <row r="74" ht="39.75" customFormat="1" customHeight="1" s="1735">
      <c r="A74" s="1754" t="inlineStr">
        <is>
          <t>JT.#45</t>
        </is>
      </c>
      <c r="B74" s="1754" t="inlineStr">
        <is>
          <t>3 1/2" TSH</t>
        </is>
      </c>
      <c r="C74" s="1755" t="n">
        <v>31</v>
      </c>
      <c r="D74" s="1756">
        <f>C74-0.301</f>
        <v/>
      </c>
      <c r="E74" s="1747">
        <f>E73+D74</f>
        <v/>
      </c>
      <c r="F74" s="1747">
        <f>F73-D73</f>
        <v/>
      </c>
      <c r="G74" s="1748">
        <f>G73-D74</f>
        <v/>
      </c>
      <c r="H74" s="1760" t="n"/>
      <c r="K74" s="1762" t="n"/>
    </row>
    <row r="75" ht="39.75" customFormat="1" customHeight="1" s="1735">
      <c r="A75" s="1754" t="inlineStr">
        <is>
          <t>JT.#46</t>
        </is>
      </c>
      <c r="B75" s="1754" t="inlineStr">
        <is>
          <t>3 1/2" TSH</t>
        </is>
      </c>
      <c r="C75" s="1755" t="n">
        <v>31</v>
      </c>
      <c r="D75" s="1756">
        <f>C75-0.301</f>
        <v/>
      </c>
      <c r="E75" s="1747">
        <f>E74+D75</f>
        <v/>
      </c>
      <c r="F75" s="1747">
        <f>F74-D74</f>
        <v/>
      </c>
      <c r="G75" s="1748">
        <f>G74-D75</f>
        <v/>
      </c>
      <c r="H75" s="1760" t="n"/>
      <c r="K75" s="1762" t="n"/>
    </row>
    <row r="76" ht="39.75" customFormat="1" customHeight="1" s="1735">
      <c r="A76" s="1754" t="inlineStr">
        <is>
          <t>JT.#47</t>
        </is>
      </c>
      <c r="B76" s="1754" t="inlineStr">
        <is>
          <t>3 1/2" TSH</t>
        </is>
      </c>
      <c r="C76" s="1755" t="n">
        <v>31</v>
      </c>
      <c r="D76" s="1756">
        <f>C76-0.301</f>
        <v/>
      </c>
      <c r="E76" s="1747">
        <f>E75+D76</f>
        <v/>
      </c>
      <c r="F76" s="1747">
        <f>F75-D75</f>
        <v/>
      </c>
      <c r="G76" s="1748">
        <f>G75-D76</f>
        <v/>
      </c>
      <c r="H76" s="1760" t="n"/>
      <c r="K76" s="1762" t="n"/>
    </row>
    <row r="77" ht="39.75" customFormat="1" customHeight="1" s="1735">
      <c r="A77" s="1754" t="inlineStr">
        <is>
          <t>JT.#48</t>
        </is>
      </c>
      <c r="B77" s="1754" t="inlineStr">
        <is>
          <t>3 1/2" TSH</t>
        </is>
      </c>
      <c r="C77" s="1755" t="n">
        <v>31</v>
      </c>
      <c r="D77" s="1756">
        <f>C77-0.301</f>
        <v/>
      </c>
      <c r="E77" s="1747">
        <f>E76+D77</f>
        <v/>
      </c>
      <c r="F77" s="1747">
        <f>F76-D76</f>
        <v/>
      </c>
      <c r="G77" s="1748">
        <f>G76-D77</f>
        <v/>
      </c>
      <c r="H77" s="1760" t="n"/>
      <c r="K77" s="1762" t="n"/>
    </row>
    <row r="78" ht="39.75" customFormat="1" customHeight="1" s="1735">
      <c r="A78" s="1754" t="inlineStr">
        <is>
          <t>JT.#49</t>
        </is>
      </c>
      <c r="B78" s="1754" t="inlineStr">
        <is>
          <t>3 1/2" TSH</t>
        </is>
      </c>
      <c r="C78" s="1755" t="n">
        <v>31</v>
      </c>
      <c r="D78" s="1756">
        <f>C78-0.301</f>
        <v/>
      </c>
      <c r="E78" s="1747">
        <f>E77+D78</f>
        <v/>
      </c>
      <c r="F78" s="1747">
        <f>F77-D77</f>
        <v/>
      </c>
      <c r="G78" s="1748">
        <f>G77-D78</f>
        <v/>
      </c>
      <c r="H78" s="1760" t="n"/>
      <c r="K78" s="1762" t="n"/>
    </row>
    <row r="79" ht="39.75" customFormat="1" customHeight="1" s="1735">
      <c r="A79" s="1754" t="inlineStr">
        <is>
          <t>JT.#50</t>
        </is>
      </c>
      <c r="B79" s="1754" t="inlineStr">
        <is>
          <t>3 1/2" TSH</t>
        </is>
      </c>
      <c r="C79" s="1755" t="n">
        <v>31</v>
      </c>
      <c r="D79" s="1756">
        <f>C79-0.301</f>
        <v/>
      </c>
      <c r="E79" s="1747">
        <f>E78+D79</f>
        <v/>
      </c>
      <c r="F79" s="1747">
        <f>F78-D78</f>
        <v/>
      </c>
      <c r="G79" s="1748">
        <f>G78-D79</f>
        <v/>
      </c>
      <c r="H79" s="1777" t="n"/>
      <c r="K79" s="1762" t="n"/>
    </row>
    <row r="80" ht="39.75" customFormat="1" customHeight="1" s="1735">
      <c r="A80" s="1754" t="inlineStr">
        <is>
          <t>JT.#51</t>
        </is>
      </c>
      <c r="B80" s="1754" t="inlineStr">
        <is>
          <t>3 1/2" TSH</t>
        </is>
      </c>
      <c r="C80" s="1755" t="n">
        <v>31</v>
      </c>
      <c r="D80" s="1773">
        <f>C80-0.301</f>
        <v/>
      </c>
      <c r="E80" s="1747">
        <f>E79+D80</f>
        <v/>
      </c>
      <c r="F80" s="1747">
        <f>F79-D79</f>
        <v/>
      </c>
      <c r="G80" s="1748">
        <f>G79-D80</f>
        <v/>
      </c>
      <c r="H80" s="1777" t="n"/>
      <c r="K80" s="1762" t="n"/>
    </row>
    <row r="81" ht="39.75" customFormat="1" customHeight="1" s="1735">
      <c r="A81" s="1754" t="inlineStr">
        <is>
          <t>JT.#52</t>
        </is>
      </c>
      <c r="B81" s="1754" t="inlineStr">
        <is>
          <t>3 1/2" TSH</t>
        </is>
      </c>
      <c r="C81" s="1755" t="n">
        <v>31</v>
      </c>
      <c r="D81" s="1756">
        <f>C81-0.301</f>
        <v/>
      </c>
      <c r="E81" s="1747">
        <f>E80+D81</f>
        <v/>
      </c>
      <c r="F81" s="1747">
        <f>F80-D80</f>
        <v/>
      </c>
      <c r="G81" s="1748">
        <f>G80-D81</f>
        <v/>
      </c>
      <c r="H81" s="1777" t="n"/>
      <c r="K81" s="1762" t="n"/>
    </row>
    <row r="82" ht="39.75" customFormat="1" customHeight="1" s="1735">
      <c r="A82" s="1754" t="inlineStr">
        <is>
          <t>JT.#53</t>
        </is>
      </c>
      <c r="B82" s="1754" t="inlineStr">
        <is>
          <t>3 1/2" TSH</t>
        </is>
      </c>
      <c r="C82" s="1755" t="n">
        <v>31</v>
      </c>
      <c r="D82" s="1756">
        <f>C82-0.301</f>
        <v/>
      </c>
      <c r="E82" s="1747">
        <f>E81+D82</f>
        <v/>
      </c>
      <c r="F82" s="1747">
        <f>F81-D81</f>
        <v/>
      </c>
      <c r="G82" s="1748">
        <f>G81-D82</f>
        <v/>
      </c>
      <c r="H82" s="1778" t="n"/>
      <c r="I82" s="1759" t="n"/>
      <c r="J82" s="1744" t="n"/>
      <c r="K82" s="1297" t="n"/>
      <c r="L82" s="1297" t="n"/>
      <c r="O82" s="1753" t="n"/>
      <c r="P82" s="1753" t="n"/>
      <c r="Q82" s="1753" t="n"/>
      <c r="R82" s="1753" t="n"/>
      <c r="S82" s="1753" t="n"/>
      <c r="T82" s="1753" t="n"/>
    </row>
    <row r="83" ht="36" customFormat="1" customHeight="1" s="1735">
      <c r="A83" s="1754" t="inlineStr">
        <is>
          <t>JT.#54</t>
        </is>
      </c>
      <c r="B83" s="1754" t="inlineStr">
        <is>
          <t>3 1/2" TSH</t>
        </is>
      </c>
      <c r="C83" s="1755" t="n">
        <v>31</v>
      </c>
      <c r="D83" s="1746">
        <f>C83</f>
        <v/>
      </c>
      <c r="E83" s="1747">
        <f>E82+D83</f>
        <v/>
      </c>
      <c r="F83" s="1747">
        <f>F82-D82</f>
        <v/>
      </c>
      <c r="G83" s="1748">
        <f>G82-D83</f>
        <v/>
      </c>
      <c r="H83" s="1779" t="n"/>
      <c r="J83" s="1744" t="n"/>
      <c r="K83" s="1751" t="n"/>
      <c r="L83" s="1751" t="n"/>
      <c r="O83" s="1753" t="n"/>
      <c r="P83" s="1753" t="n"/>
      <c r="Q83" s="1753" t="n"/>
      <c r="R83" s="1753" t="n"/>
      <c r="S83" s="1753" t="n"/>
      <c r="T83" s="1753" t="n"/>
    </row>
    <row r="84" ht="30.75" customFormat="1" customHeight="1" s="1735">
      <c r="A84" s="1754" t="inlineStr">
        <is>
          <t>JT.#55</t>
        </is>
      </c>
      <c r="B84" s="1754" t="inlineStr">
        <is>
          <t>3 1/2" TSH</t>
        </is>
      </c>
      <c r="C84" s="1755" t="n">
        <v>31</v>
      </c>
      <c r="D84" s="1746">
        <f>C84</f>
        <v/>
      </c>
      <c r="E84" s="1747">
        <f>E83+D84</f>
        <v/>
      </c>
      <c r="F84" s="1747">
        <f>F83-D83</f>
        <v/>
      </c>
      <c r="G84" s="1748">
        <f>G83-D84</f>
        <v/>
      </c>
      <c r="H84" s="1780" t="n"/>
      <c r="J84" s="1744" t="n"/>
      <c r="K84" s="1751" t="n"/>
      <c r="L84" s="1751" t="n"/>
      <c r="O84" s="1753" t="n"/>
      <c r="P84" s="1753" t="n"/>
      <c r="Q84" s="1753" t="n"/>
      <c r="R84" s="1753" t="n"/>
      <c r="S84" s="1753" t="n"/>
      <c r="T84" s="1753" t="n"/>
    </row>
    <row r="85" ht="39.75" customFormat="1" customHeight="1" s="1735">
      <c r="A85" s="1754" t="inlineStr">
        <is>
          <t>JT.#56</t>
        </is>
      </c>
      <c r="B85" s="1754" t="inlineStr">
        <is>
          <t>3 1/2" TSH</t>
        </is>
      </c>
      <c r="C85" s="1755" t="n">
        <v>31</v>
      </c>
      <c r="D85" s="1756">
        <f>C85-0.301</f>
        <v/>
      </c>
      <c r="E85" s="1747">
        <f>E84+D85</f>
        <v/>
      </c>
      <c r="F85" s="1747">
        <f>F84-D84</f>
        <v/>
      </c>
      <c r="G85" s="1748">
        <f>G84-D85</f>
        <v/>
      </c>
      <c r="H85" s="1760" t="n"/>
      <c r="K85" s="1762" t="n"/>
    </row>
    <row r="86" ht="39.75" customFormat="1" customHeight="1" s="1735">
      <c r="A86" s="1754" t="inlineStr">
        <is>
          <t>JT.#57</t>
        </is>
      </c>
      <c r="B86" s="1754" t="inlineStr">
        <is>
          <t>3 1/2" TSH</t>
        </is>
      </c>
      <c r="C86" s="1755" t="n">
        <v>31</v>
      </c>
      <c r="D86" s="1756">
        <f>C86-0.301</f>
        <v/>
      </c>
      <c r="E86" s="1747">
        <f>E85+D86</f>
        <v/>
      </c>
      <c r="F86" s="1747">
        <f>F85-D85</f>
        <v/>
      </c>
      <c r="G86" s="1748">
        <f>G85-D86</f>
        <v/>
      </c>
      <c r="H86" s="1760" t="n"/>
      <c r="K86" s="1762" t="n"/>
    </row>
    <row r="87" ht="39.75" customFormat="1" customHeight="1" s="1735">
      <c r="A87" s="1781" t="inlineStr">
        <is>
          <t>D1</t>
        </is>
      </c>
      <c r="B87" s="1782" t="inlineStr">
        <is>
          <t>UPPER CONN. 3-1/2" VAM TOP BOX 9.2 PPF SN 28 110 KSI
DESCRIPTION: 5 FEET XOVER
SAP: 130005011340
SUPPLIER: TENARIS
LOWER CONN. 3-1/2" TSH BLUE PIN 9.2 PPF SN 28 110 KSI</t>
        </is>
      </c>
      <c r="C87" s="1783" t="n">
        <v>5.2</v>
      </c>
      <c r="D87" s="1756">
        <f>C87-0.301</f>
        <v/>
      </c>
      <c r="E87" s="1747">
        <f>E86+D87</f>
        <v/>
      </c>
      <c r="F87" s="1747">
        <f>F86-D86</f>
        <v/>
      </c>
      <c r="G87" s="1748">
        <f>G86-D87</f>
        <v/>
      </c>
      <c r="H87" s="1760" t="n"/>
      <c r="K87" s="1762" t="n"/>
    </row>
    <row r="88" ht="39.75" customFormat="1" customHeight="1" s="1735">
      <c r="A88" s="1766" t="n"/>
      <c r="B88" s="1782" t="inlineStr">
        <is>
          <t>UPPER CONN. 3-1/2" SENTINEL PRIME BOX 9.2 PPF TX28-110 KSI
DESCRIPTION: 5 FEET XOVER
SAP: 130013006385
SUPPLIER: TBX
LOWER CONN. 3-1/2" VAM TOP PIN 9.2 PPF TX28-110 KSI</t>
        </is>
      </c>
      <c r="C88" s="1783" t="n">
        <v>4.96</v>
      </c>
      <c r="D88" s="1756">
        <f>C88-0.301</f>
        <v/>
      </c>
      <c r="E88" s="1747">
        <f>E87+D88</f>
        <v/>
      </c>
      <c r="F88" s="1747">
        <f>F87-D87</f>
        <v/>
      </c>
      <c r="G88" s="1748">
        <f>G87-D88</f>
        <v/>
      </c>
      <c r="H88" s="1760" t="n"/>
      <c r="K88" s="1762" t="n"/>
    </row>
    <row r="89" ht="39.75" customFormat="1" customHeight="1" s="1735">
      <c r="A89" s="1766" t="n"/>
      <c r="B89" s="1782"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783" t="n">
        <v>8.69</v>
      </c>
      <c r="D89" s="1756">
        <f>C89-0.301</f>
        <v/>
      </c>
      <c r="E89" s="1747">
        <f>E88+D89</f>
        <v/>
      </c>
      <c r="F89" s="1747">
        <f>F88-D88</f>
        <v/>
      </c>
      <c r="G89" s="1748">
        <f>G88-D89</f>
        <v/>
      </c>
      <c r="H89" s="1760" t="n"/>
      <c r="K89" s="1762" t="n"/>
    </row>
    <row r="90" ht="39.75" customFormat="1" customHeight="1" s="1735">
      <c r="A90" s="1766" t="n"/>
      <c r="B90" s="1782" t="inlineStr">
        <is>
          <t>UPPER CONN. 3-1/2" VAM TOP BOX 9.2 PPF TX28- 110 KSI
DESCRIPTION: 5 FEET XOVER
SAP: 130013006383
SUPPLIER: TBX
LOWER CONN -3-1/2" SENTINEL PRIME PIN 9.2 PPF TX28-110 KSI</t>
        </is>
      </c>
      <c r="C90" s="1783" t="n">
        <v>4.85</v>
      </c>
      <c r="D90" s="1756">
        <f>C90-0.301</f>
        <v/>
      </c>
      <c r="E90" s="1747">
        <f>E89+D90</f>
        <v/>
      </c>
      <c r="F90" s="1747">
        <f>F89-D89</f>
        <v/>
      </c>
      <c r="G90" s="1748">
        <f>G89-D90</f>
        <v/>
      </c>
      <c r="H90" s="1760" t="n"/>
      <c r="K90" s="1762" t="n"/>
    </row>
    <row r="91" ht="39.75" customFormat="1" customHeight="1" s="1735">
      <c r="A91" s="1440" t="n"/>
      <c r="B91" s="1782" t="inlineStr">
        <is>
          <t>UPPER CONN. 3-1/2" TSH BLUE BOX 9.2 PPF SN 28 110 KSI
DESCRIPTION: 10 FEET XOVER
SAP: 130005012487
SUPPLIER: TENARIS
LOWER CONN. 3-1/2" VAM TOP PIN 9.2 PPF SN 28 110 KSI</t>
        </is>
      </c>
      <c r="C91" s="1783" t="n">
        <v>9.949999999999999</v>
      </c>
      <c r="D91" s="1756">
        <f>C91-0.301</f>
        <v/>
      </c>
      <c r="E91" s="1747">
        <f>E90+D91</f>
        <v/>
      </c>
      <c r="F91" s="1747">
        <f>F90-D90</f>
        <v/>
      </c>
      <c r="G91" s="1748">
        <f>G90-D91</f>
        <v/>
      </c>
      <c r="H91" s="1760" t="n"/>
      <c r="K91" s="1762" t="n"/>
    </row>
    <row r="92" ht="39.75" customFormat="1" customHeight="1" s="1735">
      <c r="A92" s="1754" t="inlineStr">
        <is>
          <t>JT.#58</t>
        </is>
      </c>
      <c r="B92" s="1754" t="inlineStr">
        <is>
          <t>3 1/2" TSH</t>
        </is>
      </c>
      <c r="C92" s="1755" t="n">
        <v>31</v>
      </c>
      <c r="D92" s="1756">
        <f>C92-0.301</f>
        <v/>
      </c>
      <c r="E92" s="1747">
        <f>E91+D92</f>
        <v/>
      </c>
      <c r="F92" s="1747">
        <f>F91-D91</f>
        <v/>
      </c>
      <c r="G92" s="1748">
        <f>G91-D92</f>
        <v/>
      </c>
      <c r="H92" s="1760" t="n"/>
      <c r="K92" s="1762" t="n"/>
    </row>
    <row r="93" ht="39.75" customFormat="1" customHeight="1" s="1735">
      <c r="A93" s="1754" t="inlineStr">
        <is>
          <t>JT.#59</t>
        </is>
      </c>
      <c r="B93" s="1754" t="inlineStr">
        <is>
          <t>3 1/2" TSH</t>
        </is>
      </c>
      <c r="C93" s="1755" t="n">
        <v>31</v>
      </c>
      <c r="D93" s="1756">
        <f>C93-0.301</f>
        <v/>
      </c>
      <c r="E93" s="1747">
        <f>E92+D93</f>
        <v/>
      </c>
      <c r="F93" s="1747">
        <f>F92-D92</f>
        <v/>
      </c>
      <c r="G93" s="1748">
        <f>G92-D93</f>
        <v/>
      </c>
      <c r="H93" s="1760" t="n"/>
      <c r="K93" s="1762" t="n"/>
    </row>
    <row r="94" ht="39.75" customFormat="1" customHeight="1" s="1735">
      <c r="A94" s="1754" t="inlineStr">
        <is>
          <t>JT.#60</t>
        </is>
      </c>
      <c r="B94" s="1754" t="inlineStr">
        <is>
          <t>3 1/2" TSH</t>
        </is>
      </c>
      <c r="C94" s="1755" t="n">
        <v>31</v>
      </c>
      <c r="D94" s="1756">
        <f>C94-0.301</f>
        <v/>
      </c>
      <c r="E94" s="1747">
        <f>E93+D94</f>
        <v/>
      </c>
      <c r="F94" s="1747">
        <f>F93-D93</f>
        <v/>
      </c>
      <c r="G94" s="1748">
        <f>G93-D94</f>
        <v/>
      </c>
      <c r="H94" s="1760" t="n"/>
      <c r="K94" s="1762" t="n"/>
    </row>
    <row r="95" ht="39.75" customFormat="1" customHeight="1" s="1735">
      <c r="A95" s="1754" t="inlineStr">
        <is>
          <t>JT.#61</t>
        </is>
      </c>
      <c r="B95" s="1754" t="inlineStr">
        <is>
          <t>3 1/2" TSH</t>
        </is>
      </c>
      <c r="C95" s="1755" t="n">
        <v>31</v>
      </c>
      <c r="D95" s="1756">
        <f>C95-0.301</f>
        <v/>
      </c>
      <c r="E95" s="1747">
        <f>E94+D95</f>
        <v/>
      </c>
      <c r="F95" s="1747">
        <f>F94-D94</f>
        <v/>
      </c>
      <c r="G95" s="1748">
        <f>G94-D95</f>
        <v/>
      </c>
      <c r="H95" s="1760" t="n"/>
      <c r="K95" s="1762" t="n"/>
    </row>
    <row r="96" ht="39.75" customFormat="1" customHeight="1" s="1735">
      <c r="A96" s="1754" t="inlineStr">
        <is>
          <t>JT.#62</t>
        </is>
      </c>
      <c r="B96" s="1754" t="inlineStr">
        <is>
          <t>3 1/2" TSH</t>
        </is>
      </c>
      <c r="C96" s="1755" t="n">
        <v>31</v>
      </c>
      <c r="D96" s="1756">
        <f>C96-0.301</f>
        <v/>
      </c>
      <c r="E96" s="1747">
        <f>E95+D96</f>
        <v/>
      </c>
      <c r="F96" s="1747">
        <f>F95-D95</f>
        <v/>
      </c>
      <c r="G96" s="1748">
        <f>G95-D96</f>
        <v/>
      </c>
      <c r="H96" s="1760" t="n"/>
      <c r="I96" s="1784" t="n"/>
      <c r="K96" s="1762" t="n"/>
    </row>
    <row r="97" ht="39.75" customFormat="1" customHeight="1" s="1735">
      <c r="A97" s="1754" t="inlineStr">
        <is>
          <t>JT.#63</t>
        </is>
      </c>
      <c r="B97" s="1754" t="inlineStr">
        <is>
          <t>3 1/2" TSH</t>
        </is>
      </c>
      <c r="C97" s="1755" t="n">
        <v>31</v>
      </c>
      <c r="D97" s="1756">
        <f>C97-0.301</f>
        <v/>
      </c>
      <c r="E97" s="1747">
        <f>E96+D97</f>
        <v/>
      </c>
      <c r="F97" s="1747">
        <f>F96-D96</f>
        <v/>
      </c>
      <c r="G97" s="1748">
        <f>G96-D97</f>
        <v/>
      </c>
      <c r="H97" s="1760" t="n"/>
      <c r="I97" s="1784" t="n"/>
      <c r="K97" s="1762" t="n"/>
    </row>
    <row r="98" ht="39.75" customFormat="1" customHeight="1" s="1735">
      <c r="A98" s="1754" t="inlineStr">
        <is>
          <t>JT.#64</t>
        </is>
      </c>
      <c r="B98" s="1754" t="inlineStr">
        <is>
          <t>3 1/2" TSH</t>
        </is>
      </c>
      <c r="C98" s="1755" t="n">
        <v>31</v>
      </c>
      <c r="D98" s="1756">
        <f>C98-0.301</f>
        <v/>
      </c>
      <c r="E98" s="1747">
        <f>E97+D98</f>
        <v/>
      </c>
      <c r="F98" s="1747">
        <f>F97-D97</f>
        <v/>
      </c>
      <c r="G98" s="1748">
        <f>G97-D98</f>
        <v/>
      </c>
      <c r="H98" s="1760" t="n"/>
      <c r="I98" s="1784" t="n"/>
      <c r="K98" s="1762" t="n"/>
    </row>
    <row r="99" ht="39.75" customFormat="1" customHeight="1" s="1735">
      <c r="A99" s="1754" t="inlineStr">
        <is>
          <t>JT.#65</t>
        </is>
      </c>
      <c r="B99" s="1754" t="inlineStr">
        <is>
          <t>3 1/2" TSH</t>
        </is>
      </c>
      <c r="C99" s="1755" t="n">
        <v>31</v>
      </c>
      <c r="D99" s="1756">
        <f>C99-0.301</f>
        <v/>
      </c>
      <c r="E99" s="1747">
        <f>E98+D99</f>
        <v/>
      </c>
      <c r="F99" s="1747">
        <f>F98-D98</f>
        <v/>
      </c>
      <c r="G99" s="1748">
        <f>G98-D99</f>
        <v/>
      </c>
      <c r="H99" s="1760" t="n"/>
      <c r="I99" s="1784" t="n"/>
      <c r="K99" s="1762" t="n"/>
    </row>
    <row r="100" ht="39.75" customFormat="1" customHeight="1" s="1735">
      <c r="A100" s="1754" t="inlineStr">
        <is>
          <t>JT.#66</t>
        </is>
      </c>
      <c r="B100" s="1754" t="inlineStr">
        <is>
          <t>3 1/2" TSH</t>
        </is>
      </c>
      <c r="C100" s="1755" t="n">
        <v>31</v>
      </c>
      <c r="D100" s="1756">
        <f>C100-0.301</f>
        <v/>
      </c>
      <c r="E100" s="1747">
        <f>E99+D100</f>
        <v/>
      </c>
      <c r="F100" s="1747">
        <f>F99-D99</f>
        <v/>
      </c>
      <c r="G100" s="1748">
        <f>G99-D100</f>
        <v/>
      </c>
      <c r="H100" s="1760" t="n"/>
      <c r="I100" s="1784" t="n"/>
      <c r="K100" s="1762" t="n"/>
    </row>
    <row r="101" ht="39.75" customFormat="1" customHeight="1" s="1735">
      <c r="A101" s="1754" t="inlineStr">
        <is>
          <t>JT.#67</t>
        </is>
      </c>
      <c r="B101" s="1754" t="inlineStr">
        <is>
          <t>3 1/2" TSH</t>
        </is>
      </c>
      <c r="C101" s="1755" t="n">
        <v>31</v>
      </c>
      <c r="D101" s="1756">
        <f>C101-0.301</f>
        <v/>
      </c>
      <c r="E101" s="1747">
        <f>E100+D101</f>
        <v/>
      </c>
      <c r="F101" s="1747">
        <f>F100-D100</f>
        <v/>
      </c>
      <c r="G101" s="1748">
        <f>G100-D101</f>
        <v/>
      </c>
      <c r="H101" s="1760" t="n"/>
      <c r="K101" s="1762" t="n"/>
    </row>
    <row r="102" ht="39.75" customFormat="1" customHeight="1" s="1735">
      <c r="A102" s="1754" t="inlineStr">
        <is>
          <t>JT.#68</t>
        </is>
      </c>
      <c r="B102" s="1754" t="inlineStr">
        <is>
          <t>3 1/2" TSH</t>
        </is>
      </c>
      <c r="C102" s="1755" t="n">
        <v>31</v>
      </c>
      <c r="D102" s="1756">
        <f>C102-0.301</f>
        <v/>
      </c>
      <c r="E102" s="1747">
        <f>E101+D102</f>
        <v/>
      </c>
      <c r="F102" s="1747">
        <f>F101-D101</f>
        <v/>
      </c>
      <c r="G102" s="1748">
        <f>G101-D102</f>
        <v/>
      </c>
      <c r="H102" s="1760" t="n"/>
      <c r="K102" s="1762" t="n"/>
    </row>
    <row r="103" ht="39.75" customFormat="1" customHeight="1" s="1735">
      <c r="A103" s="1754" t="inlineStr">
        <is>
          <t>JT.#69</t>
        </is>
      </c>
      <c r="B103" s="1754" t="inlineStr">
        <is>
          <t>3 1/2" TSH</t>
        </is>
      </c>
      <c r="C103" s="1755" t="n">
        <v>31</v>
      </c>
      <c r="D103" s="1756">
        <f>C103-0.301</f>
        <v/>
      </c>
      <c r="E103" s="1747">
        <f>E102+D103</f>
        <v/>
      </c>
      <c r="F103" s="1747">
        <f>F102-D102</f>
        <v/>
      </c>
      <c r="G103" s="1748">
        <f>G102-D103</f>
        <v/>
      </c>
      <c r="H103" s="1760" t="n"/>
      <c r="K103" s="1762" t="n"/>
    </row>
    <row r="104" ht="39.75" customFormat="1" customHeight="1" s="1735">
      <c r="A104" s="1754" t="inlineStr">
        <is>
          <t>JT.#70</t>
        </is>
      </c>
      <c r="B104" s="1754" t="inlineStr">
        <is>
          <t>3 1/2" TSH</t>
        </is>
      </c>
      <c r="C104" s="1755" t="n">
        <v>31</v>
      </c>
      <c r="D104" s="1756">
        <f>C104-0.301</f>
        <v/>
      </c>
      <c r="E104" s="1747">
        <f>E103+D104</f>
        <v/>
      </c>
      <c r="F104" s="1747">
        <f>F103-D103</f>
        <v/>
      </c>
      <c r="G104" s="1748">
        <f>G103-D104</f>
        <v/>
      </c>
      <c r="H104" s="1760" t="n"/>
      <c r="K104" s="1762" t="n"/>
    </row>
    <row r="105" ht="39.75" customFormat="1" customHeight="1" s="1735">
      <c r="A105" s="1754" t="inlineStr">
        <is>
          <t>JT.#71</t>
        </is>
      </c>
      <c r="B105" s="1754" t="inlineStr">
        <is>
          <t>3 1/2" TSH</t>
        </is>
      </c>
      <c r="C105" s="1755" t="n">
        <v>31</v>
      </c>
      <c r="D105" s="1756">
        <f>C105-0.301</f>
        <v/>
      </c>
      <c r="E105" s="1747">
        <f>E104+D105</f>
        <v/>
      </c>
      <c r="F105" s="1747">
        <f>F104-D104</f>
        <v/>
      </c>
      <c r="G105" s="1748">
        <f>G104-D105</f>
        <v/>
      </c>
      <c r="H105" s="1760" t="n"/>
      <c r="K105" s="1762" t="n"/>
    </row>
    <row r="106" ht="39.75" customFormat="1" customHeight="1" s="1735">
      <c r="A106" s="1754" t="inlineStr">
        <is>
          <t>JT.#72</t>
        </is>
      </c>
      <c r="B106" s="1754" t="inlineStr">
        <is>
          <t>3 1/2" TSH</t>
        </is>
      </c>
      <c r="C106" s="1755" t="n">
        <v>31</v>
      </c>
      <c r="D106" s="1756">
        <f>C106-0.301</f>
        <v/>
      </c>
      <c r="E106" s="1747">
        <f>E105+D106</f>
        <v/>
      </c>
      <c r="F106" s="1747">
        <f>F105-D105</f>
        <v/>
      </c>
      <c r="G106" s="1748">
        <f>G105-D106</f>
        <v/>
      </c>
      <c r="H106" s="1760" t="n"/>
      <c r="K106" s="1762" t="n"/>
    </row>
    <row r="107" ht="39.75" customFormat="1" customHeight="1" s="1735">
      <c r="A107" s="1754" t="inlineStr">
        <is>
          <t>JT.#73</t>
        </is>
      </c>
      <c r="B107" s="1754" t="inlineStr">
        <is>
          <t>3 1/2" TSH</t>
        </is>
      </c>
      <c r="C107" s="1755" t="n">
        <v>31</v>
      </c>
      <c r="D107" s="1756">
        <f>C107-0.301</f>
        <v/>
      </c>
      <c r="E107" s="1747">
        <f>E106+D107</f>
        <v/>
      </c>
      <c r="F107" s="1747">
        <f>F106-D106</f>
        <v/>
      </c>
      <c r="G107" s="1748">
        <f>G106-D107</f>
        <v/>
      </c>
      <c r="H107" s="1760" t="n"/>
      <c r="K107" s="1762" t="n"/>
    </row>
    <row r="108" ht="39.75" customFormat="1" customHeight="1" s="1735">
      <c r="A108" s="1754" t="inlineStr">
        <is>
          <t>JT.#74</t>
        </is>
      </c>
      <c r="B108" s="1754" t="inlineStr">
        <is>
          <t>3 1/2" TSH</t>
        </is>
      </c>
      <c r="C108" s="1755" t="n">
        <v>31</v>
      </c>
      <c r="D108" s="1756">
        <f>C108-0.301</f>
        <v/>
      </c>
      <c r="E108" s="1747">
        <f>E107+D108</f>
        <v/>
      </c>
      <c r="F108" s="1747">
        <f>F107-D107</f>
        <v/>
      </c>
      <c r="G108" s="1748">
        <f>G107-D108</f>
        <v/>
      </c>
      <c r="H108" s="1760" t="n"/>
      <c r="K108" s="1762" t="n"/>
    </row>
    <row r="109" ht="39.75" customFormat="1" customHeight="1" s="1735">
      <c r="A109" s="1754" t="inlineStr">
        <is>
          <t>JT.#75</t>
        </is>
      </c>
      <c r="B109" s="1754" t="inlineStr">
        <is>
          <t>3 1/2" TSH</t>
        </is>
      </c>
      <c r="C109" s="1755" t="n">
        <v>31</v>
      </c>
      <c r="D109" s="1756">
        <f>C109-0.301</f>
        <v/>
      </c>
      <c r="E109" s="1747">
        <f>E108+D109</f>
        <v/>
      </c>
      <c r="F109" s="1747">
        <f>F108-D108</f>
        <v/>
      </c>
      <c r="G109" s="1748">
        <f>G108-D109</f>
        <v/>
      </c>
      <c r="H109" s="1760" t="n"/>
      <c r="K109" s="1762" t="n"/>
    </row>
    <row r="110" ht="39.75" customFormat="1" customHeight="1" s="1735">
      <c r="A110" s="1754" t="inlineStr">
        <is>
          <t>JT.#76</t>
        </is>
      </c>
      <c r="B110" s="1754" t="inlineStr">
        <is>
          <t>3 1/2" TSH</t>
        </is>
      </c>
      <c r="C110" s="1755" t="n">
        <v>31</v>
      </c>
      <c r="D110" s="1756">
        <f>C110-0.301</f>
        <v/>
      </c>
      <c r="E110" s="1747">
        <f>E109+D110</f>
        <v/>
      </c>
      <c r="F110" s="1747">
        <f>F109-D109</f>
        <v/>
      </c>
      <c r="G110" s="1748">
        <f>G109-D110</f>
        <v/>
      </c>
      <c r="H110" s="1760" t="n"/>
      <c r="K110" s="1762" t="n"/>
    </row>
    <row r="111" ht="39.75" customFormat="1" customHeight="1" s="1735">
      <c r="A111" s="1754" t="inlineStr">
        <is>
          <t>JT.#77</t>
        </is>
      </c>
      <c r="B111" s="1754" t="inlineStr">
        <is>
          <t>3 1/2" TSH</t>
        </is>
      </c>
      <c r="C111" s="1755" t="n">
        <v>31</v>
      </c>
      <c r="D111" s="1756">
        <f>C111-0.301</f>
        <v/>
      </c>
      <c r="E111" s="1747">
        <f>E110+D111</f>
        <v/>
      </c>
      <c r="F111" s="1747">
        <f>F110-D110</f>
        <v/>
      </c>
      <c r="G111" s="1748">
        <f>G110-D111</f>
        <v/>
      </c>
      <c r="H111" s="1760" t="n"/>
      <c r="K111" s="1762" t="n"/>
    </row>
    <row r="112" ht="39" customFormat="1" customHeight="1" s="1735">
      <c r="A112" s="1785" t="inlineStr">
        <is>
          <t>D2</t>
        </is>
      </c>
      <c r="B112" s="1786" t="inlineStr">
        <is>
          <t>UPPER CONN. 3-1/2" VAM TOP BOX 9.2 PPF SN 28 110 KSI
DESCRIPTION: 5 FEET XOVER
SAP: 130005011340
SUPPLIER: TENARIS
LOWER CONN. 3-1/2" TSH BLUE PIN 9.2 PPF SN 28 110 KSI</t>
        </is>
      </c>
      <c r="C112" s="1787" t="n">
        <v>5.18</v>
      </c>
      <c r="D112" s="1756">
        <f>C112-0.301</f>
        <v/>
      </c>
      <c r="E112" s="1747">
        <f>E111+D112</f>
        <v/>
      </c>
      <c r="F112" s="1747">
        <f>F111-D111</f>
        <v/>
      </c>
      <c r="G112" s="1748">
        <f>G111-D112</f>
        <v/>
      </c>
      <c r="H112" s="1760" t="n"/>
      <c r="K112" s="1762" t="n"/>
    </row>
    <row r="113" ht="39.75" customFormat="1" customHeight="1" s="1735">
      <c r="A113" s="1766" t="n"/>
      <c r="B113" s="1786" t="inlineStr">
        <is>
          <t>UPPER CONN. 3-1/2" SENTINEL PRIME BOX 9.2 PPF TX28- 110 KSI
DESCRIPTION: 5 FEET XOVER
SAP: 130013006385
SUPPLIER: TBX
LOWER CONN. 3-1/2" VAM TOP PIN 9.2 PPF TX28-110 KSI</t>
        </is>
      </c>
      <c r="C113" s="1787" t="n">
        <v>4.97</v>
      </c>
      <c r="D113" s="1756">
        <f>C113-0.301</f>
        <v/>
      </c>
      <c r="E113" s="1747">
        <f>E112+D113</f>
        <v/>
      </c>
      <c r="F113" s="1747">
        <f>F112-D112</f>
        <v/>
      </c>
      <c r="G113" s="1748">
        <f>G112-D113</f>
        <v/>
      </c>
      <c r="H113" s="1760" t="n"/>
      <c r="K113" s="1762" t="n"/>
    </row>
    <row r="114" ht="39.75" customFormat="1" customHeight="1" s="1735">
      <c r="A114" s="1766" t="n"/>
      <c r="B114" s="178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787" t="n">
        <v>8.69</v>
      </c>
      <c r="D114" s="1756">
        <f>C114-0.301</f>
        <v/>
      </c>
      <c r="E114" s="1747">
        <f>E113+D114</f>
        <v/>
      </c>
      <c r="F114" s="1747">
        <f>F113-D113</f>
        <v/>
      </c>
      <c r="G114" s="1748">
        <f>G113-D114</f>
        <v/>
      </c>
      <c r="H114" s="1760" t="n"/>
      <c r="K114" s="1762" t="n"/>
    </row>
    <row r="115" ht="39.75" customFormat="1" customHeight="1" s="1735">
      <c r="A115" s="1766" t="n"/>
      <c r="B115" s="1786" t="inlineStr">
        <is>
          <t>UPPER CONN. 3-1/2" VAM TOP BOX 9.2 PPF TX28- 110 KSI
DESCRIPTION: 5 FEET XOVER
SAP: 130013006383
SUPPLIER: TBX
LOWER CONN -3-1/2" SENTINEL PRIME PIN 9.2 PPF TX28-110 KSI</t>
        </is>
      </c>
      <c r="C115" s="1787" t="n">
        <v>4.8</v>
      </c>
      <c r="D115" s="1756">
        <f>C115-0.301</f>
        <v/>
      </c>
      <c r="E115" s="1747">
        <f>E114+D115</f>
        <v/>
      </c>
      <c r="F115" s="1747">
        <f>F114-D114</f>
        <v/>
      </c>
      <c r="G115" s="1748">
        <f>G114-D115</f>
        <v/>
      </c>
      <c r="H115" s="1760" t="n"/>
      <c r="K115" s="1762" t="n"/>
    </row>
    <row r="116" ht="39.75" customFormat="1" customHeight="1" s="1735">
      <c r="A116" s="1440" t="n"/>
      <c r="B116" s="1786" t="inlineStr">
        <is>
          <t>UPPER CONN. 3-1/2" TSH BLUE BOX 9.2 PPF SN 28 110 KSI
DESCRIPTION: 10 FEET XOVER
SAP: 130005012487
SUPPLIER: TENARIS
LOWER CONN. 3-1/2" VAM TOP PIN 9.2 PPF SN 28 110 KSI</t>
        </is>
      </c>
      <c r="C116" s="1787" t="n">
        <v>9.949999999999999</v>
      </c>
      <c r="D116" s="1756">
        <f>C116-0.301</f>
        <v/>
      </c>
      <c r="E116" s="1747">
        <f>E115+D116</f>
        <v/>
      </c>
      <c r="F116" s="1747">
        <f>F115-D115</f>
        <v/>
      </c>
      <c r="G116" s="1748">
        <f>G115-D116</f>
        <v/>
      </c>
      <c r="H116" s="1760" t="n"/>
      <c r="K116" s="1762" t="n"/>
    </row>
    <row r="117" ht="39.75" customFormat="1" customHeight="1" s="1735">
      <c r="A117" s="1754" t="inlineStr">
        <is>
          <t>JT.#78</t>
        </is>
      </c>
      <c r="B117" s="1754" t="inlineStr">
        <is>
          <t>3 1/2" TSH</t>
        </is>
      </c>
      <c r="C117" s="1755" t="n">
        <v>31</v>
      </c>
      <c r="D117" s="1756">
        <f>C117-0.301</f>
        <v/>
      </c>
      <c r="E117" s="1747">
        <f>E116+D117</f>
        <v/>
      </c>
      <c r="F117" s="1747">
        <f>F116-D116</f>
        <v/>
      </c>
      <c r="G117" s="1748">
        <f>G116-D117</f>
        <v/>
      </c>
      <c r="H117" s="1760" t="n"/>
      <c r="K117" s="1762" t="n"/>
    </row>
    <row r="118" ht="39.75" customFormat="1" customHeight="1" s="1735">
      <c r="A118" s="1754" t="inlineStr">
        <is>
          <t>JT.#79</t>
        </is>
      </c>
      <c r="B118" s="1754" t="inlineStr">
        <is>
          <t>3 1/2" TSH</t>
        </is>
      </c>
      <c r="C118" s="1755" t="n">
        <v>31</v>
      </c>
      <c r="D118" s="1788">
        <f>C118-0.301</f>
        <v/>
      </c>
      <c r="E118" s="1747">
        <f>E117+D118</f>
        <v/>
      </c>
      <c r="F118" s="1747">
        <f>F117-D117</f>
        <v/>
      </c>
      <c r="G118" s="1748">
        <f>G117-D118</f>
        <v/>
      </c>
      <c r="H118" s="1776" t="n"/>
      <c r="K118" s="1762" t="n"/>
    </row>
    <row r="119" ht="39.75" customFormat="1" customHeight="1" s="1735">
      <c r="A119" s="1754" t="inlineStr">
        <is>
          <t>JT.#80</t>
        </is>
      </c>
      <c r="B119" s="1754" t="inlineStr">
        <is>
          <t>3 1/2" TSH</t>
        </is>
      </c>
      <c r="C119" s="1755" t="n">
        <v>31</v>
      </c>
      <c r="D119" s="1788">
        <f>C119-0.301</f>
        <v/>
      </c>
      <c r="E119" s="1747">
        <f>E118+D119</f>
        <v/>
      </c>
      <c r="F119" s="1747">
        <f>F118-D118</f>
        <v/>
      </c>
      <c r="G119" s="1748">
        <f>G118-D119</f>
        <v/>
      </c>
      <c r="H119" s="1760" t="n"/>
      <c r="K119" s="1762" t="n"/>
    </row>
    <row r="120" ht="39.75" customFormat="1" customHeight="1" s="1735">
      <c r="A120" s="1754" t="inlineStr">
        <is>
          <t>JT.#81</t>
        </is>
      </c>
      <c r="B120" s="1754" t="inlineStr">
        <is>
          <t>3 1/2" TSH</t>
        </is>
      </c>
      <c r="C120" s="1755" t="n">
        <v>31</v>
      </c>
      <c r="D120" s="1756">
        <f>C120-0.301</f>
        <v/>
      </c>
      <c r="E120" s="1747">
        <f>E119+D120</f>
        <v/>
      </c>
      <c r="F120" s="1747">
        <f>F119-D119</f>
        <v/>
      </c>
      <c r="G120" s="1748">
        <f>G119-D120</f>
        <v/>
      </c>
      <c r="H120" s="1760" t="n"/>
      <c r="K120" s="1762" t="n"/>
    </row>
    <row r="121" ht="39.75" customFormat="1" customHeight="1" s="1735">
      <c r="A121" s="1754" t="inlineStr">
        <is>
          <t>JT.#82</t>
        </is>
      </c>
      <c r="B121" s="1754" t="inlineStr">
        <is>
          <t>3 1/2" TSH</t>
        </is>
      </c>
      <c r="C121" s="1755" t="n">
        <v>31</v>
      </c>
      <c r="D121" s="1756">
        <f>C121-0.301</f>
        <v/>
      </c>
      <c r="E121" s="1747">
        <f>E120+D121</f>
        <v/>
      </c>
      <c r="F121" s="1747">
        <f>F120-D120</f>
        <v/>
      </c>
      <c r="G121" s="1748">
        <f>G120-D121</f>
        <v/>
      </c>
      <c r="H121" s="1760" t="n"/>
      <c r="K121" s="1762" t="n"/>
    </row>
    <row r="122" ht="39.75" customFormat="1" customHeight="1" s="1735">
      <c r="A122" s="1754" t="inlineStr">
        <is>
          <t>JT.#83</t>
        </is>
      </c>
      <c r="B122" s="1754" t="inlineStr">
        <is>
          <t>3 1/2" TSH</t>
        </is>
      </c>
      <c r="C122" s="1755" t="n">
        <v>31</v>
      </c>
      <c r="D122" s="1756">
        <f>C122-0.301</f>
        <v/>
      </c>
      <c r="E122" s="1747">
        <f>E121+D122</f>
        <v/>
      </c>
      <c r="F122" s="1747">
        <f>F121-D121</f>
        <v/>
      </c>
      <c r="G122" s="1748">
        <f>G121-D122</f>
        <v/>
      </c>
      <c r="H122" s="1760" t="n"/>
      <c r="K122" s="1762" t="n"/>
    </row>
    <row r="123" ht="39.75" customFormat="1" customHeight="1" s="1735">
      <c r="A123" s="1754" t="inlineStr">
        <is>
          <t>JT.#84</t>
        </is>
      </c>
      <c r="B123" s="1754" t="inlineStr">
        <is>
          <t>3 1/2" TSH</t>
        </is>
      </c>
      <c r="C123" s="1755" t="n">
        <v>31</v>
      </c>
      <c r="D123" s="1756">
        <f>C123-0.301</f>
        <v/>
      </c>
      <c r="E123" s="1747">
        <f>E122+D123</f>
        <v/>
      </c>
      <c r="F123" s="1747">
        <f>F122-D122</f>
        <v/>
      </c>
      <c r="G123" s="1748">
        <f>G122-D123</f>
        <v/>
      </c>
      <c r="H123" s="1760" t="n"/>
      <c r="K123" s="1762" t="n"/>
    </row>
    <row r="124" ht="39.75" customFormat="1" customHeight="1" s="1735">
      <c r="A124" s="1754" t="inlineStr">
        <is>
          <t>JT.#85</t>
        </is>
      </c>
      <c r="B124" s="1754" t="inlineStr">
        <is>
          <t>3 1/2" TSH</t>
        </is>
      </c>
      <c r="C124" s="1755" t="n">
        <v>31</v>
      </c>
      <c r="D124" s="1756">
        <f>C124-0.301</f>
        <v/>
      </c>
      <c r="E124" s="1747">
        <f>E123+D124</f>
        <v/>
      </c>
      <c r="F124" s="1747">
        <f>F123-D123</f>
        <v/>
      </c>
      <c r="G124" s="1748">
        <f>G123-D124</f>
        <v/>
      </c>
      <c r="H124" s="1760" t="n"/>
      <c r="K124" s="1762" t="n"/>
    </row>
    <row r="125" ht="39.75" customFormat="1" customHeight="1" s="1735">
      <c r="A125" s="1754" t="inlineStr">
        <is>
          <t>JT.#86</t>
        </is>
      </c>
      <c r="B125" s="1754" t="inlineStr">
        <is>
          <t>3 1/2" TSH</t>
        </is>
      </c>
      <c r="C125" s="1755" t="n">
        <v>31</v>
      </c>
      <c r="D125" s="1756">
        <f>C125-0.301</f>
        <v/>
      </c>
      <c r="E125" s="1747">
        <f>E124+D125</f>
        <v/>
      </c>
      <c r="F125" s="1747">
        <f>F124-D124</f>
        <v/>
      </c>
      <c r="G125" s="1748">
        <f>G124-D125</f>
        <v/>
      </c>
      <c r="H125" s="1760" t="n"/>
      <c r="K125" s="1762" t="n"/>
    </row>
    <row r="126" ht="39.75" customFormat="1" customHeight="1" s="1735">
      <c r="A126" s="1754" t="inlineStr">
        <is>
          <t>JT.#87</t>
        </is>
      </c>
      <c r="B126" s="1754" t="inlineStr">
        <is>
          <t>3 1/2" TSH</t>
        </is>
      </c>
      <c r="C126" s="1755" t="n">
        <v>31</v>
      </c>
      <c r="D126" s="1756">
        <f>C126-0.301</f>
        <v/>
      </c>
      <c r="E126" s="1747">
        <f>E125+D126</f>
        <v/>
      </c>
      <c r="F126" s="1747">
        <f>F125-D125</f>
        <v/>
      </c>
      <c r="G126" s="1748">
        <f>G125-D126</f>
        <v/>
      </c>
      <c r="H126" s="1760" t="n"/>
      <c r="K126" s="1762" t="n"/>
    </row>
    <row r="127" ht="39.75" customFormat="1" customHeight="1" s="1735">
      <c r="A127" s="1754" t="inlineStr">
        <is>
          <t>JT.#88</t>
        </is>
      </c>
      <c r="B127" s="1754" t="inlineStr">
        <is>
          <t>3 1/2" TSH</t>
        </is>
      </c>
      <c r="C127" s="1755" t="n">
        <v>31</v>
      </c>
      <c r="D127" s="1756">
        <f>C127-0.301</f>
        <v/>
      </c>
      <c r="E127" s="1747">
        <f>E126+D127</f>
        <v/>
      </c>
      <c r="F127" s="1747">
        <f>F126-D126</f>
        <v/>
      </c>
      <c r="G127" s="1748">
        <f>G126-D127</f>
        <v/>
      </c>
      <c r="H127" s="1760" t="n"/>
      <c r="K127" s="1762" t="n"/>
    </row>
    <row r="128" ht="39.75" customFormat="1" customHeight="1" s="1735">
      <c r="A128" s="1754" t="inlineStr">
        <is>
          <t>JT.#89</t>
        </is>
      </c>
      <c r="B128" s="1754" t="inlineStr">
        <is>
          <t>3 1/2" TSH</t>
        </is>
      </c>
      <c r="C128" s="1755" t="n">
        <v>31</v>
      </c>
      <c r="D128" s="1756">
        <f>C128-0.301</f>
        <v/>
      </c>
      <c r="E128" s="1747">
        <f>E127+D128</f>
        <v/>
      </c>
      <c r="F128" s="1747">
        <f>F127-D127</f>
        <v/>
      </c>
      <c r="G128" s="1748">
        <f>G127-D128</f>
        <v/>
      </c>
      <c r="H128" s="1760" t="n"/>
      <c r="K128" s="1762" t="n"/>
    </row>
    <row r="129" ht="39.75" customFormat="1" customHeight="1" s="1735">
      <c r="A129" s="1754" t="inlineStr">
        <is>
          <t>JT.#90</t>
        </is>
      </c>
      <c r="B129" s="1754" t="inlineStr">
        <is>
          <t>3 1/2" TSH</t>
        </is>
      </c>
      <c r="C129" s="1755" t="n">
        <v>31</v>
      </c>
      <c r="D129" s="1756">
        <f>C129-0.301</f>
        <v/>
      </c>
      <c r="E129" s="1747">
        <f>E128+D129</f>
        <v/>
      </c>
      <c r="F129" s="1747">
        <f>F128-D128</f>
        <v/>
      </c>
      <c r="G129" s="1748">
        <f>G128-D129</f>
        <v/>
      </c>
      <c r="H129" s="1760" t="n"/>
      <c r="K129" s="1762" t="n"/>
    </row>
    <row r="130" ht="39.75" customFormat="1" customHeight="1" s="1735">
      <c r="A130" s="1754" t="inlineStr">
        <is>
          <t>JT.#91</t>
        </is>
      </c>
      <c r="B130" s="1754" t="inlineStr">
        <is>
          <t>3 1/2" TSH</t>
        </is>
      </c>
      <c r="C130" s="1755" t="n">
        <v>31</v>
      </c>
      <c r="D130" s="1756">
        <f>C130-0.301</f>
        <v/>
      </c>
      <c r="E130" s="1747">
        <f>E129+D130</f>
        <v/>
      </c>
      <c r="F130" s="1747">
        <f>F129-D129</f>
        <v/>
      </c>
      <c r="G130" s="1748">
        <f>G129-D130</f>
        <v/>
      </c>
      <c r="H130" s="1760" t="n"/>
      <c r="K130" s="1762" t="n"/>
    </row>
    <row r="131" ht="39.75" customFormat="1" customHeight="1" s="1735">
      <c r="A131" s="1754" t="inlineStr">
        <is>
          <t>JT.#92</t>
        </is>
      </c>
      <c r="B131" s="1754" t="inlineStr">
        <is>
          <t>3 1/2" TSH</t>
        </is>
      </c>
      <c r="C131" s="1755" t="n">
        <v>31</v>
      </c>
      <c r="D131" s="1756">
        <f>C131-0.301</f>
        <v/>
      </c>
      <c r="E131" s="1747">
        <f>E130+D131</f>
        <v/>
      </c>
      <c r="F131" s="1747">
        <f>F130-D130</f>
        <v/>
      </c>
      <c r="G131" s="1748">
        <f>G130-D131</f>
        <v/>
      </c>
      <c r="H131" s="1760" t="n"/>
      <c r="K131" s="1762" t="n"/>
    </row>
    <row r="132" ht="39.75" customFormat="1" customHeight="1" s="1735">
      <c r="A132" s="1754" t="inlineStr">
        <is>
          <t>JT.#93</t>
        </is>
      </c>
      <c r="B132" s="1754" t="inlineStr">
        <is>
          <t>3 1/2" TSH</t>
        </is>
      </c>
      <c r="C132" s="1755" t="n">
        <v>31</v>
      </c>
      <c r="D132" s="1756">
        <f>C132-0.301</f>
        <v/>
      </c>
      <c r="E132" s="1747">
        <f>E131+D132</f>
        <v/>
      </c>
      <c r="F132" s="1747">
        <f>F131-D131</f>
        <v/>
      </c>
      <c r="G132" s="1748">
        <f>G131-D132</f>
        <v/>
      </c>
      <c r="H132" s="1760" t="n"/>
      <c r="K132" s="1762" t="n"/>
    </row>
    <row r="133" ht="39.75" customFormat="1" customHeight="1" s="1735">
      <c r="A133" s="1754" t="inlineStr">
        <is>
          <t>JT.#94</t>
        </is>
      </c>
      <c r="B133" s="1754" t="inlineStr">
        <is>
          <t>3 1/2" TSH</t>
        </is>
      </c>
      <c r="C133" s="1755" t="n">
        <v>31</v>
      </c>
      <c r="D133" s="1756">
        <f>C133-0.301</f>
        <v/>
      </c>
      <c r="E133" s="1747">
        <f>E132+D133</f>
        <v/>
      </c>
      <c r="F133" s="1747">
        <f>F132-D132</f>
        <v/>
      </c>
      <c r="G133" s="1748">
        <f>G132-D133</f>
        <v/>
      </c>
      <c r="H133" s="1760" t="n"/>
      <c r="K133" s="1762" t="n"/>
    </row>
    <row r="134" ht="39.75" customFormat="1" customHeight="1" s="1735">
      <c r="A134" s="1754" t="inlineStr">
        <is>
          <t>JT.#95</t>
        </is>
      </c>
      <c r="B134" s="1754" t="inlineStr">
        <is>
          <t>3 1/2" TSH</t>
        </is>
      </c>
      <c r="C134" s="1755" t="n">
        <v>31</v>
      </c>
      <c r="D134" s="1756">
        <f>C134-0.301</f>
        <v/>
      </c>
      <c r="E134" s="1747">
        <f>E133+D134</f>
        <v/>
      </c>
      <c r="F134" s="1747">
        <f>F133-D133</f>
        <v/>
      </c>
      <c r="G134" s="1748">
        <f>G133-D134</f>
        <v/>
      </c>
      <c r="H134" s="1760" t="n"/>
      <c r="K134" s="1762" t="n"/>
    </row>
    <row r="135" ht="39.75" customFormat="1" customHeight="1" s="1735">
      <c r="A135" s="1754" t="inlineStr">
        <is>
          <t>JT.#96</t>
        </is>
      </c>
      <c r="B135" s="1754" t="inlineStr">
        <is>
          <t>3 1/2" TSH</t>
        </is>
      </c>
      <c r="C135" s="1755" t="n">
        <v>31</v>
      </c>
      <c r="D135" s="1756">
        <f>C135-0.301</f>
        <v/>
      </c>
      <c r="E135" s="1747">
        <f>E134+D135</f>
        <v/>
      </c>
      <c r="F135" s="1747">
        <f>F134-D134</f>
        <v/>
      </c>
      <c r="G135" s="1748">
        <f>G134-D135</f>
        <v/>
      </c>
      <c r="H135" s="1760" t="n"/>
      <c r="K135" s="1762" t="n"/>
    </row>
    <row r="136" ht="39.75" customFormat="1" customHeight="1" s="1735">
      <c r="A136" s="1754" t="inlineStr">
        <is>
          <t>JT.#97</t>
        </is>
      </c>
      <c r="B136" s="1754" t="inlineStr">
        <is>
          <t>3 1/2" TSH</t>
        </is>
      </c>
      <c r="C136" s="1755" t="n">
        <v>31</v>
      </c>
      <c r="D136" s="1756">
        <f>C136-0.301</f>
        <v/>
      </c>
      <c r="E136" s="1747">
        <f>E135+D136</f>
        <v/>
      </c>
      <c r="F136" s="1747">
        <f>F135-D135</f>
        <v/>
      </c>
      <c r="G136" s="1748">
        <f>G135-D136</f>
        <v/>
      </c>
      <c r="H136" s="1760" t="n"/>
      <c r="K136" s="1762" t="n"/>
    </row>
    <row r="137" ht="39.75" customFormat="1" customHeight="1" s="1735">
      <c r="A137" s="1789" t="inlineStr">
        <is>
          <t>D3</t>
        </is>
      </c>
      <c r="B137" s="1790" t="inlineStr">
        <is>
          <t>UPPER CONN. 3-1/2" VAM TOP BOX 9.2 PPF SN 28 110 KSI
DESCRIPTION: 5 FEET XOVER
SAP: 130005011340
SUPPLIER: TENARIS
LOWER CONN. 3-1/2" TSH BLUE PIN 9.2 PPF SN 28 110 KSI</t>
        </is>
      </c>
      <c r="C137" s="1791" t="n">
        <v>5.19</v>
      </c>
      <c r="D137" s="1756">
        <f>C137-0.301</f>
        <v/>
      </c>
      <c r="E137" s="1747">
        <f>E136+D137</f>
        <v/>
      </c>
      <c r="F137" s="1747">
        <f>F136-D136</f>
        <v/>
      </c>
      <c r="G137" s="1748">
        <f>G136-D137</f>
        <v/>
      </c>
      <c r="H137" s="1760" t="n"/>
      <c r="K137" s="1762" t="n"/>
    </row>
    <row r="138" ht="39.75" customFormat="1" customHeight="1" s="1735">
      <c r="A138" s="1766" t="n"/>
      <c r="B138" s="1790" t="inlineStr">
        <is>
          <t>UPPER CONN. 3-1/2" SENTINEL PRIME BOX 9.2 PPF TX28-110 KSI
DESCRIPTION: 5 FEET XOVER
SAP: 130013006385
SUPPLIER: TBX
LOWER CONN. 3-1/2" VAM TOP PIN 9.2 PPF TX28-110 KSI</t>
        </is>
      </c>
      <c r="C138" s="1791" t="n">
        <v>4.96</v>
      </c>
      <c r="D138" s="1756">
        <f>C138-0.301</f>
        <v/>
      </c>
      <c r="E138" s="1747">
        <f>E137+D138</f>
        <v/>
      </c>
      <c r="F138" s="1747">
        <f>F137-D137</f>
        <v/>
      </c>
      <c r="G138" s="1748">
        <f>G137-D138</f>
        <v/>
      </c>
      <c r="H138" s="1760" t="n"/>
      <c r="K138" s="1762" t="n"/>
    </row>
    <row r="139" ht="39.75" customFormat="1" customHeight="1" s="1735">
      <c r="A139" s="1766" t="n"/>
      <c r="B139" s="179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791" t="n">
        <v>8.69</v>
      </c>
      <c r="D139" s="1756">
        <f>C139-0.301</f>
        <v/>
      </c>
      <c r="E139" s="1747">
        <f>E138+D139</f>
        <v/>
      </c>
      <c r="F139" s="1747">
        <f>F138-D138</f>
        <v/>
      </c>
      <c r="G139" s="1748">
        <f>G138-D139</f>
        <v/>
      </c>
      <c r="H139" s="1760" t="n"/>
      <c r="K139" s="1762" t="n"/>
    </row>
    <row r="140" ht="39.75" customFormat="1" customHeight="1" s="1735">
      <c r="A140" s="1766" t="n"/>
      <c r="B140" s="1790" t="inlineStr">
        <is>
          <t>UPPER CONN. 3-1/2" VAM TOP BOX 9.2 PPF TX28- 110 KSI
DESCRIPTION: 5 FEET XOVER
SAP: 130013006383
SUPPLIER: TBX
LOWER CONN -3-1/2" SENTINEL PRIME PIN 9.2 PPF TX28-110 KSI</t>
        </is>
      </c>
      <c r="C140" s="1791" t="n">
        <v>4.88</v>
      </c>
      <c r="D140" s="1756">
        <f>C140-0.301</f>
        <v/>
      </c>
      <c r="E140" s="1747">
        <f>E139+D140</f>
        <v/>
      </c>
      <c r="F140" s="1747">
        <f>F139-D139</f>
        <v/>
      </c>
      <c r="G140" s="1748">
        <f>G139-D140</f>
        <v/>
      </c>
      <c r="H140" s="1760" t="n"/>
      <c r="K140" s="1762" t="n"/>
    </row>
    <row r="141" ht="39.75" customFormat="1" customHeight="1" s="1735">
      <c r="A141" s="1440" t="n"/>
      <c r="B141" s="1790" t="inlineStr">
        <is>
          <t>UPPER CONN. 3-1/2" TSH BLUE BOX 9.2 PPF SN 28 110 KSI
DESCRIPTION: 10 FEET XOVER
SAP: 130005012487
SUPPLIER: TENARIS
LOWER CONN. 3-1/2" VAM TOP PIN 9.2 PPF SN 28 110 KSI</t>
        </is>
      </c>
      <c r="C141" s="1791" t="n">
        <v>9.93</v>
      </c>
      <c r="D141" s="1756">
        <f>C141-0.301</f>
        <v/>
      </c>
      <c r="E141" s="1747">
        <f>E140+D141</f>
        <v/>
      </c>
      <c r="F141" s="1747">
        <f>F140-D140</f>
        <v/>
      </c>
      <c r="G141" s="1748">
        <f>G140-D141</f>
        <v/>
      </c>
      <c r="H141" s="1760" t="n"/>
      <c r="K141" s="1762" t="n"/>
    </row>
    <row r="142" ht="39.75" customFormat="1" customHeight="1" s="1735">
      <c r="A142" s="1754" t="inlineStr">
        <is>
          <t>JT.#98</t>
        </is>
      </c>
      <c r="B142" s="1754" t="inlineStr">
        <is>
          <t>3 1/2" TSH</t>
        </is>
      </c>
      <c r="C142" s="1755" t="n">
        <v>31</v>
      </c>
      <c r="D142" s="1756">
        <f>C142-0.301</f>
        <v/>
      </c>
      <c r="E142" s="1747">
        <f>E141+D142</f>
        <v/>
      </c>
      <c r="F142" s="1747">
        <f>F141-D141</f>
        <v/>
      </c>
      <c r="G142" s="1748">
        <f>G141-D142</f>
        <v/>
      </c>
      <c r="H142" s="1760" t="n"/>
      <c r="K142" s="1762" t="n"/>
    </row>
    <row r="143" ht="39.75" customFormat="1" customHeight="1" s="1735">
      <c r="A143" s="1754" t="inlineStr">
        <is>
          <t>JT.#99</t>
        </is>
      </c>
      <c r="B143" s="1754" t="inlineStr">
        <is>
          <t>3 1/2" TSH</t>
        </is>
      </c>
      <c r="C143" s="1755" t="n">
        <v>31</v>
      </c>
      <c r="D143" s="1756">
        <f>C143-0.301</f>
        <v/>
      </c>
      <c r="E143" s="1747">
        <f>E142+D143</f>
        <v/>
      </c>
      <c r="F143" s="1747">
        <f>F142-D142</f>
        <v/>
      </c>
      <c r="G143" s="1748">
        <f>G142-D143</f>
        <v/>
      </c>
      <c r="H143" s="1760" t="n"/>
      <c r="K143" s="1762" t="n"/>
    </row>
    <row r="144" ht="39.75" customFormat="1" customHeight="1" s="1735">
      <c r="A144" s="1754" t="inlineStr">
        <is>
          <t>JT.#100</t>
        </is>
      </c>
      <c r="B144" s="1754" t="inlineStr">
        <is>
          <t>3 1/2" TSH</t>
        </is>
      </c>
      <c r="C144" s="1755" t="n">
        <v>31</v>
      </c>
      <c r="D144" s="1756">
        <f>C144-0.301</f>
        <v/>
      </c>
      <c r="E144" s="1747">
        <f>E143+D144</f>
        <v/>
      </c>
      <c r="F144" s="1747">
        <f>F143-D143</f>
        <v/>
      </c>
      <c r="G144" s="1748">
        <f>G143-D144</f>
        <v/>
      </c>
      <c r="H144" s="1760" t="n"/>
      <c r="K144" s="1762" t="n"/>
    </row>
    <row r="145" ht="39.75" customFormat="1" customHeight="1" s="1735">
      <c r="A145" s="1754" t="inlineStr">
        <is>
          <t>JT.#101</t>
        </is>
      </c>
      <c r="B145" s="1754" t="inlineStr">
        <is>
          <t>3 1/2" TSH</t>
        </is>
      </c>
      <c r="C145" s="1755" t="n">
        <v>31</v>
      </c>
      <c r="D145" s="1756">
        <f>C145-0.301</f>
        <v/>
      </c>
      <c r="E145" s="1747">
        <f>E144+D145</f>
        <v/>
      </c>
      <c r="F145" s="1747">
        <f>F144-D144</f>
        <v/>
      </c>
      <c r="G145" s="1748">
        <f>G144-D145</f>
        <v/>
      </c>
      <c r="H145" s="1760" t="n"/>
      <c r="K145" s="1762" t="n"/>
    </row>
    <row r="146" ht="39.75" customFormat="1" customHeight="1" s="1735">
      <c r="A146" s="1754" t="inlineStr">
        <is>
          <t>JT.#102</t>
        </is>
      </c>
      <c r="B146" s="1754" t="inlineStr">
        <is>
          <t>3 1/2" TSH</t>
        </is>
      </c>
      <c r="C146" s="1755" t="n">
        <v>31</v>
      </c>
      <c r="D146" s="1756">
        <f>C146-0.301</f>
        <v/>
      </c>
      <c r="E146" s="1747">
        <f>E145+D146</f>
        <v/>
      </c>
      <c r="F146" s="1747">
        <f>F145-D145</f>
        <v/>
      </c>
      <c r="G146" s="1748">
        <f>G145-D146</f>
        <v/>
      </c>
      <c r="H146" s="1760" t="n"/>
      <c r="K146" s="1762" t="n"/>
    </row>
    <row r="147" ht="39.75" customFormat="1" customHeight="1" s="1735">
      <c r="A147" s="1754" t="inlineStr">
        <is>
          <t>JT.#103</t>
        </is>
      </c>
      <c r="B147" s="1754" t="inlineStr">
        <is>
          <t>3 1/2" TSH</t>
        </is>
      </c>
      <c r="C147" s="1755" t="n">
        <v>31</v>
      </c>
      <c r="D147" s="1756">
        <f>C147-0.301</f>
        <v/>
      </c>
      <c r="E147" s="1747">
        <f>E146+D147</f>
        <v/>
      </c>
      <c r="F147" s="1747">
        <f>F146-D146</f>
        <v/>
      </c>
      <c r="G147" s="1748">
        <f>G146-D147</f>
        <v/>
      </c>
      <c r="H147" s="1760" t="n"/>
      <c r="K147" s="1762" t="n"/>
    </row>
    <row r="148" ht="39.75" customFormat="1" customHeight="1" s="1735">
      <c r="A148" s="1754" t="inlineStr">
        <is>
          <t>JT.#104</t>
        </is>
      </c>
      <c r="B148" s="1754" t="inlineStr">
        <is>
          <t>3 1/2" TSH</t>
        </is>
      </c>
      <c r="C148" s="1755" t="n">
        <v>31</v>
      </c>
      <c r="D148" s="1788">
        <f>C148-0.301</f>
        <v/>
      </c>
      <c r="E148" s="1747">
        <f>E147+D148</f>
        <v/>
      </c>
      <c r="F148" s="1747">
        <f>F147-D147</f>
        <v/>
      </c>
      <c r="G148" s="1748">
        <f>G147-D148</f>
        <v/>
      </c>
      <c r="H148" s="1776" t="n"/>
      <c r="K148" s="1762" t="n"/>
    </row>
    <row r="149" ht="39.75" customFormat="1" customHeight="1" s="1735">
      <c r="A149" s="1754" t="inlineStr">
        <is>
          <t>JT.#105</t>
        </is>
      </c>
      <c r="B149" s="1754" t="inlineStr">
        <is>
          <t>3 1/2" TSH</t>
        </is>
      </c>
      <c r="C149" s="1755" t="n">
        <v>31</v>
      </c>
      <c r="D149" s="1788">
        <f>C149-0.301</f>
        <v/>
      </c>
      <c r="E149" s="1747">
        <f>E148+D149</f>
        <v/>
      </c>
      <c r="F149" s="1747">
        <f>F148-D148</f>
        <v/>
      </c>
      <c r="G149" s="1748">
        <f>G148-D149</f>
        <v/>
      </c>
      <c r="H149" s="1792" t="n"/>
      <c r="K149" s="1762" t="n"/>
    </row>
    <row r="150" ht="39.75" customFormat="1" customHeight="1" s="1735">
      <c r="A150" s="1754" t="inlineStr">
        <is>
          <t>JT.#106</t>
        </is>
      </c>
      <c r="B150" s="1754" t="inlineStr">
        <is>
          <t>3 1/2" TSH</t>
        </is>
      </c>
      <c r="C150" s="1755" t="n">
        <v>31</v>
      </c>
      <c r="D150" s="1756">
        <f>C150-0.301</f>
        <v/>
      </c>
      <c r="E150" s="1747">
        <f>E149+D150</f>
        <v/>
      </c>
      <c r="F150" s="1747">
        <f>F149-D149</f>
        <v/>
      </c>
      <c r="G150" s="1748">
        <f>G149-D150</f>
        <v/>
      </c>
      <c r="H150" s="1760" t="n"/>
      <c r="K150" s="1762" t="n"/>
    </row>
    <row r="151" ht="39.75" customFormat="1" customHeight="1" s="1735">
      <c r="A151" s="1754" t="inlineStr">
        <is>
          <t>JT.#107</t>
        </is>
      </c>
      <c r="B151" s="1754" t="inlineStr">
        <is>
          <t>3 1/2" TSH</t>
        </is>
      </c>
      <c r="C151" s="1755" t="n">
        <v>31</v>
      </c>
      <c r="D151" s="1756">
        <f>C151-0.301</f>
        <v/>
      </c>
      <c r="E151" s="1747">
        <f>E150+D151</f>
        <v/>
      </c>
      <c r="F151" s="1747">
        <f>F150-D150</f>
        <v/>
      </c>
      <c r="G151" s="1748">
        <f>G150-D151</f>
        <v/>
      </c>
      <c r="H151" s="1760" t="n"/>
      <c r="K151" s="1762" t="n"/>
    </row>
    <row r="152" ht="39.75" customFormat="1" customHeight="1" s="1735">
      <c r="A152" s="1754" t="inlineStr">
        <is>
          <t>JT.#108</t>
        </is>
      </c>
      <c r="B152" s="1754" t="inlineStr">
        <is>
          <t>3 1/2" TSH</t>
        </is>
      </c>
      <c r="C152" s="1755" t="n">
        <v>31</v>
      </c>
      <c r="D152" s="1756">
        <f>C152-0.301</f>
        <v/>
      </c>
      <c r="E152" s="1747">
        <f>E151+D152</f>
        <v/>
      </c>
      <c r="F152" s="1747">
        <f>F151-D151</f>
        <v/>
      </c>
      <c r="G152" s="1748">
        <f>G151-D152</f>
        <v/>
      </c>
      <c r="H152" s="1760" t="n"/>
      <c r="K152" s="1762" t="n"/>
    </row>
    <row r="153" ht="39.75" customFormat="1" customHeight="1" s="1735">
      <c r="A153" s="1754" t="inlineStr">
        <is>
          <t>JT.#109</t>
        </is>
      </c>
      <c r="B153" s="1754" t="inlineStr">
        <is>
          <t>3 1/2" TSH</t>
        </is>
      </c>
      <c r="C153" s="1755" t="n">
        <v>31</v>
      </c>
      <c r="D153" s="1756">
        <f>C153-0.301</f>
        <v/>
      </c>
      <c r="E153" s="1747">
        <f>E152+D153</f>
        <v/>
      </c>
      <c r="F153" s="1747">
        <f>F152-D152</f>
        <v/>
      </c>
      <c r="G153" s="1748">
        <f>G152-D153</f>
        <v/>
      </c>
      <c r="H153" s="1760" t="n"/>
      <c r="K153" s="1762" t="n"/>
    </row>
    <row r="154" ht="39.75" customFormat="1" customHeight="1" s="1735">
      <c r="A154" s="1754" t="inlineStr">
        <is>
          <t>JT.#110</t>
        </is>
      </c>
      <c r="B154" s="1754" t="inlineStr">
        <is>
          <t>3 1/2" TSH</t>
        </is>
      </c>
      <c r="C154" s="1755" t="n">
        <v>31</v>
      </c>
      <c r="D154" s="1756">
        <f>C154-0.301</f>
        <v/>
      </c>
      <c r="E154" s="1747">
        <f>E153+D154</f>
        <v/>
      </c>
      <c r="F154" s="1747">
        <f>F153-D153</f>
        <v/>
      </c>
      <c r="G154" s="1748">
        <f>G153-D154</f>
        <v/>
      </c>
      <c r="H154" s="1760" t="n"/>
      <c r="K154" s="1762" t="n"/>
    </row>
    <row r="155" ht="39.75" customFormat="1" customHeight="1" s="1735">
      <c r="A155" s="1754" t="inlineStr">
        <is>
          <t>JT.#111</t>
        </is>
      </c>
      <c r="B155" s="1754" t="inlineStr">
        <is>
          <t>3 1/2" TSH</t>
        </is>
      </c>
      <c r="C155" s="1755" t="n">
        <v>31</v>
      </c>
      <c r="D155" s="1756">
        <f>C155-0.301</f>
        <v/>
      </c>
      <c r="E155" s="1747">
        <f>E154+D155</f>
        <v/>
      </c>
      <c r="F155" s="1747">
        <f>F154-D154</f>
        <v/>
      </c>
      <c r="G155" s="1748">
        <f>G154-D155</f>
        <v/>
      </c>
      <c r="H155" s="1760" t="n"/>
      <c r="K155" s="1762" t="n"/>
    </row>
    <row r="156" ht="39.75" customFormat="1" customHeight="1" s="1735">
      <c r="A156" s="1754" t="inlineStr">
        <is>
          <t>JT.#112</t>
        </is>
      </c>
      <c r="B156" s="1754" t="inlineStr">
        <is>
          <t>3 1/2" TSH</t>
        </is>
      </c>
      <c r="C156" s="1755" t="n">
        <v>31</v>
      </c>
      <c r="D156" s="1756">
        <f>C156-0.301</f>
        <v/>
      </c>
      <c r="E156" s="1747">
        <f>E155+D156</f>
        <v/>
      </c>
      <c r="F156" s="1747">
        <f>F155-D155</f>
        <v/>
      </c>
      <c r="G156" s="1748">
        <f>G155-D156</f>
        <v/>
      </c>
      <c r="H156" s="1760" t="n"/>
      <c r="K156" s="1762" t="n"/>
    </row>
    <row r="157" ht="39.75" customFormat="1" customHeight="1" s="1735">
      <c r="A157" s="1754" t="inlineStr">
        <is>
          <t>JT.#113</t>
        </is>
      </c>
      <c r="B157" s="1754" t="inlineStr">
        <is>
          <t>3 1/2" TSH</t>
        </is>
      </c>
      <c r="C157" s="1755" t="n">
        <v>31</v>
      </c>
      <c r="D157" s="1756">
        <f>C157-0.301</f>
        <v/>
      </c>
      <c r="E157" s="1747">
        <f>E156+D157</f>
        <v/>
      </c>
      <c r="F157" s="1747">
        <f>F156-D156</f>
        <v/>
      </c>
      <c r="G157" s="1748">
        <f>G156-D157</f>
        <v/>
      </c>
      <c r="H157" s="1760" t="n"/>
      <c r="K157" s="1762" t="n"/>
    </row>
    <row r="158" ht="39.75" customFormat="1" customHeight="1" s="1735">
      <c r="A158" s="1754" t="inlineStr">
        <is>
          <t>JT.#114</t>
        </is>
      </c>
      <c r="B158" s="1754" t="inlineStr">
        <is>
          <t>3 1/2" TSH</t>
        </is>
      </c>
      <c r="C158" s="1755" t="n">
        <v>31</v>
      </c>
      <c r="D158" s="1756">
        <f>C158-0.301</f>
        <v/>
      </c>
      <c r="E158" s="1747">
        <f>E157+D158</f>
        <v/>
      </c>
      <c r="F158" s="1747">
        <f>F157-D157</f>
        <v/>
      </c>
      <c r="G158" s="1748">
        <f>G157-D158</f>
        <v/>
      </c>
      <c r="H158" s="1760" t="n"/>
      <c r="K158" s="1762" t="n"/>
    </row>
    <row r="159" ht="39.75" customFormat="1" customHeight="1" s="1735">
      <c r="A159" s="1754" t="inlineStr">
        <is>
          <t>JT.#115</t>
        </is>
      </c>
      <c r="B159" s="1754" t="inlineStr">
        <is>
          <t>3 1/2" TSH</t>
        </is>
      </c>
      <c r="C159" s="1755" t="n">
        <v>31</v>
      </c>
      <c r="D159" s="1756">
        <f>C159-0.301</f>
        <v/>
      </c>
      <c r="E159" s="1747">
        <f>E158+D159</f>
        <v/>
      </c>
      <c r="F159" s="1747">
        <f>F158-D158</f>
        <v/>
      </c>
      <c r="G159" s="1748">
        <f>G158-D159</f>
        <v/>
      </c>
      <c r="H159" s="1760" t="n"/>
      <c r="K159" s="1762" t="n"/>
    </row>
    <row r="160" ht="39.75" customFormat="1" customHeight="1" s="1735">
      <c r="A160" s="1754" t="inlineStr">
        <is>
          <t>JT.#116</t>
        </is>
      </c>
      <c r="B160" s="1754" t="inlineStr">
        <is>
          <t>3 1/2" TSH</t>
        </is>
      </c>
      <c r="C160" s="1755" t="n">
        <v>31</v>
      </c>
      <c r="D160" s="1756">
        <f>C160-0.301</f>
        <v/>
      </c>
      <c r="E160" s="1747">
        <f>E159+D160</f>
        <v/>
      </c>
      <c r="F160" s="1747">
        <f>F159-D159</f>
        <v/>
      </c>
      <c r="G160" s="1748">
        <f>G159-D160</f>
        <v/>
      </c>
      <c r="H160" s="1760" t="n"/>
      <c r="K160" s="1762" t="n"/>
    </row>
    <row r="161" ht="39.75" customFormat="1" customHeight="1" s="1735">
      <c r="A161" s="1754" t="inlineStr">
        <is>
          <t>JT.#117</t>
        </is>
      </c>
      <c r="B161" s="1754" t="inlineStr">
        <is>
          <t>3 1/2" TSH</t>
        </is>
      </c>
      <c r="C161" s="1755" t="n">
        <v>31</v>
      </c>
      <c r="D161" s="1756">
        <f>C161-0.301</f>
        <v/>
      </c>
      <c r="E161" s="1747">
        <f>E160+D161</f>
        <v/>
      </c>
      <c r="F161" s="1747">
        <f>F160-D160</f>
        <v/>
      </c>
      <c r="G161" s="1748">
        <f>G160-D161</f>
        <v/>
      </c>
      <c r="H161" s="1760" t="n"/>
      <c r="K161" s="1762" t="n"/>
    </row>
    <row r="162" ht="39.75" customFormat="1" customHeight="1" s="1735">
      <c r="A162" s="1793" t="inlineStr">
        <is>
          <t>D4</t>
        </is>
      </c>
      <c r="B162" s="1794" t="inlineStr">
        <is>
          <t>UPPER CONN. 3-1/2" VAM TOP BOX 9.2 PPF SN 28 110 KSI
DESCRIPTION: 5 FEET XOVER
SAP: 130005011340
SUPPLIER: TENARIS
LOWER CONN. 3-1/2" TSH BLUE PIN 9.2 PPF SN 28 110 KSI</t>
        </is>
      </c>
      <c r="C162" s="1795" t="n">
        <v>5.18</v>
      </c>
      <c r="D162" s="1756">
        <f>C162-0.301</f>
        <v/>
      </c>
      <c r="E162" s="1747">
        <f>E161+D162</f>
        <v/>
      </c>
      <c r="F162" s="1747">
        <f>F161-D161</f>
        <v/>
      </c>
      <c r="G162" s="1748">
        <f>G161-D162</f>
        <v/>
      </c>
      <c r="H162" s="1760" t="n"/>
      <c r="K162" s="1762" t="n"/>
    </row>
    <row r="163" ht="39.75" customFormat="1" customHeight="1" s="1735">
      <c r="A163" s="1766" t="n"/>
      <c r="B163" s="1794" t="inlineStr">
        <is>
          <t>UPPER CONN. 3-1/2" SENTINEL PRIME BOX 9.2 PPF TX28-110 KSI
DESCRIPTION: 5 FEET XOVER
SAP: 130013006385
SUPPLIER: TBX
LOWER CONN. 3-1/2" VAM TOP PIN 9.2 PPF TX28-110 KSI</t>
        </is>
      </c>
      <c r="C163" s="1795" t="n">
        <v>4.96</v>
      </c>
      <c r="D163" s="1756">
        <f>C163-0.301</f>
        <v/>
      </c>
      <c r="E163" s="1747">
        <f>E162+D163</f>
        <v/>
      </c>
      <c r="F163" s="1747">
        <f>F162-D162</f>
        <v/>
      </c>
      <c r="G163" s="1748">
        <f>G162-D163</f>
        <v/>
      </c>
      <c r="H163" s="1796" t="n"/>
      <c r="K163" s="1762" t="n"/>
    </row>
    <row r="164" ht="129" customFormat="1" customHeight="1" s="1735">
      <c r="A164" s="1766" t="n"/>
      <c r="B164" s="1794"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795" t="n">
        <v>8.69</v>
      </c>
      <c r="D164" s="1797">
        <f>C164-0.301</f>
        <v/>
      </c>
      <c r="E164" s="1747">
        <f>E163+D164</f>
        <v/>
      </c>
      <c r="F164" s="1747">
        <f>F163-D163</f>
        <v/>
      </c>
      <c r="G164" s="1748">
        <f>G163-D164</f>
        <v/>
      </c>
      <c r="H164" s="1798" t="n"/>
    </row>
    <row r="165" ht="129" customFormat="1" customHeight="1" s="1735">
      <c r="A165" s="1766" t="n"/>
      <c r="B165" s="1794" t="inlineStr">
        <is>
          <t>UPPER CONN. 3-1/2" VAM TOP BOX 9.2 PPF TX28- 110 KSI
DESCRIPTION: 10 FEET XOVER
SAP: 1130013006387
SUPPLIER: TBX
LOWER CONN-3-1/2" SENTINELPRIME PIN 9.2 PPF TX28110 KSI</t>
        </is>
      </c>
      <c r="C165" s="1795" t="n">
        <v>9.779999999999999</v>
      </c>
      <c r="D165" s="1797">
        <f>C165</f>
        <v/>
      </c>
      <c r="E165" s="1747">
        <f>E164+D165</f>
        <v/>
      </c>
      <c r="F165" s="1747">
        <f>F164-D164</f>
        <v/>
      </c>
      <c r="G165" s="1748">
        <f>G164-D165</f>
        <v/>
      </c>
      <c r="H165" s="1798" t="n"/>
    </row>
    <row r="166" ht="204" customFormat="1" customHeight="1" s="1735">
      <c r="A166" s="1440" t="n"/>
      <c r="B166" s="1794" t="inlineStr">
        <is>
          <t>UPPER CONN. 3-1/2" TSH BLUE BOX 9.2 PPF SN 28 110 KSI
DESCRIPTION: 5 FEET XOVER
SAP: 130005011340
SUPPLIER: TENARIS
LOWER CONN. 3-1/2" VAM TOP PIN 9.2 PPF SN 28 110 KSI</t>
        </is>
      </c>
      <c r="C166" s="1795" t="n">
        <v>4.96</v>
      </c>
      <c r="D166" s="1788">
        <f>C166</f>
        <v/>
      </c>
      <c r="E166" s="1747">
        <f>E165+D166</f>
        <v/>
      </c>
      <c r="F166" s="1747">
        <f>F165-D165</f>
        <v/>
      </c>
      <c r="G166" s="1748">
        <f>G165-D166</f>
        <v/>
      </c>
      <c r="H166" s="1799" t="n"/>
    </row>
    <row r="167" ht="141.75" customFormat="1" customHeight="1" s="1735">
      <c r="A167" s="1754" t="inlineStr">
        <is>
          <t>JT.#118</t>
        </is>
      </c>
      <c r="B167" s="1754" t="inlineStr">
        <is>
          <t>3 1/2" TSH</t>
        </is>
      </c>
      <c r="C167" s="1755" t="n">
        <v>31</v>
      </c>
      <c r="D167" s="1800">
        <f>C167</f>
        <v/>
      </c>
      <c r="E167" s="1747">
        <f>E166+D167</f>
        <v/>
      </c>
      <c r="F167" s="1747">
        <f>F166-D166</f>
        <v/>
      </c>
      <c r="G167" s="1748">
        <f>G166-D167</f>
        <v/>
      </c>
      <c r="H167" s="1801" t="n"/>
      <c r="I167" s="1735">
        <f>364-146</f>
        <v/>
      </c>
    </row>
    <row r="168" ht="141.75" customFormat="1" customHeight="1" s="1735">
      <c r="A168" s="1754" t="inlineStr">
        <is>
          <t>JT.#119</t>
        </is>
      </c>
      <c r="B168" s="1754" t="inlineStr">
        <is>
          <t>3 1/2" TSH</t>
        </is>
      </c>
      <c r="C168" s="1755" t="n">
        <v>31</v>
      </c>
      <c r="D168" s="1800">
        <f>C168</f>
        <v/>
      </c>
      <c r="E168" s="1747">
        <f>E167+D168</f>
        <v/>
      </c>
      <c r="F168" s="1747">
        <f>F167-D167</f>
        <v/>
      </c>
      <c r="G168" s="1748">
        <f>G167-D168</f>
        <v/>
      </c>
      <c r="H168" s="1802" t="n"/>
      <c r="J168" s="1803">
        <f>I167/10</f>
        <v/>
      </c>
      <c r="O168" s="1735">
        <f>J167/10</f>
        <v/>
      </c>
    </row>
    <row r="169" ht="39.75" customFormat="1" customHeight="1" s="1735">
      <c r="A169" s="1754" t="inlineStr">
        <is>
          <t>JT.#120</t>
        </is>
      </c>
      <c r="B169" s="1754" t="inlineStr">
        <is>
          <t>3 1/2" TSH</t>
        </is>
      </c>
      <c r="C169" s="1755" t="n">
        <v>31</v>
      </c>
      <c r="D169" s="1756">
        <f>C169-0.301</f>
        <v/>
      </c>
      <c r="E169" s="1747">
        <f>E168+D169</f>
        <v/>
      </c>
      <c r="F169" s="1747">
        <f>F168-D168</f>
        <v/>
      </c>
      <c r="G169" s="1748">
        <f>G168-D169</f>
        <v/>
      </c>
      <c r="H169" s="1760" t="n"/>
      <c r="K169" s="1762" t="n"/>
    </row>
    <row r="170" ht="39" customFormat="1" customHeight="1" s="1735">
      <c r="A170" s="1754" t="inlineStr">
        <is>
          <t>JT.#121</t>
        </is>
      </c>
      <c r="B170" s="1754" t="inlineStr">
        <is>
          <t>3 1/2" TSH</t>
        </is>
      </c>
      <c r="C170" s="1755" t="n">
        <v>31</v>
      </c>
      <c r="D170" s="1756">
        <f>C170-0.301</f>
        <v/>
      </c>
      <c r="E170" s="1747">
        <f>E169+D170</f>
        <v/>
      </c>
      <c r="F170" s="1747">
        <f>F169-D169</f>
        <v/>
      </c>
      <c r="G170" s="1748">
        <f>G169-D170</f>
        <v/>
      </c>
      <c r="H170" s="1777" t="inlineStr">
        <is>
          <t xml:space="preserve">FILL UP STRING </t>
        </is>
      </c>
      <c r="K170" s="1762" t="n"/>
    </row>
    <row r="171" ht="123" customFormat="1" customHeight="1" s="1735">
      <c r="A171" s="1754" t="inlineStr">
        <is>
          <t>JT.#122</t>
        </is>
      </c>
      <c r="B171" s="1754" t="inlineStr">
        <is>
          <t>3 1/2" TSH</t>
        </is>
      </c>
      <c r="C171" s="1755" t="n">
        <v>31</v>
      </c>
      <c r="D171" s="1797">
        <f>C171-0.252</f>
        <v/>
      </c>
      <c r="E171" s="1747">
        <f>E170+D171</f>
        <v/>
      </c>
      <c r="F171" s="1747">
        <f>F170-D170</f>
        <v/>
      </c>
      <c r="G171" s="1748">
        <f>G170-D171</f>
        <v/>
      </c>
      <c r="H171" s="1804" t="n"/>
      <c r="J171" s="1735">
        <f>J168*4</f>
        <v/>
      </c>
    </row>
    <row r="172" ht="163.5" customFormat="1" customHeight="1" s="1735">
      <c r="A172" s="1754" t="inlineStr">
        <is>
          <t>JT.#123</t>
        </is>
      </c>
      <c r="B172" s="1754" t="inlineStr">
        <is>
          <t>3 1/2" TSH</t>
        </is>
      </c>
      <c r="C172" s="1755" t="n">
        <v>31</v>
      </c>
      <c r="D172" s="1788">
        <f>C172</f>
        <v/>
      </c>
      <c r="E172" s="1747">
        <f>E171+D172</f>
        <v/>
      </c>
      <c r="F172" s="1747">
        <f>F171-D171</f>
        <v/>
      </c>
      <c r="G172" s="1748">
        <f>G171-D172</f>
        <v/>
      </c>
      <c r="H172" s="1799" t="n"/>
      <c r="J172" s="1735">
        <f>J171/60</f>
        <v/>
      </c>
    </row>
    <row r="173" ht="180.75" customFormat="1" customHeight="1" s="1735">
      <c r="A173" s="1754" t="inlineStr">
        <is>
          <t>JT.#124</t>
        </is>
      </c>
      <c r="B173" s="1754" t="inlineStr">
        <is>
          <t>3 1/2" TSH</t>
        </is>
      </c>
      <c r="C173" s="1755" t="n">
        <v>31</v>
      </c>
      <c r="D173" s="1788">
        <f>C173</f>
        <v/>
      </c>
      <c r="E173" s="1747">
        <f>E172+D173</f>
        <v/>
      </c>
      <c r="F173" s="1747">
        <f>F172-D172</f>
        <v/>
      </c>
      <c r="G173" s="1748">
        <f>G172-D173</f>
        <v/>
      </c>
      <c r="H173" s="1805" t="n"/>
    </row>
    <row r="174" ht="135" customFormat="1" customHeight="1" s="1735">
      <c r="A174" s="1754" t="inlineStr">
        <is>
          <t>JT.#125</t>
        </is>
      </c>
      <c r="B174" s="1754" t="inlineStr">
        <is>
          <t>3 1/2" TSH</t>
        </is>
      </c>
      <c r="C174" s="1755" t="n">
        <v>31</v>
      </c>
      <c r="D174" s="1788">
        <f>C174</f>
        <v/>
      </c>
      <c r="E174" s="1747">
        <f>E173+D174</f>
        <v/>
      </c>
      <c r="F174" s="1747">
        <f>F173-D173</f>
        <v/>
      </c>
      <c r="G174" s="1748">
        <f>G173-D174</f>
        <v/>
      </c>
      <c r="H174" s="1806" t="n"/>
    </row>
    <row r="175" ht="333" customFormat="1" customHeight="1" s="1735">
      <c r="A175" s="1754" t="inlineStr">
        <is>
          <t>JT.#126</t>
        </is>
      </c>
      <c r="B175" s="1754" t="inlineStr">
        <is>
          <t>3 1/2" TSH</t>
        </is>
      </c>
      <c r="C175" s="1755" t="n">
        <v>31</v>
      </c>
      <c r="D175" s="1788">
        <f>C175</f>
        <v/>
      </c>
      <c r="E175" s="1747">
        <f>E174+D175</f>
        <v/>
      </c>
      <c r="F175" s="1747">
        <f>F174-D174</f>
        <v/>
      </c>
      <c r="G175" s="1748">
        <f>G174-D175</f>
        <v/>
      </c>
      <c r="H175" s="1807" t="inlineStr">
        <is>
          <t>TRAGET DEPTH 6875.00'
CASING COLAR  6863.71' -6906.28'</t>
        </is>
      </c>
      <c r="I175" s="1808" t="n"/>
      <c r="J175" s="1809" t="n"/>
    </row>
    <row r="176" ht="141.75" customFormat="1" customHeight="1" s="1735">
      <c r="A176" s="1754" t="inlineStr">
        <is>
          <t>JT.#127</t>
        </is>
      </c>
      <c r="B176" s="1754" t="inlineStr">
        <is>
          <t>3 1/2" TSH</t>
        </is>
      </c>
      <c r="C176" s="1755" t="n">
        <v>31</v>
      </c>
      <c r="D176" s="1800">
        <f>C176</f>
        <v/>
      </c>
      <c r="E176" s="1747">
        <f>E175+D176</f>
        <v/>
      </c>
      <c r="F176" s="1747">
        <f>F175-D175</f>
        <v/>
      </c>
      <c r="G176" s="1748">
        <f>G175-D176</f>
        <v/>
      </c>
      <c r="H176" s="1810" t="n"/>
      <c r="I176" s="1759" t="n"/>
    </row>
    <row r="177" ht="39.75" customFormat="1" customHeight="1" s="1735">
      <c r="A177" s="1754" t="inlineStr">
        <is>
          <t>JT.#128</t>
        </is>
      </c>
      <c r="B177" s="1754" t="inlineStr">
        <is>
          <t>3 1/2" TSH</t>
        </is>
      </c>
      <c r="C177" s="1755" t="n">
        <v>31</v>
      </c>
      <c r="D177" s="1756">
        <f>C177-0.301</f>
        <v/>
      </c>
      <c r="E177" s="1747">
        <f>E176+D177</f>
        <v/>
      </c>
      <c r="F177" s="1747">
        <f>F176-D176</f>
        <v/>
      </c>
      <c r="G177" s="1748">
        <f>G176-D177</f>
        <v/>
      </c>
      <c r="H177" s="1777" t="inlineStr">
        <is>
          <t xml:space="preserve">FILL UP STRING </t>
        </is>
      </c>
      <c r="K177" s="1762" t="n"/>
    </row>
    <row r="178" ht="39.75" customFormat="1" customHeight="1" s="1735">
      <c r="A178" s="1754" t="inlineStr">
        <is>
          <t>JT.#129</t>
        </is>
      </c>
      <c r="B178" s="1754" t="inlineStr">
        <is>
          <t>3 1/2" TSH</t>
        </is>
      </c>
      <c r="C178" s="1755" t="n">
        <v>31</v>
      </c>
      <c r="D178" s="1756">
        <f>C178-0.301</f>
        <v/>
      </c>
      <c r="E178" s="1747">
        <f>E177+D178</f>
        <v/>
      </c>
      <c r="F178" s="1747">
        <f>F177-D177</f>
        <v/>
      </c>
      <c r="G178" s="1748">
        <f>G177-D178</f>
        <v/>
      </c>
      <c r="H178" s="1760" t="n"/>
      <c r="K178" s="1762" t="n"/>
    </row>
    <row r="179" ht="39.75" customFormat="1" customHeight="1" s="1735">
      <c r="A179" s="1754" t="inlineStr">
        <is>
          <t>JT.#130</t>
        </is>
      </c>
      <c r="B179" s="1754" t="inlineStr">
        <is>
          <t>3 1/2" TSH</t>
        </is>
      </c>
      <c r="C179" s="1755" t="n">
        <v>31</v>
      </c>
      <c r="D179" s="1756">
        <f>C179-0.301</f>
        <v/>
      </c>
      <c r="E179" s="1747">
        <f>E178+D179</f>
        <v/>
      </c>
      <c r="F179" s="1747">
        <f>F178-D178</f>
        <v/>
      </c>
      <c r="G179" s="1748">
        <f>G178-D179</f>
        <v/>
      </c>
      <c r="H179" s="1760" t="n"/>
      <c r="K179" s="1762" t="n"/>
    </row>
    <row r="180" ht="39.75" customFormat="1" customHeight="1" s="1735">
      <c r="A180" s="1754" t="inlineStr">
        <is>
          <t>JT.#131</t>
        </is>
      </c>
      <c r="B180" s="1754" t="inlineStr">
        <is>
          <t>3 1/2" TSH</t>
        </is>
      </c>
      <c r="C180" s="1755" t="n">
        <v>31</v>
      </c>
      <c r="D180" s="1756">
        <f>C180-0.301</f>
        <v/>
      </c>
      <c r="E180" s="1747">
        <f>E179+D180</f>
        <v/>
      </c>
      <c r="F180" s="1747">
        <f>F179-D179</f>
        <v/>
      </c>
      <c r="G180" s="1748">
        <f>G179-D180</f>
        <v/>
      </c>
      <c r="H180" s="1760" t="n"/>
      <c r="K180" s="1762" t="n"/>
    </row>
    <row r="181" ht="39.75" customFormat="1" customHeight="1" s="1735">
      <c r="A181" s="1754" t="inlineStr">
        <is>
          <t>JT.#132</t>
        </is>
      </c>
      <c r="B181" s="1754" t="inlineStr">
        <is>
          <t>3 1/2" TSH</t>
        </is>
      </c>
      <c r="C181" s="1755" t="n">
        <v>31</v>
      </c>
      <c r="D181" s="1756">
        <f>C181-0.301</f>
        <v/>
      </c>
      <c r="E181" s="1747">
        <f>E180+D181</f>
        <v/>
      </c>
      <c r="F181" s="1747">
        <f>F180-D180</f>
        <v/>
      </c>
      <c r="G181" s="1748">
        <f>G180-D181</f>
        <v/>
      </c>
      <c r="H181" s="1760" t="n"/>
      <c r="K181" s="1762" t="n"/>
    </row>
    <row r="182" ht="39.75" customFormat="1" customHeight="1" s="1735">
      <c r="A182" s="1754" t="inlineStr">
        <is>
          <t>JT.#133</t>
        </is>
      </c>
      <c r="B182" s="1754" t="inlineStr">
        <is>
          <t>3 1/2" TSH</t>
        </is>
      </c>
      <c r="C182" s="1755" t="n">
        <v>31</v>
      </c>
      <c r="D182" s="1756">
        <f>C182-0.301</f>
        <v/>
      </c>
      <c r="E182" s="1747">
        <f>E181+D182</f>
        <v/>
      </c>
      <c r="F182" s="1747">
        <f>F181-D181</f>
        <v/>
      </c>
      <c r="G182" s="1748">
        <f>G181-D182</f>
        <v/>
      </c>
      <c r="H182" s="1760" t="n"/>
      <c r="K182" s="1762" t="n"/>
    </row>
    <row r="183" ht="39.75" customFormat="1" customHeight="1" s="1735">
      <c r="A183" s="1754" t="inlineStr">
        <is>
          <t>JT.#134</t>
        </is>
      </c>
      <c r="B183" s="1754" t="inlineStr">
        <is>
          <t>3 1/2" TSH</t>
        </is>
      </c>
      <c r="C183" s="1755" t="n">
        <v>31</v>
      </c>
      <c r="D183" s="1756">
        <f>C183-0.301</f>
        <v/>
      </c>
      <c r="E183" s="1747">
        <f>E182+D183</f>
        <v/>
      </c>
      <c r="F183" s="1747">
        <f>F182-D182</f>
        <v/>
      </c>
      <c r="G183" s="1748">
        <f>G182-D183</f>
        <v/>
      </c>
      <c r="H183" s="1760" t="n"/>
      <c r="K183" s="1762" t="n"/>
    </row>
    <row r="184" ht="39.75" customFormat="1" customHeight="1" s="1735">
      <c r="A184" s="1754" t="inlineStr">
        <is>
          <t>JT.#135</t>
        </is>
      </c>
      <c r="B184" s="1754" t="inlineStr">
        <is>
          <t>3 1/2" TSH</t>
        </is>
      </c>
      <c r="C184" s="1755" t="n">
        <v>31</v>
      </c>
      <c r="D184" s="1756">
        <f>C184-0.301</f>
        <v/>
      </c>
      <c r="E184" s="1747">
        <f>E183+D184</f>
        <v/>
      </c>
      <c r="F184" s="1747">
        <f>F183-D183</f>
        <v/>
      </c>
      <c r="G184" s="1748">
        <f>G183-D184</f>
        <v/>
      </c>
      <c r="H184" s="1760" t="n"/>
      <c r="K184" s="1762" t="n"/>
    </row>
    <row r="185" ht="39.75" customFormat="1" customHeight="1" s="1735">
      <c r="A185" s="1754" t="inlineStr">
        <is>
          <t>JT.#136</t>
        </is>
      </c>
      <c r="B185" s="1754" t="inlineStr">
        <is>
          <t>3 1/2" TSH</t>
        </is>
      </c>
      <c r="C185" s="1755" t="n">
        <v>31</v>
      </c>
      <c r="D185" s="1756">
        <f>C185-0.301</f>
        <v/>
      </c>
      <c r="E185" s="1747">
        <f>E184+D185</f>
        <v/>
      </c>
      <c r="F185" s="1747">
        <f>F184-D184</f>
        <v/>
      </c>
      <c r="G185" s="1748">
        <f>G184-D185</f>
        <v/>
      </c>
      <c r="H185" s="1760" t="n"/>
      <c r="K185" s="1762" t="n"/>
    </row>
    <row r="186" ht="39.75" customFormat="1" customHeight="1" s="1735">
      <c r="A186" s="1754" t="inlineStr">
        <is>
          <t>JT.#137</t>
        </is>
      </c>
      <c r="B186" s="1754" t="inlineStr">
        <is>
          <t>3 1/2" TSH</t>
        </is>
      </c>
      <c r="C186" s="1755" t="n">
        <v>31</v>
      </c>
      <c r="D186" s="1756">
        <f>C186-0.301</f>
        <v/>
      </c>
      <c r="E186" s="1747">
        <f>E185+D186</f>
        <v/>
      </c>
      <c r="F186" s="1747">
        <f>F185-D185</f>
        <v/>
      </c>
      <c r="G186" s="1748">
        <f>G185-D186</f>
        <v/>
      </c>
      <c r="H186" s="1760" t="n"/>
      <c r="K186" s="1762" t="n"/>
    </row>
    <row r="187" ht="39.75" customFormat="1" customHeight="1" s="1735">
      <c r="A187" s="1811" t="inlineStr">
        <is>
          <t>F</t>
        </is>
      </c>
      <c r="B187" s="1812" t="inlineStr">
        <is>
          <t>UPPER CONN. 3-1/2" VAM TOP BOX 9.2 PPF SN 28 110 KSI
DESCRIPTION: 5 FEET XOVER
SAP: 130005011340
SUPPLIER: TENARIS
UPPER CONN. 3-1/2" TSH BLUE PIN 9.2 PPF SN 28 110 KSI</t>
        </is>
      </c>
      <c r="C187" s="1813" t="n">
        <v>5.02</v>
      </c>
      <c r="D187" s="1756">
        <f>C187-0.301</f>
        <v/>
      </c>
      <c r="E187" s="1747">
        <f>E186+D187</f>
        <v/>
      </c>
      <c r="F187" s="1747">
        <f>F186-D186</f>
        <v/>
      </c>
      <c r="G187" s="1748">
        <f>G186-D187</f>
        <v/>
      </c>
      <c r="H187" s="1777" t="inlineStr">
        <is>
          <t xml:space="preserve">FILL UP STRING </t>
        </is>
      </c>
      <c r="K187" s="1762" t="n"/>
    </row>
    <row r="188" ht="39.75" customFormat="1" customHeight="1" s="1735">
      <c r="A188" s="1766" t="n"/>
      <c r="B188" s="1812" t="inlineStr">
        <is>
          <t>UPPER CONN. 3-1/2" VAM TOP 9.2#PPF INCOLOY 925 BOX
DESCRIPTION: FLOW COUPLING
PN: 2996124
S/N: 130777-04-001
SAP: 130010035671
S UPPLIER: WEATHERFORD
LOWER CONN. 3-1/2" VAM TOP 9.2#PPF</t>
        </is>
      </c>
      <c r="C188" s="1813" t="n">
        <v>5.75</v>
      </c>
      <c r="D188" s="1756">
        <f>C188-0.301</f>
        <v/>
      </c>
      <c r="E188" s="1747">
        <f>E187+D188</f>
        <v/>
      </c>
      <c r="F188" s="1747">
        <f>F187-D187</f>
        <v/>
      </c>
      <c r="G188" s="1748">
        <f>G187-D188</f>
        <v/>
      </c>
      <c r="H188" s="1760" t="n"/>
      <c r="K188" s="1762" t="n"/>
    </row>
    <row r="189" ht="39.75" customFormat="1" customHeight="1" s="1735">
      <c r="A189" s="1766" t="n"/>
      <c r="B189" s="1812" t="inlineStr">
        <is>
          <t>UPPER CONN. 3-1/2" VAM TOP 9.2#PPF
INCOLOY 925
BOX
DESCRIPTION: WEATHERFORD ASSY, TRSV,3.5WZPE-10
2.813WOR,2kSD,9.2# VAM TOP, WN302
PN: 2980845
S/N: 12777594-01
SAP: 130010038007
SUPPLIER: WEATHERFORD
LOWER CONN. 3-1/2" VAM TOP 9.2#PPF</t>
        </is>
      </c>
      <c r="C189" s="1813" t="n">
        <v>4.44</v>
      </c>
      <c r="D189" s="1756">
        <f>C189-0.301</f>
        <v/>
      </c>
      <c r="E189" s="1747">
        <f>E188+D189</f>
        <v/>
      </c>
      <c r="F189" s="1747">
        <f>F188-D188</f>
        <v/>
      </c>
      <c r="G189" s="1748">
        <f>G188-D189</f>
        <v/>
      </c>
      <c r="H189" s="1760" t="n"/>
      <c r="K189" s="1762" t="n"/>
    </row>
    <row r="190" ht="39.75" customFormat="1" customHeight="1" s="1735">
      <c r="A190" s="1766" t="n"/>
      <c r="B190" s="1812" t="inlineStr">
        <is>
          <t>UPPER CONN. 3-1/2" VAM TOP 9.2#PPF
INCOLOY 925
BOX
DESCRIPTION: FLOW COUPLING
P/N: 2996124
S/N: 130777-02-002
SAP: 130010035671
SUPPLIER: WEATHERFORD
LOWER CONN. 3-1/2" VAM TOP 9.2#PPF</t>
        </is>
      </c>
      <c r="C190" s="1813" t="n">
        <v>5.75</v>
      </c>
      <c r="D190" s="1756">
        <f>C190-0.301</f>
        <v/>
      </c>
      <c r="E190" s="1747">
        <f>E189+D190</f>
        <v/>
      </c>
      <c r="F190" s="1747">
        <f>F189-D189</f>
        <v/>
      </c>
      <c r="G190" s="1748">
        <f>G189-D190</f>
        <v/>
      </c>
      <c r="H190" s="1760" t="n"/>
      <c r="K190" s="1762" t="n"/>
    </row>
    <row r="191" ht="39.75" customFormat="1" customHeight="1" s="1735">
      <c r="A191" s="1440" t="n"/>
      <c r="B191" s="1812" t="inlineStr">
        <is>
          <t>UPPER CONN. 3-1/2" TSH BLUE BOX 9.2 PPF SN 28 110 KSI
DESCRIPTION: 10 FEET XOVER
SAP: 130005012487
SUPPLIER: TENARIS
LOWER CONN. 3-1/2" VAM TOP PIN 9.2 PPF SN 28 110 KSI</t>
        </is>
      </c>
      <c r="C191" s="1813" t="n">
        <v>9.93</v>
      </c>
      <c r="D191" s="1756">
        <f>C191-0.301</f>
        <v/>
      </c>
      <c r="E191" s="1747">
        <f>E190+D191</f>
        <v/>
      </c>
      <c r="F191" s="1747">
        <f>F190-D190</f>
        <v/>
      </c>
      <c r="G191" s="1748">
        <f>G190-D191</f>
        <v/>
      </c>
      <c r="H191" s="1760" t="n"/>
      <c r="K191" s="1762" t="n"/>
    </row>
    <row r="192" ht="39.75" customFormat="1" customHeight="1" s="1735">
      <c r="A192" s="1754" t="inlineStr">
        <is>
          <t>JT.#138</t>
        </is>
      </c>
      <c r="B192" s="1754" t="inlineStr">
        <is>
          <t>3 1/2" TSH</t>
        </is>
      </c>
      <c r="C192" s="1755" t="n">
        <v>31</v>
      </c>
      <c r="D192" s="1756">
        <f>C192-0.301</f>
        <v/>
      </c>
      <c r="E192" s="1747">
        <f>E191+D192</f>
        <v/>
      </c>
      <c r="F192" s="1747">
        <f>F191-D191</f>
        <v/>
      </c>
      <c r="G192" s="1748">
        <f>G191-D192</f>
        <v/>
      </c>
      <c r="H192" s="1760" t="n"/>
      <c r="K192" s="1762" t="n"/>
    </row>
    <row r="193" ht="39.75" customFormat="1" customHeight="1" s="1735">
      <c r="A193" s="1754" t="inlineStr">
        <is>
          <t>JT.#139</t>
        </is>
      </c>
      <c r="B193" s="1754" t="inlineStr">
        <is>
          <t>3 1/2" TSH</t>
        </is>
      </c>
      <c r="C193" s="1755" t="n">
        <v>31</v>
      </c>
      <c r="D193" s="1756">
        <f>C193-0.301</f>
        <v/>
      </c>
      <c r="E193" s="1747">
        <f>E192+D193</f>
        <v/>
      </c>
      <c r="F193" s="1747">
        <f>F192-D192</f>
        <v/>
      </c>
      <c r="G193" s="1748">
        <f>G192-D193</f>
        <v/>
      </c>
      <c r="H193" s="1760" t="n"/>
      <c r="K193" s="1762" t="n"/>
    </row>
    <row r="194" ht="39.75" customFormat="1" customHeight="1" s="1735">
      <c r="A194" s="1754" t="inlineStr">
        <is>
          <t>JT.#140</t>
        </is>
      </c>
      <c r="B194" s="1754" t="inlineStr">
        <is>
          <t>3 1/2" TSH</t>
        </is>
      </c>
      <c r="C194" s="1755" t="n">
        <v>31</v>
      </c>
      <c r="D194" s="1756">
        <f>C194-0.301</f>
        <v/>
      </c>
      <c r="E194" s="1747">
        <f>E193+D194</f>
        <v/>
      </c>
      <c r="F194" s="1747">
        <f>F193-D193</f>
        <v/>
      </c>
      <c r="G194" s="1748">
        <f>G193-D194</f>
        <v/>
      </c>
      <c r="H194" s="1760" t="n"/>
      <c r="K194" s="1762" t="n"/>
    </row>
    <row r="195" ht="39.75" customFormat="1" customHeight="1" s="1735">
      <c r="A195" s="1754" t="inlineStr">
        <is>
          <t>JT.#141</t>
        </is>
      </c>
      <c r="B195" s="1754" t="inlineStr">
        <is>
          <t>3 1/2" TSH</t>
        </is>
      </c>
      <c r="C195" s="1755" t="n">
        <v>31</v>
      </c>
      <c r="D195" s="1756">
        <f>C195-0.301</f>
        <v/>
      </c>
      <c r="E195" s="1747">
        <f>E194+D195</f>
        <v/>
      </c>
      <c r="F195" s="1747">
        <f>F194-D194</f>
        <v/>
      </c>
      <c r="G195" s="1748">
        <f>G194-D195</f>
        <v/>
      </c>
      <c r="H195" s="1760" t="n"/>
      <c r="K195" s="1762" t="n"/>
    </row>
    <row r="196" ht="39.75" customFormat="1" customHeight="1" s="1735">
      <c r="A196" s="1754" t="inlineStr">
        <is>
          <t>JT.#142</t>
        </is>
      </c>
      <c r="B196" s="1754" t="inlineStr">
        <is>
          <t>3 1/2" TSH</t>
        </is>
      </c>
      <c r="C196" s="1755" t="n">
        <v>31</v>
      </c>
      <c r="D196" s="1756">
        <f>C196-0.301</f>
        <v/>
      </c>
      <c r="E196" s="1747">
        <f>E195+D196</f>
        <v/>
      </c>
      <c r="F196" s="1747">
        <f>F195-D195</f>
        <v/>
      </c>
      <c r="G196" s="1748">
        <f>G195-D196</f>
        <v/>
      </c>
      <c r="H196" s="1760" t="n"/>
      <c r="K196" s="1762" t="n"/>
    </row>
    <row r="197" ht="39.75" customFormat="1" customHeight="1" s="1735">
      <c r="A197" s="1814" t="inlineStr">
        <is>
          <t>F - 1</t>
        </is>
      </c>
      <c r="B197" s="1815" t="inlineStr">
        <is>
          <t>UPPER CONN. 3-1/2" TENARIS BLUE 9.2#PPF SN 28 110 KSI
DESCRIPTION: 5 FEET PUP JOINT
SAP: 130005011338
SUPPLIER:TENARIS
LOWER CONN. 3-1/2" TENARIS BLUE 9.2#PPF SN 28 110 KSI</t>
        </is>
      </c>
      <c r="C197" s="1816" t="n">
        <v>5.08</v>
      </c>
      <c r="D197" s="1756">
        <f>C197-0.301</f>
        <v/>
      </c>
      <c r="E197" s="1747">
        <f>E196+D197</f>
        <v/>
      </c>
      <c r="F197" s="1747">
        <f>F196-D196</f>
        <v/>
      </c>
      <c r="G197" s="1748">
        <f>G196-D197</f>
        <v/>
      </c>
      <c r="H197" s="1777" t="inlineStr">
        <is>
          <t xml:space="preserve">FILL UP STRING </t>
        </is>
      </c>
      <c r="K197" s="1762" t="n"/>
    </row>
    <row r="198" ht="39.75" customFormat="1" customHeight="1" s="1735">
      <c r="A198" s="1766" t="n"/>
      <c r="B198" s="1815" t="inlineStr">
        <is>
          <t>UPPER CONN. 4-1/2" VAM TOP 12.6 #PPF SN 28 120 KSI BOX
DESCRIPTION : X OVER
4 1/2 PIN TOP X 3 1/2 PIN BTM
SAP: 130005012767 SUPPLIER: TENARIS
LOWER CONN. 3-1/2" TENARIS BLUE 9.2#PPF SN 28 120 KSI PIN</t>
        </is>
      </c>
      <c r="C198" s="1816" t="n">
        <v>2.48</v>
      </c>
      <c r="D198" s="1756">
        <f>C198-0.301</f>
        <v/>
      </c>
      <c r="E198" s="1747">
        <f>E197+D198</f>
        <v/>
      </c>
      <c r="F198" s="1747">
        <f>F197-D197</f>
        <v/>
      </c>
      <c r="G198" s="1748">
        <f>G197-D198</f>
        <v/>
      </c>
      <c r="H198" s="1760" t="n"/>
      <c r="K198" s="1762" t="n"/>
    </row>
    <row r="199" ht="39.75" customFormat="1" customHeight="1" s="1735">
      <c r="A199" s="1766" t="n"/>
      <c r="B199" s="1815"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816" t="n">
        <v>1.9</v>
      </c>
      <c r="D199" s="1756">
        <f>C199-0.301</f>
        <v/>
      </c>
      <c r="E199" s="1747">
        <f>E198+D199</f>
        <v/>
      </c>
      <c r="F199" s="1747">
        <f>F198-D198</f>
        <v/>
      </c>
      <c r="G199" s="1748">
        <f>G198-D199</f>
        <v/>
      </c>
      <c r="H199" s="1760" t="n"/>
      <c r="K199" s="1762" t="n"/>
    </row>
    <row r="200" ht="39.75" customFormat="1" customHeight="1" s="1735">
      <c r="A200" s="1440" t="n"/>
      <c r="B200" s="1815" t="inlineStr">
        <is>
          <t>UPPER CONN. 4-1/2" VAMTOP 12.6# L80
Box
DESCRIPTION: 30' LANDING JOINT
SAP: 130005009160
SUPPLIER:VAM
LOWER CONN. 4-1/2" VAMTOP 12.6# L80 PIN</t>
        </is>
      </c>
      <c r="C200" s="1816" t="n">
        <v>24.82</v>
      </c>
      <c r="D200" s="1756">
        <f>C200-0.301</f>
        <v/>
      </c>
      <c r="E200" s="1747">
        <f>E199+D200</f>
        <v/>
      </c>
      <c r="F200" s="1747">
        <f>F199-D199</f>
        <v/>
      </c>
      <c r="G200" s="1748">
        <f>G199-D200</f>
        <v/>
      </c>
      <c r="H200" s="1760" t="n"/>
      <c r="K200" s="1762" t="n"/>
    </row>
    <row r="201" ht="39.75" customFormat="1" customHeight="1" s="1735">
      <c r="A201" s="1754" t="n"/>
      <c r="B201" s="1754" t="n"/>
      <c r="C201" s="1754" t="n"/>
      <c r="D201" s="1756">
        <f>C201-0.301</f>
        <v/>
      </c>
      <c r="E201" s="1747">
        <f>E200+D201</f>
        <v/>
      </c>
      <c r="F201" s="1747">
        <f>F200-D200</f>
        <v/>
      </c>
      <c r="G201" s="1748">
        <f>G200-D201</f>
        <v/>
      </c>
      <c r="H201" s="1760" t="n"/>
      <c r="K201" s="1762" t="n"/>
    </row>
    <row r="202" ht="39.75" customFormat="1" customHeight="1" s="1735">
      <c r="A202" s="1817" t="inlineStr">
        <is>
          <t>A</t>
        </is>
      </c>
      <c r="B202" s="1818" t="inlineStr">
        <is>
          <t>UPPER CONN. 3-1/2" VAM TOP 9.2#PPF BOX VM 28 110 KSI
DESCRIPTION: WIRELINE ENTRY GUIDE
SN: 16339547-10-008
PN 2996481
SAP: 130010036277
SUPPLIER: WEATHERFORD</t>
        </is>
      </c>
      <c r="C202" s="1819" t="n">
        <v>0.6</v>
      </c>
      <c r="D202" s="1756">
        <f>C202-0.301</f>
        <v/>
      </c>
      <c r="E202" s="1747">
        <f>E201+D202</f>
        <v/>
      </c>
      <c r="F202" s="1747">
        <f>F201-D201</f>
        <v/>
      </c>
      <c r="G202" s="1748">
        <f>G201-D202</f>
        <v/>
      </c>
      <c r="H202" s="1760" t="n"/>
      <c r="K202" s="1762" t="n"/>
    </row>
    <row r="203" ht="39.75" customFormat="1" customHeight="1" s="1735">
      <c r="A203" s="1440" t="n"/>
      <c r="B203" s="1818" t="inlineStr">
        <is>
          <t>UPPER CONN. 3-1/2" TSH BLUE BOX 9.2 PPF SN 28 110 KSI
DESCRIPTION: 5 FEET XOVER
SAP: 130005011340
SUPPLIER: TENARIS
LOWER CONN. 3-1/2" VAM TOP PIN 9.2 PPF SN 28 110 KSI</t>
        </is>
      </c>
      <c r="C203" s="1819" t="n">
        <v>4.96</v>
      </c>
      <c r="D203" s="1756">
        <f>C203-0.301</f>
        <v/>
      </c>
      <c r="E203" s="1747">
        <f>E202+D203</f>
        <v/>
      </c>
      <c r="F203" s="1747">
        <f>F202-D202</f>
        <v/>
      </c>
      <c r="G203" s="1748">
        <f>G202-D203</f>
        <v/>
      </c>
      <c r="H203" s="1760" t="n"/>
      <c r="K203" s="1762" t="n"/>
    </row>
    <row r="204" ht="39.75" customFormat="1" customHeight="1" s="1735">
      <c r="A204" s="1754" t="inlineStr">
        <is>
          <t>JT.#1</t>
        </is>
      </c>
      <c r="B204" s="1754" t="inlineStr">
        <is>
          <t>3-1/2" TUBING 9.2 LB/FT ALLOY 28 TSH BL</t>
        </is>
      </c>
      <c r="C204" s="1755" t="n">
        <v>31</v>
      </c>
      <c r="D204" s="1756">
        <f>C204-0.301</f>
        <v/>
      </c>
      <c r="E204" s="1747">
        <f>E203+D204</f>
        <v/>
      </c>
      <c r="F204" s="1747">
        <f>F203-D203</f>
        <v/>
      </c>
      <c r="G204" s="1748">
        <f>G203-D204</f>
        <v/>
      </c>
      <c r="H204" s="1760" t="n"/>
      <c r="K204" s="1762" t="n"/>
    </row>
    <row r="205" ht="39.75" customFormat="1" customHeight="1" s="1735">
      <c r="A205" s="1754" t="inlineStr">
        <is>
          <t>JT.#2</t>
        </is>
      </c>
      <c r="B205" s="1754" t="inlineStr">
        <is>
          <t>3-1/2" TUBING 9.2 LB/FT ALLOY 28 TSH BL</t>
        </is>
      </c>
      <c r="C205" s="1755" t="n">
        <v>31</v>
      </c>
      <c r="D205" s="1756">
        <f>C205-0.301</f>
        <v/>
      </c>
      <c r="E205" s="1747">
        <f>E204+D205</f>
        <v/>
      </c>
      <c r="F205" s="1747">
        <f>F204-D204</f>
        <v/>
      </c>
      <c r="G205" s="1748">
        <f>G204-D205</f>
        <v/>
      </c>
      <c r="H205" s="1760" t="n"/>
      <c r="K205" s="1762" t="n"/>
    </row>
    <row r="206" ht="39.75" customFormat="1" customHeight="1" s="1735">
      <c r="A206" s="1754" t="inlineStr">
        <is>
          <t>JT.#3</t>
        </is>
      </c>
      <c r="B206" s="1754" t="inlineStr">
        <is>
          <t>3-1/2" TUBING 9.2 LB/FT ALLOY 28 TSH BL</t>
        </is>
      </c>
      <c r="C206" s="1755" t="n">
        <v>31</v>
      </c>
      <c r="D206" s="1756">
        <f>C206-0.301</f>
        <v/>
      </c>
      <c r="E206" s="1747">
        <f>E205+D206</f>
        <v/>
      </c>
      <c r="F206" s="1747">
        <f>F205-D205</f>
        <v/>
      </c>
      <c r="G206" s="1748">
        <f>G205-D206</f>
        <v/>
      </c>
      <c r="H206" s="1777" t="inlineStr">
        <is>
          <t xml:space="preserve">FILL UP STRING </t>
        </is>
      </c>
      <c r="K206" s="1762" t="n"/>
    </row>
    <row r="207" ht="39.75" customFormat="1" customHeight="1" s="1735">
      <c r="A207" s="1754" t="inlineStr">
        <is>
          <t>JT.#4</t>
        </is>
      </c>
      <c r="B207" s="1754" t="inlineStr">
        <is>
          <t>3-1/2" TUBING 9.2 LB/FT ALLOY 28 TSH BL</t>
        </is>
      </c>
      <c r="C207" s="1755" t="n">
        <v>31</v>
      </c>
      <c r="D207" s="1756">
        <f>C207-0.301</f>
        <v/>
      </c>
      <c r="E207" s="1747">
        <f>E206+D207</f>
        <v/>
      </c>
      <c r="F207" s="1747">
        <f>F206-D206</f>
        <v/>
      </c>
      <c r="G207" s="1748">
        <f>G206-D207</f>
        <v/>
      </c>
      <c r="H207" s="1760" t="n"/>
      <c r="K207" s="1762" t="n"/>
    </row>
    <row r="208" ht="39.75" customFormat="1" customHeight="1" s="1735">
      <c r="A208" s="1754" t="inlineStr">
        <is>
          <t>JT.#5</t>
        </is>
      </c>
      <c r="B208" s="1754" t="inlineStr">
        <is>
          <t>3-1/2" TUBING 9.2 LB/FT ALLOY 28 TSH BL</t>
        </is>
      </c>
      <c r="C208" s="1755" t="n">
        <v>31</v>
      </c>
      <c r="D208" s="1756">
        <f>C208-0.301</f>
        <v/>
      </c>
      <c r="E208" s="1747">
        <f>E207+D208</f>
        <v/>
      </c>
      <c r="F208" s="1747">
        <f>F207-D207</f>
        <v/>
      </c>
      <c r="G208" s="1748">
        <f>G207-D208</f>
        <v/>
      </c>
      <c r="H208" s="1760" t="n"/>
      <c r="K208" s="1762" t="n"/>
    </row>
    <row r="209" ht="39.75" customFormat="1" customHeight="1" s="1735">
      <c r="A209" s="1754" t="inlineStr">
        <is>
          <t>JT.#6</t>
        </is>
      </c>
      <c r="B209" s="1754" t="inlineStr">
        <is>
          <t>3-1/2" TUBING 9.2 LB/FT ALLOY 28 TSH BL</t>
        </is>
      </c>
      <c r="C209" s="1755" t="n">
        <v>31</v>
      </c>
      <c r="D209" s="1756">
        <f>C209-0.301</f>
        <v/>
      </c>
      <c r="E209" s="1747">
        <f>E208+D209</f>
        <v/>
      </c>
      <c r="F209" s="1747">
        <f>F208-D208</f>
        <v/>
      </c>
      <c r="G209" s="1748">
        <f>G208-D209</f>
        <v/>
      </c>
      <c r="H209" s="1760" t="n"/>
      <c r="K209" s="1762" t="n"/>
    </row>
    <row r="210" ht="39.75" customFormat="1" customHeight="1" s="1735">
      <c r="A210" s="1754" t="inlineStr">
        <is>
          <t>JT.#7</t>
        </is>
      </c>
      <c r="B210" s="1754" t="inlineStr">
        <is>
          <t>3-1/2" TUBING 9.2 LB/FT ALLOY 28 TSH BL</t>
        </is>
      </c>
      <c r="C210" s="1755" t="n">
        <v>31</v>
      </c>
      <c r="D210" s="1756">
        <f>C210-0.301</f>
        <v/>
      </c>
      <c r="E210" s="1747">
        <f>E209+D210</f>
        <v/>
      </c>
      <c r="F210" s="1747">
        <f>F209-D209</f>
        <v/>
      </c>
      <c r="G210" s="1748">
        <f>G209-D210</f>
        <v/>
      </c>
      <c r="H210" s="1820" t="n"/>
      <c r="K210" s="1762" t="n"/>
    </row>
    <row r="211" ht="39.75" customFormat="1" customHeight="1" s="1735">
      <c r="A211" s="1754" t="inlineStr">
        <is>
          <t>JT.#8</t>
        </is>
      </c>
      <c r="B211" s="1754" t="inlineStr">
        <is>
          <t>3-1/2" TUBING 9.2 LB/FT ALLOY 28 TSH BL</t>
        </is>
      </c>
      <c r="C211" s="1755" t="n">
        <v>31</v>
      </c>
      <c r="D211" s="1756">
        <f>C211-0.301</f>
        <v/>
      </c>
      <c r="E211" s="1747">
        <f>E210+D211</f>
        <v/>
      </c>
      <c r="F211" s="1747">
        <f>F210-D210</f>
        <v/>
      </c>
      <c r="G211" s="1748">
        <f>G210-D211</f>
        <v/>
      </c>
      <c r="H211" s="1820" t="n"/>
      <c r="K211" s="1762" t="n"/>
    </row>
    <row r="212" ht="39.75" customFormat="1" customHeight="1" s="1735">
      <c r="A212" s="1754" t="inlineStr">
        <is>
          <t>JT.#9</t>
        </is>
      </c>
      <c r="B212" s="1754" t="inlineStr">
        <is>
          <t>3-1/2" TUBING 9.2 LB/FT ALLOY 28 TSH BL</t>
        </is>
      </c>
      <c r="C212" s="1755" t="n">
        <v>31</v>
      </c>
      <c r="D212" s="1756">
        <f>C212-0.301</f>
        <v/>
      </c>
      <c r="E212" s="1747">
        <f>E211+D212</f>
        <v/>
      </c>
      <c r="F212" s="1747">
        <f>F211-D211</f>
        <v/>
      </c>
      <c r="G212" s="1748">
        <f>G211-D212</f>
        <v/>
      </c>
      <c r="H212" s="1820" t="n"/>
      <c r="K212" s="1762" t="n"/>
    </row>
    <row r="213" ht="39.75" customFormat="1" customHeight="1" s="1735">
      <c r="A213" s="1754" t="inlineStr">
        <is>
          <t>JT.#10</t>
        </is>
      </c>
      <c r="B213" s="1754" t="inlineStr">
        <is>
          <t>3-1/2" TUBING 9.2 LB/FT ALLOY 28 TSH BL</t>
        </is>
      </c>
      <c r="C213" s="1755" t="n">
        <v>31</v>
      </c>
      <c r="D213" s="1756">
        <f>C213-0.301</f>
        <v/>
      </c>
      <c r="E213" s="1747">
        <f>E212+D213</f>
        <v/>
      </c>
      <c r="F213" s="1747">
        <f>F212-D212</f>
        <v/>
      </c>
      <c r="G213" s="1748">
        <f>G212-D213</f>
        <v/>
      </c>
      <c r="H213" s="1820" t="n"/>
      <c r="K213" s="1762" t="n"/>
    </row>
    <row r="214" ht="39.75" customFormat="1" customHeight="1" s="1735">
      <c r="A214" s="1754" t="inlineStr">
        <is>
          <t>JT.#11</t>
        </is>
      </c>
      <c r="B214" s="1754" t="inlineStr">
        <is>
          <t>3-1/2" TUBING 9.2 LB/FT ALLOY 28 TSH BL</t>
        </is>
      </c>
      <c r="C214" s="1755" t="n">
        <v>31</v>
      </c>
      <c r="D214" s="1756">
        <f>C214-0.301</f>
        <v/>
      </c>
      <c r="E214" s="1747">
        <f>E213+D214</f>
        <v/>
      </c>
      <c r="F214" s="1747">
        <f>F213-D213</f>
        <v/>
      </c>
      <c r="G214" s="1748">
        <f>G213-D214</f>
        <v/>
      </c>
      <c r="H214" s="1820" t="n"/>
      <c r="K214" s="1762" t="n"/>
    </row>
    <row r="215" ht="39.75" customFormat="1" customHeight="1" s="1735">
      <c r="A215" s="1754" t="inlineStr">
        <is>
          <t>JT.#12</t>
        </is>
      </c>
      <c r="B215" s="1754" t="inlineStr">
        <is>
          <t>3-1/2" TUBING 9.2 LB/FT ALLOY 28 TSH BL</t>
        </is>
      </c>
      <c r="C215" s="1755" t="n">
        <v>31</v>
      </c>
      <c r="D215" s="1756">
        <f>C215-0.301</f>
        <v/>
      </c>
      <c r="E215" s="1747">
        <f>E214+D215</f>
        <v/>
      </c>
      <c r="F215" s="1747">
        <f>F214-D214</f>
        <v/>
      </c>
      <c r="G215" s="1748">
        <f>G214-D215</f>
        <v/>
      </c>
      <c r="H215" s="1760" t="n"/>
      <c r="K215" s="1762" t="n"/>
    </row>
    <row r="216" ht="39.75" customFormat="1" customHeight="1" s="1735">
      <c r="A216" s="1754" t="inlineStr">
        <is>
          <t>JT.#13</t>
        </is>
      </c>
      <c r="B216" s="1754" t="inlineStr">
        <is>
          <t>3-1/2" TUBING 9.2 LB/FT ALLOY 28 TSH BL</t>
        </is>
      </c>
      <c r="C216" s="1755" t="n">
        <v>31</v>
      </c>
      <c r="D216" s="1756">
        <f>C216-0.301</f>
        <v/>
      </c>
      <c r="E216" s="1747">
        <f>E215+D216</f>
        <v/>
      </c>
      <c r="F216" s="1747">
        <f>F215-D215</f>
        <v/>
      </c>
      <c r="G216" s="1748">
        <f>G215-D216</f>
        <v/>
      </c>
      <c r="H216" s="1820" t="n"/>
      <c r="K216" s="1762" t="n"/>
    </row>
    <row r="217" ht="39.75" customFormat="1" customHeight="1" s="1735">
      <c r="A217" s="1754" t="inlineStr">
        <is>
          <t>JT.#14</t>
        </is>
      </c>
      <c r="B217" s="1754" t="inlineStr">
        <is>
          <t>3-1/2" TUBING 9.2 LB/FT ALLOY 28 TSH BL</t>
        </is>
      </c>
      <c r="C217" s="1755" t="n">
        <v>31</v>
      </c>
      <c r="D217" s="1756">
        <f>C217-0.301</f>
        <v/>
      </c>
      <c r="E217" s="1747">
        <f>E216+D217</f>
        <v/>
      </c>
      <c r="F217" s="1747">
        <f>F216-D216</f>
        <v/>
      </c>
      <c r="G217" s="1748">
        <f>G216-D217</f>
        <v/>
      </c>
      <c r="H217" s="1777" t="inlineStr">
        <is>
          <t xml:space="preserve">FILL UP STRING </t>
        </is>
      </c>
      <c r="K217" s="1762" t="n"/>
    </row>
    <row r="218" ht="39.75" customFormat="1" customHeight="1" s="1735">
      <c r="A218" s="1754" t="inlineStr">
        <is>
          <t>JT.#15</t>
        </is>
      </c>
      <c r="B218" s="1754" t="inlineStr">
        <is>
          <t>3-1/2" TUBING 9.2 LB/FT ALLOY 28 TSH BL</t>
        </is>
      </c>
      <c r="C218" s="1755" t="n">
        <v>31</v>
      </c>
      <c r="D218" s="1756">
        <f>C218-0.301</f>
        <v/>
      </c>
      <c r="E218" s="1747">
        <f>E217+D218</f>
        <v/>
      </c>
      <c r="F218" s="1747">
        <f>F217-D217</f>
        <v/>
      </c>
      <c r="G218" s="1748">
        <f>G217-D218</f>
        <v/>
      </c>
      <c r="H218" s="1821" t="n"/>
      <c r="K218" s="1762" t="n"/>
    </row>
    <row r="219" ht="39.75" customFormat="1" customHeight="1" s="1735">
      <c r="A219" s="1754" t="inlineStr">
        <is>
          <t>JT.#16</t>
        </is>
      </c>
      <c r="B219" s="1754" t="inlineStr">
        <is>
          <t>3-1/2" TUBING 9.2 LB/FT ALLOY 28 TSH BL</t>
        </is>
      </c>
      <c r="C219" s="1755" t="n">
        <v>31</v>
      </c>
      <c r="D219" s="1756">
        <f>C219-0.301</f>
        <v/>
      </c>
      <c r="E219" s="1747">
        <f>E218+D219</f>
        <v/>
      </c>
      <c r="F219" s="1747">
        <f>F218-D218</f>
        <v/>
      </c>
      <c r="G219" s="1748">
        <f>G218-D219</f>
        <v/>
      </c>
      <c r="H219" s="1822" t="n"/>
      <c r="K219" s="1762" t="n"/>
    </row>
    <row r="220" ht="39.75" customFormat="1" customHeight="1" s="1735">
      <c r="A220" s="1754" t="inlineStr">
        <is>
          <t>JT.#17</t>
        </is>
      </c>
      <c r="B220" s="1754" t="inlineStr">
        <is>
          <t>3-1/2" TUBING 9.2 LB/FT ALLOY 28 TSH BL</t>
        </is>
      </c>
      <c r="C220" s="1755" t="n">
        <v>31</v>
      </c>
      <c r="D220" s="1756">
        <f>C220-0.301</f>
        <v/>
      </c>
      <c r="E220" s="1747">
        <f>E219+D220</f>
        <v/>
      </c>
      <c r="F220" s="1747">
        <f>F219-D219</f>
        <v/>
      </c>
      <c r="G220" s="1748">
        <f>G219-D220</f>
        <v/>
      </c>
      <c r="H220" s="1823" t="n"/>
      <c r="K220" s="1762" t="n"/>
    </row>
    <row r="221" ht="39.75" customFormat="1" customHeight="1" s="1735">
      <c r="A221" s="1754" t="inlineStr">
        <is>
          <t>JT.#18</t>
        </is>
      </c>
      <c r="B221" s="1754" t="inlineStr">
        <is>
          <t>3-1/2" TUBING 9.2 LB/FT ALLOY 28 TSH BL</t>
        </is>
      </c>
      <c r="C221" s="1755" t="n">
        <v>31</v>
      </c>
      <c r="D221" s="1756">
        <f>C221-0.301</f>
        <v/>
      </c>
      <c r="E221" s="1747">
        <f>E220+D221</f>
        <v/>
      </c>
      <c r="F221" s="1747">
        <f>F220-D220</f>
        <v/>
      </c>
      <c r="G221" s="1748">
        <f>G220-D221</f>
        <v/>
      </c>
      <c r="H221" s="1824" t="n"/>
      <c r="K221" s="1762" t="n"/>
    </row>
    <row r="222" ht="171" customFormat="1" customHeight="1" s="1735">
      <c r="A222" s="1754" t="inlineStr">
        <is>
          <t>JT.#19</t>
        </is>
      </c>
      <c r="B222" s="1754" t="inlineStr">
        <is>
          <t>3-1/2" TUBING 9.2 LB/FT ALLOY 28 TSH BL</t>
        </is>
      </c>
      <c r="C222" s="1755" t="n">
        <v>31</v>
      </c>
      <c r="D222" s="1797">
        <f>C222-0.301</f>
        <v/>
      </c>
      <c r="E222" s="1747">
        <f>E221+D222</f>
        <v/>
      </c>
      <c r="F222" s="1747">
        <f>F221-D221</f>
        <v/>
      </c>
      <c r="G222" s="1748">
        <f>G221-D222</f>
        <v/>
      </c>
      <c r="H222" s="1825" t="n"/>
    </row>
    <row r="223" ht="171" customFormat="1" customHeight="1" s="1735">
      <c r="A223" s="1754" t="inlineStr">
        <is>
          <t>JT.#20</t>
        </is>
      </c>
      <c r="B223" s="1754" t="inlineStr">
        <is>
          <t>3-1/2" TUBING 9.2 LB/FT ALLOY 28 TSH BL</t>
        </is>
      </c>
      <c r="C223" s="1755" t="n">
        <v>31</v>
      </c>
      <c r="D223" s="1797">
        <f>C223</f>
        <v/>
      </c>
      <c r="E223" s="1747">
        <f>E222+D223</f>
        <v/>
      </c>
      <c r="F223" s="1747">
        <f>F222-D222</f>
        <v/>
      </c>
      <c r="G223" s="1748">
        <f>G222-D223</f>
        <v/>
      </c>
      <c r="H223" s="1825" t="n"/>
    </row>
    <row r="224" ht="290.25" customFormat="1" customHeight="1" s="1735">
      <c r="A224" s="1754" t="inlineStr">
        <is>
          <t>JT.#21</t>
        </is>
      </c>
      <c r="B224" s="1754" t="inlineStr">
        <is>
          <t>3-1/2" TUBING 9.2 LB/FT ALLOY 28 TSH BL</t>
        </is>
      </c>
      <c r="C224" s="1755" t="n">
        <v>31</v>
      </c>
      <c r="D224" s="1800">
        <f>C224</f>
        <v/>
      </c>
      <c r="E224" s="1747">
        <f>E223+D224</f>
        <v/>
      </c>
      <c r="F224" s="1747">
        <f>F223-D223</f>
        <v/>
      </c>
      <c r="G224" s="1748">
        <f>G223-D224</f>
        <v/>
      </c>
      <c r="H224" s="1810" t="inlineStr">
        <is>
          <t>TARGET @5500'</t>
        </is>
      </c>
    </row>
    <row r="225" ht="174.75" customFormat="1" customHeight="1" s="1735">
      <c r="A225" s="1754" t="inlineStr">
        <is>
          <t>JT.#22</t>
        </is>
      </c>
      <c r="B225" s="1754" t="inlineStr">
        <is>
          <t>3-1/2" TUBING 9.2 LB/FT ALLOY 28 TSH BL</t>
        </is>
      </c>
      <c r="C225" s="1755" t="n">
        <v>31</v>
      </c>
      <c r="D225" s="1800">
        <f>C225</f>
        <v/>
      </c>
      <c r="E225" s="1747">
        <f>E224+D225</f>
        <v/>
      </c>
      <c r="F225" s="1747">
        <f>F224-D224</f>
        <v/>
      </c>
      <c r="G225" s="1748">
        <f>G224-D225</f>
        <v/>
      </c>
      <c r="H225" s="1810" t="n"/>
    </row>
    <row r="226" ht="171" customFormat="1" customHeight="1" s="1735">
      <c r="A226" s="1754" t="inlineStr">
        <is>
          <t>JT.#23</t>
        </is>
      </c>
      <c r="B226" s="1754" t="inlineStr">
        <is>
          <t>3-1/2" TUBING 9.2 LB/FT ALLOY 28 TSH BL</t>
        </is>
      </c>
      <c r="C226" s="1755" t="n">
        <v>31</v>
      </c>
      <c r="D226" s="1800">
        <f>C226</f>
        <v/>
      </c>
      <c r="E226" s="1747">
        <f>E225+D226</f>
        <v/>
      </c>
      <c r="F226" s="1747">
        <f>F225-D225</f>
        <v/>
      </c>
      <c r="G226" s="1748">
        <f>G225-D226</f>
        <v/>
      </c>
      <c r="H226" s="1810" t="n"/>
    </row>
    <row r="227" ht="39.75" customFormat="1" customHeight="1" s="1735">
      <c r="A227" s="1754" t="inlineStr">
        <is>
          <t>JT.#24</t>
        </is>
      </c>
      <c r="B227" s="1754" t="inlineStr">
        <is>
          <t>3-1/2" TUBING 9.2 LB/FT ALLOY 28 TSH BL</t>
        </is>
      </c>
      <c r="C227" s="1755" t="n">
        <v>31</v>
      </c>
      <c r="D227" s="1756">
        <f>C227-0.301</f>
        <v/>
      </c>
      <c r="E227" s="1747">
        <f>E226+D227</f>
        <v/>
      </c>
      <c r="F227" s="1747">
        <f>F226-D226</f>
        <v/>
      </c>
      <c r="G227" s="1748">
        <f>G226-D227</f>
        <v/>
      </c>
      <c r="H227" s="1820" t="n"/>
      <c r="K227" s="1762" t="n"/>
    </row>
    <row r="228" ht="39.75" customFormat="1" customHeight="1" s="1735">
      <c r="A228" s="1754" t="inlineStr">
        <is>
          <t>JT.#25</t>
        </is>
      </c>
      <c r="B228" s="1754" t="inlineStr">
        <is>
          <t>3-1/2" TUBING 9.2 LB/FT ALLOY 28 TSH BL</t>
        </is>
      </c>
      <c r="C228" s="1755" t="n">
        <v>31</v>
      </c>
      <c r="D228" s="1773">
        <f>C228-0.301</f>
        <v/>
      </c>
      <c r="E228" s="1747">
        <f>E227+D228</f>
        <v/>
      </c>
      <c r="F228" s="1747">
        <f>F227-D227</f>
        <v/>
      </c>
      <c r="G228" s="1748">
        <f>G227-D228</f>
        <v/>
      </c>
      <c r="H228" s="1821" t="n"/>
      <c r="K228" s="1762" t="n"/>
    </row>
    <row r="229" ht="39.75" customFormat="1" customHeight="1" s="1735">
      <c r="A229" s="1754" t="inlineStr">
        <is>
          <t>JT.#26</t>
        </is>
      </c>
      <c r="B229" s="1754" t="inlineStr">
        <is>
          <t>3-1/2" TUBING 9.2 LB/FT ALLOY 28 TSH BL</t>
        </is>
      </c>
      <c r="C229" s="1755" t="n">
        <v>31</v>
      </c>
      <c r="D229" s="1756">
        <f>C229-0.301</f>
        <v/>
      </c>
      <c r="E229" s="1747">
        <f>E228+D229</f>
        <v/>
      </c>
      <c r="F229" s="1747">
        <f>F228-D228</f>
        <v/>
      </c>
      <c r="G229" s="1748">
        <f>G228-D229</f>
        <v/>
      </c>
      <c r="H229" s="1824" t="n"/>
      <c r="K229" s="1762" t="n"/>
    </row>
    <row r="230" ht="39.75" customFormat="1" customHeight="1" s="1735">
      <c r="A230" s="1754" t="inlineStr">
        <is>
          <t>JT.#27</t>
        </is>
      </c>
      <c r="B230" s="1754" t="inlineStr">
        <is>
          <t>3-1/2" TUBING 9.2 LB/FT ALLOY 28 TSH BL</t>
        </is>
      </c>
      <c r="C230" s="1755" t="n">
        <v>31</v>
      </c>
      <c r="D230" s="1756">
        <f>C230-0.301</f>
        <v/>
      </c>
      <c r="E230" s="1747">
        <f>E229+D230</f>
        <v/>
      </c>
      <c r="F230" s="1747">
        <f>F229-D229</f>
        <v/>
      </c>
      <c r="G230" s="1748">
        <f>G229-D230</f>
        <v/>
      </c>
      <c r="H230" s="1760" t="n"/>
      <c r="K230" s="1762" t="n"/>
    </row>
    <row r="231" ht="39.75" customFormat="1" customHeight="1" s="1735">
      <c r="A231" s="1754" t="inlineStr">
        <is>
          <t>JT.#28</t>
        </is>
      </c>
      <c r="B231" s="1754" t="inlineStr">
        <is>
          <t>3-1/2" TUBING 9.2 LB/FT ALLOY 28 TSH BL</t>
        </is>
      </c>
      <c r="C231" s="1755" t="n">
        <v>31</v>
      </c>
      <c r="D231" s="1756">
        <f>C231-0.301</f>
        <v/>
      </c>
      <c r="E231" s="1747">
        <f>E230+D231</f>
        <v/>
      </c>
      <c r="F231" s="1747">
        <f>F230-D230</f>
        <v/>
      </c>
      <c r="G231" s="1748">
        <f>G230-D231</f>
        <v/>
      </c>
      <c r="H231" s="1796" t="n"/>
      <c r="K231" s="1762" t="n"/>
    </row>
    <row r="232" ht="39.75" customFormat="1" customHeight="1" s="1735">
      <c r="A232" s="1754" t="inlineStr">
        <is>
          <t>JT.#29</t>
        </is>
      </c>
      <c r="B232" s="1754" t="inlineStr">
        <is>
          <t>3-1/2" TUBING 9.2 LB/FT ALLOY 28 TSH BL</t>
        </is>
      </c>
      <c r="C232" s="1755" t="n">
        <v>31</v>
      </c>
      <c r="D232" s="1756">
        <f>C232-0.301</f>
        <v/>
      </c>
      <c r="E232" s="1747">
        <f>E231+D232</f>
        <v/>
      </c>
      <c r="F232" s="1747">
        <f>F231-D231</f>
        <v/>
      </c>
      <c r="G232" s="1748">
        <f>G231-D232</f>
        <v/>
      </c>
      <c r="H232" s="1777" t="inlineStr">
        <is>
          <t xml:space="preserve">FILL UP STRING </t>
        </is>
      </c>
      <c r="K232" s="1762" t="n"/>
    </row>
    <row r="233" ht="39.75" customFormat="1" customHeight="1" s="1735">
      <c r="A233" s="1754" t="inlineStr">
        <is>
          <t>JT.#30</t>
        </is>
      </c>
      <c r="B233" s="1754" t="inlineStr">
        <is>
          <t>3-1/2" TUBING 9.2 LB/FT ALLOY 28 TSH BL</t>
        </is>
      </c>
      <c r="C233" s="1755" t="n">
        <v>31</v>
      </c>
      <c r="D233" s="1756">
        <f>C233-0.301</f>
        <v/>
      </c>
      <c r="E233" s="1747">
        <f>E232+D233</f>
        <v/>
      </c>
      <c r="F233" s="1747">
        <f>F232-D232</f>
        <v/>
      </c>
      <c r="G233" s="1748">
        <f>G232-D233</f>
        <v/>
      </c>
      <c r="H233" s="1796" t="n"/>
      <c r="K233" s="1762" t="n"/>
    </row>
    <row r="234" ht="39.75" customFormat="1" customHeight="1" s="1735">
      <c r="A234" s="1754" t="inlineStr">
        <is>
          <t>JT.#31</t>
        </is>
      </c>
      <c r="B234" s="1754" t="inlineStr">
        <is>
          <t>3-1/2" TUBING 9.2 LB/FT ALLOY 28 TSH BL</t>
        </is>
      </c>
      <c r="C234" s="1755" t="n">
        <v>31</v>
      </c>
      <c r="D234" s="1756">
        <f>C234-0.301</f>
        <v/>
      </c>
      <c r="E234" s="1747">
        <f>E233+D234</f>
        <v/>
      </c>
      <c r="F234" s="1747">
        <f>F233-D233</f>
        <v/>
      </c>
      <c r="G234" s="1748">
        <f>G233-D234</f>
        <v/>
      </c>
      <c r="H234" s="1820" t="n"/>
      <c r="K234" s="1762" t="n"/>
    </row>
    <row r="235" ht="39.75" customFormat="1" customHeight="1" s="1735">
      <c r="A235" s="1754" t="inlineStr">
        <is>
          <t>JT.#32</t>
        </is>
      </c>
      <c r="B235" s="1754" t="inlineStr">
        <is>
          <t>3-1/2" TUBING 9.2 LB/FT ALLOY 28 TSH BL</t>
        </is>
      </c>
      <c r="C235" s="1755" t="n">
        <v>31</v>
      </c>
      <c r="D235" s="1756">
        <f>C235-0.301</f>
        <v/>
      </c>
      <c r="E235" s="1747">
        <f>E234+D235</f>
        <v/>
      </c>
      <c r="F235" s="1747">
        <f>F234-D234</f>
        <v/>
      </c>
      <c r="G235" s="1748">
        <f>G234-D235</f>
        <v/>
      </c>
      <c r="H235" s="1820" t="n"/>
      <c r="K235" s="1762" t="n"/>
    </row>
    <row r="236" ht="39.75" customFormat="1" customHeight="1" s="1735">
      <c r="A236" s="1754" t="inlineStr">
        <is>
          <t>JT.#33</t>
        </is>
      </c>
      <c r="B236" s="1754" t="inlineStr">
        <is>
          <t>3-1/2" TUBING 9.2 LB/FT ALLOY 28 TSH BL</t>
        </is>
      </c>
      <c r="C236" s="1755" t="n">
        <v>31</v>
      </c>
      <c r="D236" s="1756">
        <f>C236-0.301</f>
        <v/>
      </c>
      <c r="E236" s="1747">
        <f>E235+D236</f>
        <v/>
      </c>
      <c r="F236" s="1747">
        <f>F235-D235</f>
        <v/>
      </c>
      <c r="G236" s="1748">
        <f>G235-D236</f>
        <v/>
      </c>
      <c r="H236" s="1820" t="n"/>
      <c r="K236" s="1762" t="n"/>
    </row>
    <row r="237" ht="39.75" customFormat="1" customHeight="1" s="1735">
      <c r="A237" s="1754" t="inlineStr">
        <is>
          <t>JT.#34</t>
        </is>
      </c>
      <c r="B237" s="1754" t="inlineStr">
        <is>
          <t>3-1/2" TUBING 9.2 LB/FT ALLOY 28 TSH BL</t>
        </is>
      </c>
      <c r="C237" s="1755" t="n">
        <v>31</v>
      </c>
      <c r="D237" s="1756">
        <f>C237-0.301</f>
        <v/>
      </c>
      <c r="E237" s="1747">
        <f>E236+D237</f>
        <v/>
      </c>
      <c r="F237" s="1747">
        <f>F236-D236</f>
        <v/>
      </c>
      <c r="G237" s="1748">
        <f>G236-D237</f>
        <v/>
      </c>
      <c r="H237" s="1820" t="n"/>
      <c r="K237" s="1762" t="n"/>
    </row>
    <row r="238" ht="39.75" customFormat="1" customHeight="1" s="1735">
      <c r="A238" s="1754" t="inlineStr">
        <is>
          <t>JT.#35</t>
        </is>
      </c>
      <c r="B238" s="1754" t="inlineStr">
        <is>
          <t>3-1/2" TUBING 9.2 LB/FT ALLOY 28 TSH BL</t>
        </is>
      </c>
      <c r="C238" s="1755" t="n">
        <v>31</v>
      </c>
      <c r="D238" s="1756">
        <f>C238-0.301</f>
        <v/>
      </c>
      <c r="E238" s="1747">
        <f>E237+D238</f>
        <v/>
      </c>
      <c r="F238" s="1747">
        <f>F237-D237</f>
        <v/>
      </c>
      <c r="G238" s="1748">
        <f>G237-D238</f>
        <v/>
      </c>
      <c r="H238" s="1820" t="n"/>
      <c r="K238" s="1762" t="n"/>
    </row>
    <row r="239" ht="39.75" customFormat="1" customHeight="1" s="1735">
      <c r="A239" s="1754" t="inlineStr">
        <is>
          <t>JT.#36</t>
        </is>
      </c>
      <c r="B239" s="1754" t="inlineStr">
        <is>
          <t>3-1/2" TUBING 9.2 LB/FT ALLOY 28 TSH BL</t>
        </is>
      </c>
      <c r="C239" s="1755" t="n">
        <v>31</v>
      </c>
      <c r="D239" s="1756">
        <f>C239-0.301</f>
        <v/>
      </c>
      <c r="E239" s="1747">
        <f>E238+D239</f>
        <v/>
      </c>
      <c r="F239" s="1747">
        <f>F238-D238</f>
        <v/>
      </c>
      <c r="G239" s="1748">
        <f>G238-D239</f>
        <v/>
      </c>
      <c r="H239" s="1820" t="n"/>
      <c r="K239" s="1762" t="n"/>
    </row>
    <row r="240" ht="39.75" customFormat="1" customHeight="1" s="1735">
      <c r="A240" s="1754" t="inlineStr">
        <is>
          <t>JT.#37</t>
        </is>
      </c>
      <c r="B240" s="1754" t="inlineStr">
        <is>
          <t>3-1/2" TUBING 9.2 LB/FT ALLOY 28 TSH BL</t>
        </is>
      </c>
      <c r="C240" s="1755" t="n">
        <v>31</v>
      </c>
      <c r="D240" s="1756">
        <f>C240-0.301</f>
        <v/>
      </c>
      <c r="E240" s="1747">
        <f>E239+D240</f>
        <v/>
      </c>
      <c r="F240" s="1747">
        <f>F239-D239</f>
        <v/>
      </c>
      <c r="G240" s="1748">
        <f>G239-D240</f>
        <v/>
      </c>
      <c r="H240" s="1760" t="n"/>
      <c r="K240" s="1762" t="n"/>
    </row>
    <row r="241" ht="39.75" customFormat="1" customHeight="1" s="1735">
      <c r="A241" s="1754" t="inlineStr">
        <is>
          <t>JT.#38</t>
        </is>
      </c>
      <c r="B241" s="1754" t="inlineStr">
        <is>
          <t>3-1/2" TUBING 9.2 LB/FT ALLOY 28 TSH BL</t>
        </is>
      </c>
      <c r="C241" s="1755" t="n">
        <v>31</v>
      </c>
      <c r="D241" s="1756">
        <f>C241-0.301</f>
        <v/>
      </c>
      <c r="E241" s="1747">
        <f>E240+D241</f>
        <v/>
      </c>
      <c r="F241" s="1747">
        <f>F240-D240</f>
        <v/>
      </c>
      <c r="G241" s="1748">
        <f>G240-D241</f>
        <v/>
      </c>
      <c r="H241" s="1796" t="n"/>
      <c r="K241" s="1762" t="n"/>
    </row>
    <row r="242" ht="108" customFormat="1" customHeight="1" s="1735">
      <c r="A242" s="1754" t="inlineStr">
        <is>
          <t>JT.#39</t>
        </is>
      </c>
      <c r="B242" s="1754" t="inlineStr">
        <is>
          <t>3-1/2" TUBING 9.2 LB/FT ALLOY 28 TSH BL</t>
        </is>
      </c>
      <c r="C242" s="1755" t="n">
        <v>31</v>
      </c>
      <c r="D242" s="1797">
        <f>C242-0.301</f>
        <v/>
      </c>
      <c r="E242" s="1747">
        <f>E241+D242</f>
        <v/>
      </c>
      <c r="F242" s="1747">
        <f>F241-D241</f>
        <v/>
      </c>
      <c r="G242" s="1748">
        <f>G241-D242</f>
        <v/>
      </c>
      <c r="H242" s="1825" t="n"/>
    </row>
    <row r="243" ht="112.5" customFormat="1" customHeight="1" s="1735">
      <c r="A243" s="1754" t="inlineStr">
        <is>
          <t>JT.#40</t>
        </is>
      </c>
      <c r="B243" s="1754" t="inlineStr">
        <is>
          <t>3-1/2" TUBING 9.2 LB/FT ALLOY 28 TSH BL</t>
        </is>
      </c>
      <c r="C243" s="1755" t="n">
        <v>31</v>
      </c>
      <c r="D243" s="1797">
        <f>C243</f>
        <v/>
      </c>
      <c r="E243" s="1747">
        <f>E242+D243</f>
        <v/>
      </c>
      <c r="F243" s="1747">
        <f>F242-D242</f>
        <v/>
      </c>
      <c r="G243" s="1748">
        <f>G242-D243</f>
        <v/>
      </c>
      <c r="H243" s="1825" t="n"/>
    </row>
    <row r="244" ht="207" customFormat="1" customHeight="1" s="1735">
      <c r="A244" s="1754" t="inlineStr">
        <is>
          <t>JT.#41</t>
        </is>
      </c>
      <c r="B244" s="1754" t="inlineStr">
        <is>
          <t>3-1/2" TUBING 9.2 LB/FT ALLOY 28 TSH BL</t>
        </is>
      </c>
      <c r="C244" s="1755" t="n">
        <v>31</v>
      </c>
      <c r="D244" s="1800">
        <f>C244</f>
        <v/>
      </c>
      <c r="E244" s="1747">
        <f>E243+D244</f>
        <v/>
      </c>
      <c r="F244" s="1747">
        <f>F243-D243</f>
        <v/>
      </c>
      <c r="G244" s="1748">
        <f>G243-D244</f>
        <v/>
      </c>
      <c r="H244" s="1810" t="inlineStr">
        <is>
          <t>TARGET @5000'</t>
        </is>
      </c>
    </row>
    <row r="245" ht="131.25" customFormat="1" customHeight="1" s="1735">
      <c r="A245" s="1754" t="inlineStr">
        <is>
          <t>JT.#42</t>
        </is>
      </c>
      <c r="B245" s="1754" t="inlineStr">
        <is>
          <t>3-1/2" TUBING 9.2 LB/FT ALLOY 28 TSH BL</t>
        </is>
      </c>
      <c r="C245" s="1755" t="n">
        <v>31</v>
      </c>
      <c r="D245" s="1800">
        <f>C245</f>
        <v/>
      </c>
      <c r="E245" s="1747">
        <f>E244+D245</f>
        <v/>
      </c>
      <c r="F245" s="1747">
        <f>F244-D244</f>
        <v/>
      </c>
      <c r="G245" s="1748">
        <f>G244-D245</f>
        <v/>
      </c>
      <c r="H245" s="1810" t="n"/>
    </row>
    <row r="246" ht="131.25" customFormat="1" customHeight="1" s="1735">
      <c r="A246" s="1754" t="inlineStr">
        <is>
          <t>JT.#43</t>
        </is>
      </c>
      <c r="B246" s="1754" t="inlineStr">
        <is>
          <t>3-1/2" TUBING 9.2 LB/FT ALLOY 28 TSH BL</t>
        </is>
      </c>
      <c r="C246" s="1755" t="n">
        <v>31</v>
      </c>
      <c r="D246" s="1800">
        <f>C246</f>
        <v/>
      </c>
      <c r="E246" s="1747">
        <f>E245+D246</f>
        <v/>
      </c>
      <c r="F246" s="1747">
        <f>F245-D245</f>
        <v/>
      </c>
      <c r="G246" s="1748">
        <f>G245-D246</f>
        <v/>
      </c>
      <c r="H246" s="1810" t="n"/>
    </row>
    <row r="247" ht="39.75" customFormat="1" customHeight="1" s="1735">
      <c r="A247" s="1754" t="inlineStr">
        <is>
          <t>JT.#44</t>
        </is>
      </c>
      <c r="B247" s="1754" t="inlineStr">
        <is>
          <t>3-1/2" TUBING 9.2 LB/FT ALLOY 28 TSH BL</t>
        </is>
      </c>
      <c r="C247" s="1755" t="n">
        <v>31</v>
      </c>
      <c r="D247" s="1756">
        <f>C247-0.301</f>
        <v/>
      </c>
      <c r="E247" s="1747">
        <f>E246+D247</f>
        <v/>
      </c>
      <c r="F247" s="1747">
        <f>F246-D246</f>
        <v/>
      </c>
      <c r="G247" s="1748">
        <f>G246-D247</f>
        <v/>
      </c>
      <c r="H247" s="1777" t="inlineStr">
        <is>
          <t xml:space="preserve">FILL UP STRING </t>
        </is>
      </c>
      <c r="K247" s="1762" t="n"/>
    </row>
    <row r="248" ht="39.75" customFormat="1" customHeight="1" s="1735">
      <c r="A248" s="1754" t="inlineStr">
        <is>
          <t>JT.#45</t>
        </is>
      </c>
      <c r="B248" s="1754" t="inlineStr">
        <is>
          <t>3-1/2" TUBING 9.2 LB/FT ALLOY 28 TSH BL</t>
        </is>
      </c>
      <c r="C248" s="1755" t="n">
        <v>31</v>
      </c>
      <c r="D248" s="1756">
        <f>C248-0.301</f>
        <v/>
      </c>
      <c r="E248" s="1747">
        <f>E247+D248</f>
        <v/>
      </c>
      <c r="F248" s="1747">
        <f>F247-D247</f>
        <v/>
      </c>
      <c r="G248" s="1748">
        <f>G247-D248</f>
        <v/>
      </c>
      <c r="H248" s="1796" t="n"/>
      <c r="K248" s="1762" t="n"/>
    </row>
    <row r="249" ht="39.75" customFormat="1" customHeight="1" s="1735">
      <c r="A249" s="1754" t="inlineStr">
        <is>
          <t>JT.#46</t>
        </is>
      </c>
      <c r="B249" s="1754" t="inlineStr">
        <is>
          <t>3-1/2" TUBING 9.2 LB/FT ALLOY 28 TSH BL</t>
        </is>
      </c>
      <c r="C249" s="1755" t="n">
        <v>31</v>
      </c>
      <c r="D249" s="1756">
        <f>C249-0.301</f>
        <v/>
      </c>
      <c r="E249" s="1747">
        <f>E248+D249</f>
        <v/>
      </c>
      <c r="F249" s="1747">
        <f>F248-D248</f>
        <v/>
      </c>
      <c r="G249" s="1748">
        <f>G248-D249</f>
        <v/>
      </c>
      <c r="H249" s="1820" t="n"/>
      <c r="K249" s="1762" t="n"/>
    </row>
    <row r="250" ht="39.75" customFormat="1" customHeight="1" s="1735">
      <c r="A250" s="1754" t="inlineStr">
        <is>
          <t>JT.#47</t>
        </is>
      </c>
      <c r="B250" s="1754" t="inlineStr">
        <is>
          <t>3-1/2" TUBING 9.2 LB/FT ALLOY 28 TSH BL</t>
        </is>
      </c>
      <c r="C250" s="1755" t="n">
        <v>31</v>
      </c>
      <c r="D250" s="1756">
        <f>C250-0.301</f>
        <v/>
      </c>
      <c r="E250" s="1747">
        <f>E249+D250</f>
        <v/>
      </c>
      <c r="F250" s="1747">
        <f>F249-D249</f>
        <v/>
      </c>
      <c r="G250" s="1748">
        <f>G249-D250</f>
        <v/>
      </c>
      <c r="H250" s="1820" t="n"/>
      <c r="K250" s="1762" t="n"/>
    </row>
    <row r="251" ht="39.75" customFormat="1" customHeight="1" s="1735">
      <c r="A251" s="1754" t="inlineStr">
        <is>
          <t>JT.#48</t>
        </is>
      </c>
      <c r="B251" s="1754" t="inlineStr">
        <is>
          <t>3-1/2" TUBING 9.2 LB/FT ALLOY 28 TSH BL</t>
        </is>
      </c>
      <c r="C251" s="1755" t="n">
        <v>31</v>
      </c>
      <c r="D251" s="1756">
        <f>C251-0.301</f>
        <v/>
      </c>
      <c r="E251" s="1747">
        <f>E250+D251</f>
        <v/>
      </c>
      <c r="F251" s="1747">
        <f>F250-D250</f>
        <v/>
      </c>
      <c r="G251" s="1748">
        <f>G250-D251</f>
        <v/>
      </c>
      <c r="H251" s="1820" t="n"/>
      <c r="K251" s="1762" t="n"/>
    </row>
    <row r="252" ht="39.75" customFormat="1" customHeight="1" s="1735">
      <c r="A252" s="1754" t="inlineStr">
        <is>
          <t>JT.#49</t>
        </is>
      </c>
      <c r="B252" s="1754" t="inlineStr">
        <is>
          <t>3-1/2" TUBING 9.2 LB/FT ALLOY 28 TSH BL</t>
        </is>
      </c>
      <c r="C252" s="1755" t="n">
        <v>31</v>
      </c>
      <c r="D252" s="1756">
        <f>C252-0.301</f>
        <v/>
      </c>
      <c r="E252" s="1747">
        <f>E251+D252</f>
        <v/>
      </c>
      <c r="F252" s="1747">
        <f>F251-D251</f>
        <v/>
      </c>
      <c r="G252" s="1748">
        <f>G251-D252</f>
        <v/>
      </c>
      <c r="H252" s="1820" t="n"/>
      <c r="K252" s="1762" t="n"/>
    </row>
    <row r="253" ht="39.75" customFormat="1" customHeight="1" s="1735">
      <c r="A253" s="1754" t="inlineStr">
        <is>
          <t>JT.#50</t>
        </is>
      </c>
      <c r="B253" s="1754" t="inlineStr">
        <is>
          <t>3-1/2" TUBING 9.2 LB/FT ALLOY 28 TSH BL</t>
        </is>
      </c>
      <c r="C253" s="1755" t="n">
        <v>31</v>
      </c>
      <c r="D253" s="1756">
        <f>C253-0.301</f>
        <v/>
      </c>
      <c r="E253" s="1747">
        <f>E252+D253</f>
        <v/>
      </c>
      <c r="F253" s="1747">
        <f>F252-D252</f>
        <v/>
      </c>
      <c r="G253" s="1748">
        <f>G252-D253</f>
        <v/>
      </c>
      <c r="H253" s="1820" t="n"/>
      <c r="K253" s="1762" t="n"/>
    </row>
    <row r="254" ht="39.75" customFormat="1" customHeight="1" s="1735">
      <c r="A254" s="1754" t="inlineStr">
        <is>
          <t>JT.#51</t>
        </is>
      </c>
      <c r="B254" s="1754" t="inlineStr">
        <is>
          <t>3-1/2" TUBING 9.2 LB/FT ALLOY 28 TSH BL</t>
        </is>
      </c>
      <c r="C254" s="1755" t="n">
        <v>31</v>
      </c>
      <c r="D254" s="1756">
        <f>C254-0.301</f>
        <v/>
      </c>
      <c r="E254" s="1747">
        <f>E253+D254</f>
        <v/>
      </c>
      <c r="F254" s="1747">
        <f>F253-D253</f>
        <v/>
      </c>
      <c r="G254" s="1748">
        <f>G253-D254</f>
        <v/>
      </c>
      <c r="H254" s="1820" t="n"/>
      <c r="K254" s="1762" t="n"/>
    </row>
    <row r="255" ht="39.75" customFormat="1" customHeight="1" s="1735">
      <c r="A255" s="1754" t="inlineStr">
        <is>
          <t>JT.#52</t>
        </is>
      </c>
      <c r="B255" s="1754" t="inlineStr">
        <is>
          <t>3-1/2" TUBING 9.2 LB/FT ALLOY 28 TSH BL</t>
        </is>
      </c>
      <c r="C255" s="1755" t="n">
        <v>31</v>
      </c>
      <c r="D255" s="1756">
        <f>C255-0.301</f>
        <v/>
      </c>
      <c r="E255" s="1747">
        <f>E254+D255</f>
        <v/>
      </c>
      <c r="F255" s="1747">
        <f>F254-D254</f>
        <v/>
      </c>
      <c r="G255" s="1748">
        <f>G254-D255</f>
        <v/>
      </c>
      <c r="H255" s="1760" t="n"/>
      <c r="K255" s="1762" t="n"/>
    </row>
    <row r="256" ht="39.75" customFormat="1" customHeight="1" s="1735">
      <c r="A256" s="1754" t="inlineStr">
        <is>
          <t>JT.#53</t>
        </is>
      </c>
      <c r="B256" s="1754" t="inlineStr">
        <is>
          <t>3-1/2" TUBING 9.2 LB/FT ALLOY 28 TSH BL</t>
        </is>
      </c>
      <c r="C256" s="1755" t="n">
        <v>31</v>
      </c>
      <c r="D256" s="1756">
        <f>C256-0.301</f>
        <v/>
      </c>
      <c r="E256" s="1747">
        <f>E255+D256</f>
        <v/>
      </c>
      <c r="F256" s="1747">
        <f>F255-D255</f>
        <v/>
      </c>
      <c r="G256" s="1748">
        <f>G255-D256</f>
        <v/>
      </c>
      <c r="H256" s="1796" t="n"/>
      <c r="K256" s="1762" t="n"/>
    </row>
    <row r="257" ht="39.75" customFormat="1" customHeight="1" s="1735">
      <c r="A257" s="1754" t="inlineStr">
        <is>
          <t>JT.#54</t>
        </is>
      </c>
      <c r="B257" s="1754" t="inlineStr">
        <is>
          <t>3-1/2" TUBING 9.2 LB/FT ALLOY 28 TSH BL</t>
        </is>
      </c>
      <c r="C257" s="1755" t="n">
        <v>31</v>
      </c>
      <c r="D257" s="1756">
        <f>C257-0.301</f>
        <v/>
      </c>
      <c r="E257" s="1747">
        <f>E256+D257</f>
        <v/>
      </c>
      <c r="F257" s="1747">
        <f>F256-D256</f>
        <v/>
      </c>
      <c r="G257" s="1748">
        <f>G256-D257</f>
        <v/>
      </c>
      <c r="H257" s="1820" t="n"/>
      <c r="K257" s="1762" t="n"/>
    </row>
    <row r="258" ht="39.75" customFormat="1" customHeight="1" s="1735">
      <c r="A258" s="1754" t="inlineStr">
        <is>
          <t>JT.#55</t>
        </is>
      </c>
      <c r="B258" s="1754" t="inlineStr">
        <is>
          <t>3-1/2" TUBING 9.2 LB/FT ALLOY 28 TSH BL</t>
        </is>
      </c>
      <c r="C258" s="1755" t="n">
        <v>31</v>
      </c>
      <c r="D258" s="1756">
        <f>C258-0.301</f>
        <v/>
      </c>
      <c r="E258" s="1747">
        <f>E257+D258</f>
        <v/>
      </c>
      <c r="F258" s="1747">
        <f>F257-D257</f>
        <v/>
      </c>
      <c r="G258" s="1748">
        <f>G257-D258</f>
        <v/>
      </c>
      <c r="H258" s="1777" t="inlineStr">
        <is>
          <t xml:space="preserve">FILL UP STRING </t>
        </is>
      </c>
      <c r="K258" s="1762" t="n"/>
    </row>
    <row r="259" ht="39.75" customFormat="1" customHeight="1" s="1735">
      <c r="A259" s="1754" t="inlineStr">
        <is>
          <t>JT.#56</t>
        </is>
      </c>
      <c r="B259" s="1754" t="inlineStr">
        <is>
          <t>3-1/2" TUBING 9.2 LB/FT ALLOY 28 TSH BL</t>
        </is>
      </c>
      <c r="C259" s="1755" t="n">
        <v>31</v>
      </c>
      <c r="D259" s="1756">
        <f>C259-0.301</f>
        <v/>
      </c>
      <c r="E259" s="1747">
        <f>E258+D259</f>
        <v/>
      </c>
      <c r="F259" s="1747">
        <f>F258-D258</f>
        <v/>
      </c>
      <c r="G259" s="1748">
        <f>G258-D259</f>
        <v/>
      </c>
      <c r="H259" s="1820" t="n"/>
      <c r="K259" s="1762" t="n"/>
    </row>
    <row r="260" ht="39.75" customFormat="1" customHeight="1" s="1735">
      <c r="A260" s="1754" t="inlineStr">
        <is>
          <t>JT.#57</t>
        </is>
      </c>
      <c r="B260" s="1754" t="inlineStr">
        <is>
          <t>3-1/2" TUBING 9.2 LB/FT ALLOY 28 TSH BL</t>
        </is>
      </c>
      <c r="C260" s="1755" t="n">
        <v>31</v>
      </c>
      <c r="D260" s="1756">
        <f>C260-0.301</f>
        <v/>
      </c>
      <c r="E260" s="1747">
        <f>E259+D260</f>
        <v/>
      </c>
      <c r="F260" s="1747">
        <f>F259-D259</f>
        <v/>
      </c>
      <c r="G260" s="1748">
        <f>G259-D260</f>
        <v/>
      </c>
      <c r="H260" s="1820" t="n"/>
      <c r="K260" s="1762" t="n"/>
    </row>
    <row r="261" ht="39.75" customFormat="1" customHeight="1" s="1735">
      <c r="A261" s="1754" t="inlineStr">
        <is>
          <t>JT.#58</t>
        </is>
      </c>
      <c r="B261" s="1754" t="inlineStr">
        <is>
          <t>3-1/2" TUBING 9.2 LB/FT ALLOY 28 TSH BL</t>
        </is>
      </c>
      <c r="C261" s="1755" t="n">
        <v>31</v>
      </c>
      <c r="D261" s="1756">
        <f>C261-0.301</f>
        <v/>
      </c>
      <c r="E261" s="1747">
        <f>E260+D261</f>
        <v/>
      </c>
      <c r="F261" s="1747">
        <f>F260-D260</f>
        <v/>
      </c>
      <c r="G261" s="1748">
        <f>G260-D261</f>
        <v/>
      </c>
      <c r="H261" s="1820" t="n"/>
      <c r="K261" s="1762" t="n"/>
    </row>
    <row r="262" ht="39.75" customFormat="1" customHeight="1" s="1735">
      <c r="A262" s="1754" t="inlineStr">
        <is>
          <t>JT.#59</t>
        </is>
      </c>
      <c r="B262" s="1754" t="inlineStr">
        <is>
          <t>3-1/2" TUBING 9.2 LB/FT ALLOY 28 TSH BL</t>
        </is>
      </c>
      <c r="C262" s="1755" t="n">
        <v>31</v>
      </c>
      <c r="D262" s="1756">
        <f>C262-0.301</f>
        <v/>
      </c>
      <c r="E262" s="1747">
        <f>E261+D262</f>
        <v/>
      </c>
      <c r="F262" s="1747">
        <f>F261-D261</f>
        <v/>
      </c>
      <c r="G262" s="1748">
        <f>G261-D262</f>
        <v/>
      </c>
      <c r="H262" s="1820" t="n"/>
      <c r="K262" s="1762" t="n"/>
    </row>
    <row r="263" ht="39.75" customFormat="1" customHeight="1" s="1735">
      <c r="A263" s="1754" t="inlineStr">
        <is>
          <t>JT.#60</t>
        </is>
      </c>
      <c r="B263" s="1754" t="inlineStr">
        <is>
          <t>3-1/2" TUBING 9.2 LB/FT ALLOY 28 TSH BL</t>
        </is>
      </c>
      <c r="C263" s="1755" t="n">
        <v>31</v>
      </c>
      <c r="D263" s="1756">
        <f>C263-0.301</f>
        <v/>
      </c>
      <c r="E263" s="1747">
        <f>E262+D263</f>
        <v/>
      </c>
      <c r="F263" s="1747">
        <f>F262-D262</f>
        <v/>
      </c>
      <c r="G263" s="1748">
        <f>G262-D263</f>
        <v/>
      </c>
      <c r="H263" s="1820" t="n"/>
      <c r="K263" s="1762" t="n"/>
    </row>
    <row r="264" ht="39.75" customFormat="1" customHeight="1" s="1735">
      <c r="A264" s="1754" t="inlineStr">
        <is>
          <t>JT.#61</t>
        </is>
      </c>
      <c r="B264" s="1754" t="inlineStr">
        <is>
          <t>3-1/2" TUBING 9.2 LB/FT ALLOY 28 TSH BL</t>
        </is>
      </c>
      <c r="C264" s="1755" t="n">
        <v>31</v>
      </c>
      <c r="D264" s="1756">
        <f>C264-0.301</f>
        <v/>
      </c>
      <c r="E264" s="1747">
        <f>E263+D264</f>
        <v/>
      </c>
      <c r="F264" s="1747">
        <f>F263-D263</f>
        <v/>
      </c>
      <c r="G264" s="1748">
        <f>G263-D264</f>
        <v/>
      </c>
      <c r="H264" s="1820" t="n"/>
      <c r="K264" s="1762" t="n"/>
    </row>
    <row r="265" ht="39.75" customFormat="1" customHeight="1" s="1735">
      <c r="A265" s="1754" t="inlineStr">
        <is>
          <t>JT.#62</t>
        </is>
      </c>
      <c r="B265" s="1754" t="inlineStr">
        <is>
          <t>3-1/2" TUBING 9.2 LB/FT ALLOY 28 TSH BL</t>
        </is>
      </c>
      <c r="C265" s="1755" t="n">
        <v>31</v>
      </c>
      <c r="D265" s="1756">
        <f>C265-0.301</f>
        <v/>
      </c>
      <c r="E265" s="1747">
        <f>E264+D265</f>
        <v/>
      </c>
      <c r="F265" s="1747">
        <f>F264-D264</f>
        <v/>
      </c>
      <c r="G265" s="1748">
        <f>G264-D265</f>
        <v/>
      </c>
      <c r="H265" s="1760" t="inlineStr">
        <is>
          <t>.</t>
        </is>
      </c>
      <c r="K265" s="1762" t="n"/>
    </row>
    <row r="266" ht="39.75" customFormat="1" customHeight="1" s="1735">
      <c r="A266" s="1754" t="inlineStr">
        <is>
          <t>JT.#63</t>
        </is>
      </c>
      <c r="B266" s="1754" t="inlineStr">
        <is>
          <t>3-1/2" TUBING 9.2 LB/FT ALLOY 28 TSH BL</t>
        </is>
      </c>
      <c r="C266" s="1755" t="n">
        <v>31</v>
      </c>
      <c r="D266" s="1756">
        <f>C266-0.301</f>
        <v/>
      </c>
      <c r="E266" s="1747">
        <f>E265+D266</f>
        <v/>
      </c>
      <c r="F266" s="1747">
        <f>F265-D265</f>
        <v/>
      </c>
      <c r="G266" s="1748">
        <f>G265-D266</f>
        <v/>
      </c>
      <c r="H266" s="1796" t="n"/>
      <c r="K266" s="1762" t="n"/>
    </row>
    <row r="267" ht="39.75" customFormat="1" customHeight="1" s="1735">
      <c r="A267" s="1754" t="inlineStr">
        <is>
          <t>JT.#64</t>
        </is>
      </c>
      <c r="B267" s="1754" t="inlineStr">
        <is>
          <t>3-1/2" TUBING 9.2 LB/FT ALLOY 28 TSH BL</t>
        </is>
      </c>
      <c r="C267" s="1755" t="n">
        <v>31</v>
      </c>
      <c r="D267" s="1756">
        <f>C267-0.301</f>
        <v/>
      </c>
      <c r="E267" s="1747">
        <f>E266+D267</f>
        <v/>
      </c>
      <c r="F267" s="1747">
        <f>F266-D266</f>
        <v/>
      </c>
      <c r="G267" s="1748">
        <f>G266-D267</f>
        <v/>
      </c>
      <c r="H267" s="1777" t="inlineStr">
        <is>
          <t xml:space="preserve">FILL UP STRING </t>
        </is>
      </c>
      <c r="K267" s="1762" t="n"/>
    </row>
    <row r="268" ht="39.75" customFormat="1" customHeight="1" s="1735">
      <c r="A268" s="1754" t="inlineStr">
        <is>
          <t>JT.#65</t>
        </is>
      </c>
      <c r="B268" s="1754" t="inlineStr">
        <is>
          <t>3-1/2" TUBING 9.2 LB/FT ALLOY 28 TSH BL</t>
        </is>
      </c>
      <c r="C268" s="1755" t="n">
        <v>31</v>
      </c>
      <c r="D268" s="1756">
        <f>C268-0.301</f>
        <v/>
      </c>
      <c r="E268" s="1747">
        <f>E267+D268</f>
        <v/>
      </c>
      <c r="F268" s="1747">
        <f>F267-D267</f>
        <v/>
      </c>
      <c r="G268" s="1748">
        <f>G267-D268</f>
        <v/>
      </c>
      <c r="H268" s="1796" t="n"/>
      <c r="K268" s="1762" t="n"/>
    </row>
    <row r="269" ht="39.75" customFormat="1" customHeight="1" s="1735">
      <c r="A269" s="1754" t="inlineStr">
        <is>
          <t>JT.#66</t>
        </is>
      </c>
      <c r="B269" s="1754" t="inlineStr">
        <is>
          <t>3-1/2" TUBING 9.2 LB/FT ALLOY 28 TSH BL</t>
        </is>
      </c>
      <c r="C269" s="1755" t="n">
        <v>31</v>
      </c>
      <c r="D269" s="1756">
        <f>C269-0.301</f>
        <v/>
      </c>
      <c r="E269" s="1747">
        <f>E268+D269</f>
        <v/>
      </c>
      <c r="F269" s="1747">
        <f>F268-D268</f>
        <v/>
      </c>
      <c r="G269" s="1748">
        <f>G268-D269</f>
        <v/>
      </c>
      <c r="H269" s="1820" t="n"/>
      <c r="K269" s="1762" t="n"/>
    </row>
    <row r="270" ht="39.75" customFormat="1" customHeight="1" s="1735">
      <c r="A270" s="1826" t="inlineStr">
        <is>
          <t>SP-01</t>
        </is>
      </c>
      <c r="B270" s="1827" t="inlineStr">
        <is>
          <t>UPPER CONN. 3-1/2" VAM TOP BOX 9.2 PPF SN 28 110 KSI
DESCRIPTION: 5 FEET XOVER
SAP: 130005011340
SUPPLIER: TENARIS
UPPER CONN. 3-1/2" TSH BLUE PIN 9.2 PPF SN 28 110 KSI</t>
        </is>
      </c>
      <c r="C270" s="1828" t="n">
        <v>5.18</v>
      </c>
      <c r="D270" s="1756">
        <f>C270-0.301</f>
        <v/>
      </c>
      <c r="E270" s="1747">
        <f>E269+D270</f>
        <v/>
      </c>
      <c r="F270" s="1747">
        <f>F269-D269</f>
        <v/>
      </c>
      <c r="G270" s="1748">
        <f>G269-D270</f>
        <v/>
      </c>
      <c r="H270" s="1820" t="n"/>
      <c r="K270" s="1762" t="n"/>
    </row>
    <row r="271" ht="39.75" customFormat="1" customHeight="1" s="1735">
      <c r="A271" s="1766" t="n"/>
      <c r="B271" s="1827" t="inlineStr">
        <is>
          <t>UPPER CONN.
3-1/2 9.2 PPF, 110KSI VAM TOP BOX
DESCRIPTION:
PCKR, SWEL,6,3-1/2,A925, OIL
P/N: 2991712
S/N: RDT-UAE-1003629
SAP: 130010039426
SUPPLIER: WFD-REACTIVE
LOWER CONN.</t>
        </is>
      </c>
      <c r="C271" s="1828" t="n">
        <v>30.88</v>
      </c>
      <c r="D271" s="1756">
        <f>C271-0.301</f>
        <v/>
      </c>
      <c r="E271" s="1747">
        <f>E270+D271</f>
        <v/>
      </c>
      <c r="F271" s="1747">
        <f>F270-D270</f>
        <v/>
      </c>
      <c r="G271" s="1748">
        <f>G270-D271</f>
        <v/>
      </c>
      <c r="H271" s="1820" t="n"/>
      <c r="K271" s="1762" t="n"/>
    </row>
    <row r="272" ht="39.75" customFormat="1" customHeight="1" s="1735">
      <c r="A272" s="1440" t="n"/>
      <c r="B272" s="1827" t="inlineStr">
        <is>
          <t>UPPER CONN . 3-1/2" TSH BLUE BOX 9.2 PPF SN 28 110 KSI
DESCRIPTION: 3 FEET XOVER
SAP: 130005011337
SUPPLIER: TENARIS
LOWER CONN. 3-1/2" VAM TOP PIN 9.2 PPF SN 28 110 KSI</t>
        </is>
      </c>
      <c r="C272" s="1828" t="n">
        <v>2.78</v>
      </c>
      <c r="D272" s="1756">
        <f>C272-0.301</f>
        <v/>
      </c>
      <c r="E272" s="1747">
        <f>E271+D272</f>
        <v/>
      </c>
      <c r="F272" s="1747">
        <f>F271-D271</f>
        <v/>
      </c>
      <c r="G272" s="1748">
        <f>G271-D272</f>
        <v/>
      </c>
      <c r="H272" s="1820" t="n"/>
      <c r="K272" s="1762" t="n"/>
    </row>
    <row r="273" ht="39.75" customFormat="1" customHeight="1" s="1735">
      <c r="A273" s="1754" t="inlineStr">
        <is>
          <t>JT.#67</t>
        </is>
      </c>
      <c r="B273" s="1754" t="inlineStr">
        <is>
          <t>3-1/2" TUBING 9.2 LB/FT ALLOY 28 TSH BL</t>
        </is>
      </c>
      <c r="C273" s="1755" t="n">
        <v>31</v>
      </c>
      <c r="D273" s="1756">
        <f>C273-0.301</f>
        <v/>
      </c>
      <c r="E273" s="1747">
        <f>E272+D273</f>
        <v/>
      </c>
      <c r="F273" s="1747">
        <f>F272-D272</f>
        <v/>
      </c>
      <c r="G273" s="1748">
        <f>G272-D273</f>
        <v/>
      </c>
      <c r="H273" s="1820" t="n"/>
      <c r="K273" s="1762" t="n"/>
    </row>
    <row r="274" ht="39.75" customFormat="1" customHeight="1" s="1735">
      <c r="A274" s="1754" t="inlineStr">
        <is>
          <t>JT.#68</t>
        </is>
      </c>
      <c r="B274" s="1754" t="inlineStr">
        <is>
          <t>3-1/2" TUBING 9.2 LB/FT ALLOY 28 TSH BL</t>
        </is>
      </c>
      <c r="C274" s="1755" t="n">
        <v>31</v>
      </c>
      <c r="D274" s="1756">
        <f>C274-0.301</f>
        <v/>
      </c>
      <c r="E274" s="1747">
        <f>E273+D274</f>
        <v/>
      </c>
      <c r="F274" s="1747">
        <f>F273-D273</f>
        <v/>
      </c>
      <c r="G274" s="1748">
        <f>G273-D274</f>
        <v/>
      </c>
      <c r="H274" s="1829" t="n"/>
      <c r="K274" s="1762" t="n"/>
    </row>
    <row r="275" ht="153" customFormat="1" customHeight="1" s="1735">
      <c r="A275" s="1754" t="inlineStr">
        <is>
          <t>JT.#69</t>
        </is>
      </c>
      <c r="B275" s="1754" t="inlineStr">
        <is>
          <t>3-1/2" TUBING 9.2 LB/FT ALLOY 28 TSH BL</t>
        </is>
      </c>
      <c r="C275" s="1755" t="n">
        <v>31</v>
      </c>
      <c r="D275" s="1797">
        <f>C275-0.301</f>
        <v/>
      </c>
      <c r="E275" s="1747">
        <f>E274+D275</f>
        <v/>
      </c>
      <c r="F275" s="1747">
        <f>F274-D274</f>
        <v/>
      </c>
      <c r="G275" s="1748">
        <f>G274-D275</f>
        <v/>
      </c>
      <c r="H275" s="1825" t="n"/>
    </row>
    <row r="276" ht="103.5" customFormat="1" customHeight="1" s="1735">
      <c r="A276" s="1754" t="inlineStr">
        <is>
          <t>JT.#70</t>
        </is>
      </c>
      <c r="B276" s="1754" t="inlineStr">
        <is>
          <t>3-1/2" TUBING 9.2 LB/FT ALLOY 28 TSH BL</t>
        </is>
      </c>
      <c r="C276" s="1755" t="n">
        <v>31</v>
      </c>
      <c r="D276" s="1797">
        <f>C276</f>
        <v/>
      </c>
      <c r="E276" s="1747">
        <f>E275+D276</f>
        <v/>
      </c>
      <c r="F276" s="1747">
        <f>F275-D275</f>
        <v/>
      </c>
      <c r="G276" s="1748">
        <f>G275-D276</f>
        <v/>
      </c>
      <c r="H276" s="1825" t="n"/>
    </row>
    <row r="277" ht="226.5" customFormat="1" customHeight="1" s="1735">
      <c r="A277" s="1754" t="inlineStr">
        <is>
          <t>JT.#71</t>
        </is>
      </c>
      <c r="B277" s="1754" t="inlineStr">
        <is>
          <t>3-1/2" TUBING 9.2 LB/FT ALLOY 28 TSH BL</t>
        </is>
      </c>
      <c r="C277" s="1755" t="n">
        <v>31</v>
      </c>
      <c r="D277" s="1800">
        <f>C277</f>
        <v/>
      </c>
      <c r="E277" s="1747">
        <f>E276+D277</f>
        <v/>
      </c>
      <c r="F277" s="1747">
        <f>F276-D276</f>
        <v/>
      </c>
      <c r="G277" s="1748">
        <f>G276-D277</f>
        <v/>
      </c>
      <c r="H277" s="1810" t="inlineStr">
        <is>
          <t>TARGET @4100'</t>
        </is>
      </c>
    </row>
    <row r="278" ht="176.25" customFormat="1" customHeight="1" s="1735">
      <c r="A278" s="1754" t="inlineStr">
        <is>
          <t>JT.#72</t>
        </is>
      </c>
      <c r="B278" s="1754" t="inlineStr">
        <is>
          <t>3-1/2" TUBING 9.2 LB/FT ALLOY 28 TSH BL</t>
        </is>
      </c>
      <c r="C278" s="1755" t="n">
        <v>31</v>
      </c>
      <c r="D278" s="1800">
        <f>C278</f>
        <v/>
      </c>
      <c r="E278" s="1747">
        <f>E277+D278</f>
        <v/>
      </c>
      <c r="F278" s="1747">
        <f>F277-D277</f>
        <v/>
      </c>
      <c r="G278" s="1748">
        <f>G277-D278</f>
        <v/>
      </c>
      <c r="H278" s="1810" t="n"/>
    </row>
    <row r="279" ht="162.75" customFormat="1" customHeight="1" s="1735">
      <c r="A279" s="1754" t="inlineStr">
        <is>
          <t>JT.#73</t>
        </is>
      </c>
      <c r="B279" s="1754" t="inlineStr">
        <is>
          <t>3-1/2" TUBING 9.2 LB/FT ALLOY 28 TSH BL</t>
        </is>
      </c>
      <c r="C279" s="1755" t="n">
        <v>31</v>
      </c>
      <c r="D279" s="1800">
        <f>C279</f>
        <v/>
      </c>
      <c r="E279" s="1747">
        <f>E278+D279</f>
        <v/>
      </c>
      <c r="F279" s="1747">
        <f>F278-D278</f>
        <v/>
      </c>
      <c r="G279" s="1748">
        <f>G278-D279</f>
        <v/>
      </c>
      <c r="H279" s="1810" t="n"/>
    </row>
    <row r="280" ht="39.75" customFormat="1" customHeight="1" s="1735">
      <c r="A280" s="1754" t="inlineStr">
        <is>
          <t>JT.#74</t>
        </is>
      </c>
      <c r="B280" s="1754" t="inlineStr">
        <is>
          <t>3-1/2" TUBING 9.2 LB/FT ALLOY 28 TSH BL</t>
        </is>
      </c>
      <c r="C280" s="1755" t="n">
        <v>31</v>
      </c>
      <c r="D280" s="1756">
        <f>C280-0.301</f>
        <v/>
      </c>
      <c r="E280" s="1747">
        <f>E279+D280</f>
        <v/>
      </c>
      <c r="F280" s="1747">
        <f>F279-D279</f>
        <v/>
      </c>
      <c r="G280" s="1748">
        <f>G279-D280</f>
        <v/>
      </c>
      <c r="H280" s="1760" t="inlineStr">
        <is>
          <t>.</t>
        </is>
      </c>
      <c r="K280" s="1762" t="n"/>
    </row>
    <row r="281" ht="39.75" customFormat="1" customHeight="1" s="1735">
      <c r="A281" s="1754" t="inlineStr">
        <is>
          <t>JT.#75</t>
        </is>
      </c>
      <c r="B281" s="1754" t="inlineStr">
        <is>
          <t>3-1/2" TUBING 9.2 LB/FT ALLOY 28 TSH BL</t>
        </is>
      </c>
      <c r="C281" s="1755" t="n">
        <v>31</v>
      </c>
      <c r="D281" s="1756">
        <f>C281-0.301</f>
        <v/>
      </c>
      <c r="E281" s="1747">
        <f>E280+D281</f>
        <v/>
      </c>
      <c r="F281" s="1747">
        <f>F280-D280</f>
        <v/>
      </c>
      <c r="G281" s="1748">
        <f>G280-D281</f>
        <v/>
      </c>
      <c r="H281" s="1796" t="n"/>
      <c r="K281" s="1762" t="n"/>
    </row>
    <row r="282" ht="39.75" customFormat="1" customHeight="1" s="1735">
      <c r="A282" s="1754" t="inlineStr">
        <is>
          <t>JT.#76</t>
        </is>
      </c>
      <c r="B282" s="1754" t="inlineStr">
        <is>
          <t>3-1/2" TUBING 9.2 LB/FT ALLOY 28 TSH BL</t>
        </is>
      </c>
      <c r="C282" s="1755" t="n">
        <v>31</v>
      </c>
      <c r="D282" s="1756">
        <f>C282-0.301</f>
        <v/>
      </c>
      <c r="E282" s="1747">
        <f>E281+D282</f>
        <v/>
      </c>
      <c r="F282" s="1747">
        <f>F281-D281</f>
        <v/>
      </c>
      <c r="G282" s="1748">
        <f>G281-D282</f>
        <v/>
      </c>
      <c r="H282" s="1777" t="inlineStr">
        <is>
          <t xml:space="preserve">FILL UP STRING </t>
        </is>
      </c>
      <c r="K282" s="1762" t="n"/>
    </row>
    <row r="283" ht="39.75" customFormat="1" customHeight="1" s="1735">
      <c r="A283" s="1754" t="inlineStr">
        <is>
          <t>JT.#77</t>
        </is>
      </c>
      <c r="B283" s="1754" t="inlineStr">
        <is>
          <t>3-1/2" TUBING 9.2 LB/FT ALLOY 28 TSH BL</t>
        </is>
      </c>
      <c r="C283" s="1755" t="n">
        <v>31</v>
      </c>
      <c r="D283" s="1756">
        <f>C283-0.301</f>
        <v/>
      </c>
      <c r="E283" s="1747">
        <f>E282+D283</f>
        <v/>
      </c>
      <c r="F283" s="1747">
        <f>F282-D282</f>
        <v/>
      </c>
      <c r="G283" s="1748">
        <f>G282-D283</f>
        <v/>
      </c>
      <c r="H283" s="1796" t="n"/>
      <c r="K283" s="1762" t="n"/>
    </row>
    <row r="284" ht="39.75" customFormat="1" customHeight="1" s="1735">
      <c r="A284" s="1754" t="inlineStr">
        <is>
          <t>JT.#78</t>
        </is>
      </c>
      <c r="B284" s="1754" t="inlineStr">
        <is>
          <t>3-1/2" TUBING 9.2 LB/FT ALLOY 28 TSH BL</t>
        </is>
      </c>
      <c r="C284" s="1755" t="n">
        <v>31</v>
      </c>
      <c r="D284" s="1756">
        <f>C284-0.301</f>
        <v/>
      </c>
      <c r="E284" s="1747">
        <f>E283+D284</f>
        <v/>
      </c>
      <c r="F284" s="1747">
        <f>F283-D283</f>
        <v/>
      </c>
      <c r="G284" s="1748">
        <f>G283-D284</f>
        <v/>
      </c>
      <c r="H284" s="1820" t="n"/>
      <c r="K284" s="1762" t="n"/>
    </row>
    <row r="285" ht="39.75" customFormat="1" customHeight="1" s="1735">
      <c r="A285" s="1754" t="inlineStr">
        <is>
          <t>JT.#79</t>
        </is>
      </c>
      <c r="B285" s="1754" t="inlineStr">
        <is>
          <t>3-1/2" TUBING 9.2 LB/FT ALLOY 28 TSH BL</t>
        </is>
      </c>
      <c r="C285" s="1755" t="n">
        <v>31</v>
      </c>
      <c r="D285" s="1756">
        <f>C285-0.301</f>
        <v/>
      </c>
      <c r="E285" s="1747">
        <f>E284+D285</f>
        <v/>
      </c>
      <c r="F285" s="1747">
        <f>F284-D284</f>
        <v/>
      </c>
      <c r="G285" s="1748">
        <f>G284-D285</f>
        <v/>
      </c>
      <c r="H285" s="1820" t="n"/>
      <c r="K285" s="1762" t="n"/>
    </row>
    <row r="286" ht="39.75" customFormat="1" customHeight="1" s="1735">
      <c r="A286" s="1754" t="inlineStr">
        <is>
          <t>JT.#80</t>
        </is>
      </c>
      <c r="B286" s="1754" t="inlineStr">
        <is>
          <t>3-1/2" TUBING 9.2 LB/FT ALLOY 28 TSH BL</t>
        </is>
      </c>
      <c r="C286" s="1755" t="n">
        <v>31</v>
      </c>
      <c r="D286" s="1756">
        <f>C286-0.301</f>
        <v/>
      </c>
      <c r="E286" s="1747">
        <f>E285+D286</f>
        <v/>
      </c>
      <c r="F286" s="1747">
        <f>F285-D285</f>
        <v/>
      </c>
      <c r="G286" s="1748">
        <f>G285-D286</f>
        <v/>
      </c>
      <c r="H286" s="1820" t="n"/>
      <c r="K286" s="1762" t="n"/>
    </row>
    <row r="287" ht="39.75" customFormat="1" customHeight="1" s="1735">
      <c r="A287" s="1754" t="inlineStr">
        <is>
          <t>JT.#81</t>
        </is>
      </c>
      <c r="B287" s="1754" t="inlineStr">
        <is>
          <t>3-1/2" TUBING 9.2 LB/FT ALLOY 28 TSH BL</t>
        </is>
      </c>
      <c r="C287" s="1755" t="n">
        <v>31</v>
      </c>
      <c r="D287" s="1756">
        <f>C287-0.301</f>
        <v/>
      </c>
      <c r="E287" s="1747">
        <f>E286+D287</f>
        <v/>
      </c>
      <c r="F287" s="1747">
        <f>F286-D286</f>
        <v/>
      </c>
      <c r="G287" s="1748">
        <f>G286-D287</f>
        <v/>
      </c>
      <c r="H287" s="1820" t="n"/>
      <c r="K287" s="1762" t="n"/>
    </row>
    <row r="288" ht="39.75" customFormat="1" customHeight="1" s="1735">
      <c r="A288" s="1754" t="inlineStr">
        <is>
          <t>JT.#82</t>
        </is>
      </c>
      <c r="B288" s="1754" t="inlineStr">
        <is>
          <t>3-1/2" TUBING 9.2 LB/FT ALLOY 28 TSH BL</t>
        </is>
      </c>
      <c r="C288" s="1755" t="n">
        <v>31</v>
      </c>
      <c r="D288" s="1756">
        <f>C288-0.301</f>
        <v/>
      </c>
      <c r="E288" s="1747">
        <f>E287+D288</f>
        <v/>
      </c>
      <c r="F288" s="1747">
        <f>F287-D287</f>
        <v/>
      </c>
      <c r="G288" s="1748">
        <f>G287-D288</f>
        <v/>
      </c>
      <c r="H288" s="1820" t="n"/>
      <c r="K288" s="1762" t="n"/>
    </row>
    <row r="289" ht="39.75" customFormat="1" customHeight="1" s="1735">
      <c r="A289" s="1754" t="inlineStr">
        <is>
          <t>JT.#83</t>
        </is>
      </c>
      <c r="B289" s="1754" t="inlineStr">
        <is>
          <t>3-1/2" TUBING 9.2 LB/FT ALLOY 28 TSH BL</t>
        </is>
      </c>
      <c r="C289" s="1755" t="n">
        <v>31</v>
      </c>
      <c r="D289" s="1756">
        <f>C289-0.301</f>
        <v/>
      </c>
      <c r="E289" s="1747">
        <f>E288+D289</f>
        <v/>
      </c>
      <c r="F289" s="1747">
        <f>F288-D288</f>
        <v/>
      </c>
      <c r="G289" s="1748">
        <f>G288-D289</f>
        <v/>
      </c>
      <c r="H289" s="1820" t="n"/>
      <c r="K289" s="1762" t="n"/>
    </row>
    <row r="290" ht="39.75" customFormat="1" customHeight="1" s="1735">
      <c r="A290" s="1754" t="inlineStr">
        <is>
          <t>JT.#84</t>
        </is>
      </c>
      <c r="B290" s="1754" t="inlineStr">
        <is>
          <t>3-1/2" TUBING 9.2 LB/FT ALLOY 28 TSH BL</t>
        </is>
      </c>
      <c r="C290" s="1755" t="n">
        <v>31</v>
      </c>
      <c r="D290" s="1756">
        <f>C290-0.301</f>
        <v/>
      </c>
      <c r="E290" s="1747">
        <f>E289+D290</f>
        <v/>
      </c>
      <c r="F290" s="1747">
        <f>F289-D289</f>
        <v/>
      </c>
      <c r="G290" s="1748">
        <f>G289-D290</f>
        <v/>
      </c>
      <c r="H290" s="1760" t="inlineStr">
        <is>
          <t>.</t>
        </is>
      </c>
      <c r="K290" s="1762" t="n"/>
    </row>
    <row r="291" ht="39.75" customFormat="1" customHeight="1" s="1735">
      <c r="A291" s="1754" t="inlineStr">
        <is>
          <t>JT.#85</t>
        </is>
      </c>
      <c r="B291" s="1754" t="inlineStr">
        <is>
          <t>3-1/2" TUBING 9.2 LB/FT ALLOY 28 TSH BL</t>
        </is>
      </c>
      <c r="C291" s="1755" t="n">
        <v>31</v>
      </c>
      <c r="D291" s="1756">
        <f>C291-0.301</f>
        <v/>
      </c>
      <c r="E291" s="1747">
        <f>E290+D291</f>
        <v/>
      </c>
      <c r="F291" s="1747">
        <f>F290-D290</f>
        <v/>
      </c>
      <c r="G291" s="1748">
        <f>G290-D291</f>
        <v/>
      </c>
      <c r="H291" s="1796" t="n"/>
      <c r="K291" s="1762" t="n"/>
    </row>
    <row r="292" ht="39.75" customFormat="1" customHeight="1" s="1735">
      <c r="A292" s="1754" t="inlineStr">
        <is>
          <t>JT.#86</t>
        </is>
      </c>
      <c r="B292" s="1754" t="inlineStr">
        <is>
          <t>3-1/2" TUBING 9.2 LB/FT ALLOY 28 TSH BL</t>
        </is>
      </c>
      <c r="C292" s="1755" t="n">
        <v>31</v>
      </c>
      <c r="D292" s="1756">
        <f>C292-0.301</f>
        <v/>
      </c>
      <c r="E292" s="1747">
        <f>E291+D292</f>
        <v/>
      </c>
      <c r="F292" s="1747">
        <f>F291-D291</f>
        <v/>
      </c>
      <c r="G292" s="1748">
        <f>G291-D292</f>
        <v/>
      </c>
      <c r="H292" s="1777" t="inlineStr">
        <is>
          <t xml:space="preserve">FILL UP STRING </t>
        </is>
      </c>
      <c r="K292" s="1762" t="n"/>
    </row>
    <row r="293" ht="39.75" customFormat="1" customHeight="1" s="1735">
      <c r="A293" s="1754" t="inlineStr">
        <is>
          <t>JT.#87</t>
        </is>
      </c>
      <c r="B293" s="1754" t="inlineStr">
        <is>
          <t>3-1/2" TUBING 9.2 LB/FT ALLOY 28 TSH BL</t>
        </is>
      </c>
      <c r="C293" s="1755" t="n">
        <v>31</v>
      </c>
      <c r="D293" s="1756">
        <f>C293-0.301</f>
        <v/>
      </c>
      <c r="E293" s="1747">
        <f>E292+D293</f>
        <v/>
      </c>
      <c r="F293" s="1747">
        <f>F292-D292</f>
        <v/>
      </c>
      <c r="G293" s="1748">
        <f>G292-D293</f>
        <v/>
      </c>
      <c r="H293" s="1796" t="n"/>
      <c r="K293" s="1762" t="n"/>
    </row>
    <row r="294" ht="39.75" customFormat="1" customHeight="1" s="1735">
      <c r="A294" s="1754" t="inlineStr">
        <is>
          <t>JT.#88</t>
        </is>
      </c>
      <c r="B294" s="1754" t="inlineStr">
        <is>
          <t>3-1/2" TUBING 9.2 LB/FT ALLOY 28 TSH BL</t>
        </is>
      </c>
      <c r="C294" s="1755" t="n">
        <v>31</v>
      </c>
      <c r="D294" s="1756">
        <f>C294-0.301</f>
        <v/>
      </c>
      <c r="E294" s="1747">
        <f>E293+D294</f>
        <v/>
      </c>
      <c r="F294" s="1747">
        <f>F293-D293</f>
        <v/>
      </c>
      <c r="G294" s="1748">
        <f>G293-D294</f>
        <v/>
      </c>
      <c r="H294" s="1820" t="n"/>
      <c r="K294" s="1762" t="n"/>
    </row>
    <row r="295" ht="39.75" customFormat="1" customHeight="1" s="1735">
      <c r="A295" s="1754" t="inlineStr">
        <is>
          <t>JT.#89</t>
        </is>
      </c>
      <c r="B295" s="1754" t="inlineStr">
        <is>
          <t>3-1/2" TUBING 9.2 LB/FT ALLOY 28 TSH BL</t>
        </is>
      </c>
      <c r="C295" s="1755" t="n">
        <v>31</v>
      </c>
      <c r="D295" s="1756">
        <f>C295-0.301</f>
        <v/>
      </c>
      <c r="E295" s="1747">
        <f>E294+D295</f>
        <v/>
      </c>
      <c r="F295" s="1747">
        <f>F294-D294</f>
        <v/>
      </c>
      <c r="G295" s="1748">
        <f>G294-D295</f>
        <v/>
      </c>
      <c r="H295" s="1820" t="n"/>
      <c r="K295" s="1762" t="n"/>
    </row>
    <row r="296" ht="39.75" customFormat="1" customHeight="1" s="1735">
      <c r="A296" s="1754" t="inlineStr">
        <is>
          <t>JT.#90</t>
        </is>
      </c>
      <c r="B296" s="1754" t="inlineStr">
        <is>
          <t>3-1/2" TUBING 9.2 LB/FT ALLOY 28 TSH BL</t>
        </is>
      </c>
      <c r="C296" s="1755" t="n">
        <v>31</v>
      </c>
      <c r="D296" s="1756">
        <f>C296-0.301</f>
        <v/>
      </c>
      <c r="E296" s="1747">
        <f>E295+D296</f>
        <v/>
      </c>
      <c r="F296" s="1747">
        <f>F295-D295</f>
        <v/>
      </c>
      <c r="G296" s="1748">
        <f>G295-D296</f>
        <v/>
      </c>
      <c r="H296" s="1820" t="n"/>
      <c r="K296" s="1762" t="n"/>
    </row>
    <row r="297" ht="39.75" customFormat="1" customHeight="1" s="1735">
      <c r="A297" s="1754" t="inlineStr">
        <is>
          <t>JT.#91</t>
        </is>
      </c>
      <c r="B297" s="1754" t="inlineStr">
        <is>
          <t>3-1/2" TUBING 9.2 LB/FT ALLOY 28 TSH BL</t>
        </is>
      </c>
      <c r="C297" s="1755" t="n">
        <v>31</v>
      </c>
      <c r="D297" s="1756">
        <f>C297-0.301</f>
        <v/>
      </c>
      <c r="E297" s="1747">
        <f>E296+D297</f>
        <v/>
      </c>
      <c r="F297" s="1747">
        <f>F296-D296</f>
        <v/>
      </c>
      <c r="G297" s="1748">
        <f>G296-D297</f>
        <v/>
      </c>
      <c r="H297" s="1820" t="n"/>
      <c r="K297" s="1762" t="n"/>
    </row>
    <row r="298" ht="39.75" customFormat="1" customHeight="1" s="1735">
      <c r="A298" s="1754" t="inlineStr">
        <is>
          <t>JT.#92</t>
        </is>
      </c>
      <c r="B298" s="1754" t="inlineStr">
        <is>
          <t>3-1/2" TUBING 9.2 LB/FT ALLOY 28 TSH BL</t>
        </is>
      </c>
      <c r="C298" s="1755" t="n">
        <v>31</v>
      </c>
      <c r="D298" s="1756">
        <f>C298-0.301</f>
        <v/>
      </c>
      <c r="E298" s="1747">
        <f>E297+D298</f>
        <v/>
      </c>
      <c r="F298" s="1747">
        <f>F297-D297</f>
        <v/>
      </c>
      <c r="G298" s="1748">
        <f>G297-D298</f>
        <v/>
      </c>
      <c r="H298" s="1820" t="n"/>
      <c r="K298" s="1762" t="n"/>
    </row>
    <row r="299" ht="39.75" customFormat="1" customHeight="1" s="1735">
      <c r="A299" s="1754" t="inlineStr">
        <is>
          <t>JT.#93</t>
        </is>
      </c>
      <c r="B299" s="1754" t="inlineStr">
        <is>
          <t>3-1/2" TUBING 9.2 LB/FT ALLOY 28 TSH BL</t>
        </is>
      </c>
      <c r="C299" s="1755" t="n">
        <v>31</v>
      </c>
      <c r="D299" s="1756">
        <f>C299-0.301</f>
        <v/>
      </c>
      <c r="E299" s="1747">
        <f>E298+D299</f>
        <v/>
      </c>
      <c r="F299" s="1747">
        <f>F298-D298</f>
        <v/>
      </c>
      <c r="G299" s="1748">
        <f>G298-D299</f>
        <v/>
      </c>
      <c r="H299" s="1820" t="n"/>
      <c r="K299" s="1762" t="n"/>
    </row>
    <row r="300" ht="39.75" customFormat="1" customHeight="1" s="1735">
      <c r="A300" s="1754" t="inlineStr">
        <is>
          <t>JT.#94</t>
        </is>
      </c>
      <c r="B300" s="1754" t="inlineStr">
        <is>
          <t>3-1/2" TUBING 9.2 LB/FT ALLOY 28 TSH BL</t>
        </is>
      </c>
      <c r="C300" s="1755" t="n">
        <v>31</v>
      </c>
      <c r="D300" s="1756">
        <f>C300-0.301</f>
        <v/>
      </c>
      <c r="E300" s="1747">
        <f>E299+D300</f>
        <v/>
      </c>
      <c r="F300" s="1747">
        <f>F299-D299</f>
        <v/>
      </c>
      <c r="G300" s="1748">
        <f>G299-D300</f>
        <v/>
      </c>
      <c r="H300" s="1760" t="inlineStr">
        <is>
          <t>.</t>
        </is>
      </c>
      <c r="K300" s="1762" t="n"/>
    </row>
    <row r="301" ht="39.75" customFormat="1" customHeight="1" s="1735">
      <c r="A301" s="1754" t="inlineStr">
        <is>
          <t>JT.#95</t>
        </is>
      </c>
      <c r="B301" s="1754" t="inlineStr">
        <is>
          <t>3-1/2" TUBING 9.2 LB/FT ALLOY 28 TSH BL</t>
        </is>
      </c>
      <c r="C301" s="1755" t="n">
        <v>31</v>
      </c>
      <c r="D301" s="1756">
        <f>C301-0.301</f>
        <v/>
      </c>
      <c r="E301" s="1747">
        <f>E300+D301</f>
        <v/>
      </c>
      <c r="F301" s="1747">
        <f>F300-D300</f>
        <v/>
      </c>
      <c r="G301" s="1748">
        <f>G300-D301</f>
        <v/>
      </c>
      <c r="H301" s="1820" t="n"/>
      <c r="K301" s="1762" t="n"/>
    </row>
    <row r="302" ht="39.75" customFormat="1" customHeight="1" s="1735">
      <c r="A302" s="1754" t="inlineStr">
        <is>
          <t>JT.#96</t>
        </is>
      </c>
      <c r="B302" s="1754" t="inlineStr">
        <is>
          <t>3-1/2" TUBING 9.2 LB/FT ALLOY 28 TSH BL</t>
        </is>
      </c>
      <c r="C302" s="1755" t="n">
        <v>31</v>
      </c>
      <c r="D302" s="1756">
        <f>C302-0.301</f>
        <v/>
      </c>
      <c r="E302" s="1747">
        <f>E301+D302</f>
        <v/>
      </c>
      <c r="F302" s="1747">
        <f>F301-D301</f>
        <v/>
      </c>
      <c r="G302" s="1748">
        <f>G301-D302</f>
        <v/>
      </c>
      <c r="H302" s="1777" t="inlineStr">
        <is>
          <t xml:space="preserve">FILL UP STRING </t>
        </is>
      </c>
      <c r="K302" s="1762" t="n"/>
    </row>
    <row r="303" ht="39.75" customFormat="1" customHeight="1" s="1735">
      <c r="A303" s="1754" t="inlineStr">
        <is>
          <t>JT.#97</t>
        </is>
      </c>
      <c r="B303" s="1754" t="inlineStr">
        <is>
          <t>3-1/2" TUBING 9.2 LB/FT ALLOY 28 TSH BL</t>
        </is>
      </c>
      <c r="C303" s="1755" t="n">
        <v>31</v>
      </c>
      <c r="D303" s="1756">
        <f>C303-0.301</f>
        <v/>
      </c>
      <c r="E303" s="1747">
        <f>E302+D303</f>
        <v/>
      </c>
      <c r="F303" s="1747">
        <f>F302-D302</f>
        <v/>
      </c>
      <c r="G303" s="1748">
        <f>G302-D303</f>
        <v/>
      </c>
      <c r="H303" s="1796" t="n"/>
      <c r="K303" s="1762" t="n"/>
    </row>
    <row r="304" ht="39.75" customFormat="1" customHeight="1" s="1735">
      <c r="A304" s="1754" t="inlineStr">
        <is>
          <t>JT.#98</t>
        </is>
      </c>
      <c r="B304" s="1754" t="inlineStr">
        <is>
          <t>3-1/2" TUBING 9.2 LB/FT ALLOY 28 TSH BL</t>
        </is>
      </c>
      <c r="C304" s="1755" t="n">
        <v>31</v>
      </c>
      <c r="D304" s="1756">
        <f>C304-0.301</f>
        <v/>
      </c>
      <c r="E304" s="1747">
        <f>E303+D304</f>
        <v/>
      </c>
      <c r="F304" s="1747">
        <f>F303-D303</f>
        <v/>
      </c>
      <c r="G304" s="1748">
        <f>G303-D304</f>
        <v/>
      </c>
      <c r="H304" s="1820" t="n"/>
      <c r="K304" s="1762" t="n"/>
    </row>
    <row r="305" ht="39.75" customFormat="1" customHeight="1" s="1735">
      <c r="A305" s="1754" t="inlineStr">
        <is>
          <t>JT.#99</t>
        </is>
      </c>
      <c r="B305" s="1754" t="inlineStr">
        <is>
          <t>3-1/2" TUBING 9.2 LB/FT ALLOY 28 TSH BL</t>
        </is>
      </c>
      <c r="C305" s="1755" t="n">
        <v>31</v>
      </c>
      <c r="D305" s="1756">
        <f>C305-0.301</f>
        <v/>
      </c>
      <c r="E305" s="1747">
        <f>E304+D305</f>
        <v/>
      </c>
      <c r="F305" s="1747">
        <f>F304-D304</f>
        <v/>
      </c>
      <c r="G305" s="1748">
        <f>G304-D305</f>
        <v/>
      </c>
      <c r="H305" s="1820" t="n"/>
      <c r="K305" s="1762" t="n"/>
    </row>
    <row r="306" ht="39.75" customFormat="1" customHeight="1" s="1735">
      <c r="A306" s="1754" t="inlineStr">
        <is>
          <t>JT.#100</t>
        </is>
      </c>
      <c r="B306" s="1754" t="inlineStr">
        <is>
          <t>3-1/2" TUBING 9.2 LB/FT ALLOY 28 TSH BL</t>
        </is>
      </c>
      <c r="C306" s="1755" t="n">
        <v>31</v>
      </c>
      <c r="D306" s="1756">
        <f>C306-0.301</f>
        <v/>
      </c>
      <c r="E306" s="1747">
        <f>E305+D306</f>
        <v/>
      </c>
      <c r="F306" s="1747">
        <f>F305-D305</f>
        <v/>
      </c>
      <c r="G306" s="1748">
        <f>G305-D306</f>
        <v/>
      </c>
      <c r="H306" s="1820" t="n"/>
      <c r="K306" s="1762" t="n"/>
    </row>
    <row r="307" ht="39.75" customFormat="1" customHeight="1" s="1735">
      <c r="A307" s="1754" t="inlineStr">
        <is>
          <t>JT.#101</t>
        </is>
      </c>
      <c r="B307" s="1754" t="inlineStr">
        <is>
          <t>3-1/2" TUBING 9.2 LB/FT ALLOY 28 TSH BL</t>
        </is>
      </c>
      <c r="C307" s="1755" t="n">
        <v>31</v>
      </c>
      <c r="D307" s="1756">
        <f>C307-0.301</f>
        <v/>
      </c>
      <c r="E307" s="1747">
        <f>E306+D307</f>
        <v/>
      </c>
      <c r="F307" s="1747">
        <f>F306-D306</f>
        <v/>
      </c>
      <c r="G307" s="1748">
        <f>G306-D307</f>
        <v/>
      </c>
      <c r="H307" s="1820" t="n"/>
      <c r="K307" s="1762" t="n"/>
    </row>
    <row r="308" ht="39.75" customFormat="1" customHeight="1" s="1735">
      <c r="A308" s="1754" t="inlineStr">
        <is>
          <t>JT.#102</t>
        </is>
      </c>
      <c r="B308" s="1754" t="inlineStr">
        <is>
          <t>3-1/2" TUBING 9.2 LB/FT ALLOY 28 TSH BL</t>
        </is>
      </c>
      <c r="C308" s="1755" t="n">
        <v>31</v>
      </c>
      <c r="D308" s="1756">
        <f>C308-0.301</f>
        <v/>
      </c>
      <c r="E308" s="1747">
        <f>E307+D308</f>
        <v/>
      </c>
      <c r="F308" s="1747">
        <f>F307-D307</f>
        <v/>
      </c>
      <c r="G308" s="1748">
        <f>G307-D308</f>
        <v/>
      </c>
      <c r="H308" s="1820" t="n"/>
      <c r="K308" s="1762" t="n"/>
    </row>
    <row r="309" ht="39.75" customFormat="1" customHeight="1" s="1735">
      <c r="A309" s="1754" t="inlineStr">
        <is>
          <t>JT.#103</t>
        </is>
      </c>
      <c r="B309" s="1754" t="inlineStr">
        <is>
          <t>3-1/2" TUBING 9.2 LB/FT ALLOY 28 TSH BL</t>
        </is>
      </c>
      <c r="C309" s="1755" t="n">
        <v>31</v>
      </c>
      <c r="D309" s="1756">
        <f>C309-0.301</f>
        <v/>
      </c>
      <c r="E309" s="1747">
        <f>E308+D309</f>
        <v/>
      </c>
      <c r="F309" s="1747">
        <f>F308-D308</f>
        <v/>
      </c>
      <c r="G309" s="1748">
        <f>G308-D309</f>
        <v/>
      </c>
      <c r="H309" s="1820" t="n"/>
      <c r="K309" s="1762" t="n"/>
    </row>
    <row r="310" ht="39.75" customFormat="1" customHeight="1" s="1735">
      <c r="A310" s="1754" t="inlineStr">
        <is>
          <t>JT.#104</t>
        </is>
      </c>
      <c r="B310" s="1754" t="inlineStr">
        <is>
          <t>3-1/2" TUBING 9.2 LB/FT ALLOY 28 TSH BL</t>
        </is>
      </c>
      <c r="C310" s="1755" t="n">
        <v>31</v>
      </c>
      <c r="D310" s="1756">
        <f>C310-0.301</f>
        <v/>
      </c>
      <c r="E310" s="1747">
        <f>E309+D310</f>
        <v/>
      </c>
      <c r="F310" s="1747">
        <f>F309-D309</f>
        <v/>
      </c>
      <c r="G310" s="1748">
        <f>G309-D310</f>
        <v/>
      </c>
      <c r="H310" s="1760" t="inlineStr">
        <is>
          <t>.</t>
        </is>
      </c>
      <c r="K310" s="1762" t="n"/>
    </row>
    <row r="311" ht="39.75" customFormat="1" customHeight="1" s="1735">
      <c r="A311" s="1754" t="inlineStr">
        <is>
          <t>JT.#105</t>
        </is>
      </c>
      <c r="B311" s="1754" t="inlineStr">
        <is>
          <t>3-1/2" TUBING 9.2 LB/FT ALLOY 28 TSH BL</t>
        </is>
      </c>
      <c r="C311" s="1755" t="n">
        <v>31</v>
      </c>
      <c r="D311" s="1756">
        <f>C311-0.301</f>
        <v/>
      </c>
      <c r="E311" s="1747">
        <f>E310+D311</f>
        <v/>
      </c>
      <c r="F311" s="1747">
        <f>F310-D310</f>
        <v/>
      </c>
      <c r="G311" s="1748">
        <f>G310-D311</f>
        <v/>
      </c>
      <c r="H311" s="1820" t="n"/>
      <c r="K311" s="1762" t="n"/>
    </row>
    <row r="312" ht="39.75" customFormat="1" customHeight="1" s="1735">
      <c r="A312" s="1754" t="inlineStr">
        <is>
          <t>JT.#106</t>
        </is>
      </c>
      <c r="B312" s="1754" t="inlineStr">
        <is>
          <t>3-1/2" TUBING 9.2 LB/FT ALLOY 28 TSH BL</t>
        </is>
      </c>
      <c r="C312" s="1755" t="n">
        <v>31</v>
      </c>
      <c r="D312" s="1756">
        <f>C312-0.301</f>
        <v/>
      </c>
      <c r="E312" s="1747">
        <f>E311+D312</f>
        <v/>
      </c>
      <c r="F312" s="1747">
        <f>F311-D311</f>
        <v/>
      </c>
      <c r="G312" s="1748">
        <f>G311-D312</f>
        <v/>
      </c>
      <c r="H312" s="1777" t="inlineStr">
        <is>
          <t xml:space="preserve">FILL UP STRING </t>
        </is>
      </c>
      <c r="K312" s="1762" t="n"/>
    </row>
    <row r="313" ht="39.75" customFormat="1" customHeight="1" s="1735">
      <c r="A313" s="1754" t="inlineStr">
        <is>
          <t>JT.#107</t>
        </is>
      </c>
      <c r="B313" s="1754" t="inlineStr">
        <is>
          <t>3-1/2" TUBING 9.2 LB/FT ALLOY 28 TSH BL</t>
        </is>
      </c>
      <c r="C313" s="1755" t="n">
        <v>31</v>
      </c>
      <c r="D313" s="1756">
        <f>C313-0.301</f>
        <v/>
      </c>
      <c r="E313" s="1747">
        <f>E312+D313</f>
        <v/>
      </c>
      <c r="F313" s="1747">
        <f>F312-D312</f>
        <v/>
      </c>
      <c r="G313" s="1748">
        <f>G312-D313</f>
        <v/>
      </c>
      <c r="H313" s="1820" t="n"/>
      <c r="K313" s="1762" t="n"/>
    </row>
    <row r="314" ht="39.75" customFormat="1" customHeight="1" s="1735">
      <c r="A314" s="1754" t="inlineStr">
        <is>
          <t>JT.#108</t>
        </is>
      </c>
      <c r="B314" s="1754" t="inlineStr">
        <is>
          <t>3-1/2" TUBING 9.2 LB/FT ALLOY 28 TSH BL</t>
        </is>
      </c>
      <c r="C314" s="1755" t="n">
        <v>31</v>
      </c>
      <c r="D314" s="1756">
        <f>C314-0.301</f>
        <v/>
      </c>
      <c r="E314" s="1747">
        <f>E313+D314</f>
        <v/>
      </c>
      <c r="F314" s="1747">
        <f>F313-D313</f>
        <v/>
      </c>
      <c r="G314" s="1748">
        <f>G313-D314</f>
        <v/>
      </c>
      <c r="H314" s="1820" t="n"/>
      <c r="K314" s="1762" t="n"/>
    </row>
    <row r="315" ht="39.75" customFormat="1" customHeight="1" s="1735">
      <c r="A315" s="1754" t="inlineStr">
        <is>
          <t>JT.#109</t>
        </is>
      </c>
      <c r="B315" s="1754" t="inlineStr">
        <is>
          <t>3-1/2" TUBING 9.2 LB/FT ALLOY 28 TSH BL</t>
        </is>
      </c>
      <c r="C315" s="1755" t="n">
        <v>31</v>
      </c>
      <c r="D315" s="1756">
        <f>C315-0.301</f>
        <v/>
      </c>
      <c r="E315" s="1747">
        <f>E314+D315</f>
        <v/>
      </c>
      <c r="F315" s="1747">
        <f>F314-D314</f>
        <v/>
      </c>
      <c r="G315" s="1748">
        <f>G314-D315</f>
        <v/>
      </c>
      <c r="H315" s="1820" t="n"/>
      <c r="K315" s="1762" t="n"/>
    </row>
    <row r="316" ht="39.75" customFormat="1" customHeight="1" s="1735">
      <c r="A316" s="1754" t="inlineStr">
        <is>
          <t>JT.#110</t>
        </is>
      </c>
      <c r="B316" s="1754" t="inlineStr">
        <is>
          <t>3-1/2" TUBING 9.2 LB/FT ALLOY 28 TSH BL</t>
        </is>
      </c>
      <c r="C316" s="1755" t="n">
        <v>31</v>
      </c>
      <c r="D316" s="1756">
        <f>C316-0.301</f>
        <v/>
      </c>
      <c r="E316" s="1747">
        <f>E315+D316</f>
        <v/>
      </c>
      <c r="F316" s="1747">
        <f>F315-D315</f>
        <v/>
      </c>
      <c r="G316" s="1748">
        <f>G315-D316</f>
        <v/>
      </c>
      <c r="H316" s="1820" t="n"/>
      <c r="K316" s="1762" t="n"/>
    </row>
    <row r="317" ht="39.75" customFormat="1" customHeight="1" s="1735">
      <c r="A317" s="1754" t="inlineStr">
        <is>
          <t>JT.#111</t>
        </is>
      </c>
      <c r="B317" s="1754" t="inlineStr">
        <is>
          <t>3-1/2" TUBING 9.2 LB/FT ALLOY 28 TSH BL</t>
        </is>
      </c>
      <c r="C317" s="1755" t="n">
        <v>31</v>
      </c>
      <c r="D317" s="1756">
        <f>C317-0.301</f>
        <v/>
      </c>
      <c r="E317" s="1747">
        <f>E316+D317</f>
        <v/>
      </c>
      <c r="F317" s="1747">
        <f>F316-D316</f>
        <v/>
      </c>
      <c r="G317" s="1748">
        <f>G316-D317</f>
        <v/>
      </c>
      <c r="H317" s="1820" t="n"/>
      <c r="K317" s="1762" t="n"/>
    </row>
    <row r="318" ht="39.75" customFormat="1" customHeight="1" s="1735">
      <c r="A318" s="1754" t="inlineStr">
        <is>
          <t>JT.#112</t>
        </is>
      </c>
      <c r="B318" s="1754" t="inlineStr">
        <is>
          <t>3-1/2" TUBING 9.2 LB/FT ALLOY 28 TSH BL</t>
        </is>
      </c>
      <c r="C318" s="1755" t="n">
        <v>31</v>
      </c>
      <c r="D318" s="1756">
        <f>C318-0.301</f>
        <v/>
      </c>
      <c r="E318" s="1747">
        <f>E317+D318</f>
        <v/>
      </c>
      <c r="F318" s="1747">
        <f>F317-D317</f>
        <v/>
      </c>
      <c r="G318" s="1748">
        <f>G317-D318</f>
        <v/>
      </c>
      <c r="H318" s="1820" t="n"/>
      <c r="K318" s="1762" t="n"/>
    </row>
    <row r="319" ht="39.75" customFormat="1" customHeight="1" s="1735">
      <c r="A319" s="1754" t="inlineStr">
        <is>
          <t>JT.#113</t>
        </is>
      </c>
      <c r="B319" s="1754" t="inlineStr">
        <is>
          <t>3-1/2" TUBING 9.2 LB/FT ALLOY 28 TSH BL</t>
        </is>
      </c>
      <c r="C319" s="1755" t="n">
        <v>31</v>
      </c>
      <c r="D319" s="1756">
        <f>C319-0.301</f>
        <v/>
      </c>
      <c r="E319" s="1747">
        <f>E318+D319</f>
        <v/>
      </c>
      <c r="F319" s="1747">
        <f>F318-D318</f>
        <v/>
      </c>
      <c r="G319" s="1748">
        <f>G318-D319</f>
        <v/>
      </c>
      <c r="H319" s="1820" t="n"/>
      <c r="K319" s="1762" t="n"/>
    </row>
    <row r="320" ht="39.75" customFormat="1" customHeight="1" s="1735">
      <c r="A320" s="1754" t="inlineStr">
        <is>
          <t>JT.#114</t>
        </is>
      </c>
      <c r="B320" s="1754" t="inlineStr">
        <is>
          <t>3-1/2" TUBING 9.2 LB/FT ALLOY 28 TSH BL</t>
        </is>
      </c>
      <c r="C320" s="1755" t="n">
        <v>31</v>
      </c>
      <c r="D320" s="1788">
        <f>C320-0.301</f>
        <v/>
      </c>
      <c r="E320" s="1747">
        <f>E319+D320</f>
        <v/>
      </c>
      <c r="F320" s="1747">
        <f>F319-D319</f>
        <v/>
      </c>
      <c r="G320" s="1748">
        <f>G319-D320</f>
        <v/>
      </c>
      <c r="H320" s="1776" t="inlineStr">
        <is>
          <t>.</t>
        </is>
      </c>
      <c r="K320" s="1762" t="n"/>
    </row>
    <row r="321" ht="39.75" customFormat="1" customHeight="1" s="1735">
      <c r="A321" s="1754" t="inlineStr">
        <is>
          <t>JT.#115</t>
        </is>
      </c>
      <c r="B321" s="1754" t="inlineStr">
        <is>
          <t>3-1/2" TUBING 9.2 LB/FT ALLOY 28 TSH BL</t>
        </is>
      </c>
      <c r="C321" s="1755" t="n">
        <v>31</v>
      </c>
      <c r="D321" s="1756">
        <f>C321-0.301</f>
        <v/>
      </c>
      <c r="E321" s="1747">
        <f>E320+D321</f>
        <v/>
      </c>
      <c r="F321" s="1747">
        <f>F320-D320</f>
        <v/>
      </c>
      <c r="G321" s="1748">
        <f>G320-D321</f>
        <v/>
      </c>
      <c r="H321" s="1760" t="n"/>
      <c r="K321" s="1762" t="n"/>
    </row>
    <row r="322" ht="39.75" customFormat="1" customHeight="1" s="1735">
      <c r="A322" s="1754" t="inlineStr">
        <is>
          <t>JT.#116</t>
        </is>
      </c>
      <c r="B322" s="1754" t="inlineStr">
        <is>
          <t>3-1/2" TUBING 9.2 LB/FT ALLOY 28 TSH BL</t>
        </is>
      </c>
      <c r="C322" s="1755" t="n">
        <v>31</v>
      </c>
      <c r="D322" s="1756">
        <f>C322-0.301</f>
        <v/>
      </c>
      <c r="E322" s="1747">
        <f>E321+D322</f>
        <v/>
      </c>
      <c r="F322" s="1747">
        <f>F321-D321</f>
        <v/>
      </c>
      <c r="G322" s="1748">
        <f>G321-D322</f>
        <v/>
      </c>
      <c r="H322" s="1777" t="inlineStr">
        <is>
          <t xml:space="preserve">FILL UP STRING </t>
        </is>
      </c>
      <c r="K322" s="1762" t="n"/>
    </row>
    <row r="323" ht="39.75" customFormat="1" customHeight="1" s="1735">
      <c r="A323" s="1754" t="inlineStr">
        <is>
          <t>JT.#117</t>
        </is>
      </c>
      <c r="B323" s="1754" t="inlineStr">
        <is>
          <t>3-1/2" TUBING 9.2 LB/FT ALLOY 28 TSH BL</t>
        </is>
      </c>
      <c r="C323" s="1755" t="n">
        <v>31</v>
      </c>
      <c r="D323" s="1756">
        <f>C323-0.301</f>
        <v/>
      </c>
      <c r="E323" s="1747">
        <f>E322+D323</f>
        <v/>
      </c>
      <c r="F323" s="1747">
        <f>F322-D322</f>
        <v/>
      </c>
      <c r="G323" s="1748">
        <f>G322-D323</f>
        <v/>
      </c>
      <c r="H323" s="1820" t="n"/>
      <c r="K323" s="1762" t="n"/>
    </row>
    <row r="324" ht="39.75" customFormat="1" customHeight="1" s="1735">
      <c r="A324" s="1754" t="inlineStr">
        <is>
          <t>JT.#118</t>
        </is>
      </c>
      <c r="B324" s="1754" t="inlineStr">
        <is>
          <t>3-1/2" TUBING 9.2 LB/FT ALLOY 28 TSH BL</t>
        </is>
      </c>
      <c r="C324" s="1755" t="n">
        <v>31</v>
      </c>
      <c r="D324" s="1756">
        <f>C324-0.301</f>
        <v/>
      </c>
      <c r="E324" s="1747">
        <f>E323+D324</f>
        <v/>
      </c>
      <c r="F324" s="1747">
        <f>F323-D323</f>
        <v/>
      </c>
      <c r="G324" s="1748">
        <f>G323-D324</f>
        <v/>
      </c>
      <c r="H324" s="1796" t="n"/>
      <c r="K324" s="1762" t="n"/>
    </row>
    <row r="325" ht="39.75" customFormat="1" customHeight="1" s="1735">
      <c r="A325" s="1754" t="inlineStr">
        <is>
          <t>JT.#119</t>
        </is>
      </c>
      <c r="B325" s="1754" t="inlineStr">
        <is>
          <t>3-1/2" TUBING 9.2 LB/FT ALLOY 28 TSH BL</t>
        </is>
      </c>
      <c r="C325" s="1755" t="n">
        <v>31</v>
      </c>
      <c r="D325" s="1756">
        <f>C325-0.301</f>
        <v/>
      </c>
      <c r="E325" s="1747">
        <f>E324+D325</f>
        <v/>
      </c>
      <c r="F325" s="1747">
        <f>F324-D324</f>
        <v/>
      </c>
      <c r="G325" s="1748">
        <f>G324-D325</f>
        <v/>
      </c>
      <c r="H325" s="1820" t="n"/>
      <c r="K325" s="1762" t="n"/>
    </row>
    <row r="326" ht="39.75" customFormat="1" customHeight="1" s="1735">
      <c r="A326" s="1754" t="inlineStr">
        <is>
          <t>JT.#120</t>
        </is>
      </c>
      <c r="B326" s="1754" t="inlineStr">
        <is>
          <t>3-1/2" TUBING 9.2 LB/FT ALLOY 28 TSH BL</t>
        </is>
      </c>
      <c r="C326" s="1755" t="n">
        <v>31</v>
      </c>
      <c r="D326" s="1756">
        <f>C326-0.301</f>
        <v/>
      </c>
      <c r="E326" s="1747">
        <f>E325+D326</f>
        <v/>
      </c>
      <c r="F326" s="1747">
        <f>F325-D325</f>
        <v/>
      </c>
      <c r="G326" s="1748">
        <f>G325-D326</f>
        <v/>
      </c>
      <c r="H326" s="1820" t="n"/>
      <c r="K326" s="1762" t="n"/>
    </row>
    <row r="327" ht="39.75" customFormat="1" customHeight="1" s="1735">
      <c r="A327" s="1754" t="inlineStr">
        <is>
          <t>JT.#121</t>
        </is>
      </c>
      <c r="B327" s="1754" t="inlineStr">
        <is>
          <t>3-1/2" TUBING 9.2 LB/FT ALLOY 28 TSH BL</t>
        </is>
      </c>
      <c r="C327" s="1755" t="n">
        <v>31</v>
      </c>
      <c r="D327" s="1756">
        <f>C327-0.301</f>
        <v/>
      </c>
      <c r="E327" s="1747">
        <f>E326+D327</f>
        <v/>
      </c>
      <c r="F327" s="1747">
        <f>F326-D326</f>
        <v/>
      </c>
      <c r="G327" s="1748">
        <f>G326-D327</f>
        <v/>
      </c>
      <c r="H327" s="1820" t="n"/>
      <c r="K327" s="1762" t="n"/>
    </row>
    <row r="328" ht="39.75" customFormat="1" customHeight="1" s="1735">
      <c r="A328" s="1754" t="inlineStr">
        <is>
          <t>JT.#122</t>
        </is>
      </c>
      <c r="B328" s="1754" t="inlineStr">
        <is>
          <t>3-1/2" TUBING 9.2 LB/FT ALLOY 28 TSH BL</t>
        </is>
      </c>
      <c r="C328" s="1755" t="n">
        <v>31</v>
      </c>
      <c r="D328" s="1756">
        <f>C328-0.301</f>
        <v/>
      </c>
      <c r="E328" s="1747">
        <f>E327+D328</f>
        <v/>
      </c>
      <c r="F328" s="1747">
        <f>F327-D327</f>
        <v/>
      </c>
      <c r="G328" s="1748">
        <f>G327-D328</f>
        <v/>
      </c>
      <c r="H328" s="1820" t="n"/>
      <c r="K328" s="1762" t="n"/>
    </row>
    <row r="329" ht="108" customFormat="1" customHeight="1" s="1735">
      <c r="A329" s="1754" t="inlineStr">
        <is>
          <t>JT.#123</t>
        </is>
      </c>
      <c r="B329" s="1754" t="inlineStr">
        <is>
          <t>3-1/2" TUBING 9.2 LB/FT ALLOY 28 TSH BL</t>
        </is>
      </c>
      <c r="C329" s="1755" t="n">
        <v>31</v>
      </c>
      <c r="D329" s="1797">
        <f>C329-0.301</f>
        <v/>
      </c>
      <c r="E329" s="1747">
        <f>E328+D329</f>
        <v/>
      </c>
      <c r="F329" s="1747">
        <f>F328-D328</f>
        <v/>
      </c>
      <c r="G329" s="1748">
        <f>G328-D329</f>
        <v/>
      </c>
      <c r="H329" s="1825" t="n"/>
    </row>
    <row r="330" ht="103.5" customFormat="1" customHeight="1" s="1735">
      <c r="A330" s="1754" t="inlineStr">
        <is>
          <t>JT.#124</t>
        </is>
      </c>
      <c r="B330" s="1754" t="inlineStr">
        <is>
          <t>3-1/2" TUBING 9.2 LB/FT ALLOY 28 TSH BL</t>
        </is>
      </c>
      <c r="C330" s="1755" t="n">
        <v>31</v>
      </c>
      <c r="D330" s="1797">
        <f>C330</f>
        <v/>
      </c>
      <c r="E330" s="1747">
        <f>E329+D330</f>
        <v/>
      </c>
      <c r="F330" s="1747">
        <f>F329-D329</f>
        <v/>
      </c>
      <c r="G330" s="1748">
        <f>G329-D330</f>
        <v/>
      </c>
      <c r="H330" s="1825" t="n"/>
    </row>
    <row r="331" ht="226.5" customFormat="1" customHeight="1" s="1735">
      <c r="A331" s="1754" t="inlineStr">
        <is>
          <t>JT.#125</t>
        </is>
      </c>
      <c r="B331" s="1754" t="inlineStr">
        <is>
          <t>3-1/2" TUBING 9.2 LB/FT ALLOY 28 TSH BL</t>
        </is>
      </c>
      <c r="C331" s="1755" t="n">
        <v>31</v>
      </c>
      <c r="D331" s="1800">
        <f>C331</f>
        <v/>
      </c>
      <c r="E331" s="1747">
        <f>E330+D331</f>
        <v/>
      </c>
      <c r="F331" s="1747">
        <f>F330-D330</f>
        <v/>
      </c>
      <c r="G331" s="1748">
        <f>G330-D331</f>
        <v/>
      </c>
      <c r="H331" s="1810" t="inlineStr">
        <is>
          <t>TARGET @2561'</t>
        </is>
      </c>
    </row>
    <row r="332" ht="131.25" customFormat="1" customHeight="1" s="1735">
      <c r="A332" s="1754" t="inlineStr">
        <is>
          <t>JT.#126</t>
        </is>
      </c>
      <c r="B332" s="1754" t="inlineStr">
        <is>
          <t>3-1/2" TUBING 9.2 LB/FT ALLOY 28 TSH BL</t>
        </is>
      </c>
      <c r="C332" s="1755" t="n">
        <v>31</v>
      </c>
      <c r="D332" s="1800">
        <f>C332</f>
        <v/>
      </c>
      <c r="E332" s="1747">
        <f>E331+D332</f>
        <v/>
      </c>
      <c r="F332" s="1747">
        <f>F331-D331</f>
        <v/>
      </c>
      <c r="G332" s="1748">
        <f>G331-D332</f>
        <v/>
      </c>
      <c r="H332" s="1810" t="n"/>
    </row>
    <row r="333" ht="131.25" customFormat="1" customHeight="1" s="1735">
      <c r="A333" s="1754" t="inlineStr">
        <is>
          <t>JT.#127</t>
        </is>
      </c>
      <c r="B333" s="1754" t="inlineStr">
        <is>
          <t>3-1/2" TUBING 9.2 LB/FT ALLOY 28 TSH BL</t>
        </is>
      </c>
      <c r="C333" s="1755" t="n">
        <v>31</v>
      </c>
      <c r="D333" s="1800">
        <f>C333</f>
        <v/>
      </c>
      <c r="E333" s="1747">
        <f>E332+D333</f>
        <v/>
      </c>
      <c r="F333" s="1747">
        <f>F332-D332</f>
        <v/>
      </c>
      <c r="G333" s="1748">
        <f>G332-D333</f>
        <v/>
      </c>
      <c r="H333" s="1810" t="n"/>
    </row>
    <row r="334" ht="39.75" customFormat="1" customHeight="1" s="1735">
      <c r="A334" s="1754" t="inlineStr">
        <is>
          <t>JT.#128</t>
        </is>
      </c>
      <c r="B334" s="1754" t="inlineStr">
        <is>
          <t>3-1/2" TUBING 9.2 LB/FT ALLOY 28 TSH BL</t>
        </is>
      </c>
      <c r="C334" s="1755" t="n">
        <v>31</v>
      </c>
      <c r="D334" s="1756">
        <f>C334-0.301</f>
        <v/>
      </c>
      <c r="E334" s="1747">
        <f>E333+D334</f>
        <v/>
      </c>
      <c r="F334" s="1747">
        <f>F333-D333</f>
        <v/>
      </c>
      <c r="G334" s="1748">
        <f>G333-D334</f>
        <v/>
      </c>
      <c r="H334" s="1820" t="n"/>
      <c r="K334" s="1762" t="n"/>
    </row>
    <row r="335" ht="39.75" customFormat="1" customHeight="1" s="1735">
      <c r="A335" s="1754" t="inlineStr">
        <is>
          <t>JT.#129</t>
        </is>
      </c>
      <c r="B335" s="1754" t="inlineStr">
        <is>
          <t>3-1/2" TUBING 9.2 LB/FT ALLOY 28 TSH BL</t>
        </is>
      </c>
      <c r="C335" s="1755" t="n">
        <v>31</v>
      </c>
      <c r="D335" s="1756">
        <f>C335-0.301</f>
        <v/>
      </c>
      <c r="E335" s="1747">
        <f>E334+D335</f>
        <v/>
      </c>
      <c r="F335" s="1747">
        <f>F334-D334</f>
        <v/>
      </c>
      <c r="G335" s="1748">
        <f>G334-D335</f>
        <v/>
      </c>
      <c r="H335" s="1820" t="n"/>
      <c r="K335" s="1762" t="n"/>
    </row>
    <row r="336" ht="39.75" customFormat="1" customHeight="1" s="1735">
      <c r="A336" s="1754" t="inlineStr">
        <is>
          <t>JT.#130</t>
        </is>
      </c>
      <c r="B336" s="1754" t="inlineStr">
        <is>
          <t>3-1/2" TUBING 9.2 LB/FT ALLOY 28 TSH BL</t>
        </is>
      </c>
      <c r="C336" s="1755" t="n">
        <v>31</v>
      </c>
      <c r="D336" s="1756">
        <f>C336-0.301</f>
        <v/>
      </c>
      <c r="E336" s="1747">
        <f>E335+D336</f>
        <v/>
      </c>
      <c r="F336" s="1747">
        <f>F335-D335</f>
        <v/>
      </c>
      <c r="G336" s="1748">
        <f>G335-D336</f>
        <v/>
      </c>
      <c r="H336" s="1760" t="inlineStr">
        <is>
          <t>.</t>
        </is>
      </c>
      <c r="K336" s="1762" t="n"/>
    </row>
    <row r="337" ht="39.75" customFormat="1" customHeight="1" s="1735">
      <c r="A337" s="1754" t="inlineStr">
        <is>
          <t>JT.#131</t>
        </is>
      </c>
      <c r="B337" s="1754" t="inlineStr">
        <is>
          <t>3-1/2" TUBING 9.2 LB/FT ALLOY 28 TSH BL</t>
        </is>
      </c>
      <c r="C337" s="1755" t="n">
        <v>31</v>
      </c>
      <c r="D337" s="1756">
        <f>C337-0.301</f>
        <v/>
      </c>
      <c r="E337" s="1747">
        <f>E336+D337</f>
        <v/>
      </c>
      <c r="F337" s="1747">
        <f>F336-D336</f>
        <v/>
      </c>
      <c r="G337" s="1748">
        <f>G336-D337</f>
        <v/>
      </c>
      <c r="H337" s="1777" t="inlineStr">
        <is>
          <t xml:space="preserve">FILL UP STRING </t>
        </is>
      </c>
      <c r="K337" s="1762" t="n"/>
    </row>
    <row r="338" ht="39.75" customFormat="1" customHeight="1" s="1735">
      <c r="A338" s="1754" t="inlineStr">
        <is>
          <t>JT.#132</t>
        </is>
      </c>
      <c r="B338" s="1754" t="inlineStr">
        <is>
          <t>3-1/2" TUBING 9.2 LB/FT ALLOY 28 TSH BL</t>
        </is>
      </c>
      <c r="C338" s="1755" t="n">
        <v>31</v>
      </c>
      <c r="D338" s="1756">
        <f>C338-0.301</f>
        <v/>
      </c>
      <c r="E338" s="1747">
        <f>E337+D338</f>
        <v/>
      </c>
      <c r="F338" s="1747">
        <f>F337-D337</f>
        <v/>
      </c>
      <c r="G338" s="1748">
        <f>G337-D338</f>
        <v/>
      </c>
      <c r="H338" s="1820" t="n"/>
      <c r="K338" s="1762" t="n"/>
    </row>
    <row r="339" ht="39.75" customFormat="1" customHeight="1" s="1735">
      <c r="A339" s="1754" t="inlineStr">
        <is>
          <t>JT.#133</t>
        </is>
      </c>
      <c r="B339" s="1754" t="inlineStr">
        <is>
          <t>3-1/2" TUBING 9.2 LB/FT ALLOY 28 TSH BL</t>
        </is>
      </c>
      <c r="C339" s="1755" t="n">
        <v>31</v>
      </c>
      <c r="D339" s="1756">
        <f>C339-0.301</f>
        <v/>
      </c>
      <c r="E339" s="1747">
        <f>E338+D339</f>
        <v/>
      </c>
      <c r="F339" s="1747">
        <f>F338-D338</f>
        <v/>
      </c>
      <c r="G339" s="1748">
        <f>G338-D339</f>
        <v/>
      </c>
      <c r="H339" s="1796" t="n"/>
      <c r="K339" s="1762" t="n"/>
    </row>
    <row r="340" ht="39.75" customFormat="1" customHeight="1" s="1735">
      <c r="A340" s="1754" t="inlineStr">
        <is>
          <t>JT.#134</t>
        </is>
      </c>
      <c r="B340" s="1754" t="inlineStr">
        <is>
          <t>3-1/2" TUBING 9.2 LB/FT ALLOY 28 TSH BL</t>
        </is>
      </c>
      <c r="C340" s="1755" t="n">
        <v>31</v>
      </c>
      <c r="D340" s="1756">
        <f>C340-0.301</f>
        <v/>
      </c>
      <c r="E340" s="1747">
        <f>E339+D340</f>
        <v/>
      </c>
      <c r="F340" s="1747">
        <f>F339-D339</f>
        <v/>
      </c>
      <c r="G340" s="1748">
        <f>G339-D340</f>
        <v/>
      </c>
      <c r="H340" s="1820" t="n"/>
      <c r="K340" s="1762" t="n"/>
    </row>
    <row r="341" ht="39.75" customFormat="1" customHeight="1" s="1735">
      <c r="A341" s="1754" t="inlineStr">
        <is>
          <t>JT.#135</t>
        </is>
      </c>
      <c r="B341" s="1754" t="inlineStr">
        <is>
          <t>3-1/2" TUBING 9.2 LB/FT ALLOY 28 TSH BL</t>
        </is>
      </c>
      <c r="C341" s="1755" t="n">
        <v>31</v>
      </c>
      <c r="D341" s="1756">
        <f>C341-0.301</f>
        <v/>
      </c>
      <c r="E341" s="1747">
        <f>E340+D341</f>
        <v/>
      </c>
      <c r="F341" s="1747">
        <f>F340-D340</f>
        <v/>
      </c>
      <c r="G341" s="1748">
        <f>G340-D341</f>
        <v/>
      </c>
      <c r="H341" s="1820" t="n"/>
      <c r="K341" s="1762" t="n"/>
    </row>
    <row r="342" ht="39.75" customFormat="1" customHeight="1" s="1735">
      <c r="A342" s="1754" t="inlineStr">
        <is>
          <t>JT.#136</t>
        </is>
      </c>
      <c r="B342" s="1754" t="inlineStr">
        <is>
          <t>3-1/2" TUBING 9.2 LB/FT ALLOY 28 TSH BL</t>
        </is>
      </c>
      <c r="C342" s="1755" t="n">
        <v>31</v>
      </c>
      <c r="D342" s="1756">
        <f>C342-0.301</f>
        <v/>
      </c>
      <c r="E342" s="1747">
        <f>E341+D342</f>
        <v/>
      </c>
      <c r="F342" s="1747">
        <f>F341-D341</f>
        <v/>
      </c>
      <c r="G342" s="1748">
        <f>G341-D342</f>
        <v/>
      </c>
      <c r="H342" s="1820" t="n"/>
      <c r="K342" s="1762" t="n"/>
    </row>
    <row r="343" ht="39.75" customFormat="1" customHeight="1" s="1735">
      <c r="A343" s="1754" t="inlineStr">
        <is>
          <t>JT.#137</t>
        </is>
      </c>
      <c r="B343" s="1754" t="inlineStr">
        <is>
          <t>3-1/2" TUBING 9.2 LB/FT ALLOY 28 TSH BL</t>
        </is>
      </c>
      <c r="C343" s="1755" t="n">
        <v>31</v>
      </c>
      <c r="D343" s="1756">
        <f>C343-0.301</f>
        <v/>
      </c>
      <c r="E343" s="1747">
        <f>E342+D343</f>
        <v/>
      </c>
      <c r="F343" s="1747">
        <f>F342-D342</f>
        <v/>
      </c>
      <c r="G343" s="1748">
        <f>G342-D343</f>
        <v/>
      </c>
      <c r="H343" s="1820" t="n"/>
      <c r="K343" s="1762" t="n"/>
    </row>
    <row r="344" ht="39.75" customFormat="1" customHeight="1" s="1735">
      <c r="A344" s="1754" t="inlineStr">
        <is>
          <t>JT.#138</t>
        </is>
      </c>
      <c r="B344" s="1754" t="inlineStr">
        <is>
          <t>3-1/2" TUBING 9.2 LB/FT ALLOY 28 TSH BL</t>
        </is>
      </c>
      <c r="C344" s="1755" t="n">
        <v>31</v>
      </c>
      <c r="D344" s="1756">
        <f>C344-0.301</f>
        <v/>
      </c>
      <c r="E344" s="1747">
        <f>E343+D344</f>
        <v/>
      </c>
      <c r="F344" s="1747">
        <f>F343-D343</f>
        <v/>
      </c>
      <c r="G344" s="1748">
        <f>G343-D344</f>
        <v/>
      </c>
      <c r="H344" s="1820" t="n"/>
      <c r="K344" s="1762" t="n"/>
    </row>
    <row r="345" ht="39.75" customFormat="1" customHeight="1" s="1735">
      <c r="A345" s="1754" t="inlineStr">
        <is>
          <t>JT.#139</t>
        </is>
      </c>
      <c r="B345" s="1754" t="inlineStr">
        <is>
          <t>3-1/2" TUBING 9.2 LB/FT ALLOY 28 TSH BL</t>
        </is>
      </c>
      <c r="C345" s="1755" t="n">
        <v>31</v>
      </c>
      <c r="D345" s="1756">
        <f>C345-0.301</f>
        <v/>
      </c>
      <c r="E345" s="1747">
        <f>E344+D345</f>
        <v/>
      </c>
      <c r="F345" s="1747">
        <f>F344-D344</f>
        <v/>
      </c>
      <c r="G345" s="1748">
        <f>G344-D345</f>
        <v/>
      </c>
      <c r="H345" s="1829" t="n"/>
      <c r="K345" s="1762" t="n"/>
    </row>
    <row r="346" ht="39.75" customFormat="1" customHeight="1" s="1735">
      <c r="A346" s="1754" t="inlineStr">
        <is>
          <t>JT.#140</t>
        </is>
      </c>
      <c r="B346" s="1754" t="inlineStr">
        <is>
          <t>3-1/2" TUBING 9.2 LB/FT ALLOY 28 TSH BL</t>
        </is>
      </c>
      <c r="C346" s="1755" t="n">
        <v>31</v>
      </c>
      <c r="D346" s="1756">
        <f>C346-0.301</f>
        <v/>
      </c>
      <c r="E346" s="1747">
        <f>E345+D346</f>
        <v/>
      </c>
      <c r="F346" s="1747">
        <f>F345-D345</f>
        <v/>
      </c>
      <c r="G346" s="1748">
        <f>G345-D346</f>
        <v/>
      </c>
      <c r="H346" s="1760" t="inlineStr">
        <is>
          <t>.</t>
        </is>
      </c>
      <c r="K346" s="1762" t="n"/>
    </row>
    <row r="347" ht="39.75" customFormat="1" customHeight="1" s="1735">
      <c r="A347" s="1754" t="inlineStr">
        <is>
          <t>JT.#141</t>
        </is>
      </c>
      <c r="B347" s="1754" t="inlineStr">
        <is>
          <t>3-1/2" TUBING 9.2 LB/FT ALLOY 28 TSH BL</t>
        </is>
      </c>
      <c r="C347" s="1755" t="n">
        <v>31</v>
      </c>
      <c r="D347" s="1756">
        <f>C347-0.301</f>
        <v/>
      </c>
      <c r="E347" s="1747">
        <f>E346+D347</f>
        <v/>
      </c>
      <c r="F347" s="1747">
        <f>F346-D346</f>
        <v/>
      </c>
      <c r="G347" s="1748">
        <f>G346-D347</f>
        <v/>
      </c>
      <c r="H347" s="1777" t="inlineStr">
        <is>
          <t xml:space="preserve">FILL UP STRING </t>
        </is>
      </c>
      <c r="K347" s="1762" t="n"/>
    </row>
    <row r="348" ht="39.75" customFormat="1" customHeight="1" s="1735">
      <c r="A348" s="1754" t="inlineStr">
        <is>
          <t>JT.#142</t>
        </is>
      </c>
      <c r="B348" s="1754" t="inlineStr">
        <is>
          <t>3-1/2" TUBING 9.2 LB/FT ALLOY 28 TSH BL</t>
        </is>
      </c>
      <c r="C348" s="1755" t="n">
        <v>31</v>
      </c>
      <c r="D348" s="1756">
        <f>C348-0.301</f>
        <v/>
      </c>
      <c r="E348" s="1747">
        <f>E347+D348</f>
        <v/>
      </c>
      <c r="F348" s="1747">
        <f>F347-D347</f>
        <v/>
      </c>
      <c r="G348" s="1748">
        <f>G347-D348</f>
        <v/>
      </c>
      <c r="H348" s="1820" t="n"/>
      <c r="K348" s="1762" t="n"/>
    </row>
    <row r="349" ht="39.75" customFormat="1" customHeight="1" s="1735">
      <c r="A349" s="1754" t="inlineStr">
        <is>
          <t>JT.#143</t>
        </is>
      </c>
      <c r="B349" s="1754" t="inlineStr">
        <is>
          <t>3-1/2" TUBING 9.2 LB/FT ALLOY 28 TSH BL</t>
        </is>
      </c>
      <c r="C349" s="1755" t="n">
        <v>31</v>
      </c>
      <c r="D349" s="1756">
        <f>C349-0.301</f>
        <v/>
      </c>
      <c r="E349" s="1747">
        <f>E348+D349</f>
        <v/>
      </c>
      <c r="F349" s="1747">
        <f>F348-D348</f>
        <v/>
      </c>
      <c r="G349" s="1748">
        <f>G348-D349</f>
        <v/>
      </c>
      <c r="H349" s="1796" t="n"/>
      <c r="K349" s="1762" t="n"/>
    </row>
    <row r="350" ht="39.75" customFormat="1" customHeight="1" s="1735">
      <c r="A350" s="1754" t="inlineStr">
        <is>
          <t>JT.#144</t>
        </is>
      </c>
      <c r="B350" s="1754" t="inlineStr">
        <is>
          <t>3-1/2" TUBING 9.2 LB/FT ALLOY 28 TSH BL</t>
        </is>
      </c>
      <c r="C350" s="1755" t="n">
        <v>31</v>
      </c>
      <c r="D350" s="1756">
        <f>C350-0.301</f>
        <v/>
      </c>
      <c r="E350" s="1747">
        <f>E349+D350</f>
        <v/>
      </c>
      <c r="F350" s="1747">
        <f>F349-D349</f>
        <v/>
      </c>
      <c r="G350" s="1748">
        <f>G349-D350</f>
        <v/>
      </c>
      <c r="H350" s="1820" t="n"/>
      <c r="K350" s="1762" t="n"/>
    </row>
    <row r="351" ht="39.75" customFormat="1" customHeight="1" s="1735">
      <c r="A351" s="1754" t="inlineStr">
        <is>
          <t>JT.#145</t>
        </is>
      </c>
      <c r="B351" s="1754" t="inlineStr">
        <is>
          <t>3-1/2" TUBING 9.2 LB/FT ALLOY 28 TSH BL</t>
        </is>
      </c>
      <c r="C351" s="1755" t="n">
        <v>31</v>
      </c>
      <c r="D351" s="1756">
        <f>C351-0.301</f>
        <v/>
      </c>
      <c r="E351" s="1747">
        <f>E350+D351</f>
        <v/>
      </c>
      <c r="F351" s="1747">
        <f>F350-D350</f>
        <v/>
      </c>
      <c r="G351" s="1748">
        <f>G350-D351</f>
        <v/>
      </c>
      <c r="H351" s="1820" t="n"/>
      <c r="K351" s="1762" t="n"/>
    </row>
    <row r="352" ht="39.75" customFormat="1" customHeight="1" s="1735">
      <c r="A352" s="1830" t="inlineStr">
        <is>
          <t>B</t>
        </is>
      </c>
      <c r="B352" s="1831" t="inlineStr">
        <is>
          <t>UPPER CONN. 3-1/2" VAM TOP BOX 9.2 PPF SN 28 110 KSI
DESCRIPTION: 5 FEET XOVER
SAP: 130005011340
SUPPLIER: TENARIS
LOWER CONN. 3-1/2" TSH BLUE PIN 9.2 PPF SN 28 110 KSI</t>
        </is>
      </c>
      <c r="C352" s="1832" t="n">
        <v>5.18</v>
      </c>
      <c r="D352" s="1756">
        <f>C352-0.301</f>
        <v/>
      </c>
      <c r="E352" s="1747">
        <f>E351+D352</f>
        <v/>
      </c>
      <c r="F352" s="1747">
        <f>F351-D351</f>
        <v/>
      </c>
      <c r="G352" s="1748">
        <f>G351-D352</f>
        <v/>
      </c>
      <c r="H352" s="1820" t="n"/>
      <c r="K352" s="1762" t="n"/>
    </row>
    <row r="353" ht="39.75" customFormat="1" customHeight="1" s="1735">
      <c r="A353" s="1766" t="n"/>
      <c r="B353" s="1831" t="inlineStr">
        <is>
          <t>UPPER CONN. 3-1/2" SENTINEL PRIME BOX 9.2 PPF TX28-110 KSI
DESCRIPTION: 5 FEET XOVER
SAP: 130013006385
SUPPLIER: TBX
LOWER CONN. 3-1/2" VAM TOP PIN 9.2 PPF TX28- 110 KSI</t>
        </is>
      </c>
      <c r="C353" s="1832" t="n">
        <v>4.91</v>
      </c>
      <c r="D353" s="1756">
        <f>C353-0.301</f>
        <v/>
      </c>
      <c r="E353" s="1747">
        <f>E352+D353</f>
        <v/>
      </c>
      <c r="F353" s="1747">
        <f>F352-D352</f>
        <v/>
      </c>
      <c r="G353" s="1748">
        <f>G352-D353</f>
        <v/>
      </c>
      <c r="H353" s="1820" t="n"/>
      <c r="K353" s="1762" t="n"/>
    </row>
    <row r="354" ht="39.75" customFormat="1" customHeight="1" s="1735">
      <c r="A354" s="1766" t="n"/>
      <c r="B354" s="1831" t="inlineStr">
        <is>
          <t>UPPER CONN. 3-1/2" SENTINEL PRIME 9.2#PPF INC 925 BOX
DESCRIPTION: NINE ENERGY MULTICYCLE BARRIER DEVICE
7 CYCLES REMAINING
P/N: 3207251
S/N: 100 086 877
SAP: 130010036003 SUPPLIER: NINE ENERGY
LOWER CONN- 3 1/2 9.2 SENTINEL PRIME 9.2 PPF INC 925 PIN</t>
        </is>
      </c>
      <c r="C354" s="1832" t="n">
        <v>5.22</v>
      </c>
      <c r="D354" s="1756">
        <f>C354-0.301</f>
        <v/>
      </c>
      <c r="E354" s="1747">
        <f>E353+D354</f>
        <v/>
      </c>
      <c r="F354" s="1747">
        <f>F353-D353</f>
        <v/>
      </c>
      <c r="G354" s="1748">
        <f>G353-D354</f>
        <v/>
      </c>
      <c r="H354" s="1820" t="n"/>
      <c r="K354" s="1762" t="n"/>
    </row>
    <row r="355" ht="39.75" customFormat="1" customHeight="1" s="1735">
      <c r="A355" s="1766" t="n"/>
      <c r="B355" s="1831" t="inlineStr">
        <is>
          <t>UPPER CONN. 3-1/2" VAM TOP BOX 9.2 PPF TX28- 110 KSI
DESCRIPTION: 5 FEET XOVER
SAP: 130013006383
SUPPLIER: TBX
LOWER CONN -3-1/2" SENTINEL PRIME PIN 9.2 PPF TX28-110 KSI</t>
        </is>
      </c>
      <c r="C355" s="1832" t="n">
        <v>4.8</v>
      </c>
      <c r="D355" s="1756">
        <f>C355-0.301</f>
        <v/>
      </c>
      <c r="E355" s="1747">
        <f>E354+D355</f>
        <v/>
      </c>
      <c r="F355" s="1747">
        <f>F354-D354</f>
        <v/>
      </c>
      <c r="G355" s="1748">
        <f>G354-D355</f>
        <v/>
      </c>
      <c r="H355" s="1820" t="n"/>
      <c r="K355" s="1762" t="n"/>
    </row>
    <row r="356" ht="39.75" customFormat="1" customHeight="1" s="1735">
      <c r="A356" s="1440" t="n"/>
      <c r="B356" s="1831" t="inlineStr">
        <is>
          <t>UPPER CONN. 3-1/2" TSH BLUE BOX 9.2 PPF SN 28 110 KSI
DESCRIPTION: 10 FEET XOVER
SAP: 130005011444
SUPPLIER: TENARIS
LOWER CONN. 3-1/2" VAM TOP PIN 9.2 PPF SN 28 110 KSI</t>
        </is>
      </c>
      <c r="C356" s="1832" t="n">
        <v>9.83</v>
      </c>
      <c r="D356" s="1756">
        <f>C356-0.301</f>
        <v/>
      </c>
      <c r="E356" s="1747">
        <f>E355+D356</f>
        <v/>
      </c>
      <c r="F356" s="1747">
        <f>F355-D355</f>
        <v/>
      </c>
      <c r="G356" s="1748">
        <f>G355-D356</f>
        <v/>
      </c>
      <c r="H356" s="1760" t="inlineStr">
        <is>
          <t>.</t>
        </is>
      </c>
      <c r="K356" s="1762" t="n"/>
    </row>
    <row r="357" ht="39.75" customFormat="1" customHeight="1" s="1735">
      <c r="A357" s="1754" t="inlineStr">
        <is>
          <t>JT.#146</t>
        </is>
      </c>
      <c r="B357" s="1754" t="inlineStr">
        <is>
          <t>3-1/2" TUBING 9.2 LB/FT ALLOY 28 TSH BL</t>
        </is>
      </c>
      <c r="C357" s="1755" t="n">
        <v>31</v>
      </c>
      <c r="D357" s="1756">
        <f>C357-0.301</f>
        <v/>
      </c>
      <c r="E357" s="1747">
        <f>E356+D357</f>
        <v/>
      </c>
      <c r="F357" s="1747">
        <f>F356-D356</f>
        <v/>
      </c>
      <c r="G357" s="1748">
        <f>G356-D357</f>
        <v/>
      </c>
      <c r="H357" s="1777" t="inlineStr">
        <is>
          <t xml:space="preserve">FILL UP STRING </t>
        </is>
      </c>
      <c r="K357" s="1762" t="n"/>
    </row>
    <row r="358" ht="39.75" customFormat="1" customHeight="1" s="1735">
      <c r="A358" s="1754" t="inlineStr">
        <is>
          <t>JT.#147</t>
        </is>
      </c>
      <c r="B358" s="1754" t="inlineStr">
        <is>
          <t>3-1/2" TUBING 9.2 LB/FT ALLOY 28 TSH BL</t>
        </is>
      </c>
      <c r="C358" s="1755" t="n">
        <v>31</v>
      </c>
      <c r="D358" s="1756">
        <f>C358-0.301</f>
        <v/>
      </c>
      <c r="E358" s="1747">
        <f>E357+D358</f>
        <v/>
      </c>
      <c r="F358" s="1747">
        <f>F357-D357</f>
        <v/>
      </c>
      <c r="G358" s="1748">
        <f>G357-D358</f>
        <v/>
      </c>
      <c r="H358" s="1820" t="n"/>
      <c r="K358" s="1762" t="n"/>
    </row>
    <row r="359" ht="39.75" customFormat="1" customHeight="1" s="1735">
      <c r="A359" s="1833" t="inlineStr">
        <is>
          <t>C</t>
        </is>
      </c>
      <c r="B359" s="1834" t="inlineStr">
        <is>
          <t>UPPER CONN. 3-1/2" VAM TOP BOX 9.2 PPF SN 28 110 KSI
DESCRIPTION: 5 FEET XOVER
SAP: 130005011340
SUPPLIER: TENARIS
LOWER CONN. 3-1/2" TSH BLUE PIN 9.2 PPF SN 28 110 KSI</t>
        </is>
      </c>
      <c r="C359" s="1835" t="n">
        <v>5.16</v>
      </c>
      <c r="D359" s="1756">
        <f>C359-0.301</f>
        <v/>
      </c>
      <c r="E359" s="1747">
        <f>E358+D359</f>
        <v/>
      </c>
      <c r="F359" s="1747">
        <f>F358-D358</f>
        <v/>
      </c>
      <c r="G359" s="1748">
        <f>G358-D359</f>
        <v/>
      </c>
      <c r="H359" s="1796" t="n"/>
      <c r="K359" s="1762" t="n"/>
    </row>
    <row r="360" ht="39.75" customFormat="1" customHeight="1" s="1735">
      <c r="A360" s="1766" t="n"/>
      <c r="B360" s="1834" t="inlineStr">
        <is>
          <t>UPPER CONN. 3-1/2" VAM TOP 9.2#PPF INC 925 KSI BOX
DESCRIPTION: 2.750 WXN Nipple
PN: 2963809
S/N :12527047-08
SAP: 130010036868
SUPPLIER: WEATHERFORD
LOWER CONN.3-1/2" VAM TOP 9.2#PPF INC 925KSI PIN</t>
        </is>
      </c>
      <c r="C360" s="1835" t="n">
        <v>1.15</v>
      </c>
      <c r="D360" s="1756">
        <f>C360-0.301</f>
        <v/>
      </c>
      <c r="E360" s="1747">
        <f>E359+D360</f>
        <v/>
      </c>
      <c r="F360" s="1747">
        <f>F359-D359</f>
        <v/>
      </c>
      <c r="G360" s="1748">
        <f>G359-D360</f>
        <v/>
      </c>
      <c r="H360" s="1820" t="n"/>
      <c r="K360" s="1762" t="n"/>
    </row>
    <row r="361" ht="39.75" customFormat="1" customHeight="1" s="1735">
      <c r="A361" s="1766" t="n"/>
      <c r="B361" s="1834" t="inlineStr">
        <is>
          <t>UPPER CONN. 3-1/2" VAM TOP 9.2#PPF SM 2535 BOX
DESCRIPTION: 5 FEET PUP JOINT
SAP: 130005002758
SUPPLIER: VAM
LOWER CONN. 3-1/2" VAM TOP 9.2#PPF SM 2535 PIN</t>
        </is>
      </c>
      <c r="C361" s="1835" t="n">
        <v>4.92</v>
      </c>
      <c r="D361" s="1756">
        <f>C361-0.301</f>
        <v/>
      </c>
      <c r="E361" s="1747">
        <f>E360+D361</f>
        <v/>
      </c>
      <c r="F361" s="1747">
        <f>F360-D360</f>
        <v/>
      </c>
      <c r="G361" s="1748">
        <f>G360-D361</f>
        <v/>
      </c>
      <c r="H361" s="1820" t="n"/>
      <c r="K361" s="1762" t="n"/>
    </row>
    <row r="362" ht="39.75" customFormat="1" customHeight="1" s="1735">
      <c r="A362" s="1766" t="n"/>
      <c r="B362" s="1834" t="inlineStr">
        <is>
          <t>UPPER CONN. 3-1/2" VAM TOP 9.2#PPF SM2535 BOX
DESCRIPTION: 10 FEET PUP JOINT
SAP: 130013000213
SUPPLIER: VAM
LOWER CONN. 3-1/2" VAM TOP 9.2#PPF SM2535 PIN</t>
        </is>
      </c>
      <c r="C362" s="1835" t="n">
        <v>9.92</v>
      </c>
      <c r="D362" s="1756">
        <f>C362-0.301</f>
        <v/>
      </c>
      <c r="E362" s="1747">
        <f>E361+D362</f>
        <v/>
      </c>
      <c r="F362" s="1747">
        <f>F361-D361</f>
        <v/>
      </c>
      <c r="G362" s="1748">
        <f>G361-D362</f>
        <v/>
      </c>
      <c r="H362" s="1820" t="n"/>
      <c r="K362" s="1762" t="n"/>
    </row>
    <row r="363" ht="39.75" customFormat="1" customHeight="1" s="1735">
      <c r="A363" s="1766" t="n"/>
      <c r="B363" s="1834"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835" t="n">
        <v>9.710000000000001</v>
      </c>
      <c r="D363" s="1756">
        <f>C363-0.301</f>
        <v/>
      </c>
      <c r="E363" s="1747">
        <f>E362+D363</f>
        <v/>
      </c>
      <c r="F363" s="1747">
        <f>F362-D362</f>
        <v/>
      </c>
      <c r="G363" s="1748">
        <f>G362-D363</f>
        <v/>
      </c>
      <c r="H363" s="1820" t="n"/>
      <c r="K363" s="1762" t="n"/>
    </row>
    <row r="364" ht="39.75" customFormat="1" customHeight="1" s="1735">
      <c r="A364" s="1440" t="n"/>
      <c r="B364" s="1834" t="inlineStr">
        <is>
          <t>UPPER CONN. 3-1/2" TSH BLUE BOX 9.2 PPF SN 28 110 KSI
DESCRIPTION: 5 FEET XOVER
SAP: 130005011444
SUPPLIER: TENARIS
LOWER CONN. 3-1/2" VAM TOP PIN 9.2 PPF SN 28 110 KSI</t>
        </is>
      </c>
      <c r="C364" s="1835" t="n">
        <v>4.99</v>
      </c>
      <c r="D364" s="1756">
        <f>C364-0.301</f>
        <v/>
      </c>
      <c r="E364" s="1747">
        <f>E363+D364</f>
        <v/>
      </c>
      <c r="F364" s="1747">
        <f>F363-D363</f>
        <v/>
      </c>
      <c r="G364" s="1748">
        <f>G363-D364</f>
        <v/>
      </c>
      <c r="H364" s="1820" t="n"/>
      <c r="K364" s="1762" t="n"/>
    </row>
    <row r="365" ht="39.75" customFormat="1" customHeight="1" s="1735">
      <c r="A365" s="1754" t="inlineStr">
        <is>
          <t>JT.#148</t>
        </is>
      </c>
      <c r="B365" s="1754" t="inlineStr">
        <is>
          <t>3-1/2" TUBING 9.2 LB/FT ALLOY 28 TSH BL</t>
        </is>
      </c>
      <c r="C365" s="1755" t="n">
        <v>31</v>
      </c>
      <c r="D365" s="1756">
        <f>C365-0.301</f>
        <v/>
      </c>
      <c r="E365" s="1747">
        <f>E364+D365</f>
        <v/>
      </c>
      <c r="F365" s="1747">
        <f>F364-D364</f>
        <v/>
      </c>
      <c r="G365" s="1748">
        <f>G364-D365</f>
        <v/>
      </c>
      <c r="H365" s="1820" t="n"/>
      <c r="K365" s="1762" t="n"/>
    </row>
    <row r="366" ht="39.75" customFormat="1" customHeight="1" s="1735">
      <c r="A366" s="1754" t="inlineStr">
        <is>
          <t>JT.#149</t>
        </is>
      </c>
      <c r="B366" s="1754" t="inlineStr">
        <is>
          <t>3-1/2" TUBING 9.2 LB/FT ALLOY 28 TSH BL</t>
        </is>
      </c>
      <c r="C366" s="1755" t="n">
        <v>31</v>
      </c>
      <c r="D366" s="1756">
        <f>C366-0.301</f>
        <v/>
      </c>
      <c r="E366" s="1747">
        <f>E365+D366</f>
        <v/>
      </c>
      <c r="F366" s="1747">
        <f>F365-D365</f>
        <v/>
      </c>
      <c r="G366" s="1748">
        <f>G365-D366</f>
        <v/>
      </c>
      <c r="H366" s="1760" t="inlineStr">
        <is>
          <t>.</t>
        </is>
      </c>
      <c r="K366" s="1762" t="n"/>
    </row>
    <row r="367" ht="39.75" customFormat="1" customHeight="1" s="1735">
      <c r="A367" s="1754" t="inlineStr">
        <is>
          <t>JT.#150</t>
        </is>
      </c>
      <c r="B367" s="1754" t="inlineStr">
        <is>
          <t>3-1/2" TUBING 9.2 LB/FT ALLOY 28 TSH BL</t>
        </is>
      </c>
      <c r="C367" s="1755" t="n">
        <v>31</v>
      </c>
      <c r="D367" s="1756">
        <f>C367-0.301</f>
        <v/>
      </c>
      <c r="E367" s="1747">
        <f>E366+D367</f>
        <v/>
      </c>
      <c r="F367" s="1747">
        <f>F366-D366</f>
        <v/>
      </c>
      <c r="G367" s="1748">
        <f>G366-D367</f>
        <v/>
      </c>
      <c r="H367" s="1777" t="inlineStr">
        <is>
          <t xml:space="preserve">FILL UP STRING </t>
        </is>
      </c>
      <c r="K367" s="1762" t="n"/>
    </row>
    <row r="368" ht="39.75" customFormat="1" customHeight="1" s="1735">
      <c r="A368" s="1754" t="inlineStr">
        <is>
          <t>JT.#151</t>
        </is>
      </c>
      <c r="B368" s="1754" t="inlineStr">
        <is>
          <t>3-1/2" TUBING 9.2 LB/FT ALLOY 28 TSH BL</t>
        </is>
      </c>
      <c r="C368" s="1755" t="n">
        <v>31</v>
      </c>
      <c r="D368" s="1756">
        <f>C368-0.301</f>
        <v/>
      </c>
      <c r="E368" s="1747">
        <f>E367+D368</f>
        <v/>
      </c>
      <c r="F368" s="1747">
        <f>F367-D367</f>
        <v/>
      </c>
      <c r="G368" s="1748">
        <f>G367-D368</f>
        <v/>
      </c>
      <c r="H368" s="1820" t="n"/>
      <c r="K368" s="1762" t="n"/>
    </row>
    <row r="369" ht="39.75" customFormat="1" customHeight="1" s="1735">
      <c r="A369" s="1754" t="inlineStr">
        <is>
          <t>JT.#152</t>
        </is>
      </c>
      <c r="B369" s="1754" t="inlineStr">
        <is>
          <t>3-1/2" TUBING 9.2 LB/FT ALLOY 28 TSH BL</t>
        </is>
      </c>
      <c r="C369" s="1755" t="n">
        <v>31</v>
      </c>
      <c r="D369" s="1756">
        <f>C369-0.301</f>
        <v/>
      </c>
      <c r="E369" s="1747">
        <f>E368+D369</f>
        <v/>
      </c>
      <c r="F369" s="1747">
        <f>F368-D368</f>
        <v/>
      </c>
      <c r="G369" s="1748">
        <f>G368-D369</f>
        <v/>
      </c>
      <c r="H369" s="1796" t="n"/>
      <c r="K369" s="1762" t="n"/>
    </row>
    <row r="370" ht="39.75" customFormat="1" customHeight="1" s="1735">
      <c r="A370" s="1754" t="inlineStr">
        <is>
          <t>JT.#153</t>
        </is>
      </c>
      <c r="B370" s="1754" t="inlineStr">
        <is>
          <t>3-1/2" TUBING 9.2 LB/FT ALLOY 28 TSH BL</t>
        </is>
      </c>
      <c r="C370" s="1755" t="n">
        <v>31</v>
      </c>
      <c r="D370" s="1756">
        <f>C370-0.301</f>
        <v/>
      </c>
      <c r="E370" s="1747">
        <f>E369+D370</f>
        <v/>
      </c>
      <c r="F370" s="1747">
        <f>F369-D369</f>
        <v/>
      </c>
      <c r="G370" s="1748">
        <f>G369-D370</f>
        <v/>
      </c>
      <c r="H370" s="1820" t="n"/>
      <c r="K370" s="1762" t="n"/>
    </row>
    <row r="371" ht="39.75" customFormat="1" customHeight="1" s="1735">
      <c r="A371" s="1754" t="inlineStr">
        <is>
          <t>JT.#154</t>
        </is>
      </c>
      <c r="B371" s="1754" t="inlineStr">
        <is>
          <t>3-1/2" TUBING 9.2 LB/FT ALLOY 28 TSH BL</t>
        </is>
      </c>
      <c r="C371" s="1755" t="n">
        <v>31</v>
      </c>
      <c r="D371" s="1756">
        <f>C371-0.301</f>
        <v/>
      </c>
      <c r="E371" s="1747">
        <f>E370+D371</f>
        <v/>
      </c>
      <c r="F371" s="1747">
        <f>F370-D370</f>
        <v/>
      </c>
      <c r="G371" s="1748">
        <f>G370-D371</f>
        <v/>
      </c>
      <c r="H371" s="1820" t="n"/>
      <c r="K371" s="1762" t="n"/>
    </row>
    <row r="372" ht="39.75" customFormat="1" customHeight="1" s="1735">
      <c r="A372" s="1754" t="inlineStr">
        <is>
          <t>JT.#155</t>
        </is>
      </c>
      <c r="B372" s="1754" t="inlineStr">
        <is>
          <t>3-1/2" TUBING 9.2 LB/FT ALLOY 28 TSH BL</t>
        </is>
      </c>
      <c r="C372" s="1755" t="n">
        <v>31</v>
      </c>
      <c r="D372" s="1756">
        <f>C372-0.301</f>
        <v/>
      </c>
      <c r="E372" s="1747">
        <f>E371+D372</f>
        <v/>
      </c>
      <c r="F372" s="1747">
        <f>F371-D371</f>
        <v/>
      </c>
      <c r="G372" s="1748">
        <f>G371-D372</f>
        <v/>
      </c>
      <c r="H372" s="1820" t="n"/>
      <c r="K372" s="1762" t="n"/>
    </row>
    <row r="373" ht="39.75" customFormat="1" customHeight="1" s="1735">
      <c r="A373" s="1754" t="inlineStr">
        <is>
          <t>JT.#156</t>
        </is>
      </c>
      <c r="B373" s="1754" t="inlineStr">
        <is>
          <t>3-1/2" TUBING 9.2 LB/FT ALLOY 28 TSH BL</t>
        </is>
      </c>
      <c r="C373" s="1755" t="n">
        <v>31</v>
      </c>
      <c r="D373" s="1756">
        <f>C373-0.301</f>
        <v/>
      </c>
      <c r="E373" s="1747">
        <f>E372+D373</f>
        <v/>
      </c>
      <c r="F373" s="1747">
        <f>F372-D372</f>
        <v/>
      </c>
      <c r="G373" s="1748">
        <f>G372-D373</f>
        <v/>
      </c>
      <c r="H373" s="1820" t="n"/>
      <c r="K373" s="1762" t="n"/>
    </row>
    <row r="374" ht="39.75" customFormat="1" customHeight="1" s="1735">
      <c r="A374" s="1754" t="inlineStr">
        <is>
          <t>JT.#157</t>
        </is>
      </c>
      <c r="B374" s="1754" t="inlineStr">
        <is>
          <t>3-1/2" TUBING 9.2 LB/FT ALLOY 28 TSH BL</t>
        </is>
      </c>
      <c r="C374" s="1755" t="n">
        <v>31</v>
      </c>
      <c r="D374" s="1756">
        <f>C374-0.301</f>
        <v/>
      </c>
      <c r="E374" s="1747">
        <f>E373+D374</f>
        <v/>
      </c>
      <c r="F374" s="1747">
        <f>F373-D373</f>
        <v/>
      </c>
      <c r="G374" s="1748">
        <f>G373-D374</f>
        <v/>
      </c>
      <c r="H374" s="1820" t="n"/>
      <c r="K374" s="1762" t="n"/>
    </row>
    <row r="375" ht="39.75" customFormat="1" customHeight="1" s="1735">
      <c r="A375" s="1754" t="inlineStr">
        <is>
          <t>JT.#158</t>
        </is>
      </c>
      <c r="B375" s="1754" t="inlineStr">
        <is>
          <t>3-1/2" TUBING 9.2 LB/FT ALLOY 28 TSH BL</t>
        </is>
      </c>
      <c r="C375" s="1755" t="n">
        <v>31</v>
      </c>
      <c r="D375" s="1756">
        <f>C375-0.301</f>
        <v/>
      </c>
      <c r="E375" s="1747">
        <f>E374+D375</f>
        <v/>
      </c>
      <c r="F375" s="1747">
        <f>F374-D374</f>
        <v/>
      </c>
      <c r="G375" s="1748">
        <f>G374-D375</f>
        <v/>
      </c>
      <c r="H375" s="1820" t="n"/>
      <c r="K375" s="1762" t="n"/>
    </row>
    <row r="376" ht="39.75" customFormat="1" customHeight="1" s="1735">
      <c r="A376" s="1754" t="inlineStr">
        <is>
          <t>JT.#159</t>
        </is>
      </c>
      <c r="B376" s="1754" t="inlineStr">
        <is>
          <t>3-1/2" TUBING 9.2 LB/FT ALLOY 28 TSH BL</t>
        </is>
      </c>
      <c r="C376" s="1755" t="n">
        <v>31</v>
      </c>
      <c r="D376" s="1756">
        <f>C376-0.301</f>
        <v/>
      </c>
      <c r="E376" s="1747">
        <f>E375+D376</f>
        <v/>
      </c>
      <c r="F376" s="1747">
        <f>F375-D375</f>
        <v/>
      </c>
      <c r="G376" s="1748">
        <f>G375-D376</f>
        <v/>
      </c>
      <c r="H376" s="1760" t="inlineStr">
        <is>
          <t>.</t>
        </is>
      </c>
      <c r="K376" s="1762" t="n"/>
    </row>
    <row r="377" ht="39.75" customFormat="1" customHeight="1" s="1735">
      <c r="A377" s="1754" t="inlineStr">
        <is>
          <t>JT.#160</t>
        </is>
      </c>
      <c r="B377" s="1754" t="inlineStr">
        <is>
          <t>3-1/2" TUBING 9.2 LB/FT ALLOY 28 TSH BL</t>
        </is>
      </c>
      <c r="C377" s="1755" t="n">
        <v>31</v>
      </c>
      <c r="D377" s="1756">
        <f>C377-0.301</f>
        <v/>
      </c>
      <c r="E377" s="1747">
        <f>E376+D377</f>
        <v/>
      </c>
      <c r="F377" s="1747">
        <f>F376-D376</f>
        <v/>
      </c>
      <c r="G377" s="1748">
        <f>G376-D377</f>
        <v/>
      </c>
      <c r="H377" s="1777" t="inlineStr">
        <is>
          <t xml:space="preserve">FILL UP STRING </t>
        </is>
      </c>
      <c r="K377" s="1762" t="n"/>
    </row>
    <row r="378" ht="39.75" customFormat="1" customHeight="1" s="1735">
      <c r="A378" s="1754" t="inlineStr">
        <is>
          <t>JT.#161</t>
        </is>
      </c>
      <c r="B378" s="1754" t="inlineStr">
        <is>
          <t>3-1/2" TUBING 9.2 LB/FT ALLOY 28 TSH BL</t>
        </is>
      </c>
      <c r="C378" s="1755" t="n">
        <v>31</v>
      </c>
      <c r="D378" s="1756">
        <f>C378-0.301</f>
        <v/>
      </c>
      <c r="E378" s="1747">
        <f>E377+D378</f>
        <v/>
      </c>
      <c r="F378" s="1747">
        <f>F377-D377</f>
        <v/>
      </c>
      <c r="G378" s="1748">
        <f>G377-D378</f>
        <v/>
      </c>
      <c r="H378" s="1820" t="n"/>
      <c r="K378" s="1762" t="n"/>
    </row>
    <row r="379" ht="39.75" customFormat="1" customHeight="1" s="1735">
      <c r="A379" s="1754" t="inlineStr">
        <is>
          <t>JT.#162</t>
        </is>
      </c>
      <c r="B379" s="1754" t="inlineStr">
        <is>
          <t>3-1/2" TUBING 9.2 LB/FT ALLOY 28 TSH BL</t>
        </is>
      </c>
      <c r="C379" s="1755" t="n">
        <v>31</v>
      </c>
      <c r="D379" s="1756">
        <f>C379-0.301</f>
        <v/>
      </c>
      <c r="E379" s="1747">
        <f>E378+D379</f>
        <v/>
      </c>
      <c r="F379" s="1747">
        <f>F378-D378</f>
        <v/>
      </c>
      <c r="G379" s="1748">
        <f>G378-D379</f>
        <v/>
      </c>
      <c r="H379" s="1820" t="n"/>
      <c r="K379" s="1762" t="n"/>
    </row>
    <row r="380" ht="39.75" customFormat="1" customHeight="1" s="1735">
      <c r="A380" s="1754" t="inlineStr">
        <is>
          <t>JT.#163</t>
        </is>
      </c>
      <c r="B380" s="1754" t="inlineStr">
        <is>
          <t>3-1/2" TUBING 9.2 LB/FT ALLOY 28 TSH BL</t>
        </is>
      </c>
      <c r="C380" s="1755" t="n">
        <v>31</v>
      </c>
      <c r="D380" s="1756">
        <f>C380-0.301</f>
        <v/>
      </c>
      <c r="E380" s="1747">
        <f>E379+D380</f>
        <v/>
      </c>
      <c r="F380" s="1747">
        <f>F379-D379</f>
        <v/>
      </c>
      <c r="G380" s="1748">
        <f>G379-D380</f>
        <v/>
      </c>
      <c r="H380" s="1820" t="n"/>
      <c r="K380" s="1762" t="n"/>
    </row>
    <row r="381" ht="39.75" customFormat="1" customHeight="1" s="1735">
      <c r="A381" s="1754" t="inlineStr">
        <is>
          <t>JT.#164</t>
        </is>
      </c>
      <c r="B381" s="1754" t="inlineStr">
        <is>
          <t>3-1/2" TUBING 9.2 LB/FT ALLOY 28 TSH BL</t>
        </is>
      </c>
      <c r="C381" s="1755" t="n">
        <v>31</v>
      </c>
      <c r="D381" s="1756">
        <f>C381-0.301</f>
        <v/>
      </c>
      <c r="E381" s="1747">
        <f>E380+D381</f>
        <v/>
      </c>
      <c r="F381" s="1747">
        <f>F380-D380</f>
        <v/>
      </c>
      <c r="G381" s="1748">
        <f>G380-D381</f>
        <v/>
      </c>
      <c r="H381" s="1820" t="n"/>
      <c r="K381" s="1762" t="n"/>
    </row>
    <row r="382" ht="39.75" customFormat="1" customHeight="1" s="1735">
      <c r="A382" s="1754" t="inlineStr">
        <is>
          <t>JT.#165</t>
        </is>
      </c>
      <c r="B382" s="1754" t="inlineStr">
        <is>
          <t>3-1/2" TUBING 9.2 LB/FT ALLOY 28 TSH BL</t>
        </is>
      </c>
      <c r="C382" s="1755" t="n">
        <v>31</v>
      </c>
      <c r="D382" s="1756">
        <f>C382-0.301</f>
        <v/>
      </c>
      <c r="E382" s="1747">
        <f>E381+D382</f>
        <v/>
      </c>
      <c r="F382" s="1747">
        <f>F381-D381</f>
        <v/>
      </c>
      <c r="G382" s="1748">
        <f>G381-D382</f>
        <v/>
      </c>
      <c r="H382" s="1820" t="n"/>
      <c r="K382" s="1762" t="n"/>
    </row>
    <row r="383" ht="39.75" customFormat="1" customHeight="1" s="1735">
      <c r="A383" s="1754" t="inlineStr">
        <is>
          <t>JT.#166</t>
        </is>
      </c>
      <c r="B383" s="1754" t="inlineStr">
        <is>
          <t>3-1/2" TUBING 9.2 LB/FT ALLOY 28 TSH BL</t>
        </is>
      </c>
      <c r="C383" s="1755" t="n">
        <v>31</v>
      </c>
      <c r="D383" s="1756">
        <f>C383-0.301</f>
        <v/>
      </c>
      <c r="E383" s="1747">
        <f>E382+D383</f>
        <v/>
      </c>
      <c r="F383" s="1747">
        <f>F382-D382</f>
        <v/>
      </c>
      <c r="G383" s="1748">
        <f>G382-D383</f>
        <v/>
      </c>
      <c r="H383" s="1820" t="n"/>
      <c r="K383" s="1762" t="n"/>
    </row>
    <row r="384" ht="39.75" customFormat="1" customHeight="1" s="1735">
      <c r="A384" s="1754" t="inlineStr">
        <is>
          <t>JT.#167</t>
        </is>
      </c>
      <c r="B384" s="1754" t="inlineStr">
        <is>
          <t>3-1/2" TUBING 9.2 LB/FT ALLOY 28 TSH BL</t>
        </is>
      </c>
      <c r="C384" s="1755" t="n">
        <v>31</v>
      </c>
      <c r="D384" s="1756">
        <f>C384-0.301</f>
        <v/>
      </c>
      <c r="E384" s="1747">
        <f>E383+D384</f>
        <v/>
      </c>
      <c r="F384" s="1747">
        <f>F383-D383</f>
        <v/>
      </c>
      <c r="G384" s="1748">
        <f>G383-D384</f>
        <v/>
      </c>
      <c r="H384" s="1820" t="n"/>
      <c r="K384" s="1762" t="n"/>
    </row>
    <row r="385" ht="39.75" customFormat="1" customHeight="1" s="1735">
      <c r="A385" s="1754" t="inlineStr">
        <is>
          <t>JT.#168</t>
        </is>
      </c>
      <c r="B385" s="1754" t="inlineStr">
        <is>
          <t>3-1/2" TUBING 9.2 LB/FT ALLOY 28 TSH BL</t>
        </is>
      </c>
      <c r="C385" s="1755" t="n">
        <v>31</v>
      </c>
      <c r="D385" s="1756">
        <f>C385-0.301</f>
        <v/>
      </c>
      <c r="E385" s="1747">
        <f>E384+D385</f>
        <v/>
      </c>
      <c r="F385" s="1747">
        <f>F384-D384</f>
        <v/>
      </c>
      <c r="G385" s="1748">
        <f>G384-D385</f>
        <v/>
      </c>
      <c r="H385" s="1820" t="n"/>
      <c r="K385" s="1762" t="n"/>
    </row>
    <row r="386" ht="39.75" customFormat="1" customHeight="1" s="1735">
      <c r="A386" s="1754" t="inlineStr">
        <is>
          <t>JT.#169</t>
        </is>
      </c>
      <c r="B386" s="1754" t="inlineStr">
        <is>
          <t>3-1/2" TUBING 9.2 LB/FT ALLOY 28 TSH BL</t>
        </is>
      </c>
      <c r="C386" s="1755" t="n">
        <v>31</v>
      </c>
      <c r="D386" s="1788">
        <f>C386-0.301</f>
        <v/>
      </c>
      <c r="E386" s="1747">
        <f>E385+D386</f>
        <v/>
      </c>
      <c r="F386" s="1747">
        <f>F385-D385</f>
        <v/>
      </c>
      <c r="G386" s="1748">
        <f>G385-D386</f>
        <v/>
      </c>
      <c r="H386" s="1777" t="inlineStr">
        <is>
          <t xml:space="preserve">FILL UP STRING </t>
        </is>
      </c>
      <c r="K386" s="1762" t="n"/>
    </row>
    <row r="387" ht="39.75" customFormat="1" customHeight="1" s="1735">
      <c r="A387" s="1754" t="inlineStr">
        <is>
          <t>JT.#170</t>
        </is>
      </c>
      <c r="B387" s="1754" t="inlineStr">
        <is>
          <t>3-1/2" TUBING 9.2 LB/FT ALLOY 28 TSH BL</t>
        </is>
      </c>
      <c r="C387" s="1755" t="n">
        <v>31</v>
      </c>
      <c r="D387" s="1756">
        <f>C387-0.301</f>
        <v/>
      </c>
      <c r="E387" s="1747">
        <f>E386+D387</f>
        <v/>
      </c>
      <c r="F387" s="1747">
        <f>F386-D386</f>
        <v/>
      </c>
      <c r="G387" s="1748">
        <f>G386-D387</f>
        <v/>
      </c>
      <c r="H387" s="1760" t="n"/>
      <c r="K387" s="1762" t="n"/>
    </row>
    <row r="388" ht="39.75" customFormat="1" customHeight="1" s="1735">
      <c r="A388" s="1754" t="inlineStr">
        <is>
          <t>JT.#171</t>
        </is>
      </c>
      <c r="B388" s="1754" t="inlineStr">
        <is>
          <t>3-1/2" TUBING 9.2 LB/FT ALLOY 28 TSH BL</t>
        </is>
      </c>
      <c r="C388" s="1755" t="n">
        <v>31</v>
      </c>
      <c r="D388" s="1756">
        <f>C388-0.301</f>
        <v/>
      </c>
      <c r="E388" s="1747">
        <f>E387+D388</f>
        <v/>
      </c>
      <c r="F388" s="1747">
        <f>F387-D387</f>
        <v/>
      </c>
      <c r="G388" s="1748">
        <f>G387-D388</f>
        <v/>
      </c>
      <c r="H388" s="1796" t="n"/>
      <c r="K388" s="1762" t="n"/>
    </row>
    <row r="389" ht="39.75" customFormat="1" customHeight="1" s="1735">
      <c r="A389" s="1754" t="inlineStr">
        <is>
          <t>JT.#172</t>
        </is>
      </c>
      <c r="B389" s="1754" t="inlineStr">
        <is>
          <t>3-1/2" TUBING 9.2 LB/FT ALLOY 28 TSH BL</t>
        </is>
      </c>
      <c r="C389" s="1755" t="n">
        <v>31</v>
      </c>
      <c r="D389" s="1756">
        <f>C389-0.301</f>
        <v/>
      </c>
      <c r="E389" s="1747">
        <f>E388+D389</f>
        <v/>
      </c>
      <c r="F389" s="1747">
        <f>F388-D388</f>
        <v/>
      </c>
      <c r="G389" s="1748">
        <f>G388-D389</f>
        <v/>
      </c>
      <c r="H389" s="1820" t="n"/>
      <c r="K389" s="1762" t="n"/>
    </row>
    <row r="390" ht="39.75" customFormat="1" customHeight="1" s="1735">
      <c r="A390" s="1754" t="inlineStr">
        <is>
          <t>JT.#173</t>
        </is>
      </c>
      <c r="B390" s="1754" t="inlineStr">
        <is>
          <t>3-1/2" TUBING 9.2 LB/FT ALLOY 28 TSH BL</t>
        </is>
      </c>
      <c r="C390" s="1755" t="n">
        <v>31</v>
      </c>
      <c r="D390" s="1756">
        <f>C390-0.301</f>
        <v/>
      </c>
      <c r="E390" s="1747">
        <f>E389+D390</f>
        <v/>
      </c>
      <c r="F390" s="1747">
        <f>F389-D389</f>
        <v/>
      </c>
      <c r="G390" s="1748">
        <f>G389-D390</f>
        <v/>
      </c>
      <c r="H390" s="1796" t="n"/>
      <c r="K390" s="1762" t="n"/>
    </row>
    <row r="391" ht="39.75" customFormat="1" customHeight="1" s="1735">
      <c r="A391" s="1754" t="inlineStr">
        <is>
          <t>JT.#174</t>
        </is>
      </c>
      <c r="B391" s="1754" t="inlineStr">
        <is>
          <t>3-1/2" TUBING 9.2 LB/FT ALLOY 28 TSH BL</t>
        </is>
      </c>
      <c r="C391" s="1755" t="n">
        <v>31</v>
      </c>
      <c r="D391" s="1756">
        <f>C391-0.301</f>
        <v/>
      </c>
      <c r="E391" s="1747">
        <f>E390+D391</f>
        <v/>
      </c>
      <c r="F391" s="1747">
        <f>F390-D390</f>
        <v/>
      </c>
      <c r="G391" s="1748">
        <f>G390-D391</f>
        <v/>
      </c>
      <c r="H391" s="1820" t="n"/>
      <c r="K391" s="1762" t="n"/>
    </row>
    <row r="392" ht="39.75" customFormat="1" customHeight="1" s="1735">
      <c r="A392" s="1754" t="inlineStr">
        <is>
          <t>JT.#175</t>
        </is>
      </c>
      <c r="B392" s="1754" t="inlineStr">
        <is>
          <t>3-1/2" TUBING 9.2 LB/FT ALLOY 28 TSH BL</t>
        </is>
      </c>
      <c r="C392" s="1755" t="n">
        <v>31</v>
      </c>
      <c r="D392" s="1756">
        <f>C392-0.301</f>
        <v/>
      </c>
      <c r="E392" s="1747">
        <f>E391+D392</f>
        <v/>
      </c>
      <c r="F392" s="1747">
        <f>F391-D391</f>
        <v/>
      </c>
      <c r="G392" s="1748">
        <f>G391-D392</f>
        <v/>
      </c>
      <c r="H392" s="1820" t="n"/>
      <c r="K392" s="1762" t="n"/>
    </row>
    <row r="393" ht="39.75" customFormat="1" customHeight="1" s="1735">
      <c r="A393" s="1754" t="inlineStr">
        <is>
          <t>JT.#176</t>
        </is>
      </c>
      <c r="B393" s="1754" t="inlineStr">
        <is>
          <t>3-1/2" TUBING 9.2 LB/FT ALLOY 28 TSH BL</t>
        </is>
      </c>
      <c r="C393" s="1755" t="n">
        <v>31</v>
      </c>
      <c r="D393" s="1756">
        <f>C393-0.301</f>
        <v/>
      </c>
      <c r="E393" s="1747">
        <f>E392+D393</f>
        <v/>
      </c>
      <c r="F393" s="1747">
        <f>F392-D392</f>
        <v/>
      </c>
      <c r="G393" s="1748">
        <f>G392-D393</f>
        <v/>
      </c>
      <c r="H393" s="1820" t="n"/>
      <c r="K393" s="1762" t="n"/>
    </row>
    <row r="394" ht="39.75" customFormat="1" customHeight="1" s="1735">
      <c r="A394" s="1754" t="inlineStr">
        <is>
          <t>JT.#177</t>
        </is>
      </c>
      <c r="B394" s="1754" t="inlineStr">
        <is>
          <t>3-1/2" TUBING 9.2 LB/FT ALLOY 28 TSH BL</t>
        </is>
      </c>
      <c r="C394" s="1755" t="n">
        <v>31</v>
      </c>
      <c r="D394" s="1756">
        <f>C394-0.301</f>
        <v/>
      </c>
      <c r="E394" s="1747">
        <f>E393+D394</f>
        <v/>
      </c>
      <c r="F394" s="1747">
        <f>F393-D393</f>
        <v/>
      </c>
      <c r="G394" s="1748">
        <f>G393-D394</f>
        <v/>
      </c>
      <c r="H394" s="1820" t="n"/>
      <c r="K394" s="1762" t="n"/>
    </row>
    <row r="395" ht="39.75" customFormat="1" customHeight="1" s="1735">
      <c r="A395" s="1754" t="inlineStr">
        <is>
          <t>JT.#178</t>
        </is>
      </c>
      <c r="B395" s="1754" t="inlineStr">
        <is>
          <t>3-1/2" TUBING 9.2 LB/FT ALLOY 28 TSH BL</t>
        </is>
      </c>
      <c r="C395" s="1755" t="n">
        <v>31</v>
      </c>
      <c r="D395" s="1756">
        <f>C395-0.301</f>
        <v/>
      </c>
      <c r="E395" s="1747">
        <f>E394+D395</f>
        <v/>
      </c>
      <c r="F395" s="1747">
        <f>F394-D394</f>
        <v/>
      </c>
      <c r="G395" s="1748">
        <f>G394-D395</f>
        <v/>
      </c>
      <c r="H395" s="1820" t="n"/>
      <c r="K395" s="1762" t="n"/>
    </row>
    <row r="396" ht="39.75" customFormat="1" customHeight="1" s="1735">
      <c r="A396" s="1754" t="inlineStr">
        <is>
          <t>JT.#179</t>
        </is>
      </c>
      <c r="B396" s="1754" t="inlineStr">
        <is>
          <t>3-1/2" TUBING 9.2 LB/FT ALLOY 28 TSH BL</t>
        </is>
      </c>
      <c r="C396" s="1755" t="n">
        <v>31</v>
      </c>
      <c r="D396" s="1756">
        <f>C396-0.301</f>
        <v/>
      </c>
      <c r="E396" s="1747">
        <f>E395+D396</f>
        <v/>
      </c>
      <c r="F396" s="1747">
        <f>F395-D395</f>
        <v/>
      </c>
      <c r="G396" s="1748">
        <f>G395-D396</f>
        <v/>
      </c>
      <c r="H396" s="1820" t="n"/>
      <c r="K396" s="1762" t="n"/>
    </row>
    <row r="397" ht="39.75" customFormat="1" customHeight="1" s="1735">
      <c r="A397" s="1754" t="inlineStr">
        <is>
          <t>JT.#180</t>
        </is>
      </c>
      <c r="B397" s="1754" t="inlineStr">
        <is>
          <t>3-1/2" TUBING 9.2 LB/FT ALLOY 28 TSH BL</t>
        </is>
      </c>
      <c r="C397" s="1755" t="n">
        <v>31</v>
      </c>
      <c r="D397" s="1756">
        <f>C397-0.301</f>
        <v/>
      </c>
      <c r="E397" s="1747">
        <f>E396+D397</f>
        <v/>
      </c>
      <c r="F397" s="1747">
        <f>F396-D396</f>
        <v/>
      </c>
      <c r="G397" s="1748">
        <f>G396-D397</f>
        <v/>
      </c>
      <c r="H397" s="1777" t="inlineStr">
        <is>
          <t xml:space="preserve">FILL UP STRING </t>
        </is>
      </c>
      <c r="K397" s="1762" t="n"/>
    </row>
    <row r="398" ht="39.75" customFormat="1" customHeight="1" s="1735">
      <c r="A398" s="1754" t="inlineStr">
        <is>
          <t>JT.#181</t>
        </is>
      </c>
      <c r="B398" s="1754" t="inlineStr">
        <is>
          <t>3-1/2" TUBING 9.2 LB/FT ALLOY 28 TSH BL</t>
        </is>
      </c>
      <c r="C398" s="1755" t="n">
        <v>31</v>
      </c>
      <c r="D398" s="1756">
        <f>C398-0.301</f>
        <v/>
      </c>
      <c r="E398" s="1747">
        <f>E397+D398</f>
        <v/>
      </c>
      <c r="F398" s="1747">
        <f>F397-D397</f>
        <v/>
      </c>
      <c r="G398" s="1748">
        <f>G397-D398</f>
        <v/>
      </c>
      <c r="H398" s="1796" t="n"/>
      <c r="K398" s="1762" t="n"/>
    </row>
    <row r="399" ht="39.75" customFormat="1" customHeight="1" s="1735">
      <c r="A399" s="1754" t="inlineStr">
        <is>
          <t>JT.#182</t>
        </is>
      </c>
      <c r="B399" s="1754" t="inlineStr">
        <is>
          <t>3-1/2" TUBING 9.2 LB/FT ALLOY 28 TSH BL</t>
        </is>
      </c>
      <c r="C399" s="1755" t="n">
        <v>31</v>
      </c>
      <c r="D399" s="1756">
        <f>C399-0.301</f>
        <v/>
      </c>
      <c r="E399" s="1747">
        <f>E398+D399</f>
        <v/>
      </c>
      <c r="F399" s="1747">
        <f>F398-D398</f>
        <v/>
      </c>
      <c r="G399" s="1748">
        <f>G398-D399</f>
        <v/>
      </c>
      <c r="H399" s="1820" t="n"/>
      <c r="K399" s="1762" t="n"/>
    </row>
    <row r="400" ht="39.75" customFormat="1" customHeight="1" s="1735">
      <c r="A400" s="1754" t="inlineStr">
        <is>
          <t>JT.#183</t>
        </is>
      </c>
      <c r="B400" s="1754" t="inlineStr">
        <is>
          <t>3-1/2" TUBING 9.2 LB/FT ALLOY 28 TSH BL</t>
        </is>
      </c>
      <c r="C400" s="1755" t="n">
        <v>31</v>
      </c>
      <c r="D400" s="1756">
        <f>C400-0.301</f>
        <v/>
      </c>
      <c r="E400" s="1747">
        <f>E399+D400</f>
        <v/>
      </c>
      <c r="F400" s="1747">
        <f>F399-D399</f>
        <v/>
      </c>
      <c r="G400" s="1748">
        <f>G399-D400</f>
        <v/>
      </c>
      <c r="H400" s="1796" t="n"/>
      <c r="K400" s="1762" t="n"/>
    </row>
    <row r="401" ht="39.75" customFormat="1" customHeight="1" s="1735">
      <c r="A401" s="1754" t="inlineStr">
        <is>
          <t>JT.#184</t>
        </is>
      </c>
      <c r="B401" s="1754" t="inlineStr">
        <is>
          <t>3-1/2" TUBING 9.2 LB/FT ALLOY 28 TSH BL</t>
        </is>
      </c>
      <c r="C401" s="1755" t="n">
        <v>31</v>
      </c>
      <c r="D401" s="1756">
        <f>C401-0.301</f>
        <v/>
      </c>
      <c r="E401" s="1747">
        <f>E400+D401</f>
        <v/>
      </c>
      <c r="F401" s="1747">
        <f>F400-D400</f>
        <v/>
      </c>
      <c r="G401" s="1748">
        <f>G400-D401</f>
        <v/>
      </c>
      <c r="H401" s="1820" t="n"/>
      <c r="K401" s="1762" t="n"/>
    </row>
    <row r="402" ht="39.75" customFormat="1" customHeight="1" s="1735">
      <c r="A402" s="1754" t="inlineStr">
        <is>
          <t>JT.#185</t>
        </is>
      </c>
      <c r="B402" s="1754" t="inlineStr">
        <is>
          <t>3-1/2" TUBING 9.2 LB/FT ALLOY 28 TSH BL</t>
        </is>
      </c>
      <c r="C402" s="1755" t="n">
        <v>31</v>
      </c>
      <c r="D402" s="1756">
        <f>C402-0.301</f>
        <v/>
      </c>
      <c r="E402" s="1747">
        <f>E401+D402</f>
        <v/>
      </c>
      <c r="F402" s="1747">
        <f>F401-D401</f>
        <v/>
      </c>
      <c r="G402" s="1748">
        <f>G401-D402</f>
        <v/>
      </c>
      <c r="H402" s="1820" t="n"/>
      <c r="K402" s="1762" t="n"/>
    </row>
    <row r="403" ht="39.75" customFormat="1" customHeight="1" s="1735">
      <c r="A403" s="1754" t="inlineStr">
        <is>
          <t>JT.#186</t>
        </is>
      </c>
      <c r="B403" s="1754" t="inlineStr">
        <is>
          <t>3-1/2" TUBING 9.2 LB/FT ALLOY 28 TSH BL</t>
        </is>
      </c>
      <c r="C403" s="1755" t="n">
        <v>31</v>
      </c>
      <c r="D403" s="1756">
        <f>C403-0.301</f>
        <v/>
      </c>
      <c r="E403" s="1747">
        <f>E402+D403</f>
        <v/>
      </c>
      <c r="F403" s="1747">
        <f>F402-D402</f>
        <v/>
      </c>
      <c r="G403" s="1748">
        <f>G402-D403</f>
        <v/>
      </c>
      <c r="H403" s="1820" t="n"/>
      <c r="K403" s="1762" t="n"/>
    </row>
    <row r="404" ht="39.75" customFormat="1" customHeight="1" s="1735">
      <c r="A404" s="1754" t="inlineStr">
        <is>
          <t>JT.#187</t>
        </is>
      </c>
      <c r="B404" s="1754" t="inlineStr">
        <is>
          <t>3-1/2" TUBING 9.2 LB/FT ALLOY 28 TSH BL</t>
        </is>
      </c>
      <c r="C404" s="1755" t="n">
        <v>31</v>
      </c>
      <c r="D404" s="1756">
        <f>C404-0.301</f>
        <v/>
      </c>
      <c r="E404" s="1747">
        <f>E403+D404</f>
        <v/>
      </c>
      <c r="F404" s="1747">
        <f>F403-D403</f>
        <v/>
      </c>
      <c r="G404" s="1748">
        <f>G403-D404</f>
        <v/>
      </c>
      <c r="H404" s="1820" t="n"/>
      <c r="K404" s="1762" t="n"/>
    </row>
    <row r="405" ht="39.75" customFormat="1" customHeight="1" s="1735">
      <c r="A405" s="1754" t="inlineStr">
        <is>
          <t>JT.#188</t>
        </is>
      </c>
      <c r="B405" s="1754" t="inlineStr">
        <is>
          <t>3-1/2" TUBING 9.2 LB/FT ALLOY 28 TSH BL</t>
        </is>
      </c>
      <c r="C405" s="1755" t="n">
        <v>31</v>
      </c>
      <c r="D405" s="1756">
        <f>C405-0.301</f>
        <v/>
      </c>
      <c r="E405" s="1747">
        <f>E404+D405</f>
        <v/>
      </c>
      <c r="F405" s="1747">
        <f>F404-D404</f>
        <v/>
      </c>
      <c r="G405" s="1748">
        <f>G404-D405</f>
        <v/>
      </c>
      <c r="H405" s="1820" t="n"/>
      <c r="K405" s="1762" t="n"/>
    </row>
    <row r="406" ht="39.75" customFormat="1" customHeight="1" s="1735">
      <c r="A406" s="1754" t="inlineStr">
        <is>
          <t>JT.#189</t>
        </is>
      </c>
      <c r="B406" s="1754" t="inlineStr">
        <is>
          <t>3-1/2" TUBING 9.2 LB/FT ALLOY 28 TSH BL</t>
        </is>
      </c>
      <c r="C406" s="1755" t="n">
        <v>31</v>
      </c>
      <c r="D406" s="1756">
        <f>C406-0.301</f>
        <v/>
      </c>
      <c r="E406" s="1747">
        <f>E405+D406</f>
        <v/>
      </c>
      <c r="F406" s="1747">
        <f>F405-D405</f>
        <v/>
      </c>
      <c r="G406" s="1748">
        <f>G405-D406</f>
        <v/>
      </c>
      <c r="H406" s="1777" t="inlineStr">
        <is>
          <t xml:space="preserve">FILL UP STRING </t>
        </is>
      </c>
      <c r="K406" s="1762" t="n"/>
    </row>
    <row r="407" ht="39.75" customFormat="1" customHeight="1" s="1735">
      <c r="A407" s="1754" t="inlineStr">
        <is>
          <t>JT.#190</t>
        </is>
      </c>
      <c r="B407" s="1754" t="inlineStr">
        <is>
          <t>3-1/2" TUBING 9.2 LB/FT ALLOY 28 TSH BL</t>
        </is>
      </c>
      <c r="C407" s="1755" t="n">
        <v>31</v>
      </c>
      <c r="D407" s="1756">
        <f>C407-0.301</f>
        <v/>
      </c>
      <c r="E407" s="1747">
        <f>E406+D407</f>
        <v/>
      </c>
      <c r="F407" s="1747">
        <f>F406-D406</f>
        <v/>
      </c>
      <c r="G407" s="1748">
        <f>G406-D407</f>
        <v/>
      </c>
      <c r="H407" s="1760" t="inlineStr">
        <is>
          <t>.</t>
        </is>
      </c>
      <c r="K407" s="1762" t="n"/>
    </row>
    <row r="408" ht="39.75" customFormat="1" customHeight="1" s="1735">
      <c r="A408" s="1754" t="inlineStr">
        <is>
          <t>JT.#191</t>
        </is>
      </c>
      <c r="B408" s="1754" t="inlineStr">
        <is>
          <t>3-1/2" TUBING 9.2 LB/FT ALLOY 28 TSH BL</t>
        </is>
      </c>
      <c r="C408" s="1755" t="n">
        <v>31</v>
      </c>
      <c r="D408" s="1756">
        <f>C408-0.301</f>
        <v/>
      </c>
      <c r="E408" s="1747">
        <f>E407+D408</f>
        <v/>
      </c>
      <c r="F408" s="1747">
        <f>F407-D407</f>
        <v/>
      </c>
      <c r="G408" s="1748">
        <f>G407-D408</f>
        <v/>
      </c>
      <c r="H408" s="1796" t="n"/>
      <c r="K408" s="1762" t="n"/>
    </row>
    <row r="409" ht="129" customFormat="1" customHeight="1" s="1735">
      <c r="A409" s="1754" t="inlineStr">
        <is>
          <t>JT.#192</t>
        </is>
      </c>
      <c r="B409" s="1754" t="inlineStr">
        <is>
          <t>3-1/2" TUBING 9.2 LB/FT ALLOY 28 TSH BL</t>
        </is>
      </c>
      <c r="C409" s="1755" t="n">
        <v>31</v>
      </c>
      <c r="D409" s="1756">
        <f>C409-0.301</f>
        <v/>
      </c>
      <c r="E409" s="1747">
        <f>E408+D409</f>
        <v/>
      </c>
      <c r="F409" s="1747">
        <f>F408-D408</f>
        <v/>
      </c>
      <c r="G409" s="1748">
        <f>G408-D409</f>
        <v/>
      </c>
      <c r="H409" s="1825" t="n"/>
    </row>
    <row r="410" ht="199.5" customFormat="1" customHeight="1" s="1735">
      <c r="A410" s="1836" t="inlineStr">
        <is>
          <t>D1</t>
        </is>
      </c>
      <c r="B410" s="1837" t="inlineStr">
        <is>
          <t>UPPER CONN. 3-1/2" VAM TOP BOX 9.2 PPF SN 28 110 KSI
DESCRIPTION: 5 FEET XOVER
SAP: 130005011340
SUPPLIER: TENARIS
LOWER CONN. 3-1/2" TSH BLUE PIN 9.2 PPF SN 28 110 KSI</t>
        </is>
      </c>
      <c r="C410" s="1838" t="n">
        <v>5.2</v>
      </c>
      <c r="D410" s="1788">
        <f>C410</f>
        <v/>
      </c>
      <c r="E410" s="1747">
        <f>E409+D410</f>
        <v/>
      </c>
      <c r="F410" s="1747">
        <f>F409-D409</f>
        <v/>
      </c>
      <c r="G410" s="1748">
        <f>G409-D410</f>
        <v/>
      </c>
      <c r="H410" s="1839" t="n"/>
    </row>
    <row r="411" ht="222" customFormat="1" customHeight="1" s="1735">
      <c r="A411" s="1766" t="n"/>
      <c r="B411" s="1837" t="inlineStr">
        <is>
          <t>UPPER CONN. 3-1/2" SENTINEL PRIME BOX 9.2 PPF TX28-110 KSI
DESCRIPTION: 5 FEET XOVER
SAP: 130013006385
SUPPLIER: TBX
LOWER CONN. 3-1/2" VAM TOP PIN 9.2 PPF TX28-110 KSI</t>
        </is>
      </c>
      <c r="C411" s="1838" t="n">
        <v>4.96</v>
      </c>
      <c r="D411" s="1788">
        <f>C411</f>
        <v/>
      </c>
      <c r="E411" s="1747">
        <f>E410+D411</f>
        <v/>
      </c>
      <c r="F411" s="1747">
        <f>F410-D410</f>
        <v/>
      </c>
      <c r="G411" s="1748">
        <f>G410-D411</f>
        <v/>
      </c>
      <c r="H411" s="1839" t="n"/>
    </row>
    <row r="412" ht="194.25" customFormat="1" customHeight="1" s="1735">
      <c r="A412" s="1766" t="n"/>
      <c r="B412" s="1837"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838" t="n">
        <v>8.69</v>
      </c>
      <c r="D412" s="1788">
        <f>C412</f>
        <v/>
      </c>
      <c r="E412" s="1747">
        <f>E411+D412</f>
        <v/>
      </c>
      <c r="F412" s="1747">
        <f>F411-D411</f>
        <v/>
      </c>
      <c r="G412" s="1748">
        <f>G411-D412</f>
        <v/>
      </c>
      <c r="H412" s="1799" t="n"/>
    </row>
    <row r="413" ht="163.5" customFormat="1" customHeight="1" s="1735">
      <c r="A413" s="1766" t="n"/>
      <c r="B413" s="1837" t="inlineStr">
        <is>
          <t>UPPER CONN. 3-1/2" VAM TOP BOX 9.2 PPF TX28- 110 KSI
DESCRIPTION: 5 FEET XOVER
SAP: 130013006383
SUPPLIER: TBX
LOWER CONN -3-1/2" SENTINEL PRIME PIN 9.2 PPF TX28-110 KSI</t>
        </is>
      </c>
      <c r="C413" s="1838" t="n">
        <v>4.85</v>
      </c>
      <c r="D413" s="1788">
        <f>C413</f>
        <v/>
      </c>
      <c r="E413" s="1747">
        <f>E412+D413</f>
        <v/>
      </c>
      <c r="F413" s="1747">
        <f>F412-D412</f>
        <v/>
      </c>
      <c r="G413" s="1748">
        <f>G412-D413</f>
        <v/>
      </c>
      <c r="H413" s="1839" t="n"/>
    </row>
    <row r="414" ht="39.75" customFormat="1" customHeight="1" s="1735">
      <c r="A414" s="1440" t="n"/>
      <c r="B414" s="1837" t="inlineStr">
        <is>
          <t>UPPER CONN. 3-1/2" TSH BLUE BOX 9.2 PPF SN 28 110 KSI
DESCRIPTION: 10 FEET XOVER
SAP: 130005012487
SUPPLIER: TENARIS
LOWER CONN. 3-1/2" VAM TOP PIN 9.2 PPF SN 28 110 KSI</t>
        </is>
      </c>
      <c r="C414" s="1838" t="n">
        <v>9.949999999999999</v>
      </c>
      <c r="D414" s="1756">
        <f>C414-0.301</f>
        <v/>
      </c>
      <c r="E414" s="1747">
        <f>E413+D414</f>
        <v/>
      </c>
      <c r="F414" s="1747">
        <f>F413-D413</f>
        <v/>
      </c>
      <c r="G414" s="1748">
        <f>G413-D414</f>
        <v/>
      </c>
      <c r="H414" s="1840" t="n"/>
    </row>
    <row r="415" ht="39.75" customFormat="1" customHeight="1" s="1735">
      <c r="A415" s="1754" t="inlineStr">
        <is>
          <t>JT.#193</t>
        </is>
      </c>
      <c r="B415" s="1754" t="inlineStr">
        <is>
          <t>3-1/2" TUBING 9.2 LB/FT ALLOY 28 TSH BL</t>
        </is>
      </c>
      <c r="C415" s="1755" t="n">
        <v>31</v>
      </c>
      <c r="D415" s="1756">
        <f>C415-0.301</f>
        <v/>
      </c>
      <c r="E415" s="1747">
        <f>E414+D415</f>
        <v/>
      </c>
      <c r="F415" s="1747">
        <f>F414-D414</f>
        <v/>
      </c>
      <c r="G415" s="1748">
        <f>G414-D415</f>
        <v/>
      </c>
      <c r="H415" s="1840" t="n"/>
    </row>
    <row r="416" ht="39.75" customFormat="1" customHeight="1" s="1735">
      <c r="A416" s="1754" t="inlineStr">
        <is>
          <t>JT.#194</t>
        </is>
      </c>
      <c r="B416" s="1754" t="inlineStr">
        <is>
          <t>3-1/2" TUBING 9.2 LB/FT ALLOY 28 TSH BL</t>
        </is>
      </c>
      <c r="C416" s="1755" t="n">
        <v>31</v>
      </c>
      <c r="D416" s="1756">
        <f>C416-0.301</f>
        <v/>
      </c>
      <c r="E416" s="1747">
        <f>E415+D416</f>
        <v/>
      </c>
      <c r="F416" s="1747">
        <f>F415-D415</f>
        <v/>
      </c>
      <c r="G416" s="1748">
        <f>G415-D416</f>
        <v/>
      </c>
      <c r="H416" s="1840" t="n"/>
    </row>
    <row r="417" ht="39.75" customFormat="1" customHeight="1" s="1735">
      <c r="A417" s="1754" t="inlineStr">
        <is>
          <t>JT.#195</t>
        </is>
      </c>
      <c r="B417" s="1754" t="inlineStr">
        <is>
          <t>3-1/2" TUBING 9.2 LB/FT ALLOY 28 TSH BL</t>
        </is>
      </c>
      <c r="C417" s="1755" t="n">
        <v>31</v>
      </c>
      <c r="D417" s="1756">
        <f>C417-0.301</f>
        <v/>
      </c>
      <c r="E417" s="1747">
        <f>E416+D417</f>
        <v/>
      </c>
      <c r="F417" s="1747">
        <f>F416-D416</f>
        <v/>
      </c>
      <c r="G417" s="1748">
        <f>G416-D417</f>
        <v/>
      </c>
      <c r="H417" s="1840" t="n"/>
    </row>
    <row r="418" ht="39" customFormat="1" customHeight="1" s="1796">
      <c r="A418" s="1754" t="inlineStr">
        <is>
          <t>JT.#196</t>
        </is>
      </c>
      <c r="B418" s="1754" t="inlineStr">
        <is>
          <t>3-1/2" TUBING 9.2 LB/FT ALLOY 28 TSH BL</t>
        </is>
      </c>
      <c r="C418" s="1755" t="n">
        <v>31</v>
      </c>
      <c r="D418" s="1756">
        <f>C418-0.301</f>
        <v/>
      </c>
      <c r="E418" s="1747">
        <f>E417+D418</f>
        <v/>
      </c>
      <c r="F418" s="1747">
        <f>F417-D417</f>
        <v/>
      </c>
      <c r="G418" s="1748">
        <f>G417-D418</f>
        <v/>
      </c>
      <c r="H418" s="1777" t="inlineStr">
        <is>
          <t xml:space="preserve">FILL UP STRING </t>
        </is>
      </c>
    </row>
    <row r="419" ht="59.25" customFormat="1" customHeight="1" s="1735">
      <c r="A419" s="1754" t="inlineStr">
        <is>
          <t>JT.#197</t>
        </is>
      </c>
      <c r="B419" s="1754" t="inlineStr">
        <is>
          <t>3-1/2" TUBING 9.2 LB/FT ALLOY 28 TSH BL</t>
        </is>
      </c>
      <c r="C419" s="1755" t="n">
        <v>31</v>
      </c>
      <c r="D419" s="1797">
        <f>C419-0.301</f>
        <v/>
      </c>
      <c r="E419" s="1747">
        <f>E418+D419</f>
        <v/>
      </c>
      <c r="F419" s="1747">
        <f>F418-D418</f>
        <v/>
      </c>
      <c r="G419" s="1748">
        <f>G418-D419</f>
        <v/>
      </c>
      <c r="H419" s="1825" t="n"/>
    </row>
    <row r="420" ht="60.75" customFormat="1" customHeight="1" s="1735">
      <c r="A420" s="1754" t="inlineStr">
        <is>
          <t>JT.#198</t>
        </is>
      </c>
      <c r="B420" s="1754" t="inlineStr">
        <is>
          <t>3-1/2" TUBING 9.2 LB/FT ALLOY 28 TSH BL</t>
        </is>
      </c>
      <c r="C420" s="1755" t="n">
        <v>31</v>
      </c>
      <c r="D420" s="1788">
        <f>C420</f>
        <v/>
      </c>
      <c r="E420" s="1747">
        <f>E419+D420</f>
        <v/>
      </c>
      <c r="F420" s="1747">
        <f>F419-D419</f>
        <v/>
      </c>
      <c r="G420" s="1748">
        <f>G419-D420</f>
        <v/>
      </c>
      <c r="H420" s="1841" t="n"/>
    </row>
    <row r="421" ht="125.25" customFormat="1" customHeight="1" s="1735">
      <c r="A421" s="1754" t="inlineStr">
        <is>
          <t>JT.#199</t>
        </is>
      </c>
      <c r="B421" s="1754" t="inlineStr">
        <is>
          <t>3-1/2" TUBING 9.2 LB/FT ALLOY 28 TSH BL</t>
        </is>
      </c>
      <c r="C421" s="1755" t="n">
        <v>31</v>
      </c>
      <c r="D421" s="1800">
        <f>C421</f>
        <v/>
      </c>
      <c r="E421" s="1747">
        <f>E420+D421</f>
        <v/>
      </c>
      <c r="F421" s="1747">
        <f>F420-D420</f>
        <v/>
      </c>
      <c r="G421" s="1748">
        <f>G420-D421</f>
        <v/>
      </c>
      <c r="H421" s="1842" t="n"/>
    </row>
    <row r="422" ht="39.75" customFormat="1" customHeight="1" s="1735">
      <c r="A422" s="1754" t="inlineStr">
        <is>
          <t>JT.#200</t>
        </is>
      </c>
      <c r="B422" s="1754" t="inlineStr">
        <is>
          <t>3-1/2" TUBING 9.2 LB/FT ALLOY 28 TSH BL</t>
        </is>
      </c>
      <c r="C422" s="1755" t="n">
        <v>31</v>
      </c>
      <c r="D422" s="1773">
        <f>C422</f>
        <v/>
      </c>
      <c r="E422" s="1747">
        <f>E421+D422</f>
        <v/>
      </c>
      <c r="F422" s="1747">
        <f>F421-D421</f>
        <v/>
      </c>
      <c r="G422" s="1748">
        <f>G421-D422</f>
        <v/>
      </c>
      <c r="H422" s="1843" t="n"/>
    </row>
    <row r="423" ht="39.75" customFormat="1" customHeight="1" s="1796">
      <c r="A423" s="1754" t="inlineStr">
        <is>
          <t>JT.#201</t>
        </is>
      </c>
      <c r="B423" s="1754" t="inlineStr">
        <is>
          <t>3-1/2" TUBING 9.2 LB/FT ALLOY 28 TSH BL</t>
        </is>
      </c>
      <c r="C423" s="1755" t="n">
        <v>31</v>
      </c>
      <c r="D423" s="1773">
        <f>C423</f>
        <v/>
      </c>
      <c r="E423" s="1747">
        <f>E422+D423</f>
        <v/>
      </c>
      <c r="F423" s="1747">
        <f>F422-D422</f>
        <v/>
      </c>
      <c r="G423" s="1748">
        <f>G422-D423</f>
        <v/>
      </c>
      <c r="H423" s="1843" t="n"/>
    </row>
    <row r="424" ht="26.8" customFormat="1" customHeight="1" s="1735">
      <c r="A424" s="1754" t="inlineStr">
        <is>
          <t>JT.#202</t>
        </is>
      </c>
      <c r="B424" s="1754" t="inlineStr">
        <is>
          <t>3-1/2" TUBING 9.2 LB/FT ALLOY 28 TSH BL</t>
        </is>
      </c>
      <c r="C424" s="1755" t="n">
        <v>31</v>
      </c>
      <c r="D424" s="1773">
        <f>C424</f>
        <v/>
      </c>
      <c r="E424" s="1747">
        <f>E423+D424</f>
        <v/>
      </c>
      <c r="F424" s="1747">
        <f>F423-D423</f>
        <v/>
      </c>
      <c r="G424" s="1748">
        <f>G423-D424</f>
        <v/>
      </c>
      <c r="H424" s="1843" t="n"/>
    </row>
    <row r="425" ht="26.8" customFormat="1" customHeight="1" s="1735">
      <c r="A425" s="1754" t="inlineStr">
        <is>
          <t>JT.#203</t>
        </is>
      </c>
      <c r="B425" s="1754" t="inlineStr">
        <is>
          <t>3-1/2" TUBING 9.2 LB/FT ALLOY 28 TSH BL</t>
        </is>
      </c>
      <c r="C425" s="1755" t="n">
        <v>31</v>
      </c>
      <c r="D425" s="1773">
        <f>C425</f>
        <v/>
      </c>
      <c r="E425" s="1747">
        <f>E424+D425</f>
        <v/>
      </c>
      <c r="F425" s="1747">
        <f>F424-D424</f>
        <v/>
      </c>
      <c r="G425" s="1748">
        <f>G424-D425</f>
        <v/>
      </c>
      <c r="H425" s="1843" t="n"/>
    </row>
    <row r="426" ht="26.8" customFormat="1" customHeight="1" s="1735">
      <c r="A426" s="1754" t="inlineStr">
        <is>
          <t>JT.#204</t>
        </is>
      </c>
      <c r="B426" s="1754" t="inlineStr">
        <is>
          <t>3-1/2" TUBING 9.2 LB/FT ALLOY 28 TSH BL</t>
        </is>
      </c>
      <c r="C426" s="1755" t="n">
        <v>31</v>
      </c>
      <c r="D426" s="1773">
        <f>C426</f>
        <v/>
      </c>
      <c r="E426" s="1747">
        <f>E425+D426</f>
        <v/>
      </c>
      <c r="F426" s="1747">
        <f>F425-D425</f>
        <v/>
      </c>
      <c r="G426" s="1748">
        <f>G425-D426</f>
        <v/>
      </c>
      <c r="H426" s="1843" t="n"/>
    </row>
    <row r="427" ht="26.8" customFormat="1" customHeight="1" s="1735">
      <c r="A427" s="1754" t="inlineStr">
        <is>
          <t>JT.#205</t>
        </is>
      </c>
      <c r="B427" s="1754" t="inlineStr">
        <is>
          <t>3-1/2" TUBING 9.2 LB/FT ALLOY 28 TSH BL</t>
        </is>
      </c>
      <c r="C427" s="1755" t="n">
        <v>31</v>
      </c>
      <c r="D427" s="1773">
        <f>C427</f>
        <v/>
      </c>
      <c r="E427" s="1747">
        <f>E426+D427</f>
        <v/>
      </c>
      <c r="F427" s="1747">
        <f>F426-D426</f>
        <v/>
      </c>
      <c r="G427" s="1748">
        <f>G426-D427</f>
        <v/>
      </c>
      <c r="H427" s="1843" t="n"/>
    </row>
    <row r="428" ht="77.25" customHeight="1" s="1158">
      <c r="A428" s="1754" t="inlineStr">
        <is>
          <t>JT.#206</t>
        </is>
      </c>
      <c r="B428" s="1754" t="inlineStr">
        <is>
          <t>3-1/2" TUBING 9.2 LB/FT ALLOY 28 TSH BL</t>
        </is>
      </c>
      <c r="C428" s="1755" t="n">
        <v>31</v>
      </c>
      <c r="D428" s="1773">
        <f>C428</f>
        <v/>
      </c>
      <c r="E428" s="1747">
        <f>E427+D428</f>
        <v/>
      </c>
      <c r="F428" s="1747">
        <f>F427-D427</f>
        <v/>
      </c>
      <c r="G428" s="1748">
        <f>G427-D428</f>
        <v/>
      </c>
      <c r="H428" s="1843" t="n"/>
    </row>
    <row r="429" ht="26.8" customHeight="1" s="1158">
      <c r="A429" s="1754" t="inlineStr">
        <is>
          <t>JT.#207</t>
        </is>
      </c>
      <c r="B429" s="1754" t="inlineStr">
        <is>
          <t>3-1/2" TUBING 9.2 LB/FT ALLOY 28 TSH BL</t>
        </is>
      </c>
      <c r="C429" s="1755" t="n">
        <v>31</v>
      </c>
      <c r="D429" s="1773">
        <f>C429</f>
        <v/>
      </c>
      <c r="E429" s="1747">
        <f>E428+D429</f>
        <v/>
      </c>
      <c r="F429" s="1747">
        <f>F428-D428</f>
        <v/>
      </c>
      <c r="G429" s="1748">
        <f>G428-D429</f>
        <v/>
      </c>
      <c r="H429" s="1843" t="n"/>
    </row>
    <row r="430" ht="105.95" customHeight="1" s="1158">
      <c r="A430" s="1844" t="inlineStr">
        <is>
          <t>D2</t>
        </is>
      </c>
      <c r="B430" s="1845" t="inlineStr">
        <is>
          <t>UPPER CONN. 3-1/2" VAM TOP BOX 9.2 PPF SN 28 110 KSI
DESCRIPTION: 5 FEET XOVER
SAP: 130005011340
SUPPLIER: TENARIS
LOWER CONN. 3-1/2" TSH BLUE PIN 9.2 PPF SN 28 110 KSI</t>
        </is>
      </c>
      <c r="C430" s="1846" t="n">
        <v>5.18</v>
      </c>
      <c r="D430" s="1773">
        <f>C430</f>
        <v/>
      </c>
      <c r="E430" s="1747">
        <f>E429+D430</f>
        <v/>
      </c>
      <c r="F430" s="1747">
        <f>F429-D429</f>
        <v/>
      </c>
      <c r="G430" s="1748">
        <f>G429-D430</f>
        <v/>
      </c>
      <c r="H430" s="1843" t="n"/>
    </row>
    <row r="431" ht="126.85" customHeight="1" s="1158">
      <c r="A431" s="1766" t="n"/>
      <c r="B431" s="1845" t="inlineStr">
        <is>
          <t>UPPER CONN. 3-1/2" SENTINEL PRIME BOX 9.2 PPF TX28- 110 KSI
DESCRIPTION: 5 FEET XOVER
SAP: 130013006385
SUPPLIER: TBX
LOWER CONN. 3-1/2" VAM TOP PIN 9.2 PPF TX28-110 KSI</t>
        </is>
      </c>
      <c r="C431" s="1846" t="n">
        <v>4.97</v>
      </c>
      <c r="D431" s="1773">
        <f>C431</f>
        <v/>
      </c>
      <c r="E431" s="1747">
        <f>E430+D431</f>
        <v/>
      </c>
      <c r="F431" s="1747">
        <f>F430-D430</f>
        <v/>
      </c>
      <c r="G431" s="1748">
        <f>G430-D431</f>
        <v/>
      </c>
      <c r="H431" s="1843" t="n"/>
    </row>
    <row r="432" ht="210.4" customHeight="1" s="1158">
      <c r="A432" s="1766" t="n"/>
      <c r="B432" s="184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846" t="n">
        <v>8.69</v>
      </c>
      <c r="D432" s="1773">
        <f>C432</f>
        <v/>
      </c>
      <c r="E432" s="1747">
        <f>E431+D432</f>
        <v/>
      </c>
      <c r="F432" s="1747">
        <f>F431-D431</f>
        <v/>
      </c>
      <c r="G432" s="1748">
        <f>G431-D432</f>
        <v/>
      </c>
      <c r="H432" s="1843" t="n"/>
    </row>
    <row r="433" ht="105.95" customHeight="1" s="1158">
      <c r="A433" s="1766" t="n"/>
      <c r="B433" s="1845" t="inlineStr">
        <is>
          <t>UPPER CONN. 3-1/2" VAM TOP BOX 9.2 PPF TX28- 110 KSI
DESCRIPTION: 5 FEET XOVER
SAP: 130013006383
SUPPLIER: TBX
LOWER CONN -3-1/2" SENTINEL PRIME PIN 9.2 PPF TX28-110 KSI</t>
        </is>
      </c>
      <c r="C433" s="1846" t="n">
        <v>4.8</v>
      </c>
      <c r="D433" s="1773">
        <f>C433</f>
        <v/>
      </c>
      <c r="E433" s="1747">
        <f>E432+D433</f>
        <v/>
      </c>
      <c r="F433" s="1747">
        <f>F432-D432</f>
        <v/>
      </c>
      <c r="G433" s="1748">
        <f>G432-D433</f>
        <v/>
      </c>
      <c r="H433" s="1843" t="n"/>
    </row>
    <row r="434" ht="105.95" customHeight="1" s="1158">
      <c r="A434" s="1440" t="n"/>
      <c r="B434" s="1845" t="inlineStr">
        <is>
          <t>UPPER CONN. 3-1/2" TSH BLUE BOX 9.2 PPF SN 28 110 KSI
DESCRIPTION: 10 FEET XOVER
SAP: 130005012487
SUPPLIER: TENARIS
LOWER CONN. 3-1/2" VAM TOP PIN 9.2 PPF SN 28 110 KSI</t>
        </is>
      </c>
      <c r="C434" s="1846" t="n">
        <v>9.949999999999999</v>
      </c>
      <c r="D434" s="1773">
        <f>C434</f>
        <v/>
      </c>
      <c r="E434" s="1747">
        <f>E433+D434</f>
        <v/>
      </c>
      <c r="F434" s="1747">
        <f>F433-D433</f>
        <v/>
      </c>
      <c r="G434" s="1748">
        <f>G433-D434</f>
        <v/>
      </c>
      <c r="H434" s="1843" t="n"/>
    </row>
    <row r="435" ht="26.8" customHeight="1" s="1158">
      <c r="A435" s="1754" t="inlineStr">
        <is>
          <t>JT.#208</t>
        </is>
      </c>
      <c r="B435" s="1754" t="inlineStr">
        <is>
          <t>3-1/2" TUBING 9.2 LB/FT ALLOY 28 TSH BL</t>
        </is>
      </c>
      <c r="C435" s="1755" t="n">
        <v>31</v>
      </c>
      <c r="D435" s="1773">
        <f>C435</f>
        <v/>
      </c>
      <c r="E435" s="1747">
        <f>E434+D435</f>
        <v/>
      </c>
      <c r="F435" s="1747">
        <f>F434-D434</f>
        <v/>
      </c>
      <c r="G435" s="1748">
        <f>G434-D435</f>
        <v/>
      </c>
      <c r="H435" s="1843" t="n"/>
    </row>
    <row r="436" ht="26.8" customHeight="1" s="1158">
      <c r="A436" s="1754" t="inlineStr">
        <is>
          <t>JT.#209</t>
        </is>
      </c>
      <c r="B436" s="1754" t="inlineStr">
        <is>
          <t>3-1/2" TUBING 9.2 LB/FT ALLOY 28 TSH BL</t>
        </is>
      </c>
      <c r="C436" s="1755" t="n">
        <v>31</v>
      </c>
      <c r="D436" s="1773">
        <f>C436</f>
        <v/>
      </c>
      <c r="E436" s="1747">
        <f>E435+D436</f>
        <v/>
      </c>
      <c r="F436" s="1747">
        <f>F435-D435</f>
        <v/>
      </c>
      <c r="G436" s="1748">
        <f>G435-D436</f>
        <v/>
      </c>
      <c r="H436" s="1843" t="n"/>
    </row>
    <row r="437" ht="26.8" customHeight="1" s="1158">
      <c r="A437" s="1754" t="inlineStr">
        <is>
          <t>JT.#210</t>
        </is>
      </c>
      <c r="B437" s="1754" t="inlineStr">
        <is>
          <t>3-1/2" TUBING 9.2 LB/FT ALLOY 28 TSH BL</t>
        </is>
      </c>
      <c r="C437" s="1755" t="n">
        <v>31</v>
      </c>
      <c r="D437" s="1773">
        <f>C437</f>
        <v/>
      </c>
      <c r="E437" s="1747">
        <f>E436+D437</f>
        <v/>
      </c>
      <c r="F437" s="1747">
        <f>F436-D436</f>
        <v/>
      </c>
      <c r="G437" s="1748">
        <f>G436-D437</f>
        <v/>
      </c>
      <c r="H437" s="1843" t="n"/>
    </row>
    <row r="438" ht="26.8" customHeight="1" s="1158">
      <c r="A438" s="1754" t="inlineStr">
        <is>
          <t>JT.#211</t>
        </is>
      </c>
      <c r="B438" s="1754" t="inlineStr">
        <is>
          <t>3-1/2" TUBING 9.2 LB/FT ALLOY 28 TSH BL</t>
        </is>
      </c>
      <c r="C438" s="1755" t="n">
        <v>31</v>
      </c>
      <c r="D438" s="1773">
        <f>C438</f>
        <v/>
      </c>
      <c r="E438" s="1747">
        <f>E437+D438</f>
        <v/>
      </c>
      <c r="F438" s="1747">
        <f>F437-D437</f>
        <v/>
      </c>
      <c r="G438" s="1748">
        <f>G437-D438</f>
        <v/>
      </c>
      <c r="H438" s="1843" t="n"/>
    </row>
    <row r="439" ht="26.8" customHeight="1" s="1158">
      <c r="A439" s="1754" t="inlineStr">
        <is>
          <t>JT.#212</t>
        </is>
      </c>
      <c r="B439" s="1754" t="inlineStr">
        <is>
          <t>3-1/2" TUBING 9.2 LB/FT ALLOY 28 TSH BL</t>
        </is>
      </c>
      <c r="C439" s="1755" t="n">
        <v>31</v>
      </c>
      <c r="D439" s="1773">
        <f>C439</f>
        <v/>
      </c>
      <c r="E439" s="1747">
        <f>E438+D439</f>
        <v/>
      </c>
      <c r="F439" s="1747">
        <f>F438-D438</f>
        <v/>
      </c>
      <c r="G439" s="1748">
        <f>G438-D439</f>
        <v/>
      </c>
      <c r="H439" s="1843" t="n"/>
    </row>
    <row r="440" ht="26.8" customHeight="1" s="1158">
      <c r="A440" s="1754" t="inlineStr">
        <is>
          <t>JT.#213</t>
        </is>
      </c>
      <c r="B440" s="1754" t="inlineStr">
        <is>
          <t>3-1/2" TUBING 9.2 LB/FT ALLOY 28 TSH BL</t>
        </is>
      </c>
      <c r="C440" s="1755" t="n">
        <v>31</v>
      </c>
      <c r="D440" s="1773">
        <f>C440</f>
        <v/>
      </c>
      <c r="E440" s="1747">
        <f>E439+D440</f>
        <v/>
      </c>
      <c r="F440" s="1747">
        <f>F439-D439</f>
        <v/>
      </c>
      <c r="G440" s="1748">
        <f>G439-D440</f>
        <v/>
      </c>
      <c r="H440" s="1843" t="n"/>
    </row>
    <row r="441" ht="26.8" customHeight="1" s="1158">
      <c r="A441" s="1754" t="inlineStr">
        <is>
          <t>JT.#214</t>
        </is>
      </c>
      <c r="B441" s="1754" t="inlineStr">
        <is>
          <t>3-1/2" TUBING 9.2 LB/FT ALLOY 28 TSH BL</t>
        </is>
      </c>
      <c r="C441" s="1755" t="n">
        <v>31</v>
      </c>
      <c r="D441" s="1773">
        <f>C441</f>
        <v/>
      </c>
      <c r="E441" s="1747">
        <f>E440+D441</f>
        <v/>
      </c>
      <c r="F441" s="1747">
        <f>F440-D440</f>
        <v/>
      </c>
      <c r="G441" s="1748">
        <f>G440-D441</f>
        <v/>
      </c>
      <c r="H441" s="1843" t="n"/>
    </row>
    <row r="442" ht="26.8" customHeight="1" s="1158">
      <c r="A442" s="1754" t="inlineStr">
        <is>
          <t>JT.#215</t>
        </is>
      </c>
      <c r="B442" s="1754" t="inlineStr">
        <is>
          <t>3-1/2" TUBING 9.2 LB/FT ALLOY 28 TSH BL</t>
        </is>
      </c>
      <c r="C442" s="1755" t="n">
        <v>31</v>
      </c>
      <c r="D442" s="1773">
        <f>C442</f>
        <v/>
      </c>
      <c r="E442" s="1747">
        <f>E441+D442</f>
        <v/>
      </c>
      <c r="F442" s="1747">
        <f>F441-D441</f>
        <v/>
      </c>
      <c r="G442" s="1748">
        <f>G441-D442</f>
        <v/>
      </c>
      <c r="H442" s="1843" t="n"/>
    </row>
    <row r="443" ht="26.8" customHeight="1" s="1158">
      <c r="A443" s="1754" t="inlineStr">
        <is>
          <t>JT.#216</t>
        </is>
      </c>
      <c r="B443" s="1754" t="inlineStr">
        <is>
          <t>3-1/2" TUBING 9.2 LB/FT ALLOY 28 TSH BL</t>
        </is>
      </c>
      <c r="C443" s="1755" t="n">
        <v>31</v>
      </c>
      <c r="D443" s="1773">
        <f>C443</f>
        <v/>
      </c>
      <c r="E443" s="1747">
        <f>E442+D443</f>
        <v/>
      </c>
      <c r="F443" s="1747">
        <f>F442-D442</f>
        <v/>
      </c>
      <c r="G443" s="1748">
        <f>G442-D443</f>
        <v/>
      </c>
      <c r="H443" s="1843" t="n"/>
    </row>
    <row r="444" ht="26.8" customHeight="1" s="1158">
      <c r="A444" s="1754" t="inlineStr">
        <is>
          <t>JT.#217</t>
        </is>
      </c>
      <c r="B444" s="1754" t="inlineStr">
        <is>
          <t>3-1/2" TUBING 9.2 LB/FT ALLOY 28 TSH BL</t>
        </is>
      </c>
      <c r="C444" s="1755" t="n">
        <v>31</v>
      </c>
      <c r="D444" s="1773">
        <f>C444</f>
        <v/>
      </c>
      <c r="E444" s="1747">
        <f>E443+D444</f>
        <v/>
      </c>
      <c r="F444" s="1747">
        <f>F443-D443</f>
        <v/>
      </c>
      <c r="G444" s="1748">
        <f>G443-D444</f>
        <v/>
      </c>
      <c r="H444" s="1843" t="n"/>
    </row>
    <row r="445" ht="26.8" customHeight="1" s="1158">
      <c r="A445" s="1754" t="inlineStr">
        <is>
          <t>JT.#218</t>
        </is>
      </c>
      <c r="B445" s="1754" t="inlineStr">
        <is>
          <t>3-1/2" TUBING 9.2 LB/FT ALLOY 28 TSH BL</t>
        </is>
      </c>
      <c r="C445" s="1755" t="n">
        <v>31</v>
      </c>
      <c r="D445" s="1773">
        <f>C445</f>
        <v/>
      </c>
      <c r="E445" s="1747">
        <f>E444+D445</f>
        <v/>
      </c>
      <c r="F445" s="1747">
        <f>F444-D444</f>
        <v/>
      </c>
      <c r="G445" s="1748">
        <f>G444-D445</f>
        <v/>
      </c>
      <c r="H445" s="1843" t="n"/>
    </row>
    <row r="446" ht="26.8" customHeight="1" s="1158">
      <c r="A446" s="1754" t="inlineStr">
        <is>
          <t>JT.#219</t>
        </is>
      </c>
      <c r="B446" s="1754" t="inlineStr">
        <is>
          <t>3-1/2" TUBING 9.2 LB/FT ALLOY 28 TSH BL</t>
        </is>
      </c>
      <c r="C446" s="1755" t="n">
        <v>31</v>
      </c>
      <c r="D446" s="1773">
        <f>C446</f>
        <v/>
      </c>
      <c r="E446" s="1747">
        <f>E445+D446</f>
        <v/>
      </c>
      <c r="F446" s="1747">
        <f>F445-D445</f>
        <v/>
      </c>
      <c r="G446" s="1748">
        <f>G445-D446</f>
        <v/>
      </c>
      <c r="H446" s="1843" t="n"/>
    </row>
    <row r="447" ht="26.8" customHeight="1" s="1158">
      <c r="A447" s="1754" t="inlineStr">
        <is>
          <t>JT.#220</t>
        </is>
      </c>
      <c r="B447" s="1754" t="inlineStr">
        <is>
          <t>3-1/2" TUBING 9.2 LB/FT ALLOY 28 TSH BL</t>
        </is>
      </c>
      <c r="C447" s="1755" t="n">
        <v>31</v>
      </c>
      <c r="D447" s="1773">
        <f>C447</f>
        <v/>
      </c>
      <c r="E447" s="1747">
        <f>E446+D447</f>
        <v/>
      </c>
      <c r="F447" s="1747">
        <f>F446-D446</f>
        <v/>
      </c>
      <c r="G447" s="1748">
        <f>G446-D447</f>
        <v/>
      </c>
      <c r="H447" s="1843" t="n"/>
    </row>
    <row r="448" ht="26.8" customHeight="1" s="1158">
      <c r="A448" s="1754" t="inlineStr">
        <is>
          <t>JT.#221</t>
        </is>
      </c>
      <c r="B448" s="1754" t="inlineStr">
        <is>
          <t>3-1/2" TUBING 9.2 LB/FT ALLOY 28 TSH BL</t>
        </is>
      </c>
      <c r="C448" s="1755" t="n">
        <v>31</v>
      </c>
      <c r="D448" s="1773">
        <f>C448</f>
        <v/>
      </c>
      <c r="E448" s="1747">
        <f>E447+D448</f>
        <v/>
      </c>
      <c r="F448" s="1747">
        <f>F447-D447</f>
        <v/>
      </c>
      <c r="G448" s="1748">
        <f>G447-D448</f>
        <v/>
      </c>
      <c r="H448" s="1843" t="n"/>
    </row>
    <row r="449" ht="26.8" customHeight="1" s="1158">
      <c r="A449" s="1754" t="inlineStr">
        <is>
          <t>JT.#222</t>
        </is>
      </c>
      <c r="B449" s="1754" t="inlineStr">
        <is>
          <t>3-1/2" TUBING 9.2 LB/FT ALLOY 28 TSH BL</t>
        </is>
      </c>
      <c r="C449" s="1755" t="n">
        <v>31</v>
      </c>
      <c r="D449" s="1773">
        <f>C449</f>
        <v/>
      </c>
      <c r="E449" s="1747">
        <f>E448+D449</f>
        <v/>
      </c>
      <c r="F449" s="1747">
        <f>F448-D448</f>
        <v/>
      </c>
      <c r="G449" s="1748">
        <f>G448-D449</f>
        <v/>
      </c>
      <c r="H449" s="1843" t="n"/>
    </row>
    <row r="450" ht="26.8" customHeight="1" s="1158">
      <c r="A450" s="1754" t="inlineStr">
        <is>
          <t>JT.#223</t>
        </is>
      </c>
      <c r="B450" s="1754" t="inlineStr">
        <is>
          <t>3-1/2" TUBING 9.2 LB/FT ALLOY 28 TSH BL</t>
        </is>
      </c>
      <c r="C450" s="1755" t="n">
        <v>31</v>
      </c>
      <c r="D450" s="1773">
        <f>C450</f>
        <v/>
      </c>
      <c r="E450" s="1747">
        <f>E449+D450</f>
        <v/>
      </c>
      <c r="F450" s="1747">
        <f>F449-D449</f>
        <v/>
      </c>
      <c r="G450" s="1748">
        <f>G449-D450</f>
        <v/>
      </c>
      <c r="H450" s="1843" t="n"/>
    </row>
    <row r="451" ht="26.8" customHeight="1" s="1158">
      <c r="A451" s="1754" t="inlineStr">
        <is>
          <t>JT.#224</t>
        </is>
      </c>
      <c r="B451" s="1754" t="inlineStr">
        <is>
          <t>3-1/2" TUBING 9.2 LB/FT ALLOY 28 TSH BL</t>
        </is>
      </c>
      <c r="C451" s="1755" t="n">
        <v>31</v>
      </c>
      <c r="D451" s="1773">
        <f>C451</f>
        <v/>
      </c>
      <c r="E451" s="1747">
        <f>E450+D451</f>
        <v/>
      </c>
      <c r="F451" s="1747">
        <f>F450-D450</f>
        <v/>
      </c>
      <c r="G451" s="1748">
        <f>G450-D451</f>
        <v/>
      </c>
      <c r="H451" s="1843" t="n"/>
    </row>
    <row r="452" ht="26.8" customHeight="1" s="1158">
      <c r="A452" s="1754" t="inlineStr">
        <is>
          <t>JT.#225</t>
        </is>
      </c>
      <c r="B452" s="1754" t="inlineStr">
        <is>
          <t>3-1/2" TUBING 9.2 LB/FT ALLOY 28 TSH BL</t>
        </is>
      </c>
      <c r="C452" s="1755" t="n">
        <v>31</v>
      </c>
      <c r="D452" s="1773">
        <f>C452</f>
        <v/>
      </c>
      <c r="E452" s="1747">
        <f>E451+D452</f>
        <v/>
      </c>
      <c r="F452" s="1747">
        <f>F451-D451</f>
        <v/>
      </c>
      <c r="G452" s="1748">
        <f>G451-D452</f>
        <v/>
      </c>
      <c r="H452" s="1843" t="n"/>
    </row>
    <row r="453" ht="26.8" customHeight="1" s="1158">
      <c r="A453" s="1754" t="inlineStr">
        <is>
          <t>JT.#226</t>
        </is>
      </c>
      <c r="B453" s="1754" t="inlineStr">
        <is>
          <t>3-1/2" TUBING 9.2 LB/FT ALLOY 28 TSH BL</t>
        </is>
      </c>
      <c r="C453" s="1755" t="n">
        <v>31</v>
      </c>
      <c r="D453" s="1773">
        <f>C453</f>
        <v/>
      </c>
      <c r="E453" s="1747">
        <f>E452+D453</f>
        <v/>
      </c>
      <c r="F453" s="1747">
        <f>F452-D452</f>
        <v/>
      </c>
      <c r="G453" s="1748">
        <f>G452-D453</f>
        <v/>
      </c>
      <c r="H453" s="1843" t="n"/>
    </row>
    <row r="454" ht="26.8" customHeight="1" s="1158">
      <c r="A454" s="1754" t="inlineStr">
        <is>
          <t>JT.#227</t>
        </is>
      </c>
      <c r="B454" s="1754" t="inlineStr">
        <is>
          <t>3-1/2" TUBING 9.2 LB/FT ALLOY 28 TSH BL</t>
        </is>
      </c>
      <c r="C454" s="1755" t="n">
        <v>31</v>
      </c>
      <c r="D454" s="1773">
        <f>C454</f>
        <v/>
      </c>
      <c r="E454" s="1747">
        <f>E453+D454</f>
        <v/>
      </c>
      <c r="F454" s="1747">
        <f>F453-D453</f>
        <v/>
      </c>
      <c r="G454" s="1748">
        <f>G453-D454</f>
        <v/>
      </c>
      <c r="H454" s="1843" t="n"/>
    </row>
    <row r="455" ht="26.8" customHeight="1" s="1158">
      <c r="A455" s="1754" t="inlineStr">
        <is>
          <t>JT.#228</t>
        </is>
      </c>
      <c r="B455" s="1754" t="inlineStr">
        <is>
          <t>3-1/2" TUBING 9.2 LB/FT ALLOY 28 TSH BL</t>
        </is>
      </c>
      <c r="C455" s="1755" t="n">
        <v>31</v>
      </c>
      <c r="D455" s="1773">
        <f>C455</f>
        <v/>
      </c>
      <c r="E455" s="1747">
        <f>E454+D455</f>
        <v/>
      </c>
      <c r="F455" s="1747">
        <f>F454-D454</f>
        <v/>
      </c>
      <c r="G455" s="1748">
        <f>G454-D455</f>
        <v/>
      </c>
      <c r="H455" s="1843" t="n"/>
    </row>
    <row r="456" ht="26.8" customHeight="1" s="1158">
      <c r="A456" s="1754" t="inlineStr">
        <is>
          <t>JT.#229</t>
        </is>
      </c>
      <c r="B456" s="1754" t="inlineStr">
        <is>
          <t>3-1/2" TUBING 9.2 LB/FT ALLOY 28 TSH BL</t>
        </is>
      </c>
      <c r="C456" s="1755" t="n">
        <v>31</v>
      </c>
      <c r="D456" s="1773">
        <f>C456</f>
        <v/>
      </c>
      <c r="E456" s="1747">
        <f>E455+D456</f>
        <v/>
      </c>
      <c r="F456" s="1747">
        <f>F455-D455</f>
        <v/>
      </c>
      <c r="G456" s="1748">
        <f>G455-D456</f>
        <v/>
      </c>
      <c r="H456" s="1843" t="n"/>
    </row>
    <row r="457" ht="26.8" customHeight="1" s="1158">
      <c r="A457" s="1754" t="inlineStr">
        <is>
          <t>JT.#230</t>
        </is>
      </c>
      <c r="B457" s="1754" t="inlineStr">
        <is>
          <t>3-1/2" TUBING 9.2 LB/FT ALLOY 28 TSH BL</t>
        </is>
      </c>
      <c r="C457" s="1755" t="n">
        <v>31</v>
      </c>
      <c r="D457" s="1773">
        <f>C457</f>
        <v/>
      </c>
      <c r="E457" s="1747">
        <f>E456+D457</f>
        <v/>
      </c>
      <c r="F457" s="1747">
        <f>F456-D456</f>
        <v/>
      </c>
      <c r="G457" s="1748">
        <f>G456-D457</f>
        <v/>
      </c>
      <c r="H457" s="1843" t="n"/>
    </row>
    <row r="458" ht="26.8" customHeight="1" s="1158">
      <c r="A458" s="1754" t="inlineStr">
        <is>
          <t>JT.#231</t>
        </is>
      </c>
      <c r="B458" s="1754" t="inlineStr">
        <is>
          <t>3-1/2" TUBING 9.2 LB/FT ALLOY 28 TSH BL</t>
        </is>
      </c>
      <c r="C458" s="1755" t="n">
        <v>31</v>
      </c>
      <c r="D458" s="1773">
        <f>C458</f>
        <v/>
      </c>
      <c r="E458" s="1747">
        <f>E457+D458</f>
        <v/>
      </c>
      <c r="F458" s="1747">
        <f>F457-D457</f>
        <v/>
      </c>
      <c r="G458" s="1748">
        <f>G457-D458</f>
        <v/>
      </c>
      <c r="H458" s="1843" t="n"/>
    </row>
    <row r="459" ht="26.8" customHeight="1" s="1158">
      <c r="A459" s="1754" t="inlineStr">
        <is>
          <t>JT.#232</t>
        </is>
      </c>
      <c r="B459" s="1754" t="inlineStr">
        <is>
          <t>3-1/2" TUBING 9.2 LB/FT ALLOY 28 TSH BL</t>
        </is>
      </c>
      <c r="C459" s="1755" t="n">
        <v>31</v>
      </c>
      <c r="D459" s="1773">
        <f>C459</f>
        <v/>
      </c>
      <c r="E459" s="1747">
        <f>E458+D459</f>
        <v/>
      </c>
      <c r="F459" s="1747">
        <f>F458-D458</f>
        <v/>
      </c>
      <c r="G459" s="1748">
        <f>G458-D459</f>
        <v/>
      </c>
      <c r="H459" s="1843" t="n"/>
    </row>
    <row r="460" ht="26.8" customHeight="1" s="1158">
      <c r="A460" s="1754" t="inlineStr">
        <is>
          <t>JT.#233</t>
        </is>
      </c>
      <c r="B460" s="1754" t="inlineStr">
        <is>
          <t>3-1/2" TUBING 9.2 LB/FT ALLOY 28 TSH BL</t>
        </is>
      </c>
      <c r="C460" s="1755" t="n">
        <v>31</v>
      </c>
      <c r="D460" s="1773">
        <f>C460</f>
        <v/>
      </c>
      <c r="E460" s="1747">
        <f>E459+D460</f>
        <v/>
      </c>
      <c r="F460" s="1747">
        <f>F459-D459</f>
        <v/>
      </c>
      <c r="G460" s="1748">
        <f>G459-D460</f>
        <v/>
      </c>
      <c r="H460" s="1843" t="n"/>
    </row>
    <row r="461" ht="26.8" customHeight="1" s="1158">
      <c r="A461" s="1754" t="inlineStr">
        <is>
          <t>JT.#234</t>
        </is>
      </c>
      <c r="B461" s="1754" t="inlineStr">
        <is>
          <t>3-1/2" TUBING 9.2 LB/FT ALLOY 28 TSH BL</t>
        </is>
      </c>
      <c r="C461" s="1755" t="n">
        <v>31</v>
      </c>
      <c r="D461" s="1773">
        <f>C461</f>
        <v/>
      </c>
      <c r="E461" s="1747">
        <f>E460+D461</f>
        <v/>
      </c>
      <c r="F461" s="1747">
        <f>F460-D460</f>
        <v/>
      </c>
      <c r="G461" s="1748">
        <f>G460-D461</f>
        <v/>
      </c>
      <c r="H461" s="1843" t="n"/>
    </row>
    <row r="462" ht="26.8" customHeight="1" s="1158">
      <c r="A462" s="1754" t="inlineStr">
        <is>
          <t>JT.#235</t>
        </is>
      </c>
      <c r="B462" s="1754" t="inlineStr">
        <is>
          <t>3-1/2" TUBING 9.2 LB/FT ALLOY 28 TSH BL</t>
        </is>
      </c>
      <c r="C462" s="1755" t="n">
        <v>31</v>
      </c>
      <c r="D462" s="1773">
        <f>C462</f>
        <v/>
      </c>
      <c r="E462" s="1747">
        <f>E461+D462</f>
        <v/>
      </c>
      <c r="F462" s="1747">
        <f>F461-D461</f>
        <v/>
      </c>
      <c r="G462" s="1748">
        <f>G461-D462</f>
        <v/>
      </c>
      <c r="H462" s="1843" t="n"/>
    </row>
    <row r="463" ht="105.95" customHeight="1" s="1158">
      <c r="A463" s="1847" t="inlineStr">
        <is>
          <t>D3</t>
        </is>
      </c>
      <c r="B463" s="1848" t="inlineStr">
        <is>
          <t>UPPER CONN. 3-1/2" VAM TOP BOX 9.2 PPF SN 28 110 KSI
DESCRIPTION: 5 FEET XOVER
SAP: 130005011340
SUPPLIER: TENARIS
LOWER CONN. 3-1/2" TSH BLUE PIN 9.2 PPF SN 28 110 KSI</t>
        </is>
      </c>
      <c r="C463" s="1849" t="n">
        <v>5.19</v>
      </c>
      <c r="D463" s="1773">
        <f>C463</f>
        <v/>
      </c>
      <c r="E463" s="1747">
        <f>E462+D463</f>
        <v/>
      </c>
      <c r="F463" s="1747">
        <f>F462-D462</f>
        <v/>
      </c>
      <c r="G463" s="1748">
        <f>G462-D463</f>
        <v/>
      </c>
      <c r="H463" s="1843" t="n"/>
    </row>
    <row r="464" ht="105.95" customHeight="1" s="1158">
      <c r="A464" s="1766" t="n"/>
      <c r="B464" s="1848" t="inlineStr">
        <is>
          <t>UPPER CONN. 3-1/2" SENTINEL PRIME BOX 9.2 PPF TX28-110 KSI
DESCRIPTION: 5 FEET XOVER
SAP: 130013006385
SUPPLIER: TBX
LOWER CONN. 3-1/2" VAM TOP PIN 9.2 PPF TX28-110 KSI</t>
        </is>
      </c>
      <c r="C464" s="1849" t="n">
        <v>4.96</v>
      </c>
      <c r="D464" s="1773">
        <f>C464</f>
        <v/>
      </c>
      <c r="E464" s="1747">
        <f>E463+D464</f>
        <v/>
      </c>
      <c r="F464" s="1747">
        <f>F463-D463</f>
        <v/>
      </c>
      <c r="G464" s="1748">
        <f>G463-D464</f>
        <v/>
      </c>
      <c r="H464" s="1843" t="n"/>
    </row>
    <row r="465" ht="210.4" customHeight="1" s="1158">
      <c r="A465" s="1766" t="n"/>
      <c r="B465" s="184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849" t="n">
        <v>8.69</v>
      </c>
      <c r="D465" s="1773">
        <f>C465</f>
        <v/>
      </c>
      <c r="E465" s="1747">
        <f>E464+D465</f>
        <v/>
      </c>
      <c r="F465" s="1747">
        <f>F464-D464</f>
        <v/>
      </c>
      <c r="G465" s="1748">
        <f>G464-D465</f>
        <v/>
      </c>
      <c r="H465" s="1843" t="n"/>
    </row>
    <row r="466" ht="105.95" customHeight="1" s="1158">
      <c r="A466" s="1766" t="n"/>
      <c r="B466" s="1848" t="inlineStr">
        <is>
          <t>UPPER CONN. 3-1/2" VAM TOP BOX 9.2 PPF TX28- 110 KSI
DESCRIPTION: 5 FEET XOVER
SAP: 130013006383
SUPPLIER: TBX
LOWER CONN -3-1/2" SENTINEL PRIME PIN 9.2 PPF TX28-110 KSI</t>
        </is>
      </c>
      <c r="C466" s="1849" t="n">
        <v>4.88</v>
      </c>
      <c r="D466" s="1773">
        <f>C466</f>
        <v/>
      </c>
      <c r="E466" s="1747">
        <f>E465+D466</f>
        <v/>
      </c>
      <c r="F466" s="1747">
        <f>F465-D465</f>
        <v/>
      </c>
      <c r="G466" s="1748">
        <f>G465-D466</f>
        <v/>
      </c>
      <c r="H466" s="1843" t="n"/>
    </row>
    <row r="467" ht="105.95" customHeight="1" s="1158">
      <c r="A467" s="1440" t="n"/>
      <c r="B467" s="1848" t="inlineStr">
        <is>
          <t>UPPER CONN. 3-1/2" TSH BLUE BOX 9.2 PPF SN 28 110 KSI
DESCRIPTION: 10 FEET XOVER
SAP: 130005012487
SUPPLIER: TENARIS
LOWER CONN. 3-1/2" VAM TOP PIN 9.2 PPF SN 28 110 KSI</t>
        </is>
      </c>
      <c r="C467" s="1849" t="n">
        <v>9.93</v>
      </c>
      <c r="D467" s="1773">
        <f>C467</f>
        <v/>
      </c>
      <c r="E467" s="1747">
        <f>E466+D467</f>
        <v/>
      </c>
      <c r="F467" s="1747">
        <f>F466-D466</f>
        <v/>
      </c>
      <c r="G467" s="1748">
        <f>G466-D467</f>
        <v/>
      </c>
      <c r="H467" s="1843" t="n"/>
    </row>
    <row r="468" ht="26.8" customHeight="1" s="1158">
      <c r="A468" s="1754" t="inlineStr">
        <is>
          <t>JT.#236</t>
        </is>
      </c>
      <c r="B468" s="1754" t="inlineStr">
        <is>
          <t>3-1/2" TUBING 9.2 LB/FT ALLOY 28 TSH BL</t>
        </is>
      </c>
      <c r="C468" s="1755" t="n">
        <v>31</v>
      </c>
      <c r="D468" s="1773">
        <f>C468</f>
        <v/>
      </c>
      <c r="E468" s="1747">
        <f>E467+D468</f>
        <v/>
      </c>
      <c r="F468" s="1747">
        <f>F467-D467</f>
        <v/>
      </c>
      <c r="G468" s="1748">
        <f>G467-D468</f>
        <v/>
      </c>
      <c r="H468" s="1843" t="n"/>
    </row>
    <row r="469" ht="26.8" customHeight="1" s="1158">
      <c r="A469" s="1754" t="inlineStr">
        <is>
          <t>JT.#237</t>
        </is>
      </c>
      <c r="B469" s="1754" t="inlineStr">
        <is>
          <t>3-1/2" TUBING 9.2 LB/FT ALLOY 28 TSH BL</t>
        </is>
      </c>
      <c r="C469" s="1755" t="n">
        <v>31</v>
      </c>
      <c r="D469" s="1773">
        <f>C469</f>
        <v/>
      </c>
      <c r="E469" s="1747">
        <f>E468+D469</f>
        <v/>
      </c>
      <c r="F469" s="1747">
        <f>F468-D468</f>
        <v/>
      </c>
      <c r="G469" s="1748">
        <f>G468-D469</f>
        <v/>
      </c>
      <c r="H469" s="1843" t="n"/>
    </row>
    <row r="470" ht="26.8" customHeight="1" s="1158">
      <c r="A470" s="1754" t="inlineStr">
        <is>
          <t>JT.#238</t>
        </is>
      </c>
      <c r="B470" s="1754" t="inlineStr">
        <is>
          <t>3-1/2" TUBING 9.2 LB/FT ALLOY 28 TSH BL</t>
        </is>
      </c>
      <c r="C470" s="1755" t="n">
        <v>31</v>
      </c>
      <c r="D470" s="1773">
        <f>C470</f>
        <v/>
      </c>
      <c r="E470" s="1747">
        <f>E469+D470</f>
        <v/>
      </c>
      <c r="F470" s="1747">
        <f>F469-D469</f>
        <v/>
      </c>
      <c r="G470" s="1748">
        <f>G469-D470</f>
        <v/>
      </c>
      <c r="H470" s="1843" t="n"/>
    </row>
    <row r="471" ht="26.8" customHeight="1" s="1158">
      <c r="A471" s="1754" t="inlineStr">
        <is>
          <t>JT.#239</t>
        </is>
      </c>
      <c r="B471" s="1754" t="inlineStr">
        <is>
          <t>3-1/2" TUBING 9.2 LB/FT ALLOY 28 TSH BL</t>
        </is>
      </c>
      <c r="C471" s="1755" t="n">
        <v>31</v>
      </c>
      <c r="D471" s="1773">
        <f>C471</f>
        <v/>
      </c>
      <c r="E471" s="1747">
        <f>E470+D471</f>
        <v/>
      </c>
      <c r="F471" s="1747">
        <f>F470-D470</f>
        <v/>
      </c>
      <c r="G471" s="1748">
        <f>G470-D471</f>
        <v/>
      </c>
      <c r="H471" s="1843" t="n"/>
    </row>
    <row r="472" ht="26.8" customHeight="1" s="1158">
      <c r="A472" s="1754" t="inlineStr">
        <is>
          <t>JT.#240</t>
        </is>
      </c>
      <c r="B472" s="1754" t="inlineStr">
        <is>
          <t>3-1/2" TUBING 9.2 LB/FT ALLOY 28 TSH BL</t>
        </is>
      </c>
      <c r="C472" s="1755" t="n">
        <v>31</v>
      </c>
      <c r="D472" s="1773">
        <f>C472</f>
        <v/>
      </c>
      <c r="E472" s="1747">
        <f>E471+D472</f>
        <v/>
      </c>
      <c r="F472" s="1747">
        <f>F471-D471</f>
        <v/>
      </c>
      <c r="G472" s="1748">
        <f>G471-D472</f>
        <v/>
      </c>
      <c r="H472" s="1843" t="n"/>
    </row>
    <row r="473" ht="26.8" customHeight="1" s="1158">
      <c r="A473" s="1754" t="inlineStr">
        <is>
          <t>JT.#241</t>
        </is>
      </c>
      <c r="B473" s="1754" t="inlineStr">
        <is>
          <t>3-1/2" TUBING 9.2 LB/FT ALLOY 28 TSH BL</t>
        </is>
      </c>
      <c r="C473" s="1755" t="n">
        <v>31</v>
      </c>
      <c r="D473" s="1773">
        <f>C473</f>
        <v/>
      </c>
      <c r="E473" s="1747">
        <f>E472+D473</f>
        <v/>
      </c>
      <c r="F473" s="1747">
        <f>F472-D472</f>
        <v/>
      </c>
      <c r="G473" s="1748">
        <f>G472-D473</f>
        <v/>
      </c>
      <c r="H473" s="1843" t="n"/>
    </row>
    <row r="474" ht="26.8" customHeight="1" s="1158">
      <c r="A474" s="1754" t="inlineStr">
        <is>
          <t>JT.#242</t>
        </is>
      </c>
      <c r="B474" s="1754" t="inlineStr">
        <is>
          <t>3-1/2" TUBING 9.2 LB/FT ALLOY 28 TSH BL</t>
        </is>
      </c>
      <c r="C474" s="1755" t="n">
        <v>31</v>
      </c>
      <c r="D474" s="1773">
        <f>C474</f>
        <v/>
      </c>
      <c r="E474" s="1747">
        <f>E473+D474</f>
        <v/>
      </c>
      <c r="F474" s="1747">
        <f>F473-D473</f>
        <v/>
      </c>
      <c r="G474" s="1748">
        <f>G473-D474</f>
        <v/>
      </c>
      <c r="H474" s="1843" t="n"/>
    </row>
    <row r="475" ht="26.8" customHeight="1" s="1158">
      <c r="A475" s="1754" t="inlineStr">
        <is>
          <t>JT.#243</t>
        </is>
      </c>
      <c r="B475" s="1754" t="inlineStr">
        <is>
          <t>3-1/2" TUBING 9.2 LB/FT ALLOY 28 TSH BL</t>
        </is>
      </c>
      <c r="C475" s="1755" t="n">
        <v>31</v>
      </c>
      <c r="D475" s="1773">
        <f>C475</f>
        <v/>
      </c>
      <c r="E475" s="1747">
        <f>E474+D475</f>
        <v/>
      </c>
      <c r="F475" s="1747">
        <f>F474-D474</f>
        <v/>
      </c>
      <c r="G475" s="1748">
        <f>G474-D475</f>
        <v/>
      </c>
      <c r="H475" s="1843" t="n"/>
    </row>
    <row r="476" ht="26.8" customHeight="1" s="1158">
      <c r="A476" s="1754" t="inlineStr">
        <is>
          <t>JT.#244</t>
        </is>
      </c>
      <c r="B476" s="1754" t="inlineStr">
        <is>
          <t>3-1/2" TUBING 9.2 LB/FT ALLOY 28 TSH BL</t>
        </is>
      </c>
      <c r="C476" s="1755" t="n">
        <v>31</v>
      </c>
      <c r="D476" s="1773">
        <f>C476</f>
        <v/>
      </c>
      <c r="E476" s="1747">
        <f>E475+D476</f>
        <v/>
      </c>
      <c r="F476" s="1747">
        <f>F475-D475</f>
        <v/>
      </c>
      <c r="G476" s="1748">
        <f>G475-D476</f>
        <v/>
      </c>
      <c r="H476" s="1843" t="n"/>
    </row>
    <row r="477" ht="26.8" customHeight="1" s="1158">
      <c r="A477" s="1754" t="inlineStr">
        <is>
          <t>JT.#245</t>
        </is>
      </c>
      <c r="B477" s="1754" t="inlineStr">
        <is>
          <t>3-1/2" TUBING 9.2 LB/FT ALLOY 28 TSH BL</t>
        </is>
      </c>
      <c r="C477" s="1755" t="n">
        <v>31</v>
      </c>
      <c r="D477" s="1773">
        <f>C477</f>
        <v/>
      </c>
      <c r="E477" s="1747">
        <f>E476+D477</f>
        <v/>
      </c>
      <c r="F477" s="1747">
        <f>F476-D476</f>
        <v/>
      </c>
      <c r="G477" s="1748">
        <f>G476-D477</f>
        <v/>
      </c>
      <c r="H477" s="1843" t="n"/>
    </row>
    <row r="478" ht="26.8" customHeight="1" s="1158">
      <c r="A478" s="1754" t="inlineStr">
        <is>
          <t>JT.#246</t>
        </is>
      </c>
      <c r="B478" s="1754" t="inlineStr">
        <is>
          <t>3-1/2" TUBING 9.2 LB/FT ALLOY 28 TSH BL</t>
        </is>
      </c>
      <c r="C478" s="1755" t="n">
        <v>31</v>
      </c>
      <c r="D478" s="1773">
        <f>C478</f>
        <v/>
      </c>
      <c r="E478" s="1747">
        <f>E477+D478</f>
        <v/>
      </c>
      <c r="F478" s="1747">
        <f>F477-D477</f>
        <v/>
      </c>
      <c r="G478" s="1748">
        <f>G477-D478</f>
        <v/>
      </c>
      <c r="H478" s="1843" t="n"/>
    </row>
    <row r="479" ht="26.8" customHeight="1" s="1158">
      <c r="A479" s="1754" t="inlineStr">
        <is>
          <t>JT.#247</t>
        </is>
      </c>
      <c r="B479" s="1754" t="inlineStr">
        <is>
          <t>3-1/2" TUBING 9.2 LB/FT ALLOY 28 TSH BL</t>
        </is>
      </c>
      <c r="C479" s="1755" t="n">
        <v>31</v>
      </c>
      <c r="D479" s="1773">
        <f>C479</f>
        <v/>
      </c>
      <c r="E479" s="1747">
        <f>E478+D479</f>
        <v/>
      </c>
      <c r="F479" s="1747">
        <f>F478-D478</f>
        <v/>
      </c>
      <c r="G479" s="1748">
        <f>G478-D479</f>
        <v/>
      </c>
      <c r="H479" s="1843" t="n"/>
    </row>
    <row r="480" ht="26.8" customHeight="1" s="1158">
      <c r="A480" s="1754" t="inlineStr">
        <is>
          <t>JT.#248</t>
        </is>
      </c>
      <c r="B480" s="1754" t="inlineStr">
        <is>
          <t>3-1/2" TUBING 9.2 LB/FT ALLOY 28 TSH BL</t>
        </is>
      </c>
      <c r="C480" s="1755" t="n">
        <v>31</v>
      </c>
      <c r="D480" s="1773">
        <f>C480</f>
        <v/>
      </c>
      <c r="E480" s="1747">
        <f>E479+D480</f>
        <v/>
      </c>
      <c r="F480" s="1747">
        <f>F479-D479</f>
        <v/>
      </c>
      <c r="G480" s="1748">
        <f>G479-D480</f>
        <v/>
      </c>
      <c r="H480" s="1843" t="n"/>
    </row>
    <row r="481" ht="26.8" customHeight="1" s="1158">
      <c r="A481" s="1754" t="inlineStr">
        <is>
          <t>JT.#249</t>
        </is>
      </c>
      <c r="B481" s="1754" t="inlineStr">
        <is>
          <t>3-1/2" TUBING 9.2 LB/FT ALLOY 28 TSH BL</t>
        </is>
      </c>
      <c r="C481" s="1755" t="n">
        <v>31</v>
      </c>
      <c r="D481" s="1773">
        <f>C481</f>
        <v/>
      </c>
      <c r="E481" s="1747">
        <f>E480+D481</f>
        <v/>
      </c>
      <c r="F481" s="1747">
        <f>F480-D480</f>
        <v/>
      </c>
      <c r="G481" s="1748">
        <f>G480-D481</f>
        <v/>
      </c>
      <c r="H481" s="1843" t="n"/>
    </row>
    <row r="482" ht="26.8" customHeight="1" s="1158">
      <c r="A482" s="1754" t="inlineStr">
        <is>
          <t>JT.#250</t>
        </is>
      </c>
      <c r="B482" s="1754" t="inlineStr">
        <is>
          <t>3-1/2" TUBING 9.2 LB/FT ALLOY 28 TSH BL</t>
        </is>
      </c>
      <c r="C482" s="1755" t="n">
        <v>31</v>
      </c>
      <c r="D482" s="1773">
        <f>C482</f>
        <v/>
      </c>
      <c r="E482" s="1747">
        <f>E481+D482</f>
        <v/>
      </c>
      <c r="F482" s="1747">
        <f>F481-D481</f>
        <v/>
      </c>
      <c r="G482" s="1748">
        <f>G481-D482</f>
        <v/>
      </c>
      <c r="H482" s="1843" t="n"/>
    </row>
    <row r="483" ht="26.8" customHeight="1" s="1158">
      <c r="A483" s="1754" t="inlineStr">
        <is>
          <t>JT.#251</t>
        </is>
      </c>
      <c r="B483" s="1754" t="inlineStr">
        <is>
          <t>3-1/2" TUBING 9.2 LB/FT ALLOY 28 TSH BL</t>
        </is>
      </c>
      <c r="C483" s="1755" t="n">
        <v>31</v>
      </c>
      <c r="D483" s="1773">
        <f>C483</f>
        <v/>
      </c>
      <c r="E483" s="1747">
        <f>E482+D483</f>
        <v/>
      </c>
      <c r="F483" s="1747">
        <f>F482-D482</f>
        <v/>
      </c>
      <c r="G483" s="1748">
        <f>G482-D483</f>
        <v/>
      </c>
      <c r="H483" s="1843" t="n"/>
    </row>
    <row r="484" ht="26.8" customHeight="1" s="1158">
      <c r="A484" s="1754" t="inlineStr">
        <is>
          <t>JT.#252</t>
        </is>
      </c>
      <c r="B484" s="1754" t="inlineStr">
        <is>
          <t>3-1/2" TUBING 9.2 LB/FT ALLOY 28 TSH BL</t>
        </is>
      </c>
      <c r="C484" s="1755" t="n">
        <v>31</v>
      </c>
      <c r="D484" s="1773">
        <f>C484</f>
        <v/>
      </c>
      <c r="E484" s="1747">
        <f>E483+D484</f>
        <v/>
      </c>
      <c r="F484" s="1747">
        <f>F483-D483</f>
        <v/>
      </c>
      <c r="G484" s="1748">
        <f>G483-D484</f>
        <v/>
      </c>
      <c r="H484" s="1843" t="n"/>
    </row>
    <row r="485" ht="26.8" customHeight="1" s="1158">
      <c r="A485" s="1754" t="inlineStr">
        <is>
          <t>JT.#253</t>
        </is>
      </c>
      <c r="B485" s="1754" t="inlineStr">
        <is>
          <t>3-1/2" TUBING 9.2 LB/FT ALLOY 28 TSH BL</t>
        </is>
      </c>
      <c r="C485" s="1755" t="n">
        <v>31</v>
      </c>
      <c r="D485" s="1773">
        <f>C485</f>
        <v/>
      </c>
      <c r="E485" s="1747">
        <f>E484+D485</f>
        <v/>
      </c>
      <c r="F485" s="1747">
        <f>F484-D484</f>
        <v/>
      </c>
      <c r="G485" s="1748">
        <f>G484-D485</f>
        <v/>
      </c>
      <c r="H485" s="1843" t="n"/>
    </row>
    <row r="486" ht="26.8" customHeight="1" s="1158">
      <c r="A486" s="1754" t="inlineStr">
        <is>
          <t>JT.#254</t>
        </is>
      </c>
      <c r="B486" s="1754" t="inlineStr">
        <is>
          <t>3-1/2" TUBING 9.2 LB/FT ALLOY 28 TSH BL</t>
        </is>
      </c>
      <c r="C486" s="1755" t="n">
        <v>31</v>
      </c>
      <c r="D486" s="1773">
        <f>C486</f>
        <v/>
      </c>
      <c r="E486" s="1747">
        <f>E485+D486</f>
        <v/>
      </c>
      <c r="F486" s="1747">
        <f>F485-D485</f>
        <v/>
      </c>
      <c r="G486" s="1748">
        <f>G485-D486</f>
        <v/>
      </c>
      <c r="H486" s="1843" t="n"/>
    </row>
    <row r="487" ht="26.8" customHeight="1" s="1158">
      <c r="A487" s="1754" t="inlineStr">
        <is>
          <t>JT.#255</t>
        </is>
      </c>
      <c r="B487" s="1754" t="inlineStr">
        <is>
          <t>3-1/2" TUBING 9.2 LB/FT ALLOY 28 TSH BL</t>
        </is>
      </c>
      <c r="C487" s="1755" t="n">
        <v>31</v>
      </c>
      <c r="D487" s="1773">
        <f>C487</f>
        <v/>
      </c>
      <c r="E487" s="1747">
        <f>E486+D487</f>
        <v/>
      </c>
      <c r="F487" s="1747">
        <f>F486-D486</f>
        <v/>
      </c>
      <c r="G487" s="1748">
        <f>G486-D487</f>
        <v/>
      </c>
      <c r="H487" s="1843" t="n"/>
    </row>
    <row r="488" ht="26.8" customHeight="1" s="1158">
      <c r="A488" s="1754" t="inlineStr">
        <is>
          <t>JT.#256</t>
        </is>
      </c>
      <c r="B488" s="1754" t="inlineStr">
        <is>
          <t>3-1/2" TUBING 9.2 LB/FT ALLOY 28 TSH BL</t>
        </is>
      </c>
      <c r="C488" s="1755" t="n">
        <v>31</v>
      </c>
      <c r="D488" s="1773">
        <f>C488</f>
        <v/>
      </c>
      <c r="E488" s="1747">
        <f>E487+D488</f>
        <v/>
      </c>
      <c r="F488" s="1747">
        <f>F487-D487</f>
        <v/>
      </c>
      <c r="G488" s="1748">
        <f>G487-D488</f>
        <v/>
      </c>
      <c r="H488" s="1843" t="n"/>
    </row>
    <row r="489" ht="26.8" customHeight="1" s="1158">
      <c r="A489" s="1754" t="inlineStr">
        <is>
          <t>JT.#257</t>
        </is>
      </c>
      <c r="B489" s="1754" t="inlineStr">
        <is>
          <t>3-1/2" TUBING 9.2 LB/FT ALLOY 28 TSH BL</t>
        </is>
      </c>
      <c r="C489" s="1755" t="n">
        <v>31</v>
      </c>
      <c r="D489" s="1773">
        <f>C489</f>
        <v/>
      </c>
      <c r="E489" s="1747">
        <f>E488+D489</f>
        <v/>
      </c>
      <c r="F489" s="1747">
        <f>F488-D488</f>
        <v/>
      </c>
      <c r="G489" s="1748">
        <f>G488-D489</f>
        <v/>
      </c>
      <c r="H489" s="1843" t="n"/>
    </row>
    <row r="490" ht="26.8" customHeight="1" s="1158">
      <c r="A490" s="1754" t="inlineStr">
        <is>
          <t>JT.#258</t>
        </is>
      </c>
      <c r="B490" s="1754" t="inlineStr">
        <is>
          <t>3-1/2" TUBING 9.2 LB/FT ALLOY 28 TSH BL</t>
        </is>
      </c>
      <c r="C490" s="1755" t="n">
        <v>31</v>
      </c>
      <c r="D490" s="1773">
        <f>C490</f>
        <v/>
      </c>
      <c r="E490" s="1747">
        <f>E489+D490</f>
        <v/>
      </c>
      <c r="F490" s="1747">
        <f>F489-D489</f>
        <v/>
      </c>
      <c r="G490" s="1748">
        <f>G489-D490</f>
        <v/>
      </c>
      <c r="H490" s="1843" t="n"/>
    </row>
    <row r="491" ht="26.8" customHeight="1" s="1158">
      <c r="A491" s="1754" t="inlineStr">
        <is>
          <t>JT.#259</t>
        </is>
      </c>
      <c r="B491" s="1754" t="inlineStr">
        <is>
          <t>3-1/2" TUBING 9.2 LB/FT ALLOY 28 TSH BL</t>
        </is>
      </c>
      <c r="C491" s="1755" t="n">
        <v>31</v>
      </c>
      <c r="D491" s="1773">
        <f>C491</f>
        <v/>
      </c>
      <c r="E491" s="1747">
        <f>E490+D491</f>
        <v/>
      </c>
      <c r="F491" s="1747">
        <f>F490-D490</f>
        <v/>
      </c>
      <c r="G491" s="1748">
        <f>G490-D491</f>
        <v/>
      </c>
      <c r="H491" s="1843" t="n"/>
    </row>
    <row r="492" ht="26.8" customHeight="1" s="1158">
      <c r="A492" s="1754" t="inlineStr">
        <is>
          <t>JT.#260</t>
        </is>
      </c>
      <c r="B492" s="1754" t="inlineStr">
        <is>
          <t>3-1/2" TUBING 9.2 LB/FT ALLOY 28 TSH BL</t>
        </is>
      </c>
      <c r="C492" s="1755" t="n">
        <v>31</v>
      </c>
      <c r="D492" s="1773">
        <f>C492</f>
        <v/>
      </c>
      <c r="E492" s="1747">
        <f>E491+D492</f>
        <v/>
      </c>
      <c r="F492" s="1747">
        <f>F491-D491</f>
        <v/>
      </c>
      <c r="G492" s="1748">
        <f>G491-D492</f>
        <v/>
      </c>
      <c r="H492" s="1843" t="n"/>
    </row>
    <row r="493" ht="26.8" customHeight="1" s="1158">
      <c r="A493" s="1754" t="inlineStr">
        <is>
          <t>JT.#261</t>
        </is>
      </c>
      <c r="B493" s="1754" t="inlineStr">
        <is>
          <t>3-1/2" TUBING 9.2 LB/FT ALLOY 28 TSH BL</t>
        </is>
      </c>
      <c r="C493" s="1755" t="n">
        <v>31</v>
      </c>
      <c r="D493" s="1773">
        <f>C493</f>
        <v/>
      </c>
      <c r="E493" s="1747">
        <f>E492+D493</f>
        <v/>
      </c>
      <c r="F493" s="1747">
        <f>F492-D492</f>
        <v/>
      </c>
      <c r="G493" s="1748">
        <f>G492-D493</f>
        <v/>
      </c>
      <c r="H493" s="1843" t="n"/>
    </row>
    <row r="494" ht="26.8" customHeight="1" s="1158">
      <c r="A494" s="1754" t="inlineStr">
        <is>
          <t>JT.#262</t>
        </is>
      </c>
      <c r="B494" s="1754" t="inlineStr">
        <is>
          <t>3-1/2" TUBING 9.2 LB/FT ALLOY 28 TSH BL</t>
        </is>
      </c>
      <c r="C494" s="1755" t="n">
        <v>31</v>
      </c>
      <c r="D494" s="1773">
        <f>C494</f>
        <v/>
      </c>
      <c r="E494" s="1747">
        <f>E493+D494</f>
        <v/>
      </c>
      <c r="F494" s="1747">
        <f>F493-D493</f>
        <v/>
      </c>
      <c r="G494" s="1748">
        <f>G493-D494</f>
        <v/>
      </c>
      <c r="H494" s="1843" t="n"/>
    </row>
    <row r="495" ht="26.8" customHeight="1" s="1158">
      <c r="A495" s="1754" t="inlineStr">
        <is>
          <t>JT.#263</t>
        </is>
      </c>
      <c r="B495" s="1754" t="inlineStr">
        <is>
          <t>3-1/2" TUBING 9.2 LB/FT ALLOY 28 TSH BL</t>
        </is>
      </c>
      <c r="C495" s="1755" t="n">
        <v>31</v>
      </c>
      <c r="D495" s="1773">
        <f>C495</f>
        <v/>
      </c>
      <c r="E495" s="1747">
        <f>E494+D495</f>
        <v/>
      </c>
      <c r="F495" s="1747">
        <f>F494-D494</f>
        <v/>
      </c>
      <c r="G495" s="1748">
        <f>G494-D495</f>
        <v/>
      </c>
      <c r="H495" s="1843" t="n"/>
    </row>
    <row r="496" ht="26.8" customHeight="1" s="1158">
      <c r="A496" s="1754" t="inlineStr">
        <is>
          <t>JT.#264</t>
        </is>
      </c>
      <c r="B496" s="1754" t="inlineStr">
        <is>
          <t>3-1/2" TUBING 9.2 LB/FT ALLOY 28 TSH BL</t>
        </is>
      </c>
      <c r="C496" s="1755" t="n">
        <v>31</v>
      </c>
      <c r="D496" s="1773">
        <f>C496</f>
        <v/>
      </c>
      <c r="E496" s="1747">
        <f>E495+D496</f>
        <v/>
      </c>
      <c r="F496" s="1747">
        <f>F495-D495</f>
        <v/>
      </c>
      <c r="G496" s="1748">
        <f>G495-D496</f>
        <v/>
      </c>
      <c r="H496" s="1843" t="n"/>
    </row>
    <row r="497" ht="26.8" customHeight="1" s="1158">
      <c r="A497" s="1754" t="inlineStr">
        <is>
          <t>JT.#265</t>
        </is>
      </c>
      <c r="B497" s="1754" t="inlineStr">
        <is>
          <t>3-1/2" TUBING 9.2 LB/FT ALLOY 28 TSH BL</t>
        </is>
      </c>
      <c r="C497" s="1755" t="n">
        <v>31</v>
      </c>
      <c r="D497" s="1773">
        <f>C497</f>
        <v/>
      </c>
      <c r="E497" s="1747">
        <f>E496+D497</f>
        <v/>
      </c>
      <c r="F497" s="1747">
        <f>F496-D496</f>
        <v/>
      </c>
      <c r="G497" s="1748">
        <f>G496-D497</f>
        <v/>
      </c>
      <c r="H497" s="1843" t="n"/>
    </row>
    <row r="498" ht="26.8" customHeight="1" s="1158">
      <c r="A498" s="1754" t="inlineStr">
        <is>
          <t>JT.#266</t>
        </is>
      </c>
      <c r="B498" s="1754" t="inlineStr">
        <is>
          <t>3-1/2" TUBING 9.2 LB/FT ALLOY 28 TSH BL</t>
        </is>
      </c>
      <c r="C498" s="1755" t="n">
        <v>31</v>
      </c>
      <c r="D498" s="1773">
        <f>C498</f>
        <v/>
      </c>
      <c r="E498" s="1747">
        <f>E497+D498</f>
        <v/>
      </c>
      <c r="F498" s="1747">
        <f>F497-D497</f>
        <v/>
      </c>
      <c r="G498" s="1748">
        <f>G497-D498</f>
        <v/>
      </c>
      <c r="H498" s="1843" t="n"/>
    </row>
    <row r="499" ht="26.8" customHeight="1" s="1158">
      <c r="A499" s="1754" t="inlineStr">
        <is>
          <t>JT.#267</t>
        </is>
      </c>
      <c r="B499" s="1754" t="inlineStr">
        <is>
          <t>3-1/2" TUBING 9.2 LB/FT ALLOY 28 TSH BL</t>
        </is>
      </c>
      <c r="C499" s="1755" t="n">
        <v>31</v>
      </c>
      <c r="D499" s="1773">
        <f>C499</f>
        <v/>
      </c>
      <c r="E499" s="1747">
        <f>E498+D499</f>
        <v/>
      </c>
      <c r="F499" s="1747">
        <f>F498-D498</f>
        <v/>
      </c>
      <c r="G499" s="1748">
        <f>G498-D499</f>
        <v/>
      </c>
      <c r="H499" s="1843" t="n"/>
    </row>
    <row r="500" ht="26.8" customHeight="1" s="1158">
      <c r="A500" s="1754" t="inlineStr">
        <is>
          <t>JT.#268</t>
        </is>
      </c>
      <c r="B500" s="1754" t="inlineStr">
        <is>
          <t>3-1/2" TUBING 9.2 LB/FT ALLOY 28 TSH BL</t>
        </is>
      </c>
      <c r="C500" s="1755" t="n">
        <v>31</v>
      </c>
      <c r="D500" s="1773">
        <f>C500</f>
        <v/>
      </c>
      <c r="E500" s="1747">
        <f>E499+D500</f>
        <v/>
      </c>
      <c r="F500" s="1747">
        <f>F499-D499</f>
        <v/>
      </c>
      <c r="G500" s="1748">
        <f>G499-D500</f>
        <v/>
      </c>
      <c r="H500" s="1843" t="n"/>
    </row>
    <row r="501" ht="26.8" customHeight="1" s="1158">
      <c r="A501" s="1754" t="inlineStr">
        <is>
          <t>JT.#269</t>
        </is>
      </c>
      <c r="B501" s="1754" t="inlineStr">
        <is>
          <t>3-1/2" TUBING 9.2 LB/FT ALLOY 28 TSH BL</t>
        </is>
      </c>
      <c r="C501" s="1755" t="n">
        <v>31</v>
      </c>
      <c r="D501" s="1773">
        <f>C501</f>
        <v/>
      </c>
      <c r="E501" s="1747">
        <f>E500+D501</f>
        <v/>
      </c>
      <c r="F501" s="1747">
        <f>F500-D500</f>
        <v/>
      </c>
      <c r="G501" s="1748">
        <f>G500-D501</f>
        <v/>
      </c>
      <c r="H501" s="1843" t="n"/>
    </row>
    <row r="502" ht="26.8" customHeight="1" s="1158">
      <c r="A502" s="1754" t="inlineStr">
        <is>
          <t>JT.#270</t>
        </is>
      </c>
      <c r="B502" s="1754" t="inlineStr">
        <is>
          <t>3-1/2" TUBING 9.2 LB/FT ALLOY 28 TSH BL</t>
        </is>
      </c>
      <c r="C502" s="1755" t="n">
        <v>31</v>
      </c>
      <c r="D502" s="1773">
        <f>C502</f>
        <v/>
      </c>
      <c r="E502" s="1747">
        <f>E501+D502</f>
        <v/>
      </c>
      <c r="F502" s="1747">
        <f>F501-D501</f>
        <v/>
      </c>
      <c r="G502" s="1748">
        <f>G501-D502</f>
        <v/>
      </c>
      <c r="H502" s="1843" t="n"/>
    </row>
    <row r="503" ht="26.8" customHeight="1" s="1158">
      <c r="A503" s="1754" t="inlineStr">
        <is>
          <t>JT.#271</t>
        </is>
      </c>
      <c r="B503" s="1754" t="inlineStr">
        <is>
          <t>3-1/2" TUBING 9.2 LB/FT ALLOY 28 TSH BL</t>
        </is>
      </c>
      <c r="C503" s="1755" t="n">
        <v>31</v>
      </c>
      <c r="D503" s="1773">
        <f>C503</f>
        <v/>
      </c>
      <c r="E503" s="1747">
        <f>E502+D503</f>
        <v/>
      </c>
      <c r="F503" s="1747">
        <f>F502-D502</f>
        <v/>
      </c>
      <c r="G503" s="1748">
        <f>G502-D503</f>
        <v/>
      </c>
      <c r="H503" s="1843" t="n"/>
    </row>
    <row r="504" ht="26.8" customHeight="1" s="1158">
      <c r="A504" s="1754" t="inlineStr">
        <is>
          <t>JT.#272</t>
        </is>
      </c>
      <c r="B504" s="1754" t="inlineStr">
        <is>
          <t>3-1/2" TUBING 9.2 LB/FT ALLOY 28 TSH BL</t>
        </is>
      </c>
      <c r="C504" s="1755" t="n">
        <v>31</v>
      </c>
      <c r="D504" s="1773">
        <f>C504</f>
        <v/>
      </c>
      <c r="E504" s="1747">
        <f>E503+D504</f>
        <v/>
      </c>
      <c r="F504" s="1747">
        <f>F503-D503</f>
        <v/>
      </c>
      <c r="G504" s="1748">
        <f>G503-D504</f>
        <v/>
      </c>
      <c r="H504" s="1843" t="n"/>
    </row>
    <row r="505" ht="26.8" customHeight="1" s="1158">
      <c r="A505" s="1754" t="inlineStr">
        <is>
          <t>JT.#273</t>
        </is>
      </c>
      <c r="B505" s="1754" t="inlineStr">
        <is>
          <t>3-1/2" TUBING 9.2 LB/FT ALLOY 28 TSH BL</t>
        </is>
      </c>
      <c r="C505" s="1755" t="n">
        <v>31</v>
      </c>
      <c r="D505" s="1773">
        <f>C505</f>
        <v/>
      </c>
      <c r="E505" s="1747">
        <f>E504+D505</f>
        <v/>
      </c>
      <c r="F505" s="1747">
        <f>F504-D504</f>
        <v/>
      </c>
      <c r="G505" s="1748">
        <f>G504-D505</f>
        <v/>
      </c>
      <c r="H505" s="1843" t="n"/>
    </row>
    <row r="506" ht="26.8" customHeight="1" s="1158">
      <c r="A506" s="1754" t="inlineStr">
        <is>
          <t>JT.#274</t>
        </is>
      </c>
      <c r="B506" s="1754" t="inlineStr">
        <is>
          <t>3-1/2" TUBING 9.2 LB/FT ALLOY 28 TSH BL</t>
        </is>
      </c>
      <c r="C506" s="1755" t="n">
        <v>31</v>
      </c>
      <c r="D506" s="1773">
        <f>C506</f>
        <v/>
      </c>
      <c r="E506" s="1747">
        <f>E505+D506</f>
        <v/>
      </c>
      <c r="F506" s="1747">
        <f>F505-D505</f>
        <v/>
      </c>
      <c r="G506" s="1748">
        <f>G505-D506</f>
        <v/>
      </c>
      <c r="H506" s="1843" t="n"/>
    </row>
    <row r="507" ht="26.8" customHeight="1" s="1158">
      <c r="A507" s="1754" t="inlineStr">
        <is>
          <t>JT.#275</t>
        </is>
      </c>
      <c r="B507" s="1754" t="inlineStr">
        <is>
          <t>3-1/2" TUBING 9.2 LB/FT ALLOY 28 TSH BL</t>
        </is>
      </c>
      <c r="C507" s="1755" t="n">
        <v>31</v>
      </c>
      <c r="D507" s="1773">
        <f>C507</f>
        <v/>
      </c>
      <c r="E507" s="1747">
        <f>E506+D507</f>
        <v/>
      </c>
      <c r="F507" s="1747">
        <f>F506-D506</f>
        <v/>
      </c>
      <c r="G507" s="1748">
        <f>G506-D507</f>
        <v/>
      </c>
      <c r="H507" s="1843" t="n"/>
    </row>
    <row r="508" ht="26.8" customHeight="1" s="1158">
      <c r="A508" s="1754" t="inlineStr">
        <is>
          <t>JT.#276</t>
        </is>
      </c>
      <c r="B508" s="1754" t="inlineStr">
        <is>
          <t>3-1/2" TUBING 9.2 LB/FT ALLOY 28 TSH BL</t>
        </is>
      </c>
      <c r="C508" s="1755" t="n">
        <v>31</v>
      </c>
      <c r="D508" s="1773">
        <f>C508</f>
        <v/>
      </c>
      <c r="E508" s="1747">
        <f>E507+D508</f>
        <v/>
      </c>
      <c r="F508" s="1747">
        <f>F507-D507</f>
        <v/>
      </c>
      <c r="G508" s="1748">
        <f>G507-D508</f>
        <v/>
      </c>
      <c r="H508" s="1843" t="n"/>
    </row>
    <row r="509" ht="26.8" customHeight="1" s="1158">
      <c r="A509" s="1754" t="inlineStr">
        <is>
          <t>JT.#277</t>
        </is>
      </c>
      <c r="B509" s="1754" t="inlineStr">
        <is>
          <t>3-1/2" TUBING 9.2 LB/FT ALLOY 28 TSH BL</t>
        </is>
      </c>
      <c r="C509" s="1755" t="n">
        <v>31</v>
      </c>
      <c r="D509" s="1773">
        <f>C509</f>
        <v/>
      </c>
      <c r="E509" s="1747">
        <f>E508+D509</f>
        <v/>
      </c>
      <c r="F509" s="1747">
        <f>F508-D508</f>
        <v/>
      </c>
      <c r="G509" s="1748">
        <f>G508-D509</f>
        <v/>
      </c>
      <c r="H509" s="1843" t="n"/>
    </row>
    <row r="510" ht="26.8" customHeight="1" s="1158">
      <c r="A510" s="1754" t="inlineStr">
        <is>
          <t>JT.#278</t>
        </is>
      </c>
      <c r="B510" s="1754" t="inlineStr">
        <is>
          <t>3-1/2" TUBING 9.2 LB/FT ALLOY 28 TSH BL</t>
        </is>
      </c>
      <c r="C510" s="1755" t="n">
        <v>31</v>
      </c>
      <c r="D510" s="1773">
        <f>C510</f>
        <v/>
      </c>
      <c r="E510" s="1747">
        <f>E509+D510</f>
        <v/>
      </c>
      <c r="F510" s="1747">
        <f>F509-D509</f>
        <v/>
      </c>
      <c r="G510" s="1748">
        <f>G509-D510</f>
        <v/>
      </c>
      <c r="H510" s="1843" t="n"/>
    </row>
    <row r="511" ht="26.8" customHeight="1" s="1158">
      <c r="A511" s="1754" t="inlineStr">
        <is>
          <t>JT.#279</t>
        </is>
      </c>
      <c r="B511" s="1754" t="inlineStr">
        <is>
          <t>3-1/2" TUBING 9.2 LB/FT ALLOY 28 TSH BL</t>
        </is>
      </c>
      <c r="C511" s="1755" t="n">
        <v>31</v>
      </c>
      <c r="D511" s="1773">
        <f>C511</f>
        <v/>
      </c>
      <c r="E511" s="1747">
        <f>E510+D511</f>
        <v/>
      </c>
      <c r="F511" s="1747">
        <f>F510-D510</f>
        <v/>
      </c>
      <c r="G511" s="1748">
        <f>G510-D511</f>
        <v/>
      </c>
      <c r="H511" s="1843" t="n"/>
    </row>
    <row r="512" ht="26.8" customHeight="1" s="1158">
      <c r="A512" s="1754" t="inlineStr">
        <is>
          <t>JT.#280</t>
        </is>
      </c>
      <c r="B512" s="1754" t="inlineStr">
        <is>
          <t>3-1/2" TUBING 9.2 LB/FT ALLOY 28 TSH BL</t>
        </is>
      </c>
      <c r="C512" s="1755" t="n">
        <v>31</v>
      </c>
      <c r="D512" s="1773">
        <f>C512</f>
        <v/>
      </c>
      <c r="E512" s="1747">
        <f>E511+D512</f>
        <v/>
      </c>
      <c r="F512" s="1747">
        <f>F511-D511</f>
        <v/>
      </c>
      <c r="G512" s="1748">
        <f>G511-D512</f>
        <v/>
      </c>
      <c r="H512" s="1843" t="n"/>
    </row>
    <row r="513" ht="26.8" customHeight="1" s="1158">
      <c r="A513" s="1754" t="inlineStr">
        <is>
          <t>JT.#281</t>
        </is>
      </c>
      <c r="B513" s="1754" t="inlineStr">
        <is>
          <t>3-1/2" TUBING 9.2 LB/FT ALLOY 28 TSH BL</t>
        </is>
      </c>
      <c r="C513" s="1755" t="n">
        <v>31</v>
      </c>
      <c r="D513" s="1773">
        <f>C513</f>
        <v/>
      </c>
      <c r="E513" s="1747">
        <f>E512+D513</f>
        <v/>
      </c>
      <c r="F513" s="1747">
        <f>F512-D512</f>
        <v/>
      </c>
      <c r="G513" s="1748">
        <f>G512-D513</f>
        <v/>
      </c>
      <c r="H513" s="1843" t="n"/>
    </row>
    <row r="514" ht="26.8" customHeight="1" s="1158">
      <c r="A514" s="1754" t="inlineStr">
        <is>
          <t>JT.#282</t>
        </is>
      </c>
      <c r="B514" s="1754" t="inlineStr">
        <is>
          <t>3-1/2" TUBING 9.2 LB/FT ALLOY 28 TSH BL</t>
        </is>
      </c>
      <c r="C514" s="1755" t="n">
        <v>31</v>
      </c>
      <c r="D514" s="1773">
        <f>C514</f>
        <v/>
      </c>
      <c r="E514" s="1747">
        <f>E513+D514</f>
        <v/>
      </c>
      <c r="F514" s="1747">
        <f>F513-D513</f>
        <v/>
      </c>
      <c r="G514" s="1748">
        <f>G513-D514</f>
        <v/>
      </c>
      <c r="H514" s="1843" t="n"/>
    </row>
    <row r="515" ht="26.8" customHeight="1" s="1158">
      <c r="A515" s="1754" t="inlineStr">
        <is>
          <t>JT.#283</t>
        </is>
      </c>
      <c r="B515" s="1754" t="inlineStr">
        <is>
          <t>3-1/2" TUBING 9.2 LB/FT ALLOY 28 TSH BL</t>
        </is>
      </c>
      <c r="C515" s="1755" t="n">
        <v>31</v>
      </c>
      <c r="D515" s="1773">
        <f>C515</f>
        <v/>
      </c>
      <c r="E515" s="1747">
        <f>E514+D515</f>
        <v/>
      </c>
      <c r="F515" s="1747">
        <f>F514-D514</f>
        <v/>
      </c>
      <c r="G515" s="1748">
        <f>G514-D515</f>
        <v/>
      </c>
      <c r="H515" s="1843" t="n"/>
    </row>
    <row r="516" ht="26.8" customHeight="1" s="1158">
      <c r="A516" s="1754" t="inlineStr">
        <is>
          <t>JT.#284</t>
        </is>
      </c>
      <c r="B516" s="1754" t="inlineStr">
        <is>
          <t>3-1/2" TUBING 9.2 LB/FT ALLOY 28 TSH BL</t>
        </is>
      </c>
      <c r="C516" s="1755" t="n">
        <v>31</v>
      </c>
      <c r="D516" s="1773">
        <f>C516</f>
        <v/>
      </c>
      <c r="E516" s="1747">
        <f>E515+D516</f>
        <v/>
      </c>
      <c r="F516" s="1747">
        <f>F515-D515</f>
        <v/>
      </c>
      <c r="G516" s="1748">
        <f>G515-D516</f>
        <v/>
      </c>
      <c r="H516" s="1843" t="n"/>
    </row>
    <row r="517" ht="105.95" customHeight="1" s="1158">
      <c r="A517" s="1850" t="inlineStr">
        <is>
          <t>D4</t>
        </is>
      </c>
      <c r="B517" s="1851" t="inlineStr">
        <is>
          <t>UPPER CONN. 3-1/2" VAM TOP BOX 9.2 PPF SN 28 110 KSI
DESCRIPTION: 5 FEET XOVER
SAP: 130005011340
SUPPLIER: TENARIS
LOWER CONN. 3-1/2" TSH BLUE PIN 9.2 PPF SN 28 110 KSI</t>
        </is>
      </c>
      <c r="C517" s="1852" t="n">
        <v>5.18</v>
      </c>
      <c r="D517" s="1773">
        <f>C517</f>
        <v/>
      </c>
      <c r="E517" s="1747">
        <f>E516+D517</f>
        <v/>
      </c>
      <c r="F517" s="1747">
        <f>F516-D516</f>
        <v/>
      </c>
      <c r="G517" s="1748">
        <f>G516-D517</f>
        <v/>
      </c>
      <c r="H517" s="1843" t="n"/>
    </row>
    <row r="518" ht="105.95" customHeight="1" s="1158">
      <c r="A518" s="1766" t="n"/>
      <c r="B518" s="1851" t="inlineStr">
        <is>
          <t>UPPER CONN. 3-1/2" SENTINEL PRIME BOX 9.2 PPF TX28-110 KSI
DESCRIPTION: 5 FEET XOVER
SAP: 130013006385
SUPPLIER: TBX
LOWER CONN. 3-1/2" VAM TOP PIN 9.2 PPF TX28-110 KSI</t>
        </is>
      </c>
      <c r="C518" s="1852" t="n">
        <v>4.96</v>
      </c>
      <c r="D518" s="1773">
        <f>C518</f>
        <v/>
      </c>
      <c r="E518" s="1747">
        <f>E517+D518</f>
        <v/>
      </c>
      <c r="F518" s="1747">
        <f>F517-D517</f>
        <v/>
      </c>
      <c r="G518" s="1748">
        <f>G517-D518</f>
        <v/>
      </c>
      <c r="H518" s="1843" t="n"/>
    </row>
    <row r="519" ht="210.4" customHeight="1" s="1158">
      <c r="A519" s="1766" t="n"/>
      <c r="B519" s="185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852" t="n">
        <v>8.69</v>
      </c>
      <c r="D519" s="1773">
        <f>C519</f>
        <v/>
      </c>
      <c r="E519" s="1747">
        <f>E518+D519</f>
        <v/>
      </c>
      <c r="F519" s="1747">
        <f>F518-D518</f>
        <v/>
      </c>
      <c r="G519" s="1748">
        <f>G518-D519</f>
        <v/>
      </c>
      <c r="H519" s="1843" t="n"/>
    </row>
    <row r="520" ht="105.95" customHeight="1" s="1158">
      <c r="A520" s="1766" t="n"/>
      <c r="B520" s="1851" t="inlineStr">
        <is>
          <t>UPPER CONN. 3-1/2" VAM TOP BOX 9.2 PPF TX28- 110 KSI
DESCRIPTION: 10 FEET XOVER
SAP: 1130013006387
SUPPLIER: TBX
LOWER CONN-3-1/2" SENTINELPRIME PIN 9.2 PPF TX28110 KSI</t>
        </is>
      </c>
      <c r="C520" s="1852" t="n">
        <v>9.779999999999999</v>
      </c>
      <c r="D520" s="1773">
        <f>C520</f>
        <v/>
      </c>
      <c r="E520" s="1747">
        <f>E519+D520</f>
        <v/>
      </c>
      <c r="F520" s="1747">
        <f>F519-D519</f>
        <v/>
      </c>
      <c r="G520" s="1748">
        <f>G519-D520</f>
        <v/>
      </c>
      <c r="H520" s="1843" t="n"/>
    </row>
    <row r="521" ht="105.95" customHeight="1" s="1158">
      <c r="A521" s="1440" t="n"/>
      <c r="B521" s="1851" t="inlineStr">
        <is>
          <t>UPPER CONN. 3-1/2" TSH BLUE BOX 9.2 PPF SN 28 110 KSI
DESCRIPTION: 5 FEET XOVER
SAP: 130005011340
SUPPLIER: TENARIS
LOWER CONN. 3-1/2" VAM TOP PIN 9.2 PPF SN 28 110 KSI</t>
        </is>
      </c>
      <c r="C521" s="1852" t="n">
        <v>4.96</v>
      </c>
      <c r="D521" s="1773">
        <f>C521</f>
        <v/>
      </c>
      <c r="E521" s="1747">
        <f>E520+D521</f>
        <v/>
      </c>
      <c r="F521" s="1747">
        <f>F520-D520</f>
        <v/>
      </c>
      <c r="G521" s="1748">
        <f>G520-D521</f>
        <v/>
      </c>
      <c r="H521" s="1843" t="n"/>
    </row>
    <row r="522" ht="26.8" customHeight="1" s="1158">
      <c r="A522" s="1754" t="inlineStr">
        <is>
          <t>JT.#285</t>
        </is>
      </c>
      <c r="B522" s="1754" t="inlineStr">
        <is>
          <t>3-1/2" TUBING 9.2 LB/FT ALLOY 28 TSH BL</t>
        </is>
      </c>
      <c r="C522" s="1755" t="n">
        <v>31</v>
      </c>
      <c r="D522" s="1773">
        <f>C522</f>
        <v/>
      </c>
      <c r="E522" s="1747">
        <f>E521+D522</f>
        <v/>
      </c>
      <c r="F522" s="1747">
        <f>F521-D521</f>
        <v/>
      </c>
      <c r="G522" s="1748">
        <f>G521-D522</f>
        <v/>
      </c>
      <c r="H522" s="1843" t="n"/>
    </row>
    <row r="523" ht="26.8" customHeight="1" s="1158">
      <c r="A523" s="1754" t="inlineStr">
        <is>
          <t>JT.#286</t>
        </is>
      </c>
      <c r="B523" s="1754" t="inlineStr">
        <is>
          <t>3-1/2" TUBING 9.2 LB/FT ALLOY 28 TSH BL</t>
        </is>
      </c>
      <c r="C523" s="1755" t="n">
        <v>31</v>
      </c>
      <c r="D523" s="1773">
        <f>C523</f>
        <v/>
      </c>
      <c r="E523" s="1747">
        <f>E522+D523</f>
        <v/>
      </c>
      <c r="F523" s="1747">
        <f>F522-D522</f>
        <v/>
      </c>
      <c r="G523" s="1748">
        <f>G522-D523</f>
        <v/>
      </c>
      <c r="H523" s="1843" t="n"/>
    </row>
    <row r="524" ht="26.8" customHeight="1" s="1158">
      <c r="A524" s="1754" t="inlineStr">
        <is>
          <t>JT.#287</t>
        </is>
      </c>
      <c r="B524" s="1754" t="inlineStr">
        <is>
          <t>3-1/2" TUBING 9.2 LB/FT ALLOY 28 TSH BL</t>
        </is>
      </c>
      <c r="C524" s="1755" t="n">
        <v>31</v>
      </c>
      <c r="D524" s="1773">
        <f>C524</f>
        <v/>
      </c>
      <c r="E524" s="1747">
        <f>E523+D524</f>
        <v/>
      </c>
      <c r="F524" s="1747">
        <f>F523-D523</f>
        <v/>
      </c>
      <c r="G524" s="1748">
        <f>G523-D524</f>
        <v/>
      </c>
      <c r="H524" s="1843" t="n"/>
    </row>
    <row r="525" ht="26.8" customHeight="1" s="1158">
      <c r="A525" s="1754" t="inlineStr">
        <is>
          <t>JT.#288</t>
        </is>
      </c>
      <c r="B525" s="1754" t="inlineStr">
        <is>
          <t>3-1/2" TUBING 9.2 LB/FT ALLOY 28 TSH BL</t>
        </is>
      </c>
      <c r="C525" s="1755" t="n">
        <v>31</v>
      </c>
      <c r="D525" s="1773">
        <f>C525</f>
        <v/>
      </c>
      <c r="E525" s="1747">
        <f>E524+D525</f>
        <v/>
      </c>
      <c r="F525" s="1747">
        <f>F524-D524</f>
        <v/>
      </c>
      <c r="G525" s="1748">
        <f>G524-D525</f>
        <v/>
      </c>
      <c r="H525" s="1843" t="n"/>
    </row>
    <row r="526" ht="26.8" customHeight="1" s="1158">
      <c r="A526" s="1754" t="inlineStr">
        <is>
          <t>JT.#289</t>
        </is>
      </c>
      <c r="B526" s="1754" t="inlineStr">
        <is>
          <t>3-1/2" TUBING 9.2 LB/FT ALLOY 28 TSH BL</t>
        </is>
      </c>
      <c r="C526" s="1755" t="n">
        <v>31</v>
      </c>
      <c r="D526" s="1773">
        <f>C526</f>
        <v/>
      </c>
      <c r="E526" s="1747">
        <f>E525+D526</f>
        <v/>
      </c>
      <c r="F526" s="1747">
        <f>F525-D525</f>
        <v/>
      </c>
      <c r="G526" s="1748">
        <f>G525-D526</f>
        <v/>
      </c>
      <c r="H526" s="1843" t="n"/>
    </row>
    <row r="527" ht="26.8" customHeight="1" s="1158">
      <c r="A527" s="1754" t="inlineStr">
        <is>
          <t>JT.#290</t>
        </is>
      </c>
      <c r="B527" s="1754" t="inlineStr">
        <is>
          <t>3-1/2" TUBING 9.2 LB/FT ALLOY 28 TSH BL</t>
        </is>
      </c>
      <c r="C527" s="1755" t="n">
        <v>31</v>
      </c>
      <c r="D527" s="1773">
        <f>C527</f>
        <v/>
      </c>
      <c r="E527" s="1747">
        <f>E526+D527</f>
        <v/>
      </c>
      <c r="F527" s="1747">
        <f>F526-D526</f>
        <v/>
      </c>
      <c r="G527" s="1748">
        <f>G526-D527</f>
        <v/>
      </c>
      <c r="H527" s="1843" t="n"/>
    </row>
    <row r="528" ht="26.8" customHeight="1" s="1158">
      <c r="A528" s="1754" t="inlineStr">
        <is>
          <t>JT.#291</t>
        </is>
      </c>
      <c r="B528" s="1754" t="inlineStr">
        <is>
          <t>3-1/2" TUBING 9.2 LB/FT ALLOY 28 TSH BL</t>
        </is>
      </c>
      <c r="C528" s="1755" t="n">
        <v>31</v>
      </c>
      <c r="D528" s="1773">
        <f>C528</f>
        <v/>
      </c>
      <c r="E528" s="1747">
        <f>E527+D528</f>
        <v/>
      </c>
      <c r="F528" s="1747">
        <f>F527-D527</f>
        <v/>
      </c>
      <c r="G528" s="1748">
        <f>G527-D528</f>
        <v/>
      </c>
      <c r="H528" s="1843" t="n"/>
    </row>
    <row r="529" ht="26.8" customHeight="1" s="1158">
      <c r="A529" s="1754" t="inlineStr">
        <is>
          <t>JT.#292</t>
        </is>
      </c>
      <c r="B529" s="1754" t="inlineStr">
        <is>
          <t>3-1/2" TUBING 9.2 LB/FT ALLOY 28 TSH BL</t>
        </is>
      </c>
      <c r="C529" s="1755" t="n">
        <v>31</v>
      </c>
      <c r="D529" s="1773">
        <f>C529</f>
        <v/>
      </c>
      <c r="E529" s="1747">
        <f>E528+D529</f>
        <v/>
      </c>
      <c r="F529" s="1747">
        <f>F528-D528</f>
        <v/>
      </c>
      <c r="G529" s="1748">
        <f>G528-D529</f>
        <v/>
      </c>
      <c r="H529" s="1843" t="n"/>
    </row>
    <row r="530" ht="26.8" customHeight="1" s="1158">
      <c r="A530" s="1754" t="inlineStr">
        <is>
          <t>JT.#293</t>
        </is>
      </c>
      <c r="B530" s="1754" t="inlineStr">
        <is>
          <t>3-1/2" TUBING 9.2 LB/FT ALLOY 28 TSH BL</t>
        </is>
      </c>
      <c r="C530" s="1755" t="n">
        <v>31</v>
      </c>
      <c r="D530" s="1773">
        <f>C530</f>
        <v/>
      </c>
      <c r="E530" s="1747">
        <f>E529+D530</f>
        <v/>
      </c>
      <c r="F530" s="1747">
        <f>F529-D529</f>
        <v/>
      </c>
      <c r="G530" s="1748">
        <f>G529-D530</f>
        <v/>
      </c>
      <c r="H530" s="1843" t="n"/>
    </row>
    <row r="531" ht="26.8" customHeight="1" s="1158">
      <c r="A531" s="1754" t="inlineStr">
        <is>
          <t>JT.#294</t>
        </is>
      </c>
      <c r="B531" s="1754" t="inlineStr">
        <is>
          <t>3-1/2" TUBING 9.2 LB/FT ALLOY 28 TSH BL</t>
        </is>
      </c>
      <c r="C531" s="1755" t="n">
        <v>31</v>
      </c>
      <c r="D531" s="1773">
        <f>C531</f>
        <v/>
      </c>
      <c r="E531" s="1747">
        <f>E530+D531</f>
        <v/>
      </c>
      <c r="F531" s="1747">
        <f>F530-D530</f>
        <v/>
      </c>
      <c r="G531" s="1748">
        <f>G530-D531</f>
        <v/>
      </c>
      <c r="H531" s="1843" t="n"/>
    </row>
    <row r="532" ht="26.8" customHeight="1" s="1158">
      <c r="A532" s="1754" t="inlineStr">
        <is>
          <t>JT.#295</t>
        </is>
      </c>
      <c r="B532" s="1754" t="inlineStr">
        <is>
          <t>3-1/2" TUBING 9.2 LB/FT ALLOY 28 TSH BL</t>
        </is>
      </c>
      <c r="C532" s="1755" t="n">
        <v>31</v>
      </c>
      <c r="D532" s="1773">
        <f>C532</f>
        <v/>
      </c>
      <c r="E532" s="1747">
        <f>E531+D532</f>
        <v/>
      </c>
      <c r="F532" s="1747">
        <f>F531-D531</f>
        <v/>
      </c>
      <c r="G532" s="1748">
        <f>G531-D532</f>
        <v/>
      </c>
      <c r="H532" s="1843" t="n"/>
    </row>
    <row r="533" ht="26.8" customHeight="1" s="1158">
      <c r="A533" s="1754" t="inlineStr">
        <is>
          <t>JT.#296</t>
        </is>
      </c>
      <c r="B533" s="1754" t="inlineStr">
        <is>
          <t>3-1/2" TUBING 9.2 LB/FT ALLOY 28 TSH BL</t>
        </is>
      </c>
      <c r="C533" s="1755" t="n">
        <v>31</v>
      </c>
      <c r="D533" s="1773">
        <f>C533</f>
        <v/>
      </c>
      <c r="E533" s="1747">
        <f>E532+D533</f>
        <v/>
      </c>
      <c r="F533" s="1747">
        <f>F532-D532</f>
        <v/>
      </c>
      <c r="G533" s="1748">
        <f>G532-D533</f>
        <v/>
      </c>
      <c r="H533" s="1843" t="n"/>
    </row>
    <row r="534" ht="26.8" customHeight="1" s="1158">
      <c r="A534" s="1754" t="inlineStr">
        <is>
          <t>JT.#297</t>
        </is>
      </c>
      <c r="B534" s="1754" t="inlineStr">
        <is>
          <t>3-1/2" TUBING 9.2 LB/FT ALLOY 28 TSH BL</t>
        </is>
      </c>
      <c r="C534" s="1755" t="n">
        <v>31</v>
      </c>
      <c r="D534" s="1773">
        <f>C534</f>
        <v/>
      </c>
      <c r="E534" s="1747">
        <f>E533+D534</f>
        <v/>
      </c>
      <c r="F534" s="1747">
        <f>F533-D533</f>
        <v/>
      </c>
      <c r="G534" s="1748">
        <f>G533-D534</f>
        <v/>
      </c>
      <c r="H534" s="1843" t="n"/>
    </row>
    <row r="535" ht="26.8" customHeight="1" s="1158">
      <c r="A535" s="1754" t="inlineStr">
        <is>
          <t>JT.#298</t>
        </is>
      </c>
      <c r="B535" s="1754" t="inlineStr">
        <is>
          <t>3-1/2" TUBING 9.2 LB/FT ALLOY 28 TSH BL</t>
        </is>
      </c>
      <c r="C535" s="1755" t="n">
        <v>31</v>
      </c>
      <c r="D535" s="1773">
        <f>C535</f>
        <v/>
      </c>
      <c r="E535" s="1747">
        <f>E534+D535</f>
        <v/>
      </c>
      <c r="F535" s="1747">
        <f>F534-D534</f>
        <v/>
      </c>
      <c r="G535" s="1748">
        <f>G534-D535</f>
        <v/>
      </c>
      <c r="H535" s="1843" t="n"/>
    </row>
    <row r="536" ht="26.8" customHeight="1" s="1158">
      <c r="A536" s="1754" t="inlineStr">
        <is>
          <t>JT.#299</t>
        </is>
      </c>
      <c r="B536" s="1754" t="inlineStr">
        <is>
          <t>3-1/2" TUBING 9.2 LB/FT ALLOY 28 TSH BL</t>
        </is>
      </c>
      <c r="C536" s="1755" t="n">
        <v>31</v>
      </c>
      <c r="D536" s="1773">
        <f>C536</f>
        <v/>
      </c>
      <c r="E536" s="1747">
        <f>E535+D536</f>
        <v/>
      </c>
      <c r="F536" s="1747">
        <f>F535-D535</f>
        <v/>
      </c>
      <c r="G536" s="1748">
        <f>G535-D536</f>
        <v/>
      </c>
      <c r="H536" s="1843" t="n"/>
    </row>
    <row r="537" ht="26.8" customHeight="1" s="1158">
      <c r="A537" s="1754" t="inlineStr">
        <is>
          <t>JT.#300</t>
        </is>
      </c>
      <c r="B537" s="1754" t="inlineStr">
        <is>
          <t>3-1/2" TUBING 9.2 LB/FT ALLOY 28 TSH BL</t>
        </is>
      </c>
      <c r="C537" s="1755" t="n">
        <v>31</v>
      </c>
      <c r="D537" s="1773">
        <f>C537</f>
        <v/>
      </c>
      <c r="E537" s="1747">
        <f>E536+D537</f>
        <v/>
      </c>
      <c r="F537" s="1747">
        <f>F536-D536</f>
        <v/>
      </c>
      <c r="G537" s="1748">
        <f>G536-D537</f>
        <v/>
      </c>
      <c r="H537" s="1843" t="n"/>
    </row>
    <row r="538" ht="26.8" customHeight="1" s="1158">
      <c r="A538" s="1754" t="inlineStr">
        <is>
          <t>JT.#301</t>
        </is>
      </c>
      <c r="B538" s="1754" t="inlineStr">
        <is>
          <t>3-1/2" TUBING 9.2 LB/FT ALLOY 28 TSH BL</t>
        </is>
      </c>
      <c r="C538" s="1755" t="n">
        <v>31</v>
      </c>
      <c r="D538" s="1773">
        <f>C538</f>
        <v/>
      </c>
      <c r="E538" s="1747">
        <f>E537+D538</f>
        <v/>
      </c>
      <c r="F538" s="1747">
        <f>F537-D537</f>
        <v/>
      </c>
      <c r="G538" s="1748">
        <f>G537-D538</f>
        <v/>
      </c>
      <c r="H538" s="1843" t="n"/>
    </row>
    <row r="539" ht="26.8" customHeight="1" s="1158">
      <c r="A539" s="1754" t="inlineStr">
        <is>
          <t>JT.#302</t>
        </is>
      </c>
      <c r="B539" s="1754" t="inlineStr">
        <is>
          <t>3-1/2" TUBING 9.2 LB/FT ALLOY 28 TSH BL</t>
        </is>
      </c>
      <c r="C539" s="1755" t="n">
        <v>31</v>
      </c>
      <c r="D539" s="1773">
        <f>C539</f>
        <v/>
      </c>
      <c r="E539" s="1747">
        <f>E538+D539</f>
        <v/>
      </c>
      <c r="F539" s="1747">
        <f>F538-D538</f>
        <v/>
      </c>
      <c r="G539" s="1748">
        <f>G538-D539</f>
        <v/>
      </c>
      <c r="H539" s="1843" t="n"/>
    </row>
    <row r="540" ht="26.8" customHeight="1" s="1158">
      <c r="A540" s="1754" t="inlineStr">
        <is>
          <t>JT.#303</t>
        </is>
      </c>
      <c r="B540" s="1754" t="inlineStr">
        <is>
          <t>3-1/2" TUBING 9.2 LB/FT ALLOY 28 TSH BL</t>
        </is>
      </c>
      <c r="C540" s="1755" t="n">
        <v>31</v>
      </c>
      <c r="D540" s="1773">
        <f>C540</f>
        <v/>
      </c>
      <c r="E540" s="1747">
        <f>E539+D540</f>
        <v/>
      </c>
      <c r="F540" s="1747">
        <f>F539-D539</f>
        <v/>
      </c>
      <c r="G540" s="1748">
        <f>G539-D540</f>
        <v/>
      </c>
      <c r="H540" s="1843" t="n"/>
    </row>
    <row r="541" ht="26.8" customHeight="1" s="1158">
      <c r="A541" s="1754" t="inlineStr">
        <is>
          <t>JT.#304</t>
        </is>
      </c>
      <c r="B541" s="1754" t="inlineStr">
        <is>
          <t>3-1/2" TUBING 9.2 LB/FT ALLOY 28 TSH BL</t>
        </is>
      </c>
      <c r="C541" s="1755" t="n">
        <v>31</v>
      </c>
      <c r="D541" s="1773">
        <f>C541</f>
        <v/>
      </c>
      <c r="E541" s="1747">
        <f>E540+D541</f>
        <v/>
      </c>
      <c r="F541" s="1747">
        <f>F540-D540</f>
        <v/>
      </c>
      <c r="G541" s="1748">
        <f>G540-D541</f>
        <v/>
      </c>
      <c r="H541" s="1843" t="n"/>
    </row>
    <row r="542" ht="26.8" customHeight="1" s="1158">
      <c r="A542" s="1754" t="inlineStr">
        <is>
          <t>JT.#305</t>
        </is>
      </c>
      <c r="B542" s="1754" t="inlineStr">
        <is>
          <t>3-1/2" TUBING 9.2 LB/FT ALLOY 28 TSH BL</t>
        </is>
      </c>
      <c r="C542" s="1755" t="n">
        <v>31</v>
      </c>
      <c r="D542" s="1773">
        <f>C542</f>
        <v/>
      </c>
      <c r="E542" s="1747">
        <f>E541+D542</f>
        <v/>
      </c>
      <c r="F542" s="1747">
        <f>F541-D541</f>
        <v/>
      </c>
      <c r="G542" s="1748">
        <f>G541-D542</f>
        <v/>
      </c>
      <c r="H542" s="1843" t="n"/>
    </row>
    <row r="543" ht="26.8" customHeight="1" s="1158">
      <c r="A543" s="1754" t="inlineStr">
        <is>
          <t>JT.#306</t>
        </is>
      </c>
      <c r="B543" s="1754" t="inlineStr">
        <is>
          <t>3-1/2" TUBING 9.2 LB/FT ALLOY 28 TSH BL</t>
        </is>
      </c>
      <c r="C543" s="1755" t="n">
        <v>31</v>
      </c>
      <c r="D543" s="1773">
        <f>C543</f>
        <v/>
      </c>
      <c r="E543" s="1747">
        <f>E542+D543</f>
        <v/>
      </c>
      <c r="F543" s="1747">
        <f>F542-D542</f>
        <v/>
      </c>
      <c r="G543" s="1748">
        <f>G542-D543</f>
        <v/>
      </c>
      <c r="H543" s="1843" t="n"/>
    </row>
    <row r="544" ht="26.8" customHeight="1" s="1158">
      <c r="A544" s="1754" t="inlineStr">
        <is>
          <t>JT.#307</t>
        </is>
      </c>
      <c r="B544" s="1754" t="inlineStr">
        <is>
          <t>3-1/2" TUBING 9.2 LB/FT ALLOY 28 TSH BL</t>
        </is>
      </c>
      <c r="C544" s="1755" t="n">
        <v>31</v>
      </c>
      <c r="D544" s="1773">
        <f>C544</f>
        <v/>
      </c>
      <c r="E544" s="1747">
        <f>E543+D544</f>
        <v/>
      </c>
      <c r="F544" s="1747">
        <f>F543-D543</f>
        <v/>
      </c>
      <c r="G544" s="1748">
        <f>G543-D544</f>
        <v/>
      </c>
      <c r="H544" s="1843" t="n"/>
    </row>
    <row r="545" ht="26.8" customHeight="1" s="1158">
      <c r="A545" s="1754" t="inlineStr">
        <is>
          <t>JT.#308</t>
        </is>
      </c>
      <c r="B545" s="1754" t="inlineStr">
        <is>
          <t>3-1/2" TUBING 9.2 LB/FT ALLOY 28 TSH BL</t>
        </is>
      </c>
      <c r="C545" s="1755" t="n">
        <v>31</v>
      </c>
      <c r="D545" s="1773">
        <f>C545</f>
        <v/>
      </c>
      <c r="E545" s="1747">
        <f>E544+D545</f>
        <v/>
      </c>
      <c r="F545" s="1747">
        <f>F544-D544</f>
        <v/>
      </c>
      <c r="G545" s="1748">
        <f>G544-D545</f>
        <v/>
      </c>
      <c r="H545" s="1843" t="n"/>
    </row>
    <row r="546" ht="26.8" customHeight="1" s="1158">
      <c r="A546" s="1754" t="inlineStr">
        <is>
          <t>JT.#309</t>
        </is>
      </c>
      <c r="B546" s="1754" t="inlineStr">
        <is>
          <t>3-1/2" TUBING 9.2 LB/FT ALLOY 28 TSH BL</t>
        </is>
      </c>
      <c r="C546" s="1755" t="n">
        <v>31</v>
      </c>
      <c r="D546" s="1773">
        <f>C546</f>
        <v/>
      </c>
      <c r="E546" s="1747">
        <f>E545+D546</f>
        <v/>
      </c>
      <c r="F546" s="1747">
        <f>F545-D545</f>
        <v/>
      </c>
      <c r="G546" s="1748">
        <f>G545-D546</f>
        <v/>
      </c>
      <c r="H546" s="1843" t="n"/>
    </row>
    <row r="547" ht="26.8" customHeight="1" s="1158">
      <c r="A547" s="1754" t="inlineStr">
        <is>
          <t>JT.#310</t>
        </is>
      </c>
      <c r="B547" s="1754" t="inlineStr">
        <is>
          <t>3-1/2" TUBING 9.2 LB/FT ALLOY 28 TSH BL</t>
        </is>
      </c>
      <c r="C547" s="1755" t="n">
        <v>31</v>
      </c>
      <c r="D547" s="1773">
        <f>C547</f>
        <v/>
      </c>
      <c r="E547" s="1747">
        <f>E546+D547</f>
        <v/>
      </c>
      <c r="F547" s="1747">
        <f>F546-D546</f>
        <v/>
      </c>
      <c r="G547" s="1748">
        <f>G546-D547</f>
        <v/>
      </c>
      <c r="H547" s="1843" t="n"/>
    </row>
    <row r="548" ht="26.8" customHeight="1" s="1158">
      <c r="A548" s="1754" t="inlineStr">
        <is>
          <t>JT.#311</t>
        </is>
      </c>
      <c r="B548" s="1754" t="inlineStr">
        <is>
          <t>3-1/2" TUBING 9.2 LB/FT ALLOY 28 TSH BL</t>
        </is>
      </c>
      <c r="C548" s="1755" t="n">
        <v>31</v>
      </c>
      <c r="D548" s="1773">
        <f>C548</f>
        <v/>
      </c>
      <c r="E548" s="1747">
        <f>E547+D548</f>
        <v/>
      </c>
      <c r="F548" s="1747">
        <f>F547-D547</f>
        <v/>
      </c>
      <c r="G548" s="1748">
        <f>G547-D548</f>
        <v/>
      </c>
      <c r="H548" s="1843" t="n"/>
    </row>
    <row r="549" ht="26.8" customHeight="1" s="1158">
      <c r="A549" s="1754" t="inlineStr">
        <is>
          <t>JT.#312</t>
        </is>
      </c>
      <c r="B549" s="1754" t="inlineStr">
        <is>
          <t>3-1/2" TUBING 9.2 LB/FT ALLOY 28 TSH BL</t>
        </is>
      </c>
      <c r="C549" s="1755" t="n">
        <v>31</v>
      </c>
      <c r="D549" s="1773">
        <f>C549</f>
        <v/>
      </c>
      <c r="E549" s="1747">
        <f>E548+D549</f>
        <v/>
      </c>
      <c r="F549" s="1747">
        <f>F548-D548</f>
        <v/>
      </c>
      <c r="G549" s="1748">
        <f>G548-D549</f>
        <v/>
      </c>
      <c r="H549" s="1843" t="n"/>
    </row>
    <row r="550" ht="26.8" customHeight="1" s="1158">
      <c r="A550" s="1754" t="inlineStr">
        <is>
          <t>JT.#313</t>
        </is>
      </c>
      <c r="B550" s="1754" t="inlineStr">
        <is>
          <t>3-1/2" TUBING 9.2 LB/FT ALLOY 28 TSH BL</t>
        </is>
      </c>
      <c r="C550" s="1755" t="n">
        <v>31</v>
      </c>
      <c r="D550" s="1773">
        <f>C550</f>
        <v/>
      </c>
      <c r="E550" s="1747">
        <f>E549+D550</f>
        <v/>
      </c>
      <c r="F550" s="1747">
        <f>F549-D549</f>
        <v/>
      </c>
      <c r="G550" s="1748">
        <f>G549-D550</f>
        <v/>
      </c>
      <c r="H550" s="1843" t="n"/>
    </row>
    <row r="551" ht="26.8" customHeight="1" s="1158">
      <c r="A551" s="1754" t="inlineStr">
        <is>
          <t>JT.#314</t>
        </is>
      </c>
      <c r="B551" s="1754" t="inlineStr">
        <is>
          <t>3-1/2" TUBING 9.2 LB/FT ALLOY 28 TSH BL</t>
        </is>
      </c>
      <c r="C551" s="1755" t="n">
        <v>31</v>
      </c>
      <c r="D551" s="1773">
        <f>C551</f>
        <v/>
      </c>
      <c r="E551" s="1747">
        <f>E550+D551</f>
        <v/>
      </c>
      <c r="F551" s="1747">
        <f>F550-D550</f>
        <v/>
      </c>
      <c r="G551" s="1748">
        <f>G550-D551</f>
        <v/>
      </c>
      <c r="H551" s="1843" t="n"/>
    </row>
    <row r="552" ht="26.8" customHeight="1" s="1158">
      <c r="A552" s="1754" t="inlineStr">
        <is>
          <t>JT.#315</t>
        </is>
      </c>
      <c r="B552" s="1754" t="inlineStr">
        <is>
          <t>3-1/2" TUBING 9.2 LB/FT ALLOY 28 TSH BL</t>
        </is>
      </c>
      <c r="C552" s="1755" t="n">
        <v>31</v>
      </c>
      <c r="D552" s="1773">
        <f>C552</f>
        <v/>
      </c>
      <c r="E552" s="1747">
        <f>E551+D552</f>
        <v/>
      </c>
      <c r="F552" s="1747">
        <f>F551-D551</f>
        <v/>
      </c>
      <c r="G552" s="1748">
        <f>G551-D552</f>
        <v/>
      </c>
      <c r="H552" s="1843" t="n"/>
    </row>
    <row r="553" ht="26.8" customHeight="1" s="1158">
      <c r="A553" s="1754" t="inlineStr">
        <is>
          <t>JT.#316</t>
        </is>
      </c>
      <c r="B553" s="1754" t="inlineStr">
        <is>
          <t>3-1/2" TUBING 9.2 LB/FT ALLOY 28 TSH BL</t>
        </is>
      </c>
      <c r="C553" s="1755" t="n">
        <v>31</v>
      </c>
      <c r="D553" s="1773">
        <f>C553</f>
        <v/>
      </c>
      <c r="E553" s="1747">
        <f>E552+D553</f>
        <v/>
      </c>
      <c r="F553" s="1747">
        <f>F552-D552</f>
        <v/>
      </c>
      <c r="G553" s="1748">
        <f>G552-D553</f>
        <v/>
      </c>
      <c r="H553" s="1843" t="n"/>
    </row>
    <row r="554" ht="26.8" customHeight="1" s="1158">
      <c r="A554" s="1754" t="inlineStr">
        <is>
          <t>JT.#317</t>
        </is>
      </c>
      <c r="B554" s="1754" t="inlineStr">
        <is>
          <t>3-1/2" TUBING 9.2 LB/FT ALLOY 28 TSH BL</t>
        </is>
      </c>
      <c r="C554" s="1755" t="n">
        <v>31</v>
      </c>
      <c r="D554" s="1773">
        <f>C554</f>
        <v/>
      </c>
      <c r="E554" s="1747">
        <f>E553+D554</f>
        <v/>
      </c>
      <c r="F554" s="1747">
        <f>F553-D553</f>
        <v/>
      </c>
      <c r="G554" s="1748">
        <f>G553-D554</f>
        <v/>
      </c>
      <c r="H554" s="1843" t="n"/>
    </row>
    <row r="555" ht="26.8" customHeight="1" s="1158">
      <c r="A555" s="1754" t="inlineStr">
        <is>
          <t>JT.#318</t>
        </is>
      </c>
      <c r="B555" s="1754" t="inlineStr">
        <is>
          <t>3-1/2" TUBING 9.2 LB/FT ALLOY 28 TSH BL</t>
        </is>
      </c>
      <c r="C555" s="1755" t="n">
        <v>31</v>
      </c>
      <c r="D555" s="1773">
        <f>C555</f>
        <v/>
      </c>
      <c r="E555" s="1747">
        <f>E554+D555</f>
        <v/>
      </c>
      <c r="F555" s="1747">
        <f>F554-D554</f>
        <v/>
      </c>
      <c r="G555" s="1748">
        <f>G554-D555</f>
        <v/>
      </c>
      <c r="H555" s="1843" t="n"/>
    </row>
    <row r="556" ht="26.8" customHeight="1" s="1158">
      <c r="A556" s="1754" t="inlineStr">
        <is>
          <t>JT.#319</t>
        </is>
      </c>
      <c r="B556" s="1754" t="inlineStr">
        <is>
          <t>3-1/2" TUBING 9.2 LB/FT ALLOY 28 TSH BL</t>
        </is>
      </c>
      <c r="C556" s="1755" t="n">
        <v>31</v>
      </c>
      <c r="D556" s="1773">
        <f>C556</f>
        <v/>
      </c>
      <c r="E556" s="1747">
        <f>E555+D556</f>
        <v/>
      </c>
      <c r="F556" s="1747">
        <f>F555-D555</f>
        <v/>
      </c>
      <c r="G556" s="1748">
        <f>G555-D556</f>
        <v/>
      </c>
      <c r="H556" s="1843" t="n"/>
    </row>
    <row r="557" ht="26.8" customHeight="1" s="1158">
      <c r="A557" s="1754" t="inlineStr">
        <is>
          <t>JT.#320</t>
        </is>
      </c>
      <c r="B557" s="1754" t="inlineStr">
        <is>
          <t>3-1/2" TUBING 9.2 LB/FT ALLOY 28 TSH BL</t>
        </is>
      </c>
      <c r="C557" s="1755" t="n">
        <v>31</v>
      </c>
      <c r="D557" s="1773">
        <f>C557</f>
        <v/>
      </c>
      <c r="E557" s="1747">
        <f>E556+D557</f>
        <v/>
      </c>
      <c r="F557" s="1747">
        <f>F556-D556</f>
        <v/>
      </c>
      <c r="G557" s="1748">
        <f>G556-D557</f>
        <v/>
      </c>
      <c r="H557" s="1843" t="n"/>
    </row>
    <row r="558" ht="26.8" customHeight="1" s="1158">
      <c r="A558" s="1754" t="inlineStr">
        <is>
          <t>JT.#321</t>
        </is>
      </c>
      <c r="B558" s="1754" t="inlineStr">
        <is>
          <t>3-1/2" TUBING 9.2 LB/FT ALLOY 28 TSH BL</t>
        </is>
      </c>
      <c r="C558" s="1755" t="n">
        <v>31</v>
      </c>
      <c r="D558" s="1773">
        <f>C558</f>
        <v/>
      </c>
      <c r="E558" s="1747">
        <f>E557+D558</f>
        <v/>
      </c>
      <c r="F558" s="1747">
        <f>F557-D557</f>
        <v/>
      </c>
      <c r="G558" s="1748">
        <f>G557-D558</f>
        <v/>
      </c>
      <c r="H558" s="1843" t="n"/>
    </row>
    <row r="559" ht="26.8" customHeight="1" s="1158">
      <c r="A559" s="1754" t="inlineStr">
        <is>
          <t>JT.#322</t>
        </is>
      </c>
      <c r="B559" s="1754" t="inlineStr">
        <is>
          <t>3-1/2" TUBING 9.2 LB/FT ALLOY 28 TSH BL</t>
        </is>
      </c>
      <c r="C559" s="1755" t="n">
        <v>31</v>
      </c>
      <c r="D559" s="1773">
        <f>C559</f>
        <v/>
      </c>
      <c r="E559" s="1747">
        <f>E558+D559</f>
        <v/>
      </c>
      <c r="F559" s="1747">
        <f>F558-D558</f>
        <v/>
      </c>
      <c r="G559" s="1748">
        <f>G558-D559</f>
        <v/>
      </c>
      <c r="H559" s="1843" t="n"/>
    </row>
    <row r="560" ht="26.8" customHeight="1" s="1158">
      <c r="A560" s="1754" t="inlineStr">
        <is>
          <t>JT.#323</t>
        </is>
      </c>
      <c r="B560" s="1754" t="inlineStr">
        <is>
          <t>3-1/2" TUBING 9.2 LB/FT ALLOY 28 TSH BL</t>
        </is>
      </c>
      <c r="C560" s="1755" t="n">
        <v>31</v>
      </c>
      <c r="D560" s="1773">
        <f>C560</f>
        <v/>
      </c>
      <c r="E560" s="1747">
        <f>E559+D560</f>
        <v/>
      </c>
      <c r="F560" s="1747">
        <f>F559-D559</f>
        <v/>
      </c>
      <c r="G560" s="1748">
        <f>G559-D560</f>
        <v/>
      </c>
      <c r="H560" s="1843" t="n"/>
    </row>
    <row r="561" ht="26.8" customHeight="1" s="1158">
      <c r="A561" s="1754" t="inlineStr">
        <is>
          <t>JT.#324</t>
        </is>
      </c>
      <c r="B561" s="1754" t="inlineStr">
        <is>
          <t>3-1/2" TUBING 9.2 LB/FT ALLOY 28 TSH BL</t>
        </is>
      </c>
      <c r="C561" s="1755" t="n">
        <v>31</v>
      </c>
      <c r="D561" s="1773">
        <f>C561</f>
        <v/>
      </c>
      <c r="E561" s="1747">
        <f>E560+D561</f>
        <v/>
      </c>
      <c r="F561" s="1747">
        <f>F560-D560</f>
        <v/>
      </c>
      <c r="G561" s="1748">
        <f>G560-D561</f>
        <v/>
      </c>
      <c r="H561" s="1843" t="n"/>
    </row>
    <row r="562" ht="26.8" customHeight="1" s="1158">
      <c r="A562" s="1754" t="inlineStr">
        <is>
          <t>JT.#325</t>
        </is>
      </c>
      <c r="B562" s="1754" t="inlineStr">
        <is>
          <t>3-1/2" TUBING 9.2 LB/FT ALLOY 28 TSH BL</t>
        </is>
      </c>
      <c r="C562" s="1755" t="n">
        <v>31</v>
      </c>
      <c r="D562" s="1773">
        <f>C562</f>
        <v/>
      </c>
      <c r="E562" s="1747">
        <f>E561+D562</f>
        <v/>
      </c>
      <c r="F562" s="1747">
        <f>F561-D561</f>
        <v/>
      </c>
      <c r="G562" s="1748">
        <f>G561-D562</f>
        <v/>
      </c>
      <c r="H562" s="1843" t="n"/>
    </row>
    <row r="563" ht="26.8" customHeight="1" s="1158">
      <c r="A563" s="1754" t="inlineStr">
        <is>
          <t>JT.#326</t>
        </is>
      </c>
      <c r="B563" s="1754" t="inlineStr">
        <is>
          <t>3-1/2" TUBING 9.2 LB/FT ALLOY 28 TSH BL</t>
        </is>
      </c>
      <c r="C563" s="1755" t="n">
        <v>31</v>
      </c>
      <c r="D563" s="1773">
        <f>C563</f>
        <v/>
      </c>
      <c r="E563" s="1747">
        <f>E562+D563</f>
        <v/>
      </c>
      <c r="F563" s="1747">
        <f>F562-D562</f>
        <v/>
      </c>
      <c r="G563" s="1748">
        <f>G562-D563</f>
        <v/>
      </c>
      <c r="H563" s="1843" t="n"/>
    </row>
    <row r="564" ht="26.8" customHeight="1" s="1158">
      <c r="A564" s="1754" t="inlineStr">
        <is>
          <t>JT.#327</t>
        </is>
      </c>
      <c r="B564" s="1754" t="inlineStr">
        <is>
          <t>3-1/2" TUBING 9.2 LB/FT ALLOY 28 TSH BL</t>
        </is>
      </c>
      <c r="C564" s="1755" t="n">
        <v>31</v>
      </c>
      <c r="D564" s="1773">
        <f>C564</f>
        <v/>
      </c>
      <c r="E564" s="1747">
        <f>E563+D564</f>
        <v/>
      </c>
      <c r="F564" s="1747">
        <f>F563-D563</f>
        <v/>
      </c>
      <c r="G564" s="1748">
        <f>G563-D564</f>
        <v/>
      </c>
      <c r="H564" s="1843" t="n"/>
    </row>
    <row r="565" ht="26.8" customHeight="1" s="1158">
      <c r="A565" s="1754" t="inlineStr">
        <is>
          <t>JT.#328</t>
        </is>
      </c>
      <c r="B565" s="1754" t="inlineStr">
        <is>
          <t>3-1/2" TUBING 9.2 LB/FT ALLOY 28 TSH BL</t>
        </is>
      </c>
      <c r="C565" s="1755" t="n">
        <v>31</v>
      </c>
      <c r="D565" s="1773">
        <f>C565</f>
        <v/>
      </c>
      <c r="E565" s="1747">
        <f>E564+D565</f>
        <v/>
      </c>
      <c r="F565" s="1747">
        <f>F564-D564</f>
        <v/>
      </c>
      <c r="G565" s="1748">
        <f>G564-D565</f>
        <v/>
      </c>
      <c r="H565" s="1843" t="n"/>
    </row>
    <row r="566" ht="26.8" customHeight="1" s="1158">
      <c r="A566" s="1754" t="inlineStr">
        <is>
          <t>JT.#329</t>
        </is>
      </c>
      <c r="B566" s="1754" t="inlineStr">
        <is>
          <t>3-1/2" TUBING 9.2 LB/FT ALLOY 28 TSH BL</t>
        </is>
      </c>
      <c r="C566" s="1755" t="n">
        <v>31</v>
      </c>
      <c r="D566" s="1773">
        <f>C566</f>
        <v/>
      </c>
      <c r="E566" s="1747">
        <f>E565+D566</f>
        <v/>
      </c>
      <c r="F566" s="1747">
        <f>F565-D565</f>
        <v/>
      </c>
      <c r="G566" s="1748">
        <f>G565-D566</f>
        <v/>
      </c>
      <c r="H566" s="1843" t="n"/>
    </row>
    <row r="567" ht="26.8" customHeight="1" s="1158">
      <c r="A567" s="1754" t="inlineStr">
        <is>
          <t>JT.#330</t>
        </is>
      </c>
      <c r="B567" s="1754" t="inlineStr">
        <is>
          <t>3-1/2" TUBING 9.2 LB/FT ALLOY 28 TSH BL</t>
        </is>
      </c>
      <c r="C567" s="1755" t="n">
        <v>31</v>
      </c>
      <c r="D567" s="1773">
        <f>C567</f>
        <v/>
      </c>
      <c r="E567" s="1747">
        <f>E566+D567</f>
        <v/>
      </c>
      <c r="F567" s="1747">
        <f>F566-D566</f>
        <v/>
      </c>
      <c r="G567" s="1748">
        <f>G566-D567</f>
        <v/>
      </c>
      <c r="H567" s="1843" t="n"/>
    </row>
    <row r="568" ht="26.8" customHeight="1" s="1158">
      <c r="A568" s="1754" t="inlineStr">
        <is>
          <t>JT.#331</t>
        </is>
      </c>
      <c r="B568" s="1754" t="inlineStr">
        <is>
          <t>3-1/2" TUBING 9.2 LB/FT ALLOY 28 TSH BL</t>
        </is>
      </c>
      <c r="C568" s="1755" t="n">
        <v>31</v>
      </c>
      <c r="D568" s="1773">
        <f>C568</f>
        <v/>
      </c>
      <c r="E568" s="1747">
        <f>E567+D568</f>
        <v/>
      </c>
      <c r="F568" s="1747">
        <f>F567-D567</f>
        <v/>
      </c>
      <c r="G568" s="1748">
        <f>G567-D568</f>
        <v/>
      </c>
      <c r="H568" s="1843" t="n"/>
    </row>
    <row r="569" ht="26.8" customHeight="1" s="1158">
      <c r="A569" s="1754" t="inlineStr">
        <is>
          <t>JT.#332</t>
        </is>
      </c>
      <c r="B569" s="1754" t="inlineStr">
        <is>
          <t>3-1/2" TUBING 9.2 LB/FT ALLOY 28 TSH BL</t>
        </is>
      </c>
      <c r="C569" s="1755" t="n">
        <v>31</v>
      </c>
      <c r="D569" s="1773">
        <f>C569</f>
        <v/>
      </c>
      <c r="E569" s="1747">
        <f>E568+D569</f>
        <v/>
      </c>
      <c r="F569" s="1747">
        <f>F568-D568</f>
        <v/>
      </c>
      <c r="G569" s="1748">
        <f>G568-D569</f>
        <v/>
      </c>
      <c r="H569" s="1843" t="n"/>
    </row>
    <row r="570" ht="26.8" customHeight="1" s="1158">
      <c r="A570" s="1754" t="inlineStr">
        <is>
          <t>JT.#333</t>
        </is>
      </c>
      <c r="B570" s="1754" t="inlineStr">
        <is>
          <t>3-1/2" TUBING 9.2 LB/FT ALLOY 28 TSH BL</t>
        </is>
      </c>
      <c r="C570" s="1755" t="n">
        <v>31</v>
      </c>
      <c r="D570" s="1773">
        <f>C570</f>
        <v/>
      </c>
      <c r="E570" s="1747">
        <f>E569+D570</f>
        <v/>
      </c>
      <c r="F570" s="1747">
        <f>F569-D569</f>
        <v/>
      </c>
      <c r="G570" s="1748">
        <f>G569-D570</f>
        <v/>
      </c>
      <c r="H570" s="1843" t="n"/>
    </row>
    <row r="571" ht="26.8" customHeight="1" s="1158">
      <c r="A571" s="1754" t="inlineStr">
        <is>
          <t>JT.#334</t>
        </is>
      </c>
      <c r="B571" s="1754" t="inlineStr">
        <is>
          <t>3-1/2" TUBING 9.2 LB/FT ALLOY 28 TSH BL</t>
        </is>
      </c>
      <c r="C571" s="1755" t="n">
        <v>31</v>
      </c>
      <c r="D571" s="1773">
        <f>C571</f>
        <v/>
      </c>
      <c r="E571" s="1747">
        <f>E570+D571</f>
        <v/>
      </c>
      <c r="F571" s="1747">
        <f>F570-D570</f>
        <v/>
      </c>
      <c r="G571" s="1748">
        <f>G570-D571</f>
        <v/>
      </c>
      <c r="H571" s="1843" t="n"/>
    </row>
    <row r="572" ht="26.8" customHeight="1" s="1158">
      <c r="A572" s="1754" t="inlineStr">
        <is>
          <t>JT.#335</t>
        </is>
      </c>
      <c r="B572" s="1754" t="inlineStr">
        <is>
          <t>3-1/2" TUBING 9.2 LB/FT ALLOY 28 TSH BL</t>
        </is>
      </c>
      <c r="C572" s="1755" t="n">
        <v>31</v>
      </c>
      <c r="D572" s="1773">
        <f>C572</f>
        <v/>
      </c>
      <c r="E572" s="1747">
        <f>E571+D572</f>
        <v/>
      </c>
      <c r="F572" s="1747">
        <f>F571-D571</f>
        <v/>
      </c>
      <c r="G572" s="1748">
        <f>G571-D572</f>
        <v/>
      </c>
      <c r="H572" s="1843" t="n"/>
    </row>
    <row r="573" ht="26.8" customHeight="1" s="1158">
      <c r="A573" s="1754" t="inlineStr">
        <is>
          <t>JT.#336</t>
        </is>
      </c>
      <c r="B573" s="1754" t="inlineStr">
        <is>
          <t>3-1/2" TUBING 9.2 LB/FT ALLOY 28 TSH BL</t>
        </is>
      </c>
      <c r="C573" s="1755" t="n">
        <v>31</v>
      </c>
      <c r="D573" s="1773">
        <f>C573</f>
        <v/>
      </c>
      <c r="E573" s="1747">
        <f>E572+D573</f>
        <v/>
      </c>
      <c r="F573" s="1747">
        <f>F572-D572</f>
        <v/>
      </c>
      <c r="G573" s="1748">
        <f>G572-D573</f>
        <v/>
      </c>
      <c r="H573" s="1843" t="n"/>
    </row>
    <row r="574" ht="26.8" customHeight="1" s="1158">
      <c r="A574" s="1754" t="inlineStr">
        <is>
          <t>JT.#337</t>
        </is>
      </c>
      <c r="B574" s="1754" t="inlineStr">
        <is>
          <t>3-1/2" TUBING 9.2 LB/FT ALLOY 28 TSH BL</t>
        </is>
      </c>
      <c r="C574" s="1755" t="n">
        <v>31</v>
      </c>
      <c r="D574" s="1773">
        <f>C574</f>
        <v/>
      </c>
      <c r="E574" s="1747">
        <f>E573+D574</f>
        <v/>
      </c>
      <c r="F574" s="1747">
        <f>F573-D573</f>
        <v/>
      </c>
      <c r="G574" s="1748">
        <f>G573-D574</f>
        <v/>
      </c>
      <c r="H574" s="1843" t="n"/>
    </row>
    <row r="575" ht="26.8" customHeight="1" s="1158">
      <c r="A575" s="1754" t="inlineStr">
        <is>
          <t>JT.#338</t>
        </is>
      </c>
      <c r="B575" s="1754" t="inlineStr">
        <is>
          <t>3-1/2" TUBING 9.2 LB/FT ALLOY 28 TSH BL</t>
        </is>
      </c>
      <c r="C575" s="1755" t="n">
        <v>31</v>
      </c>
      <c r="D575" s="1773">
        <f>C575</f>
        <v/>
      </c>
      <c r="E575" s="1747">
        <f>E574+D575</f>
        <v/>
      </c>
      <c r="F575" s="1747">
        <f>F574-D574</f>
        <v/>
      </c>
      <c r="G575" s="1748">
        <f>G574-D575</f>
        <v/>
      </c>
      <c r="H575" s="1843" t="n"/>
    </row>
    <row r="576" ht="26.8" customHeight="1" s="1158">
      <c r="A576" s="1754" t="inlineStr">
        <is>
          <t>JT.#339</t>
        </is>
      </c>
      <c r="B576" s="1754" t="inlineStr">
        <is>
          <t>3-1/2" TUBING 9.2 LB/FT ALLOY 28 TSH BL</t>
        </is>
      </c>
      <c r="C576" s="1755" t="n">
        <v>31</v>
      </c>
      <c r="D576" s="1773">
        <f>C576</f>
        <v/>
      </c>
      <c r="E576" s="1747">
        <f>E575+D576</f>
        <v/>
      </c>
      <c r="F576" s="1747">
        <f>F575-D575</f>
        <v/>
      </c>
      <c r="G576" s="1748">
        <f>G575-D576</f>
        <v/>
      </c>
      <c r="H576" s="1843" t="n"/>
    </row>
    <row r="577" ht="26.8" customHeight="1" s="1158">
      <c r="A577" s="1754" t="inlineStr">
        <is>
          <t>JT.#340</t>
        </is>
      </c>
      <c r="B577" s="1754" t="inlineStr">
        <is>
          <t>3-1/2" TUBING 9.2 LB/FT ALLOY 28 TSH BL</t>
        </is>
      </c>
      <c r="C577" s="1755" t="n">
        <v>31</v>
      </c>
      <c r="D577" s="1773">
        <f>C577</f>
        <v/>
      </c>
      <c r="E577" s="1747">
        <f>E576+D577</f>
        <v/>
      </c>
      <c r="F577" s="1747">
        <f>F576-D576</f>
        <v/>
      </c>
      <c r="G577" s="1748">
        <f>G576-D577</f>
        <v/>
      </c>
      <c r="H577" s="1843" t="n"/>
    </row>
    <row r="578" ht="26.8" customHeight="1" s="1158">
      <c r="A578" s="1754" t="inlineStr">
        <is>
          <t>JT.#341</t>
        </is>
      </c>
      <c r="B578" s="1754" t="inlineStr">
        <is>
          <t>3-1/2" TUBING 9.2 LB/FT ALLOY 28 TSH BL</t>
        </is>
      </c>
      <c r="C578" s="1755" t="n">
        <v>31</v>
      </c>
      <c r="D578" s="1773">
        <f>C578</f>
        <v/>
      </c>
      <c r="E578" s="1747">
        <f>E577+D578</f>
        <v/>
      </c>
      <c r="F578" s="1747">
        <f>F577-D577</f>
        <v/>
      </c>
      <c r="G578" s="1748">
        <f>G577-D578</f>
        <v/>
      </c>
      <c r="H578" s="1843" t="n"/>
    </row>
    <row r="579" ht="26.8" customHeight="1" s="1158">
      <c r="A579" s="1754" t="inlineStr">
        <is>
          <t>JT.#342</t>
        </is>
      </c>
      <c r="B579" s="1754" t="inlineStr">
        <is>
          <t>3-1/2" TUBING 9.2 LB/FT ALLOY 28 TSH BL</t>
        </is>
      </c>
      <c r="C579" s="1755" t="n">
        <v>31</v>
      </c>
      <c r="D579" s="1773">
        <f>C579</f>
        <v/>
      </c>
      <c r="E579" s="1747">
        <f>E578+D579</f>
        <v/>
      </c>
      <c r="F579" s="1747">
        <f>F578-D578</f>
        <v/>
      </c>
      <c r="G579" s="1748">
        <f>G578-D579</f>
        <v/>
      </c>
      <c r="H579" s="1843" t="n"/>
    </row>
    <row r="580" ht="26.8" customHeight="1" s="1158">
      <c r="A580" s="1754" t="inlineStr">
        <is>
          <t>JT.#343</t>
        </is>
      </c>
      <c r="B580" s="1754" t="inlineStr">
        <is>
          <t>3-1/2" TUBING 9.2 LB/FT ALLOY 28 TSH BL</t>
        </is>
      </c>
      <c r="C580" s="1755" t="n">
        <v>31</v>
      </c>
      <c r="D580" s="1773">
        <f>C580</f>
        <v/>
      </c>
      <c r="E580" s="1747">
        <f>E579+D580</f>
        <v/>
      </c>
      <c r="F580" s="1747">
        <f>F579-D579</f>
        <v/>
      </c>
      <c r="G580" s="1748">
        <f>G579-D580</f>
        <v/>
      </c>
      <c r="H580" s="1843" t="n"/>
    </row>
    <row r="581" ht="26.8" customHeight="1" s="1158">
      <c r="A581" s="1754" t="inlineStr">
        <is>
          <t>JT.#344</t>
        </is>
      </c>
      <c r="B581" s="1754" t="inlineStr">
        <is>
          <t>3-1/2" TUBING 9.2 LB/FT ALLOY 28 TSH BL</t>
        </is>
      </c>
      <c r="C581" s="1755" t="n">
        <v>31</v>
      </c>
      <c r="D581" s="1773">
        <f>C581</f>
        <v/>
      </c>
      <c r="E581" s="1747">
        <f>E580+D581</f>
        <v/>
      </c>
      <c r="F581" s="1747">
        <f>F580-D580</f>
        <v/>
      </c>
      <c r="G581" s="1748">
        <f>G580-D581</f>
        <v/>
      </c>
      <c r="H581" s="1843" t="n"/>
    </row>
    <row r="582" ht="26.8" customHeight="1" s="1158">
      <c r="A582" s="1754" t="inlineStr">
        <is>
          <t>JT.#345</t>
        </is>
      </c>
      <c r="B582" s="1754" t="inlineStr">
        <is>
          <t>3-1/2" TUBING 9.2 LB/FT ALLOY 28 TSH BL</t>
        </is>
      </c>
      <c r="C582" s="1755" t="n">
        <v>31</v>
      </c>
      <c r="D582" s="1773">
        <f>C582</f>
        <v/>
      </c>
      <c r="E582" s="1747">
        <f>E581+D582</f>
        <v/>
      </c>
      <c r="F582" s="1747">
        <f>F581-D581</f>
        <v/>
      </c>
      <c r="G582" s="1748">
        <f>G581-D582</f>
        <v/>
      </c>
      <c r="H582" s="1843" t="n"/>
    </row>
    <row r="583" ht="26.8" customHeight="1" s="1158">
      <c r="A583" s="1754" t="inlineStr">
        <is>
          <t>JT.#346</t>
        </is>
      </c>
      <c r="B583" s="1754" t="inlineStr">
        <is>
          <t>3-1/2" TUBING 9.2 LB/FT ALLOY 28 TSH BL</t>
        </is>
      </c>
      <c r="C583" s="1755" t="n">
        <v>31</v>
      </c>
      <c r="D583" s="1773">
        <f>C583</f>
        <v/>
      </c>
      <c r="E583" s="1747">
        <f>E582+D583</f>
        <v/>
      </c>
      <c r="F583" s="1747">
        <f>F582-D582</f>
        <v/>
      </c>
      <c r="G583" s="1748">
        <f>G582-D583</f>
        <v/>
      </c>
      <c r="H583" s="1843" t="n"/>
    </row>
    <row r="584" ht="26.8" customHeight="1" s="1158">
      <c r="A584" s="1754" t="inlineStr">
        <is>
          <t>JT.#347</t>
        </is>
      </c>
      <c r="B584" s="1754" t="inlineStr">
        <is>
          <t>3-1/2" TUBING 9.2 LB/FT ALLOY 28 TSH BL</t>
        </is>
      </c>
      <c r="C584" s="1755" t="n">
        <v>31</v>
      </c>
      <c r="D584" s="1773">
        <f>C584</f>
        <v/>
      </c>
      <c r="E584" s="1747">
        <f>E583+D584</f>
        <v/>
      </c>
      <c r="F584" s="1747">
        <f>F583-D583</f>
        <v/>
      </c>
      <c r="G584" s="1748">
        <f>G583-D584</f>
        <v/>
      </c>
      <c r="H584" s="1843" t="n"/>
    </row>
    <row r="585" ht="26.8" customHeight="1" s="1158">
      <c r="A585" s="1754" t="inlineStr">
        <is>
          <t>JT.#348</t>
        </is>
      </c>
      <c r="B585" s="1754" t="inlineStr">
        <is>
          <t>3-1/2" TUBING 9.2 LB/FT ALLOY 28 TSH BL</t>
        </is>
      </c>
      <c r="C585" s="1755" t="n">
        <v>31</v>
      </c>
      <c r="D585" s="1773">
        <f>C585</f>
        <v/>
      </c>
      <c r="E585" s="1747">
        <f>E584+D585</f>
        <v/>
      </c>
      <c r="F585" s="1747">
        <f>F584-D584</f>
        <v/>
      </c>
      <c r="G585" s="1748">
        <f>G584-D585</f>
        <v/>
      </c>
      <c r="H585" s="1843" t="n"/>
    </row>
    <row r="586" ht="26.8" customHeight="1" s="1158">
      <c r="A586" s="1754" t="inlineStr">
        <is>
          <t>JT.#349</t>
        </is>
      </c>
      <c r="B586" s="1754" t="inlineStr">
        <is>
          <t>3-1/2" TUBING 9.2 LB/FT ALLOY 28 TSH BL</t>
        </is>
      </c>
      <c r="C586" s="1755" t="n">
        <v>31</v>
      </c>
      <c r="D586" s="1773">
        <f>C586</f>
        <v/>
      </c>
      <c r="E586" s="1747">
        <f>E585+D586</f>
        <v/>
      </c>
      <c r="F586" s="1747">
        <f>F585-D585</f>
        <v/>
      </c>
      <c r="G586" s="1748">
        <f>G585-D586</f>
        <v/>
      </c>
      <c r="H586" s="1843" t="n"/>
    </row>
    <row r="587" ht="26.8" customHeight="1" s="1158">
      <c r="A587" s="1754" t="inlineStr">
        <is>
          <t>JT.#350</t>
        </is>
      </c>
      <c r="B587" s="1754" t="inlineStr">
        <is>
          <t>3-1/2" TUBING 9.2 LB/FT ALLOY 28 TSH BL</t>
        </is>
      </c>
      <c r="C587" s="1755" t="n">
        <v>31</v>
      </c>
      <c r="D587" s="1773">
        <f>C587</f>
        <v/>
      </c>
      <c r="E587" s="1747">
        <f>E586+D587</f>
        <v/>
      </c>
      <c r="F587" s="1747">
        <f>F586-D586</f>
        <v/>
      </c>
      <c r="G587" s="1748">
        <f>G586-D587</f>
        <v/>
      </c>
      <c r="H587" s="1843" t="n"/>
    </row>
    <row r="588" ht="26.8" customHeight="1" s="1158">
      <c r="A588" s="1754" t="inlineStr">
        <is>
          <t>JT.#351</t>
        </is>
      </c>
      <c r="B588" s="1754" t="inlineStr">
        <is>
          <t>3-1/2" TUBING 9.2 LB/FT ALLOY 28 TSH BL</t>
        </is>
      </c>
      <c r="C588" s="1755" t="n">
        <v>31</v>
      </c>
      <c r="D588" s="1773">
        <f>C588</f>
        <v/>
      </c>
      <c r="E588" s="1747">
        <f>E587+D588</f>
        <v/>
      </c>
      <c r="F588" s="1747">
        <f>F587-D587</f>
        <v/>
      </c>
      <c r="G588" s="1748">
        <f>G587-D588</f>
        <v/>
      </c>
      <c r="H588" s="1843" t="n"/>
    </row>
    <row r="589" ht="26.8" customHeight="1" s="1158">
      <c r="A589" s="1754" t="inlineStr">
        <is>
          <t>JT.#352</t>
        </is>
      </c>
      <c r="B589" s="1754" t="inlineStr">
        <is>
          <t>3-1/2" TUBING 9.2 LB/FT ALLOY 28 TSH BL</t>
        </is>
      </c>
      <c r="C589" s="1755" t="n">
        <v>31</v>
      </c>
      <c r="D589" s="1773">
        <f>C589</f>
        <v/>
      </c>
      <c r="E589" s="1747">
        <f>E588+D589</f>
        <v/>
      </c>
      <c r="F589" s="1747">
        <f>F588-D588</f>
        <v/>
      </c>
      <c r="G589" s="1748">
        <f>G588-D589</f>
        <v/>
      </c>
      <c r="H589" s="1843" t="n"/>
    </row>
    <row r="590" ht="26.8" customHeight="1" s="1158">
      <c r="A590" s="1754" t="inlineStr">
        <is>
          <t>JT.#353</t>
        </is>
      </c>
      <c r="B590" s="1754" t="inlineStr">
        <is>
          <t>3-1/2" TUBING 9.2 LB/FT ALLOY 28 TSH BL</t>
        </is>
      </c>
      <c r="C590" s="1755" t="n">
        <v>31</v>
      </c>
      <c r="D590" s="1773">
        <f>C590</f>
        <v/>
      </c>
      <c r="E590" s="1747">
        <f>E589+D590</f>
        <v/>
      </c>
      <c r="F590" s="1747">
        <f>F589-D589</f>
        <v/>
      </c>
      <c r="G590" s="1748">
        <f>G589-D590</f>
        <v/>
      </c>
      <c r="H590" s="1843" t="n"/>
    </row>
    <row r="591" ht="26.8" customHeight="1" s="1158">
      <c r="A591" s="1754" t="inlineStr">
        <is>
          <t>JT.#354</t>
        </is>
      </c>
      <c r="B591" s="1754" t="inlineStr">
        <is>
          <t>3-1/2" TUBING 9.2 LB/FT ALLOY 28 TSH BL</t>
        </is>
      </c>
      <c r="C591" s="1755" t="n">
        <v>31</v>
      </c>
      <c r="D591" s="1773">
        <f>C591</f>
        <v/>
      </c>
      <c r="E591" s="1747">
        <f>E590+D591</f>
        <v/>
      </c>
      <c r="F591" s="1747">
        <f>F590-D590</f>
        <v/>
      </c>
      <c r="G591" s="1748">
        <f>G590-D591</f>
        <v/>
      </c>
      <c r="H591" s="1843" t="n"/>
    </row>
    <row r="592" ht="26.8" customHeight="1" s="1158">
      <c r="A592" s="1754" t="inlineStr">
        <is>
          <t>JT.#355</t>
        </is>
      </c>
      <c r="B592" s="1754" t="inlineStr">
        <is>
          <t>3-1/2" TUBING 9.2 LB/FT ALLOY 28 TSH BL</t>
        </is>
      </c>
      <c r="C592" s="1755" t="n">
        <v>31</v>
      </c>
      <c r="D592" s="1773">
        <f>C592</f>
        <v/>
      </c>
      <c r="E592" s="1747">
        <f>E591+D592</f>
        <v/>
      </c>
      <c r="F592" s="1747">
        <f>F591-D591</f>
        <v/>
      </c>
      <c r="G592" s="1748">
        <f>G591-D592</f>
        <v/>
      </c>
      <c r="H592" s="1843" t="n"/>
    </row>
    <row r="593" ht="26.8" customHeight="1" s="1158">
      <c r="A593" s="1754" t="inlineStr">
        <is>
          <t>JT.#356</t>
        </is>
      </c>
      <c r="B593" s="1754" t="inlineStr">
        <is>
          <t>3-1/2" TUBING 9.2 LB/FT ALLOY 28 TSH BL</t>
        </is>
      </c>
      <c r="C593" s="1755" t="n">
        <v>31</v>
      </c>
      <c r="D593" s="1773">
        <f>C593</f>
        <v/>
      </c>
      <c r="E593" s="1747">
        <f>E592+D593</f>
        <v/>
      </c>
      <c r="F593" s="1747">
        <f>F592-D592</f>
        <v/>
      </c>
      <c r="G593" s="1748">
        <f>G592-D593</f>
        <v/>
      </c>
      <c r="H593" s="1843" t="n"/>
    </row>
    <row r="594" ht="26.8" customHeight="1" s="1158">
      <c r="A594" s="1754" t="inlineStr">
        <is>
          <t>JT.#357</t>
        </is>
      </c>
      <c r="B594" s="1754" t="inlineStr">
        <is>
          <t>3-1/2" TUBING 9.2 LB/FT ALLOY 28 TSH BL</t>
        </is>
      </c>
      <c r="C594" s="1755" t="n">
        <v>31</v>
      </c>
      <c r="D594" s="1773">
        <f>C594</f>
        <v/>
      </c>
      <c r="E594" s="1747">
        <f>E593+D594</f>
        <v/>
      </c>
      <c r="F594" s="1747">
        <f>F593-D593</f>
        <v/>
      </c>
      <c r="G594" s="1748">
        <f>G593-D594</f>
        <v/>
      </c>
      <c r="H594" s="1843" t="n"/>
    </row>
    <row r="595" ht="26.8" customHeight="1" s="1158">
      <c r="A595" s="1754" t="inlineStr">
        <is>
          <t>JT.#358</t>
        </is>
      </c>
      <c r="B595" s="1754" t="inlineStr">
        <is>
          <t>3-1/2" TUBING 9.2 LB/FT ALLOY 28 TSH BL</t>
        </is>
      </c>
      <c r="C595" s="1755" t="n">
        <v>31</v>
      </c>
      <c r="D595" s="1773">
        <f>C595</f>
        <v/>
      </c>
      <c r="E595" s="1747">
        <f>E594+D595</f>
        <v/>
      </c>
      <c r="F595" s="1747">
        <f>F594-D594</f>
        <v/>
      </c>
      <c r="G595" s="1748">
        <f>G594-D595</f>
        <v/>
      </c>
      <c r="H595" s="1843" t="n"/>
    </row>
    <row r="596" ht="26.8" customHeight="1" s="1158">
      <c r="A596" s="1754" t="inlineStr">
        <is>
          <t>JT.#359</t>
        </is>
      </c>
      <c r="B596" s="1754" t="inlineStr">
        <is>
          <t>3-1/2" TUBING 9.2 LB/FT ALLOY 28 TSH BL</t>
        </is>
      </c>
      <c r="C596" s="1755" t="n">
        <v>31</v>
      </c>
      <c r="D596" s="1773">
        <f>C596</f>
        <v/>
      </c>
      <c r="E596" s="1747">
        <f>E595+D596</f>
        <v/>
      </c>
      <c r="F596" s="1747">
        <f>F595-D595</f>
        <v/>
      </c>
      <c r="G596" s="1748">
        <f>G595-D596</f>
        <v/>
      </c>
      <c r="H596" s="1843" t="n"/>
    </row>
    <row r="597" ht="105.95" customHeight="1" s="1158">
      <c r="A597" s="1853" t="inlineStr">
        <is>
          <t>F</t>
        </is>
      </c>
      <c r="B597" s="1854" t="inlineStr">
        <is>
          <t>UPPER CONN. 3-1/2" VAM TOP BOX 9.2 PPF SN 28 110 KSI
DESCRIPTION: 5 FEET XOVER
SAP: 130005011340
SUPPLIER: TENARIS
UPPER CONN. 3-1/2" TSH BLUE PIN 9.2 PPF SN 28 110 KSI</t>
        </is>
      </c>
      <c r="C597" s="1855" t="n">
        <v>5.02</v>
      </c>
      <c r="D597" s="1773">
        <f>C597</f>
        <v/>
      </c>
      <c r="E597" s="1747">
        <f>E596+D597</f>
        <v/>
      </c>
      <c r="F597" s="1747">
        <f>F596-D596</f>
        <v/>
      </c>
      <c r="G597" s="1748">
        <f>G596-D597</f>
        <v/>
      </c>
      <c r="H597" s="1843" t="n"/>
    </row>
    <row r="598" ht="147.75" customHeight="1" s="1158">
      <c r="A598" s="1766" t="n"/>
      <c r="B598" s="1854" t="inlineStr">
        <is>
          <t>UPPER CONN. 3-1/2" VAM TOP 9.2#PPF INCOLOY 925 BOX
DESCRIPTION: FLOW COUPLING
PN: 2996124
S/N: 130777-04-001
SAP: 130010035671
S UPPLIER: WEATHERFORD
LOWER CONN. 3-1/2" VAM TOP 9.2#PPF</t>
        </is>
      </c>
      <c r="C598" s="1855" t="n">
        <v>5.75</v>
      </c>
      <c r="D598" s="1773">
        <f>C598</f>
        <v/>
      </c>
      <c r="E598" s="1747">
        <f>E597+D598</f>
        <v/>
      </c>
      <c r="F598" s="1747">
        <f>F597-D597</f>
        <v/>
      </c>
      <c r="G598" s="1748">
        <f>G597-D598</f>
        <v/>
      </c>
      <c r="H598" s="1843" t="n"/>
    </row>
    <row r="599" ht="210" customHeight="1" s="1158">
      <c r="A599" s="1766" t="n"/>
      <c r="B599" s="1854" t="inlineStr">
        <is>
          <t>UPPER CONN. 3-1/2" VAM TOP 9.2#PPF
INCOLOY 925
BOX
DESCRIPTION: WEATHERFORD ASSY, TRSV,3.5WZPE-10
2.813WOR,2kSD,9.2# VAM TOP, WN302
PN: 2980845
S/N: 12777594-01
SAP: 130010038007
SUPPLIER: WEATHERFORD
LOWER CONN. 3-1/2" VAM TOP 9.2#PPF</t>
        </is>
      </c>
      <c r="C599" s="1855" t="n">
        <v>4.44</v>
      </c>
      <c r="D599" s="1773">
        <f>C599</f>
        <v/>
      </c>
      <c r="E599" s="1747">
        <f>E598+D599</f>
        <v/>
      </c>
      <c r="F599" s="1747">
        <f>F598-D598</f>
        <v/>
      </c>
      <c r="G599" s="1748">
        <f>G598-D599</f>
        <v/>
      </c>
      <c r="H599" s="1843" t="n"/>
    </row>
    <row r="600" ht="189" customHeight="1" s="1158">
      <c r="A600" s="1766" t="n"/>
      <c r="B600" s="1854" t="inlineStr">
        <is>
          <t>UPPER CONN. 3-1/2" VAM TOP 9.2#PPF
INCOLOY 925
BOX
DESCRIPTION: FLOW COUPLING
P/N: 2996124
S/N: 130777-02-002
SAP: 130010035671
SUPPLIER: WEATHERFORD
LOWER CONN. 3-1/2" VAM TOP 9.2#PPF</t>
        </is>
      </c>
      <c r="C600" s="1855" t="n">
        <v>5.75</v>
      </c>
      <c r="D600" s="1856">
        <f>C600</f>
        <v/>
      </c>
      <c r="E600" s="1857">
        <f>E599+D600</f>
        <v/>
      </c>
      <c r="F600" s="1857">
        <f>F599-D599</f>
        <v/>
      </c>
      <c r="G600" s="1858">
        <f>G599-D600</f>
        <v/>
      </c>
      <c r="H600" s="1859" t="n"/>
    </row>
    <row r="601" ht="105.95" customHeight="1" s="1158">
      <c r="A601" s="1440" t="n"/>
      <c r="B601" s="1854" t="inlineStr">
        <is>
          <t>UPPER CONN. 3-1/2" TSH BLUE BOX 9.2 PPF SN 28 110 KSI
DESCRIPTION: 10 FEET XOVER
SAP: 130005012487
SUPPLIER: TENARIS
LOWER CONN. 3-1/2" VAM TOP PIN 9.2 PPF SN 28 110 KSI</t>
        </is>
      </c>
      <c r="C601" s="1855" t="n">
        <v>9.93</v>
      </c>
      <c r="D601" s="1856">
        <f>C601</f>
        <v/>
      </c>
      <c r="E601" s="1857">
        <f>E600+D601</f>
        <v/>
      </c>
      <c r="F601" s="1857">
        <f>F600-D600</f>
        <v/>
      </c>
      <c r="G601" s="1858">
        <f>G600-D601</f>
        <v/>
      </c>
      <c r="H601" s="1859" t="n"/>
    </row>
    <row r="602" ht="26.8" customHeight="1" s="1158">
      <c r="A602" s="1754" t="inlineStr">
        <is>
          <t>JT.#360</t>
        </is>
      </c>
      <c r="B602" s="1754" t="inlineStr">
        <is>
          <t>3-1/2" TUBING 9.2 LB/FT ALLOY 28 TSH BL</t>
        </is>
      </c>
      <c r="C602" s="1755" t="n">
        <v>31</v>
      </c>
      <c r="D602" s="1856">
        <f>C602</f>
        <v/>
      </c>
      <c r="E602" s="1857">
        <f>E601+D602</f>
        <v/>
      </c>
      <c r="F602" s="1857">
        <f>F601-D601</f>
        <v/>
      </c>
      <c r="G602" s="1858">
        <f>G601-D602</f>
        <v/>
      </c>
      <c r="H602" s="1859" t="n"/>
    </row>
    <row r="603" ht="26.8" customHeight="1" s="1158">
      <c r="A603" s="1754" t="inlineStr">
        <is>
          <t>JT.#361</t>
        </is>
      </c>
      <c r="B603" s="1754" t="inlineStr">
        <is>
          <t>3-1/2" TUBING 9.2 LB/FT ALLOY 28 TSH BL</t>
        </is>
      </c>
      <c r="C603" s="1755" t="n">
        <v>31</v>
      </c>
      <c r="D603" s="1856">
        <f>C603</f>
        <v/>
      </c>
      <c r="E603" s="1857">
        <f>E602+D603</f>
        <v/>
      </c>
      <c r="F603" s="1857">
        <f>F602-D602</f>
        <v/>
      </c>
      <c r="G603" s="1858">
        <f>G602-D603</f>
        <v/>
      </c>
      <c r="H603" s="1859" t="n"/>
    </row>
    <row r="604" ht="26.8" customHeight="1" s="1158">
      <c r="A604" s="1754" t="inlineStr">
        <is>
          <t>JT.#362</t>
        </is>
      </c>
      <c r="B604" s="1754" t="inlineStr">
        <is>
          <t>3-1/2" TUBING 9.2 LB/FT ALLOY 28 TSH BL</t>
        </is>
      </c>
      <c r="C604" s="1755" t="n">
        <v>31</v>
      </c>
      <c r="D604" s="1856">
        <f>C604</f>
        <v/>
      </c>
      <c r="E604" s="1857">
        <f>E603+D604</f>
        <v/>
      </c>
      <c r="F604" s="1857">
        <f>F603-D603</f>
        <v/>
      </c>
      <c r="G604" s="1858">
        <f>G603-D604</f>
        <v/>
      </c>
      <c r="H604" s="1859" t="n"/>
    </row>
    <row r="605" ht="26.8" customHeight="1" s="1158">
      <c r="A605" s="1754" t="inlineStr">
        <is>
          <t>JT.#363</t>
        </is>
      </c>
      <c r="B605" s="1754" t="inlineStr">
        <is>
          <t>3-1/2" TUBING 9.2 LB/FT ALLOY 28 TSH BL</t>
        </is>
      </c>
      <c r="C605" s="1755" t="n">
        <v>31</v>
      </c>
      <c r="D605" s="1856">
        <f>C605</f>
        <v/>
      </c>
      <c r="E605" s="1857">
        <f>E604+D605</f>
        <v/>
      </c>
      <c r="F605" s="1857">
        <f>F604-D604</f>
        <v/>
      </c>
      <c r="G605" s="1858">
        <f>G604-D605</f>
        <v/>
      </c>
      <c r="H605" s="1859" t="n"/>
    </row>
    <row r="606" ht="26.8" customHeight="1" s="1158">
      <c r="A606" s="1754" t="inlineStr">
        <is>
          <t>JT.#364</t>
        </is>
      </c>
      <c r="B606" s="1754" t="inlineStr">
        <is>
          <t>3-1/2" TUBING 9.2 LB/FT ALLOY 28 TSH BL</t>
        </is>
      </c>
      <c r="C606" s="1755" t="n">
        <v>31</v>
      </c>
      <c r="D606" s="1856">
        <f>C606</f>
        <v/>
      </c>
      <c r="E606" s="1857">
        <f>E605+D606</f>
        <v/>
      </c>
      <c r="F606" s="1857">
        <f>F605-D605</f>
        <v/>
      </c>
      <c r="G606" s="1858">
        <f>G605-D606</f>
        <v/>
      </c>
      <c r="H606" s="1859" t="n"/>
    </row>
    <row r="607" ht="105.95" customHeight="1" s="1158">
      <c r="A607" s="1860" t="inlineStr">
        <is>
          <t>F - 1</t>
        </is>
      </c>
      <c r="B607" s="1861" t="inlineStr">
        <is>
          <t>UPPER CONN. 3-1/2" TENARIS BLUE 9.2#PPF SN 28 110 KSI
DESCRIPTION: 5 FEET PUP JOINT
SAP: 130005011338
SUPPLIER:TENARIS
LOWER CONN. 3-1/2" TENARIS BLUE 9.2#PPF SN 28 110 KSI</t>
        </is>
      </c>
      <c r="C607" s="1862" t="n">
        <v>5.08</v>
      </c>
      <c r="D607" s="1856">
        <f>C607</f>
        <v/>
      </c>
      <c r="E607" s="1857">
        <f>E606+D607</f>
        <v/>
      </c>
      <c r="F607" s="1857">
        <f>F606-D606</f>
        <v/>
      </c>
      <c r="G607" s="1858">
        <f>G606-D607</f>
        <v/>
      </c>
      <c r="H607" s="1859" t="n"/>
    </row>
    <row r="608" ht="105.95" customHeight="1" s="1158">
      <c r="A608" s="1766" t="n"/>
      <c r="B608" s="1861" t="inlineStr">
        <is>
          <t>UPPER CONN. 4-1/2" VAM TOP 12.6 #PPF SN 28 120 KSI BOX
DESCRIPTION : X OVER
4 1/2 PIN TOP X 3 1/2 PIN BTM
SAP: 130005012767 SUPPLIER: TENARIS
LOWER CONN. 3-1/2" TENARIS BLUE 9.2#PPF SN 28 120 KSI PIN</t>
        </is>
      </c>
      <c r="C608" s="1862" t="n">
        <v>2.48</v>
      </c>
      <c r="D608" s="1856">
        <f>C608</f>
        <v/>
      </c>
      <c r="E608" s="1857">
        <f>E607+D608</f>
        <v/>
      </c>
      <c r="F608" s="1857">
        <f>F607-D607</f>
        <v/>
      </c>
      <c r="G608" s="1858">
        <f>G607-D608</f>
        <v/>
      </c>
      <c r="H608" s="1859" t="n"/>
    </row>
    <row r="609" ht="189.55" customHeight="1" s="1158">
      <c r="A609" s="1440" t="n"/>
      <c r="B609" s="1861"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862" t="n">
        <v>1.9</v>
      </c>
      <c r="D609" s="1856">
        <f>C609</f>
        <v/>
      </c>
      <c r="E609" s="1857">
        <f>E608+D609</f>
        <v/>
      </c>
      <c r="F609" s="1857">
        <f>F608-D608</f>
        <v/>
      </c>
      <c r="G609" s="1858">
        <f>G608-D609</f>
        <v/>
      </c>
      <c r="H609" s="1859" t="n"/>
    </row>
    <row r="610" ht="23.25" customHeight="1" s="1158">
      <c r="A610" s="1863" t="n"/>
      <c r="B610" s="1864" t="n"/>
      <c r="C610" s="1865" t="n"/>
      <c r="D610" s="1866" t="n"/>
      <c r="E610" s="1857">
        <f>E609+D610</f>
        <v/>
      </c>
      <c r="F610" s="1857">
        <f>F609-D609</f>
        <v/>
      </c>
      <c r="G610" s="1858">
        <f>G609-D610</f>
        <v/>
      </c>
      <c r="H610" s="1859" t="n"/>
    </row>
    <row r="611" ht="12.75" customHeight="1" s="1158">
      <c r="A611" s="1863" t="n"/>
      <c r="B611" s="1864" t="n"/>
      <c r="C611" s="1865" t="n"/>
      <c r="D611" s="1866" t="n"/>
      <c r="E611" s="1866" t="n"/>
      <c r="F611" s="1866" t="n"/>
      <c r="G611" s="1866" t="n"/>
      <c r="H611" s="1866" t="n"/>
    </row>
    <row r="612" ht="12.75" customHeight="1" s="1158">
      <c r="A612" s="1863" t="n"/>
      <c r="B612" s="1864" t="n"/>
      <c r="C612" s="1865" t="n"/>
      <c r="D612" s="1866" t="n"/>
      <c r="E612" s="1866" t="n"/>
      <c r="F612" s="1866" t="n"/>
      <c r="G612" s="1866" t="n"/>
      <c r="H612" s="1866" t="n"/>
    </row>
    <row r="613" ht="12.75" customHeight="1" s="1158">
      <c r="A613" s="1863" t="n"/>
      <c r="B613" s="1864" t="n"/>
      <c r="C613" s="1865" t="n"/>
      <c r="D613" s="1866" t="n"/>
      <c r="E613" s="1866" t="n"/>
      <c r="F613" s="1866" t="n"/>
      <c r="G613" s="1866" t="n"/>
      <c r="H613" s="1866" t="n"/>
    </row>
    <row r="614" ht="12.75" customHeight="1" s="1158">
      <c r="A614" s="1863" t="n"/>
      <c r="B614" s="1864" t="n"/>
      <c r="C614" s="1865" t="n"/>
      <c r="D614" s="1866" t="n"/>
      <c r="E614" s="1866" t="n"/>
      <c r="F614" s="1866" t="n"/>
      <c r="G614" s="1866" t="n"/>
      <c r="H614" s="1866" t="n"/>
    </row>
    <row r="615" ht="12.75" customHeight="1" s="1158">
      <c r="A615" s="1863" t="n"/>
      <c r="B615" s="1864" t="n"/>
      <c r="C615" s="1865" t="n"/>
      <c r="D615" s="1866" t="n"/>
      <c r="E615" s="1866" t="n"/>
      <c r="F615" s="1866" t="n"/>
      <c r="G615" s="1866" t="n"/>
      <c r="H615" s="1866" t="n"/>
    </row>
    <row r="616" ht="12.75" customHeight="1" s="1158">
      <c r="A616" s="1863" t="n"/>
      <c r="B616" s="1864" t="n"/>
      <c r="C616" s="1865" t="n"/>
      <c r="D616" s="1866" t="n"/>
      <c r="E616" s="1866" t="n"/>
      <c r="F616" s="1866" t="n"/>
      <c r="G616" s="1866" t="n"/>
      <c r="H616" s="1866" t="n"/>
    </row>
    <row r="617" ht="12.75" customHeight="1" s="1158">
      <c r="A617" s="1863" t="n"/>
      <c r="B617" s="1864" t="n"/>
      <c r="C617" s="1865" t="n"/>
      <c r="D617" s="1866" t="n"/>
      <c r="E617" s="1866" t="n"/>
      <c r="F617" s="1866" t="n"/>
      <c r="G617" s="1866" t="n"/>
      <c r="H617" s="1866" t="n"/>
    </row>
    <row r="618" ht="12.75" customHeight="1" s="1158">
      <c r="A618" s="1863" t="n"/>
      <c r="B618" s="1864" t="n"/>
      <c r="C618" s="1865" t="n"/>
      <c r="D618" s="1866" t="n"/>
      <c r="E618" s="1866" t="n"/>
      <c r="F618" s="1866" t="n"/>
      <c r="G618" s="1866" t="n"/>
      <c r="H618" s="1866" t="n"/>
    </row>
    <row r="619" ht="12.75" customHeight="1" s="1158">
      <c r="A619" s="1863" t="n"/>
      <c r="B619" s="1864" t="n"/>
      <c r="C619" s="1865" t="n"/>
      <c r="D619" s="1866" t="n"/>
      <c r="E619" s="1866" t="n"/>
      <c r="F619" s="1866" t="n"/>
      <c r="G619" s="1866" t="n"/>
      <c r="H619" s="1866" t="n"/>
    </row>
    <row r="620" ht="12.75" customHeight="1" s="1158">
      <c r="A620" s="1863" t="n"/>
      <c r="B620" s="1864" t="n"/>
      <c r="C620" s="1865" t="n"/>
      <c r="D620" s="1866" t="n"/>
      <c r="E620" s="1866" t="n"/>
      <c r="F620" s="1866" t="n"/>
      <c r="G620" s="1866" t="n"/>
      <c r="H620" s="1866" t="n"/>
    </row>
    <row r="621" ht="12.75" customHeight="1" s="1158">
      <c r="A621" s="1863" t="n"/>
      <c r="B621" s="1864" t="n"/>
      <c r="C621" s="1865" t="n"/>
      <c r="D621" s="1866" t="n"/>
      <c r="E621" s="1866" t="n"/>
      <c r="F621" s="1866" t="n"/>
      <c r="G621" s="1866" t="n"/>
      <c r="H621" s="1866" t="n"/>
    </row>
    <row r="622" ht="12.75" customHeight="1" s="1158">
      <c r="A622" s="1863" t="n"/>
      <c r="B622" s="1864" t="n"/>
      <c r="C622" s="1865" t="n"/>
      <c r="D622" s="1866" t="n"/>
      <c r="E622" s="1866" t="n"/>
      <c r="F622" s="1866" t="n"/>
      <c r="G622" s="1866" t="n"/>
      <c r="H622" s="1866" t="n"/>
    </row>
    <row r="623" ht="12.75" customHeight="1" s="1158">
      <c r="A623" s="1863" t="n"/>
      <c r="B623" s="1864" t="n"/>
      <c r="C623" s="1865" t="n"/>
      <c r="D623" s="1866" t="n"/>
      <c r="E623" s="1866" t="n"/>
      <c r="F623" s="1866" t="n"/>
      <c r="G623" s="1866" t="n"/>
      <c r="H623" s="1866" t="n"/>
    </row>
    <row r="624" ht="12.75" customHeight="1" s="1158">
      <c r="A624" s="1863" t="n"/>
      <c r="B624" s="1864" t="n"/>
      <c r="C624" s="1865" t="n"/>
      <c r="D624" s="1866" t="n"/>
      <c r="E624" s="1866" t="n"/>
      <c r="F624" s="1866" t="n"/>
      <c r="G624" s="1866" t="n"/>
      <c r="H624" s="1866" t="n"/>
    </row>
    <row r="625" ht="12.75" customHeight="1" s="1158">
      <c r="A625" s="1863" t="n"/>
      <c r="B625" s="1864" t="n"/>
      <c r="C625" s="1865" t="n"/>
      <c r="D625" s="1866" t="n"/>
      <c r="E625" s="1866" t="n"/>
      <c r="F625" s="1866" t="n"/>
      <c r="G625" s="1866" t="n"/>
      <c r="H625" s="1866" t="n"/>
    </row>
    <row r="626" ht="12.75" customHeight="1" s="1158">
      <c r="A626" s="1863" t="n"/>
      <c r="B626" s="1864" t="n"/>
      <c r="C626" s="1865" t="n"/>
      <c r="D626" s="1866" t="n"/>
      <c r="E626" s="1866" t="n"/>
      <c r="F626" s="1866" t="n"/>
      <c r="G626" s="1866" t="n"/>
      <c r="H626" s="1866" t="n"/>
    </row>
    <row r="627" ht="12.75" customHeight="1" s="1158">
      <c r="A627" s="1863" t="n"/>
      <c r="B627" s="1864" t="n"/>
      <c r="C627" s="1865" t="n"/>
      <c r="D627" s="1866" t="n"/>
      <c r="E627" s="1866" t="n"/>
      <c r="F627" s="1866" t="n"/>
      <c r="G627" s="1866" t="n"/>
      <c r="H627" s="1866" t="n"/>
    </row>
    <row r="628" ht="12.75" customHeight="1" s="1158">
      <c r="A628" s="1863" t="n"/>
      <c r="B628" s="1864" t="n"/>
      <c r="C628" s="1865" t="n"/>
      <c r="D628" s="1866" t="n"/>
      <c r="E628" s="1866" t="n"/>
      <c r="F628" s="1866" t="n"/>
      <c r="G628" s="1866" t="n"/>
      <c r="H628" s="1866" t="n"/>
    </row>
    <row r="629" ht="12.75" customHeight="1" s="1158">
      <c r="A629" s="1863" t="n"/>
      <c r="B629" s="1864" t="n"/>
      <c r="C629" s="1865" t="n"/>
      <c r="D629" s="1866" t="n"/>
      <c r="E629" s="1866" t="n"/>
      <c r="F629" s="1866" t="n"/>
      <c r="G629" s="1866" t="n"/>
      <c r="H629" s="1866" t="n"/>
    </row>
    <row r="630" ht="12.75" customHeight="1" s="1158">
      <c r="A630" s="1863" t="n"/>
      <c r="B630" s="1864" t="n"/>
      <c r="C630" s="1865" t="n"/>
      <c r="D630" s="1866" t="n"/>
      <c r="E630" s="1866" t="n"/>
      <c r="F630" s="1866" t="n"/>
      <c r="G630" s="1866" t="n"/>
      <c r="H630" s="1866" t="n"/>
    </row>
    <row r="631" ht="12.75" customHeight="1" s="1158">
      <c r="A631" s="1863" t="n"/>
      <c r="B631" s="1864" t="n"/>
      <c r="C631" s="1865" t="n"/>
      <c r="D631" s="1866" t="n"/>
      <c r="E631" s="1866" t="n"/>
      <c r="F631" s="1866" t="n"/>
      <c r="G631" s="1866" t="n"/>
      <c r="H631" s="1866" t="n"/>
    </row>
    <row r="632" ht="12.75" customHeight="1" s="1158">
      <c r="A632" s="1863" t="n"/>
      <c r="B632" s="1864" t="n"/>
      <c r="C632" s="1865" t="n"/>
      <c r="D632" s="1866" t="n"/>
      <c r="E632" s="1866" t="n"/>
      <c r="F632" s="1866" t="n"/>
      <c r="G632" s="1866" t="n"/>
      <c r="H632" s="1866" t="n"/>
    </row>
    <row r="633" ht="12.75" customHeight="1" s="1158">
      <c r="A633" s="1863" t="n"/>
      <c r="B633" s="1864" t="n"/>
      <c r="C633" s="1865" t="n"/>
      <c r="D633" s="1866" t="n"/>
      <c r="E633" s="1866" t="n"/>
      <c r="F633" s="1866" t="n"/>
      <c r="G633" s="1866" t="n"/>
      <c r="H633" s="1866" t="n"/>
    </row>
    <row r="634" ht="12.75" customHeight="1" s="1158">
      <c r="A634" s="1863" t="n"/>
      <c r="B634" s="1864" t="n"/>
      <c r="C634" s="1865" t="n"/>
      <c r="D634" s="1866" t="n"/>
      <c r="E634" s="1866" t="n"/>
      <c r="F634" s="1866" t="n"/>
      <c r="G634" s="1866" t="n"/>
      <c r="H634" s="1866" t="n"/>
    </row>
    <row r="635" ht="12.75" customHeight="1" s="1158">
      <c r="A635" s="1863" t="n"/>
      <c r="B635" s="1864" t="n"/>
      <c r="C635" s="1865" t="n"/>
      <c r="D635" s="1866" t="n"/>
      <c r="E635" s="1866" t="n"/>
      <c r="F635" s="1866" t="n"/>
      <c r="G635" s="1866" t="n"/>
      <c r="H635" s="1866" t="n"/>
    </row>
    <row r="636" ht="12.75" customHeight="1" s="1158">
      <c r="A636" s="1863" t="n"/>
      <c r="B636" s="1864" t="n"/>
      <c r="C636" s="1865" t="n"/>
      <c r="D636" s="1866" t="n"/>
      <c r="E636" s="1866" t="n"/>
      <c r="F636" s="1866" t="n"/>
      <c r="G636" s="1866" t="n"/>
      <c r="H636" s="1866" t="n"/>
    </row>
    <row r="637" ht="12.75" customHeight="1" s="1158">
      <c r="A637" s="1863" t="n"/>
      <c r="B637" s="1864" t="n"/>
      <c r="C637" s="1865" t="n"/>
      <c r="D637" s="1866" t="n"/>
      <c r="E637" s="1866" t="n"/>
      <c r="F637" s="1866" t="n"/>
      <c r="G637" s="1866" t="n"/>
      <c r="H637" s="1866" t="n"/>
    </row>
    <row r="638" ht="12.75" customHeight="1" s="1158">
      <c r="A638" s="1863" t="n"/>
      <c r="B638" s="1864" t="n"/>
      <c r="C638" s="1865" t="n"/>
      <c r="D638" s="1866" t="n"/>
      <c r="E638" s="1866" t="n"/>
      <c r="F638" s="1866" t="n"/>
      <c r="G638" s="1866" t="n"/>
      <c r="H638" s="1866" t="n"/>
    </row>
    <row r="639" ht="12.75" customHeight="1" s="1158">
      <c r="A639" s="1863" t="n"/>
      <c r="B639" s="1864" t="n"/>
      <c r="C639" s="1865" t="n"/>
      <c r="D639" s="1866" t="n"/>
      <c r="E639" s="1866" t="n"/>
      <c r="F639" s="1866" t="n"/>
      <c r="G639" s="1866" t="n"/>
      <c r="H639" s="1866" t="n"/>
    </row>
    <row r="640" ht="12.75" customHeight="1" s="1158">
      <c r="A640" s="1863" t="n"/>
      <c r="B640" s="1864" t="n"/>
      <c r="C640" s="1865" t="n"/>
      <c r="D640" s="1866" t="n"/>
      <c r="E640" s="1866" t="n"/>
      <c r="F640" s="1866" t="n"/>
      <c r="G640" s="1866" t="n"/>
      <c r="H640" s="1866" t="n"/>
    </row>
    <row r="641" ht="12.75" customHeight="1" s="1158">
      <c r="A641" s="1863" t="n"/>
      <c r="B641" s="1864" t="n"/>
      <c r="C641" s="1865" t="n"/>
      <c r="D641" s="1866" t="n"/>
      <c r="E641" s="1866" t="n"/>
      <c r="F641" s="1866" t="n"/>
      <c r="G641" s="1866" t="n"/>
      <c r="H641" s="1866" t="n"/>
    </row>
    <row r="642" ht="12.75" customHeight="1" s="1158">
      <c r="A642" s="1863" t="n"/>
      <c r="B642" s="1864" t="n"/>
      <c r="C642" s="1865" t="n"/>
      <c r="D642" s="1866" t="n"/>
      <c r="E642" s="1866" t="n"/>
      <c r="F642" s="1866" t="n"/>
      <c r="G642" s="1866" t="n"/>
      <c r="H642" s="1866" t="n"/>
    </row>
    <row r="643" ht="12.75" customHeight="1" s="1158">
      <c r="A643" s="1863" t="n"/>
      <c r="B643" s="1864" t="n"/>
      <c r="C643" s="1865" t="n"/>
      <c r="D643" s="1866" t="n"/>
      <c r="E643" s="1866" t="n"/>
      <c r="F643" s="1866" t="n"/>
      <c r="G643" s="1866" t="n"/>
      <c r="H643" s="1866" t="n"/>
    </row>
    <row r="644" ht="12.75" customHeight="1" s="1158">
      <c r="A644" s="1863" t="n"/>
      <c r="B644" s="1864" t="n"/>
      <c r="C644" s="1865" t="n"/>
      <c r="D644" s="1866" t="n"/>
      <c r="E644" s="1866" t="n"/>
      <c r="F644" s="1866" t="n"/>
      <c r="G644" s="1866" t="n"/>
      <c r="H644" s="1866" t="n"/>
    </row>
    <row r="645" ht="12.75" customHeight="1" s="1158">
      <c r="A645" s="1863" t="n"/>
      <c r="B645" s="1864" t="n"/>
      <c r="C645" s="1865" t="n"/>
      <c r="D645" s="1866" t="n"/>
      <c r="E645" s="1866" t="n"/>
      <c r="F645" s="1866" t="n"/>
      <c r="G645" s="1866" t="n"/>
      <c r="H645" s="1866" t="n"/>
    </row>
    <row r="646" ht="12.75" customHeight="1" s="1158">
      <c r="A646" s="1863" t="n"/>
      <c r="B646" s="1864" t="n"/>
      <c r="C646" s="1865" t="n"/>
      <c r="D646" s="1866" t="n"/>
      <c r="E646" s="1866" t="n"/>
      <c r="F646" s="1866" t="n"/>
      <c r="G646" s="1866" t="n"/>
      <c r="H646" s="1866" t="n"/>
    </row>
    <row r="647" ht="12.75" customHeight="1" s="1158">
      <c r="A647" s="1863" t="n"/>
      <c r="B647" s="1864" t="n"/>
      <c r="C647" s="1865" t="n"/>
      <c r="D647" s="1866" t="n"/>
      <c r="E647" s="1866" t="n"/>
      <c r="F647" s="1866" t="n"/>
      <c r="G647" s="1866" t="n"/>
      <c r="H647" s="1866" t="n"/>
    </row>
    <row r="648" ht="12.75" customHeight="1" s="1158">
      <c r="A648" s="1863" t="n"/>
      <c r="B648" s="1864" t="n"/>
      <c r="C648" s="1865" t="n"/>
      <c r="D648" s="1866" t="n"/>
      <c r="E648" s="1866" t="n"/>
      <c r="F648" s="1866" t="n"/>
      <c r="G648" s="1866" t="n"/>
      <c r="H648" s="1866" t="n"/>
    </row>
    <row r="649" ht="12.75" customHeight="1" s="1158">
      <c r="A649" s="1863" t="n"/>
      <c r="B649" s="1864" t="n"/>
      <c r="C649" s="1865" t="n"/>
      <c r="D649" s="1866" t="n"/>
      <c r="E649" s="1866" t="n"/>
      <c r="F649" s="1866" t="n"/>
      <c r="G649" s="1866" t="n"/>
      <c r="H649" s="1866" t="n"/>
    </row>
    <row r="650" ht="12.75" customHeight="1" s="1158">
      <c r="A650" s="1863" t="n"/>
      <c r="B650" s="1864" t="n"/>
      <c r="C650" s="1865" t="n"/>
      <c r="D650" s="1866" t="n"/>
      <c r="E650" s="1866" t="n"/>
      <c r="F650" s="1866" t="n"/>
      <c r="G650" s="1866" t="n"/>
      <c r="H650" s="1866" t="n"/>
    </row>
    <row r="651" ht="12.75" customHeight="1" s="1158">
      <c r="A651" s="1863" t="n"/>
      <c r="B651" s="1864" t="n"/>
      <c r="C651" s="1865" t="n"/>
      <c r="D651" s="1866" t="n"/>
      <c r="E651" s="1866" t="n"/>
      <c r="F651" s="1866" t="n"/>
      <c r="G651" s="1866" t="n"/>
      <c r="H651" s="1866" t="n"/>
    </row>
    <row r="652" ht="12.75" customHeight="1" s="1158">
      <c r="A652" s="1863" t="n"/>
      <c r="B652" s="1864" t="n"/>
      <c r="C652" s="1865" t="n"/>
      <c r="D652" s="1866" t="n"/>
      <c r="E652" s="1866" t="n"/>
      <c r="F652" s="1866" t="n"/>
      <c r="G652" s="1866" t="n"/>
      <c r="H652" s="1866" t="n"/>
    </row>
    <row r="653" ht="12.75" customHeight="1" s="1158">
      <c r="A653" s="1863" t="n"/>
      <c r="B653" s="1864" t="n"/>
      <c r="C653" s="1865" t="n"/>
      <c r="D653" s="1866" t="n"/>
      <c r="E653" s="1866" t="n"/>
      <c r="F653" s="1866" t="n"/>
      <c r="G653" s="1866" t="n"/>
      <c r="H653" s="1866" t="n"/>
    </row>
    <row r="654" ht="12.75" customHeight="1" s="1158">
      <c r="A654" s="1863" t="n"/>
      <c r="B654" s="1864" t="n"/>
      <c r="C654" s="1865" t="n"/>
      <c r="D654" s="1866" t="n"/>
      <c r="E654" s="1866" t="n"/>
      <c r="F654" s="1866" t="n"/>
      <c r="G654" s="1866" t="n"/>
      <c r="H654" s="1866" t="n"/>
    </row>
    <row r="655" ht="12.75" customHeight="1" s="1158">
      <c r="A655" s="1863" t="n"/>
      <c r="B655" s="1864" t="n"/>
      <c r="C655" s="1865" t="n"/>
      <c r="D655" s="1866" t="n"/>
      <c r="E655" s="1866" t="n"/>
      <c r="F655" s="1866" t="n"/>
      <c r="G655" s="1866" t="n"/>
      <c r="H655" s="1866" t="n"/>
    </row>
    <row r="656" ht="12.75" customHeight="1" s="1158">
      <c r="A656" s="1863" t="n"/>
      <c r="B656" s="1864" t="n"/>
      <c r="C656" s="1865" t="n"/>
      <c r="D656" s="1866" t="n"/>
      <c r="E656" s="1866" t="n"/>
      <c r="F656" s="1866" t="n"/>
      <c r="G656" s="1866" t="n"/>
      <c r="H656" s="1866" t="n"/>
    </row>
    <row r="657" ht="12.75" customHeight="1" s="1158">
      <c r="A657" s="1863" t="n"/>
      <c r="B657" s="1864" t="n"/>
      <c r="C657" s="1865" t="n"/>
      <c r="D657" s="1866" t="n"/>
      <c r="E657" s="1866" t="n"/>
      <c r="F657" s="1866" t="n"/>
      <c r="G657" s="1866" t="n"/>
      <c r="H657" s="1866" t="n"/>
    </row>
    <row r="658" ht="12.75" customHeight="1" s="1158">
      <c r="A658" s="1863" t="n"/>
      <c r="B658" s="1864" t="n"/>
      <c r="C658" s="1865" t="n"/>
      <c r="D658" s="1866" t="n"/>
      <c r="E658" s="1866" t="n"/>
      <c r="F658" s="1866" t="n"/>
      <c r="G658" s="1866" t="n"/>
      <c r="H658" s="1866" t="n"/>
    </row>
    <row r="659" ht="12.75" customHeight="1" s="1158">
      <c r="A659" s="1863" t="n"/>
      <c r="B659" s="1864" t="n"/>
      <c r="C659" s="1865" t="n"/>
      <c r="D659" s="1866" t="n"/>
      <c r="E659" s="1866" t="n"/>
      <c r="F659" s="1866" t="n"/>
      <c r="G659" s="1866" t="n"/>
      <c r="H659" s="1866" t="n"/>
    </row>
    <row r="660" ht="12.75" customHeight="1" s="1158">
      <c r="A660" s="1863" t="n"/>
      <c r="B660" s="1864" t="n"/>
      <c r="C660" s="1865" t="n"/>
      <c r="D660" s="1866" t="n"/>
      <c r="E660" s="1866" t="n"/>
      <c r="F660" s="1866" t="n"/>
      <c r="G660" s="1866" t="n"/>
      <c r="H660" s="1866" t="n"/>
    </row>
    <row r="661" ht="12.75" customHeight="1" s="1158">
      <c r="A661" s="1863" t="n"/>
      <c r="B661" s="1864" t="n"/>
      <c r="C661" s="1865" t="n"/>
      <c r="D661" s="1866" t="n"/>
      <c r="E661" s="1866" t="n"/>
      <c r="F661" s="1866" t="n"/>
      <c r="G661" s="1866" t="n"/>
      <c r="H661" s="1866" t="n"/>
    </row>
    <row r="662" ht="12.75" customHeight="1" s="1158">
      <c r="A662" s="1863" t="n"/>
      <c r="B662" s="1864" t="n"/>
      <c r="C662" s="1865" t="n"/>
      <c r="D662" s="1866" t="n"/>
      <c r="E662" s="1866" t="n"/>
      <c r="F662" s="1866" t="n"/>
      <c r="G662" s="1866" t="n"/>
      <c r="H662" s="1866" t="n"/>
    </row>
    <row r="663" ht="12.75" customHeight="1" s="1158">
      <c r="A663" s="1863" t="n"/>
      <c r="B663" s="1864" t="n"/>
      <c r="C663" s="1865" t="n"/>
      <c r="D663" s="1866" t="n"/>
      <c r="E663" s="1866" t="n"/>
      <c r="F663" s="1866" t="n"/>
      <c r="G663" s="1866" t="n"/>
      <c r="H663" s="1866" t="n"/>
    </row>
    <row r="664" ht="12.75" customHeight="1" s="1158">
      <c r="A664" s="1863" t="n"/>
      <c r="B664" s="1864" t="n"/>
      <c r="C664" s="1865" t="n"/>
      <c r="D664" s="1866" t="n"/>
      <c r="E664" s="1866" t="n"/>
      <c r="F664" s="1866" t="n"/>
      <c r="G664" s="1866" t="n"/>
      <c r="H664" s="1866" t="n"/>
    </row>
    <row r="665" ht="12.75" customHeight="1" s="1158">
      <c r="A665" s="1863" t="n"/>
      <c r="B665" s="1864" t="n"/>
      <c r="C665" s="1865" t="n"/>
      <c r="D665" s="1866" t="n"/>
      <c r="E665" s="1866" t="n"/>
      <c r="F665" s="1866" t="n"/>
      <c r="G665" s="1866" t="n"/>
      <c r="H665" s="1866" t="n"/>
    </row>
    <row r="666" ht="12.75" customHeight="1" s="1158">
      <c r="A666" s="1863" t="n"/>
      <c r="B666" s="1864" t="n"/>
      <c r="C666" s="1865" t="n"/>
      <c r="D666" s="1866" t="n"/>
      <c r="E666" s="1866" t="n"/>
      <c r="F666" s="1866" t="n"/>
      <c r="G666" s="1866" t="n"/>
      <c r="H666" s="1866" t="n"/>
    </row>
    <row r="667" ht="12.75" customHeight="1" s="1158">
      <c r="A667" s="1863" t="n"/>
      <c r="B667" s="1864" t="n"/>
      <c r="C667" s="1865" t="n"/>
      <c r="D667" s="1866" t="n"/>
      <c r="E667" s="1866" t="n"/>
      <c r="F667" s="1866" t="n"/>
      <c r="G667" s="1866" t="n"/>
      <c r="H667" s="1866" t="n"/>
    </row>
    <row r="668" ht="12.75" customHeight="1" s="1158">
      <c r="A668" s="1863" t="n"/>
      <c r="B668" s="1864" t="n"/>
      <c r="C668" s="1865" t="n"/>
      <c r="D668" s="1866" t="n"/>
      <c r="E668" s="1866" t="n"/>
      <c r="F668" s="1866" t="n"/>
      <c r="G668" s="1866" t="n"/>
      <c r="H668" s="1866" t="n"/>
    </row>
    <row r="669" ht="12.75" customHeight="1" s="1158">
      <c r="A669" s="1863" t="n"/>
      <c r="B669" s="1864" t="n"/>
      <c r="C669" s="1865" t="n"/>
      <c r="D669" s="1866" t="n"/>
      <c r="E669" s="1866" t="n"/>
      <c r="F669" s="1866" t="n"/>
      <c r="G669" s="1866" t="n"/>
      <c r="H669" s="1866" t="n"/>
    </row>
    <row r="670" ht="12.75" customHeight="1" s="1158">
      <c r="A670" s="1863" t="n"/>
      <c r="B670" s="1864" t="n"/>
      <c r="C670" s="1865" t="n"/>
      <c r="D670" s="1866" t="n"/>
      <c r="E670" s="1866" t="n"/>
      <c r="F670" s="1866" t="n"/>
      <c r="G670" s="1866" t="n"/>
      <c r="H670" s="1866" t="n"/>
    </row>
    <row r="671" ht="12.75" customHeight="1" s="1158">
      <c r="A671" s="1863" t="n"/>
      <c r="B671" s="1864" t="n"/>
      <c r="C671" s="1865" t="n"/>
      <c r="D671" s="1866" t="n"/>
      <c r="E671" s="1866" t="n"/>
      <c r="F671" s="1866" t="n"/>
      <c r="G671" s="1866" t="n"/>
      <c r="H671" s="1866" t="n"/>
    </row>
    <row r="672" ht="12.75" customHeight="1" s="1158">
      <c r="A672" s="1863" t="n"/>
      <c r="B672" s="1864" t="n"/>
      <c r="C672" s="1865" t="n"/>
      <c r="D672" s="1866" t="n"/>
      <c r="E672" s="1866" t="n"/>
      <c r="F672" s="1866" t="n"/>
      <c r="G672" s="1866" t="n"/>
      <c r="H672" s="1866" t="n"/>
    </row>
    <row r="673" ht="12.75" customHeight="1" s="1158">
      <c r="A673" s="1863" t="n"/>
      <c r="B673" s="1864" t="n"/>
      <c r="C673" s="1865" t="n"/>
      <c r="D673" s="1866" t="n"/>
      <c r="E673" s="1866" t="n"/>
      <c r="F673" s="1866" t="n"/>
      <c r="G673" s="1866" t="n"/>
      <c r="H673" s="1866" t="n"/>
    </row>
    <row r="674" ht="12.75" customHeight="1" s="1158">
      <c r="A674" s="1863" t="n"/>
      <c r="B674" s="1864" t="n"/>
      <c r="C674" s="1865" t="n"/>
      <c r="D674" s="1866" t="n"/>
      <c r="E674" s="1866" t="n"/>
      <c r="F674" s="1866" t="n"/>
      <c r="G674" s="1866" t="n"/>
      <c r="H674" s="1866" t="n"/>
    </row>
    <row r="675" ht="12.75" customHeight="1" s="1158">
      <c r="A675" s="1863" t="n"/>
      <c r="B675" s="1864" t="n"/>
      <c r="C675" s="1865" t="n"/>
      <c r="D675" s="1866" t="n"/>
      <c r="E675" s="1866" t="n"/>
      <c r="F675" s="1866" t="n"/>
      <c r="G675" s="1866" t="n"/>
      <c r="H675" s="1866" t="n"/>
    </row>
    <row r="676" ht="12.75" customHeight="1" s="1158">
      <c r="A676" s="1863" t="n"/>
      <c r="B676" s="1864" t="n"/>
      <c r="C676" s="1865" t="n"/>
      <c r="D676" s="1866" t="n"/>
      <c r="E676" s="1866" t="n"/>
      <c r="F676" s="1866" t="n"/>
      <c r="G676" s="1866" t="n"/>
      <c r="H676" s="1866" t="n"/>
    </row>
    <row r="677" ht="12.75" customHeight="1" s="1158">
      <c r="A677" s="1863" t="n"/>
      <c r="B677" s="1864" t="n"/>
      <c r="C677" s="1865" t="n"/>
      <c r="D677" s="1866" t="n"/>
      <c r="E677" s="1866" t="n"/>
      <c r="F677" s="1866" t="n"/>
      <c r="G677" s="1866" t="n"/>
      <c r="H677" s="1866" t="n"/>
    </row>
    <row r="678" ht="12.75" customHeight="1" s="1158">
      <c r="A678" s="1863" t="n"/>
      <c r="B678" s="1864" t="n"/>
      <c r="C678" s="1865" t="n"/>
      <c r="D678" s="1866" t="n"/>
      <c r="E678" s="1866" t="n"/>
      <c r="F678" s="1866" t="n"/>
      <c r="G678" s="1866" t="n"/>
      <c r="H678" s="1866" t="n"/>
    </row>
    <row r="679" ht="12.75" customHeight="1" s="1158">
      <c r="A679" s="1863" t="n"/>
      <c r="B679" s="1864" t="n"/>
      <c r="C679" s="1865" t="n"/>
      <c r="D679" s="1866" t="n"/>
      <c r="E679" s="1866" t="n"/>
      <c r="F679" s="1866" t="n"/>
      <c r="G679" s="1866" t="n"/>
      <c r="H679" s="1866" t="n"/>
    </row>
    <row r="680" ht="12.75" customHeight="1" s="1158">
      <c r="A680" s="1863" t="n"/>
      <c r="B680" s="1864" t="n"/>
      <c r="C680" s="1865" t="n"/>
      <c r="D680" s="1866" t="n"/>
      <c r="E680" s="1866" t="n"/>
      <c r="F680" s="1866" t="n"/>
      <c r="G680" s="1866" t="n"/>
      <c r="H680" s="1866" t="n"/>
    </row>
    <row r="681" ht="12.75" customHeight="1" s="1158">
      <c r="A681" s="1863" t="n"/>
      <c r="B681" s="1864" t="n"/>
      <c r="C681" s="1865" t="n"/>
      <c r="D681" s="1866" t="n"/>
      <c r="E681" s="1866" t="n"/>
      <c r="F681" s="1866" t="n"/>
      <c r="G681" s="1866" t="n"/>
      <c r="H681" s="1866" t="n"/>
    </row>
    <row r="682" ht="12.75" customHeight="1" s="1158">
      <c r="A682" s="1863" t="n"/>
      <c r="B682" s="1864" t="n"/>
      <c r="C682" s="1865" t="n"/>
      <c r="D682" s="1866" t="n"/>
      <c r="E682" s="1866" t="n"/>
      <c r="F682" s="1866" t="n"/>
      <c r="G682" s="1866" t="n"/>
      <c r="H682" s="1866" t="n"/>
    </row>
    <row r="683" ht="12.75" customHeight="1" s="1158">
      <c r="A683" s="1863" t="n"/>
      <c r="B683" s="1864" t="n"/>
      <c r="C683" s="1865" t="n"/>
      <c r="D683" s="1866" t="n"/>
      <c r="E683" s="1866" t="n"/>
      <c r="F683" s="1866" t="n"/>
      <c r="G683" s="1866" t="n"/>
      <c r="H683" s="1866" t="n"/>
    </row>
    <row r="684" ht="12.75" customHeight="1" s="1158">
      <c r="A684" s="1863" t="n"/>
      <c r="B684" s="1864" t="n"/>
      <c r="C684" s="1865" t="n"/>
      <c r="D684" s="1866" t="n"/>
      <c r="E684" s="1866" t="n"/>
      <c r="F684" s="1866" t="n"/>
      <c r="G684" s="1866" t="n"/>
      <c r="H684" s="1866" t="n"/>
    </row>
    <row r="685" ht="12.75" customHeight="1" s="1158">
      <c r="A685" s="1863" t="n"/>
      <c r="B685" s="1864" t="n"/>
      <c r="C685" s="1865" t="n"/>
      <c r="D685" s="1866" t="n"/>
      <c r="E685" s="1866" t="n"/>
      <c r="F685" s="1866" t="n"/>
      <c r="G685" s="1866" t="n"/>
      <c r="H685" s="1866" t="n"/>
    </row>
    <row r="686" ht="12.75" customHeight="1" s="1158">
      <c r="A686" s="1863" t="n"/>
      <c r="B686" s="1864" t="n"/>
      <c r="C686" s="1865" t="n"/>
      <c r="D686" s="1866" t="n"/>
      <c r="E686" s="1866" t="n"/>
      <c r="F686" s="1866" t="n"/>
      <c r="G686" s="1866" t="n"/>
      <c r="H686" s="1866" t="n"/>
    </row>
    <row r="687" ht="12.75" customHeight="1" s="1158">
      <c r="A687" s="1863" t="n"/>
      <c r="B687" s="1864" t="n"/>
      <c r="C687" s="1865" t="n"/>
      <c r="D687" s="1866" t="n"/>
      <c r="E687" s="1866" t="n"/>
      <c r="F687" s="1866" t="n"/>
      <c r="G687" s="1866" t="n"/>
      <c r="H687" s="1866" t="n"/>
    </row>
    <row r="688" ht="12.75" customHeight="1" s="1158">
      <c r="A688" s="1863" t="n"/>
      <c r="B688" s="1864" t="n"/>
      <c r="C688" s="1865" t="n"/>
      <c r="D688" s="1866" t="n"/>
      <c r="E688" s="1866" t="n"/>
      <c r="F688" s="1866" t="n"/>
      <c r="G688" s="1866" t="n"/>
      <c r="H688" s="1866" t="n"/>
    </row>
    <row r="689" ht="12.75" customHeight="1" s="1158">
      <c r="A689" s="1863" t="n"/>
      <c r="B689" s="1864" t="n"/>
      <c r="C689" s="1865" t="n"/>
      <c r="D689" s="1866" t="n"/>
      <c r="E689" s="1866" t="n"/>
      <c r="F689" s="1866" t="n"/>
      <c r="G689" s="1866" t="n"/>
      <c r="H689" s="1866" t="n"/>
    </row>
    <row r="690" ht="12.75" customHeight="1" s="1158">
      <c r="A690" s="1863" t="n"/>
      <c r="B690" s="1864" t="n"/>
      <c r="C690" s="1865" t="n"/>
      <c r="D690" s="1866" t="n"/>
      <c r="E690" s="1866" t="n"/>
      <c r="F690" s="1866" t="n"/>
      <c r="G690" s="1866" t="n"/>
      <c r="H690" s="1866" t="n"/>
    </row>
    <row r="691" ht="12.75" customHeight="1" s="1158">
      <c r="A691" s="1863" t="n"/>
      <c r="B691" s="1864" t="n"/>
      <c r="C691" s="1865" t="n"/>
      <c r="D691" s="1866" t="n"/>
      <c r="E691" s="1866" t="n"/>
      <c r="F691" s="1866" t="n"/>
      <c r="G691" s="1866" t="n"/>
      <c r="H691" s="1866" t="n"/>
    </row>
    <row r="692" ht="12.75" customHeight="1" s="1158">
      <c r="A692" s="1863" t="n"/>
      <c r="B692" s="1864" t="n"/>
      <c r="C692" s="1865" t="n"/>
      <c r="D692" s="1866" t="n"/>
      <c r="E692" s="1866" t="n"/>
      <c r="F692" s="1866" t="n"/>
      <c r="G692" s="1866" t="n"/>
      <c r="H692" s="1866" t="n"/>
    </row>
    <row r="693" ht="12.75" customHeight="1" s="1158">
      <c r="A693" s="1863" t="n"/>
      <c r="B693" s="1864" t="n"/>
      <c r="C693" s="1865" t="n"/>
      <c r="D693" s="1866" t="n"/>
      <c r="E693" s="1866" t="n"/>
      <c r="F693" s="1866" t="n"/>
      <c r="G693" s="1866" t="n"/>
      <c r="H693" s="1866" t="n"/>
    </row>
    <row r="694" ht="12.75" customHeight="1" s="1158">
      <c r="A694" s="1863" t="n"/>
      <c r="B694" s="1864" t="n"/>
      <c r="C694" s="1865" t="n"/>
      <c r="D694" s="1866" t="n"/>
      <c r="E694" s="1866" t="n"/>
      <c r="F694" s="1866" t="n"/>
      <c r="G694" s="1866" t="n"/>
      <c r="H694" s="1866" t="n"/>
    </row>
    <row r="695" ht="12.75" customHeight="1" s="1158">
      <c r="A695" s="1863" t="n"/>
      <c r="B695" s="1864" t="n"/>
      <c r="C695" s="1865" t="n"/>
      <c r="D695" s="1866" t="n"/>
      <c r="E695" s="1866" t="n"/>
      <c r="F695" s="1866" t="n"/>
      <c r="G695" s="1866" t="n"/>
      <c r="H695" s="1866" t="n"/>
    </row>
    <row r="696" ht="12.75" customHeight="1" s="1158">
      <c r="A696" s="1863" t="n"/>
      <c r="B696" s="1864" t="n"/>
      <c r="C696" s="1865" t="n"/>
      <c r="D696" s="1866" t="n"/>
      <c r="E696" s="1866" t="n"/>
      <c r="F696" s="1866" t="n"/>
      <c r="G696" s="1866" t="n"/>
      <c r="H696" s="1866" t="n"/>
    </row>
    <row r="697" ht="12.75" customHeight="1" s="1158">
      <c r="A697" s="1863" t="n"/>
      <c r="B697" s="1864" t="n"/>
      <c r="C697" s="1865" t="n"/>
      <c r="D697" s="1866" t="n"/>
      <c r="E697" s="1866" t="n"/>
      <c r="F697" s="1866" t="n"/>
      <c r="G697" s="1866" t="n"/>
      <c r="H697" s="1866" t="n"/>
    </row>
    <row r="698" ht="12.75" customHeight="1" s="1158">
      <c r="A698" s="1863" t="n"/>
      <c r="B698" s="1864" t="n"/>
      <c r="C698" s="1865" t="n"/>
      <c r="D698" s="1866" t="n"/>
      <c r="E698" s="1866" t="n"/>
      <c r="F698" s="1866" t="n"/>
      <c r="G698" s="1866" t="n"/>
      <c r="H698" s="1866" t="n"/>
    </row>
    <row r="699" ht="12.75" customHeight="1" s="1158">
      <c r="A699" s="1863" t="n"/>
      <c r="B699" s="1864" t="n"/>
      <c r="C699" s="1865" t="n"/>
      <c r="D699" s="1866" t="n"/>
      <c r="E699" s="1866" t="n"/>
      <c r="F699" s="1866" t="n"/>
      <c r="G699" s="1866" t="n"/>
      <c r="H699" s="1866" t="n"/>
    </row>
    <row r="700" ht="12.75" customHeight="1" s="1158">
      <c r="A700" s="1863" t="n"/>
      <c r="B700" s="1864" t="n"/>
      <c r="C700" s="1865" t="n"/>
      <c r="D700" s="1866" t="n"/>
      <c r="E700" s="1866" t="n"/>
      <c r="F700" s="1866" t="n"/>
      <c r="G700" s="1866" t="n"/>
      <c r="H700" s="1866" t="n"/>
    </row>
    <row r="701" ht="12.75" customHeight="1" s="1158">
      <c r="A701" s="1863" t="n"/>
      <c r="B701" s="1864" t="n"/>
      <c r="C701" s="1865" t="n"/>
      <c r="D701" s="1866" t="n"/>
      <c r="E701" s="1866" t="n"/>
      <c r="F701" s="1866" t="n"/>
      <c r="G701" s="1866" t="n"/>
      <c r="H701" s="1866" t="n"/>
    </row>
    <row r="702" ht="12.75" customHeight="1" s="1158">
      <c r="A702" s="1863" t="n"/>
      <c r="B702" s="1864" t="n"/>
      <c r="C702" s="1865" t="n"/>
      <c r="D702" s="1866" t="n"/>
      <c r="E702" s="1866" t="n"/>
      <c r="F702" s="1866" t="n"/>
      <c r="G702" s="1866" t="n"/>
      <c r="H702" s="1866" t="n"/>
    </row>
    <row r="703" ht="12.75" customHeight="1" s="1158">
      <c r="A703" s="1863" t="n"/>
      <c r="B703" s="1864" t="n"/>
      <c r="C703" s="1865" t="n"/>
      <c r="D703" s="1866" t="n"/>
      <c r="E703" s="1866" t="n"/>
      <c r="F703" s="1866" t="n"/>
      <c r="G703" s="1866" t="n"/>
      <c r="H703" s="1866" t="n"/>
    </row>
    <row r="704" ht="12.75" customHeight="1" s="1158">
      <c r="A704" s="1863" t="n"/>
      <c r="B704" s="1864" t="n"/>
      <c r="C704" s="1865" t="n"/>
      <c r="D704" s="1866" t="n"/>
      <c r="E704" s="1866" t="n"/>
      <c r="F704" s="1866" t="n"/>
      <c r="G704" s="1866" t="n"/>
      <c r="H704" s="1866" t="n"/>
    </row>
    <row r="705" ht="12.75" customHeight="1" s="1158">
      <c r="A705" s="1863" t="n"/>
      <c r="B705" s="1864" t="n"/>
      <c r="C705" s="1865" t="n"/>
      <c r="D705" s="1866" t="n"/>
      <c r="E705" s="1866" t="n"/>
      <c r="F705" s="1866" t="n"/>
      <c r="G705" s="1866" t="n"/>
      <c r="H705" s="1866" t="n"/>
    </row>
    <row r="706" ht="12.75" customHeight="1" s="1158">
      <c r="A706" s="1863" t="n"/>
      <c r="B706" s="1864" t="n"/>
      <c r="C706" s="1865" t="n"/>
      <c r="D706" s="1866" t="n"/>
      <c r="E706" s="1866" t="n"/>
      <c r="F706" s="1866" t="n"/>
      <c r="G706" s="1866" t="n"/>
      <c r="H706" s="1866" t="n"/>
    </row>
    <row r="707" ht="12.75" customHeight="1" s="1158">
      <c r="A707" s="1863" t="n"/>
      <c r="B707" s="1864" t="n"/>
      <c r="C707" s="1865" t="n"/>
      <c r="D707" s="1866" t="n"/>
      <c r="E707" s="1866" t="n"/>
      <c r="F707" s="1866" t="n"/>
      <c r="G707" s="1866" t="n"/>
      <c r="H707" s="1866" t="n"/>
    </row>
    <row r="708" ht="12.75" customHeight="1" s="1158">
      <c r="A708" s="1863" t="n"/>
      <c r="B708" s="1864" t="n"/>
      <c r="C708" s="1865" t="n"/>
      <c r="D708" s="1866" t="n"/>
      <c r="E708" s="1866" t="n"/>
      <c r="F708" s="1866" t="n"/>
      <c r="G708" s="1866" t="n"/>
      <c r="H708" s="1866" t="n"/>
    </row>
    <row r="709" ht="12.75" customHeight="1" s="1158">
      <c r="A709" s="1863" t="n"/>
      <c r="B709" s="1864" t="n"/>
      <c r="C709" s="1865" t="n"/>
      <c r="D709" s="1866" t="n"/>
      <c r="E709" s="1866" t="n"/>
      <c r="F709" s="1866" t="n"/>
      <c r="G709" s="1866" t="n"/>
      <c r="H709" s="1866" t="n"/>
    </row>
    <row r="710" ht="12.75" customHeight="1" s="1158">
      <c r="A710" s="1863" t="n"/>
      <c r="B710" s="1864" t="n"/>
      <c r="C710" s="1865" t="n"/>
      <c r="D710" s="1866" t="n"/>
      <c r="E710" s="1866" t="n"/>
      <c r="F710" s="1866" t="n"/>
      <c r="G710" s="1866" t="n"/>
      <c r="H710" s="1866" t="n"/>
    </row>
    <row r="711" ht="12.75" customHeight="1" s="1158">
      <c r="A711" s="1863" t="n"/>
      <c r="B711" s="1864" t="n"/>
      <c r="C711" s="1865" t="n"/>
      <c r="D711" s="1866" t="n"/>
      <c r="E711" s="1866" t="n"/>
      <c r="F711" s="1866" t="n"/>
      <c r="G711" s="1866" t="n"/>
      <c r="H711" s="1866" t="n"/>
    </row>
    <row r="712" ht="12.75" customHeight="1" s="1158">
      <c r="A712" s="1863" t="n"/>
      <c r="B712" s="1864" t="n"/>
      <c r="C712" s="1865" t="n"/>
      <c r="D712" s="1866" t="n"/>
      <c r="E712" s="1866" t="n"/>
      <c r="F712" s="1866" t="n"/>
      <c r="G712" s="1866" t="n"/>
      <c r="H712" s="1866" t="n"/>
    </row>
    <row r="713" ht="12.75" customHeight="1" s="1158">
      <c r="A713" s="1863" t="n"/>
      <c r="B713" s="1864" t="n"/>
      <c r="C713" s="1865" t="n"/>
      <c r="D713" s="1866" t="n"/>
      <c r="E713" s="1866" t="n"/>
      <c r="F713" s="1866" t="n"/>
      <c r="G713" s="1866" t="n"/>
      <c r="H713" s="1866" t="n"/>
    </row>
    <row r="714" ht="12.75" customHeight="1" s="1158">
      <c r="A714" s="1863" t="n"/>
      <c r="B714" s="1864" t="n"/>
      <c r="C714" s="1865" t="n"/>
      <c r="D714" s="1866" t="n"/>
      <c r="E714" s="1866" t="n"/>
      <c r="F714" s="1866" t="n"/>
      <c r="G714" s="1866" t="n"/>
      <c r="H714" s="1866" t="n"/>
    </row>
    <row r="715" ht="12.75" customHeight="1" s="1158">
      <c r="A715" s="1863" t="n"/>
      <c r="B715" s="1864" t="n"/>
      <c r="C715" s="1865" t="n"/>
      <c r="D715" s="1866" t="n"/>
      <c r="E715" s="1866" t="n"/>
      <c r="F715" s="1866" t="n"/>
      <c r="G715" s="1866" t="n"/>
      <c r="H715" s="1866" t="n"/>
    </row>
    <row r="716" ht="12.75" customHeight="1" s="1158">
      <c r="A716" s="1863" t="n"/>
      <c r="B716" s="1864" t="n"/>
      <c r="C716" s="1865" t="n"/>
      <c r="D716" s="1866" t="n"/>
      <c r="E716" s="1866" t="n"/>
      <c r="F716" s="1866" t="n"/>
      <c r="G716" s="1866" t="n"/>
      <c r="H716" s="1866" t="n"/>
    </row>
    <row r="717" ht="12.75" customHeight="1" s="1158">
      <c r="A717" s="1863" t="n"/>
      <c r="B717" s="1864" t="n"/>
      <c r="C717" s="1865" t="n"/>
      <c r="D717" s="1866" t="n"/>
      <c r="E717" s="1866" t="n"/>
      <c r="F717" s="1866" t="n"/>
      <c r="G717" s="1866" t="n"/>
      <c r="H717" s="1866" t="n"/>
    </row>
    <row r="718" ht="12.75" customHeight="1" s="1158">
      <c r="A718" s="1863" t="n"/>
      <c r="B718" s="1864" t="n"/>
      <c r="C718" s="1865" t="n"/>
      <c r="D718" s="1866" t="n"/>
      <c r="E718" s="1866" t="n"/>
      <c r="F718" s="1866" t="n"/>
      <c r="G718" s="1866" t="n"/>
      <c r="H718" s="1866" t="n"/>
    </row>
    <row r="719" ht="12.75" customHeight="1" s="1158">
      <c r="A719" s="1863" t="n"/>
      <c r="B719" s="1864" t="n"/>
      <c r="C719" s="1865" t="n"/>
      <c r="D719" s="1866" t="n"/>
      <c r="E719" s="1866" t="n"/>
      <c r="F719" s="1866" t="n"/>
      <c r="G719" s="1866" t="n"/>
      <c r="H719" s="1866" t="n"/>
    </row>
    <row r="720" ht="12.75" customHeight="1" s="1158">
      <c r="A720" s="1867" t="n"/>
      <c r="B720" s="1864" t="n"/>
      <c r="C720" s="1865" t="n"/>
      <c r="D720" s="1866" t="n"/>
      <c r="E720" s="1866" t="n"/>
      <c r="F720" s="1866" t="n"/>
      <c r="G720" s="1866" t="n"/>
      <c r="H720" s="1866" t="n"/>
    </row>
    <row r="721" ht="12.75" customHeight="1" s="1158">
      <c r="A721" s="1867" t="n"/>
      <c r="B721" s="1864" t="n"/>
      <c r="C721" s="1865" t="n"/>
      <c r="D721" s="1866" t="n"/>
      <c r="E721" s="1866" t="n"/>
      <c r="F721" s="1866" t="n"/>
      <c r="G721" s="1866" t="n"/>
      <c r="H721" s="1866" t="n"/>
    </row>
    <row r="722" ht="12.75" customHeight="1" s="1158">
      <c r="A722" s="1867" t="n"/>
      <c r="B722" s="1864" t="n"/>
      <c r="C722" s="1865" t="n"/>
      <c r="D722" s="1866" t="n"/>
      <c r="E722" s="1866" t="n"/>
      <c r="F722" s="1866" t="n"/>
      <c r="G722" s="1866" t="n"/>
      <c r="H722" s="1866" t="n"/>
    </row>
    <row r="723" ht="12.75" customHeight="1" s="1158">
      <c r="A723" s="1867" t="n"/>
      <c r="B723" s="1864" t="n"/>
      <c r="C723" s="1865" t="n"/>
      <c r="D723" s="1866" t="n"/>
      <c r="E723" s="1866" t="n"/>
      <c r="F723" s="1866" t="n"/>
      <c r="G723" s="1866" t="n"/>
      <c r="H723" s="1866" t="n"/>
    </row>
    <row r="724" ht="12.75" customHeight="1" s="1158">
      <c r="A724" s="1867" t="n"/>
      <c r="B724" s="1864" t="n"/>
      <c r="C724" s="1865" t="n"/>
      <c r="D724" s="1866" t="n"/>
      <c r="E724" s="1866" t="n"/>
      <c r="F724" s="1866" t="n"/>
      <c r="G724" s="1866" t="n"/>
      <c r="H724" s="1866" t="n"/>
    </row>
    <row r="725" ht="12.75" customHeight="1" s="1158">
      <c r="A725" s="1867" t="n"/>
      <c r="B725" s="1864" t="n"/>
      <c r="C725" s="1865" t="n"/>
      <c r="D725" s="1866" t="n"/>
      <c r="E725" s="1866" t="n"/>
      <c r="F725" s="1866" t="n"/>
      <c r="G725" s="1866" t="n"/>
      <c r="H725" s="1866" t="n"/>
    </row>
    <row r="726" ht="12.75" customHeight="1" s="1158">
      <c r="A726" s="1867" t="n"/>
      <c r="B726" s="1864" t="n"/>
      <c r="C726" s="1865" t="n"/>
      <c r="D726" s="1866" t="n"/>
      <c r="E726" s="1866" t="n"/>
      <c r="F726" s="1866" t="n"/>
      <c r="G726" s="1866" t="n"/>
      <c r="H726" s="1866" t="n"/>
    </row>
    <row r="727" ht="12.75" customHeight="1" s="1158">
      <c r="A727" s="1867" t="n"/>
      <c r="B727" s="1864" t="n"/>
      <c r="C727" s="1865" t="n"/>
      <c r="D727" s="1866" t="n"/>
      <c r="E727" s="1866" t="n"/>
      <c r="F727" s="1866" t="n"/>
      <c r="G727" s="1866" t="n"/>
      <c r="H727" s="1866" t="n"/>
    </row>
    <row r="728" ht="12.75" customHeight="1" s="1158">
      <c r="A728" s="1867" t="n"/>
      <c r="B728" s="1864" t="n"/>
      <c r="C728" s="1865" t="n"/>
      <c r="D728" s="1866" t="n"/>
      <c r="E728" s="1866" t="n"/>
      <c r="F728" s="1866" t="n"/>
      <c r="G728" s="1866" t="n"/>
      <c r="H728" s="1866" t="n"/>
    </row>
    <row r="729" ht="12.75" customHeight="1" s="1158">
      <c r="A729" s="1867" t="n"/>
      <c r="B729" s="1864" t="n"/>
      <c r="C729" s="1865" t="n"/>
      <c r="D729" s="1866" t="n"/>
      <c r="E729" s="1866" t="n"/>
      <c r="F729" s="1866" t="n"/>
      <c r="G729" s="1866" t="n"/>
      <c r="H729" s="1866" t="n"/>
    </row>
    <row r="730" ht="12.75" customHeight="1" s="1158">
      <c r="A730" s="1867" t="n"/>
      <c r="B730" s="1864" t="n"/>
      <c r="C730" s="1865" t="n"/>
      <c r="D730" s="1866" t="n"/>
      <c r="E730" s="1866" t="n"/>
      <c r="F730" s="1866" t="n"/>
      <c r="G730" s="1866" t="n"/>
      <c r="H730" s="1866" t="n"/>
    </row>
    <row r="731" ht="12.75" customHeight="1" s="1158">
      <c r="A731" s="1867" t="n"/>
      <c r="B731" s="1864" t="n"/>
      <c r="C731" s="1865" t="n"/>
      <c r="D731" s="1866" t="n"/>
      <c r="E731" s="1866" t="n"/>
      <c r="F731" s="1866" t="n"/>
      <c r="G731" s="1866" t="n"/>
      <c r="H731" s="1866" t="n"/>
    </row>
    <row r="732" ht="12.75" customHeight="1" s="1158">
      <c r="A732" s="1867" t="n"/>
      <c r="B732" s="1864" t="n"/>
      <c r="C732" s="1865" t="n"/>
      <c r="D732" s="1866" t="n"/>
      <c r="E732" s="1866" t="n"/>
      <c r="F732" s="1866" t="n"/>
      <c r="G732" s="1866" t="n"/>
      <c r="H732" s="1866" t="n"/>
    </row>
    <row r="733" ht="12.75" customHeight="1" s="1158">
      <c r="A733" s="1867" t="n"/>
      <c r="B733" s="1864" t="n"/>
      <c r="C733" s="1865" t="n"/>
      <c r="D733" s="1866" t="n"/>
      <c r="E733" s="1866" t="n"/>
      <c r="F733" s="1866" t="n"/>
      <c r="G733" s="1866" t="n"/>
      <c r="H733" s="1866" t="n"/>
    </row>
    <row r="734" ht="12.75" customHeight="1" s="1158">
      <c r="A734" s="1867" t="n"/>
      <c r="B734" s="1864" t="n"/>
      <c r="C734" s="1865" t="n"/>
      <c r="D734" s="1866" t="n"/>
      <c r="E734" s="1866" t="n"/>
      <c r="F734" s="1866" t="n"/>
      <c r="G734" s="1866" t="n"/>
      <c r="H734" s="1866" t="n"/>
    </row>
    <row r="735" ht="12.75" customHeight="1" s="1158">
      <c r="A735" s="1867" t="n"/>
      <c r="B735" s="1864" t="n"/>
      <c r="C735" s="1865" t="n"/>
      <c r="D735" s="1866" t="n"/>
      <c r="E735" s="1866" t="n"/>
      <c r="F735" s="1866" t="n"/>
      <c r="G735" s="1866" t="n"/>
      <c r="H735" s="1866" t="n"/>
    </row>
    <row r="736" ht="12.75" customHeight="1" s="1158">
      <c r="A736" s="1867" t="n"/>
      <c r="B736" s="1864" t="n"/>
      <c r="C736" s="1865" t="n"/>
      <c r="D736" s="1866" t="n"/>
      <c r="E736" s="1866" t="n"/>
      <c r="F736" s="1866" t="n"/>
      <c r="G736" s="1866" t="n"/>
      <c r="H736" s="1866" t="n"/>
    </row>
    <row r="737" ht="12.75" customHeight="1" s="1158">
      <c r="A737" s="1867" t="n"/>
      <c r="B737" s="1864" t="n"/>
      <c r="C737" s="1865" t="n"/>
      <c r="D737" s="1866" t="n"/>
      <c r="E737" s="1866" t="n"/>
      <c r="F737" s="1866" t="n"/>
      <c r="G737" s="1866" t="n"/>
      <c r="H737" s="1866" t="n"/>
    </row>
    <row r="738" ht="12.75" customHeight="1" s="1158">
      <c r="A738" s="1867" t="n"/>
      <c r="B738" s="1864" t="n"/>
      <c r="C738" s="1865" t="n"/>
      <c r="D738" s="1866" t="n"/>
      <c r="E738" s="1866" t="n"/>
      <c r="F738" s="1866" t="n"/>
      <c r="G738" s="1866" t="n"/>
      <c r="H738" s="1866" t="n"/>
    </row>
    <row r="739" ht="12.75" customHeight="1" s="1158">
      <c r="A739" s="1867" t="n"/>
      <c r="B739" s="1864" t="n"/>
      <c r="C739" s="1865" t="n"/>
      <c r="D739" s="1866" t="n"/>
      <c r="E739" s="1866" t="n"/>
      <c r="F739" s="1866" t="n"/>
      <c r="G739" s="1866" t="n"/>
      <c r="H739" s="1866" t="n"/>
    </row>
    <row r="740" ht="12.75" customHeight="1" s="1158">
      <c r="A740" s="1867" t="n"/>
      <c r="B740" s="1864" t="n"/>
      <c r="C740" s="1865" t="n"/>
      <c r="D740" s="1866" t="n"/>
      <c r="E740" s="1866" t="n"/>
      <c r="F740" s="1866" t="n"/>
      <c r="G740" s="1866" t="n"/>
      <c r="H740" s="1866" t="n"/>
    </row>
    <row r="741" ht="12.75" customHeight="1" s="1158">
      <c r="A741" s="1867" t="n"/>
      <c r="B741" s="1864" t="n"/>
      <c r="C741" s="1865" t="n"/>
      <c r="D741" s="1866" t="n"/>
      <c r="E741" s="1866" t="n"/>
      <c r="F741" s="1866" t="n"/>
      <c r="G741" s="1866" t="n"/>
      <c r="H741" s="1866" t="n"/>
    </row>
    <row r="742" ht="12.75" customHeight="1" s="1158">
      <c r="A742" s="1867" t="n"/>
      <c r="B742" s="1864" t="n"/>
      <c r="C742" s="1865" t="n"/>
      <c r="D742" s="1866" t="n"/>
      <c r="E742" s="1866" t="n"/>
      <c r="F742" s="1866" t="n"/>
      <c r="G742" s="1866" t="n"/>
      <c r="H742" s="1866" t="n"/>
    </row>
    <row r="743" ht="12.75" customHeight="1" s="1158">
      <c r="A743" s="1867" t="n"/>
      <c r="B743" s="1864" t="n"/>
      <c r="C743" s="1865" t="n"/>
      <c r="D743" s="1866" t="n"/>
      <c r="E743" s="1866" t="n"/>
      <c r="F743" s="1866" t="n"/>
      <c r="G743" s="1866" t="n"/>
      <c r="H743" s="1866" t="n"/>
    </row>
    <row r="744" ht="12.75" customHeight="1" s="1158">
      <c r="A744" s="1867" t="n"/>
      <c r="B744" s="1864" t="n"/>
      <c r="C744" s="1865" t="n"/>
      <c r="D744" s="1866" t="n"/>
      <c r="E744" s="1866" t="n"/>
      <c r="F744" s="1866" t="n"/>
      <c r="G744" s="1866" t="n"/>
      <c r="H744" s="1866" t="n"/>
    </row>
    <row r="745" ht="12.75" customHeight="1" s="1158">
      <c r="A745" s="1867" t="n"/>
      <c r="B745" s="1864" t="n"/>
      <c r="C745" s="1865" t="n"/>
      <c r="D745" s="1866" t="n"/>
      <c r="E745" s="1866" t="n"/>
      <c r="F745" s="1866" t="n"/>
      <c r="G745" s="1866" t="n"/>
      <c r="H745" s="1866" t="n"/>
    </row>
    <row r="746" ht="12.75" customHeight="1" s="1158">
      <c r="A746" s="1867" t="n"/>
      <c r="B746" s="1864" t="n"/>
      <c r="C746" s="1865" t="n"/>
      <c r="D746" s="1866" t="n"/>
      <c r="E746" s="1866" t="n"/>
      <c r="F746" s="1866" t="n"/>
      <c r="G746" s="1866" t="n"/>
      <c r="H746" s="1866" t="n"/>
    </row>
    <row r="747" ht="12.75" customHeight="1" s="1158">
      <c r="A747" s="1867" t="n"/>
      <c r="B747" s="1864" t="n"/>
      <c r="C747" s="1865" t="n"/>
      <c r="D747" s="1866" t="n"/>
      <c r="E747" s="1866" t="n"/>
      <c r="F747" s="1866" t="n"/>
      <c r="G747" s="1866" t="n"/>
      <c r="H747" s="1866" t="n"/>
    </row>
    <row r="748" ht="12.75" customHeight="1" s="1158">
      <c r="A748" s="1867" t="n"/>
      <c r="B748" s="1864" t="n"/>
      <c r="C748" s="1865" t="n"/>
      <c r="D748" s="1866" t="n"/>
      <c r="E748" s="1866" t="n"/>
      <c r="F748" s="1866" t="n"/>
      <c r="G748" s="1866" t="n"/>
      <c r="H748" s="1866" t="n"/>
    </row>
    <row r="749" ht="12.75" customHeight="1" s="1158">
      <c r="A749" s="1867" t="n"/>
      <c r="B749" s="1864" t="n"/>
      <c r="C749" s="1865" t="n"/>
      <c r="D749" s="1866" t="n"/>
      <c r="E749" s="1866" t="n"/>
      <c r="F749" s="1866" t="n"/>
      <c r="G749" s="1866" t="n"/>
      <c r="H749" s="1866" t="n"/>
    </row>
    <row r="750" ht="12.75" customHeight="1" s="1158">
      <c r="A750" s="1867" t="n"/>
      <c r="B750" s="1864" t="n"/>
      <c r="C750" s="1865" t="n"/>
      <c r="D750" s="1866" t="n"/>
      <c r="E750" s="1866" t="n"/>
      <c r="F750" s="1866" t="n"/>
      <c r="G750" s="1866" t="n"/>
      <c r="H750" s="1866" t="n"/>
    </row>
    <row r="751" ht="12.75" customHeight="1" s="1158">
      <c r="A751" s="1867" t="n"/>
      <c r="B751" s="1864" t="n"/>
      <c r="C751" s="1865" t="n"/>
      <c r="D751" s="1866" t="n"/>
      <c r="E751" s="1866" t="n"/>
      <c r="F751" s="1866" t="n"/>
      <c r="G751" s="1866" t="n"/>
      <c r="H751" s="1866" t="n"/>
    </row>
    <row r="752" ht="12.75" customHeight="1" s="1158">
      <c r="A752" s="1867" t="n"/>
      <c r="B752" s="1864" t="n"/>
      <c r="C752" s="1865" t="n"/>
      <c r="D752" s="1866" t="n"/>
      <c r="E752" s="1866" t="n"/>
      <c r="F752" s="1866" t="n"/>
      <c r="G752" s="1866" t="n"/>
      <c r="H752" s="1866" t="n"/>
    </row>
    <row r="753" ht="12.75" customHeight="1" s="1158">
      <c r="A753" s="1867" t="n"/>
      <c r="B753" s="1864" t="n"/>
      <c r="C753" s="1865" t="n"/>
      <c r="D753" s="1866" t="n"/>
      <c r="E753" s="1866" t="n"/>
      <c r="F753" s="1866" t="n"/>
      <c r="G753" s="1866" t="n"/>
      <c r="H753" s="1866" t="n"/>
    </row>
    <row r="754" ht="12.75" customHeight="1" s="1158">
      <c r="A754" s="1867" t="n"/>
      <c r="B754" s="1864" t="n"/>
      <c r="C754" s="1865" t="n"/>
      <c r="D754" s="1866" t="n"/>
      <c r="E754" s="1866" t="n"/>
      <c r="F754" s="1866" t="n"/>
      <c r="G754" s="1866" t="n"/>
      <c r="H754" s="1866" t="n"/>
    </row>
    <row r="755" ht="12.75" customHeight="1" s="1158">
      <c r="A755" s="1867" t="n"/>
      <c r="B755" s="1864" t="n"/>
      <c r="C755" s="1865" t="n"/>
      <c r="D755" s="1866" t="n"/>
      <c r="E755" s="1866" t="n"/>
      <c r="F755" s="1866" t="n"/>
      <c r="G755" s="1866" t="n"/>
      <c r="H755" s="1866" t="n"/>
    </row>
    <row r="756" ht="12.75" customHeight="1" s="1158">
      <c r="A756" s="1867" t="n"/>
      <c r="B756" s="1864" t="n"/>
      <c r="C756" s="1865" t="n"/>
      <c r="D756" s="1866" t="n"/>
      <c r="E756" s="1866" t="n"/>
      <c r="F756" s="1866" t="n"/>
      <c r="G756" s="1866" t="n"/>
      <c r="H756" s="1866" t="n"/>
    </row>
    <row r="757" ht="12.75" customHeight="1" s="1158">
      <c r="A757" s="1867" t="n"/>
      <c r="B757" s="1864" t="n"/>
      <c r="C757" s="1865" t="n"/>
      <c r="D757" s="1866" t="n"/>
      <c r="E757" s="1866" t="n"/>
      <c r="F757" s="1866" t="n"/>
      <c r="G757" s="1866" t="n"/>
      <c r="H757" s="1866" t="n"/>
    </row>
    <row r="758" ht="12.75" customHeight="1" s="1158">
      <c r="A758" s="1867" t="n"/>
      <c r="B758" s="1864" t="n"/>
      <c r="C758" s="1865" t="n"/>
      <c r="D758" s="1866" t="n"/>
      <c r="E758" s="1866" t="n"/>
      <c r="F758" s="1866" t="n"/>
      <c r="G758" s="1866" t="n"/>
      <c r="H758" s="1866" t="n"/>
    </row>
    <row r="759" ht="12.75" customHeight="1" s="1158">
      <c r="A759" s="1867" t="n"/>
      <c r="B759" s="1864" t="n"/>
      <c r="C759" s="1865" t="n"/>
      <c r="D759" s="1866" t="n"/>
      <c r="E759" s="1866" t="n"/>
      <c r="F759" s="1866" t="n"/>
      <c r="G759" s="1866" t="n"/>
      <c r="H759" s="1866" t="n"/>
    </row>
    <row r="760" ht="12.75" customHeight="1" s="1158">
      <c r="A760" s="1867" t="n"/>
      <c r="B760" s="1864" t="n"/>
      <c r="C760" s="1865" t="n"/>
      <c r="D760" s="1866" t="n"/>
      <c r="E760" s="1866" t="n"/>
      <c r="F760" s="1866" t="n"/>
      <c r="G760" s="1866" t="n"/>
      <c r="H760" s="1866" t="n"/>
    </row>
    <row r="761" ht="12.75" customHeight="1" s="1158">
      <c r="A761" s="1867" t="n"/>
      <c r="B761" s="1864" t="n"/>
      <c r="C761" s="1865" t="n"/>
      <c r="D761" s="1866" t="n"/>
      <c r="E761" s="1866" t="n"/>
      <c r="F761" s="1866" t="n"/>
      <c r="G761" s="1866" t="n"/>
      <c r="H761" s="1866" t="n"/>
    </row>
    <row r="762" ht="12.75" customHeight="1" s="1158">
      <c r="A762" s="1867" t="n"/>
      <c r="B762" s="1864" t="n"/>
      <c r="C762" s="1865" t="n"/>
      <c r="D762" s="1866" t="n"/>
      <c r="E762" s="1866" t="n"/>
      <c r="F762" s="1866" t="n"/>
      <c r="G762" s="1866" t="n"/>
      <c r="H762" s="1866" t="n"/>
    </row>
    <row r="763" ht="12.75" customHeight="1" s="1158">
      <c r="A763" s="1867" t="n"/>
      <c r="B763" s="1864" t="n"/>
      <c r="C763" s="1865" t="n"/>
      <c r="D763" s="1866" t="n"/>
      <c r="E763" s="1866" t="n"/>
      <c r="F763" s="1866" t="n"/>
      <c r="G763" s="1866" t="n"/>
      <c r="H763" s="1866" t="n"/>
    </row>
    <row r="764" ht="12.75" customHeight="1" s="1158">
      <c r="A764" s="1867" t="n"/>
      <c r="B764" s="1864" t="n"/>
      <c r="C764" s="1865" t="n"/>
      <c r="D764" s="1866" t="n"/>
      <c r="E764" s="1866" t="n"/>
      <c r="F764" s="1866" t="n"/>
      <c r="G764" s="1866" t="n"/>
      <c r="H764" s="1866" t="n"/>
    </row>
    <row r="765" ht="12.75" customHeight="1" s="1158">
      <c r="A765" s="1867" t="n"/>
      <c r="B765" s="1864" t="n"/>
      <c r="C765" s="1865" t="n"/>
      <c r="D765" s="1866" t="n"/>
      <c r="E765" s="1866" t="n"/>
      <c r="F765" s="1866" t="n"/>
      <c r="G765" s="1866" t="n"/>
      <c r="H765" s="1866" t="n"/>
    </row>
    <row r="766" ht="12.75" customHeight="1" s="1158">
      <c r="A766" s="1867" t="n"/>
      <c r="B766" s="1864" t="n"/>
      <c r="C766" s="1865" t="n"/>
      <c r="D766" s="1866" t="n"/>
      <c r="E766" s="1866" t="n"/>
      <c r="F766" s="1866" t="n"/>
      <c r="G766" s="1866" t="n"/>
      <c r="H766" s="1866" t="n"/>
    </row>
    <row r="767" ht="12.75" customHeight="1" s="1158">
      <c r="A767" s="1867" t="n"/>
      <c r="B767" s="1864" t="n"/>
      <c r="C767" s="1865" t="n"/>
      <c r="D767" s="1866" t="n"/>
      <c r="E767" s="1866" t="n"/>
      <c r="F767" s="1866" t="n"/>
      <c r="G767" s="1866" t="n"/>
      <c r="H767" s="1866" t="n"/>
    </row>
    <row r="768" ht="12.75" customHeight="1" s="1158">
      <c r="A768" s="1867" t="n"/>
      <c r="B768" s="1864" t="n"/>
      <c r="C768" s="1865" t="n"/>
      <c r="D768" s="1866" t="n"/>
      <c r="E768" s="1866" t="n"/>
      <c r="F768" s="1866" t="n"/>
      <c r="G768" s="1866" t="n"/>
      <c r="H768" s="1866" t="n"/>
    </row>
    <row r="769" ht="12.75" customHeight="1" s="1158">
      <c r="A769" s="1867" t="n"/>
      <c r="B769" s="1864" t="n"/>
      <c r="C769" s="1865" t="n"/>
      <c r="D769" s="1866" t="n"/>
      <c r="E769" s="1866" t="n"/>
      <c r="F769" s="1866" t="n"/>
      <c r="G769" s="1866" t="n"/>
      <c r="H769" s="1866" t="n"/>
    </row>
    <row r="770" ht="12.75" customHeight="1" s="1158">
      <c r="A770" s="1867" t="n"/>
      <c r="B770" s="1864" t="n"/>
      <c r="C770" s="1865" t="n"/>
      <c r="D770" s="1866" t="n"/>
      <c r="E770" s="1866" t="n"/>
      <c r="F770" s="1866" t="n"/>
      <c r="G770" s="1866" t="n"/>
      <c r="H770" s="1866" t="n"/>
    </row>
    <row r="771" ht="12.75" customHeight="1" s="1158">
      <c r="A771" s="1867" t="n"/>
      <c r="B771" s="1864" t="n"/>
      <c r="C771" s="1865" t="n"/>
      <c r="D771" s="1866" t="n"/>
      <c r="E771" s="1866" t="n"/>
      <c r="F771" s="1866" t="n"/>
      <c r="G771" s="1866" t="n"/>
      <c r="H771" s="1866" t="n"/>
    </row>
    <row r="772" ht="12.75" customHeight="1" s="1158">
      <c r="A772" s="1867" t="n"/>
      <c r="B772" s="1864" t="n"/>
      <c r="C772" s="1865" t="n"/>
      <c r="D772" s="1866" t="n"/>
      <c r="E772" s="1866" t="n"/>
      <c r="F772" s="1866" t="n"/>
      <c r="G772" s="1866" t="n"/>
      <c r="H772" s="1866" t="n"/>
    </row>
    <row r="773" ht="12.75" customHeight="1" s="1158">
      <c r="A773" s="1867" t="n"/>
      <c r="B773" s="1864" t="n"/>
      <c r="C773" s="1865" t="n"/>
      <c r="D773" s="1866" t="n"/>
      <c r="E773" s="1866" t="n"/>
      <c r="F773" s="1866" t="n"/>
      <c r="G773" s="1866" t="n"/>
      <c r="H773" s="1866" t="n"/>
    </row>
    <row r="774" ht="12.75" customHeight="1" s="1158">
      <c r="A774" s="1867" t="n"/>
      <c r="B774" s="1864" t="n"/>
      <c r="C774" s="1865" t="n"/>
      <c r="D774" s="1866" t="n"/>
      <c r="E774" s="1866" t="n"/>
      <c r="F774" s="1866" t="n"/>
      <c r="G774" s="1866" t="n"/>
      <c r="H774" s="1866" t="n"/>
    </row>
    <row r="775" ht="12.75" customHeight="1" s="1158">
      <c r="A775" s="1867" t="n"/>
      <c r="B775" s="1864" t="n"/>
      <c r="C775" s="1865" t="n"/>
      <c r="D775" s="1866" t="n"/>
      <c r="E775" s="1866" t="n"/>
      <c r="F775" s="1866" t="n"/>
      <c r="G775" s="1866" t="n"/>
      <c r="H775" s="1866" t="n"/>
    </row>
    <row r="776" ht="12.75" customHeight="1" s="1158">
      <c r="A776" s="1867" t="n"/>
      <c r="B776" s="1864" t="n"/>
      <c r="C776" s="1865" t="n"/>
      <c r="D776" s="1866" t="n"/>
      <c r="E776" s="1866" t="n"/>
      <c r="F776" s="1866" t="n"/>
      <c r="G776" s="1866" t="n"/>
      <c r="H776" s="1866" t="n"/>
    </row>
    <row r="777" ht="12.75" customHeight="1" s="1158">
      <c r="A777" s="1867" t="n"/>
      <c r="B777" s="1864" t="n"/>
      <c r="C777" s="1865" t="n"/>
      <c r="D777" s="1866" t="n"/>
      <c r="E777" s="1866" t="n"/>
      <c r="F777" s="1866" t="n"/>
      <c r="G777" s="1866" t="n"/>
      <c r="H777" s="1866" t="n"/>
    </row>
    <row r="778" ht="12.75" customHeight="1" s="1158">
      <c r="A778" s="1867" t="n"/>
      <c r="B778" s="1864" t="n"/>
      <c r="C778" s="1865" t="n"/>
      <c r="D778" s="1866" t="n"/>
      <c r="E778" s="1866" t="n"/>
      <c r="F778" s="1866" t="n"/>
      <c r="G778" s="1866" t="n"/>
      <c r="H778" s="1866" t="n"/>
    </row>
    <row r="779" ht="12.75" customHeight="1" s="1158">
      <c r="A779" s="1868" t="n"/>
      <c r="B779" s="1869" t="n"/>
      <c r="C779" s="1870" t="n"/>
      <c r="D779" s="1735" t="n"/>
      <c r="E779" s="1735" t="n"/>
      <c r="F779" s="1735" t="n"/>
      <c r="G779" s="1735" t="n"/>
      <c r="H779" s="1735" t="n"/>
    </row>
    <row r="780" ht="12.75" customHeight="1" s="1158">
      <c r="A780" s="1868" t="n"/>
      <c r="B780" s="1869" t="n"/>
      <c r="C780" s="1870" t="n"/>
      <c r="D780" s="1735" t="n"/>
      <c r="E780" s="1735" t="n"/>
      <c r="F780" s="1735" t="n"/>
      <c r="G780" s="1735" t="n"/>
      <c r="H780" s="1735" t="n"/>
    </row>
    <row r="781" ht="12.75" customHeight="1" s="1158">
      <c r="A781" s="1868" t="n"/>
      <c r="B781" s="1869" t="n"/>
      <c r="C781" s="1870" t="n"/>
      <c r="D781" s="1735" t="n"/>
      <c r="E781" s="1735" t="n"/>
      <c r="F781" s="1735" t="n"/>
      <c r="G781" s="1735" t="n"/>
      <c r="H781" s="1735" t="n"/>
    </row>
    <row r="782" ht="12.75" customHeight="1" s="1158">
      <c r="A782" s="1868" t="n"/>
      <c r="B782" s="1869" t="n"/>
      <c r="C782" s="1870" t="n"/>
      <c r="D782" s="1735" t="n"/>
      <c r="E782" s="1735" t="n"/>
      <c r="F782" s="1735" t="n"/>
      <c r="G782" s="1735" t="n"/>
      <c r="H782" s="1735" t="n"/>
    </row>
    <row r="783" ht="12.75" customHeight="1" s="1158">
      <c r="A783" s="1868" t="n"/>
      <c r="B783" s="1869" t="n"/>
      <c r="C783" s="1870" t="n"/>
      <c r="D783" s="1735" t="n"/>
      <c r="E783" s="1735" t="n"/>
      <c r="F783" s="1735" t="n"/>
      <c r="G783" s="1735" t="n"/>
      <c r="H783" s="1735" t="n"/>
    </row>
    <row r="784" ht="12.75" customHeight="1" s="1158">
      <c r="A784" s="1868" t="n"/>
      <c r="B784" s="1869" t="n"/>
      <c r="C784" s="1870" t="n"/>
      <c r="D784" s="1735" t="n"/>
      <c r="E784" s="1735" t="n"/>
      <c r="F784" s="1735" t="n"/>
      <c r="G784" s="1735" t="n"/>
      <c r="H784" s="1735" t="n"/>
    </row>
    <row r="785" ht="12.75" customHeight="1" s="1158">
      <c r="A785" s="1868" t="n"/>
      <c r="B785" s="1869" t="n"/>
      <c r="C785" s="1870" t="n"/>
      <c r="D785" s="1735" t="n"/>
      <c r="E785" s="1735" t="n"/>
      <c r="F785" s="1735" t="n"/>
      <c r="G785" s="1735" t="n"/>
      <c r="H785" s="1735" t="n"/>
    </row>
    <row r="786" ht="12.75" customHeight="1" s="1158">
      <c r="A786" s="1868" t="n"/>
      <c r="B786" s="1869" t="n"/>
      <c r="C786" s="1870" t="n"/>
      <c r="D786" s="1735" t="n"/>
      <c r="E786" s="1735" t="n"/>
      <c r="F786" s="1735" t="n"/>
      <c r="G786" s="1735" t="n"/>
      <c r="H786" s="1735" t="n"/>
    </row>
    <row r="787" ht="12.75" customHeight="1" s="1158">
      <c r="A787" s="1868" t="n"/>
      <c r="B787" s="1869" t="n"/>
      <c r="C787" s="1870" t="n"/>
      <c r="D787" s="1735" t="n"/>
      <c r="E787" s="1735" t="n"/>
      <c r="F787" s="1735" t="n"/>
      <c r="G787" s="1735" t="n"/>
      <c r="H787" s="1735" t="n"/>
    </row>
    <row r="788" ht="12.75" customHeight="1" s="1158">
      <c r="A788" s="1868" t="n"/>
      <c r="B788" s="1869" t="n"/>
      <c r="C788" s="1870" t="n"/>
      <c r="D788" s="1735" t="n"/>
      <c r="E788" s="1735" t="n"/>
      <c r="F788" s="1735" t="n"/>
      <c r="G788" s="1735" t="n"/>
      <c r="H788" s="1735" t="n"/>
    </row>
    <row r="789" ht="12.75" customHeight="1" s="1158">
      <c r="A789" s="1868" t="n"/>
      <c r="B789" s="1869" t="n"/>
      <c r="C789" s="1870" t="n"/>
      <c r="D789" s="1735" t="n"/>
      <c r="E789" s="1735" t="n"/>
      <c r="F789" s="1735" t="n"/>
      <c r="G789" s="1735" t="n"/>
      <c r="H789" s="1735" t="n"/>
    </row>
    <row r="790" ht="12.75" customHeight="1" s="1158">
      <c r="A790" s="1868" t="n"/>
      <c r="B790" s="1869" t="n"/>
      <c r="C790" s="1870" t="n"/>
      <c r="D790" s="1735" t="n"/>
      <c r="E790" s="1735" t="n"/>
      <c r="F790" s="1735" t="n"/>
      <c r="G790" s="1735" t="n"/>
      <c r="H790" s="1735" t="n"/>
    </row>
    <row r="791" ht="12.75" customHeight="1" s="1158">
      <c r="A791" s="1868" t="n"/>
      <c r="B791" s="1869" t="n"/>
      <c r="C791" s="1870" t="n"/>
      <c r="D791" s="1735" t="n"/>
      <c r="E791" s="1735" t="n"/>
      <c r="F791" s="1735" t="n"/>
      <c r="G791" s="1735" t="n"/>
      <c r="H791" s="1735" t="n"/>
    </row>
    <row r="792" ht="12.75" customHeight="1" s="1158">
      <c r="A792" s="1868" t="n"/>
      <c r="B792" s="1869" t="n"/>
      <c r="C792" s="1870" t="n"/>
      <c r="D792" s="1735" t="n"/>
      <c r="E792" s="1735" t="n"/>
      <c r="F792" s="1735" t="n"/>
      <c r="G792" s="1735" t="n"/>
      <c r="H792" s="1735" t="n"/>
    </row>
    <row r="793" ht="12.75" customHeight="1" s="1158">
      <c r="A793" s="1868" t="n"/>
      <c r="B793" s="1869" t="n"/>
      <c r="C793" s="1870" t="n"/>
      <c r="D793" s="1735" t="n"/>
      <c r="E793" s="1735" t="n"/>
      <c r="F793" s="1735" t="n"/>
      <c r="G793" s="1735" t="n"/>
      <c r="H793" s="1735" t="n"/>
    </row>
    <row r="794" ht="12.75" customHeight="1" s="1158">
      <c r="A794" s="1868" t="n"/>
      <c r="B794" s="1869" t="n"/>
      <c r="C794" s="1870" t="n"/>
      <c r="D794" s="1735" t="n"/>
      <c r="E794" s="1735" t="n"/>
      <c r="F794" s="1735" t="n"/>
      <c r="G794" s="1735" t="n"/>
      <c r="H794" s="1735" t="n"/>
    </row>
    <row r="795" ht="12.75" customHeight="1" s="1158">
      <c r="A795" s="1868" t="n"/>
      <c r="B795" s="1869" t="n"/>
      <c r="C795" s="1870" t="n"/>
      <c r="D795" s="1735" t="n"/>
      <c r="E795" s="1735" t="n"/>
      <c r="F795" s="1735" t="n"/>
      <c r="G795" s="1735" t="n"/>
      <c r="H795" s="1735" t="n"/>
    </row>
    <row r="796" ht="12.75" customHeight="1" s="1158">
      <c r="A796" s="1868" t="n"/>
      <c r="B796" s="1869" t="n"/>
      <c r="C796" s="1870" t="n"/>
      <c r="D796" s="1735" t="n"/>
      <c r="E796" s="1735" t="n"/>
      <c r="F796" s="1735" t="n"/>
      <c r="G796" s="1735" t="n"/>
      <c r="H796" s="1735" t="n"/>
    </row>
    <row r="797" ht="12.75" customHeight="1" s="1158">
      <c r="A797" s="1868" t="n"/>
      <c r="B797" s="1869" t="n"/>
      <c r="C797" s="1870" t="n"/>
      <c r="D797" s="1735" t="n"/>
      <c r="E797" s="1735" t="n"/>
      <c r="F797" s="1735" t="n"/>
      <c r="G797" s="1735" t="n"/>
      <c r="H797" s="1735" t="n"/>
    </row>
    <row r="798" ht="12.75" customHeight="1" s="1158">
      <c r="A798" s="1868" t="n"/>
      <c r="B798" s="1869" t="n"/>
      <c r="C798" s="1870" t="n"/>
      <c r="D798" s="1735" t="n"/>
      <c r="E798" s="1735" t="n"/>
      <c r="F798" s="1735" t="n"/>
      <c r="G798" s="1735" t="n"/>
      <c r="H798" s="1735" t="n"/>
    </row>
    <row r="799" ht="12.75" customHeight="1" s="1158">
      <c r="A799" s="1868" t="n"/>
      <c r="B799" s="1869" t="n"/>
      <c r="C799" s="1870" t="n"/>
      <c r="D799" s="1735" t="n"/>
      <c r="E799" s="1735" t="n"/>
      <c r="F799" s="1735" t="n"/>
      <c r="G799" s="1735" t="n"/>
      <c r="H799" s="1735" t="n"/>
    </row>
    <row r="800" ht="12.75" customHeight="1" s="1158">
      <c r="A800" s="1868" t="n"/>
      <c r="B800" s="1869" t="n"/>
      <c r="C800" s="1870" t="n"/>
      <c r="D800" s="1735" t="n"/>
      <c r="E800" s="1735" t="n"/>
      <c r="F800" s="1735" t="n"/>
      <c r="G800" s="1735" t="n"/>
      <c r="H800" s="1735" t="n"/>
    </row>
    <row r="801" ht="12.75" customHeight="1" s="1158">
      <c r="A801" s="1868" t="n"/>
      <c r="B801" s="1869" t="n"/>
      <c r="C801" s="1870" t="n"/>
      <c r="D801" s="1735" t="n"/>
      <c r="E801" s="1735" t="n"/>
      <c r="F801" s="1735" t="n"/>
      <c r="G801" s="1735" t="n"/>
      <c r="H801" s="1735" t="n"/>
    </row>
    <row r="802" ht="12.75" customHeight="1" s="1158">
      <c r="A802" s="1868" t="n"/>
      <c r="B802" s="1869" t="n"/>
      <c r="C802" s="1870" t="n"/>
      <c r="D802" s="1735" t="n"/>
      <c r="E802" s="1735" t="n"/>
      <c r="F802" s="1735" t="n"/>
      <c r="G802" s="1735" t="n"/>
      <c r="H802" s="1735" t="n"/>
    </row>
    <row r="803" ht="12.75" customHeight="1" s="1158">
      <c r="A803" s="1868" t="n"/>
      <c r="B803" s="1869" t="n"/>
      <c r="C803" s="1870" t="n"/>
      <c r="D803" s="1735" t="n"/>
      <c r="E803" s="1735" t="n"/>
      <c r="F803" s="1735" t="n"/>
      <c r="G803" s="1735" t="n"/>
      <c r="H803" s="1735" t="n"/>
    </row>
    <row r="804" ht="12.75" customHeight="1" s="1158">
      <c r="A804" s="1868" t="n"/>
      <c r="B804" s="1869" t="n"/>
      <c r="C804" s="1870" t="n"/>
      <c r="D804" s="1735" t="n"/>
      <c r="E804" s="1735" t="n"/>
      <c r="F804" s="1735" t="n"/>
      <c r="G804" s="1735" t="n"/>
      <c r="H804" s="1735" t="n"/>
    </row>
    <row r="805" ht="12.75" customHeight="1" s="1158">
      <c r="A805" s="1868" t="n"/>
      <c r="B805" s="1869" t="n"/>
      <c r="C805" s="1870" t="n"/>
      <c r="D805" s="1735" t="n"/>
      <c r="E805" s="1735" t="n"/>
      <c r="F805" s="1735" t="n"/>
      <c r="G805" s="1735" t="n"/>
      <c r="H805" s="1735" t="n"/>
    </row>
    <row r="806" ht="12.75" customHeight="1" s="1158">
      <c r="A806" s="1868" t="n"/>
      <c r="B806" s="1869" t="n"/>
      <c r="C806" s="1870" t="n"/>
      <c r="D806" s="1735" t="n"/>
      <c r="E806" s="1735" t="n"/>
      <c r="F806" s="1735" t="n"/>
      <c r="G806" s="1735" t="n"/>
      <c r="H806" s="1735" t="n"/>
    </row>
    <row r="807" ht="12.75" customHeight="1" s="1158">
      <c r="A807" s="1868" t="n"/>
      <c r="B807" s="1869" t="n"/>
      <c r="C807" s="1870" t="n"/>
      <c r="D807" s="1735" t="n"/>
      <c r="E807" s="1735" t="n"/>
      <c r="F807" s="1735" t="n"/>
      <c r="G807" s="1735" t="n"/>
      <c r="H807" s="1735" t="n"/>
    </row>
    <row r="808" ht="12.75" customHeight="1" s="1158">
      <c r="A808" s="1868" t="n"/>
      <c r="B808" s="1869" t="n"/>
      <c r="C808" s="1870" t="n"/>
      <c r="D808" s="1735" t="n"/>
      <c r="E808" s="1735" t="n"/>
      <c r="F808" s="1735" t="n"/>
      <c r="G808" s="1735" t="n"/>
      <c r="H808" s="1735" t="n"/>
    </row>
    <row r="809" ht="12.75" customHeight="1" s="1158">
      <c r="A809" s="1868" t="n"/>
      <c r="B809" s="1869" t="n"/>
      <c r="C809" s="1870" t="n"/>
      <c r="D809" s="1735" t="n"/>
      <c r="E809" s="1735" t="n"/>
      <c r="F809" s="1735" t="n"/>
      <c r="G809" s="1735" t="n"/>
      <c r="H809" s="1735" t="n"/>
    </row>
    <row r="810" ht="12.75" customHeight="1" s="1158">
      <c r="A810" s="1868" t="n"/>
      <c r="B810" s="1869" t="n"/>
      <c r="C810" s="1870" t="n"/>
      <c r="D810" s="1735" t="n"/>
      <c r="E810" s="1735" t="n"/>
      <c r="F810" s="1735" t="n"/>
      <c r="G810" s="1735" t="n"/>
      <c r="H810" s="1735" t="n"/>
    </row>
    <row r="811" ht="12.75" customHeight="1" s="1158">
      <c r="A811" s="1868" t="n"/>
      <c r="B811" s="1869" t="n"/>
      <c r="C811" s="1870" t="n"/>
      <c r="D811" s="1735" t="n"/>
      <c r="E811" s="1735" t="n"/>
      <c r="F811" s="1735" t="n"/>
      <c r="G811" s="1735" t="n"/>
      <c r="H811" s="1735" t="n"/>
    </row>
    <row r="812" ht="12.75" customHeight="1" s="1158">
      <c r="A812" s="1868" t="n"/>
      <c r="B812" s="1869" t="n"/>
      <c r="C812" s="1870" t="n"/>
      <c r="D812" s="1735" t="n"/>
      <c r="E812" s="1735" t="n"/>
      <c r="F812" s="1735" t="n"/>
      <c r="G812" s="1735" t="n"/>
      <c r="H812" s="1735" t="n"/>
    </row>
    <row r="813" ht="12.75" customHeight="1" s="1158">
      <c r="A813" s="1868" t="n"/>
      <c r="B813" s="1869" t="n"/>
      <c r="C813" s="1870" t="n"/>
      <c r="D813" s="1735" t="n"/>
      <c r="E813" s="1735" t="n"/>
      <c r="F813" s="1735" t="n"/>
      <c r="G813" s="1735" t="n"/>
      <c r="H813" s="1735" t="n"/>
    </row>
    <row r="814" ht="12.75" customHeight="1" s="1158">
      <c r="A814" s="1868" t="n"/>
      <c r="B814" s="1869" t="n"/>
      <c r="C814" s="1870" t="n"/>
      <c r="D814" s="1735" t="n"/>
      <c r="E814" s="1735" t="n"/>
      <c r="F814" s="1735" t="n"/>
      <c r="G814" s="1735" t="n"/>
      <c r="H814" s="1735" t="n"/>
    </row>
    <row r="815" ht="12.75" customHeight="1" s="1158">
      <c r="A815" s="1868" t="n"/>
      <c r="B815" s="1869" t="n"/>
      <c r="C815" s="1870" t="n"/>
      <c r="D815" s="1735" t="n"/>
      <c r="E815" s="1735" t="n"/>
      <c r="F815" s="1735" t="n"/>
      <c r="G815" s="1735" t="n"/>
      <c r="H815" s="1735" t="n"/>
    </row>
    <row r="816" ht="12.75" customHeight="1" s="1158">
      <c r="A816" s="1868" t="n"/>
      <c r="B816" s="1869" t="n"/>
      <c r="C816" s="1870" t="n"/>
      <c r="D816" s="1735" t="n"/>
      <c r="E816" s="1735" t="n"/>
      <c r="F816" s="1735" t="n"/>
      <c r="G816" s="1735" t="n"/>
      <c r="H816" s="1735" t="n"/>
    </row>
    <row r="817" ht="12.75" customHeight="1" s="1158">
      <c r="A817" s="1868" t="n"/>
      <c r="B817" s="1869" t="n"/>
      <c r="C817" s="1870" t="n"/>
      <c r="D817" s="1735" t="n"/>
      <c r="E817" s="1735" t="n"/>
      <c r="F817" s="1735" t="n"/>
      <c r="G817" s="1735" t="n"/>
      <c r="H817" s="1735" t="n"/>
    </row>
    <row r="818" ht="12.75" customHeight="1" s="1158">
      <c r="A818" s="1868" t="n"/>
      <c r="B818" s="1869" t="n"/>
      <c r="C818" s="1870" t="n"/>
      <c r="D818" s="1735" t="n"/>
      <c r="E818" s="1735" t="n"/>
      <c r="F818" s="1735" t="n"/>
      <c r="G818" s="1735" t="n"/>
      <c r="H818" s="1735" t="n"/>
    </row>
    <row r="819" ht="12.75" customHeight="1" s="1158">
      <c r="A819" s="1868" t="n"/>
      <c r="B819" s="1869" t="n"/>
      <c r="C819" s="1870" t="n"/>
      <c r="D819" s="1735" t="n"/>
      <c r="E819" s="1735" t="n"/>
      <c r="F819" s="1735" t="n"/>
      <c r="G819" s="1735" t="n"/>
      <c r="H819" s="1735" t="n"/>
    </row>
    <row r="820" ht="12.75" customHeight="1" s="1158">
      <c r="A820" s="1868" t="n"/>
      <c r="B820" s="1869" t="n"/>
      <c r="C820" s="1870" t="n"/>
      <c r="D820" s="1735" t="n"/>
      <c r="E820" s="1735" t="n"/>
      <c r="F820" s="1735" t="n"/>
      <c r="G820" s="1735" t="n"/>
      <c r="H820" s="1735" t="n"/>
    </row>
    <row r="821" ht="12.75" customHeight="1" s="1158">
      <c r="A821" s="1868" t="n"/>
      <c r="B821" s="1869" t="n"/>
      <c r="C821" s="1870" t="n"/>
      <c r="D821" s="1735" t="n"/>
      <c r="E821" s="1735" t="n"/>
      <c r="F821" s="1735" t="n"/>
      <c r="G821" s="1735" t="n"/>
      <c r="H821" s="1735" t="n"/>
    </row>
    <row r="822" ht="12.75" customHeight="1" s="1158">
      <c r="A822" s="1868" t="n"/>
      <c r="B822" s="1869" t="n"/>
      <c r="C822" s="1870" t="n"/>
      <c r="D822" s="1735" t="n"/>
      <c r="E822" s="1735" t="n"/>
      <c r="F822" s="1735" t="n"/>
      <c r="G822" s="1735" t="n"/>
      <c r="H822" s="1735" t="n"/>
    </row>
    <row r="823" ht="12.75" customHeight="1" s="1158">
      <c r="A823" s="1871" t="n"/>
    </row>
    <row r="824" ht="12.75" customHeight="1" s="1158">
      <c r="A824" s="1871" t="n"/>
    </row>
    <row r="825" ht="12.75" customHeight="1" s="1158">
      <c r="A825" s="1871" t="n"/>
    </row>
    <row r="826" ht="12.75" customHeight="1" s="1158">
      <c r="A826" s="1871" t="n"/>
    </row>
    <row r="827" ht="12.75" customHeight="1" s="1158">
      <c r="A827" s="1871" t="n"/>
    </row>
    <row r="828" ht="12.75" customHeight="1" s="1158">
      <c r="A828" s="1871" t="n"/>
    </row>
    <row r="829" ht="12.75" customHeight="1" s="1158">
      <c r="A829" s="1871" t="n"/>
    </row>
    <row r="830" ht="12.75" customHeight="1" s="1158">
      <c r="A830" s="1871" t="n"/>
    </row>
    <row r="831" ht="12.75" customHeight="1" s="1158">
      <c r="A831" s="1871" t="n"/>
    </row>
    <row r="832" ht="12.75" customHeight="1" s="1158">
      <c r="A832" s="1871" t="n"/>
    </row>
    <row r="833" ht="12.75" customFormat="1" customHeight="1" s="1872">
      <c r="A833" s="1871" t="n"/>
      <c r="B833" s="1660" t="n"/>
      <c r="C833" s="1660" t="n"/>
    </row>
    <row r="834" ht="12.75" customFormat="1" customHeight="1" s="1872">
      <c r="A834" s="1871" t="n"/>
      <c r="B834" s="1660" t="n"/>
      <c r="C834" s="1660" t="n"/>
    </row>
    <row r="835" ht="12.75" customFormat="1" customHeight="1" s="1872">
      <c r="A835" s="1871" t="n"/>
      <c r="B835" s="1660" t="n"/>
      <c r="C835" s="1660" t="n"/>
    </row>
    <row r="836" ht="12.75" customFormat="1" customHeight="1" s="1872">
      <c r="A836" s="1871" t="n"/>
      <c r="B836" s="1660" t="n"/>
      <c r="C836" s="1660" t="n"/>
    </row>
    <row r="837" ht="12.75" customFormat="1" customHeight="1" s="1872">
      <c r="A837" s="1871" t="n"/>
      <c r="B837" s="1660" t="n"/>
      <c r="C837" s="1660" t="n"/>
    </row>
    <row r="838" ht="12.75" customFormat="1" customHeight="1" s="1872">
      <c r="A838" s="1871" t="n"/>
      <c r="B838" s="1660" t="n"/>
      <c r="C838" s="1660" t="n"/>
    </row>
    <row r="839" ht="12.75" customFormat="1" customHeight="1" s="1872">
      <c r="A839" s="1871" t="n"/>
      <c r="B839" s="1660" t="n"/>
      <c r="C839" s="1660" t="n"/>
    </row>
    <row r="840" ht="12.75" customFormat="1" customHeight="1" s="1872">
      <c r="A840" s="1871" t="n"/>
      <c r="B840" s="1660" t="n"/>
      <c r="C840" s="1660" t="n"/>
    </row>
    <row r="841" ht="12.75" customFormat="1" customHeight="1" s="1872">
      <c r="A841" s="1871" t="n"/>
      <c r="B841" s="1660" t="n"/>
      <c r="C841" s="1660" t="n"/>
    </row>
    <row r="842" ht="12.75" customFormat="1" customHeight="1" s="1872">
      <c r="A842" s="1871" t="n"/>
      <c r="B842" s="1660" t="n"/>
      <c r="C842" s="1660" t="n"/>
    </row>
    <row r="843" ht="12.75" customFormat="1" customHeight="1" s="1872">
      <c r="A843" s="1871" t="n"/>
      <c r="B843" s="1660" t="n"/>
      <c r="C843" s="1660" t="n"/>
    </row>
    <row r="844" ht="12.75" customFormat="1" customHeight="1" s="1872">
      <c r="A844" s="1871" t="n"/>
      <c r="B844" s="1660" t="n"/>
      <c r="C844" s="1660" t="n"/>
    </row>
    <row r="845" ht="12.75" customFormat="1" customHeight="1" s="1872">
      <c r="A845" s="1871" t="n"/>
      <c r="B845" s="1660" t="n"/>
      <c r="C845" s="1660" t="n"/>
    </row>
    <row r="846" ht="12.75" customFormat="1" customHeight="1" s="1872">
      <c r="A846" s="1871" t="n"/>
      <c r="B846" s="1660" t="n"/>
      <c r="C846" s="1660" t="n"/>
    </row>
    <row r="847" ht="12.75" customFormat="1" customHeight="1" s="1872">
      <c r="A847" s="1871" t="n"/>
      <c r="B847" s="1660" t="n"/>
      <c r="C847" s="1660" t="n"/>
    </row>
    <row r="848" ht="12.75" customFormat="1" customHeight="1" s="1872">
      <c r="A848" s="1871" t="n"/>
      <c r="B848" s="1660" t="n"/>
      <c r="C848" s="1660" t="n"/>
    </row>
    <row r="849" ht="12.75" customFormat="1" customHeight="1" s="1872">
      <c r="A849" s="1871" t="n"/>
      <c r="B849" s="1660" t="n"/>
      <c r="C849" s="1660" t="n"/>
    </row>
    <row r="850" ht="12.75" customFormat="1" customHeight="1" s="1872">
      <c r="A850" s="1871" t="n"/>
      <c r="B850" s="1660" t="n"/>
      <c r="C850" s="1660" t="n"/>
    </row>
    <row r="851" ht="12.75" customFormat="1" customHeight="1" s="1872">
      <c r="A851" s="1871" t="n"/>
      <c r="B851" s="1660" t="n"/>
      <c r="C851" s="1660" t="n"/>
    </row>
    <row r="852" ht="12.75" customFormat="1" customHeight="1" s="1872">
      <c r="A852" s="1871" t="n"/>
      <c r="B852" s="1660" t="n"/>
      <c r="C852" s="1660" t="n"/>
    </row>
    <row r="853" ht="12.75" customFormat="1" customHeight="1" s="1872">
      <c r="A853" s="1871" t="n"/>
      <c r="B853" s="1660" t="n"/>
      <c r="C853" s="1660" t="n"/>
    </row>
    <row r="854" ht="12.75" customFormat="1" customHeight="1" s="1872">
      <c r="A854" s="1871" t="n"/>
      <c r="B854" s="1660" t="n"/>
      <c r="C854" s="1660" t="n"/>
    </row>
    <row r="855" ht="12.75" customFormat="1" customHeight="1" s="1872">
      <c r="A855" s="1871" t="n"/>
      <c r="B855" s="1660" t="n"/>
      <c r="C855" s="1660" t="n"/>
    </row>
    <row r="856" ht="12.75" customFormat="1" customHeight="1" s="1872">
      <c r="A856" s="1871" t="n"/>
      <c r="B856" s="1660" t="n"/>
      <c r="C856" s="1660" t="n"/>
    </row>
    <row r="857" ht="12.75" customFormat="1" customHeight="1" s="1872">
      <c r="A857" s="1871" t="n"/>
      <c r="B857" s="1660" t="n"/>
      <c r="C857" s="1660" t="n"/>
    </row>
    <row r="858" ht="12.75" customFormat="1" customHeight="1" s="1872">
      <c r="A858" s="1871" t="n"/>
      <c r="B858" s="1660" t="n"/>
      <c r="C858" s="1660" t="n"/>
    </row>
    <row r="859" ht="12.75" customFormat="1" customHeight="1" s="1872">
      <c r="A859" s="1871" t="n"/>
      <c r="B859" s="1660" t="n"/>
      <c r="C859" s="1660" t="n"/>
    </row>
    <row r="860" ht="12.75" customFormat="1" customHeight="1" s="1872">
      <c r="A860" s="1871" t="n"/>
      <c r="B860" s="1660" t="n"/>
      <c r="C860" s="1660" t="n"/>
    </row>
    <row r="861" ht="12.75" customFormat="1" customHeight="1" s="1872">
      <c r="A861" s="1871" t="n"/>
      <c r="B861" s="1660" t="n"/>
      <c r="C861" s="1660" t="n"/>
    </row>
    <row r="862" ht="12.75" customFormat="1" customHeight="1" s="1872">
      <c r="A862" s="1871" t="n"/>
      <c r="B862" s="1660" t="n"/>
      <c r="C862" s="1660" t="n"/>
    </row>
    <row r="863" ht="12.75" customFormat="1" customHeight="1" s="1872">
      <c r="A863" s="1871" t="n"/>
      <c r="B863" s="1660" t="n"/>
      <c r="C863" s="1660" t="n"/>
    </row>
    <row r="864" ht="12.75" customFormat="1" customHeight="1" s="1872">
      <c r="A864" s="1871" t="n"/>
      <c r="B864" s="1660" t="n"/>
      <c r="C864" s="1660" t="n"/>
    </row>
    <row r="865" ht="12.75" customFormat="1" customHeight="1" s="1872">
      <c r="A865" s="1871" t="n"/>
      <c r="B865" s="1660" t="n"/>
      <c r="C865" s="1660" t="n"/>
    </row>
    <row r="866" ht="12.75" customFormat="1" customHeight="1" s="1872">
      <c r="A866" s="1871" t="n"/>
      <c r="B866" s="1660" t="n"/>
      <c r="C866" s="1660" t="n"/>
    </row>
    <row r="867" ht="12.75" customFormat="1" customHeight="1" s="1872">
      <c r="A867" s="1871" t="n"/>
      <c r="B867" s="1660" t="n"/>
      <c r="C867" s="1660" t="n"/>
    </row>
    <row r="868" ht="12.75" customFormat="1" customHeight="1" s="1872">
      <c r="A868" s="1871" t="n"/>
      <c r="B868" s="1660" t="n"/>
      <c r="C868" s="1660" t="n"/>
    </row>
    <row r="869" ht="12.75" customFormat="1" customHeight="1" s="1872">
      <c r="A869" s="1871" t="n"/>
      <c r="B869" s="1660" t="n"/>
      <c r="C869" s="1660" t="n"/>
    </row>
    <row r="870" ht="12.75" customFormat="1" customHeight="1" s="1872">
      <c r="A870" s="1871" t="n"/>
      <c r="B870" s="1660" t="n"/>
      <c r="C870" s="1660" t="n"/>
    </row>
    <row r="871" ht="12.75" customFormat="1" customHeight="1" s="1872">
      <c r="A871" s="1871" t="n"/>
      <c r="B871" s="1660" t="n"/>
      <c r="C871" s="1660" t="n"/>
    </row>
    <row r="872" ht="12.75" customFormat="1" customHeight="1" s="1872">
      <c r="A872" s="1871" t="n"/>
      <c r="B872" s="1660" t="n"/>
      <c r="C872" s="1660" t="n"/>
    </row>
    <row r="873" ht="12.75" customFormat="1" customHeight="1" s="1872">
      <c r="A873" s="1871" t="n"/>
      <c r="B873" s="1660" t="n"/>
      <c r="C873" s="1660" t="n"/>
    </row>
    <row r="874" ht="12.75" customFormat="1" customHeight="1" s="1872">
      <c r="A874" s="1871" t="n"/>
      <c r="B874" s="1660" t="n"/>
      <c r="C874" s="1660" t="n"/>
    </row>
    <row r="875" ht="12.75" customFormat="1" customHeight="1" s="1872">
      <c r="A875" s="1871" t="n"/>
      <c r="B875" s="1660" t="n"/>
      <c r="C875" s="1660" t="n"/>
    </row>
    <row r="876" ht="12.75" customFormat="1" customHeight="1" s="1872">
      <c r="A876" s="1871" t="n"/>
      <c r="B876" s="1660" t="n"/>
      <c r="C876" s="1660" t="n"/>
    </row>
    <row r="877" ht="12.75" customFormat="1" customHeight="1" s="1872">
      <c r="A877" s="1871" t="n"/>
      <c r="B877" s="1660" t="n"/>
      <c r="C877" s="1660" t="n"/>
    </row>
    <row r="878" ht="12.75" customFormat="1" customHeight="1" s="1872">
      <c r="A878" s="1871" t="n"/>
      <c r="B878" s="1660" t="n"/>
      <c r="C878" s="1660" t="n"/>
    </row>
    <row r="879" ht="12.75" customFormat="1" customHeight="1" s="1872">
      <c r="A879" s="1871" t="n"/>
      <c r="B879" s="1660" t="n"/>
      <c r="C879" s="1660" t="n"/>
    </row>
    <row r="880" ht="12.75" customFormat="1" customHeight="1" s="1872">
      <c r="A880" s="1871" t="n"/>
      <c r="B880" s="1660" t="n"/>
      <c r="C880" s="1660" t="n"/>
    </row>
    <row r="881" ht="12.75" customFormat="1" customHeight="1" s="1872">
      <c r="A881" s="1871" t="n"/>
      <c r="B881" s="1660" t="n"/>
      <c r="C881" s="1660" t="n"/>
    </row>
    <row r="882" ht="12.75" customFormat="1" customHeight="1" s="1872">
      <c r="A882" s="1871" t="n"/>
      <c r="B882" s="1660" t="n"/>
      <c r="C882" s="1660" t="n"/>
    </row>
    <row r="883" ht="12.75" customFormat="1" customHeight="1" s="1872">
      <c r="A883" s="1871" t="n"/>
      <c r="B883" s="1660" t="n"/>
      <c r="C883" s="1660" t="n"/>
    </row>
    <row r="884" ht="12.75" customFormat="1" customHeight="1" s="1872">
      <c r="A884" s="1871" t="n"/>
      <c r="B884" s="1660" t="n"/>
      <c r="C884" s="1660" t="n"/>
    </row>
    <row r="885" ht="12.75" customFormat="1" customHeight="1" s="1872">
      <c r="A885" s="1871" t="n"/>
      <c r="B885" s="1660" t="n"/>
      <c r="C885" s="1660" t="n"/>
    </row>
    <row r="886" ht="12.75" customFormat="1" customHeight="1" s="1872">
      <c r="A886" s="1871" t="n"/>
      <c r="B886" s="1660" t="n"/>
      <c r="C886" s="1660" t="n"/>
    </row>
    <row r="887" ht="12.75" customFormat="1" customHeight="1" s="1872">
      <c r="A887" s="1871" t="n"/>
      <c r="B887" s="1660" t="n"/>
      <c r="C887" s="1660" t="n"/>
    </row>
    <row r="888" ht="12.75" customFormat="1" customHeight="1" s="1872">
      <c r="A888" s="1871" t="n"/>
      <c r="B888" s="1660" t="n"/>
      <c r="C888" s="1660" t="n"/>
    </row>
    <row r="889" ht="12.75" customFormat="1" customHeight="1" s="1872">
      <c r="A889" s="1871" t="n"/>
      <c r="B889" s="1660" t="n"/>
      <c r="C889" s="1660" t="n"/>
    </row>
    <row r="890" ht="12.75" customFormat="1" customHeight="1" s="1872">
      <c r="A890" s="1871" t="n"/>
      <c r="B890" s="1660" t="n"/>
      <c r="C890" s="1660" t="n"/>
    </row>
    <row r="891" ht="12.75" customFormat="1" customHeight="1" s="1872">
      <c r="A891" s="1871" t="n"/>
      <c r="B891" s="1660" t="n"/>
      <c r="C891" s="1660" t="n"/>
    </row>
    <row r="892" ht="12.75" customFormat="1" customHeight="1" s="1872">
      <c r="A892" s="1871" t="n"/>
      <c r="B892" s="1660" t="n"/>
      <c r="C892" s="1660" t="n"/>
    </row>
    <row r="893" ht="12.75" customFormat="1" customHeight="1" s="1872">
      <c r="A893" s="1871" t="n"/>
      <c r="B893" s="1660" t="n"/>
      <c r="C893" s="1660" t="n"/>
    </row>
    <row r="894" ht="12.75" customFormat="1" customHeight="1" s="1872">
      <c r="A894" s="1871" t="n"/>
      <c r="B894" s="1660" t="n"/>
      <c r="C894" s="1660" t="n"/>
    </row>
    <row r="895" ht="12.75" customFormat="1" customHeight="1" s="1872">
      <c r="A895" s="1871" t="n"/>
      <c r="B895" s="1660" t="n"/>
      <c r="C895" s="1660" t="n"/>
    </row>
    <row r="896" ht="12.75" customFormat="1" customHeight="1" s="1872">
      <c r="A896" s="1871" t="n"/>
      <c r="B896" s="1660" t="n"/>
      <c r="C896" s="1660" t="n"/>
    </row>
    <row r="897" ht="12.75" customFormat="1" customHeight="1" s="1872">
      <c r="A897" s="1871" t="n"/>
      <c r="B897" s="1660" t="n"/>
      <c r="C897" s="1660" t="n"/>
    </row>
    <row r="898" ht="12.75" customFormat="1" customHeight="1" s="1872">
      <c r="A898" s="1871" t="n"/>
      <c r="B898" s="1660" t="n"/>
      <c r="C898" s="1660" t="n"/>
    </row>
    <row r="899" ht="12.75" customFormat="1" customHeight="1" s="1872">
      <c r="A899" s="1871" t="n"/>
      <c r="B899" s="1660" t="n"/>
      <c r="C899" s="1660" t="n"/>
    </row>
    <row r="900" ht="12.75" customFormat="1" customHeight="1" s="1872">
      <c r="A900" s="1871" t="n"/>
      <c r="B900" s="1660" t="n"/>
      <c r="C900" s="1660" t="n"/>
    </row>
    <row r="901" ht="12.75" customFormat="1" customHeight="1" s="1872">
      <c r="A901" s="1871" t="n"/>
      <c r="B901" s="1660" t="n"/>
      <c r="C901" s="1660" t="n"/>
    </row>
    <row r="902" ht="12.75" customFormat="1" customHeight="1" s="1872">
      <c r="A902" s="1871" t="n"/>
      <c r="B902" s="1660" t="n"/>
      <c r="C902" s="1660" t="n"/>
    </row>
    <row r="903" ht="12.75" customFormat="1" customHeight="1" s="1872">
      <c r="A903" s="1871" t="n"/>
      <c r="B903" s="1660" t="n"/>
      <c r="C903" s="1660" t="n"/>
    </row>
    <row r="904" ht="12.75" customFormat="1" customHeight="1" s="1872">
      <c r="A904" s="1871" t="n"/>
      <c r="B904" s="1660" t="n"/>
      <c r="C904" s="1660" t="n"/>
    </row>
    <row r="905" ht="12.75" customFormat="1" customHeight="1" s="1872">
      <c r="A905" s="1871" t="n"/>
      <c r="B905" s="1660" t="n"/>
      <c r="C905" s="1660" t="n"/>
    </row>
    <row r="906" ht="12.75" customFormat="1" customHeight="1" s="1872">
      <c r="A906" s="1871" t="n"/>
      <c r="B906" s="1660" t="n"/>
      <c r="C906" s="1660" t="n"/>
    </row>
    <row r="907" ht="12.75" customFormat="1" customHeight="1" s="1872">
      <c r="A907" s="1871" t="n"/>
      <c r="B907" s="1660" t="n"/>
      <c r="C907" s="1660" t="n"/>
    </row>
    <row r="908" ht="12.75" customFormat="1" customHeight="1" s="1872">
      <c r="A908" s="1871" t="n"/>
      <c r="B908" s="1660" t="n"/>
      <c r="C908" s="1660" t="n"/>
    </row>
    <row r="909" ht="12.75" customFormat="1" customHeight="1" s="1872">
      <c r="A909" s="1871" t="n"/>
      <c r="B909" s="1660" t="n"/>
      <c r="C909" s="1660" t="n"/>
    </row>
    <row r="910" ht="12.75" customFormat="1" customHeight="1" s="1872">
      <c r="A910" s="1871" t="n"/>
      <c r="B910" s="1660" t="n"/>
      <c r="C910" s="1660" t="n"/>
    </row>
    <row r="911" ht="12.75" customFormat="1" customHeight="1" s="1872">
      <c r="A911" s="1871" t="n"/>
      <c r="B911" s="1660" t="n"/>
      <c r="C911" s="1660" t="n"/>
    </row>
    <row r="912" ht="12.75" customFormat="1" customHeight="1" s="1872">
      <c r="A912" s="1871" t="n"/>
      <c r="B912" s="1660" t="n"/>
      <c r="C912" s="1660" t="n"/>
    </row>
    <row r="913" ht="12.75" customFormat="1" customHeight="1" s="1872">
      <c r="A913" s="1871" t="n"/>
      <c r="B913" s="1660" t="n"/>
      <c r="C913" s="1660" t="n"/>
    </row>
    <row r="914" ht="12.75" customFormat="1" customHeight="1" s="1872">
      <c r="A914" s="1871" t="n"/>
      <c r="B914" s="1660" t="n"/>
      <c r="C914" s="1660" t="n"/>
    </row>
    <row r="915" ht="12.75" customFormat="1" customHeight="1" s="1872">
      <c r="A915" s="1871" t="n"/>
      <c r="B915" s="1660" t="n"/>
      <c r="C915" s="1660" t="n"/>
    </row>
    <row r="916" ht="12.75" customFormat="1" customHeight="1" s="1872">
      <c r="A916" s="1871" t="n"/>
      <c r="B916" s="1660" t="n"/>
      <c r="C916" s="1660" t="n"/>
    </row>
    <row r="917" ht="12.75" customFormat="1" customHeight="1" s="1872">
      <c r="A917" s="1871" t="n"/>
      <c r="B917" s="1660" t="n"/>
      <c r="C917" s="1660" t="n"/>
    </row>
    <row r="918" ht="12.75" customFormat="1" customHeight="1" s="1872">
      <c r="A918" s="1871" t="n"/>
      <c r="B918" s="1660" t="n"/>
      <c r="C918" s="1660" t="n"/>
    </row>
    <row r="919" ht="12.75" customFormat="1" customHeight="1" s="1872">
      <c r="A919" s="1871" t="n"/>
      <c r="B919" s="1660" t="n"/>
      <c r="C919" s="1660" t="n"/>
    </row>
    <row r="920" ht="12.75" customFormat="1" customHeight="1" s="1872">
      <c r="A920" s="1871" t="n"/>
      <c r="B920" s="1660" t="n"/>
      <c r="C920" s="1660" t="n"/>
    </row>
    <row r="921" ht="12.75" customFormat="1" customHeight="1" s="1872">
      <c r="A921" s="1871" t="n"/>
      <c r="B921" s="1660" t="n"/>
      <c r="C921" s="1660" t="n"/>
    </row>
    <row r="922" ht="12.75" customFormat="1" customHeight="1" s="1872">
      <c r="A922" s="1871" t="n"/>
      <c r="B922" s="1660" t="n"/>
      <c r="C922" s="1660" t="n"/>
    </row>
    <row r="923" ht="12.75" customFormat="1" customHeight="1" s="1872">
      <c r="A923" s="1871" t="n"/>
      <c r="B923" s="1660" t="n"/>
      <c r="C923" s="1660" t="n"/>
    </row>
    <row r="924" ht="12.75" customFormat="1" customHeight="1" s="1872">
      <c r="A924" s="1871" t="n"/>
      <c r="B924" s="1660" t="n"/>
      <c r="C924" s="1660" t="n"/>
    </row>
    <row r="925" ht="12.75" customFormat="1" customHeight="1" s="1872">
      <c r="A925" s="1871" t="n"/>
      <c r="B925" s="1660" t="n"/>
      <c r="C925" s="1660" t="n"/>
    </row>
    <row r="926" ht="12.75" customFormat="1" customHeight="1" s="1872">
      <c r="A926" s="1871" t="n"/>
      <c r="B926" s="1660" t="n"/>
      <c r="C926" s="1660" t="n"/>
    </row>
    <row r="927" ht="12.75" customFormat="1" customHeight="1" s="1872">
      <c r="A927" s="1871" t="n"/>
      <c r="B927" s="1660" t="n"/>
      <c r="C927" s="1660" t="n"/>
    </row>
    <row r="928" ht="12.75" customFormat="1" customHeight="1" s="1872">
      <c r="A928" s="1871" t="n"/>
      <c r="B928" s="1660" t="n"/>
      <c r="C928" s="1660" t="n"/>
    </row>
    <row r="929" ht="12.75" customFormat="1" customHeight="1" s="1872">
      <c r="A929" s="1871" t="n"/>
      <c r="B929" s="1660" t="n"/>
      <c r="C929" s="1660" t="n"/>
    </row>
    <row r="930" ht="12.75" customFormat="1" customHeight="1" s="1872">
      <c r="A930" s="1871" t="n"/>
      <c r="B930" s="1660" t="n"/>
      <c r="C930" s="1660" t="n"/>
    </row>
    <row r="931" ht="12.75" customFormat="1" customHeight="1" s="1872">
      <c r="A931" s="1871" t="n"/>
      <c r="B931" s="1660" t="n"/>
      <c r="C931" s="1660" t="n"/>
    </row>
    <row r="932" ht="12.75" customFormat="1" customHeight="1" s="1872">
      <c r="A932" s="1871" t="n"/>
      <c r="B932" s="1660" t="n"/>
      <c r="C932" s="1660" t="n"/>
    </row>
    <row r="933" ht="12.75" customFormat="1" customHeight="1" s="1872">
      <c r="A933" s="1871" t="n"/>
      <c r="B933" s="1660" t="n"/>
      <c r="C933" s="1660" t="n"/>
    </row>
    <row r="934" ht="12.75" customFormat="1" customHeight="1" s="1872">
      <c r="A934" s="1871" t="n"/>
      <c r="B934" s="1660" t="n"/>
      <c r="C934" s="1660" t="n"/>
    </row>
    <row r="935" ht="12.75" customFormat="1" customHeight="1" s="1872">
      <c r="A935" s="1871" t="n"/>
      <c r="B935" s="1660" t="n"/>
      <c r="C935" s="1660" t="n"/>
    </row>
    <row r="936" ht="12.75" customFormat="1" customHeight="1" s="1872">
      <c r="A936" s="1871" t="n"/>
      <c r="B936" s="1660" t="n"/>
      <c r="C936" s="1660" t="n"/>
    </row>
    <row r="937" ht="12.75" customFormat="1" customHeight="1" s="1872">
      <c r="A937" s="1871" t="n"/>
      <c r="B937" s="1660" t="n"/>
      <c r="C937" s="1660" t="n"/>
    </row>
    <row r="938" ht="12.75" customFormat="1" customHeight="1" s="1872">
      <c r="A938" s="1871" t="n"/>
      <c r="B938" s="1660" t="n"/>
      <c r="C938" s="1660" t="n"/>
    </row>
    <row r="939" ht="12.75" customFormat="1" customHeight="1" s="1872">
      <c r="A939" s="1871" t="n"/>
      <c r="B939" s="1660" t="n"/>
      <c r="C939" s="1660" t="n"/>
    </row>
    <row r="940" ht="12.75" customFormat="1" customHeight="1" s="1872">
      <c r="A940" s="1871" t="n"/>
      <c r="B940" s="1660" t="n"/>
      <c r="C940" s="1660" t="n"/>
    </row>
    <row r="941" ht="12.75" customFormat="1" customHeight="1" s="1872">
      <c r="A941" s="1871" t="n"/>
      <c r="B941" s="1660" t="n"/>
      <c r="C941" s="1660" t="n"/>
    </row>
    <row r="942" ht="12.75" customFormat="1" customHeight="1" s="1872">
      <c r="A942" s="1871" t="n"/>
      <c r="B942" s="1660" t="n"/>
      <c r="C942" s="1660" t="n"/>
    </row>
    <row r="943" ht="12.75" customFormat="1" customHeight="1" s="1872">
      <c r="A943" s="1871" t="n"/>
      <c r="B943" s="1660" t="n"/>
      <c r="C943" s="1660" t="n"/>
    </row>
    <row r="944" ht="12.75" customFormat="1" customHeight="1" s="1872">
      <c r="A944" s="1871" t="n"/>
      <c r="B944" s="1660" t="n"/>
      <c r="C944" s="1660" t="n"/>
    </row>
    <row r="945" ht="12.75" customFormat="1" customHeight="1" s="1872">
      <c r="A945" s="1871" t="n"/>
      <c r="B945" s="1660" t="n"/>
      <c r="C945" s="1660" t="n"/>
    </row>
    <row r="946" ht="12.75" customFormat="1" customHeight="1" s="1872">
      <c r="A946" s="1871" t="n"/>
      <c r="B946" s="1660" t="n"/>
      <c r="C946" s="1660" t="n"/>
    </row>
    <row r="947" ht="12.75" customFormat="1" customHeight="1" s="1872">
      <c r="A947" s="1871" t="n"/>
      <c r="B947" s="1660" t="n"/>
      <c r="C947" s="1660" t="n"/>
    </row>
    <row r="948" ht="12.75" customFormat="1" customHeight="1" s="1872">
      <c r="A948" s="1871" t="n"/>
      <c r="B948" s="1660" t="n"/>
      <c r="C948" s="1660" t="n"/>
    </row>
    <row r="949" ht="12.75" customFormat="1" customHeight="1" s="1872">
      <c r="A949" s="1871" t="n"/>
      <c r="B949" s="1660" t="n"/>
      <c r="C949" s="1660" t="n"/>
    </row>
    <row r="950" ht="12.75" customFormat="1" customHeight="1" s="1872">
      <c r="A950" s="1871" t="n"/>
      <c r="B950" s="1660" t="n"/>
      <c r="C950" s="1660" t="n"/>
    </row>
    <row r="951" ht="12.75" customFormat="1" customHeight="1" s="1872">
      <c r="A951" s="1871" t="n"/>
      <c r="B951" s="1660" t="n"/>
      <c r="C951" s="1660" t="n"/>
    </row>
    <row r="952" ht="12.75" customFormat="1" customHeight="1" s="1872">
      <c r="A952" s="1871" t="n"/>
      <c r="B952" s="1660" t="n"/>
      <c r="C952" s="1660" t="n"/>
    </row>
    <row r="953" ht="12.75" customFormat="1" customHeight="1" s="1872">
      <c r="A953" s="1871" t="n"/>
      <c r="B953" s="1660" t="n"/>
      <c r="C953" s="1660" t="n"/>
    </row>
    <row r="954" ht="12.75" customFormat="1" customHeight="1" s="1872">
      <c r="A954" s="1871" t="n"/>
      <c r="B954" s="1660" t="n"/>
      <c r="C954" s="1660"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1.xml><?xml version="1.0" encoding="utf-8"?>
<worksheet xmlns="http://schemas.openxmlformats.org/spreadsheetml/2006/main">
  <sheetPr filterMode="0">
    <tabColor rgb="FF00B050"/>
    <outlinePr summaryBelow="1" summaryRight="1"/>
    <pageSetUpPr fitToPage="1"/>
  </sheetPr>
  <dimension ref="A1:V324"/>
  <sheetViews>
    <sheetView showFormulas="0" showGridLines="0" showRowColHeaders="1" showZeros="1" rightToLeft="0" tabSelected="0" showOutlineSymbols="1" defaultGridColor="1" view="pageBreakPreview" topLeftCell="A73" colorId="64" zoomScale="85" zoomScaleNormal="145" zoomScalePageLayoutView="85" workbookViewId="0">
      <selection pane="topLeft" activeCell="D95" activeCellId="1" sqref="A11:S58 D95"/>
    </sheetView>
  </sheetViews>
  <sheetFormatPr baseColWidth="8" defaultColWidth="8.59765625" defaultRowHeight="14.25" customHeight="0" zeroHeight="0" outlineLevelRow="0"/>
  <cols>
    <col width="5.66" customWidth="1" style="1873" min="1" max="1"/>
    <col width="1.44" customWidth="1" style="1207" min="2" max="2"/>
    <col width="12.55" customWidth="1" style="1207" min="3" max="3"/>
    <col width="14.11" customWidth="1" style="1207" min="4" max="4"/>
    <col width="16" customWidth="1" style="1207" min="5" max="5"/>
    <col width="11.78" customWidth="1" style="1207" min="6" max="6"/>
    <col width="8.890000000000001" customWidth="1" style="1207" min="7" max="7"/>
    <col width="9.56" customWidth="1" style="1207" min="8" max="8"/>
    <col width="10.22" customWidth="1" style="1207" min="9" max="10"/>
    <col width="15.33" customWidth="1" style="1207" min="11" max="11"/>
    <col width="50" customWidth="1" style="1207" min="12" max="12"/>
  </cols>
  <sheetData>
    <row r="1" ht="15" customFormat="1" customHeight="1" s="1874">
      <c r="A1" s="1875" t="n"/>
      <c r="B1" s="1876" t="inlineStr">
        <is>
          <t xml:space="preserve">RUNNING PROCEDURE : </t>
        </is>
      </c>
      <c r="C1" s="1877" t="n"/>
      <c r="D1" s="1877" t="n"/>
      <c r="F1" s="1878" t="n"/>
      <c r="G1" s="1878" t="n"/>
      <c r="H1" s="1878" t="n"/>
      <c r="I1" s="1878" t="n"/>
      <c r="J1" s="1878" t="n"/>
      <c r="K1" s="1879" t="n"/>
      <c r="M1" s="1880" t="n"/>
      <c r="N1" s="1880" t="n"/>
      <c r="O1" s="1880" t="n"/>
      <c r="P1" s="1880" t="n"/>
      <c r="Q1" s="1880" t="n"/>
      <c r="R1" s="1880" t="n"/>
      <c r="S1" s="1880" t="n"/>
      <c r="T1" s="1880" t="n"/>
      <c r="U1" s="1880" t="n"/>
    </row>
    <row r="2" ht="24.45" customFormat="1" customHeight="1" s="1874">
      <c r="A2" s="1875" t="n"/>
      <c r="B2" s="1881" t="n"/>
      <c r="C2" s="1882" t="inlineStr">
        <is>
          <t>Well  :</t>
        </is>
      </c>
      <c r="D2" s="1883">
        <f>'MS2'!I9</f>
        <v/>
      </c>
      <c r="E2" s="1882" t="inlineStr">
        <is>
          <t>Rig   :</t>
        </is>
      </c>
      <c r="F2" s="1884">
        <f>'MS2'!I8</f>
        <v/>
      </c>
      <c r="G2" s="1885" t="n"/>
      <c r="H2" s="1885" t="n"/>
      <c r="I2" s="1885" t="n"/>
      <c r="J2" s="1885" t="n"/>
      <c r="M2" s="1886" t="inlineStr">
        <is>
          <t>Annulus Test</t>
        </is>
      </c>
      <c r="N2" s="1886" t="inlineStr">
        <is>
          <t>Hanger Test</t>
        </is>
      </c>
      <c r="O2" s="1886" t="inlineStr">
        <is>
          <t>CL Test</t>
        </is>
      </c>
      <c r="P2" s="1887" t="n"/>
      <c r="Q2" s="1887" t="inlineStr">
        <is>
          <t xml:space="preserve">PRESSURE UP TBG TO </t>
        </is>
      </c>
      <c r="R2" s="1887" t="inlineStr">
        <is>
          <t xml:space="preserve"> PSI / 10 MINS TO SET PKR, INCREASE TO </t>
        </is>
      </c>
      <c r="S2" s="1887" t="inlineStr">
        <is>
          <t xml:space="preserve"> / 30 MINS TO TEST TBG</t>
        </is>
      </c>
      <c r="T2" s="1887" t="n"/>
      <c r="U2" s="1887" t="n"/>
      <c r="V2" s="1888" t="n"/>
    </row>
    <row r="3" ht="28.5" customFormat="1" customHeight="1" s="1874">
      <c r="A3" s="1875" t="n"/>
      <c r="B3" s="1881" t="n"/>
      <c r="C3" s="1882" t="inlineStr">
        <is>
          <t>CWLE :</t>
        </is>
      </c>
      <c r="D3" s="1876" t="inlineStr">
        <is>
          <t xml:space="preserve">MAHMOUD </t>
        </is>
      </c>
      <c r="E3" s="1882" t="inlineStr">
        <is>
          <t>DS   :</t>
        </is>
      </c>
      <c r="F3" s="1884" t="n"/>
      <c r="G3" s="1881" t="n"/>
      <c r="H3" s="1881" t="n"/>
      <c r="I3" s="1881" t="n"/>
      <c r="J3" s="1881" t="n"/>
      <c r="M3" s="1886" t="inlineStr">
        <is>
          <t>3500 PSI</t>
        </is>
      </c>
      <c r="N3" s="1886" t="inlineStr">
        <is>
          <t>5000 PSI</t>
        </is>
      </c>
      <c r="O3" s="1886" t="inlineStr">
        <is>
          <t>5000 PSI</t>
        </is>
      </c>
      <c r="P3" s="1887" t="n"/>
      <c r="Q3" s="1887" t="inlineStr">
        <is>
          <t xml:space="preserve">PRESSURE TEST ANNULUS TO </t>
        </is>
      </c>
      <c r="R3" s="1887" t="inlineStr">
        <is>
          <t xml:space="preserve"> / 30 MINS. OBSERVE TBG FOR RETURN</t>
        </is>
      </c>
      <c r="S3" s="1887" t="n"/>
      <c r="T3" s="1887" t="n"/>
      <c r="U3" s="1887" t="n"/>
      <c r="V3" s="1888" t="n"/>
    </row>
    <row r="4" ht="14.25" customFormat="1" customHeight="1" s="1874">
      <c r="A4" s="1875" t="n"/>
      <c r="C4" s="1889" t="n"/>
      <c r="D4" s="1890" t="n"/>
      <c r="E4" s="1891" t="n"/>
      <c r="F4" s="1892" t="n"/>
      <c r="G4" s="1892" t="n"/>
      <c r="H4" s="1892" t="n"/>
      <c r="I4" s="1892" t="n"/>
      <c r="J4" s="1892" t="n"/>
      <c r="K4" s="1892" t="n"/>
      <c r="M4" s="1887" t="n"/>
      <c r="N4" s="1887" t="n"/>
      <c r="O4" s="1887" t="n"/>
      <c r="P4" s="1887" t="n"/>
      <c r="Q4" s="1887" t="n"/>
      <c r="R4" s="1887" t="n"/>
      <c r="S4" s="1887" t="n"/>
      <c r="T4" s="1887" t="n"/>
      <c r="U4" s="1887" t="n"/>
      <c r="V4" s="1888" t="n"/>
    </row>
    <row r="5" ht="17.35" customFormat="1" customHeight="1" s="1874">
      <c r="A5" s="1893" t="n"/>
      <c r="B5" s="1894" t="n"/>
      <c r="C5" s="1895" t="inlineStr">
        <is>
          <t xml:space="preserve">NOTES : </t>
        </is>
      </c>
      <c r="D5" s="1894" t="n"/>
      <c r="E5" s="1894" t="n"/>
      <c r="F5" s="1894" t="n"/>
      <c r="G5" s="1894" t="n"/>
      <c r="H5" s="1894" t="n"/>
      <c r="I5" s="1894" t="n"/>
      <c r="J5" s="1894" t="n"/>
      <c r="K5" s="1894" t="n"/>
      <c r="L5" s="1894" t="n"/>
      <c r="M5" s="1880" t="n"/>
      <c r="N5" s="1880" t="n"/>
      <c r="O5" s="1880" t="n"/>
      <c r="P5" s="1880" t="n"/>
      <c r="Q5" s="1880" t="n"/>
      <c r="R5" s="1880" t="n"/>
      <c r="S5" s="1880" t="n"/>
      <c r="T5" s="1880" t="n"/>
      <c r="U5" s="1880" t="n"/>
    </row>
    <row r="6" ht="17.35" customFormat="1" customHeight="1" s="1874">
      <c r="A6" s="1896" t="n">
        <v>1</v>
      </c>
      <c r="B6" s="1897" t="inlineStr">
        <is>
          <t xml:space="preserve"> USE FILTRATION UNIT FOR COMPLETION FLUID. COMPLETION FLUID TO BE USED ALL THE TIME.</t>
        </is>
      </c>
      <c r="M6" s="1898" t="n"/>
      <c r="N6" s="1880" t="n"/>
      <c r="O6" s="1880" t="n"/>
      <c r="P6" s="1880" t="n"/>
      <c r="Q6" s="1880" t="n"/>
      <c r="R6" s="1880" t="n"/>
      <c r="S6" s="1880" t="n"/>
      <c r="T6" s="1880" t="n"/>
      <c r="U6" s="1880" t="n"/>
    </row>
    <row r="7" ht="17.35" customFormat="1" customHeight="1" s="1874">
      <c r="A7" s="1896" t="n">
        <v>2</v>
      </c>
      <c r="B7" s="1897" t="inlineStr">
        <is>
          <t>ENSURE THE WELL HOLE IS CENTRALLY ALIGNED BEFORE RIH COMPLETION</t>
        </is>
      </c>
      <c r="M7" s="1898" t="n"/>
      <c r="N7" s="1880" t="n"/>
      <c r="O7" s="1880" t="n"/>
      <c r="P7" s="1880" t="n"/>
      <c r="Q7" s="1880" t="n"/>
      <c r="R7" s="1880" t="n"/>
      <c r="S7" s="1880" t="n"/>
      <c r="T7" s="1880" t="n"/>
      <c r="U7" s="1880" t="n"/>
    </row>
    <row r="8" ht="17.35" customFormat="1" customHeight="1" s="1874">
      <c r="A8" s="1896" t="n">
        <v>3</v>
      </c>
      <c r="B8" s="1897" t="inlineStr">
        <is>
          <t>SAFETY VALVE WITH REQUIRED X-OVERS TO BE READY AND AVAILABLE ON THE RIG FLOOR FOR USE IN DUE TIME</t>
        </is>
      </c>
      <c r="M8" s="1898" t="n"/>
      <c r="N8" s="1880" t="n"/>
      <c r="O8" s="1880" t="n"/>
      <c r="P8" s="1880" t="n"/>
      <c r="Q8" s="1880" t="n"/>
      <c r="R8" s="1880" t="n"/>
      <c r="S8" s="1880" t="n"/>
      <c r="T8" s="1880" t="n"/>
      <c r="U8" s="1880" t="n"/>
    </row>
    <row r="9" ht="17.35" customFormat="1" customHeight="1" s="1874">
      <c r="A9" s="1896" t="n">
        <v>4</v>
      </c>
      <c r="B9" s="1897" t="inlineStr">
        <is>
          <t>USE SAFETY CLAMP ON STRING TILL REQUIRED STRING WEIGHT IS ACHIEVED  TILL 20K +-</t>
        </is>
      </c>
      <c r="M9" s="1898" t="n"/>
      <c r="N9" s="1880" t="n"/>
      <c r="O9" s="1880" t="n"/>
      <c r="P9" s="1880" t="n"/>
      <c r="Q9" s="1880" t="n"/>
      <c r="R9" s="1880" t="n"/>
      <c r="S9" s="1880" t="n"/>
      <c r="T9" s="1880" t="n"/>
      <c r="U9" s="1880" t="n"/>
    </row>
    <row r="10" ht="17.35" customFormat="1" customHeight="1" s="1874">
      <c r="A10" s="1896" t="n">
        <v>5</v>
      </c>
      <c r="B10" s="1897" t="inlineStr">
        <is>
          <t>IF ANY TUBING DAMAGE (DIRECTLY REPLACE), IF FOUND OVER TORQUE - COMMUNICATE W/ THREAD INSPECTOR</t>
        </is>
      </c>
      <c r="M10" s="1898" t="n"/>
      <c r="N10" s="1880" t="n"/>
      <c r="O10" s="1880" t="n"/>
      <c r="P10" s="1880" t="n"/>
      <c r="Q10" s="1880" t="n"/>
      <c r="R10" s="1880" t="n"/>
      <c r="S10" s="1880" t="n"/>
      <c r="T10" s="1880" t="n"/>
      <c r="U10" s="1880" t="n"/>
    </row>
    <row r="11" ht="17.35" customFormat="1" customHeight="1" s="1874">
      <c r="A11" s="1896" t="n">
        <v>6</v>
      </c>
      <c r="B11" s="1897" t="inlineStr">
        <is>
          <t xml:space="preserve"> COVER THE HOLE WHILE PERFORMING ANY TASK OVER THE ROTARY</t>
        </is>
      </c>
      <c r="M11" s="1898" t="n"/>
      <c r="N11" s="1880" t="n"/>
      <c r="O11" s="1880" t="n"/>
      <c r="P11" s="1880" t="n"/>
      <c r="Q11" s="1880" t="n"/>
      <c r="R11" s="1880" t="n"/>
      <c r="S11" s="1880" t="n"/>
      <c r="T11" s="1880" t="n"/>
      <c r="U11" s="1880" t="n"/>
    </row>
    <row r="12" ht="17.35" customFormat="1" customHeight="1" s="1874">
      <c r="A12" s="1896" t="n">
        <v>7</v>
      </c>
      <c r="B12" s="1897" t="inlineStr">
        <is>
          <t>AFTER M/UP TRSV, CARE SHOULD BE TAKEN WHILE SETTING SLIPS NOT TO CRUSH CONTROL LINE</t>
        </is>
      </c>
      <c r="M12" s="1898" t="n"/>
      <c r="N12" s="1880" t="n"/>
      <c r="O12" s="1880" t="n"/>
      <c r="P12" s="1880" t="n"/>
      <c r="Q12" s="1880" t="n"/>
      <c r="R12" s="1880" t="n"/>
      <c r="S12" s="1880" t="n"/>
      <c r="T12" s="1880" t="n"/>
      <c r="U12" s="1880" t="n"/>
    </row>
    <row r="13" ht="17.35" customFormat="1" customHeight="1" s="1874">
      <c r="A13" s="1896" t="n">
        <v>8</v>
      </c>
      <c r="B13" s="1897" t="inlineStr">
        <is>
          <t>USE THE MINIMUM AMOUNT OF PIPE DOPE WITH PAINT BRUSH AND ONLY IN PIN SIDE</t>
        </is>
      </c>
      <c r="M13" s="1898" t="n"/>
      <c r="N13" s="1880" t="n"/>
      <c r="O13" s="1880" t="n"/>
      <c r="P13" s="1880" t="n"/>
      <c r="Q13" s="1880" t="n"/>
      <c r="R13" s="1880" t="n"/>
      <c r="S13" s="1880" t="n"/>
      <c r="T13" s="1880" t="n"/>
      <c r="U13" s="1880" t="n"/>
    </row>
    <row r="14" ht="17.35" customFormat="1" customHeight="1" s="1874">
      <c r="A14" s="1896" t="n">
        <v>9</v>
      </c>
      <c r="B14" s="1897" t="inlineStr">
        <is>
          <t>WELLHEAD ENGR TO ENSURE THE LOCKDOWN SCREWS RETRACTED BEFORE START RIH.</t>
        </is>
      </c>
      <c r="M14" s="1898" t="n"/>
      <c r="N14" s="1880" t="n"/>
      <c r="O14" s="1880" t="n"/>
      <c r="P14" s="1880" t="n"/>
      <c r="Q14" s="1880" t="n"/>
      <c r="R14" s="1880" t="n"/>
      <c r="S14" s="1880" t="n"/>
      <c r="T14" s="1880" t="n"/>
      <c r="U14" s="1880" t="n"/>
    </row>
    <row r="15" ht="14.25" customFormat="1" customHeight="1" s="1874">
      <c r="A15" s="1899" t="inlineStr">
        <is>
          <t xml:space="preserve">        IMPORTANT NOTES:-   </t>
        </is>
      </c>
      <c r="B15" s="1319" t="n"/>
      <c r="C15" s="1319" t="n"/>
      <c r="D15" s="1319" t="n"/>
      <c r="E15" s="1319" t="n"/>
      <c r="F15" s="1319" t="n"/>
      <c r="G15" s="1319" t="n"/>
      <c r="H15" s="1319" t="n"/>
      <c r="I15" s="1319" t="n"/>
      <c r="J15" s="1319" t="n"/>
      <c r="K15" s="1319" t="n"/>
      <c r="L15" s="1319" t="n"/>
      <c r="M15" s="1898" t="n"/>
      <c r="N15" s="1880" t="n"/>
      <c r="O15" s="1880" t="n"/>
      <c r="P15" s="1880" t="n"/>
      <c r="Q15" s="1880" t="n"/>
      <c r="R15" s="1880" t="n"/>
      <c r="S15" s="1880" t="n"/>
      <c r="T15" s="1880" t="n"/>
      <c r="U15" s="1880" t="n"/>
    </row>
    <row r="16" ht="10.5" customFormat="1" customHeight="1" s="1874">
      <c r="A16" s="1382" t="n"/>
      <c r="B16" s="1330" t="n"/>
      <c r="C16" s="1330" t="n"/>
      <c r="D16" s="1330" t="n"/>
      <c r="E16" s="1330" t="n"/>
      <c r="F16" s="1330" t="n"/>
      <c r="G16" s="1330" t="n"/>
      <c r="H16" s="1330" t="n"/>
      <c r="I16" s="1330" t="n"/>
      <c r="J16" s="1330" t="n"/>
      <c r="K16" s="1330" t="n"/>
      <c r="L16" s="1330" t="n"/>
      <c r="M16" s="1898" t="n"/>
      <c r="N16" s="1880" t="n"/>
      <c r="O16" s="1880" t="n"/>
      <c r="P16" s="1880" t="n"/>
      <c r="Q16" s="1880" t="n"/>
      <c r="R16" s="1880" t="n"/>
      <c r="S16" s="1880" t="n"/>
      <c r="T16" s="1880" t="n"/>
      <c r="U16" s="1880" t="n"/>
    </row>
    <row r="17" ht="82.5" customFormat="1" customHeight="1" s="1874">
      <c r="A17" s="1900" t="inlineStr">
        <is>
          <t>NO FILL-UP BY MUD PUMP / SUPERCHARGER.USE  HOSE TO FILL THE COMPLETION STRING, AND ENSURE THE TUBING IS FULL BEFORE PROCEEDING WITH RIH FOR THE FIRST 5 JOINTS. AFTER EVERY 10 JOINTS, PERFORM FILL-UP.</t>
        </is>
      </c>
      <c r="B17" s="1162" t="n"/>
      <c r="C17" s="1162" t="n"/>
      <c r="D17" s="1162" t="n"/>
      <c r="E17" s="1162" t="n"/>
      <c r="F17" s="1162" t="n"/>
      <c r="G17" s="1162" t="n"/>
      <c r="H17" s="1162" t="n"/>
      <c r="I17" s="1162" t="n"/>
      <c r="J17" s="1162" t="n"/>
      <c r="K17" s="1162" t="n"/>
      <c r="L17" s="1162" t="n"/>
      <c r="M17" s="1901" t="n"/>
      <c r="N17" s="1880" t="n"/>
      <c r="O17" s="1880" t="n"/>
      <c r="P17" s="1880" t="n"/>
      <c r="Q17" s="1880" t="n"/>
      <c r="R17" s="1880" t="n"/>
      <c r="S17" s="1880" t="n"/>
      <c r="T17" s="1880" t="n"/>
      <c r="U17" s="1880" t="n"/>
    </row>
    <row r="18" ht="21" customFormat="1" customHeight="1" s="1874">
      <c r="A18" s="1902" t="inlineStr">
        <is>
          <t>●  DRILLER TO MAKE SURE KEEP ANNULUS FILLED ALL THE TIME BY RUNNING FROM TRIP TANK	&amp; TRIP SHEET FILLED</t>
        </is>
      </c>
      <c r="B18" s="1319" t="n"/>
      <c r="C18" s="1319" t="n"/>
      <c r="D18" s="1319" t="n"/>
      <c r="E18" s="1319" t="n"/>
      <c r="F18" s="1319" t="n"/>
      <c r="G18" s="1319" t="n"/>
      <c r="H18" s="1319" t="n"/>
      <c r="I18" s="1319" t="n"/>
      <c r="J18" s="1319" t="n"/>
      <c r="K18" s="1319" t="n"/>
      <c r="L18" s="1319" t="n"/>
      <c r="M18" s="1901" t="n"/>
      <c r="N18" s="1880" t="n"/>
      <c r="O18" s="1880" t="n"/>
      <c r="P18" s="1880" t="n"/>
      <c r="Q18" s="1880" t="n"/>
      <c r="R18" s="1880" t="n"/>
      <c r="S18" s="1880" t="n"/>
      <c r="T18" s="1880" t="n"/>
      <c r="U18" s="1880" t="n"/>
    </row>
    <row r="19" ht="27" customFormat="1" customHeight="1" s="1874">
      <c r="A19" s="1903" t="inlineStr">
        <is>
          <t>● BEFORE FILLING UP THE TUBING, MAKE SURE TO GET CLEAR BRINE ON THE RIG FLOOR AND FLUSH THE SURFACE LINES. DO NOT PROCEED UNTIL CLEAR BRINE IS OBSERVED ON THE RIG FLOOR</t>
        </is>
      </c>
      <c r="M19" s="1901" t="n"/>
      <c r="N19" s="1880" t="n"/>
      <c r="O19" s="1880" t="n"/>
      <c r="P19" s="1880" t="n"/>
      <c r="Q19" s="1880" t="n"/>
      <c r="R19" s="1880" t="n"/>
      <c r="S19" s="1880" t="n"/>
      <c r="T19" s="1880" t="n"/>
      <c r="U19" s="1880" t="n"/>
    </row>
    <row r="20" ht="19.5" customFormat="1" customHeight="1" s="1874">
      <c r="A20" s="1903" t="inlineStr">
        <is>
          <t xml:space="preserve">●  NO SLACK OFF WEIGHT ON PACKER  MORE THAN 3 TO 4KIPS . NOTE:- CONTROL RUNNING SPEED INSIDE 7" CASING DURING RIH,   NO JERKING &amp; ROTATION.			                                      		                                                           </t>
        </is>
      </c>
      <c r="M20" s="1901" t="n"/>
      <c r="N20" s="1880" t="n"/>
      <c r="O20" s="1880" t="n"/>
      <c r="P20" s="1880" t="n"/>
      <c r="Q20" s="1880" t="n"/>
      <c r="R20" s="1880" t="n"/>
      <c r="S20" s="1880" t="n"/>
      <c r="T20" s="1880" t="n"/>
      <c r="U20" s="1880" t="n"/>
    </row>
    <row r="21" ht="30.75" customFormat="1" customHeight="1" s="1874">
      <c r="A21" s="1903" t="inlineStr">
        <is>
          <t>● EXTRA CARE TO BE TAKEN AT TOL TO PREVENT IMPACT BECAUSE IF IMPACTED THE SUDDEN STOP CAN CAUSE A HAMMER EFFECT ON THE TOOL RESULTING IN A POSSIBLE COMPLETE CYCLE   . NO JERKING ALLOWED CONTROL RUNNING SPEED</t>
        </is>
      </c>
      <c r="M21" s="1901" t="n"/>
      <c r="N21" s="1880" t="n"/>
      <c r="O21" s="1880" t="n"/>
      <c r="P21" s="1880" t="n"/>
      <c r="Q21" s="1880" t="n"/>
      <c r="R21" s="1880" t="n"/>
      <c r="S21" s="1880" t="n"/>
      <c r="T21" s="1880" t="n"/>
      <c r="U21" s="1880" t="n"/>
    </row>
    <row r="22" ht="17.25" customFormat="1" customHeight="1" s="1874">
      <c r="A22" s="1904" t="inlineStr">
        <is>
          <t xml:space="preserve"> ●  IN A POSSIBLE COMPLETE CYCLE  NO JERKING ALLOWED CONTROL RUNNING SPEED    in 9-5/8" 60 FT /MIN )   in 7"   (45 FT/MIN)  LINER REDUCE RUNNING SPEED  </t>
        </is>
      </c>
      <c r="M22" s="1901" t="n"/>
      <c r="N22" s="1880" t="n"/>
      <c r="O22" s="1880" t="n"/>
      <c r="P22" s="1880" t="n"/>
      <c r="Q22" s="1880" t="n"/>
      <c r="R22" s="1880" t="n"/>
      <c r="S22" s="1880" t="n"/>
      <c r="T22" s="1880" t="n"/>
      <c r="U22" s="1880" t="n"/>
    </row>
    <row r="23" ht="31.5" customFormat="1" customHeight="1" s="1874">
      <c r="A23" s="1905" t="inlineStr">
        <is>
          <t>CAUTION: RUNNING SPEED OF THE PACKER IS LIMITED TO MAXIMUM RATE OF A 60-FT STAND/30 SEC. EXCEEDING THE SPECIFIED RUNNING SPEED MAY CAUSE DAMAGE TO THE PACKER. REDUCE RUNNING SPEED WHILE PASSING THE PACKER THROUGH RESTRICTIONS</t>
        </is>
      </c>
      <c r="M23" s="1901" t="n"/>
      <c r="N23" s="1880" t="n"/>
      <c r="O23" s="1880" t="n"/>
      <c r="P23" s="1880" t="n"/>
      <c r="Q23" s="1880" t="n"/>
      <c r="R23" s="1880" t="n"/>
      <c r="S23" s="1880" t="n"/>
      <c r="T23" s="1880" t="n"/>
      <c r="U23" s="1880" t="n"/>
    </row>
    <row r="24" ht="18" customFormat="1" customHeight="1" s="1874">
      <c r="A24" s="1906" t="n"/>
      <c r="M24" s="1901" t="n"/>
      <c r="N24" s="1880" t="n"/>
      <c r="O24" s="1880" t="n"/>
      <c r="P24" s="1880" t="n"/>
      <c r="Q24" s="1880" t="n"/>
      <c r="R24" s="1880" t="n"/>
      <c r="S24" s="1880" t="n"/>
      <c r="T24" s="1880" t="n"/>
      <c r="U24" s="1880" t="n"/>
    </row>
    <row r="25" ht="18" customFormat="1" customHeight="1" s="1874">
      <c r="A25" s="1907" t="inlineStr">
        <is>
          <t xml:space="preserve"> ● WHILE PICK UP THE GAS LIFT MANDREL EXTRA CARE SHOULD BE TAKEN AS THERE IS EXTERNAL DVX CHECK VALVES INSTALLED</t>
        </is>
      </c>
      <c r="M25" s="1901" t="n"/>
      <c r="N25" s="1880" t="n"/>
      <c r="O25" s="1880" t="n"/>
      <c r="P25" s="1880" t="n"/>
      <c r="Q25" s="1880" t="n"/>
      <c r="R25" s="1880" t="n"/>
      <c r="S25" s="1880" t="n"/>
      <c r="T25" s="1880" t="n"/>
      <c r="U25" s="1880" t="n"/>
    </row>
    <row r="26" ht="18" customFormat="1" customHeight="1" s="1874">
      <c r="A26" s="1908" t="inlineStr">
        <is>
          <t xml:space="preserve">●  REMOVE WEAR BUSHING AND CHECK WB CONDITION.  </t>
        </is>
      </c>
      <c r="M26" s="1901" t="n"/>
      <c r="N26" s="1880" t="n"/>
      <c r="O26" s="1880" t="n"/>
      <c r="P26" s="1880" t="n"/>
      <c r="Q26" s="1880" t="n"/>
      <c r="R26" s="1880" t="n"/>
      <c r="S26" s="1880" t="n"/>
      <c r="T26" s="1880" t="n"/>
      <c r="U26" s="1880" t="n"/>
    </row>
    <row r="27" ht="15" customFormat="1" customHeight="1" s="1874">
      <c r="A27" s="1908" t="inlineStr">
        <is>
          <t xml:space="preserve">●  PERFORM PJSM (PRE JOB SAFETY MEETING)- FOR TRS RIG UP </t>
        </is>
      </c>
      <c r="M27" s="1901" t="n"/>
      <c r="N27" s="1880" t="n"/>
      <c r="O27" s="1880" t="n"/>
      <c r="P27" s="1880" t="n"/>
      <c r="Q27" s="1880" t="n"/>
      <c r="R27" s="1880" t="n"/>
      <c r="S27" s="1880" t="n"/>
      <c r="T27" s="1880" t="n"/>
      <c r="U27" s="1880" t="n"/>
    </row>
    <row r="28" ht="15" customFormat="1" customHeight="1" s="1909">
      <c r="A28" s="1910" t="n"/>
      <c r="B28" s="1911" t="n"/>
      <c r="C28" s="1912" t="n"/>
      <c r="D28" s="1913" t="n"/>
      <c r="E28" s="1913" t="n"/>
      <c r="F28" s="1913" t="n"/>
      <c r="G28" s="1913" t="n"/>
      <c r="H28" s="1913" t="n"/>
      <c r="I28" s="1913" t="n"/>
      <c r="J28" s="1913" t="n"/>
      <c r="K28" s="1913" t="n"/>
      <c r="L28" s="1913" t="n"/>
      <c r="M28" s="1914" t="n"/>
      <c r="N28" s="1914" t="n"/>
      <c r="O28" s="1914" t="n"/>
      <c r="P28" s="1914" t="n"/>
      <c r="Q28" s="1914" t="n"/>
      <c r="R28" s="1914" t="n"/>
      <c r="S28" s="1914" t="n"/>
      <c r="T28" s="1914" t="n"/>
      <c r="U28" s="1914" t="n"/>
    </row>
    <row r="29" ht="15" customFormat="1" customHeight="1" s="1915">
      <c r="A29" s="1916" t="inlineStr">
        <is>
          <t xml:space="preserve">1) </t>
        </is>
      </c>
      <c r="B29" s="1917" t="n"/>
      <c r="C29" s="1918" t="inlineStr">
        <is>
          <t>P/U ASSY</t>
        </is>
      </c>
      <c r="D29" s="1919" t="inlineStr">
        <is>
          <t>A</t>
        </is>
      </c>
      <c r="E29" s="1918" t="n"/>
      <c r="F29" s="1920" t="inlineStr">
        <is>
          <t xml:space="preserve">WIRELINE ENTRY GUIDE       SN: 16339547-10-008              PN 2996481 </t>
        </is>
      </c>
      <c r="G29" s="1920" t="n"/>
      <c r="H29" s="1920" t="n"/>
      <c r="I29" s="1920" t="n"/>
      <c r="J29" s="1921" t="n"/>
      <c r="K29" s="1921" t="n"/>
      <c r="L29" s="1921" t="n"/>
    </row>
    <row r="30" ht="11.25" customFormat="1" customHeight="1" s="1909">
      <c r="A30" s="1910" t="n"/>
      <c r="B30" s="1911" t="n"/>
      <c r="C30" s="1912" t="n"/>
      <c r="D30" s="1922" t="n"/>
      <c r="E30" s="1912" t="n"/>
      <c r="F30" s="1923" t="n"/>
      <c r="G30" s="1923" t="n"/>
      <c r="H30" s="1923" t="n"/>
      <c r="I30" s="1923" t="n"/>
      <c r="J30" s="1913" t="n"/>
      <c r="K30" s="1913" t="n"/>
      <c r="L30" s="1913" t="n"/>
      <c r="M30" s="1914" t="n"/>
    </row>
    <row r="31" ht="15" customFormat="1" customHeight="1" s="1909">
      <c r="A31" s="1910" t="inlineStr">
        <is>
          <t xml:space="preserve">2) </t>
        </is>
      </c>
      <c r="B31" s="1911" t="n"/>
      <c r="C31" s="1912" t="inlineStr">
        <is>
          <t>M/U TBG JT</t>
        </is>
      </c>
      <c r="D31" s="1924" t="n">
        <v>5</v>
      </c>
      <c r="E31" s="1912" t="n"/>
      <c r="F31" s="1913" t="n"/>
      <c r="G31" s="1925" t="inlineStr">
        <is>
          <t>66</t>
        </is>
      </c>
      <c r="H31" s="1926">
        <f>G31-D31+1</f>
        <v/>
      </c>
      <c r="I31" s="1927" t="inlineStr">
        <is>
          <t>3-1/2" TUBING 9.2 LB/FT ALLOY 28 TSH BL</t>
        </is>
      </c>
      <c r="L31" s="1913" t="n"/>
      <c r="M31" s="1914" t="n"/>
    </row>
    <row r="32" ht="15" customFormat="1" customHeight="1" s="1909">
      <c r="A32" s="1910" t="n"/>
      <c r="B32" s="1911" t="n"/>
      <c r="C32" s="1912" t="n"/>
      <c r="D32" s="1928" t="n"/>
      <c r="E32" s="1912" t="n"/>
      <c r="F32" s="1913" t="n"/>
      <c r="G32" s="1929" t="n"/>
      <c r="H32" s="1930" t="n"/>
      <c r="I32" s="1922" t="n"/>
      <c r="J32" s="1931" t="n"/>
      <c r="K32" s="1932" t="n"/>
      <c r="L32" s="1323" t="n"/>
      <c r="M32" s="1914" t="n"/>
    </row>
    <row r="33" ht="15" customFormat="1" customHeight="1" s="1909">
      <c r="A33" s="1910" t="inlineStr">
        <is>
          <t>3)</t>
        </is>
      </c>
      <c r="B33" s="1911" t="n"/>
      <c r="C33" s="1912" t="inlineStr">
        <is>
          <t>P/U ASSY</t>
        </is>
      </c>
      <c r="D33" s="1933" t="inlineStr">
        <is>
          <t>SP-1</t>
        </is>
      </c>
      <c r="E33" s="1912" t="inlineStr">
        <is>
          <t xml:space="preserve"> &amp; RIH</t>
        </is>
      </c>
      <c r="F33" s="1922" t="inlineStr">
        <is>
          <t xml:space="preserve">SWELL PAKER </t>
        </is>
      </c>
      <c r="J33" s="1934" t="n"/>
      <c r="K33" s="1375" t="n"/>
      <c r="L33" s="1272" t="n"/>
      <c r="M33" s="1914" t="n"/>
    </row>
    <row r="34" ht="15" customFormat="1" customHeight="1" s="1909">
      <c r="A34" s="1910" t="n"/>
      <c r="B34" s="1911" t="n"/>
      <c r="C34" s="1912" t="n"/>
      <c r="D34" s="1922" t="n"/>
      <c r="E34" s="1912" t="n"/>
      <c r="F34" s="1922" t="n"/>
      <c r="G34" s="1922" t="n"/>
      <c r="H34" s="1922" t="n"/>
      <c r="I34" s="1922" t="n"/>
      <c r="J34" s="1935" t="n"/>
      <c r="K34" s="1382" t="n"/>
      <c r="L34" s="1332" t="n"/>
      <c r="M34" s="1914" t="n"/>
    </row>
    <row r="35" ht="15" customFormat="1" customHeight="1" s="1909">
      <c r="A35" s="1910" t="inlineStr">
        <is>
          <t>4)</t>
        </is>
      </c>
      <c r="B35" s="1911" t="n"/>
      <c r="C35" s="1912" t="inlineStr">
        <is>
          <t>M/U TBG JT</t>
        </is>
      </c>
      <c r="D35" s="1924" t="n">
        <v>67</v>
      </c>
      <c r="E35" s="1912" t="n"/>
      <c r="F35" s="1913" t="n"/>
      <c r="G35" s="1925" t="inlineStr">
        <is>
          <t>145</t>
        </is>
      </c>
      <c r="H35" s="1926">
        <f>G35-D35+1</f>
        <v/>
      </c>
      <c r="I35" s="1927" t="inlineStr">
        <is>
          <t>3-1/2" TUBING 9.2 LB/FT ALLOY 28 TSH BL</t>
        </is>
      </c>
      <c r="L35" s="1913" t="n"/>
      <c r="M35" s="1914" t="n"/>
    </row>
    <row r="36" ht="15" customFormat="1" customHeight="1" s="1909">
      <c r="A36" s="1936" t="n"/>
      <c r="B36" s="1913" t="n"/>
      <c r="C36" s="1937" t="n"/>
      <c r="D36" s="1937" t="n"/>
      <c r="E36" s="1937" t="n"/>
      <c r="F36" s="1937" t="n"/>
      <c r="G36" s="1937" t="n"/>
      <c r="H36" s="1937" t="n"/>
      <c r="I36" s="1937" t="n"/>
      <c r="J36" s="1937" t="n"/>
      <c r="K36" s="1937" t="n"/>
      <c r="L36" s="1913" t="n"/>
      <c r="M36" s="1938" t="n"/>
    </row>
    <row r="37" ht="18" customFormat="1" customHeight="1" s="1909">
      <c r="A37" s="1910" t="inlineStr">
        <is>
          <t>5)</t>
        </is>
      </c>
      <c r="B37" s="1911" t="n"/>
      <c r="C37" s="1912" t="inlineStr">
        <is>
          <t>P/U ASSY</t>
        </is>
      </c>
      <c r="D37" s="1933" t="inlineStr">
        <is>
          <t>B</t>
        </is>
      </c>
      <c r="E37" s="1912" t="inlineStr">
        <is>
          <t xml:space="preserve"> &amp; RIH</t>
        </is>
      </c>
      <c r="F37" s="1939" t="inlineStr">
        <is>
          <t>3-1/2" MCBD NINE-DH  BARRIER DEVICE</t>
        </is>
      </c>
      <c r="I37" s="1272" t="n"/>
      <c r="J37" s="1931" t="n"/>
      <c r="K37" s="1932" t="inlineStr">
        <is>
          <t xml:space="preserve">FILL UP BY HOSE ONLY  NO MUD PUMP  OR SUPERCHARGER </t>
        </is>
      </c>
      <c r="L37" s="1323" t="n"/>
      <c r="M37" s="1914" t="n"/>
    </row>
    <row r="38" ht="20.25" customFormat="1" customHeight="1" s="1909">
      <c r="A38" s="1936" t="n"/>
      <c r="B38" s="1913" t="n"/>
      <c r="C38" s="1937" t="n"/>
      <c r="D38" s="1937" t="n"/>
      <c r="E38" s="1937" t="n"/>
      <c r="F38" s="1940" t="n"/>
      <c r="G38" s="1940" t="n"/>
      <c r="H38" s="1940" t="n"/>
      <c r="I38" s="1940" t="n"/>
      <c r="J38" s="1934" t="inlineStr">
        <is>
          <t xml:space="preserve">FILL UP </t>
        </is>
      </c>
      <c r="K38" s="1375" t="n"/>
      <c r="L38" s="1272" t="n"/>
      <c r="M38" s="1938" t="n"/>
    </row>
    <row r="39" ht="14.25" customFormat="1" customHeight="1" s="1909">
      <c r="A39" s="1936" t="n"/>
      <c r="B39" s="1913" t="n"/>
      <c r="C39" s="1937" t="n"/>
      <c r="D39" s="1937" t="n"/>
      <c r="E39" s="1937" t="n"/>
      <c r="F39" s="1941" t="n"/>
      <c r="G39" s="1937" t="n"/>
      <c r="H39" s="1937" t="n"/>
      <c r="I39" s="1937" t="n"/>
      <c r="J39" s="1935" t="n"/>
      <c r="K39" s="1382" t="n"/>
      <c r="L39" s="1332" t="n"/>
      <c r="M39" s="1938" t="n"/>
    </row>
    <row r="40" ht="1.5" customFormat="1" customHeight="1" s="1909">
      <c r="A40" s="1936" t="n"/>
      <c r="B40" s="1913" t="n"/>
      <c r="C40" s="1942" t="n"/>
      <c r="D40" s="1943" t="n"/>
      <c r="E40" s="1943" t="n"/>
      <c r="F40" s="1941" t="n"/>
      <c r="G40" s="1943" t="n"/>
      <c r="H40" s="1943" t="n"/>
      <c r="I40" s="1943" t="n"/>
      <c r="J40" s="1943" t="n"/>
      <c r="K40" s="1943" t="n"/>
      <c r="L40" s="1913" t="n"/>
      <c r="M40" s="1938" t="n"/>
    </row>
    <row r="41" ht="15" customFormat="1" customHeight="1" s="1909">
      <c r="A41" s="1936" t="n"/>
      <c r="B41" s="1913" t="n"/>
      <c r="C41" s="1944" t="inlineStr">
        <is>
          <t xml:space="preserve">●	CONTROL RUNNING SPEED NO JERKING OR OVER SLACK OFF MORE THAN 3 KLBS	</t>
        </is>
      </c>
      <c r="L41" s="1913" t="n"/>
      <c r="M41" s="1938" t="n"/>
    </row>
    <row r="42" ht="9.75" customFormat="1" customHeight="1" s="1909">
      <c r="A42" s="1936" t="n"/>
      <c r="B42" s="1913" t="n"/>
      <c r="L42" s="1913" t="n"/>
      <c r="M42" s="1938" t="n"/>
    </row>
    <row r="43" ht="15" customFormat="1" customHeight="1" s="1909">
      <c r="A43" s="1910" t="inlineStr">
        <is>
          <t>6)</t>
        </is>
      </c>
      <c r="B43" s="1911" t="n"/>
      <c r="C43" s="1912" t="inlineStr">
        <is>
          <t>M/U TBG JT</t>
        </is>
      </c>
      <c r="D43" s="1924" t="n">
        <v>146</v>
      </c>
      <c r="E43" s="1912" t="n"/>
      <c r="F43" s="1913" t="n"/>
      <c r="G43" s="1925" t="inlineStr">
        <is>
          <t>147</t>
        </is>
      </c>
      <c r="H43" s="1926">
        <f>G43-D43+1</f>
        <v/>
      </c>
      <c r="I43" s="1927" t="inlineStr">
        <is>
          <t>3-1/2" TUBING 9.2 LB/FT ALLOY 28 TSH BL</t>
        </is>
      </c>
      <c r="L43" s="1913" t="n"/>
      <c r="M43" s="1914" t="n"/>
    </row>
    <row r="44" ht="15" customFormat="1" customHeight="1" s="1945">
      <c r="A44" s="1946" t="n"/>
      <c r="B44" s="1947" t="n"/>
      <c r="C44" s="1948" t="inlineStr">
        <is>
          <t>● ALWAYS COVER THE HOLE TO AVOID DROP OBJECT</t>
        </is>
      </c>
      <c r="L44" s="1949" t="n"/>
    </row>
    <row r="45" ht="83.25" customFormat="1" customHeight="1" s="1909">
      <c r="A45" s="1910" t="inlineStr">
        <is>
          <t>7)</t>
        </is>
      </c>
      <c r="B45" s="1911" t="n"/>
      <c r="C45" s="1912" t="inlineStr">
        <is>
          <t>P/U ASSY</t>
        </is>
      </c>
      <c r="D45" s="1950" t="inlineStr">
        <is>
          <t>C</t>
        </is>
      </c>
      <c r="E45" s="1912" t="inlineStr">
        <is>
          <t xml:space="preserve"> &amp; RIH</t>
        </is>
      </c>
      <c r="F45" s="1951"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938" t="n"/>
    </row>
    <row r="46" ht="17.25" customFormat="1" customHeight="1" s="1952">
      <c r="A46" s="1953" t="n"/>
      <c r="B46" s="1954" t="n"/>
      <c r="C46" s="1948" t="n"/>
      <c r="D46" s="1948" t="n"/>
      <c r="E46" s="1948" t="n"/>
      <c r="F46" s="1955" t="inlineStr">
        <is>
          <t>CHECK NUMBER OF SHEAR SCREW (COMPARE WITH SUB ASSEMBLY DATASHEET), RUBBER ELEMENT CONDITION, SLIPS AND ETC</t>
        </is>
      </c>
      <c r="G46" s="1948" t="n"/>
      <c r="H46" s="1948" t="n"/>
      <c r="I46" s="1948" t="n"/>
      <c r="J46" s="1948" t="n"/>
      <c r="K46" s="1948" t="n"/>
      <c r="L46" s="1956" t="n"/>
    </row>
    <row r="47" ht="15" customFormat="1" customHeight="1" s="1957">
      <c r="A47" s="1958" t="inlineStr">
        <is>
          <t>8)</t>
        </is>
      </c>
      <c r="B47" s="1959" t="n"/>
      <c r="C47" s="1960" t="inlineStr">
        <is>
          <t>M/U TBG JT</t>
        </is>
      </c>
      <c r="D47" s="1961" t="n">
        <v>148</v>
      </c>
      <c r="E47" s="1960" t="inlineStr">
        <is>
          <t xml:space="preserve"> &amp;  RIH TILL TBG JT</t>
        </is>
      </c>
      <c r="F47" s="1941" t="n"/>
      <c r="G47" s="1961" t="n">
        <v>192</v>
      </c>
      <c r="H47" s="1926">
        <f>G47-D47+1</f>
        <v/>
      </c>
      <c r="I47" s="1927" t="inlineStr">
        <is>
          <t>3-1/2" TUBING 9.2 LB/FT ALLOY 28 TSH BL</t>
        </is>
      </c>
      <c r="L47" s="1960" t="n"/>
    </row>
    <row r="48" ht="17.25" customFormat="1" customHeight="1" s="1952">
      <c r="A48" s="1953" t="n"/>
      <c r="B48" s="1954" t="n"/>
      <c r="C48" s="1948" t="n"/>
      <c r="D48" s="1948" t="n"/>
      <c r="E48" s="1948" t="n"/>
      <c r="F48" s="1948" t="n"/>
      <c r="G48" s="1948" t="n"/>
      <c r="H48" s="1948" t="n"/>
      <c r="I48" s="1948" t="n"/>
      <c r="J48" s="1948" t="n"/>
      <c r="K48" s="1948" t="n"/>
      <c r="L48" s="1956" t="n"/>
    </row>
    <row r="49" ht="46.5" customFormat="1" customHeight="1" s="1909">
      <c r="A49" s="1910" t="inlineStr">
        <is>
          <t>9)</t>
        </is>
      </c>
      <c r="B49" s="1911" t="n"/>
      <c r="C49" s="1912" t="inlineStr">
        <is>
          <t>P/U ASSY</t>
        </is>
      </c>
      <c r="D49" s="1950" t="inlineStr">
        <is>
          <t>D1</t>
        </is>
      </c>
      <c r="E49" s="1912" t="inlineStr">
        <is>
          <t xml:space="preserve"> &amp; RIH</t>
        </is>
      </c>
      <c r="F49" s="1962" t="inlineStr">
        <is>
          <t xml:space="preserve">WEATHERFORD SIDE POCKET MANDREL GROOVED Mandrel, SBRO-2NGRDUMMY                                 </t>
        </is>
      </c>
      <c r="M49" s="1938" t="n"/>
    </row>
    <row r="50" ht="15" customFormat="1" customHeight="1" s="1909">
      <c r="A50" s="1910" t="inlineStr">
        <is>
          <t>10)</t>
        </is>
      </c>
      <c r="B50" s="1911" t="n"/>
      <c r="C50" s="1912" t="inlineStr">
        <is>
          <t>M/U TBG JT</t>
        </is>
      </c>
      <c r="D50" s="1924" t="n">
        <v>193</v>
      </c>
      <c r="E50" s="1912" t="n"/>
      <c r="F50" s="1913" t="n"/>
      <c r="G50" s="1925" t="inlineStr">
        <is>
          <t>207</t>
        </is>
      </c>
      <c r="H50" s="1926">
        <f>G50-D50+1</f>
        <v/>
      </c>
      <c r="I50" s="1927" t="inlineStr">
        <is>
          <t>3-1/2" TUBING 9.2 LB/FT ALLOY 28 TSH BL</t>
        </is>
      </c>
      <c r="L50" s="1913" t="n"/>
      <c r="M50" s="1914" t="n"/>
    </row>
    <row r="51" ht="15" customFormat="1" customHeight="1" s="1909">
      <c r="A51" s="1936" t="n"/>
      <c r="B51" s="1913" t="n"/>
      <c r="C51" s="1937" t="n"/>
      <c r="D51" s="1937" t="n"/>
      <c r="E51" s="1937" t="n"/>
      <c r="F51" s="1937" t="n"/>
      <c r="G51" s="1937" t="n"/>
      <c r="H51" s="1937" t="n"/>
      <c r="I51" s="1937" t="n"/>
      <c r="J51" s="1937" t="n"/>
      <c r="K51" s="1937" t="n"/>
      <c r="L51" s="1913" t="n"/>
      <c r="M51" s="1938" t="n"/>
    </row>
    <row r="52" ht="15" customFormat="1" customHeight="1" s="1909">
      <c r="A52" s="1910" t="inlineStr">
        <is>
          <t>11)</t>
        </is>
      </c>
      <c r="B52" s="1911" t="n"/>
      <c r="C52" s="1912" t="inlineStr">
        <is>
          <t>P/U ASSY</t>
        </is>
      </c>
      <c r="D52" s="1933" t="inlineStr">
        <is>
          <t>D2</t>
        </is>
      </c>
      <c r="E52" s="1912" t="inlineStr">
        <is>
          <t xml:space="preserve"> &amp; RIH</t>
        </is>
      </c>
      <c r="F52" s="1962" t="inlineStr">
        <is>
          <t xml:space="preserve">WEATHERFORD SIDE POCKET MANDREL GROOVED Mandrel, SBRO-2NGRDUMMY                                 </t>
        </is>
      </c>
      <c r="M52" s="1914" t="n"/>
    </row>
    <row r="53" ht="20.25" customFormat="1" customHeight="1" s="1909">
      <c r="A53" s="1936" t="n"/>
      <c r="B53" s="1913" t="n"/>
      <c r="C53" s="1937" t="n"/>
      <c r="D53" s="1937" t="n"/>
      <c r="E53" s="1937" t="n"/>
      <c r="M53" s="1938" t="n"/>
    </row>
    <row r="54" ht="14.25" customFormat="1" customHeight="1" s="1909">
      <c r="A54" s="1936" t="n"/>
      <c r="B54" s="1913" t="n"/>
      <c r="C54" s="1937" t="n"/>
      <c r="D54" s="1937" t="n"/>
      <c r="E54" s="1937" t="n"/>
      <c r="F54" s="1941" t="n"/>
      <c r="G54" s="1937" t="n"/>
      <c r="H54" s="1937" t="n"/>
      <c r="I54" s="1937" t="n"/>
      <c r="J54" s="1937" t="n"/>
      <c r="K54" s="1937" t="n"/>
      <c r="L54" s="1913" t="n"/>
      <c r="M54" s="1938" t="n"/>
    </row>
    <row r="55" ht="1.5" customFormat="1" customHeight="1" s="1909">
      <c r="A55" s="1936" t="n"/>
      <c r="B55" s="1913" t="n"/>
      <c r="C55" s="1942" t="n"/>
      <c r="D55" s="1943" t="n"/>
      <c r="E55" s="1943" t="n"/>
      <c r="F55" s="1941" t="n"/>
      <c r="G55" s="1943" t="n"/>
      <c r="H55" s="1943" t="n"/>
      <c r="I55" s="1943" t="n"/>
      <c r="J55" s="1943" t="n"/>
      <c r="K55" s="1943" t="n"/>
      <c r="L55" s="1913" t="n"/>
      <c r="M55" s="1938" t="n"/>
    </row>
    <row r="56" ht="15" customFormat="1" customHeight="1" s="1909">
      <c r="A56" s="1936" t="n"/>
      <c r="B56" s="1913" t="n"/>
      <c r="C56" s="1944" t="inlineStr">
        <is>
          <t xml:space="preserve">●	CONTROL RUNNING SPEED NO JERKING OR OVER SLACK OFF MORE THAN 3 KLBS	</t>
        </is>
      </c>
      <c r="L56" s="1913" t="n"/>
      <c r="M56" s="1938" t="n"/>
    </row>
    <row r="57" ht="9.75" customFormat="1" customHeight="1" s="1909">
      <c r="A57" s="1936" t="n"/>
      <c r="B57" s="1913" t="n"/>
      <c r="L57" s="1913" t="n"/>
      <c r="M57" s="1938" t="n"/>
    </row>
    <row r="58" ht="15" customFormat="1" customHeight="1" s="1909">
      <c r="A58" s="1910" t="inlineStr">
        <is>
          <t>12)</t>
        </is>
      </c>
      <c r="B58" s="1911" t="n"/>
      <c r="C58" s="1912" t="inlineStr">
        <is>
          <t>M/U TBG JT</t>
        </is>
      </c>
      <c r="D58" s="1924" t="n">
        <v>208</v>
      </c>
      <c r="E58" s="1912" t="n"/>
      <c r="F58" s="1913" t="n"/>
      <c r="G58" s="1925" t="inlineStr">
        <is>
          <t>235</t>
        </is>
      </c>
      <c r="H58" s="1926">
        <f>G58-D58+1</f>
        <v/>
      </c>
      <c r="I58" s="1927" t="inlineStr">
        <is>
          <t>3-1/2" TUBING 9.2 LB/FT ALLOY 28 TSH BL</t>
        </is>
      </c>
      <c r="L58" s="1913" t="n"/>
      <c r="M58" s="1914" t="n"/>
    </row>
    <row r="59" ht="15" customFormat="1" customHeight="1" s="1945">
      <c r="A59" s="1946" t="n"/>
      <c r="B59" s="1947" t="n"/>
      <c r="C59" s="1948" t="inlineStr">
        <is>
          <t>● ALWAYS COVER THE HOLE TO AVOID DROP OBJECT</t>
        </is>
      </c>
      <c r="L59" s="1949" t="n"/>
    </row>
    <row r="60" ht="35.25" customFormat="1" customHeight="1" s="1909">
      <c r="A60" s="1910" t="inlineStr">
        <is>
          <t>13)</t>
        </is>
      </c>
      <c r="B60" s="1911" t="n"/>
      <c r="C60" s="1912" t="inlineStr">
        <is>
          <t>P/U ASSY</t>
        </is>
      </c>
      <c r="D60" s="1950" t="inlineStr">
        <is>
          <t>D3</t>
        </is>
      </c>
      <c r="E60" s="1912" t="inlineStr">
        <is>
          <t xml:space="preserve"> &amp; RIH</t>
        </is>
      </c>
      <c r="F60" s="1962" t="inlineStr">
        <is>
          <t xml:space="preserve">WEATHERFORD SIDE POCKET MANDREL GROOVED Mandrel, SBRO-2NGRDUMMY                                 </t>
        </is>
      </c>
      <c r="M60" s="1938" t="n"/>
    </row>
    <row r="61" ht="17.25" customFormat="1" customHeight="1" s="1952">
      <c r="A61" s="1953" t="n"/>
      <c r="B61" s="1954" t="n"/>
      <c r="C61" s="1948" t="n"/>
      <c r="D61" s="1948" t="n"/>
      <c r="E61" s="1948" t="n"/>
      <c r="F61" s="1948" t="n"/>
      <c r="G61" s="1948" t="n"/>
      <c r="H61" s="1948" t="n"/>
      <c r="I61" s="1948" t="n"/>
      <c r="J61" s="1948" t="n"/>
      <c r="K61" s="1948" t="n"/>
      <c r="L61" s="1956" t="n"/>
    </row>
    <row r="62" ht="15" customFormat="1" customHeight="1" s="1957">
      <c r="A62" s="1958" t="inlineStr">
        <is>
          <t>14)</t>
        </is>
      </c>
      <c r="B62" s="1959" t="n"/>
      <c r="C62" s="1960" t="inlineStr">
        <is>
          <t>M/U TBG JT</t>
        </is>
      </c>
      <c r="D62" s="1961" t="n">
        <v>236</v>
      </c>
      <c r="E62" s="1960" t="inlineStr">
        <is>
          <t xml:space="preserve"> &amp;  RIH TILL TBG JT</t>
        </is>
      </c>
      <c r="F62" s="1941" t="n"/>
      <c r="G62" s="1961" t="n">
        <v>284</v>
      </c>
      <c r="H62" s="1926">
        <f>G62-D62+1</f>
        <v/>
      </c>
      <c r="I62" s="1927" t="inlineStr">
        <is>
          <t>3-1/2" TUBING 9.2 LB/FT ALLOY 28 TSH BL</t>
        </is>
      </c>
      <c r="L62" s="1960" t="n"/>
    </row>
    <row r="63" ht="17.25" customFormat="1" customHeight="1" s="1952">
      <c r="A63" s="1953" t="n"/>
      <c r="B63" s="1954" t="n"/>
      <c r="C63" s="1948" t="n"/>
      <c r="D63" s="1948" t="n"/>
      <c r="E63" s="1948" t="n"/>
      <c r="F63" s="1948" t="n"/>
      <c r="G63" s="1948" t="n"/>
      <c r="H63" s="1948" t="n"/>
      <c r="I63" s="1948" t="n"/>
      <c r="J63" s="1948" t="n"/>
      <c r="K63" s="1948" t="n"/>
      <c r="L63" s="1956" t="n"/>
    </row>
    <row r="64" ht="46.5" customFormat="1" customHeight="1" s="1909">
      <c r="A64" s="1910" t="inlineStr">
        <is>
          <t>15)</t>
        </is>
      </c>
      <c r="B64" s="1911" t="n"/>
      <c r="C64" s="1912" t="inlineStr">
        <is>
          <t>P/U ASSY</t>
        </is>
      </c>
      <c r="D64" s="1950" t="inlineStr">
        <is>
          <t>D4</t>
        </is>
      </c>
      <c r="E64" s="1912" t="inlineStr">
        <is>
          <t xml:space="preserve"> &amp; RIH</t>
        </is>
      </c>
      <c r="F64" s="1962" t="inlineStr">
        <is>
          <t>WEATHERFORD SIDE POCKET MANDREL Mandrel, SBRO-2JGRDVX 3.5 9.2# Vam Top BxP S13CR95 QP-277DUMMY SN 12796498-02</t>
        </is>
      </c>
      <c r="M64" s="1938" t="n"/>
    </row>
    <row r="65" ht="17.25" customFormat="1" customHeight="1" s="1952">
      <c r="A65" s="1953" t="n"/>
      <c r="B65" s="1954" t="n"/>
      <c r="C65" s="1948" t="n"/>
      <c r="D65" s="1948" t="n"/>
      <c r="E65" s="1948" t="n"/>
      <c r="F65" s="1948" t="n"/>
      <c r="G65" s="1948" t="n"/>
      <c r="H65" s="1948" t="n"/>
      <c r="I65" s="1948" t="n"/>
      <c r="J65" s="1948" t="n"/>
      <c r="K65" s="1948" t="n"/>
      <c r="L65" s="1956" t="n"/>
    </row>
    <row r="66" ht="15" customFormat="1" customHeight="1" s="1957">
      <c r="A66" s="1958" t="inlineStr">
        <is>
          <t>16)</t>
        </is>
      </c>
      <c r="B66" s="1959" t="n"/>
      <c r="C66" s="1960" t="inlineStr">
        <is>
          <t>M/U TBG JT</t>
        </is>
      </c>
      <c r="D66" s="1961" t="n">
        <v>285</v>
      </c>
      <c r="E66" s="1960" t="inlineStr">
        <is>
          <t xml:space="preserve"> &amp;  RIH TILL TBG JT</t>
        </is>
      </c>
      <c r="F66" s="1941" t="n"/>
      <c r="G66" s="1961" t="n">
        <v>359</v>
      </c>
      <c r="H66" s="1926">
        <f>G66-D66+1</f>
        <v/>
      </c>
      <c r="I66" s="1927" t="inlineStr">
        <is>
          <t>3-1/2" TUBING 9.2 LB/FT ALLOY 28 TSH BL</t>
        </is>
      </c>
      <c r="L66" s="1960" t="n"/>
    </row>
    <row r="67" ht="17.25" customFormat="1" customHeight="1" s="1952">
      <c r="A67" s="1953" t="n"/>
      <c r="B67" s="1954" t="n"/>
      <c r="C67" s="1948" t="n"/>
      <c r="D67" s="1948" t="n"/>
      <c r="E67" s="1948" t="n"/>
      <c r="F67" s="1948" t="n"/>
      <c r="G67" s="1948" t="n"/>
      <c r="H67" s="1948" t="n"/>
      <c r="I67" s="1948" t="n"/>
      <c r="J67" s="1948" t="n"/>
      <c r="K67" s="1948" t="n"/>
      <c r="L67" s="1956" t="n"/>
    </row>
    <row r="68" ht="65.25" customFormat="1" customHeight="1" s="1909">
      <c r="A68" s="1910" t="inlineStr">
        <is>
          <t>17)</t>
        </is>
      </c>
      <c r="B68" s="1911" t="n"/>
      <c r="C68" s="1912" t="inlineStr">
        <is>
          <t>P/U ASSY</t>
        </is>
      </c>
      <c r="D68" s="1950" t="inlineStr">
        <is>
          <t>F</t>
        </is>
      </c>
      <c r="E68" s="1912" t="inlineStr">
        <is>
          <t xml:space="preserve"> &amp; RIH</t>
        </is>
      </c>
      <c r="F68" s="1951" t="inlineStr">
        <is>
          <t xml:space="preserve">
DESCRIPTION : WEATHERFORD ASSY,TRSV,3.5WZPE-10 2.813WOR,2KSD,9.2H VAM TOP,WN302
PN: 2980845
S/N: 12777594-01
SAP: 130010038007
SUPPLIER: WEATHERFORD
</t>
        </is>
      </c>
      <c r="M68" s="1938" t="n"/>
    </row>
    <row r="69" ht="17.25" customFormat="1" customHeight="1" s="1952">
      <c r="A69" s="1953" t="n"/>
      <c r="B69" s="1954" t="n"/>
      <c r="C69" s="1948" t="n"/>
      <c r="D69" s="1948" t="n"/>
      <c r="E69" s="1948" t="n"/>
      <c r="F69" s="1948" t="n"/>
      <c r="G69" s="1948" t="n"/>
      <c r="H69" s="1948" t="n"/>
      <c r="I69" s="1948" t="n"/>
      <c r="J69" s="1948" t="n"/>
      <c r="K69" s="1948" t="n"/>
      <c r="L69" s="1956" t="n"/>
    </row>
    <row r="70" ht="15" customFormat="1" customHeight="1" s="1957">
      <c r="A70" s="1958" t="inlineStr">
        <is>
          <t>18)</t>
        </is>
      </c>
      <c r="B70" s="1959" t="n"/>
      <c r="C70" s="1960" t="inlineStr">
        <is>
          <t xml:space="preserve">M/U TBG </t>
        </is>
      </c>
      <c r="D70" s="1961" t="n">
        <v>360</v>
      </c>
      <c r="E70" s="1960" t="inlineStr">
        <is>
          <t xml:space="preserve"> &amp;  RIH TILL TBG JT</t>
        </is>
      </c>
      <c r="F70" s="1941" t="n"/>
      <c r="G70" s="1961" t="n">
        <v>364</v>
      </c>
      <c r="H70" s="1926">
        <f>G70-D70+1</f>
        <v/>
      </c>
      <c r="I70" s="1927" t="inlineStr">
        <is>
          <t>3-1/2" TUBING 9.2 LB/FT ALLOY 28 TSH BL</t>
        </is>
      </c>
      <c r="L70" s="1960" t="n"/>
    </row>
    <row r="71" ht="35.25" customFormat="1" customHeight="1" s="1957">
      <c r="A71" s="1958" t="n">
        <v>19</v>
      </c>
      <c r="B71" s="1959" t="n"/>
      <c r="C71" s="1960" t="inlineStr">
        <is>
          <t xml:space="preserve">CHANGE ELEVATORS FRO, 3-1/2"  TO 4-1/2" </t>
        </is>
      </c>
      <c r="D71" s="1963" t="n"/>
      <c r="E71" s="1960" t="n"/>
      <c r="F71" s="1941" t="n"/>
      <c r="G71" s="1963" t="n"/>
      <c r="H71" s="1964" t="n"/>
      <c r="I71" s="1965" t="n"/>
      <c r="J71" s="1965" t="n"/>
      <c r="K71" s="1965" t="n"/>
      <c r="L71" s="1965" t="n"/>
    </row>
    <row r="72" ht="17.25" customFormat="1" customHeight="1" s="1952">
      <c r="A72" s="1953" t="n"/>
      <c r="B72" s="1954" t="n"/>
      <c r="C72" s="1948" t="n"/>
      <c r="D72" s="1948" t="n"/>
      <c r="E72" s="1948" t="n"/>
      <c r="F72" s="1948" t="n"/>
      <c r="G72" s="1948" t="n"/>
      <c r="H72" s="1948" t="n"/>
      <c r="I72" s="1948" t="n"/>
      <c r="J72" s="1948" t="n"/>
      <c r="K72" s="1948" t="n"/>
      <c r="L72" s="1956" t="n"/>
    </row>
    <row r="73" ht="17.25" customFormat="1" customHeight="1" s="1952">
      <c r="A73" s="1953" t="n"/>
      <c r="B73" s="1954" t="n"/>
      <c r="C73" s="1948" t="n"/>
      <c r="D73" s="1948" t="n"/>
      <c r="E73" s="1948" t="n"/>
      <c r="F73" s="1948" t="n"/>
      <c r="G73" s="1948" t="n"/>
      <c r="H73" s="1948" t="n"/>
      <c r="I73" s="1948" t="n"/>
      <c r="J73" s="1948" t="n"/>
      <c r="K73" s="1948" t="n"/>
      <c r="L73" s="1956" t="n"/>
    </row>
    <row r="74" ht="15.75" customFormat="1" customHeight="1" s="1957">
      <c r="A74" s="1966" t="n">
        <v>20</v>
      </c>
      <c r="B74" s="1960" t="n"/>
      <c r="C74" s="1960" t="inlineStr">
        <is>
          <t>P/U ASSY</t>
        </is>
      </c>
      <c r="D74" s="1967" t="inlineStr">
        <is>
          <t>G</t>
        </is>
      </c>
      <c r="E74" s="1960" t="n"/>
      <c r="F74" s="1967" t="inlineStr">
        <is>
          <t>4-1/2''  TUBING HANGER</t>
        </is>
      </c>
      <c r="G74" s="1171" t="n"/>
      <c r="H74" s="1171" t="n"/>
      <c r="I74" s="1171" t="n"/>
      <c r="J74" s="1171" t="n"/>
      <c r="K74" s="1168" t="n"/>
      <c r="L74" s="1960" t="n"/>
    </row>
    <row r="75" ht="111" customFormat="1" customHeight="1" s="1210">
      <c r="A75" s="1968" t="n"/>
      <c r="B75" s="1969" t="n"/>
      <c r="C75" s="1970" t="inlineStr">
        <is>
          <t xml:space="preserve">COMPLETION TESTING </t>
        </is>
      </c>
    </row>
    <row r="76" ht="28.5" customFormat="1" customHeight="1" s="1210">
      <c r="A76" s="1971" t="n">
        <v>21</v>
      </c>
      <c r="B76" s="1972" t="n"/>
      <c r="C76" s="1973" t="inlineStr">
        <is>
          <t>P/U &amp; M/U tubing hanger and Feedthru control line into same (do not wrap control line). Test control line to 7,500
psi for 10 minutes. Extend control line to surface and kept 7500 psi on C/L.</t>
        </is>
      </c>
      <c r="L76" s="1972" t="n"/>
    </row>
    <row r="77" ht="15" customFormat="1" customHeight="1" s="1974">
      <c r="A77" s="1975" t="n"/>
      <c r="B77" s="1976" t="n"/>
      <c r="C77" s="1977" t="inlineStr">
        <is>
          <t>● CLEAN OUT TUBING HEAD SPOOL FROM ANY DEBRIS AND ENSURE THE LOCK DOWN SCREW IN THE TUBING</t>
        </is>
      </c>
      <c r="D77" s="1977" t="n"/>
      <c r="E77" s="1977" t="n"/>
      <c r="F77" s="1977" t="n"/>
      <c r="G77" s="1977" t="n"/>
      <c r="H77" s="1977" t="n"/>
      <c r="I77" s="1977" t="n"/>
      <c r="J77" s="1977" t="n"/>
      <c r="K77" s="1977" t="n"/>
      <c r="L77" s="1976" t="n"/>
    </row>
    <row r="78" ht="15" customFormat="1" customHeight="1" s="1978">
      <c r="A78" s="1979" t="n"/>
      <c r="B78" s="1980" t="n"/>
      <c r="C78" s="1981" t="inlineStr">
        <is>
          <t>● WELLHEAD ENGR TO ENSURE THE LOCKDOWN SCREWS RETRACTED BEFORE LANDING TUBING HANGER.</t>
        </is>
      </c>
      <c r="D78" s="1981" t="n"/>
      <c r="E78" s="1981" t="n"/>
      <c r="F78" s="1981" t="n"/>
      <c r="G78" s="1981" t="n"/>
      <c r="H78" s="1981" t="n"/>
      <c r="I78" s="1981" t="n"/>
      <c r="J78" s="1981" t="n"/>
      <c r="K78" s="1981" t="n"/>
      <c r="L78" s="1980" t="n"/>
    </row>
    <row r="79" ht="15" customFormat="1" customHeight="1" s="1978">
      <c r="A79" s="1982" t="n"/>
      <c r="B79" s="1980" t="n"/>
      <c r="C79" s="1981" t="inlineStr">
        <is>
          <t>● WELLHEAD ENGR TO MARK THE TBG HGR TO VISIBLY CHECK FOR PROPER LANDING THROUGH SOV</t>
        </is>
      </c>
      <c r="D79" s="1981" t="n"/>
      <c r="E79" s="1981" t="n"/>
      <c r="F79" s="1981" t="n"/>
      <c r="G79" s="1981" t="n"/>
      <c r="H79" s="1981" t="n"/>
      <c r="I79" s="1981" t="n"/>
      <c r="J79" s="1981" t="n"/>
      <c r="K79" s="1981" t="n"/>
      <c r="L79" s="1980" t="n"/>
    </row>
    <row r="80" ht="15" customFormat="1" customHeight="1" s="1978">
      <c r="A80" s="1971" t="n"/>
      <c r="B80" s="1980" t="n"/>
      <c r="C80" s="1981" t="inlineStr">
        <is>
          <t xml:space="preserve">●RECORD P/U AND S/O WEIGHT. </t>
        </is>
      </c>
      <c r="D80" s="1981" t="n"/>
      <c r="E80" s="1981" t="n"/>
      <c r="F80" s="1981" t="n"/>
      <c r="G80" s="1981" t="n"/>
      <c r="H80" s="1981" t="n"/>
      <c r="I80" s="1981" t="n"/>
      <c r="J80" s="1981" t="n"/>
      <c r="K80" s="1981" t="n"/>
      <c r="L80" s="1983" t="n"/>
    </row>
    <row r="81" ht="15" customHeight="1" s="1158">
      <c r="A81" s="1971" t="n">
        <v>22</v>
      </c>
      <c r="B81" s="1984" t="n"/>
      <c r="C81" s="1985" t="inlineStr">
        <is>
          <t>R/U INJECTION MANIFOLD AND TESTED TO 5000 PSI FOR 10 MINS IN SOLID HOLDING PRESSURE.</t>
        </is>
      </c>
      <c r="D81" s="1985" t="n"/>
      <c r="E81" s="1985" t="n"/>
      <c r="F81" s="1985" t="n"/>
      <c r="G81" s="1985" t="n"/>
      <c r="H81" s="1985" t="n"/>
      <c r="I81" s="1985" t="n"/>
      <c r="J81" s="1985" t="n"/>
      <c r="K81" s="1985" t="n"/>
      <c r="L81" s="1984" t="n"/>
    </row>
    <row r="82" ht="62.25" customHeight="1" s="1158">
      <c r="A82" s="1971" t="n">
        <v>23</v>
      </c>
      <c r="B82" s="1984" t="n"/>
      <c r="C82" s="1973"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1158">
      <c r="A83" s="1971" t="n">
        <v>24</v>
      </c>
      <c r="B83" s="1984" t="n"/>
      <c r="C83" s="1984" t="inlineStr">
        <is>
          <t>KEEP 4000 PSI ON THE TUBING, BLEED CONTROL LINE PRESSURE TO 0 PSI TO CLOSE THE TRSV</t>
        </is>
      </c>
      <c r="D83" s="1984" t="n"/>
      <c r="E83" s="1984" t="n"/>
      <c r="F83" s="1984" t="n"/>
      <c r="G83" s="1984" t="n"/>
      <c r="H83" s="1984" t="n"/>
      <c r="I83" s="1984" t="n"/>
      <c r="J83" s="1984" t="n"/>
      <c r="K83" s="1984" t="n"/>
      <c r="L83" s="1985" t="n"/>
    </row>
    <row r="84" ht="15" customHeight="1" s="1158">
      <c r="A84" s="1971" t="n">
        <v>25</v>
      </c>
      <c r="B84" s="1984" t="n"/>
      <c r="C84" s="1984" t="inlineStr">
        <is>
          <t>BLEED TUBING ABOVE SV TO 3500 PSI AS QUICKLY AS PRACTICAL AND MEASURE RETURNS AND MONITOR FOR 15 MINUTES.</t>
        </is>
      </c>
      <c r="D84" s="1984" t="n"/>
      <c r="E84" s="1984" t="n"/>
      <c r="F84" s="1984" t="n"/>
      <c r="G84" s="1984" t="n"/>
      <c r="H84" s="1984" t="n"/>
      <c r="I84" s="1984" t="n"/>
      <c r="J84" s="1984" t="n"/>
      <c r="K84" s="1984" t="n"/>
      <c r="L84" s="1985" t="n"/>
    </row>
    <row r="85" ht="15" customHeight="1" s="1158">
      <c r="A85" s="1971" t="n">
        <v>26</v>
      </c>
      <c r="B85" s="1984" t="n"/>
      <c r="C85" s="1984" t="inlineStr">
        <is>
          <t>BLEED TUBING ABOVE SV TO 800  PSI AS QUICKLY AS PRACTICAL AND MEASURE RETURNS AND MONITOR FOR 15 MINUTES.</t>
        </is>
      </c>
      <c r="D85" s="1984" t="n"/>
      <c r="E85" s="1984" t="n"/>
      <c r="F85" s="1984" t="n"/>
      <c r="G85" s="1984" t="n"/>
      <c r="H85" s="1984" t="n"/>
      <c r="I85" s="1984" t="n"/>
      <c r="J85" s="1984" t="n"/>
      <c r="K85" s="1984" t="n"/>
      <c r="L85" s="1985" t="n"/>
    </row>
    <row r="86" ht="15" customHeight="1" s="1158">
      <c r="A86" s="1971" t="n">
        <v>27</v>
      </c>
      <c r="B86" s="1984" t="n"/>
      <c r="C86" s="1984" t="inlineStr">
        <is>
          <t>INCREASE TUBING PRESSURE BACK TO 4000 PSI TO EQUALIZE ACROSS THE TRSV . INCREASE CL PRESSURETO 7500 PSI TO OPEN TRSV</t>
        </is>
      </c>
      <c r="D86" s="1984" t="n"/>
      <c r="E86" s="1984" t="n"/>
      <c r="F86" s="1984" t="n"/>
      <c r="G86" s="1984" t="n"/>
      <c r="H86" s="1984" t="n"/>
      <c r="I86" s="1984" t="n"/>
      <c r="J86" s="1984" t="n"/>
      <c r="K86" s="1984" t="n"/>
      <c r="L86" s="1985" t="n"/>
    </row>
    <row r="87" ht="15" customHeight="1" s="1158">
      <c r="A87" s="1971" t="n">
        <v>28</v>
      </c>
      <c r="B87" s="1984" t="n"/>
      <c r="C87" s="1986" t="inlineStr">
        <is>
          <t>BLEED TUBING PRESSURE DOWN TO 0 PSI. CHECK RETURNS TO ENSURE VALVE IS OPEN. RECORD VOLUME.</t>
        </is>
      </c>
      <c r="D87" s="1984" t="n"/>
      <c r="E87" s="1984" t="n"/>
      <c r="F87" s="1984" t="n"/>
      <c r="G87" s="1984" t="n"/>
      <c r="H87" s="1984" t="n"/>
      <c r="I87" s="1984" t="n"/>
      <c r="J87" s="1984" t="n"/>
      <c r="K87" s="1984" t="n"/>
      <c r="L87" s="1985" t="n"/>
    </row>
    <row r="88" ht="15" customHeight="1" s="1158">
      <c r="A88" s="1971" t="n">
        <v>29</v>
      </c>
      <c r="B88" s="1984" t="n"/>
      <c r="C88" s="1984" t="inlineStr">
        <is>
          <t>REFER TO SERVICE PROVIDER PROCEDURE FOR ANY DEVIATION FROM THE PROGRAM</t>
        </is>
      </c>
      <c r="D88" s="1984" t="n"/>
      <c r="E88" s="1984" t="n"/>
      <c r="F88" s="1984" t="n"/>
      <c r="G88" s="1984" t="n"/>
      <c r="H88" s="1984" t="n"/>
      <c r="I88" s="1984" t="n"/>
      <c r="J88" s="1984" t="n"/>
      <c r="K88" s="1984" t="n"/>
      <c r="L88" s="1985" t="n"/>
    </row>
    <row r="89" ht="15" customHeight="1" s="1158">
      <c r="A89" s="1971" t="n"/>
      <c r="B89" s="1984" t="n"/>
      <c r="C89" s="1985" t="inlineStr">
        <is>
          <t>● REVIEW AND VERIFY REMAINING CYCLES BASED ON TAG RECORD</t>
        </is>
      </c>
      <c r="D89" s="1985" t="n"/>
      <c r="E89" s="1985" t="n"/>
      <c r="F89" s="1985" t="n"/>
      <c r="G89" s="1985" t="n"/>
      <c r="H89" s="1985" t="n"/>
      <c r="I89" s="1985" t="n"/>
      <c r="J89" s="1985" t="n"/>
      <c r="K89" s="1985" t="n"/>
      <c r="L89" s="1985" t="n"/>
    </row>
    <row r="90" ht="15" customHeight="1" s="1158">
      <c r="A90" s="1971" t="n"/>
      <c r="B90" s="1984" t="n"/>
      <c r="C90" s="1985" t="inlineStr">
        <is>
          <t>● APPLY PRESSURE IN THE TUBING STRING 2500 PSI FOR 5 MINS. AND BLEED OFF AS QUICK AS POSSIBLE TO 0 PSI KEEP 10 MINS.</t>
        </is>
      </c>
      <c r="D90" s="1985" t="n"/>
      <c r="E90" s="1985" t="n"/>
      <c r="F90" s="1985" t="n"/>
      <c r="G90" s="1985" t="n"/>
      <c r="H90" s="1985" t="n"/>
      <c r="I90" s="1985" t="n"/>
      <c r="J90" s="1985" t="n"/>
      <c r="K90" s="1985" t="n"/>
      <c r="L90" s="1985" t="n"/>
    </row>
    <row r="91" ht="15" customHeight="1" s="1158">
      <c r="A91" s="1971" t="n"/>
      <c r="B91" s="1984" t="n"/>
      <c r="C91" s="1987" t="inlineStr">
        <is>
          <t>●CALL TOWN TO DECIDE EXTRA PRESSURE (4000 PSI) AND CYCLES. IF NOT SUCCESS - PROCEED TO RUPTURE WITH SLICK LINE CHISSEL.</t>
        </is>
      </c>
      <c r="D91" s="1985" t="n"/>
      <c r="E91" s="1985" t="n"/>
      <c r="F91" s="1985" t="n"/>
      <c r="G91" s="1985" t="n"/>
      <c r="H91" s="1985" t="n"/>
      <c r="I91" s="1985" t="n"/>
      <c r="J91" s="1985" t="n"/>
      <c r="K91" s="1985" t="n"/>
      <c r="L91" s="1985" t="n"/>
    </row>
    <row r="92" ht="15" customHeight="1" s="1158">
      <c r="A92" s="1971" t="n"/>
      <c r="B92" s="1984" t="n"/>
      <c r="C92" s="1988" t="inlineStr">
        <is>
          <t xml:space="preserve">NOTE: IF THE BARRIER DEVICE DOES NOT RUPTURE AS PER PROGRAMMED CYCLES, CALL OFFICE PRIOR DOING EXTRA CYCLES.  </t>
        </is>
      </c>
      <c r="D92" s="1985" t="n"/>
      <c r="E92" s="1985" t="n"/>
      <c r="F92" s="1985" t="n"/>
      <c r="G92" s="1985" t="n"/>
      <c r="H92" s="1985" t="n"/>
      <c r="I92" s="1985" t="n"/>
      <c r="J92" s="1985" t="n"/>
      <c r="K92" s="1985" t="n"/>
      <c r="L92" s="1985" t="n"/>
    </row>
    <row r="93" ht="15" customHeight="1" s="1158">
      <c r="A93" s="1971" t="n">
        <v>30</v>
      </c>
      <c r="B93" s="1984" t="n"/>
      <c r="C93" s="1980" t="inlineStr">
        <is>
          <t xml:space="preserve">TEST TUBING AGAINST OPEN HOLE TO 0.65 PSI/FT OR MAX 1000 PSI  OR 3 BPM W/CMT UNIT. </t>
        </is>
      </c>
      <c r="D93" s="1984" t="n"/>
      <c r="E93" s="1984" t="n"/>
      <c r="F93" s="1984" t="n"/>
      <c r="G93" s="1984" t="n"/>
      <c r="H93" s="1984" t="n"/>
      <c r="I93" s="1984" t="n"/>
      <c r="J93" s="1984" t="n"/>
      <c r="K93" s="1984" t="n"/>
      <c r="L93" s="1985" t="n"/>
    </row>
    <row r="94" ht="15" customFormat="1" customHeight="1" s="1978">
      <c r="A94" s="1971" t="n"/>
      <c r="B94" s="1980" t="n"/>
      <c r="C94" s="1981" t="inlineStr">
        <is>
          <t>● OPEN SOV (ANNULUS VALVE). ENSURE ANNULUS IS FULL AND OBSERVE ANNULUS FOR RETURNS.</t>
        </is>
      </c>
      <c r="D94" s="1981" t="n"/>
      <c r="E94" s="1981" t="n"/>
      <c r="F94" s="1981" t="n"/>
      <c r="G94" s="1981" t="n"/>
      <c r="H94" s="1981" t="n"/>
      <c r="I94" s="1981" t="n"/>
      <c r="J94" s="1981" t="n"/>
      <c r="K94" s="1981" t="n"/>
      <c r="L94" s="1981" t="n"/>
    </row>
    <row r="95" ht="15" customHeight="1" s="1158">
      <c r="A95" s="1971" t="n">
        <v>31</v>
      </c>
      <c r="B95" s="1984" t="n"/>
      <c r="C95" s="1981" t="inlineStr">
        <is>
          <t>PRESSURE TEST ANNULUS TO 3700 PSI/30MINS, OK W/CMT UNIT.</t>
        </is>
      </c>
      <c r="D95" s="1981" t="n"/>
      <c r="E95" s="1981" t="n"/>
      <c r="F95" s="1981" t="n"/>
      <c r="G95" s="1985" t="n"/>
      <c r="H95" s="1985" t="n"/>
      <c r="I95" s="1985" t="n"/>
      <c r="J95" s="1985" t="n"/>
      <c r="K95" s="1985" t="n"/>
      <c r="L95" s="1985" t="n"/>
    </row>
    <row r="96" ht="15" customFormat="1" customHeight="1" s="1978">
      <c r="A96" s="1971" t="n"/>
      <c r="B96" s="1980" t="n"/>
      <c r="C96" s="1981" t="inlineStr">
        <is>
          <t>● OBSERVE TBG STRING FOR RETURNS.</t>
        </is>
      </c>
      <c r="D96" s="1981" t="n"/>
      <c r="E96" s="1981" t="n"/>
      <c r="F96" s="1981" t="n"/>
      <c r="G96" s="1981" t="n"/>
      <c r="H96" s="1981" t="n"/>
      <c r="I96" s="1981" t="n"/>
      <c r="J96" s="1981" t="n"/>
      <c r="K96" s="1981" t="n"/>
      <c r="L96" s="1981" t="n"/>
    </row>
    <row r="97" ht="15" customHeight="1" s="1158">
      <c r="A97" s="1971" t="n">
        <v>32</v>
      </c>
      <c r="B97" s="1984" t="n"/>
      <c r="C97" s="1985" t="inlineStr">
        <is>
          <t xml:space="preserve"> BLEED OFF C/ LINE TO ZERO, BACK OUT AND L/D LANDING JT.  INSTALL NRV IN TBG HGR.</t>
        </is>
      </c>
      <c r="D97" s="1985" t="n"/>
      <c r="E97" s="1985" t="n"/>
      <c r="F97" s="1985" t="n"/>
      <c r="G97" s="1985" t="n"/>
      <c r="H97" s="1985" t="n"/>
      <c r="I97" s="1985" t="n"/>
      <c r="J97" s="1985" t="n"/>
      <c r="K97" s="1985" t="n"/>
      <c r="L97" s="1985" t="n"/>
    </row>
    <row r="98" ht="15" customFormat="1" customHeight="1" s="1978">
      <c r="A98" s="1971" t="n"/>
      <c r="B98" s="1980" t="n"/>
      <c r="C98" s="1981" t="inlineStr">
        <is>
          <t>● CHECK LANDING JT THREADS, CLEAN, DOPE &amp; INSTALL CLEAN PROTECTORS ON PIN &amp; BOX</t>
        </is>
      </c>
      <c r="D98" s="1981" t="n"/>
      <c r="E98" s="1981" t="n"/>
      <c r="F98" s="1981" t="n"/>
      <c r="G98" s="1981" t="n"/>
      <c r="H98" s="1981" t="n"/>
      <c r="I98" s="1981" t="n"/>
      <c r="J98" s="1981" t="n"/>
      <c r="K98" s="1981" t="n"/>
      <c r="L98" s="1981" t="n"/>
    </row>
    <row r="99" ht="15" customHeight="1" s="1158">
      <c r="A99" s="1971" t="n">
        <v>33</v>
      </c>
      <c r="B99" s="1984" t="n"/>
      <c r="C99" s="1985" t="inlineStr">
        <is>
          <t>N/D BOP'S AS PER WELLHEAD PROCEDURE.</t>
        </is>
      </c>
      <c r="D99" s="1985" t="n"/>
      <c r="E99" s="1985" t="n"/>
      <c r="F99" s="1985" t="n"/>
      <c r="G99" s="1985" t="n"/>
      <c r="H99" s="1985" t="n"/>
      <c r="I99" s="1985" t="n"/>
      <c r="J99" s="1985" t="n"/>
      <c r="K99" s="1985" t="n"/>
      <c r="L99" s="1984" t="n"/>
    </row>
    <row r="100" ht="15" customHeight="1" s="1158">
      <c r="A100" s="1971" t="n">
        <v>34</v>
      </c>
      <c r="B100" s="1984" t="n"/>
      <c r="C100" s="1985" t="inlineStr">
        <is>
          <t>N/U XMAS TREE &amp; TEST TBG HGR CAVITY AS PER PROCEDURE.</t>
        </is>
      </c>
      <c r="D100" s="1985" t="n"/>
      <c r="E100" s="1985" t="n"/>
      <c r="F100" s="1985" t="n"/>
      <c r="G100" s="1985" t="n"/>
      <c r="H100" s="1985" t="n"/>
      <c r="I100" s="1985" t="n"/>
      <c r="J100" s="1985" t="n"/>
      <c r="K100" s="1985" t="n"/>
      <c r="L100" s="1981" t="n"/>
    </row>
    <row r="101" ht="15" customHeight="1" s="1158">
      <c r="A101" s="1971" t="n"/>
      <c r="B101" s="1984" t="n"/>
      <c r="C101" s="1989" t="inlineStr">
        <is>
          <t xml:space="preserve">● TEST THE CONTROL LINE AGAINST THE SAFETY VALVE TO 5000PSI/15 MINS AND ENSURE THE INDICATIONS OF OPENING OF SAFETY VALVE (STROKES) ARE VERY CLEAR. </t>
        </is>
      </c>
      <c r="L101" s="1981" t="n"/>
    </row>
    <row r="102" ht="15" customHeight="1" s="1158">
      <c r="A102" s="1971" t="n"/>
      <c r="B102" s="1984" t="n"/>
      <c r="L102" s="1981" t="n"/>
    </row>
    <row r="103" ht="19.5" customHeight="1" s="1158">
      <c r="A103" s="1971" t="n"/>
      <c r="B103" s="1984" t="n"/>
      <c r="C103" s="1989" t="inlineStr">
        <is>
          <t>● INSTALLATION &amp; TESTING THE TUBING HANGER AND X-TREE WILL BE MADE AS PER WELLHEAD MANUFACTURER PROCEDURE AND THEIR SERVICE ENGINEER RECOMMENDATIONS</t>
        </is>
      </c>
      <c r="L103" s="1981" t="n"/>
    </row>
    <row r="104" ht="15" customHeight="1" s="1158">
      <c r="A104" s="1971" t="n"/>
      <c r="B104" s="1984" t="n"/>
      <c r="L104" s="1981" t="n"/>
    </row>
    <row r="105" ht="15" customHeight="1" s="1158">
      <c r="A105" s="1971" t="n"/>
      <c r="B105" s="1984" t="n"/>
      <c r="C105" s="1981" t="inlineStr">
        <is>
          <t xml:space="preserve">● WELLHEAD ENGINEER TO ENSURE THE CLEANING OF THE PORT DURING TREE INSTALLATION. </t>
        </is>
      </c>
      <c r="D105" s="1981" t="n"/>
      <c r="E105" s="1981" t="n"/>
      <c r="F105" s="1981" t="n"/>
      <c r="G105" s="1981" t="n"/>
      <c r="H105" s="1981" t="n"/>
      <c r="I105" s="1981" t="n"/>
      <c r="J105" s="1981" t="n"/>
      <c r="K105" s="1981" t="n"/>
      <c r="L105" s="1990" t="n"/>
    </row>
    <row r="106" ht="15" customHeight="1" s="1158">
      <c r="A106" s="1971" t="n"/>
      <c r="B106" s="1991" t="n"/>
      <c r="C106" s="1990" t="inlineStr">
        <is>
          <t xml:space="preserve">TEST ALL XMAS TREE COMPONENTS AS PER WELLHEAD ENGINEER PROCEDURE. </t>
        </is>
      </c>
      <c r="D106" s="1990" t="n"/>
      <c r="E106" s="1990" t="n"/>
      <c r="F106" s="1990" t="n"/>
      <c r="G106" s="1990" t="n"/>
      <c r="H106" s="1990" t="n"/>
      <c r="I106" s="1990" t="n"/>
      <c r="J106" s="1990" t="n"/>
      <c r="K106" s="1990" t="n"/>
      <c r="L106" s="1991" t="n"/>
    </row>
    <row r="107" ht="15" customFormat="1" customHeight="1" s="1992">
      <c r="A107" s="1971" t="n">
        <v>35</v>
      </c>
      <c r="B107" s="1993" t="n"/>
      <c r="C107" s="1993" t="inlineStr">
        <is>
          <t>REMOVE TEST PLUG AND INSTALL NRV</t>
        </is>
      </c>
      <c r="D107" s="1993" t="n"/>
      <c r="E107" s="1993" t="n"/>
      <c r="F107" s="1993" t="n"/>
      <c r="G107" s="1993" t="n"/>
      <c r="H107" s="1993" t="n"/>
      <c r="I107" s="1993" t="n"/>
      <c r="J107" s="1993" t="n"/>
      <c r="K107" s="1993" t="n"/>
      <c r="L107" s="1993" t="n"/>
    </row>
    <row r="108" ht="15" customFormat="1" customHeight="1" s="1992">
      <c r="A108" s="1971" t="n">
        <v>36</v>
      </c>
      <c r="B108" s="1993" t="n"/>
      <c r="C108" s="1993" t="inlineStr">
        <is>
          <t>SECURE WELL &amp; RELEASE RIG AS PER ADM</t>
        </is>
      </c>
      <c r="D108" s="1993" t="n"/>
      <c r="E108" s="1993" t="n"/>
      <c r="F108" s="1993" t="n"/>
      <c r="G108" s="1993" t="n"/>
      <c r="H108" s="1993" t="n"/>
      <c r="I108" s="1993" t="n"/>
      <c r="J108" s="1993" t="n"/>
      <c r="K108" s="1993" t="n"/>
      <c r="L108" s="1993" t="n"/>
    </row>
    <row r="109" ht="15" customHeight="1" s="1158">
      <c r="A109" s="1994" t="n"/>
      <c r="B109" s="1995" t="n"/>
      <c r="C109" s="1996" t="inlineStr">
        <is>
          <t>COMPLETION PROCEDURE</t>
        </is>
      </c>
    </row>
    <row r="110" ht="15" customHeight="1" s="1158">
      <c r="A110" s="1994">
        <f>36+COUNTIF($A$109:A109,"&gt;0")+COUNTIF($A$109:A109,"*)")+1</f>
        <v/>
      </c>
      <c r="B110" s="1995" t="n"/>
      <c r="C110" s="1996" t="inlineStr">
        <is>
          <t>CHANGE TOP BOP RAMS TO 3 ½” – 5 ½” SINGLE VARIABLE RAM AND TEST IT TO 5,000 PSI FOR 30 MIN.</t>
        </is>
      </c>
    </row>
    <row r="111" ht="15" customHeight="1" s="1158">
      <c r="A111" s="1994">
        <f>36+COUNTIF($A$109:A110,"&gt;0")+COUNTIF($A$109:A110,"*)")+1</f>
        <v/>
      </c>
      <c r="B111" s="1995" t="n"/>
      <c r="C111" s="1996" t="inlineStr">
        <is>
          <t>R/U POWER TONG, JAM UNIT, SINGLE SLIPS, AND ELEVATOR.</t>
        </is>
      </c>
    </row>
    <row r="112" ht="15" customHeight="1" s="1158">
      <c r="A112" s="1994">
        <f>36+COUNTIF($A$109:A111,"&gt;0")+COUNTIF($A$109:A111,"*)")+1</f>
        <v/>
      </c>
      <c r="B112" s="1995" t="n"/>
      <c r="C112" s="1996" t="inlineStr">
        <is>
          <t>M/U CIRCULATION HEAD WITH LOW TORQUE VALVES AND KEEP THE SAME AVAILABLE ON RIG FLOOR. IN ADDITION, INJECTION HEAD AND INJECTION MANIFOLD SHOULD BE AVAILABLE ON RIG FLOOR. DO NOT CIRCULATE THRU THE TUBING, AS THERE IS GLASS BARRIER DISC IN THE COMPLETION.</t>
        </is>
      </c>
    </row>
    <row r="113" ht="15" customHeight="1" s="1158">
      <c r="A113" s="1994">
        <f>36+COUNTIF($A$109:A112,"&gt;0")+COUNTIF($A$109:A112,"*)")+1</f>
        <v/>
      </c>
      <c r="B113" s="1995" t="n"/>
      <c r="C113" s="1996" t="inlineStr">
        <is>
          <t>PACKER ASSEMBLY SHALL BE RUN IN HOLE WITH INTERWELL PRESSURE MULTI CYCLE TO OPEN GLASS DISK AT BOTTOM, AUTOFILL OF TUBING SHALL NOT BE POSSIBLE. ENSURE TO HAVE PROVISION AT RIG FLOOR TO FILL THE TUBING WITH CLEAN FILTERED INHIBITED BRINE WHILE RUNNING IN HOLE.</t>
        </is>
      </c>
    </row>
    <row r="114" ht="15" customHeight="1" s="1158">
      <c r="A114" s="1994" t="n"/>
      <c r="B114" s="1995" t="n"/>
      <c r="C114" s="1996" t="inlineStr">
        <is>
          <t>● ENSURE TO USE SAFETY CLAMP WITH SLIPS ± 50 JOINTS (OR ENOUGH WEIGHT ± 10,000LBS)</t>
        </is>
      </c>
    </row>
    <row r="115" ht="15" customHeight="1" s="1158">
      <c r="A115" s="1994" t="n"/>
      <c r="B115" s="1995" t="n"/>
      <c r="C115" s="1996" t="inlineStr">
        <is>
          <t>● PASS CAREFULLY THROUGH THE BOP. COMPLETION AND PACKER ENGINEERS TO BE ON RIG FLOOR TO CONTROL RUNNING SPEED AND OBSERVE FOR ANY DRAG</t>
        </is>
      </c>
    </row>
    <row r="116" ht="15" customHeight="1" s="1158">
      <c r="A116" s="1994" t="n"/>
      <c r="B116" s="1995" t="n"/>
      <c r="C116" s="1996" t="inlineStr">
        <is>
          <t>● COMPLETION ENGINEER(S) TO BE ON RIG FLOOR DURING OPERATION.</t>
        </is>
      </c>
    </row>
    <row r="117" ht="15" customHeight="1" s="1158">
      <c r="A117" s="1994">
        <f>36+COUNTIF($A$109:A116,"&gt;0")+COUNTIF($A$109:A116,"*)")+1</f>
        <v/>
      </c>
      <c r="B117" s="1995" t="n"/>
      <c r="C117" s="1996" t="inlineStr">
        <is>
          <t>CONDUCT PRE-JOB SAFETY MEETING PRIOR TO RUNNING COMPLETION. MAKE UP TORQUE FOR 4-1/2” 12.6 PPF L80 TSH BLUE</t>
        </is>
      </c>
    </row>
    <row r="118" ht="15" customHeight="1" s="1158">
      <c r="A118" s="1994" t="n"/>
      <c r="B118" s="1995" t="n"/>
      <c r="C118" s="1996" t="inlineStr">
        <is>
          <t>● MINIMUM : 4820 FT-LB</t>
        </is>
      </c>
    </row>
    <row r="119" ht="15" customHeight="1" s="1158">
      <c r="A119" s="1994" t="n"/>
      <c r="B119" s="1995" t="n"/>
      <c r="C119" s="1996" t="inlineStr">
        <is>
          <t>● OPTIMUM : 5360 FT-LB</t>
        </is>
      </c>
    </row>
    <row r="120" ht="15" customHeight="1" s="1158">
      <c r="A120" s="1994" t="n"/>
      <c r="B120" s="1995" t="n"/>
      <c r="C120" s="1996" t="inlineStr">
        <is>
          <t>● MAXIMUM : 5900 FT-LB</t>
        </is>
      </c>
    </row>
    <row r="121" ht="15" customHeight="1" s="1158">
      <c r="A121" s="1994">
        <f>36+COUNTIF($A$109:A120,"&gt;0")+COUNTIF($A$109:A120,"*)")+1</f>
        <v/>
      </c>
      <c r="B121" s="1995" t="n"/>
      <c r="C121" s="1996" t="inlineStr">
        <is>
          <t>P/U AND M/U SUB-ASSEMBLY #1 SEAL ASSEMBLY) SUB-ASSEMBLY # 1 SEAL ASSEMBLY CASE</t>
        </is>
      </c>
    </row>
    <row r="122" ht="15" customHeight="1" s="1158">
      <c r="A122" s="1994">
        <f>36+COUNTIF($A$109:A121,"&gt;0")+COUNTIF($A$109:A121,"*)")+1</f>
        <v/>
      </c>
      <c r="B122" s="1995" t="n"/>
      <c r="C122" s="1996" t="inlineStr">
        <is>
          <t>4-1/2” X 12.6 PPF L80 TSH BLUE BOX X PIN 5 FT LG PUP JOINT (TOP)</t>
        </is>
      </c>
    </row>
    <row r="123" ht="15" customHeight="1" s="1158">
      <c r="A123" s="1994">
        <f>36+COUNTIF($A$109:A122,"&gt;0")+COUNTIF($A$109:A122,"*)")+1</f>
        <v/>
      </c>
      <c r="B123" s="1995" t="n"/>
      <c r="C123" s="1996" t="inlineStr">
        <is>
          <t>4-1/2” X 12.6 PPF L80 TSH BLUE BOX WFD SEAL ASSEMBLY (5.25” SEAL OD)</t>
        </is>
      </c>
    </row>
    <row r="124" ht="15" customHeight="1" s="1158">
      <c r="A124" s="1994">
        <f>36+COUNTIF($A$109:A123,"&gt;0")+COUNTIF($A$109:A123,"*)")+1</f>
        <v/>
      </c>
      <c r="B124" s="1995" t="n"/>
      <c r="C124" s="1996" t="inlineStr">
        <is>
          <t>M/U 70 X TUBING JOINT (APPROX. 2,135 FT) OF 4-1/2” 12.6 PPF TSH BLUE L-80 TUBING ON TOP OF SUB-ASSEMBLY # 1.</t>
        </is>
      </c>
    </row>
    <row r="125" ht="15" customHeight="1" s="1158">
      <c r="A125" s="1994">
        <f>36+COUNTIF($A$109:A124,"&gt;0")+COUNTIF($A$109:A124,"*)")+1</f>
        <v/>
      </c>
      <c r="B125" s="1995" t="n"/>
      <c r="C125" s="1996" t="inlineStr">
        <is>
          <t>P/U AND M/U SUB-ASSEMBLY # 2 (BARRIER DISC) SUB-ASSEMBLY # 2</t>
        </is>
      </c>
    </row>
    <row r="126" ht="15" customHeight="1" s="1158">
      <c r="A126" s="1994">
        <f>36+COUNTIF($A$109:A125,"&gt;0")+COUNTIF($A$109:A125,"*)")+1</f>
        <v/>
      </c>
      <c r="B126" s="1995" t="n"/>
      <c r="C126" s="1996" t="inlineStr">
        <is>
          <t>4-1/2” X 12.6 PPF L80 TSH BLUE BOX X PIN 7 FT LG PUP JOINT</t>
        </is>
      </c>
    </row>
    <row r="127" ht="15" customHeight="1" s="1158">
      <c r="A127" s="1994">
        <f>36+COUNTIF($A$109:A126,"&gt;0")+COUNTIF($A$109:A126,"*)")+1</f>
        <v/>
      </c>
      <c r="B127" s="1995" t="n"/>
      <c r="C127" s="1996" t="inlineStr">
        <is>
          <t>” OD INTERWELL GLASS DISC (MULTI CYCLE</t>
        </is>
      </c>
    </row>
    <row r="128" ht="15" customHeight="1" s="1158">
      <c r="A128" s="1994">
        <f>36+COUNTIF($A$109:A127,"&gt;0")+COUNTIF($A$109:A127,"*)")+1</f>
        <v/>
      </c>
      <c r="B128" s="1995" t="n"/>
      <c r="C128" s="1996" t="inlineStr">
        <is>
          <t>4-1/2” X 12.6 PPF L80 TSH BLUE BOX X PIN TO OPEN)</t>
        </is>
      </c>
    </row>
    <row r="129" ht="15" customHeight="1" s="1158">
      <c r="A129" s="1994">
        <f>36+COUNTIF($A$109:A128,"&gt;0")+COUNTIF($A$109:A128,"*)")+1</f>
        <v/>
      </c>
      <c r="B129" s="1995" t="n"/>
      <c r="C129" s="1996" t="inlineStr">
        <is>
          <t>4-1/2” X 12.6 PPF L80 TSH BLUE BOX X PIN 5 FT LG PUP JOINT NOTE: USE SAFETY CLAMP WITH SLIPS UNTIL GAINING ENOUGH WEIGHT. APPROX. 10,000 LBS.</t>
        </is>
      </c>
    </row>
    <row r="130" ht="15" customHeight="1" s="1158">
      <c r="A130" s="1994">
        <f>36+COUNTIF($A$109:A129,"&gt;0")+COUNTIF($A$109:A129,"*)")+1</f>
        <v/>
      </c>
      <c r="B130" s="1995" t="n"/>
      <c r="C130" s="1996" t="inlineStr">
        <is>
          <t>M/U 3 X TUBING JOINTS (APPROX. 91 FT) OF 4-1/2” 12.6 PPF TSH BLUE L-80 TUBING ON TOP OF SUB-ASSEMBLY # 2. FILL THE TUBING. (SWI) ZK460 NOTE: MAKE SURE MINIMUM 01 X FULL JOINT BELOW PACKER FOR SETTING RBP AS CONTINGENCY. IT’S PREFERABLE TO HAVE 02 X FULL JOINTS UNLESS THERE IS A SPACE OUT ISSUE.</t>
        </is>
      </c>
    </row>
    <row r="131" ht="15" customHeight="1" s="1158">
      <c r="A131" s="1994">
        <f>36+COUNTIF($A$109:A130,"&gt;0")+COUNTIF($A$109:A130,"*)")+1</f>
        <v/>
      </c>
      <c r="B131" s="1995" t="n"/>
      <c r="C131" s="1996" t="inlineStr">
        <is>
          <t>P/U AND M/U SUB-ASSEMBLY # 3 (PACKER). PACKER SETTING DEPTH +/- 14,530 FT. SUB-ASSEMBLY # 3 QT Y</t>
        </is>
      </c>
    </row>
    <row r="132" ht="15" customHeight="1" s="1158">
      <c r="A132" s="1994">
        <f>36+COUNTIF($A$109:A131,"&gt;0")+COUNTIF($A$109:A131,"*)")+1</f>
        <v/>
      </c>
      <c r="B132" s="1995" t="n"/>
      <c r="C132" s="1996" t="inlineStr">
        <is>
          <t>4-1/2” X 12.6 PPF L80 TSH BLUE BOX X PIN 7 FT LG PUP JOINT</t>
        </is>
      </c>
    </row>
    <row r="133" ht="15" customHeight="1" s="1158">
      <c r="A133" s="1994">
        <f>36+COUNTIF($A$109:A132,"&gt;0")+COUNTIF($A$109:A132,"*)")+1</f>
        <v/>
      </c>
      <c r="B133" s="1995" t="n"/>
      <c r="C133" s="1996" t="inlineStr">
        <is>
          <t>” OD WEATHERFORD OPTIPKR CUT TO RELEASE</t>
        </is>
      </c>
    </row>
    <row r="134" ht="15" customHeight="1" s="1158">
      <c r="A134" s="1994">
        <f>36+COUNTIF($A$109:A133,"&gt;0")+COUNTIF($A$109:A133,"*)")+1</f>
        <v/>
      </c>
      <c r="B134" s="1995" t="n"/>
      <c r="C134" s="1996" t="inlineStr">
        <is>
          <t>4-1/2” X 12.6 PPF L80 TSH BLUE BOX X PIN PACKER</t>
        </is>
      </c>
    </row>
    <row r="135" ht="15" customHeight="1" s="1158">
      <c r="A135" s="1994">
        <f>36+COUNTIF($A$109:A134,"&gt;0")+COUNTIF($A$109:A134,"*)")+1</f>
        <v/>
      </c>
      <c r="B135" s="1995" t="n"/>
      <c r="C135" s="1996" t="inlineStr">
        <is>
          <t>4-1/2” X 12.6 PPF L80 TSH BLUE BOX X PIN 5 FT LG PUP JOINT</t>
        </is>
      </c>
    </row>
    <row r="136" ht="15" customHeight="1" s="1158">
      <c r="A136" s="1994" t="n"/>
      <c r="B136" s="1995" t="n"/>
      <c r="C136" s="1996" t="inlineStr">
        <is>
          <t>● PACKER ENGINEER, CE &amp; ADNOC DS TO CHECK THE OD OF PACKER AND CONFIRM IT IS 5.910”.</t>
        </is>
      </c>
    </row>
    <row r="137" ht="15" customHeight="1" s="1158">
      <c r="A137" s="1994" t="n"/>
      <c r="B137" s="1995" t="n"/>
      <c r="C137" s="1996" t="inlineStr">
        <is>
          <t>● PACKER ENGINEER TO VISUALLY INSPECT THE PACKER AND ENSURE SHEAR SCREW NUMBERS IN THE PACKER (2,000 PSI START TO SET PRESSURE).</t>
        </is>
      </c>
    </row>
    <row r="138" ht="15" customHeight="1" s="1158">
      <c r="A138" s="1994" t="n"/>
      <c r="B138" s="1995" t="n"/>
      <c r="C138" s="1996" t="inlineStr">
        <is>
          <t>● PACKER ENGINEER TO ENSURE THE LOCATION OF PIP TAG IS CLEARLY NOTED AND MENTIONED IN TALLY AND SCHEMATIC FROM TOP OF THE PACKER AND BOTTOM OF THE PACKER.</t>
        </is>
      </c>
    </row>
    <row r="139" ht="15" customHeight="1" s="1158">
      <c r="A139" s="1994" t="n"/>
      <c r="B139" s="1995" t="n"/>
      <c r="C139" s="1996" t="inlineStr">
        <is>
          <t>● TAKE PRE-CAUTION WHILE PASSING THROUGH BOP AND RISER TO ENSURE PACKER DOESN’T HANG OFF.</t>
        </is>
      </c>
    </row>
    <row r="140" ht="15" customHeight="1" s="1158">
      <c r="A140" s="1994" t="n"/>
      <c r="B140" s="1995" t="n"/>
      <c r="C140" s="1996" t="inlineStr">
        <is>
          <t>● CONTROL RUNNING SPEED WHILE PASSING THROUGH BOP, AND DO NOT EXCEED 5K LBS. DRAG.</t>
        </is>
      </c>
    </row>
    <row r="141" ht="15" customHeight="1" s="1158">
      <c r="A141" s="1994">
        <f>36+COUNTIF($A$109:A140,"&gt;0")+COUNTIF($A$109:A140,"*)")+1</f>
        <v/>
      </c>
      <c r="B141" s="1995" t="n"/>
      <c r="C141" s="1996" t="inlineStr">
        <is>
          <t>M/U 21 X TUBING JOINTS (APPROX. 640 FT) OF 4-1/2” 12.6 PPF TSH BLUE L-80 TUBING ON TOP OF SUB-ASSEMBLY # 3 NOTE: PERMANENT DOWNHOLE GAUGE (PDHG) TO BE MINIMUM 200 FT ABOVE PRODUCTION PACKER AS PER WIMS CONSIDERING FUTURE RIG-LESS P&amp;A. PDHG WOULD NOT RUN PASS THROUGH 7” TOL (13,974 FT), PLAN PDHG SETTING DEPTH AT +/-13,870 FT</t>
        </is>
      </c>
    </row>
    <row r="142" ht="15" customHeight="1" s="1158">
      <c r="A142" s="1994">
        <f>36+COUNTIF($A$109:A141,"&gt;0")+COUNTIF($A$109:A141,"*)")+1</f>
        <v/>
      </c>
      <c r="B142" s="1995" t="n"/>
      <c r="C142" s="1996" t="inlineStr">
        <is>
          <t>P/U AND M/U SUB-ASSEMBLY # 4 (PDHG MANDREL) SUB-ASSEMBLY # 4</t>
        </is>
      </c>
    </row>
    <row r="143" ht="15" customHeight="1" s="1158">
      <c r="A143" s="1994">
        <f>36+COUNTIF($A$109:A142,"&gt;0")+COUNTIF($A$109:A142,"*)")+1</f>
        <v/>
      </c>
      <c r="B143" s="1995" t="n"/>
      <c r="C143" s="1996" t="inlineStr">
        <is>
          <t>4-1/2” X 12.6 PPF L80 TSH BLUE BOX X PIN 7 FT LG PUP JOINT</t>
        </is>
      </c>
    </row>
    <row r="144" ht="15" customHeight="1" s="1158">
      <c r="A144" s="1994">
        <f>36+COUNTIF($A$109:A143,"&gt;0")+COUNTIF($A$109:A143,"*)")+1</f>
        <v/>
      </c>
      <c r="B144" s="1995" t="n"/>
      <c r="C144" s="1996" t="inlineStr">
        <is>
          <t>4-1/2” X 12.6 PPF L80 TSH BLUE BOX X PIN WEATHERFORD GAUGE CARRIER</t>
        </is>
      </c>
    </row>
    <row r="145" ht="15" customHeight="1" s="1158">
      <c r="A145" s="1994">
        <f>36+COUNTIF($A$109:A144,"&gt;0")+COUNTIF($A$109:A144,"*)")+1</f>
        <v/>
      </c>
      <c r="B145" s="1995" t="n"/>
      <c r="C145" s="1996" t="inlineStr">
        <is>
          <t>4-1/2” X 12.6 PPF L80 TSH BLUE BOX X PIN 5 FT LG PUP JOINT NOTE: FOLLOW WFD PDHG INSTRUCTION FOR DETAILS OF PDHG INSTALLATION AND FUNCTION TEST</t>
        </is>
      </c>
    </row>
    <row r="146" ht="15" customHeight="1" s="1158">
      <c r="A146" s="1994">
        <f>36+COUNTIF($A$109:A145,"&gt;0")+COUNTIF($A$109:A145,"*)")+1</f>
        <v/>
      </c>
      <c r="B146" s="1995" t="n"/>
      <c r="C146" s="1996" t="inlineStr">
        <is>
          <t>RIH WITH 1 X QTY OF 4-1/2 12.6 PPF TSH BLUE L-80 TUBING ABOVE GAUGE MANDREL. SET STRING UNTIL GAUGE MANDREL IS AT WORKING HEIGHT TO ALLOW INSTALLATION OF GAUGE. NOTE: INSTALL HOLE COVER TO PREVENT ANY DROPPED OBJECTS DOWN HOLE.</t>
        </is>
      </c>
    </row>
    <row r="147" ht="15" customHeight="1" s="1158">
      <c r="A147" s="1994">
        <f>36+COUNTIF($A$109:A146,"&gt;0")+COUNTIF($A$109:A146,"*)")+1</f>
        <v/>
      </c>
      <c r="B147" s="1995" t="n"/>
      <c r="C147" s="1996" t="inlineStr">
        <is>
          <t>INSTALL PDHG INTO MANDREL AS PER VENDOR PROCEDURE</t>
        </is>
      </c>
    </row>
    <row r="148" ht="15" customHeight="1" s="1158">
      <c r="A148" s="1994" t="n"/>
      <c r="B148" s="1995" t="n"/>
      <c r="C148" s="1996" t="inlineStr">
        <is>
          <t>● RECORD BASELINE RESISTANCE OF CABLE BEFORE INSTALLING PDHG TO GET REFERENCE NUMBER</t>
        </is>
      </c>
    </row>
    <row r="149" ht="15" customHeight="1" s="1158">
      <c r="A149" s="1994">
        <f>36+COUNTIF($A$109:A148,"&gt;0")+COUNTIF($A$109:A148,"*)")+1</f>
        <v/>
      </c>
      <c r="B149" s="1995" t="n"/>
      <c r="C149" s="1996" t="inlineStr">
        <is>
          <t>PRESSURE TEST THE GAUGE CONNECTION TO 500 PSI FOR 5 MINS AND 7,500 PSI FOR 15 MINS.</t>
        </is>
      </c>
    </row>
    <row r="150" ht="15" customHeight="1" s="1158">
      <c r="A150" s="1994" t="n"/>
      <c r="B150" s="1995" t="n"/>
      <c r="C150" s="1996" t="inlineStr">
        <is>
          <t>● THIS PRESSURE TEST IS TO ENSURE NO COMMUNICATION BETWEEN TBG AND A ANNULUS. PLEASE ENSURE TEST PRESSURE IS MORE THAN HYDROSTATIC PRESSURE AT PLANNED PDHG DEPTH + ANNULUS PRESSURE TEST</t>
        </is>
      </c>
    </row>
    <row r="151" ht="15" customHeight="1" s="1158">
      <c r="A151" s="1994" t="n"/>
      <c r="B151" s="1995" t="n"/>
      <c r="C151" s="1996" t="inlineStr">
        <is>
          <t>● PLEASE CHECK WITH PDHG VENDOR IF WE CAN PERFORM PRESSURE TEST WITH THIS VALUE.</t>
        </is>
      </c>
    </row>
    <row r="152" ht="15" customHeight="1" s="1158">
      <c r="A152" s="1994">
        <f>36+COUNTIF($A$109:A151,"&gt;0")+COUNTIF($A$109:A151,"*)")+1</f>
        <v/>
      </c>
      <c r="B152" s="1995" t="n"/>
      <c r="C152" s="1996" t="inlineStr">
        <is>
          <t>RECORD GAUGE READING BELOW TO ENSURE PDHG SIGNAL IS GOOD GAUGE S/N: PRESSURE GAUGE : PSI TEMPERATURE GAUGE : DEG C CURRENT GAUGE : MA VOLTAGE GAUGE : V (SWI) ZK460</t>
        </is>
      </c>
    </row>
    <row r="153" ht="15" customHeight="1" s="1158">
      <c r="A153" s="1994">
        <f>36+COUNTIF($A$109:A152,"&gt;0")+COUNTIF($A$109:A152,"*)")+1</f>
        <v/>
      </c>
      <c r="B153" s="1995" t="n"/>
      <c r="C153" s="1996" t="inlineStr">
        <is>
          <t>INSTALL CROSS COUPLING CLAMP ON 4-1/2” TUBING JOINTS NOTE: PDHG ENGINEER AND CE TO CHECK THE OD OF EACH CLAMP PRIOR TO RIH TO ENSURE IT’S SMALLER THAN CASING ID</t>
        </is>
      </c>
    </row>
    <row r="154" ht="15" customHeight="1" s="1158">
      <c r="A154" s="1994">
        <f>36+COUNTIF($A$109:A153,"&gt;0")+COUNTIF($A$109:A153,"*)")+1</f>
        <v/>
      </c>
      <c r="B154" s="1995" t="n"/>
      <c r="C154" s="1996" t="inlineStr">
        <is>
          <t>M/U 154 X TUBING JOINTS (APPROX. 4,697 FT) WHILE INSTALLING CLAMPS ON 4-1/2” TUBING AS PER THE COMPLETION TALLY. CONTINUE FILLING THE TUBING EVERY 10 X TUBING JOINTS (AS TUBING IS NOT AUTO-FILL).</t>
        </is>
      </c>
    </row>
    <row r="155" ht="15" customHeight="1" s="1158">
      <c r="A155" s="1994" t="n"/>
      <c r="B155" s="1995" t="n"/>
      <c r="C155" s="1996" t="inlineStr">
        <is>
          <t>● VERIFY GAUGE COMMUNICATION CONTINUOUSLY AND REPORT EVERY 6 HOURS TO ADNOC DS.</t>
        </is>
      </c>
    </row>
    <row r="156" ht="15" customHeight="1" s="1158">
      <c r="A156" s="1994">
        <f>36+COUNTIF($A$109:A155,"&gt;0")+COUNTIF($A$109:A155,"*)")+1</f>
        <v/>
      </c>
      <c r="B156" s="1995" t="n"/>
      <c r="C156" s="1996" t="inlineStr">
        <is>
          <t>P/U &amp; M/U SUB-ASSEMBLY # 5. SUB-ASSEMBLY # 5</t>
        </is>
      </c>
    </row>
    <row r="157" ht="15" customHeight="1" s="1158">
      <c r="A157" s="1994">
        <f>36+COUNTIF($A$109:A156,"&gt;0")+COUNTIF($A$109:A156,"*)")+1</f>
        <v/>
      </c>
      <c r="B157" s="1995" t="n"/>
      <c r="C157" s="1996" t="inlineStr">
        <is>
          <t>4-1/2” X 12.6 PPF L80 TSH BLUE BOX X PIN 7 FT LONG PUP JOINT</t>
        </is>
      </c>
    </row>
    <row r="158" ht="15" customHeight="1" s="1158">
      <c r="A158" s="1994">
        <f>36+COUNTIF($A$109:A157,"&gt;0")+COUNTIF($A$109:A157,"*)")+1</f>
        <v/>
      </c>
      <c r="B158" s="1995" t="n"/>
      <c r="C158" s="1996" t="inlineStr">
        <is>
          <t>4-1/2” X 12.6 PPF L80 TSH BLUE BOX X PIN 3.813” WXN NO-GO NIPPLE @ 50°</t>
        </is>
      </c>
    </row>
    <row r="159" ht="15" customHeight="1" s="1158">
      <c r="A159" s="1994">
        <f>36+COUNTIF($A$109:A158,"&gt;0")+COUNTIF($A$109:A158,"*)")+1</f>
        <v/>
      </c>
      <c r="B159" s="1995" t="n"/>
      <c r="C159" s="1996" t="inlineStr">
        <is>
          <t>4-1/2” X 12.6 PPF L80 TSH BLUE BOX X PIN 5 FT LONG PUP JOINT NOTE: MAKE SURE INCLINATION IS LESS THAN 55 DEGREES FOR SLICK LINE ACCESSIBILITY</t>
        </is>
      </c>
    </row>
    <row r="160" ht="15" customHeight="1" s="1158">
      <c r="A160" s="1994">
        <f>36+COUNTIF($A$109:A159,"&gt;0")+COUNTIF($A$109:A159,"*)")+1</f>
        <v/>
      </c>
      <c r="B160" s="1995" t="n"/>
      <c r="C160" s="1996" t="inlineStr">
        <is>
          <t>CONTINUE TO RIH WITH 268 JTS X 4-1/2 12.6 PPF TSH BLUE L-80 TUBING (APPROX. 8,174 FT). CONTINUE FILLING THE TUBING EVERY 10 X TUBING JOINTS.</t>
        </is>
      </c>
    </row>
    <row r="161" ht="15" customHeight="1" s="1158">
      <c r="A161" s="1994" t="n"/>
      <c r="B161" s="1995" t="n"/>
      <c r="C161" s="1996" t="inlineStr">
        <is>
          <t>● COMPLETION AND PACKER ENGINEERS TO BE ON RIG FLOOR TO CONTROL RUNNING SPEED AND OBSERVE FOR ANY DRAG.</t>
        </is>
      </c>
    </row>
    <row r="162" ht="15" customHeight="1" s="1158">
      <c r="A162" s="1994" t="n"/>
      <c r="B162" s="1995" t="n"/>
      <c r="C162" s="1996" t="inlineStr">
        <is>
          <t>● MAXIMUM SPEED IS 5 FT. /SEC, THUS REDUCING POTENTIAL DAMAGE TO THE PACKER.</t>
        </is>
      </c>
    </row>
    <row r="163" ht="15" customHeight="1" s="1158">
      <c r="A163" s="1994">
        <f>36+COUNTIF($A$109:A162,"&gt;0")+COUNTIF($A$109:A162,"*)")+1</f>
        <v/>
      </c>
      <c r="B163" s="1995" t="n"/>
      <c r="C163" s="1996" t="inlineStr">
        <is>
          <t>P/U AND M/U SUB-ASSEMBLY # 6 (DHIV NIPPLE) SUB-ASSEMBLY # 6</t>
        </is>
      </c>
    </row>
    <row r="164" ht="15" customHeight="1" s="1158">
      <c r="A164" s="1994">
        <f>36+COUNTIF($A$109:A163,"&gt;0")+COUNTIF($A$109:A163,"*)")+1</f>
        <v/>
      </c>
      <c r="B164" s="1995" t="n"/>
      <c r="C164" s="1996" t="inlineStr">
        <is>
          <t>4-1/2" L80, 12.6 PPF TSH BLUE BOX X PIN 7’ PUP JOINT</t>
        </is>
      </c>
    </row>
    <row r="165" ht="15" customHeight="1" s="1158">
      <c r="A165" s="1994">
        <f>36+COUNTIF($A$109:A164,"&gt;0")+COUNTIF($A$109:A164,"*)")+1</f>
        <v/>
      </c>
      <c r="B165" s="1995" t="n"/>
      <c r="C165" s="1996" t="inlineStr">
        <is>
          <t>4-1/2" L80, 12.6 PPF TSH BLUE BOX X PIN FLOW COUPLING</t>
        </is>
      </c>
    </row>
    <row r="166" ht="15" customHeight="1" s="1158">
      <c r="A166" s="1994">
        <f>36+COUNTIF($A$109:A165,"&gt;0")+COUNTIF($A$109:A165,"*)")+1</f>
        <v/>
      </c>
      <c r="B166" s="1995" t="n"/>
      <c r="C166" s="1996" t="inlineStr">
        <is>
          <t>4-1/2" L80, 12.6 PPF TSH BLUE BOX X PIN 4-1/2 LANDING NIPPLE WITH 3.813” WX PROFILE</t>
        </is>
      </c>
    </row>
    <row r="167" ht="15" customHeight="1" s="1158">
      <c r="A167" s="1994">
        <f>36+COUNTIF($A$109:A166,"&gt;0")+COUNTIF($A$109:A166,"*)")+1</f>
        <v/>
      </c>
      <c r="B167" s="1995" t="n"/>
      <c r="C167" s="1996" t="inlineStr">
        <is>
          <t>4-1/2" L80, 12.6 PPF TSH BLUE BOX X PIN FLOW COUPLING</t>
        </is>
      </c>
    </row>
    <row r="168" ht="15" customHeight="1" s="1158">
      <c r="A168" s="1994">
        <f>36+COUNTIF($A$109:A167,"&gt;0")+COUNTIF($A$109:A167,"*)")+1</f>
        <v/>
      </c>
      <c r="B168" s="1995" t="n"/>
      <c r="C168" s="1996" t="inlineStr">
        <is>
          <t>4-1/2" L80, 12.6 PPF TSH BLUE BOX X PIN 5’ PUP JOINT CONFIRM NO DHIV INSIDE THE NIPPLE</t>
        </is>
      </c>
    </row>
    <row r="169" ht="15" customHeight="1" s="1158">
      <c r="A169" s="1994">
        <f>36+COUNTIF($A$109:A168,"&gt;0")+COUNTIF($A$109:A168,"*)")+1</f>
        <v/>
      </c>
      <c r="B169" s="1995" t="n"/>
      <c r="C169" s="1996" t="inlineStr">
        <is>
          <t>CONTINUE RUNNING ~30-32 JOINTS 4-1/2” X 12.6 PPF L80 TSH BLUE TUBING (DHIV AT 1000 FT DEPTH) WHILE INSTALLING CROSS COUPLING CLAMP AS PER TALLY. CONTINUE FILLING THE TUBING EVERY JOINT.</t>
        </is>
      </c>
    </row>
    <row r="170" ht="15" customHeight="1" s="1158">
      <c r="A170" s="1994" t="n"/>
      <c r="B170" s="1995" t="n"/>
      <c r="C170" s="1996" t="inlineStr">
        <is>
          <t>● ALL TBG ABOVE DHIV TO BE DRIFTED BY SPECIAL 3.88” DRIFT</t>
        </is>
      </c>
    </row>
    <row r="171" ht="15" customHeight="1" s="1158">
      <c r="A171" s="1994">
        <f>36+COUNTIF($A$109:A170,"&gt;0")+COUNTIF($A$109:A170,"*)")+1</f>
        <v/>
      </c>
      <c r="B171" s="1995" t="n"/>
      <c r="C171" s="1996" t="inlineStr">
        <is>
          <t>CONTINUE RIH WITH 4-1/2” 12.6 PPF L80 TSH BLUE TUBING JOINTS UNTIL 5.25” OD SEAL STEM</t>
        </is>
      </c>
    </row>
    <row r="172" ht="15" customHeight="1" s="1158">
      <c r="A172" s="1994">
        <f>36+COUNTIF($A$109:A171,"&gt;0")+COUNTIF($A$109:A171,"*)")+1</f>
        <v/>
      </c>
      <c r="B172" s="1995" t="n"/>
      <c r="C172" s="1996" t="inlineStr">
        <is>
          <t>FT. ABOVE 4-1/2” TOL.</t>
        </is>
      </c>
    </row>
    <row r="173" ht="15" customHeight="1" s="1158">
      <c r="A173" s="1994">
        <f>36+COUNTIF($A$109:A172,"&gt;0")+COUNTIF($A$109:A172,"*)")+1</f>
        <v/>
      </c>
      <c r="B173" s="1995" t="n"/>
      <c r="C173" s="1996" t="inlineStr">
        <is>
          <t>RECORD P/U WEIGHT AND S/O WEIGHT, STRETCH LENGTH.</t>
        </is>
      </c>
    </row>
    <row r="174" ht="15" customHeight="1" s="1158">
      <c r="A174" s="1994">
        <f>36+COUNTIF($A$109:A173,"&gt;0")+COUNTIF($A$109:A173,"*)")+1</f>
        <v/>
      </c>
      <c r="B174" s="1995" t="n"/>
      <c r="C174" s="1996" t="inlineStr">
        <is>
          <t>CONTINUE TO RIH VERY SLOWLY AT A CONTROLLED SPEED AND ZERO THE VERNIER SCALE. THEN SLOWLY CONTINUE TO RIH CAUTIOUSLY MONITORING THE VERNIER SCALE FOR ANY DRAG INDICATIONS. GENTLY TAG THE TOP OF 4-1/2” LINER WITH THE 5.25” OD SEAL STEM OF THE SUB-ASSEMBLY # 1; WITH A MAX. OF</t>
        </is>
      </c>
    </row>
    <row r="175" ht="15" customHeight="1" s="1158">
      <c r="A175" s="1994">
        <f>36+COUNTIF($A$109:A174,"&gt;0")+COUNTIF($A$109:A174,"*)")+1</f>
        <v/>
      </c>
      <c r="B175" s="1995" t="n"/>
      <c r="C175" s="1996" t="inlineStr">
        <is>
          <t>KLBS. SLACK OFF WEIGHT.</t>
        </is>
      </c>
    </row>
    <row r="176" ht="15" customHeight="1" s="1158">
      <c r="A176" s="1994" t="n"/>
      <c r="B176" s="1995" t="n"/>
      <c r="C176" s="1996" t="inlineStr">
        <is>
          <t>● DO NOT TAG ON THE 4-1/2” TOL WITH MORE THAN 10 KLBS. THE PURPOSE OF THE TAG IS TO ENSURE THAT CORRECT SPACE-OUT IS USED AND THE WLEG IS INSIDE THE TOL. (SWI) ZK460</t>
        </is>
      </c>
    </row>
    <row r="177" ht="15" customHeight="1" s="1158">
      <c r="A177" s="1994">
        <f>36+COUNTIF($A$109:A176,"&gt;0")+COUNTIF($A$109:A176,"*)")+1</f>
        <v/>
      </c>
      <c r="B177" s="1995" t="n"/>
      <c r="C177" s="1996" t="inlineStr">
        <is>
          <t>P/U TO LAST P/U WEIGHT PLUS 2 FT MORE AND MARK THE TUBING ABOVE THE ROTARY TABLE FOR FINAL SPACE OUT CALCULATION. COMPLETION ENGINEER TO CALCULATE SPACE-OUT AND ENSURE PROPER PUP JOINTS LENGTHS ARE UTILIZED</t>
        </is>
      </c>
    </row>
    <row r="178" ht="15" customHeight="1" s="1158">
      <c r="A178" s="1994" t="n"/>
      <c r="B178" s="1995" t="n"/>
      <c r="C178" s="1996" t="inlineStr">
        <is>
          <t>● SPACE-OUT CALCULATION IS MANDATORY TO BE DISCUSSED AND AGREED WITH DS AND COMPLETION ENGINEER IN TOWN.</t>
        </is>
      </c>
    </row>
    <row r="179" ht="15" customHeight="1" s="1158">
      <c r="A179" s="1994" t="n"/>
      <c r="B179" s="1995" t="n"/>
      <c r="C179" s="1996" t="inlineStr">
        <is>
          <t>● ENSURE SUFFICIENT QUANTITY AND LENGTH OF PUP JOINTS ARE AVAILABLE FOR THE SPACE-OUT.</t>
        </is>
      </c>
    </row>
    <row r="180" ht="15" customHeight="1" s="1158">
      <c r="A180" s="1994">
        <f>36+COUNTIF($A$109:A179,"&gt;0")+COUNTIF($A$109:A179,"*)")+1</f>
        <v/>
      </c>
      <c r="B180" s="1995" t="n"/>
      <c r="C180" s="1996" t="inlineStr">
        <is>
          <t>POOH COMPLETION STRING AND L/D EXCESS TUBING JOINTS AS PER COMPLETION ENGINEER’S SPACE OUT CALCULATION.</t>
        </is>
      </c>
    </row>
    <row r="181" ht="15" customHeight="1" s="1158">
      <c r="A181" s="1994">
        <f>36+COUNTIF($A$109:A180,"&gt;0")+COUNTIF($A$109:A180,"*)")+1</f>
        <v/>
      </c>
      <c r="B181" s="1995" t="n"/>
      <c r="C181" s="1996" t="inlineStr">
        <is>
          <t>ADD NECESSARY PUP JOINTS BELOW LAST FULL TUBING JOINT BELOW TUBING HANGER WHILE INSTALLING CROSS COUPLING CLAMP.</t>
        </is>
      </c>
    </row>
    <row r="182" ht="15" customHeight="1" s="1158">
      <c r="A182" s="1994">
        <f>36+COUNTIF($A$109:A181,"&gt;0")+COUNTIF($A$109:A181,"*)")+1</f>
        <v/>
      </c>
      <c r="B182" s="1995" t="n"/>
      <c r="C182" s="1996" t="inlineStr">
        <is>
          <t>P/U AND M/U SUB-ASSEMBLY # 7 (TUBING HANGER) SUB-ASSEMBLY # 8</t>
        </is>
      </c>
    </row>
    <row r="183" ht="15" customHeight="1" s="1158">
      <c r="A183" s="1994">
        <f>36+COUNTIF($A$109:A182,"&gt;0")+COUNTIF($A$109:A182,"*)")+1</f>
        <v/>
      </c>
      <c r="B183" s="1995" t="n"/>
      <c r="C183" s="1996" t="inlineStr">
        <is>
          <t>4-1/2" L80, 12.6 PPF TSH BLUE BOX X PIN 5 FT PUP JOINT 4-1/2" L-80, 12.6 PPF TSH BLUE BOX</t>
        </is>
      </c>
    </row>
    <row r="184" ht="15" customHeight="1" s="1158">
      <c r="A184" s="1994">
        <f>36+COUNTIF($A$109:A183,"&gt;0")+COUNTIF($A$109:A183,"*)")+1</f>
        <v/>
      </c>
      <c r="B184" s="1995" t="n"/>
      <c r="C184" s="1996" t="inlineStr">
        <is>
          <t>XOVER PUP JOINT 4-1/2" L-80, 12.6 PPF JFE LION PIN 4-1/2 12.6 PPF JFE LION BOX TOP</t>
        </is>
      </c>
    </row>
    <row r="185" ht="15" customHeight="1" s="1158">
      <c r="A185" s="1994">
        <f>36+COUNTIF($A$109:A184,"&gt;0")+COUNTIF($A$109:A184,"*)")+1</f>
        <v/>
      </c>
      <c r="B185" s="1995" t="n"/>
      <c r="C185" s="1996" t="inlineStr">
        <is>
          <t>LANDING SUB</t>
        </is>
      </c>
    </row>
    <row r="186" ht="15" customHeight="1" s="1158">
      <c r="A186" s="1994">
        <f>36+COUNTIF($A$109:A185,"&gt;0")+COUNTIF($A$109:A185,"*)")+1</f>
        <v/>
      </c>
      <c r="B186" s="1995" t="n"/>
      <c r="C186" s="1996" t="inlineStr">
        <is>
          <t>-4TPI ACME-2G-LH PIN BTM</t>
        </is>
      </c>
    </row>
    <row r="187" ht="15" customHeight="1" s="1158">
      <c r="A187" s="1994">
        <f>36+COUNTIF($A$109:A186,"&gt;0")+COUNTIF($A$109:A186,"*)")+1</f>
        <v/>
      </c>
      <c r="B187" s="1995" t="n"/>
      <c r="C187" s="1996" t="inlineStr">
        <is>
          <t>-4TPI ACME-2G LH BOX TOP</t>
        </is>
      </c>
    </row>
    <row r="188" ht="15" customHeight="1" s="1158">
      <c r="A188" s="1994">
        <f>36+COUNTIF($A$109:A187,"&gt;0")+COUNTIF($A$109:A187,"*)")+1</f>
        <v/>
      </c>
      <c r="B188" s="1995" t="n"/>
      <c r="C188" s="1996" t="inlineStr">
        <is>
          <t>CACTUS (BAKER) HANGER ASSY 4-1/2" VAM TOP BOX BOTTOM 4-1/2, 12.6# VAM TOP PIN X</t>
        </is>
      </c>
    </row>
    <row r="189" ht="15" customHeight="1" s="1158">
      <c r="A189" s="1994">
        <f>36+COUNTIF($A$109:A188,"&gt;0")+COUNTIF($A$109:A188,"*)")+1</f>
        <v/>
      </c>
      <c r="B189" s="1995" t="n"/>
      <c r="C189" s="1996" t="inlineStr">
        <is>
          <t>XOVER PUP JOINT 4-1/2 TSH BLUE PIN</t>
        </is>
      </c>
    </row>
    <row r="190" ht="15" customHeight="1" s="1158">
      <c r="A190" s="1994">
        <f>36+COUNTIF($A$109:A189,"&gt;0")+COUNTIF($A$109:A189,"*)")+1</f>
        <v/>
      </c>
      <c r="B190" s="1995" t="n"/>
      <c r="C190" s="1996" t="inlineStr">
        <is>
          <t>4-1/2" L80, 12.6 PPF TSH BLUE BOX X PIN 7 FT PUP JOINT</t>
        </is>
      </c>
    </row>
    <row r="191" ht="15" customHeight="1" s="1158">
      <c r="A191" s="1994" t="n"/>
      <c r="B191" s="1995" t="n"/>
      <c r="C191" s="1996" t="inlineStr">
        <is>
          <t>● FOLLOW WELLHEAD COMPANY PROGRAM FOR THE DETAILS OF PDHG CABLE TERMINATION</t>
        </is>
      </c>
    </row>
    <row r="192" ht="15" customHeight="1" s="1158">
      <c r="A192" s="1994" t="n"/>
      <c r="B192" s="1995" t="n"/>
      <c r="C192" s="1996" t="inlineStr">
        <is>
          <t>● DRIFT THE LANDING JOINT WITH 3.88” SPECIAL DRIFT TO ENSURE FREE PASSAGE OF 3.81” DHIV. ENSURE LANDING JOINT IS FREE FROM ANY SCALE / CEMENT.</t>
        </is>
      </c>
    </row>
    <row r="193" ht="15" customHeight="1" s="1158">
      <c r="A193" s="1994" t="n"/>
      <c r="B193" s="1995" t="n"/>
      <c r="C193" s="1996" t="inlineStr">
        <is>
          <t>● LUBRICATE THE SEALS OF TUBING HANGER ON THE OUTSIDE DIAMETER.</t>
        </is>
      </c>
    </row>
    <row r="194" ht="15" customHeight="1" s="1158">
      <c r="A194" s="1994" t="n"/>
      <c r="B194" s="1995" t="n"/>
      <c r="C194" s="1996" t="inlineStr">
        <is>
          <t>● ENSURE CONTROL LINE FITTINGS FOR TUBING HANGER ARE AVAILABLE WITH WELLHEAD ENGINEER.</t>
        </is>
      </c>
    </row>
    <row r="195" ht="15" customHeight="1" s="1158">
      <c r="A195" s="1994" t="n"/>
      <c r="B195" s="1995" t="n"/>
      <c r="C195" s="1996" t="inlineStr">
        <is>
          <t>● VERIFY THE NUMBER OF CONTROL LINE PORTS TO BE RUN AND PLUG THE UNUSED PORTS.</t>
        </is>
      </c>
    </row>
    <row r="196" ht="15" customHeight="1" s="1158">
      <c r="A196" s="1994" t="n"/>
      <c r="B196" s="1995" t="n"/>
      <c r="C196" s="1996" t="inlineStr">
        <is>
          <t>● ENSURE THE LOCKDOWN SCREWS ON THE THS ALREADY FULLY RETRACTED. MEASURE LENGTH OF LOCK DOWN SCREWS.</t>
        </is>
      </c>
    </row>
    <row r="197" ht="15" customHeight="1" s="1158">
      <c r="A197" s="1994">
        <f>36+COUNTIF($A$109:A196,"&gt;0")+COUNTIF($A$109:A196,"*)")+1</f>
        <v/>
      </c>
      <c r="B197" s="1995" t="n"/>
      <c r="C197" s="1996" t="inlineStr">
        <is>
          <t>TAKE FINAL GAUGE READINGS AND RECORD RESULTS FOR REFERENCE.</t>
        </is>
      </c>
    </row>
    <row r="198" ht="15" customHeight="1" s="1158">
      <c r="A198" s="1994">
        <f>36+COUNTIF($A$109:A197,"&gt;0")+COUNTIF($A$109:A197,"*)")+1</f>
        <v/>
      </c>
      <c r="B198" s="1995" t="n"/>
      <c r="C198" s="1996" t="inlineStr">
        <is>
          <t>CUT AND STRIP 20-30 FT OF TEC LINE BY REMOVING ENCAPSULATION STARTING FROM AT LEAST 6 FT BELOW THE TUBING HANGER.</t>
        </is>
      </c>
    </row>
    <row r="199" ht="15" customHeight="1" s="1158">
      <c r="A199" s="1994" t="n"/>
      <c r="B199" s="1995" t="n"/>
      <c r="C199" s="1996" t="inlineStr">
        <is>
          <t>● EXTRA CARE MUST BE TAKEN NOT TO DAMAGE, BEND OR KINK BARE TUBE.</t>
        </is>
      </c>
    </row>
    <row r="200" ht="15" customHeight="1" s="1158">
      <c r="A200" s="1994" t="n"/>
      <c r="B200" s="1995" t="n"/>
      <c r="C200" s="1996" t="inlineStr">
        <is>
          <t>● EXTRA CARE TO BE TAKEN TO NOT DROP ANY HAND TOOLS INSIDE THE WELL (HOLE COVER TO BE USED DURING STRIPPING / CUTTING THE TEC LINE.</t>
        </is>
      </c>
    </row>
    <row r="201" ht="15" customHeight="1" s="1158">
      <c r="A201" s="1994">
        <f>36+COUNTIF($A$109:A200,"&gt;0")+COUNTIF($A$109:A200,"*)")+1</f>
        <v/>
      </c>
      <c r="B201" s="1995" t="n"/>
      <c r="C201" s="1996" t="inlineStr">
        <is>
          <t>STRAIGHTENING TOOL TO BE USED FOR STRAIGHTENING THE TEC LINE IF REQUIRED</t>
        </is>
      </c>
    </row>
    <row r="202" ht="15" customHeight="1" s="1158">
      <c r="A202" s="1994">
        <f>36+COUNTIF($A$109:A201,"&gt;0")+COUNTIF($A$109:A201,"*)")+1</f>
        <v/>
      </c>
      <c r="B202" s="1995" t="n"/>
      <c r="C202" s="1996" t="inlineStr">
        <is>
          <t>FEED ¼” NPT X SWAGELOK TUBE FITTINGS AND POSITION BELOW THE TUBING HANGER. FEED THE TEC LINE THROUGH ¼” NPT FEED THRU PORTS ON THE TUBING HANGER.</t>
        </is>
      </c>
    </row>
    <row r="203" ht="15" customHeight="1" s="1158">
      <c r="A203" s="1994">
        <f>36+COUNTIF($A$109:A202,"&gt;0")+COUNTIF($A$109:A202,"*)")+1</f>
        <v/>
      </c>
      <c r="B203" s="1995" t="n"/>
      <c r="C203" s="1996" t="inlineStr">
        <is>
          <t>FEED ¼” NPT X SWAGELOK TUBE FITTINGS OVER LINES FROM ABOVE THE TUBING HANGER.</t>
        </is>
      </c>
    </row>
    <row r="204" ht="15" customHeight="1" s="1158">
      <c r="A204" s="1994">
        <f>36+COUNTIF($A$109:A203,"&gt;0")+COUNTIF($A$109:A203,"*)")+1</f>
        <v/>
      </c>
      <c r="B204" s="1995" t="n"/>
      <c r="C204" s="1996" t="inlineStr">
        <is>
          <t>M/U ¼” NPT FITTING ABOVE AND BELOW TUBING HANGER. PULL TEC LINE SLACK AND TIGHTEN THE SWAGELOK FERRULES TO THE REQUIRED TORQUE VALUE. (SWI) ZK460</t>
        </is>
      </c>
    </row>
    <row r="205" ht="15" customHeight="1" s="1158">
      <c r="A205" s="1994">
        <f>36+COUNTIF($A$109:A204,"&gt;0")+COUNTIF($A$109:A204,"*)")+1</f>
        <v/>
      </c>
      <c r="B205" s="1995" t="n"/>
      <c r="C205" s="1996" t="inlineStr">
        <is>
          <t>ATTACH A TEST PUMP TO THE 1/8” LP PORT ON THE TUBING HANGER OD TO TEST TOP AND BOTTOM TUBING SEALING OF EACH CONTROL LINES. TEST TO MAXIMUM 5,000 PSI OR 80% OF CONTROL LINE COLLAPSE PRESSURE, WHICHEVER IS LOWER. HOLD THE TEST PRESSURE FOR FIFTEEN (15) MINUTES OR AS DESIRED BY THE DRILLING SUPERVISOR. PRESSURE TEST ALSO NEEDS TO BE PERFORMED TO THE UN-USED CONTROL LINES PORT (IF ANY) TO ENSURE THERE IS NO LEAKING ON THE PIPE PLUGS.</t>
        </is>
      </c>
    </row>
    <row r="206" ht="15" customHeight="1" s="1158">
      <c r="A206" s="1994">
        <f>36+COUNTIF($A$109:A205,"&gt;0")+COUNTIF($A$109:A205,"*)")+1</f>
        <v/>
      </c>
      <c r="B206" s="1995" t="n"/>
      <c r="C206" s="1996" t="inlineStr">
        <is>
          <t>PERFORM 3 WRAPS OF TEC CABLE AROUND TH NECK COUNTERCLOCKWISE, BEND UP TO CARRY TILL RIG FLOOR. MAKE SURE WRAPS ARE PROPERLY SECURED.</t>
        </is>
      </c>
    </row>
    <row r="207" ht="15" customHeight="1" s="1158">
      <c r="A207" s="1994">
        <f>36+COUNTIF($A$109:A206,"&gt;0")+COUNTIF($A$109:A206,"*)")+1</f>
        <v/>
      </c>
      <c r="B207" s="1995" t="n"/>
      <c r="C207" s="1996" t="inlineStr">
        <is>
          <t>CONNECT BACK PDHG CABLE TO ORIGINAL REEL AND CHECK READINGS, COMPARE TO THE READINGS BEFORE SPLICING &amp; FEED THROUGH HANGER.</t>
        </is>
      </c>
    </row>
    <row r="208" ht="15" customHeight="1" s="1158">
      <c r="A208" s="1994">
        <f>36+COUNTIF($A$109:A207,"&gt;0")+COUNTIF($A$109:A207,"*)")+1</f>
        <v/>
      </c>
      <c r="B208" s="1995" t="n"/>
      <c r="C208" s="1996" t="inlineStr">
        <is>
          <t>LANDING SINGLE TUBING HANGER</t>
        </is>
      </c>
    </row>
    <row r="209" ht="15" customHeight="1" s="1158">
      <c r="A209" s="1994">
        <f>36+COUNTIF($A$109:A208,"&gt;0")+COUNTIF($A$109:A208,"*)")+1</f>
        <v/>
      </c>
      <c r="B209" s="1995" t="n"/>
      <c r="C209" s="1996" t="inlineStr">
        <is>
          <t>RIG UP SURFACE LINES TO TOP OF 4-1/2 TSH BLUE, 12.6 PPF LANDING JOINTS. ALLOW ENOUGH SLACK IN CHICK-SANS FOR ALL PIPE MOVEMENTS.</t>
        </is>
      </c>
    </row>
    <row r="210" ht="15" customHeight="1" s="1158">
      <c r="A210" s="1994">
        <f>36+COUNTIF($A$109:A209,"&gt;0")+COUNTIF($A$109:A209,"*)")+1</f>
        <v/>
      </c>
      <c r="B210" s="1995" t="n"/>
      <c r="C210" s="1996" t="inlineStr">
        <is>
          <t>P/T SURFACE LINES TO 4,500 PSI FOR 15 MINS.</t>
        </is>
      </c>
    </row>
    <row r="211" ht="15" customHeight="1" s="1158">
      <c r="A211" s="1994">
        <f>36+COUNTIF($A$109:A210,"&gt;0")+COUNTIF($A$109:A210,"*)")+1</f>
        <v/>
      </c>
      <c r="B211" s="1995" t="n"/>
      <c r="C211" s="1996" t="inlineStr">
        <is>
          <t>PERFORM TEMPORARY SPLICE ON THE TEC CABLE TO RECONNECT BACK TO DATA ACQUISITION UNIT TO MONITOR AND LOG GAUGE DATA WHILE LANDING TH AND SETTING THE PACKER. ANY ABNORMALITIES DURING OPERATION MUST BE REPORTED TO DRILLING SITE LEADER.</t>
        </is>
      </c>
    </row>
    <row r="212" ht="15" customHeight="1" s="1158">
      <c r="A212" s="1994">
        <f>36+COUNTIF($A$109:A211,"&gt;0")+COUNTIF($A$109:A211,"*)")+1</f>
        <v/>
      </c>
      <c r="B212" s="1995" t="n"/>
      <c r="C212" s="1996" t="inlineStr">
        <is>
          <t>TAKE A TDR TRACE PRIOR TO LANDING THE TUBING HANGER TO CHECK CABLE INTEGRITY</t>
        </is>
      </c>
    </row>
    <row r="213" ht="15" customHeight="1" s="1158">
      <c r="A213" s="1994">
        <f>36+COUNTIF($A$109:A212,"&gt;0")+COUNTIF($A$109:A212,"*)")+1</f>
        <v/>
      </c>
      <c r="B213" s="1995" t="n"/>
      <c r="C213" s="1996" t="inlineStr">
        <is>
          <t>DRAIN THE RISER THROUGH THS SIDE OUTLET VALVE, KEEP THE VALVE OPEN TO PREVENT PRESSURE LOCK WHILE LANDING THE TUBING HANGER.</t>
        </is>
      </c>
    </row>
    <row r="214" ht="15" customHeight="1" s="1158">
      <c r="A214" s="1994">
        <f>36+COUNTIF($A$109:A213,"&gt;0")+COUNTIF($A$109:A213,"*)")+1</f>
        <v/>
      </c>
      <c r="B214" s="1995" t="n"/>
      <c r="C214" s="1996" t="inlineStr">
        <is>
          <t>ENSURE LOCKDOWN SCREWS ON TUBING HEAD SPOOL ALREADY FULLY BACKED OUT</t>
        </is>
      </c>
    </row>
    <row r="215" ht="15" customHeight="1" s="1158">
      <c r="A215" s="1994">
        <f>36+COUNTIF($A$109:A214,"&gt;0")+COUNTIF($A$109:A214,"*)")+1</f>
        <v/>
      </c>
      <c r="B215" s="1995" t="n"/>
      <c r="C215" s="1996" t="inlineStr">
        <is>
          <t>RUN TUBING HANGER WITH LANDING SUB THROUGH THE ROTARY TABLE INTO THE THS.</t>
        </is>
      </c>
    </row>
    <row r="216" ht="15" customHeight="1" s="1158">
      <c r="A216" s="1994">
        <f>36+COUNTIF($A$109:A215,"&gt;0")+COUNTIF($A$109:A215,"*)")+1</f>
        <v/>
      </c>
      <c r="B216" s="1995" t="n"/>
      <c r="C216" s="1996" t="inlineStr">
        <is>
          <t>LOWER THE COMPLETION STRING SLOWLY WATCHING TEC LINE TO CONFIRM PROPER SPACE-OUT.</t>
        </is>
      </c>
    </row>
    <row r="217" ht="15" customHeight="1" s="1158">
      <c r="A217" s="1994">
        <f>36+COUNTIF($A$109:A216,"&gt;0")+COUNTIF($A$109:A216,"*)")+1</f>
        <v/>
      </c>
      <c r="B217" s="1995" t="n"/>
      <c r="C217" s="1996" t="inlineStr">
        <is>
          <t>CONFIRM THE ELECTRONIC GAUGE IS WORKING, WHILE LOWERING THE TUBING HANGER.</t>
        </is>
      </c>
    </row>
    <row r="218" ht="15" customHeight="1" s="1158">
      <c r="A218" s="1994" t="n"/>
      <c r="B218" s="1995" t="n"/>
      <c r="C218" s="1996" t="inlineStr">
        <is>
          <t>● PDHG ENGINEER AND COMPLETION ENGINEER TO BE PRESENT ON RIG FLOOR WHILE LOWERING THE TUBING HANGER.</t>
        </is>
      </c>
    </row>
    <row r="219" ht="15" customHeight="1" s="1158">
      <c r="A219" s="1994">
        <f>36+COUNTIF($A$109:A218,"&gt;0")+COUNTIF($A$109:A218,"*)")+1</f>
        <v/>
      </c>
      <c r="B219" s="1995" t="n"/>
      <c r="C219" s="1996" t="inlineStr">
        <is>
          <t>MEASURE AND MARK THE DRILL-PIPE JOINTS WHILE DESCENDING. LAND COMPLETION STRING INSIDE THS AS PER WH COMPANY PROCEDURE. CONFIRM FINAL SPACE-OUT BASED ON NO-GO TAG DEPTH WHEN LANDING TUBING HANGER. THIS SHOULD BE SUPERVISED AND CONFIRMED UNDER WH ENGINEER’S SUPERVISION.</t>
        </is>
      </c>
    </row>
    <row r="220" ht="15" customHeight="1" s="1158">
      <c r="A220" s="1994">
        <f>36+COUNTIF($A$109:A219,"&gt;0")+COUNTIF($A$109:A219,"*)")+1</f>
        <v/>
      </c>
      <c r="B220" s="1995" t="n"/>
      <c r="C220" s="1996" t="inlineStr">
        <is>
          <t>AFTER LANDING THE TUBING HANGER, CONFIRM THAT GAUGE IS FUNCTIONING AS PER THE SPECS AND IS RECORDING THE DATA.</t>
        </is>
      </c>
    </row>
    <row r="221" ht="15" customHeight="1" s="1158">
      <c r="A221" s="1994">
        <f>36+COUNTIF($A$109:A220,"&gt;0")+COUNTIF($A$109:A220,"*)")+1</f>
        <v/>
      </c>
      <c r="B221" s="1995" t="n"/>
      <c r="C221" s="1996" t="inlineStr">
        <is>
          <t>TIGHTEN THE LDS IN CRISSCROSS PATTERN TO ENERGIZE TUBING HANGER ELASTOMERIC PACKING. CONFIRM CORRECT FINAL ENGAGEMENT STANDOFF OF LDS TO BE MAX 2.45”. RECOMMENDED TORQUE 650 FT-LBS. (ABOVE ROTATIONAL TORQUE).</t>
        </is>
      </c>
    </row>
    <row r="222" ht="15" customHeight="1" s="1158">
      <c r="A222" s="1994">
        <f>36+COUNTIF($A$109:A221,"&gt;0")+COUNTIF($A$109:A221,"*)")+1</f>
        <v/>
      </c>
      <c r="B222" s="1995" t="n"/>
      <c r="C222" s="1996" t="inlineStr">
        <is>
          <t>PERFORM PRESSURE TEST ON THE TUBING HANGER OD SEAL BY APPLYING PRESSURE THROUGH HGR SEAL TEST PORT ON THE MULTIBOWL TO MAXIMUM 5,000 PSI. HOLD FOR 15 MINUTES. NOTE : THIS IS TO ENSURE TBG HGR INTEGRITY BEFORE SETTING PACKER (SWI) ZK460</t>
        </is>
      </c>
    </row>
    <row r="223" ht="15" customHeight="1" s="1158">
      <c r="A223" s="1994">
        <f>36+COUNTIF($A$109:A222,"&gt;0")+COUNTIF($A$109:A222,"*)")+1</f>
        <v/>
      </c>
      <c r="B223" s="1995" t="n"/>
      <c r="C223" s="1996" t="inlineStr">
        <is>
          <t>SET &amp; TEST COMPLETION</t>
        </is>
      </c>
    </row>
    <row r="224" ht="15" customHeight="1" s="1158">
      <c r="A224" s="1994">
        <f>36+COUNTIF($A$109:A223,"&gt;0")+COUNTIF($A$109:A223,"*)")+1</f>
        <v/>
      </c>
      <c r="B224" s="1995" t="n"/>
      <c r="C224" s="1996" t="inlineStr">
        <is>
          <t>SLOWLY PRESSURE UP THE TUBING TO 500 PSI AGAINST THE INTERWELL GLASS DISC AND HOLD FOR 5 MIN. NOTE : THIS IS TO ENSURE TBG INTEGRITY BEFORE SETTING PACKER</t>
        </is>
      </c>
    </row>
    <row r="225" ht="15" customHeight="1" s="1158">
      <c r="A225" s="1994">
        <f>36+COUNTIF($A$109:A224,"&gt;0")+COUNTIF($A$109:A224,"*)")+1</f>
        <v/>
      </c>
      <c r="B225" s="1995" t="n"/>
      <c r="C225" s="1996" t="inlineStr">
        <is>
          <t>INCREASE PRESSURE TO 4,100 PSI CONTINUOUSLY AND HOLD FOR 30 MIN. INITIAL PACKER SETTING SHEAR PRESSURE MAY OCCUR AT 1,500 PSI. DESCRIPTION FUNCTION THEORITICAL VALUE MIN SETTING PRESSURE 2,000 PSI PACKER SETTING PRESSURE FULL SETTING PRESSURE 4,000 PSI HOLD POINT (TBG INTEGRITY TEST) 4,100 PSI</t>
        </is>
      </c>
    </row>
    <row r="226" ht="15" customHeight="1" s="1158">
      <c r="A226" s="1994" t="n"/>
      <c r="B226" s="1995" t="n"/>
      <c r="C226" s="1996" t="inlineStr">
        <is>
          <t>● IN CASE OF ISSUE (LEAK DURING P TEST), CHECK SURFACE LINE FOR ANY LEAKS.</t>
        </is>
      </c>
    </row>
    <row r="227" ht="15" customHeight="1" s="1158">
      <c r="A227" s="1994" t="n"/>
      <c r="B227" s="1995" t="n"/>
      <c r="C227" s="1996" t="inlineStr">
        <is>
          <t>● CONSIDER USING NIPPLE-LESS PLUG AND SET IN TUBING BETWEEN PACKER AND GLASS DISC.</t>
        </is>
      </c>
    </row>
    <row r="228" ht="15" customHeight="1" s="1158">
      <c r="A228" s="1994">
        <f>36+COUNTIF($A$109:A227,"&gt;0")+COUNTIF($A$109:A227,"*)")+1</f>
        <v/>
      </c>
      <c r="B228" s="1995" t="n"/>
      <c r="C228" s="1996" t="inlineStr">
        <is>
          <t>R/UP CEMENTING LINES TO THS SOV, AND TEST A-ANNULUS BELOW HANGER TO 500 PSI AND HOLD FOR 5 MINUTES, THEN INCREASE PRESSURE TO 3,500 PSI IN STAGES AND HOLD FOR 30 MIN. KEEP THE TUBING OPEN AND FILLED UP TO THE TOP WITH COMPLETION BRINE AND OBSERVE FOR PRESSURE DROP AND ANY RETURNS DURING ANNULUS TESTING. RECORD THE TEST AND SEND TO TOWN.</t>
        </is>
      </c>
    </row>
    <row r="229" ht="15" customHeight="1" s="1158">
      <c r="A229" s="1994" t="n"/>
      <c r="B229" s="1995" t="n"/>
      <c r="C229" s="1996" t="inlineStr">
        <is>
          <t>● REVERSE BALLOONING MAY CAUSE SOME RETURNS FROM THE TUBING STRING FOR FEW MINUTES. IF RETURNS DO NOT STOP AFTER STABILIZING THE PRESSURE, CALL DROTL.</t>
        </is>
      </c>
    </row>
    <row r="230" ht="15" customHeight="1" s="1158">
      <c r="A230" s="1994" t="n"/>
      <c r="B230" s="1995" t="n"/>
      <c r="C230" s="1996" t="inlineStr">
        <is>
          <t>● MONITOR TUBING STRINGS FOR ANY RETURNS.</t>
        </is>
      </c>
    </row>
    <row r="231" ht="15" customHeight="1" s="1158">
      <c r="A231" s="1994">
        <f>36+COUNTIF($A$109:A230,"&gt;0")+COUNTIF($A$109:A230,"*)")+1</f>
        <v/>
      </c>
      <c r="B231" s="1995" t="n"/>
      <c r="C231" s="1996" t="inlineStr">
        <is>
          <t>CLOSE THS INNER SOV AND BLEED PRESSURE IN LINE TO 500 PSI (INFLOW TEST OF THE SIDE OUTLET VALVE). MONITOR FOR 15 MIN.</t>
        </is>
      </c>
    </row>
    <row r="232" ht="15" customHeight="1" s="1158">
      <c r="A232" s="1994">
        <f>36+COUNTIF($A$109:A231,"&gt;0")+COUNTIF($A$109:A231,"*)")+1</f>
        <v/>
      </c>
      <c r="B232" s="1995" t="n"/>
      <c r="C232" s="1996" t="inlineStr">
        <is>
          <t>INCREASE PRESSURE BACK TO 3,500 PSI THEN BLEED OFF ANNULUS PRESSURE SLOWLY TO ZERO, THEN OPEN THS OUTLET VALVES. NOTE: SOV INFLOW TEST CAN BE WAIVED IF IT’S PREVIOUSLY DONE DURING THS INSTALLATION</t>
        </is>
      </c>
    </row>
    <row r="233" ht="15" customHeight="1" s="1158">
      <c r="A233" s="1994">
        <f>36+COUNTIF($A$109:A232,"&gt;0")+COUNTIF($A$109:A232,"*)")+1</f>
        <v/>
      </c>
      <c r="B233" s="1995" t="n"/>
      <c r="C233" s="1996" t="inlineStr">
        <is>
          <t>N/D BOP &amp; N/U X-MAS</t>
        </is>
      </c>
    </row>
    <row r="234" ht="15" customHeight="1" s="1158">
      <c r="A234" s="1994">
        <f>36+COUNTIF($A$109:A233,"&gt;0")+COUNTIF($A$109:A233,"*)")+1</f>
        <v/>
      </c>
      <c r="B234" s="1995" t="n"/>
      <c r="C234" s="1996" t="inlineStr">
        <is>
          <t>N/D BOP</t>
        </is>
      </c>
    </row>
    <row r="235" ht="15" customHeight="1" s="1158">
      <c r="A235" s="1994">
        <f>36+COUNTIF($A$109:A234,"&gt;0")+COUNTIF($A$109:A234,"*)")+1</f>
        <v/>
      </c>
      <c r="B235" s="1995" t="n"/>
      <c r="C235" s="1996" t="inlineStr">
        <is>
          <t>MAKE SURE THE FOLLOWING SL PRE-CHECK IS COMPLETED A) TEST SURFACE LINES AND SLICK-LINE LUBRICATOR @ 4,500 PSI FOR 15 MIN AS PER STANDARDS PRIOR TO FIRST SLICK-LINE OPERATION B) PERFORM TORTURE CABLE TEST FOR 0.125” S/L. PROVIDES 17 ROUNDS, IF BREAKS AT OR AFTER 17 ROUNDS THEN THE SLICK-LINE IS OK. PROCEED WITH NORMAL SLICK-LINE OPERATIONS. IF SLICK-LINE BREAKS BEFORE 17 ROUNDS. FOLLOW STEP B) C) PROCEED TO CUT 100’ OF CABLE AND PERFORM TORTURE CABLE TEST ONCE AGAIN. CABLE MUST BREAK AT OR AFTER 17 ROUNDS, OTHERWISE CUT 100’ AND REPEAT TEST AGAIN, UNTIL CABLE BREAKS AT 17 TURNS OR AFTER. D) EVERY 45 MINS OF JARRING ROPE SOCKET SHOULD BE RE-CUT AND FRESH KNOT SHOULD BE CREATED. E) ALL DOWNHOLE TOOLS LENGTH AND DIMENSIONS SHALL BE MEASURED, RECORDED AND REPORTED TO CE AND DROTL IN TOWN. F) FISH NECK PROFILE AND DIMENSIONS SHALL BE DOCUMENTED AND REPORTED FOR ALL BHA COMPONENT PRIOR TO RIH. G) ALL BHA PROPOSALS TO BE SHARED WITH ADNOC OFFSHORE COMPLETION ENGINEER IN TOWN (SWI) ZK460</t>
        </is>
      </c>
    </row>
    <row r="236" ht="15" customHeight="1" s="1158">
      <c r="A236" s="1994">
        <f>36+COUNTIF($A$109:A235,"&gt;0")+COUNTIF($A$109:A235,"*)")+1</f>
        <v/>
      </c>
      <c r="B236" s="1995" t="n"/>
      <c r="C236" s="1996" t="inlineStr">
        <is>
          <t>RUN AND SET 3.81” PX BLANKING PLUG ON 3.81” WX NIPPLE, PRESSURE TEST PLUG TO 2500 PSI</t>
        </is>
      </c>
    </row>
    <row r="237" ht="15" customHeight="1" s="1158">
      <c r="A237" s="1994">
        <f>36+COUNTIF($A$109:A236,"&gt;0")+COUNTIF($A$109:A236,"*)")+1</f>
        <v/>
      </c>
      <c r="B237" s="1995" t="n"/>
      <c r="C237" s="1996" t="inlineStr">
        <is>
          <t>WELL HAS TWO DOWNHOLE BARRIER AS PER BELOW:</t>
        </is>
      </c>
    </row>
    <row r="238" ht="15" customHeight="1" s="1158">
      <c r="A238" s="1994" t="n"/>
      <c r="B238" s="1995" t="n"/>
      <c r="C238" s="1996" t="inlineStr">
        <is>
          <t>● PRIMARY BARRIER: BARRIER DISC (PRESSURE TESTED)</t>
        </is>
      </c>
    </row>
    <row r="239" ht="15" customHeight="1" s="1158">
      <c r="A239" s="1994" t="n"/>
      <c r="B239" s="1995" t="n"/>
      <c r="C239" s="1996" t="inlineStr">
        <is>
          <t>● SECONDARY BARRIER: 3.81” BLANKING PLUG (PRESSURE TESTED)</t>
        </is>
      </c>
    </row>
    <row r="240" ht="15" customHeight="1" s="1158">
      <c r="A240" s="1994">
        <f>36+COUNTIF($A$109:A239,"&gt;0")+COUNTIF($A$109:A239,"*)")+1</f>
        <v/>
      </c>
      <c r="B240" s="1995" t="n"/>
      <c r="C240" s="1996" t="inlineStr">
        <is>
          <t>BACK OFF L/D LANDING JOINTS FROM STRING. NOTE: THE LANDING JOINT CONNECTION IS 4.875-4TPI ACME-2G (LEFT HAND THREAD)</t>
        </is>
      </c>
    </row>
    <row r="241" ht="15" customHeight="1" s="1158">
      <c r="A241" s="1994">
        <f>36+COUNTIF($A$109:A240,"&gt;0")+COUNTIF($A$109:A240,"*)")+1</f>
        <v/>
      </c>
      <c r="B241" s="1995" t="n"/>
      <c r="C241" s="1996" t="inlineStr">
        <is>
          <t>ONCE LANDING JOINT IS RETRIEVED, RECORD THE SURFACE VOLTAGE AND CURRENT, PRESSURES AND TEMPERATURES AND POWER DOWN THE PDHG.</t>
        </is>
      </c>
    </row>
    <row r="242" ht="15" customHeight="1" s="1158">
      <c r="A242" s="1994">
        <f>36+COUNTIF($A$109:A241,"&gt;0")+COUNTIF($A$109:A241,"*)")+1</f>
        <v/>
      </c>
      <c r="B242" s="1995" t="n"/>
      <c r="C242" s="1996" t="inlineStr">
        <is>
          <t>INSTALL 4” H2 VALVE AT THE TUBING HANGER.</t>
        </is>
      </c>
    </row>
    <row r="243" ht="15" customHeight="1" s="1158">
      <c r="A243" s="1994">
        <f>36+COUNTIF($A$109:A242,"&gt;0")+COUNTIF($A$109:A242,"*)")+1</f>
        <v/>
      </c>
      <c r="B243" s="1995" t="n"/>
      <c r="C243" s="1996" t="inlineStr">
        <is>
          <t>LIFT BOP AND CAREFULLY DISCONNECT TEC LINE AND MAKE SURE NOT TO DAMAGE THE WRAPS OF CABLE WHILE PULLING.</t>
        </is>
      </c>
    </row>
    <row r="244" ht="15" customHeight="1" s="1158">
      <c r="A244" s="1994">
        <f>36+COUNTIF($A$109:A243,"&gt;0")+COUNTIF($A$109:A243,"*)")+1</f>
        <v/>
      </c>
      <c r="B244" s="1995" t="n"/>
      <c r="C244" s="1996" t="inlineStr">
        <is>
          <t>CHECK THE S-SEAL ON THE TUBING HANGER EXTENDED NECK FOR ANY DAMAGE AND ENSURE THE NECK STICK-UP HEIGHT IS AS SHOWN ON THE DRAWING.</t>
        </is>
      </c>
    </row>
    <row r="245" ht="15" customHeight="1" s="1158">
      <c r="A245" s="1994">
        <f>36+COUNTIF($A$109:A244,"&gt;0")+COUNTIF($A$109:A244,"*)")+1</f>
        <v/>
      </c>
      <c r="B245" s="1995" t="n"/>
      <c r="C245" s="1996" t="inlineStr">
        <is>
          <t>MAINTAIN CONTROL LINE 3 ROUNDS AND TEC LINE 3 ROUNDS AROUND THE EXTENDED NECK OF THE TUBING HANGER. MAKE SURE ENOUGH LENGTH IS PROVIDED FOR TERMINATION AT THE TH CONTROL LINE EXIT PORTS.</t>
        </is>
      </c>
    </row>
    <row r="246" ht="15" customHeight="1" s="1158">
      <c r="A246" s="1994">
        <f>36+COUNTIF($A$109:A245,"&gt;0")+COUNTIF($A$109:A245,"*)")+1</f>
        <v/>
      </c>
      <c r="B246" s="1995" t="n"/>
      <c r="C246" s="1996" t="inlineStr">
        <is>
          <t>FOR TEC LINE, FEED THE CABLE THROUGH THE THS AND INSTALL THE WELLHEAD OUTLET AND PERFORM PRESSURE TEST TO 5,000 PSI FOR 15 MIN AS PER PDHG VENDOR PROCEDURE.</t>
        </is>
      </c>
    </row>
    <row r="247" ht="15" customHeight="1" s="1158">
      <c r="A247" s="1994">
        <f>36+COUNTIF($A$109:A246,"&gt;0")+COUNTIF($A$109:A246,"*)")+1</f>
        <v/>
      </c>
      <c r="B247" s="1995" t="n"/>
      <c r="C247" s="1996" t="inlineStr">
        <is>
          <t>XMAS TREE INSTALLATION PREPARATION &amp; INSTALLATION</t>
        </is>
      </c>
    </row>
    <row r="248" ht="15" customHeight="1" s="1158">
      <c r="A248" s="1994" t="n"/>
      <c r="B248" s="1995" t="n"/>
      <c r="C248" s="1996" t="inlineStr">
        <is>
          <t>● ALL XMAS TREE VALVES TO BE PRESSURE TESTED BY OFFLINE EXCEPT INFLOW TEST OF LOWER MASTER VALVE</t>
        </is>
      </c>
    </row>
    <row r="249" ht="15" customHeight="1" s="1158">
      <c r="A249" s="1994" t="n"/>
      <c r="B249" s="1995" t="n"/>
      <c r="C249" s="1996" t="inlineStr">
        <is>
          <t>● VERIFY AND RECORD THE PART NUMBER AND SERIAL NUMBER OF THE TREE (XT) AND ITS ACCESSORIES.</t>
        </is>
      </c>
    </row>
    <row r="250" ht="15" customHeight="1" s="1158">
      <c r="A250" s="1994" t="n"/>
      <c r="B250" s="1995" t="n"/>
      <c r="C250" s="1996" t="inlineStr">
        <is>
          <t>● ENSURE THAT XT SUB-COMPONENTS ARE COMPLETE AS PER ATTACHED PROCEDURE AND DRAWING.</t>
        </is>
      </c>
    </row>
    <row r="251" ht="15" customHeight="1" s="1158">
      <c r="A251" s="1994" t="n"/>
      <c r="B251" s="1995" t="n"/>
      <c r="C251" s="1996" t="inlineStr">
        <is>
          <t>● DRIFT THE XT BORE WITH 4” DRIFT.</t>
        </is>
      </c>
    </row>
    <row r="252" ht="15" customHeight="1" s="1158">
      <c r="A252" s="1994" t="n"/>
      <c r="B252" s="1995" t="n"/>
      <c r="C252" s="1996" t="inlineStr">
        <is>
          <t>● INSPECT THE XT BOTTOM SEAL PREP AND SEAL SLEEVE S-SEALS FOR VISIBLE DAMAGE. LIGHTLY OIL THE SEALING AREAS.</t>
        </is>
      </c>
    </row>
    <row r="253" ht="15" customHeight="1" s="1158">
      <c r="A253" s="1994" t="n"/>
      <c r="B253" s="1995" t="n"/>
      <c r="C253" s="1996" t="inlineStr">
        <is>
          <t>● INSPECT AND CLEAN THE RX-54 RING GROOVES ON THE THS AND XT.</t>
        </is>
      </c>
    </row>
    <row r="254" ht="15" customHeight="1" s="1158">
      <c r="A254" s="1994">
        <f>36+COUNTIF($A$109:A253,"&gt;0")+COUNTIF($A$109:A253,"*)")+1</f>
        <v/>
      </c>
      <c r="B254" s="1995" t="n"/>
      <c r="C254" s="1996" t="inlineStr">
        <is>
          <t>PLACE RING GASKET RX-54 ON THE THS UPPER RING GROOVE.</t>
        </is>
      </c>
    </row>
    <row r="255" ht="15" customHeight="1" s="1158">
      <c r="A255" s="1994">
        <f>36+COUNTIF($A$109:A254,"&gt;0")+COUNTIF($A$109:A254,"*)")+1</f>
        <v/>
      </c>
      <c r="B255" s="1995" t="n"/>
      <c r="C255" s="1996" t="inlineStr">
        <is>
          <t>ATTACH BLEEDER PLUG STINGER TOOL TO BLEEDER PLUGS ON XT TEST PORTS (CAVITY AND SEAL TEST PORTS). KEEP THE PORTS OPEN TO AVOID ANY PRESSURE LOCK DURING INSTALLATION.</t>
        </is>
      </c>
    </row>
    <row r="256" ht="15" customHeight="1" s="1158">
      <c r="A256" s="1994">
        <f>36+COUNTIF($A$109:A255,"&gt;0")+COUNTIF($A$109:A255,"*)")+1</f>
        <v/>
      </c>
      <c r="B256" s="1995" t="n"/>
      <c r="C256" s="1996" t="inlineStr">
        <is>
          <t>FILL CAVITY OF THS WITH LIGHT OIL AND LUBRICATE SEAL SLEEVE OD.</t>
        </is>
      </c>
    </row>
    <row r="257" ht="15" customHeight="1" s="1158">
      <c r="A257" s="1994">
        <f>36+COUNTIF($A$109:A256,"&gt;0")+COUNTIF($A$109:A256,"*)")+1</f>
        <v/>
      </c>
      <c r="B257" s="1995" t="n"/>
      <c r="C257" s="1996" t="inlineStr">
        <is>
          <t>INSTALL THE SEAL SLEEVE ASSEMBLY ONTO THE THS.</t>
        </is>
      </c>
    </row>
    <row r="258" ht="15" customHeight="1" s="1158">
      <c r="A258" s="1994">
        <f>36+COUNTIF($A$109:A257,"&gt;0")+COUNTIF($A$109:A257,"*)")+1</f>
        <v/>
      </c>
      <c r="B258" s="1995" t="n"/>
      <c r="C258" s="1996" t="inlineStr">
        <is>
          <t>PICK UP XT VERTICALLY WITH A CERTIFIED SLING. ORIENTATE THE XT ACCORDING TO ADNOC OFFSHORE REQUIREMENT.</t>
        </is>
      </c>
    </row>
    <row r="259" ht="15" customHeight="1" s="1158">
      <c r="A259" s="1994">
        <f>36+COUNTIF($A$109:A258,"&gt;0")+COUNTIF($A$109:A258,"*)")+1</f>
        <v/>
      </c>
      <c r="B259" s="1995" t="n"/>
      <c r="C259" s="1996" t="inlineStr">
        <is>
          <t>ORIENTATION &amp; HEIGHT OF XT SHOULD BE CONFIRMED BY ADNOC OFFSHORE CED TEAM.</t>
        </is>
      </c>
    </row>
    <row r="260" ht="15" customHeight="1" s="1158">
      <c r="A260" s="1994" t="n"/>
      <c r="B260" s="1995" t="n"/>
      <c r="C260" s="1996" t="inlineStr">
        <is>
          <t>● FOLLOW WELLHEAD COMPANY INSTRUCTIONS TO INSTALL XT.</t>
        </is>
      </c>
    </row>
    <row r="261" ht="15" customHeight="1" s="1158">
      <c r="A261" s="1994" t="n"/>
      <c r="B261" s="1995" t="n"/>
      <c r="C261" s="1996" t="inlineStr">
        <is>
          <t>● NEVER USE HEMP OR NYLON ROPE OR CHAINS TO SUSPEND OR MOVE XT. FAILURE TO USE WIRE ROPE COULD RESULT IN DROPPING THE TREE AND CAUSING SEVERE INJURY TO PERSONNEL. (SWI) ZK460</t>
        </is>
      </c>
    </row>
    <row r="262" ht="15" customHeight="1" s="1158">
      <c r="A262" s="1994" t="n"/>
      <c r="B262" s="1995" t="n"/>
      <c r="C262" s="1996" t="inlineStr">
        <is>
          <t>● WHILE LANDING XT ONTO THA, KEEP IT AS CENTRALIZED AS POSSIBLE TO PREVENT CONTACT AND DAMAGE TO THE SEAL SLEEVE.</t>
        </is>
      </c>
    </row>
    <row r="263" ht="15" customHeight="1" s="1158">
      <c r="A263" s="1994">
        <f>36+COUNTIF($A$109:A262,"&gt;0")+COUNTIF($A$109:A262,"*)")+1</f>
        <v/>
      </c>
      <c r="B263" s="1995" t="n"/>
      <c r="C263" s="1996" t="inlineStr">
        <is>
          <t>REMOVE BLEEDER TOOLS FROM XT CAVITY TEST PORTS.</t>
        </is>
      </c>
    </row>
    <row r="264" ht="15" customHeight="1" s="1158">
      <c r="A264" s="1994">
        <f>36+COUNTIF($A$109:A263,"&gt;0")+COUNTIF($A$109:A263,"*)")+1</f>
        <v/>
      </c>
      <c r="B264" s="1995" t="n"/>
      <c r="C264" s="1996" t="inlineStr">
        <is>
          <t>HOOK UP TEST LINES TO PRESSURE TEST CAVITY TO 5,000 PSI FOR 15 MINS THOUGH THE CAVITY TEST PORT OF XT. UPON SUCCESSFUL PRESSURE TEST, BLEED OFF COMPLETELY. LEAVE THE XT CAVITY TEST PORT OPEN.</t>
        </is>
      </c>
    </row>
    <row r="265" ht="15" customHeight="1" s="1158">
      <c r="A265" s="1994">
        <f>36+COUNTIF($A$109:A264,"&gt;0")+COUNTIF($A$109:A264,"*)")+1</f>
        <v/>
      </c>
      <c r="B265" s="1995" t="n"/>
      <c r="C265" s="1996" t="inlineStr">
        <is>
          <t>REMOVE BLEEDER TOOLS FROM XT SEAL TEST PORTS.</t>
        </is>
      </c>
    </row>
    <row r="266" ht="15" customHeight="1" s="1158">
      <c r="A266" s="1994">
        <f>36+COUNTIF($A$109:A265,"&gt;0")+COUNTIF($A$109:A265,"*)")+1</f>
        <v/>
      </c>
      <c r="B266" s="1995" t="n"/>
      <c r="C266" s="1996" t="inlineStr">
        <is>
          <t>PRESSURE TEST S SEALS TO 5,000 PSI FOR 15 MINUTES THROUGH ONE OF THE TWO XT S SEAL TEST PORTS.</t>
        </is>
      </c>
    </row>
    <row r="267" ht="15" customHeight="1" s="1158">
      <c r="A267" s="1994">
        <f>36+COUNTIF($A$109:A266,"&gt;0")+COUNTIF($A$109:A266,"*)")+1</f>
        <v/>
      </c>
      <c r="B267" s="1995" t="n"/>
      <c r="C267" s="1996" t="inlineStr">
        <is>
          <t>REPEAT STEPS FOR THE SECOND S SEAL TEST PORT LOCATED 180 DEGREE AWAY.</t>
        </is>
      </c>
    </row>
    <row r="268" ht="15" customHeight="1" s="1158">
      <c r="A268" s="1994">
        <f>36+COUNTIF($A$109:A267,"&gt;0")+COUNTIF($A$109:A267,"*)")+1</f>
        <v/>
      </c>
      <c r="B268" s="1995" t="n"/>
      <c r="C268" s="1996" t="inlineStr">
        <is>
          <t>LINE UP CEMENT LINE FROM CEMENT UNIT TO XT KILL VALVE. XT SHELL TEST TO BE RECORDED ON CHART AT CEMENT UNIT.</t>
        </is>
      </c>
    </row>
    <row r="269" ht="15" customHeight="1" s="1158">
      <c r="A269" s="1994">
        <f>36+COUNTIF($A$109:A268,"&gt;0")+COUNTIF($A$109:A268,"*)")+1</f>
        <v/>
      </c>
      <c r="B269" s="1995" t="n"/>
      <c r="C269" s="1996" t="inlineStr">
        <is>
          <t>RETRIEVE H2 VALVE FROM THE TUBING HANGER. NOTE: TO BE REPORTED CLEARLY IN DDR &amp; WELLHEAD COMPANY REPORT</t>
        </is>
      </c>
    </row>
    <row r="270" ht="15" customHeight="1" s="1158">
      <c r="A270" s="1994">
        <f>36+COUNTIF($A$109:A269,"&gt;0")+COUNTIF($A$109:A269,"*)")+1</f>
        <v/>
      </c>
      <c r="B270" s="1995" t="n"/>
      <c r="C270" s="1996" t="inlineStr">
        <is>
          <t>R/U SL AND RUN 4” SB PULLING BHA TO RECOVER PRONG AND RUN 4” GR PULLING BHA TO RECOVER</t>
        </is>
      </c>
    </row>
    <row r="271" ht="15" customHeight="1" s="1158">
      <c r="A271" s="1994">
        <f>36+COUNTIF($A$109:A270,"&gt;0")+COUNTIF($A$109:A270,"*)")+1</f>
        <v/>
      </c>
      <c r="B271" s="1995" t="n"/>
      <c r="C271" s="1996" t="inlineStr">
        <is>
          <t>” PX BLANKING PLUG</t>
        </is>
      </c>
    </row>
    <row r="272" ht="15" customHeight="1" s="1158">
      <c r="A272" s="1994">
        <f>36+COUNTIF($A$109:A271,"&gt;0")+COUNTIF($A$109:A271,"*)")+1</f>
        <v/>
      </c>
      <c r="B272" s="1995" t="n"/>
      <c r="C272" s="1996" t="inlineStr">
        <is>
          <t>PRESSURE UP THE COMPLETION STRING TO 4,000 PSI (AGAINST THE BARRIER DISK DEVICE) AND HOLD FOR</t>
        </is>
      </c>
    </row>
    <row r="273" ht="15" customHeight="1" s="1158">
      <c r="A273" s="1994">
        <f>36+COUNTIF($A$109:A272,"&gt;0")+COUNTIF($A$109:A272,"*)")+1</f>
        <v/>
      </c>
      <c r="B273" s="1995" t="n"/>
      <c r="C273" s="1996" t="inlineStr">
        <is>
          <t>MINS FOR SHELL TEST, CLOSE LOWER MASTER VALVE (LMV) AND BLEED OFF THE PRESSURE ABOVE IT TO</t>
        </is>
      </c>
    </row>
    <row r="274" ht="15" customHeight="1" s="1158">
      <c r="A274" s="1994">
        <f>36+COUNTIF($A$109:A273,"&gt;0")+COUNTIF($A$109:A273,"*)")+1</f>
        <v/>
      </c>
      <c r="B274" s="1995" t="n"/>
      <c r="C274" s="1996" t="inlineStr">
        <is>
          <t>PSI (LOW INFLOW TEST OF LMV) MONITOR 15 MINUTES, THEN BLEED OFF PRESSURE ABOVE LMV TO 500 PSI (HIGH INFLOW TEST OF LMV) AND MONITOR 15 MINUTES FOR ANY INCREMENT IN THE PRESSURE.</t>
        </is>
      </c>
    </row>
    <row r="275" ht="15" customHeight="1" s="1158">
      <c r="A275" s="1994">
        <f>36+COUNTIF($A$109:A274,"&gt;0")+COUNTIF($A$109:A274,"*)")+1</f>
        <v/>
      </c>
      <c r="B275" s="1995" t="n"/>
      <c r="C275" s="1996" t="inlineStr">
        <is>
          <t>PRESSURE UP ABOVE LMV TO 4,000 PSI TO EQUALIZE PRESSURE ACROSS THE LMV. OPEN LMV AND BLEED OFF STRING PRESSURE TO 0 PSI.</t>
        </is>
      </c>
    </row>
    <row r="276" ht="15" customHeight="1" s="1158">
      <c r="A276" s="1994">
        <f>36+COUNTIF($A$109:A275,"&gt;0")+COUNTIF($A$109:A275,"*)")+1</f>
        <v/>
      </c>
      <c r="B276" s="1995" t="n"/>
      <c r="C276" s="1996" t="inlineStr">
        <is>
          <t>OPEN BARIRER DISC AND SECURE WELL</t>
        </is>
      </c>
    </row>
    <row r="277" ht="15" customHeight="1" s="1158">
      <c r="A277" s="1994">
        <f>36+COUNTIF($A$109:A276,"&gt;0")+COUNTIF($A$109:A276,"*)")+1</f>
        <v/>
      </c>
      <c r="B277" s="1995" t="n"/>
      <c r="C277" s="1996" t="inlineStr">
        <is>
          <t>OPEN BARRIER DISC BY PRESSURE CYCLE</t>
        </is>
      </c>
    </row>
    <row r="278" ht="15" customHeight="1" s="1158">
      <c r="A278" s="1994">
        <f>36+COUNTIF($A$109:A277,"&gt;0")+COUNTIF($A$109:A277,"*)")+1</f>
        <v/>
      </c>
      <c r="B278" s="1995" t="n"/>
      <c r="C278" s="1996" t="inlineStr">
        <is>
          <t>CONFIRM REMAINING CYCLES</t>
        </is>
      </c>
    </row>
    <row r="279" ht="15" customHeight="1" s="1158">
      <c r="A279" s="1994">
        <f>36+COUNTIF($A$109:A278,"&gt;0")+COUNTIF($A$109:A278,"*)")+1</f>
        <v/>
      </c>
      <c r="B279" s="1995" t="n"/>
      <c r="C279" s="1996" t="inlineStr">
        <is>
          <t>PRESSURE UP TBG TO 3,500 PSI AND FOLD FOR 2 MINUTES</t>
        </is>
      </c>
    </row>
    <row r="280" ht="15" customHeight="1" s="1158">
      <c r="A280" s="1994" t="n"/>
      <c r="B280" s="1995" t="n"/>
      <c r="C280" s="1996" t="inlineStr">
        <is>
          <t>● NO SPECIFIC REQUIREMENT FOR PUMP RATE TO PRESSURE UP AS LONG AS IT IS STEADY RATE.</t>
        </is>
      </c>
    </row>
    <row r="281" ht="15" customHeight="1" s="1158">
      <c r="A281" s="1994">
        <f>36+COUNTIF($A$109:A280,"&gt;0")+COUNTIF($A$109:A280,"*)")+1</f>
        <v/>
      </c>
      <c r="B281" s="1995" t="n"/>
      <c r="C281" s="1996" t="inlineStr">
        <is>
          <t>BEED DOWN TBG PRESSURE TO 0 AND FOLD FOR 2 MINUTES</t>
        </is>
      </c>
    </row>
    <row r="282" ht="15" customHeight="1" s="1158">
      <c r="A282" s="1994">
        <f>36+COUNTIF($A$109:A281,"&gt;0")+COUNTIF($A$109:A281,"*)")+1</f>
        <v/>
      </c>
      <c r="B282" s="1995" t="n"/>
      <c r="C282" s="1996" t="inlineStr">
        <is>
          <t>REPEAT STEP #3 &amp; #4 FOR 11 MORE CYCLES</t>
        </is>
      </c>
    </row>
    <row r="283" ht="15" customHeight="1" s="1158">
      <c r="A283" s="1994">
        <f>36+COUNTIF($A$109:A282,"&gt;0")+COUNTIF($A$109:A282,"*)")+1</f>
        <v/>
      </c>
      <c r="B283" s="1995" t="n"/>
      <c r="C283" s="1996" t="inlineStr">
        <is>
          <t>AT THE END OF THE LAST CYCLE WHILE BLEEDING OFF TO 0, BARRIER DISC SHOULD BE OPENED (SWI) ZK460</t>
        </is>
      </c>
    </row>
    <row r="284" ht="15" customHeight="1" s="1158">
      <c r="A284" s="1994">
        <f>36+COUNTIF($A$109:A283,"&gt;0")+COUNTIF($A$109:A283,"*)")+1</f>
        <v/>
      </c>
      <c r="B284" s="1995" t="n"/>
      <c r="C284" s="1996" t="inlineStr">
        <is>
          <t>BULL-HEADING SW WITH INJECTIVITY TEST</t>
        </is>
      </c>
    </row>
    <row r="285" ht="15" customHeight="1" s="1158">
      <c r="A285" s="1994">
        <f>36+COUNTIF($A$109:A284,"&gt;0")+COUNTIF($A$109:A284,"*)")+1</f>
        <v/>
      </c>
      <c r="B285" s="1995" t="n"/>
      <c r="C285" s="1996" t="inlineStr">
        <is>
          <t>BULLHEAD SEA WATER AT MAXIMUM 0.7 PSI/FT FOR (TBG VOLUME + LC VOLUME = 560 BBLS)</t>
        </is>
      </c>
    </row>
    <row r="286" ht="15" customHeight="1" s="1158">
      <c r="A286" s="1994" t="n"/>
      <c r="B286" s="1995" t="n"/>
      <c r="C286" s="1996" t="inlineStr">
        <is>
          <t>● SPP IS LIMITED TO 0.7 PSI.FT</t>
        </is>
      </c>
    </row>
    <row r="287" ht="15" customHeight="1" s="1158">
      <c r="A287" s="1994" t="n"/>
      <c r="B287" s="1995" t="n"/>
      <c r="C287" s="1996" t="inlineStr">
        <is>
          <t>● RECORD SITHP</t>
        </is>
      </c>
    </row>
    <row r="288" ht="15" customHeight="1" s="1158">
      <c r="A288" s="1994">
        <f>36+COUNTIF($A$109:A287,"&gt;0")+COUNTIF($A$109:A287,"*)")+1</f>
        <v/>
      </c>
      <c r="B288" s="1995" t="n"/>
      <c r="C288" s="1996" t="inlineStr">
        <is>
          <t>REPORT PUMP RATE WITH SURFACE PRESSURE IN DDR</t>
        </is>
      </c>
    </row>
    <row r="289" ht="15" customHeight="1" s="1158">
      <c r="A289" s="1994" t="n"/>
      <c r="B289" s="1995" t="n"/>
      <c r="C289" s="1996" t="inlineStr">
        <is>
          <t>● OPEN ANNULUS A DURING INJECTIVITY TEST AND CHECK FOR RETURNS TO CONFIRM THE PERMANENT PACKER INTEGRITY</t>
        </is>
      </c>
    </row>
    <row r="290" ht="15" customHeight="1" s="1158">
      <c r="A290" s="1994">
        <f>36+COUNTIF($A$109:A289,"&gt;0")+COUNTIF($A$109:A289,"*)")+1</f>
        <v/>
      </c>
      <c r="B290" s="1995" t="n"/>
      <c r="C290" s="1996" t="inlineStr">
        <is>
          <t>SECURE WELL</t>
        </is>
      </c>
    </row>
    <row r="291" ht="15" customHeight="1" s="1158">
      <c r="A291" s="1994">
        <f>36+COUNTIF($A$109:A290,"&gt;0")+COUNTIF($A$109:A290,"*)")+1</f>
        <v/>
      </c>
      <c r="B291" s="1995" t="n"/>
      <c r="C291" s="1996" t="inlineStr">
        <is>
          <t>RECORD &amp; REPORT WELL HEAD SHUT IN PRESSURE.</t>
        </is>
      </c>
    </row>
    <row r="292" ht="15" customHeight="1" s="1158">
      <c r="A292" s="1994">
        <f>36+COUNTIF($A$109:A291,"&gt;0")+COUNTIF($A$109:A291,"*)")+1</f>
        <v/>
      </c>
      <c r="B292" s="1995" t="n"/>
      <c r="C292" s="1996" t="inlineStr">
        <is>
          <t>R/U SL UNIT AND RUN 3.81” WRDHIV AND SET ON 3.81” WX PROFILE AS PER SL COMPANY PROCEDURE AND PERFORM INFLOW TEST AGAINST WHSIP</t>
        </is>
      </c>
    </row>
    <row r="293" ht="15" customHeight="1" s="1158">
      <c r="A293" s="1994">
        <f>36+COUNTIF($A$109:A292,"&gt;0")+COUNTIF($A$109:A292,"*)")+1</f>
        <v/>
      </c>
      <c r="B293" s="1995" t="n"/>
      <c r="C293" s="1996" t="inlineStr">
        <is>
          <t>SECURE WELL UNDER DS SUPERVISION BY CLOSING ALL X-MASS TREE VALVES EXCEPT LMV AND PREPARE FOR RIG SKID TO NEXT SLOT</t>
        </is>
      </c>
    </row>
    <row r="294" ht="15" customHeight="1" s="1158">
      <c r="A294" s="1994" t="n"/>
      <c r="B294" s="1995" t="n"/>
      <c r="C294" s="1996" t="inlineStr">
        <is>
          <t>● END***************************************************** (SWI) ZK460</t>
        </is>
      </c>
    </row>
    <row r="295" ht="15" customHeight="1" s="1158">
      <c r="A295" s="1994">
        <f>36+COUNTIF($A$109:A294,"&gt;0")+COUNTIF($A$109:A294,"*)")+1</f>
        <v/>
      </c>
      <c r="B295" s="1995" t="n"/>
      <c r="C295" s="1996" t="inlineStr">
        <is>
          <t>APPENDIX</t>
        </is>
      </c>
    </row>
    <row r="296" ht="15" customHeight="1" s="1158">
      <c r="A296" s="1994">
        <f>36+COUNTIF($A$109:A295,"&gt;0")+COUNTIF($A$109:A295,"*)")+1</f>
        <v/>
      </c>
      <c r="B296" s="1995" t="n"/>
      <c r="C296" s="1996" t="inlineStr">
        <is>
          <t>CONTINGENCY: MILL BARRIER DISC IF UNABLE TO REMOTE CYCLE OPEN. NOTES:</t>
        </is>
      </c>
    </row>
    <row r="297" ht="15" customHeight="1" s="1158">
      <c r="A297" s="1994" t="n"/>
      <c r="B297" s="1995" t="n"/>
      <c r="C297" s="1996" t="inlineStr">
        <is>
          <t>● ENSURE TO HAVE ACID CARBOY AVAILABLE IN THE EVENT OF ANY STUCK INCIDENT.</t>
        </is>
      </c>
    </row>
    <row r="298" ht="15" customHeight="1" s="1158">
      <c r="A298" s="1994" t="n"/>
      <c r="B298" s="1995" t="n"/>
      <c r="C298" s="1996" t="inlineStr">
        <is>
          <t>● ENSURE TO HAVE STRAINER ON SURFACE LINE IN ORDER TO PREVENT ANY DEBRIS INSIDE CT.</t>
        </is>
      </c>
    </row>
    <row r="299" ht="15" customHeight="1" s="1158">
      <c r="A299" s="1994" t="n"/>
      <c r="B299" s="1995" t="n"/>
      <c r="C299" s="1996" t="inlineStr">
        <is>
          <t>● FLUSH PUMPING UNIT &amp; SURFACE LINE PRIOR TO CONNECTING WITH CT CT OPERATION FOR MILLING GLASS DISC CT OPS NO: 1 COMP TUBING MILLING GLASS DISC</t>
        </is>
      </c>
    </row>
    <row r="300" ht="15" customHeight="1" s="1158">
      <c r="A300" s="1994" t="n"/>
      <c r="B300" s="1995" t="n"/>
      <c r="C300" s="1996" t="inlineStr">
        <is>
          <t>● INSTALL SHEAR SEAL ON TOP OF THE X-MASS TREE, INSTALL CT RISER, AND BOP.</t>
        </is>
      </c>
    </row>
    <row r="301" ht="15" customHeight="1" s="1158">
      <c r="A301" s="1994" t="n"/>
      <c r="B301" s="1995" t="n"/>
      <c r="C301" s="1996" t="inlineStr">
        <is>
          <t>● TEST CT AGAINST CLOSED SWAB VALVE TO 5,000 PSI. M/UP CT INJECTOR, FLUSH STRING AND TEST 1.5" COIL TUBING REEL TO 4,500 PSI.</t>
        </is>
      </c>
    </row>
    <row r="302" ht="15" customHeight="1" s="1158">
      <c r="A302" s="1994" t="n"/>
      <c r="B302" s="1995" t="n"/>
      <c r="C302" s="1996" t="inlineStr">
        <is>
          <t>● M/U CT CONNECTOR AND PERFORM PULL TEST TO 25 K</t>
        </is>
      </c>
    </row>
    <row r="303" ht="15" customHeight="1" s="1158">
      <c r="A303" s="1994" t="n"/>
      <c r="B303" s="1995" t="n"/>
      <c r="C303" s="1996" t="inlineStr">
        <is>
          <t>● M/U 2.5” WEATHERFORD MILLING BHA WITH 2-1/8” MOTOR ON CT.</t>
        </is>
      </c>
    </row>
    <row r="304" ht="15" customHeight="1" s="1158">
      <c r="A304" s="1994" t="n"/>
      <c r="B304" s="1995" t="n"/>
      <c r="C304" s="1996" t="inlineStr">
        <is>
          <t>● RIH AS PER CT COMPANY PROCEDURE, FILL REEL VOLUME WITH 12.1 PPG BRINE WHILE BREAKING CIRCULATION EVERY 1,000 FT. AND RECORDING WEIGHT EVERY 2,000 FT. ➢ ENSURE NOT TO EXCEED MOTOR BHA ACTIVATION PRESSURE DURING BREAK CIRCULATION</t>
        </is>
      </c>
    </row>
    <row r="305" ht="15" customHeight="1" s="1158">
      <c r="A305" s="1994" t="n"/>
      <c r="B305" s="1995" t="n"/>
      <c r="C305" s="1996" t="inlineStr">
        <is>
          <t>● RIH CT AS PER THROUGH TBG COMPANY PROCEDURE AND FILL REEL WITH 12.1 PPG BRINE WHILE BREAKING CIRCULATION EVERY 1,000 FT &amp; RECORDING WEIGHT EVERY 2,000 FT.</t>
        </is>
      </c>
    </row>
    <row r="306" ht="15" customHeight="1" s="1158">
      <c r="A306" s="1994" t="n"/>
      <c r="B306" s="1995" t="n"/>
      <c r="C306" s="1996" t="inlineStr">
        <is>
          <t>● RIH CT @ 50 FT. /MIN. REDUCE RUNNING SPEED TO 15 FT./MIN 100 FT. ABOVE AND BELOW ALL RESTRICTIONS AND CHANGES IN ID AS PER COMPLETION SCHEMATIC</t>
        </is>
      </c>
    </row>
    <row r="307" ht="15" customHeight="1" s="1158">
      <c r="A307" s="1994" t="n"/>
      <c r="B307" s="1995" t="n"/>
      <c r="C307" s="1996" t="inlineStr">
        <is>
          <t>● TAKE P/UP AND SO WEIGHT 50 FT. PRIOR TO REACH GLASS DISC.</t>
        </is>
      </c>
    </row>
    <row r="308" ht="15" customHeight="1" s="1158">
      <c r="A308" s="1994" t="n"/>
      <c r="B308" s="1995" t="n"/>
      <c r="C308" s="1996" t="inlineStr">
        <is>
          <t>● CONTINUE RIH WITH MILL ASSEMBLY AND MILL THE DISK ACCORDING TO THROUGH TUBING COMPANY INSTRUCTIONS.</t>
        </is>
      </c>
    </row>
    <row r="309" ht="15" customHeight="1" s="1158">
      <c r="A309" s="1994" t="n"/>
      <c r="B309" s="1995" t="n"/>
      <c r="C309" s="1996" t="inlineStr">
        <is>
          <t>● ONCE GLASS DISC HAS BEEN MILLED, PASS THROUGH 3 TIMES (15’ BELOW AND ABOVE) WITH MILLING BHA TO CONFIRM COMPLETE REMOVAL. CIRCULATE OUT 1.5 TBG. VOLUME + CT VOLUME WITH 8.6 PPG SEAWATER TO CIRCULATE OUT ANY DEBRIS.</t>
        </is>
      </c>
    </row>
    <row r="310" ht="15" customHeight="1" s="1158">
      <c r="A310" s="1994" t="n"/>
      <c r="B310" s="1995" t="n"/>
      <c r="C310" s="1996" t="inlineStr">
        <is>
          <t>● POOH CT TO SURFACE &amp; R/D CT. ➢ AFTER CT BHA AT SURFACE, BULLHEAD DIESEL FOR REMAINING LOWER COMPLETION VOLUME</t>
        </is>
      </c>
    </row>
    <row r="311" ht="15" customHeight="1" s="1158">
      <c r="A311" s="1994">
        <f>36+COUNTIF($A$109:A310,"&gt;0")+COUNTIF($A$109:A310,"*)")+1</f>
        <v/>
      </c>
      <c r="B311" s="1995" t="n"/>
      <c r="C311" s="1996" t="inlineStr">
        <is>
          <t>CONTINGENCY: TO SET RBP BELOW PRODUCTION PACKER (FOR HYDRAULIC SET PRODUCTION PACKER) 4-1/2” RBP WILL BE SET EITHER BY COILED TUBING OR E-LINE TRACTOR. SEPARATE PROCEDURE WILL BE ISSUED BY WIRELINE AND RBP SERVICES COMPANY. (SWI) ZK460</t>
        </is>
      </c>
    </row>
    <row r="312" ht="15" customHeight="1" s="1158">
      <c r="A312" s="1994">
        <f>36+COUNTIF($A$109:A311,"&gt;0")+COUNTIF($A$109:A311,"*)")+1</f>
        <v/>
      </c>
      <c r="B312" s="1995" t="n"/>
      <c r="C312" s="1996" t="inlineStr">
        <is>
          <t>ATTACHMENTS</t>
        </is>
      </c>
    </row>
    <row r="313" ht="15" customHeight="1" s="1158">
      <c r="A313" s="1994">
        <f>36+COUNTIF($A$109:A312,"&gt;0")+COUNTIF($A$109:A312,"*)")+1</f>
        <v/>
      </c>
      <c r="B313" s="1995" t="n"/>
      <c r="C313" s="1996" t="inlineStr">
        <is>
          <t>COMPLETION SUB ASSEMBLY REPORT (SWI) ZK460 (SWI) ZK460</t>
        </is>
      </c>
    </row>
    <row r="314" ht="15" customHeight="1" s="1158">
      <c r="A314" s="1994">
        <f>36+COUNTIF($A$109:A313,"&gt;0")+COUNTIF($A$109:A313,"*)")+1</f>
        <v/>
      </c>
      <c r="B314" s="1995" t="n"/>
      <c r="C314" s="1996" t="inlineStr">
        <is>
          <t>COIL TUBING ACCESSIBILITY</t>
        </is>
      </c>
    </row>
    <row r="315" ht="15" customHeight="1" s="1158">
      <c r="A315" s="1997" t="n"/>
      <c r="B315" s="1998" t="n"/>
      <c r="C315" s="1999" t="inlineStr">
        <is>
          <t>● END****************************************************</t>
        </is>
      </c>
    </row>
    <row r="316">
      <c r="A316" s="2000" t="n"/>
      <c r="B316" s="1991" t="n"/>
      <c r="C316" s="1991" t="n"/>
      <c r="D316" s="1991" t="n"/>
      <c r="E316" s="1991" t="n"/>
      <c r="F316" s="1991" t="n"/>
      <c r="G316" s="1991" t="n"/>
      <c r="H316" s="1991" t="n"/>
      <c r="I316" s="1991" t="n"/>
      <c r="J316" s="1991" t="n"/>
      <c r="K316" s="1991" t="n"/>
      <c r="L316" s="1991" t="n"/>
    </row>
    <row r="317">
      <c r="A317" s="2001" t="n"/>
      <c r="B317" s="2002" t="n"/>
      <c r="C317" s="2003" t="n"/>
      <c r="J317" s="2002" t="n"/>
      <c r="K317" s="2002" t="n"/>
    </row>
    <row r="318">
      <c r="A318" s="2001" t="n"/>
      <c r="B318" s="2002" t="n"/>
      <c r="C318" s="2002" t="n"/>
      <c r="D318" s="2002" t="n"/>
      <c r="E318" s="2002" t="n"/>
      <c r="F318" s="2002" t="n"/>
      <c r="G318" s="2002" t="n"/>
      <c r="H318" s="2002" t="n"/>
      <c r="I318" s="2002" t="n"/>
      <c r="J318" s="2002" t="n"/>
      <c r="K318" s="2002" t="n"/>
    </row>
    <row r="319">
      <c r="A319" s="2001" t="n"/>
      <c r="B319" s="2002" t="n"/>
      <c r="C319" s="2002" t="n"/>
      <c r="D319" s="2002" t="n"/>
      <c r="E319" s="2002" t="n"/>
      <c r="F319" s="2002" t="n"/>
      <c r="G319" s="2002" t="n"/>
      <c r="H319" s="2002" t="n"/>
      <c r="I319" s="2002" t="n"/>
      <c r="J319" s="2002" t="n"/>
      <c r="K319" s="2002" t="n"/>
    </row>
    <row r="320"/>
    <row r="321"/>
    <row r="322"/>
    <row r="323"/>
    <row r="324">
      <c r="A324" s="2001" t="n"/>
      <c r="B324" s="2002" t="n"/>
      <c r="C324" s="2002" t="n"/>
      <c r="D324" s="2002" t="n"/>
      <c r="E324" s="2002" t="n"/>
      <c r="F324" s="2002" t="n"/>
      <c r="G324" s="2002" t="n"/>
      <c r="H324" s="2002" t="n"/>
      <c r="I324" s="2002" t="n"/>
      <c r="J324" s="2002" t="n"/>
      <c r="K324" s="2002" t="n"/>
    </row>
  </sheetData>
  <mergeCells count="257">
    <mergeCell ref="C241:L241"/>
    <mergeCell ref="C123:L123"/>
    <mergeCell ref="C194:L194"/>
    <mergeCell ref="C228:L228"/>
    <mergeCell ref="C268:L268"/>
    <mergeCell ref="C181:L181"/>
    <mergeCell ref="C299:L299"/>
    <mergeCell ref="C243:L243"/>
    <mergeCell ref="A21:L21"/>
    <mergeCell ref="C292:L292"/>
    <mergeCell ref="C165:L165"/>
    <mergeCell ref="A26:L26"/>
    <mergeCell ref="B12:L12"/>
    <mergeCell ref="C140:L140"/>
    <mergeCell ref="C155:L155"/>
    <mergeCell ref="C76:K76"/>
    <mergeCell ref="C293:L293"/>
    <mergeCell ref="C307:L307"/>
    <mergeCell ref="C189:L189"/>
    <mergeCell ref="C220:L220"/>
    <mergeCell ref="A23:L23"/>
    <mergeCell ref="C101:K102"/>
    <mergeCell ref="C229:L229"/>
    <mergeCell ref="K32:L34"/>
    <mergeCell ref="C204:L204"/>
    <mergeCell ref="B14:L14"/>
    <mergeCell ref="C157:L157"/>
    <mergeCell ref="C151:L151"/>
    <mergeCell ref="C284:L284"/>
    <mergeCell ref="C126:L126"/>
    <mergeCell ref="B13:L13"/>
    <mergeCell ref="C141:L141"/>
    <mergeCell ref="I50:K50"/>
    <mergeCell ref="C206:L206"/>
    <mergeCell ref="C215:L215"/>
    <mergeCell ref="C128:L128"/>
    <mergeCell ref="C246:L246"/>
    <mergeCell ref="C309:L309"/>
    <mergeCell ref="C113:L113"/>
    <mergeCell ref="C196:L196"/>
    <mergeCell ref="C143:L143"/>
    <mergeCell ref="C256:L256"/>
    <mergeCell ref="C112:L112"/>
    <mergeCell ref="C205:L205"/>
    <mergeCell ref="C183:L183"/>
    <mergeCell ref="C270:L270"/>
    <mergeCell ref="F45:L45"/>
    <mergeCell ref="C180:L180"/>
    <mergeCell ref="C118:L118"/>
    <mergeCell ref="C75:L75"/>
    <mergeCell ref="C133:L133"/>
    <mergeCell ref="C311:L311"/>
    <mergeCell ref="C127:L127"/>
    <mergeCell ref="C167:L167"/>
    <mergeCell ref="C198:L198"/>
    <mergeCell ref="C238:L238"/>
    <mergeCell ref="C176:L176"/>
    <mergeCell ref="C114:L114"/>
    <mergeCell ref="C247:L247"/>
    <mergeCell ref="C130:L130"/>
    <mergeCell ref="C182:L182"/>
    <mergeCell ref="C295:L295"/>
    <mergeCell ref="C273:L273"/>
    <mergeCell ref="C169:L169"/>
    <mergeCell ref="I47:K47"/>
    <mergeCell ref="C178:L178"/>
    <mergeCell ref="C159:L159"/>
    <mergeCell ref="C272:L272"/>
    <mergeCell ref="C219:L219"/>
    <mergeCell ref="C153:L153"/>
    <mergeCell ref="C312:L312"/>
    <mergeCell ref="C224:L224"/>
    <mergeCell ref="C233:L233"/>
    <mergeCell ref="F37:I37"/>
    <mergeCell ref="C125:L125"/>
    <mergeCell ref="C209:L209"/>
    <mergeCell ref="C296:L296"/>
    <mergeCell ref="C161:L161"/>
    <mergeCell ref="C217:L217"/>
    <mergeCell ref="C283:L283"/>
    <mergeCell ref="C170:L170"/>
    <mergeCell ref="I62:K62"/>
    <mergeCell ref="C249:L249"/>
    <mergeCell ref="A15:L16"/>
    <mergeCell ref="C131:L131"/>
    <mergeCell ref="C145:L145"/>
    <mergeCell ref="C258:L258"/>
    <mergeCell ref="F64:L64"/>
    <mergeCell ref="B11:L11"/>
    <mergeCell ref="C154:L154"/>
    <mergeCell ref="C267:L267"/>
    <mergeCell ref="C245:L245"/>
    <mergeCell ref="C298:L298"/>
    <mergeCell ref="C285:L285"/>
    <mergeCell ref="C313:L313"/>
    <mergeCell ref="C195:L195"/>
    <mergeCell ref="C266:L266"/>
    <mergeCell ref="C260:L260"/>
    <mergeCell ref="C275:L275"/>
    <mergeCell ref="C116:L116"/>
    <mergeCell ref="C156:L156"/>
    <mergeCell ref="C187:L187"/>
    <mergeCell ref="C269:L269"/>
    <mergeCell ref="C250:L250"/>
    <mergeCell ref="C259:L259"/>
    <mergeCell ref="C197:L197"/>
    <mergeCell ref="C315:L315"/>
    <mergeCell ref="C231:L231"/>
    <mergeCell ref="C302:L302"/>
    <mergeCell ref="C121:L121"/>
    <mergeCell ref="C212:L212"/>
    <mergeCell ref="C305:L305"/>
    <mergeCell ref="F33:I33"/>
    <mergeCell ref="C41:K42"/>
    <mergeCell ref="C221:L221"/>
    <mergeCell ref="C261:L261"/>
    <mergeCell ref="A24:L24"/>
    <mergeCell ref="C117:L117"/>
    <mergeCell ref="C168:L168"/>
    <mergeCell ref="C230:L230"/>
    <mergeCell ref="C286:L286"/>
    <mergeCell ref="C301:L301"/>
    <mergeCell ref="B6:L6"/>
    <mergeCell ref="C236:L236"/>
    <mergeCell ref="C276:L276"/>
    <mergeCell ref="C214:L214"/>
    <mergeCell ref="C223:L223"/>
    <mergeCell ref="C232:L232"/>
    <mergeCell ref="C303:L303"/>
    <mergeCell ref="C115:L115"/>
    <mergeCell ref="C207:L207"/>
    <mergeCell ref="C213:L213"/>
    <mergeCell ref="C278:L278"/>
    <mergeCell ref="C300:L300"/>
    <mergeCell ref="C287:L287"/>
    <mergeCell ref="A25:L25"/>
    <mergeCell ref="I66:K66"/>
    <mergeCell ref="B7:L7"/>
    <mergeCell ref="C44:K44"/>
    <mergeCell ref="C135:L135"/>
    <mergeCell ref="C150:L150"/>
    <mergeCell ref="C144:L144"/>
    <mergeCell ref="C262:L262"/>
    <mergeCell ref="C122:L122"/>
    <mergeCell ref="C158:L158"/>
    <mergeCell ref="A18:L18"/>
    <mergeCell ref="C289:L289"/>
    <mergeCell ref="C190:L190"/>
    <mergeCell ref="C199:L199"/>
    <mergeCell ref="C264:L264"/>
    <mergeCell ref="F49:L49"/>
    <mergeCell ref="C208:L208"/>
    <mergeCell ref="C186:L186"/>
    <mergeCell ref="C254:L254"/>
    <mergeCell ref="C136:L136"/>
    <mergeCell ref="C263:L263"/>
    <mergeCell ref="C314:L314"/>
    <mergeCell ref="A22:L22"/>
    <mergeCell ref="C235:L235"/>
    <mergeCell ref="C210:L210"/>
    <mergeCell ref="C185:L185"/>
    <mergeCell ref="C191:L191"/>
    <mergeCell ref="A20:L20"/>
    <mergeCell ref="C225:L225"/>
    <mergeCell ref="C234:L234"/>
    <mergeCell ref="C172:L172"/>
    <mergeCell ref="C184:L184"/>
    <mergeCell ref="I31:K31"/>
    <mergeCell ref="C147:L147"/>
    <mergeCell ref="C162:L162"/>
    <mergeCell ref="C306:L306"/>
    <mergeCell ref="C171:L171"/>
    <mergeCell ref="C227:L227"/>
    <mergeCell ref="C56:K57"/>
    <mergeCell ref="B9:L9"/>
    <mergeCell ref="C137:L137"/>
    <mergeCell ref="C177:L177"/>
    <mergeCell ref="C134:L134"/>
    <mergeCell ref="C146:L146"/>
    <mergeCell ref="C211:L211"/>
    <mergeCell ref="C124:L124"/>
    <mergeCell ref="C226:L226"/>
    <mergeCell ref="C164:L164"/>
    <mergeCell ref="C277:L277"/>
    <mergeCell ref="C291:L291"/>
    <mergeCell ref="C173:L173"/>
    <mergeCell ref="C252:L252"/>
    <mergeCell ref="I70:K70"/>
    <mergeCell ref="C201:L201"/>
    <mergeCell ref="C139:L139"/>
    <mergeCell ref="C148:L148"/>
    <mergeCell ref="C188:L188"/>
    <mergeCell ref="C163:L163"/>
    <mergeCell ref="F74:K74"/>
    <mergeCell ref="C222:L222"/>
    <mergeCell ref="C138:L138"/>
    <mergeCell ref="C251:L251"/>
    <mergeCell ref="C120:L120"/>
    <mergeCell ref="C132:L132"/>
    <mergeCell ref="C110:L110"/>
    <mergeCell ref="C203:L203"/>
    <mergeCell ref="C119:L119"/>
    <mergeCell ref="C82:L82"/>
    <mergeCell ref="C253:L253"/>
    <mergeCell ref="I43:K43"/>
    <mergeCell ref="I58:K58"/>
    <mergeCell ref="C149:L149"/>
    <mergeCell ref="A27:L27"/>
    <mergeCell ref="C174:L174"/>
    <mergeCell ref="C240:L240"/>
    <mergeCell ref="F60:L60"/>
    <mergeCell ref="C237:L237"/>
    <mergeCell ref="C59:K59"/>
    <mergeCell ref="C308:L308"/>
    <mergeCell ref="C111:L111"/>
    <mergeCell ref="C304:L304"/>
    <mergeCell ref="C103:K104"/>
    <mergeCell ref="C179:L179"/>
    <mergeCell ref="C239:L239"/>
    <mergeCell ref="C310:L310"/>
    <mergeCell ref="A17:L17"/>
    <mergeCell ref="I35:K35"/>
    <mergeCell ref="C166:L166"/>
    <mergeCell ref="C248:L248"/>
    <mergeCell ref="C160:L160"/>
    <mergeCell ref="C175:L175"/>
    <mergeCell ref="F68:L68"/>
    <mergeCell ref="C279:L279"/>
    <mergeCell ref="C288:L288"/>
    <mergeCell ref="B8:L8"/>
    <mergeCell ref="C294:L294"/>
    <mergeCell ref="C216:L216"/>
    <mergeCell ref="A19:L19"/>
    <mergeCell ref="C281:L281"/>
    <mergeCell ref="C290:L290"/>
    <mergeCell ref="F52:L53"/>
    <mergeCell ref="C200:L200"/>
    <mergeCell ref="B10:L10"/>
    <mergeCell ref="C271:L271"/>
    <mergeCell ref="C152:L152"/>
    <mergeCell ref="C109:L109"/>
    <mergeCell ref="C265:L265"/>
    <mergeCell ref="C218:L218"/>
    <mergeCell ref="C274:L274"/>
    <mergeCell ref="C280:L280"/>
    <mergeCell ref="C193:L193"/>
    <mergeCell ref="C142:L142"/>
    <mergeCell ref="C255:L255"/>
    <mergeCell ref="C202:L202"/>
    <mergeCell ref="C129:L129"/>
    <mergeCell ref="C242:L242"/>
    <mergeCell ref="C282:L282"/>
    <mergeCell ref="C192:L192"/>
    <mergeCell ref="C257:L257"/>
    <mergeCell ref="C297:L297"/>
    <mergeCell ref="K37:L39"/>
    <mergeCell ref="C244:L24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41" colorId="64" zoomScale="100" zoomScaleNormal="100" zoomScalePageLayoutView="100" workbookViewId="0">
      <selection pane="topLeft" activeCell="A2" activeCellId="1" sqref="A11:S58 A2"/>
    </sheetView>
  </sheetViews>
  <sheetFormatPr baseColWidth="8" defaultColWidth="8.59765625" defaultRowHeight="14.25" customHeight="0" zeroHeight="0" outlineLevelRow="0"/>
  <cols>
    <col width="20" customWidth="1" style="1207" min="1" max="1"/>
    <col width="75" customWidth="1" style="1207" min="2" max="2"/>
    <col width="15" customWidth="1" style="1207" min="3" max="5"/>
    <col width="18" customWidth="1" style="1207" min="6" max="8"/>
    <col width="14" customWidth="1" style="1207" min="9" max="9"/>
  </cols>
  <sheetData>
    <row r="1" ht="14.25" customHeight="1" s="1158">
      <c r="A1" s="2004" t="inlineStr">
        <is>
          <t>Image Name</t>
        </is>
      </c>
      <c r="B1" s="2004" t="inlineStr">
        <is>
          <t>Description</t>
        </is>
      </c>
      <c r="C1" s="2004" t="inlineStr">
        <is>
          <t>Length</t>
        </is>
      </c>
      <c r="D1" s="2004" t="inlineStr">
        <is>
          <t>OD</t>
        </is>
      </c>
      <c r="E1" s="2004" t="inlineStr">
        <is>
          <t>ID</t>
        </is>
      </c>
      <c r="F1" s="2004" t="inlineStr">
        <is>
          <t>PN</t>
        </is>
      </c>
      <c r="G1" s="2004" t="inlineStr">
        <is>
          <t>SN</t>
        </is>
      </c>
      <c r="H1" s="2004" t="inlineStr">
        <is>
          <t>SAP</t>
        </is>
      </c>
      <c r="I1" s="2004" t="inlineStr">
        <is>
          <t>CAT ID</t>
        </is>
      </c>
    </row>
    <row r="2" ht="86.25" customHeight="1" s="1158">
      <c r="A2" s="2005" t="inlineStr">
        <is>
          <t>A</t>
        </is>
      </c>
      <c r="B2" s="2006" t="inlineStr">
        <is>
          <t>UPPER CONN. 3-1/2" VAM TOP 9.2#PPF BOX VM 28 110 KSI
DESCRIPTION: WIRELINE ENTRY GUIDE
SN: 16339547-10-008
PN 2996481
SAP: 130010036277
SUPPLIER: WEATHERFORD</t>
        </is>
      </c>
      <c r="C2" s="2007" t="n">
        <v>0.6</v>
      </c>
      <c r="D2" s="2008" t="n">
        <v>3.937</v>
      </c>
      <c r="E2" s="2008" t="n">
        <v>2.949</v>
      </c>
      <c r="F2" s="2009" t="inlineStr">
        <is>
          <t>2996481</t>
        </is>
      </c>
      <c r="G2" s="2009" t="inlineStr">
        <is>
          <t>16339547-10-008</t>
        </is>
      </c>
      <c r="H2" s="2009" t="inlineStr">
        <is>
          <t>130010036277</t>
        </is>
      </c>
      <c r="I2" s="2009" t="inlineStr">
        <is>
          <t>N/A</t>
        </is>
      </c>
    </row>
    <row r="3" ht="72" customHeight="1" s="1158">
      <c r="B3" s="2006" t="inlineStr">
        <is>
          <t>UPPER CONN. 3-1/2" TSH BLUE BOX 9.2 PPF SN 28 110 KSI
DESCRIPTION: 5 FEET XOVER
SAP: 130005011340
SUPPLIER: TENARIS
LOWER CONN. 3-1/2" VAM TOP PIN 9.2 PPF SN 28 110 KSI</t>
        </is>
      </c>
      <c r="C3" s="2007" t="n">
        <v>4.96</v>
      </c>
      <c r="D3" s="2008" t="n">
        <v>3.937</v>
      </c>
      <c r="E3" s="2008" t="n">
        <v>2.969</v>
      </c>
      <c r="F3" s="2009" t="inlineStr">
        <is>
          <t>N/A</t>
        </is>
      </c>
      <c r="G3" s="2009" t="inlineStr">
        <is>
          <t>N/A</t>
        </is>
      </c>
      <c r="H3" s="2009" t="inlineStr">
        <is>
          <t>130005011340</t>
        </is>
      </c>
      <c r="I3" s="2009" t="inlineStr">
        <is>
          <t>N/A</t>
        </is>
      </c>
    </row>
    <row r="4" ht="14.25" customHeight="1" s="1158">
      <c r="A4" s="1207" t="inlineStr">
        <is>
          <t>JT.#1</t>
        </is>
      </c>
      <c r="B4" s="1207" t="inlineStr">
        <is>
          <t>3 1/2" TSH</t>
        </is>
      </c>
      <c r="C4" s="1421" t="n">
        <v>31</v>
      </c>
    </row>
    <row r="5" ht="14.25" customHeight="1" s="1158">
      <c r="A5" s="1207" t="inlineStr">
        <is>
          <t>JT.#2</t>
        </is>
      </c>
      <c r="B5" s="1207" t="inlineStr">
        <is>
          <t>3 1/2" TSH</t>
        </is>
      </c>
      <c r="C5" s="1421" t="n">
        <v>31</v>
      </c>
    </row>
    <row r="6" ht="14.25" customHeight="1" s="1158">
      <c r="A6" s="1207" t="inlineStr">
        <is>
          <t>JT.#3</t>
        </is>
      </c>
      <c r="B6" s="1207" t="inlineStr">
        <is>
          <t>3 1/2" TSH</t>
        </is>
      </c>
      <c r="C6" s="1421" t="n">
        <v>31</v>
      </c>
    </row>
    <row r="7" ht="14.25" customHeight="1" s="1158">
      <c r="A7" s="1207" t="inlineStr">
        <is>
          <t>JT.#4</t>
        </is>
      </c>
      <c r="B7" s="1207" t="inlineStr">
        <is>
          <t>3 1/2" TSH</t>
        </is>
      </c>
      <c r="C7" s="1421" t="n">
        <v>31</v>
      </c>
    </row>
    <row r="8" ht="14.25" customHeight="1" s="1158">
      <c r="A8" s="1207" t="inlineStr">
        <is>
          <t>JT.#5</t>
        </is>
      </c>
      <c r="B8" s="1207" t="inlineStr">
        <is>
          <t>3 1/2" TSH</t>
        </is>
      </c>
      <c r="C8" s="1421" t="n">
        <v>31</v>
      </c>
    </row>
    <row r="9" ht="72" customHeight="1" s="1158">
      <c r="A9" s="2010" t="inlineStr">
        <is>
          <t>SP-01</t>
        </is>
      </c>
      <c r="B9" s="2011" t="inlineStr">
        <is>
          <t>UPPER CONN. 3-1/2" VAM TOP BOX 9.2 PPF SN 28 110 KSI
DESCRIPTION: 5 FEET XOVER
SAP: 130005011340
SUPPLIER: TENARIS
UPPER CONN. 3-1/2" TSH BLUE PIN 9.2 PPF SN 28 110 KSI</t>
        </is>
      </c>
      <c r="C9" s="2012" t="n">
        <v>5.18</v>
      </c>
      <c r="D9" s="2013" t="n">
        <v>3.908</v>
      </c>
      <c r="E9" s="2013" t="n">
        <v>2.959</v>
      </c>
      <c r="F9" s="2014" t="inlineStr">
        <is>
          <t>N/A</t>
        </is>
      </c>
      <c r="G9" s="2014" t="inlineStr">
        <is>
          <t>N/A</t>
        </is>
      </c>
      <c r="H9" s="2014" t="inlineStr">
        <is>
          <t>130005011340</t>
        </is>
      </c>
      <c r="I9" s="2014" t="inlineStr">
        <is>
          <t>N/A</t>
        </is>
      </c>
    </row>
    <row r="10" ht="129" customHeight="1" s="1158">
      <c r="B10" s="2011" t="inlineStr">
        <is>
          <t>UPPER CONN.
3-1/2 9.2 PPF, 110KSI VAM TOP BOX
DESCRIPTION:
PCKR, SWEL,6,3-1/2,A925, OIL
P/N: 2991712
S/N: RDT-UAE-1003629
SAP: 130010039426
SUPPLIER: WFD-REACTIVE
LOWER CONN.</t>
        </is>
      </c>
      <c r="C10" s="2012" t="n">
        <v>30.88</v>
      </c>
      <c r="D10" s="2013" t="n">
        <v>5.7</v>
      </c>
      <c r="E10" s="2013" t="n">
        <v>2.953</v>
      </c>
      <c r="F10" s="2014" t="inlineStr">
        <is>
          <t>2991712</t>
        </is>
      </c>
      <c r="G10" s="2014" t="inlineStr">
        <is>
          <t>RDT-UAE-1003629</t>
        </is>
      </c>
      <c r="H10" s="2014" t="inlineStr">
        <is>
          <t>130010039426</t>
        </is>
      </c>
      <c r="I10" s="2014" t="inlineStr">
        <is>
          <t>N/A</t>
        </is>
      </c>
    </row>
    <row r="11" ht="72" customHeight="1" s="1158">
      <c r="B11" s="2011" t="inlineStr">
        <is>
          <t>UPPER CONN . 3-1/2" TSH BLUE BOX 9.2 PPF SN 28 110 KSI
DESCRIPTION: 3 FEET XOVER
SAP: 130005011337
SUPPLIER: TENARIS
LOWER CONN. 3-1/2" VAM TOP PIN 9.2 PPF SN 28 110 KSI</t>
        </is>
      </c>
      <c r="C11" s="2012" t="n">
        <v>2.78</v>
      </c>
      <c r="D11" s="2013" t="n">
        <v>3.937</v>
      </c>
      <c r="E11" s="2013" t="n">
        <v>2.969</v>
      </c>
      <c r="F11" s="2014" t="inlineStr">
        <is>
          <t>N/A</t>
        </is>
      </c>
      <c r="G11" s="2014" t="inlineStr">
        <is>
          <t>N/A</t>
        </is>
      </c>
      <c r="H11" s="2014" t="inlineStr">
        <is>
          <t>130005011337</t>
        </is>
      </c>
      <c r="I11" s="2014" t="inlineStr">
        <is>
          <t>N/A</t>
        </is>
      </c>
    </row>
    <row r="12" ht="14.25" customHeight="1" s="1158">
      <c r="A12" s="1207" t="inlineStr">
        <is>
          <t>JT.#6</t>
        </is>
      </c>
      <c r="B12" s="1207" t="inlineStr">
        <is>
          <t>3 1/2" TSH</t>
        </is>
      </c>
      <c r="C12" s="1421" t="n">
        <v>31</v>
      </c>
    </row>
    <row r="13" ht="14.25" customHeight="1" s="1158">
      <c r="A13" s="1207" t="inlineStr">
        <is>
          <t>JT.#7</t>
        </is>
      </c>
      <c r="B13" s="1207" t="inlineStr">
        <is>
          <t>3 1/2" TSH</t>
        </is>
      </c>
      <c r="C13" s="1421" t="n">
        <v>31</v>
      </c>
    </row>
    <row r="14" ht="14.25" customHeight="1" s="1158">
      <c r="A14" s="1207" t="inlineStr">
        <is>
          <t>JT.#8</t>
        </is>
      </c>
      <c r="B14" s="1207" t="inlineStr">
        <is>
          <t>3 1/2" TSH</t>
        </is>
      </c>
      <c r="C14" s="1421" t="n">
        <v>31</v>
      </c>
    </row>
    <row r="15" ht="14.25" customHeight="1" s="1158">
      <c r="A15" s="1207" t="inlineStr">
        <is>
          <t>JT.#9</t>
        </is>
      </c>
      <c r="B15" s="1207" t="inlineStr">
        <is>
          <t>3 1/2" TSH</t>
        </is>
      </c>
      <c r="C15" s="1421" t="n">
        <v>31</v>
      </c>
    </row>
    <row r="16" ht="14.25" customHeight="1" s="1158">
      <c r="A16" s="1207" t="inlineStr">
        <is>
          <t>JT.#10</t>
        </is>
      </c>
      <c r="B16" s="1207" t="inlineStr">
        <is>
          <t>3 1/2" TSH</t>
        </is>
      </c>
      <c r="C16" s="1421" t="n">
        <v>31</v>
      </c>
    </row>
    <row r="17" ht="14.25" customHeight="1" s="1158">
      <c r="A17" s="1207" t="inlineStr">
        <is>
          <t>JT.#11</t>
        </is>
      </c>
      <c r="B17" s="1207" t="inlineStr">
        <is>
          <t>3 1/2" TSH</t>
        </is>
      </c>
      <c r="C17" s="1421" t="n">
        <v>31</v>
      </c>
    </row>
    <row r="18" ht="14.25" customHeight="1" s="1158">
      <c r="A18" s="1207" t="inlineStr">
        <is>
          <t>JT.#12</t>
        </is>
      </c>
      <c r="B18" s="1207" t="inlineStr">
        <is>
          <t>3 1/2" TSH</t>
        </is>
      </c>
      <c r="C18" s="1421" t="n">
        <v>31</v>
      </c>
    </row>
    <row r="19" ht="14.25" customHeight="1" s="1158">
      <c r="A19" s="1207" t="inlineStr">
        <is>
          <t>JT.#13</t>
        </is>
      </c>
      <c r="B19" s="1207" t="inlineStr">
        <is>
          <t>3 1/2" TSH</t>
        </is>
      </c>
      <c r="C19" s="1421" t="n">
        <v>31</v>
      </c>
    </row>
    <row r="20" ht="14.25" customHeight="1" s="1158">
      <c r="A20" s="1207" t="inlineStr">
        <is>
          <t>JT.#14</t>
        </is>
      </c>
      <c r="B20" s="1207" t="inlineStr">
        <is>
          <t>3 1/2" TSH</t>
        </is>
      </c>
      <c r="C20" s="1421" t="n">
        <v>31</v>
      </c>
    </row>
    <row r="21" ht="14.25" customHeight="1" s="1158">
      <c r="A21" s="1207" t="inlineStr">
        <is>
          <t>JT.#15</t>
        </is>
      </c>
      <c r="B21" s="1207" t="inlineStr">
        <is>
          <t>3 1/2" TSH</t>
        </is>
      </c>
      <c r="C21" s="1421" t="n">
        <v>31</v>
      </c>
    </row>
    <row r="22" ht="72" customHeight="1" s="1158">
      <c r="A22" s="2015" t="inlineStr">
        <is>
          <t>B</t>
        </is>
      </c>
      <c r="B22" s="2016" t="inlineStr">
        <is>
          <t>UPPER CONN. 3-1/2" VAM TOP BOX 9.2 PPF SN 28 110 KSI
DESCRIPTION: 5 FEET XOVER
SAP: 130005011340
SUPPLIER: TENARIS
LOWER CONN. 3-1/2" TSH BLUE PIN 9.2 PPF SN 28 110 KSI</t>
        </is>
      </c>
      <c r="C22" s="2017" t="n">
        <v>5.18</v>
      </c>
      <c r="D22" s="2018" t="n">
        <v>3.908</v>
      </c>
      <c r="E22" s="2018" t="n">
        <v>2.959</v>
      </c>
      <c r="F22" s="2019" t="inlineStr">
        <is>
          <t>N/A</t>
        </is>
      </c>
      <c r="G22" s="2019" t="inlineStr">
        <is>
          <t>N/A</t>
        </is>
      </c>
      <c r="H22" s="2019" t="inlineStr">
        <is>
          <t>130005011340</t>
        </is>
      </c>
      <c r="I22" s="2019" t="inlineStr">
        <is>
          <t>N/A</t>
        </is>
      </c>
    </row>
    <row r="23" ht="72" customHeight="1" s="1158">
      <c r="B23" s="2016" t="inlineStr">
        <is>
          <t>UPPER CONN. 3-1/2" SENTINEL PRIME BOX 9.2 PPF TX28-110 KSI
DESCRIPTION: 5 FEET XOVER
SAP: 130013006385
SUPPLIER: TBX
LOWER CONN. 3-1/2" VAM TOP PIN 9.2 PPF TX28- 110 KSI</t>
        </is>
      </c>
      <c r="C23" s="2017" t="n">
        <v>4.91</v>
      </c>
      <c r="D23" s="2018" t="n">
        <v>3.929</v>
      </c>
      <c r="E23" s="2018" t="n">
        <v>2.921</v>
      </c>
      <c r="F23" s="2019" t="inlineStr">
        <is>
          <t>N/A</t>
        </is>
      </c>
      <c r="G23" s="2019" t="inlineStr">
        <is>
          <t>N/A</t>
        </is>
      </c>
      <c r="H23" s="2019" t="inlineStr">
        <is>
          <t>130013006385</t>
        </is>
      </c>
      <c r="I23" s="2019" t="inlineStr">
        <is>
          <t>N/A</t>
        </is>
      </c>
    </row>
    <row r="24" ht="100.5" customHeight="1" s="1158">
      <c r="B24" s="2016" t="inlineStr">
        <is>
          <t>UPPER CONN. 3-1/2" SENTINEL PRIME 9.2#PPF INC 925 BOX
DESCRIPTION: NINE ENERGY MULTICYCLE BARRIER DEVICE
7 CYCLES REMAINING
P/N: 3207251
S/N: 100 086 877
SAP: 130010036003 SUPPLIER: NINE ENERGY
LOWER CONN- 3 1/2 9.2 SENTINEL PRIME 9.2 PPF INC 925 PIN</t>
        </is>
      </c>
      <c r="C24" s="2017" t="n">
        <v>5.22</v>
      </c>
      <c r="D24" s="2018" t="n">
        <v>4.8</v>
      </c>
      <c r="E24" s="2018" t="n">
        <v>2.91</v>
      </c>
      <c r="F24" s="2019" t="inlineStr">
        <is>
          <t>3207251</t>
        </is>
      </c>
      <c r="G24" s="2019" t="inlineStr">
        <is>
          <t>100 086 877</t>
        </is>
      </c>
      <c r="H24" s="2019" t="inlineStr">
        <is>
          <t>130010036003</t>
        </is>
      </c>
      <c r="I24" s="2019" t="inlineStr">
        <is>
          <t>N/A</t>
        </is>
      </c>
    </row>
    <row r="25" ht="72" customHeight="1" s="1158">
      <c r="B25" s="2016" t="inlineStr">
        <is>
          <t>UPPER CONN. 3-1/2" VAM TOP BOX 9.2 PPF TX28- 110 KSI
DESCRIPTION: 5 FEET XOVER
SAP: 130013006383
SUPPLIER: TBX
LOWER CONN -3-1/2" SENTINEL PRIME PIN 9.2 PPF TX28-110 KSI</t>
        </is>
      </c>
      <c r="C25" s="2017" t="n">
        <v>4.8</v>
      </c>
      <c r="D25" s="2018" t="n">
        <v>3.908</v>
      </c>
      <c r="E25" s="2018" t="n">
        <v>2.959</v>
      </c>
      <c r="F25" s="2019" t="inlineStr">
        <is>
          <t>N/A</t>
        </is>
      </c>
      <c r="G25" s="2019" t="inlineStr">
        <is>
          <t>N/A</t>
        </is>
      </c>
      <c r="H25" s="2019" t="inlineStr">
        <is>
          <t>130013006383</t>
        </is>
      </c>
      <c r="I25" s="2019" t="inlineStr">
        <is>
          <t>N/A</t>
        </is>
      </c>
    </row>
    <row r="26" ht="72" customHeight="1" s="1158">
      <c r="B26" s="2016" t="inlineStr">
        <is>
          <t>UPPER CONN. 3-1/2" TSH BLUE BOX 9.2 PPF SN 28 110 KSI
DESCRIPTION: 10 FEET XOVER
SAP: 130005011444
SUPPLIER: TENARIS
LOWER CONN. 3-1/2" VAM TOP PIN 9.2 PPF SN 28 110 KSI</t>
        </is>
      </c>
      <c r="C26" s="2017" t="n">
        <v>9.83</v>
      </c>
      <c r="D26" s="2018" t="n">
        <v>3.937</v>
      </c>
      <c r="E26" s="2018" t="n">
        <v>2.969</v>
      </c>
      <c r="F26" s="2019" t="inlineStr">
        <is>
          <t>N/A</t>
        </is>
      </c>
      <c r="G26" s="2019" t="inlineStr">
        <is>
          <t>N/A</t>
        </is>
      </c>
      <c r="H26" s="2019" t="inlineStr">
        <is>
          <t>130005011444</t>
        </is>
      </c>
      <c r="I26" s="2019" t="inlineStr">
        <is>
          <t>N/A</t>
        </is>
      </c>
    </row>
    <row r="27" ht="14.25" customHeight="1" s="1158">
      <c r="A27" s="1207" t="inlineStr">
        <is>
          <t>JT.#16</t>
        </is>
      </c>
      <c r="B27" s="1207" t="inlineStr">
        <is>
          <t>3 1/2" TSH</t>
        </is>
      </c>
      <c r="C27" s="1421" t="n">
        <v>31</v>
      </c>
    </row>
    <row r="28" ht="14.25" customHeight="1" s="1158">
      <c r="A28" s="1207" t="inlineStr">
        <is>
          <t>JT.#17</t>
        </is>
      </c>
      <c r="B28" s="1207" t="inlineStr">
        <is>
          <t>3 1/2" TSH</t>
        </is>
      </c>
      <c r="C28" s="1421" t="n">
        <v>31</v>
      </c>
    </row>
    <row r="29" ht="14.25" customHeight="1" s="1158">
      <c r="A29" s="1207" t="inlineStr">
        <is>
          <t>JT.#18</t>
        </is>
      </c>
      <c r="B29" s="1207" t="inlineStr">
        <is>
          <t>3 1/2" TSH</t>
        </is>
      </c>
      <c r="C29" s="1421" t="n">
        <v>31</v>
      </c>
    </row>
    <row r="30" ht="14.25" customHeight="1" s="1158">
      <c r="A30" s="1207" t="inlineStr">
        <is>
          <t>JT.#19</t>
        </is>
      </c>
      <c r="B30" s="1207" t="inlineStr">
        <is>
          <t>3 1/2" TSH</t>
        </is>
      </c>
      <c r="C30" s="1421" t="n">
        <v>31</v>
      </c>
    </row>
    <row r="31" ht="14.25" customHeight="1" s="1158">
      <c r="A31" s="1207" t="inlineStr">
        <is>
          <t>JT.#20</t>
        </is>
      </c>
      <c r="B31" s="1207" t="inlineStr">
        <is>
          <t>3 1/2" TSH</t>
        </is>
      </c>
      <c r="C31" s="1421" t="n">
        <v>31</v>
      </c>
    </row>
    <row r="32" ht="14.25" customHeight="1" s="1158">
      <c r="A32" s="1207" t="inlineStr">
        <is>
          <t>JT.#21</t>
        </is>
      </c>
      <c r="B32" s="1207" t="inlineStr">
        <is>
          <t>3 1/2" TSH</t>
        </is>
      </c>
      <c r="C32" s="1421" t="n">
        <v>31</v>
      </c>
    </row>
    <row r="33" ht="14.25" customHeight="1" s="1158">
      <c r="A33" s="1207" t="inlineStr">
        <is>
          <t>JT.#22</t>
        </is>
      </c>
      <c r="B33" s="1207" t="inlineStr">
        <is>
          <t>3 1/2" TSH</t>
        </is>
      </c>
      <c r="C33" s="1421" t="n">
        <v>31</v>
      </c>
    </row>
    <row r="34" ht="14.25" customHeight="1" s="1158">
      <c r="A34" s="1207" t="inlineStr">
        <is>
          <t>JT.#23</t>
        </is>
      </c>
      <c r="B34" s="1207" t="inlineStr">
        <is>
          <t>3 1/2" TSH</t>
        </is>
      </c>
      <c r="C34" s="1421" t="n">
        <v>31</v>
      </c>
    </row>
    <row r="35" ht="14.25" customHeight="1" s="1158">
      <c r="A35" s="1207" t="inlineStr">
        <is>
          <t>JT.#24</t>
        </is>
      </c>
      <c r="B35" s="1207" t="inlineStr">
        <is>
          <t>3 1/2" TSH</t>
        </is>
      </c>
      <c r="C35" s="1421" t="n">
        <v>31</v>
      </c>
    </row>
    <row r="36" ht="14.25" customHeight="1" s="1158">
      <c r="A36" s="1207" t="inlineStr">
        <is>
          <t>JT.#25</t>
        </is>
      </c>
      <c r="B36" s="1207" t="inlineStr">
        <is>
          <t>3 1/2" TSH</t>
        </is>
      </c>
      <c r="C36" s="1421" t="n">
        <v>31</v>
      </c>
    </row>
    <row r="37" ht="14.25" customHeight="1" s="1158">
      <c r="A37" s="1207" t="inlineStr">
        <is>
          <t>JT.#26</t>
        </is>
      </c>
      <c r="B37" s="1207" t="inlineStr">
        <is>
          <t>3 1/2" TSH</t>
        </is>
      </c>
      <c r="C37" s="1421" t="n">
        <v>31</v>
      </c>
    </row>
    <row r="38" ht="14.25" customHeight="1" s="1158">
      <c r="A38" s="1207" t="inlineStr">
        <is>
          <t>JT.#27</t>
        </is>
      </c>
      <c r="B38" s="1207" t="inlineStr">
        <is>
          <t>3 1/2" TSH</t>
        </is>
      </c>
      <c r="C38" s="1421" t="n">
        <v>31</v>
      </c>
    </row>
    <row r="39" ht="14.25" customHeight="1" s="1158">
      <c r="A39" s="1207" t="inlineStr">
        <is>
          <t>JT.#28</t>
        </is>
      </c>
      <c r="B39" s="1207" t="inlineStr">
        <is>
          <t>3 1/2" TSH</t>
        </is>
      </c>
      <c r="C39" s="1421" t="n">
        <v>31</v>
      </c>
    </row>
    <row r="40" ht="14.25" customHeight="1" s="1158">
      <c r="A40" s="1207" t="inlineStr">
        <is>
          <t>JT.#29</t>
        </is>
      </c>
      <c r="B40" s="1207" t="inlineStr">
        <is>
          <t>3 1/2" TSH</t>
        </is>
      </c>
      <c r="C40" s="1421" t="n">
        <v>31</v>
      </c>
    </row>
    <row r="41" ht="14.25" customHeight="1" s="1158">
      <c r="A41" s="1207" t="inlineStr">
        <is>
          <t>JT.#30</t>
        </is>
      </c>
      <c r="B41" s="1207" t="inlineStr">
        <is>
          <t>3 1/2" TSH</t>
        </is>
      </c>
      <c r="C41" s="1421" t="n">
        <v>31</v>
      </c>
    </row>
    <row r="42" ht="14.25" customHeight="1" s="1158">
      <c r="A42" s="1207" t="inlineStr">
        <is>
          <t>JT.#31</t>
        </is>
      </c>
      <c r="B42" s="1207" t="inlineStr">
        <is>
          <t>3 1/2" TSH</t>
        </is>
      </c>
      <c r="C42" s="1421" t="n">
        <v>31</v>
      </c>
    </row>
    <row r="43" ht="14.25" customHeight="1" s="1158">
      <c r="A43" s="1207" t="inlineStr">
        <is>
          <t>JT.#32</t>
        </is>
      </c>
      <c r="B43" s="1207" t="inlineStr">
        <is>
          <t>3 1/2" TSH</t>
        </is>
      </c>
      <c r="C43" s="1421" t="n">
        <v>31</v>
      </c>
    </row>
    <row r="44" ht="14.25" customHeight="1" s="1158">
      <c r="A44" s="1207" t="inlineStr">
        <is>
          <t>JT.#33</t>
        </is>
      </c>
      <c r="B44" s="1207" t="inlineStr">
        <is>
          <t>3 1/2" TSH</t>
        </is>
      </c>
      <c r="C44" s="1421" t="n">
        <v>31</v>
      </c>
    </row>
    <row r="45" ht="14.25" customHeight="1" s="1158">
      <c r="A45" s="1207" t="inlineStr">
        <is>
          <t>JT.#34</t>
        </is>
      </c>
      <c r="B45" s="1207" t="inlineStr">
        <is>
          <t>3 1/2" TSH</t>
        </is>
      </c>
      <c r="C45" s="1421" t="n">
        <v>31</v>
      </c>
    </row>
    <row r="46" ht="14.25" customHeight="1" s="1158">
      <c r="A46" s="1207" t="inlineStr">
        <is>
          <t>JT.#35</t>
        </is>
      </c>
      <c r="B46" s="1207" t="inlineStr">
        <is>
          <t>3 1/2" TSH</t>
        </is>
      </c>
      <c r="C46" s="1421" t="n">
        <v>31</v>
      </c>
    </row>
    <row r="47" ht="14.25" customHeight="1" s="1158">
      <c r="A47" s="1207" t="inlineStr">
        <is>
          <t>JT.#36</t>
        </is>
      </c>
      <c r="B47" s="1207" t="inlineStr">
        <is>
          <t>3 1/2" TSH</t>
        </is>
      </c>
      <c r="C47" s="1421" t="n">
        <v>31</v>
      </c>
    </row>
    <row r="48" ht="14.25" customHeight="1" s="1158">
      <c r="A48" s="1207" t="inlineStr">
        <is>
          <t>JT.#37</t>
        </is>
      </c>
      <c r="B48" s="1207" t="inlineStr">
        <is>
          <t>3 1/2" TSH</t>
        </is>
      </c>
      <c r="C48" s="1421" t="n">
        <v>31</v>
      </c>
    </row>
    <row r="49" ht="72" customHeight="1" s="1158">
      <c r="A49" s="2020" t="inlineStr">
        <is>
          <t>C</t>
        </is>
      </c>
      <c r="B49" s="2021" t="inlineStr">
        <is>
          <t>UPPER CONN. 3-1/2" VAM TOP BOX 9.2 PPF SN 28 110 KSI
DESCRIPTION: 5 FEET XOVER
SAP: 130005011340
SUPPLIER: TENARIS
LOWER CONN. 3-1/2" TSH BLUE PIN 9.2 PPF SN 28 110 KSI</t>
        </is>
      </c>
      <c r="C49" s="2022" t="n">
        <v>5.16</v>
      </c>
      <c r="D49" s="2023" t="n">
        <v>3.908</v>
      </c>
      <c r="E49" s="2023" t="n">
        <v>2.959</v>
      </c>
      <c r="F49" s="2024" t="inlineStr">
        <is>
          <t>N/A</t>
        </is>
      </c>
      <c r="G49" s="2024" t="inlineStr">
        <is>
          <t>N/A</t>
        </is>
      </c>
      <c r="H49" s="2024" t="inlineStr">
        <is>
          <t>130005011340</t>
        </is>
      </c>
      <c r="I49" s="2024" t="inlineStr">
        <is>
          <t>N/A</t>
        </is>
      </c>
    </row>
    <row r="50" ht="100.5" customHeight="1" s="1158">
      <c r="B50" s="2021" t="inlineStr">
        <is>
          <t>UPPER CONN. 3-1/2" VAM TOP 9.2#PPF INC 925 KSI BOX
DESCRIPTION: 2.750 WXN Nipple
PN: 2963809
S/N :12527047-08
SAP: 130010036868
SUPPLIER: WEATHERFORD
LOWER CONN.3-1/2" VAM TOP 9.2#PPF INC 925KSI PIN</t>
        </is>
      </c>
      <c r="C50" s="2022" t="n">
        <v>1.15</v>
      </c>
      <c r="D50" s="2023" t="n">
        <v>3.885</v>
      </c>
      <c r="E50" s="2023" t="n">
        <v>2.637</v>
      </c>
      <c r="F50" s="2024" t="inlineStr">
        <is>
          <t>2963809</t>
        </is>
      </c>
      <c r="G50" s="2024" t="inlineStr">
        <is>
          <t>12527047-08</t>
        </is>
      </c>
      <c r="H50" s="2024" t="inlineStr">
        <is>
          <t>130010036868</t>
        </is>
      </c>
      <c r="I50" s="2024" t="inlineStr">
        <is>
          <t>N/A</t>
        </is>
      </c>
    </row>
    <row r="51" ht="72" customHeight="1" s="1158">
      <c r="B51" s="2021" t="inlineStr">
        <is>
          <t>UPPER CONN. 3-1/2" VAM TOP 9.2#PPF SM 2535 BOX
DESCRIPTION: 5 FEET PUP JOINT
SAP: 130005002758
SUPPLIER: VAM
LOWER CONN. 3-1/2" VAM TOP 9.2#PPF SM 2535 PIN</t>
        </is>
      </c>
      <c r="C51" s="2022" t="n">
        <v>4.92</v>
      </c>
      <c r="D51" s="2023" t="n">
        <v>3.908</v>
      </c>
      <c r="E51" s="2023" t="n">
        <v>2.959</v>
      </c>
      <c r="F51" s="2024" t="inlineStr">
        <is>
          <t>N/A</t>
        </is>
      </c>
      <c r="G51" s="2024" t="inlineStr">
        <is>
          <t>N/A</t>
        </is>
      </c>
      <c r="H51" s="2024" t="inlineStr">
        <is>
          <t>130005002758</t>
        </is>
      </c>
      <c r="I51" s="2024" t="inlineStr">
        <is>
          <t>N/A</t>
        </is>
      </c>
    </row>
    <row r="52" ht="72" customHeight="1" s="1158">
      <c r="B52" s="2021" t="inlineStr">
        <is>
          <t>UPPER CONN. 3-1/2" VAM TOP 9.2#PPF SM2535 BOX
DESCRIPTION: 10 FEET PUP JOINT
SAP: 130013000213
SUPPLIER: VAM
LOWER CONN. 3-1/2" VAM TOP 9.2#PPF SM2535 PIN</t>
        </is>
      </c>
      <c r="C52" s="2022" t="n">
        <v>9.92</v>
      </c>
      <c r="D52" s="2023" t="n">
        <v>3.908</v>
      </c>
      <c r="E52" s="2023" t="n">
        <v>2.959</v>
      </c>
      <c r="F52" s="2024" t="inlineStr">
        <is>
          <t>N/A</t>
        </is>
      </c>
      <c r="G52" s="2024" t="inlineStr">
        <is>
          <t>N/A</t>
        </is>
      </c>
      <c r="H52" s="2024" t="inlineStr">
        <is>
          <t>130013000213</t>
        </is>
      </c>
      <c r="I52" s="2024" t="inlineStr">
        <is>
          <t>N/A</t>
        </is>
      </c>
    </row>
    <row r="53" ht="144" customHeight="1" s="1158">
      <c r="B53" s="202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2022" t="n">
        <v>9.710000000000001</v>
      </c>
      <c r="D53" s="2023" t="n">
        <v>5.91</v>
      </c>
      <c r="E53" s="2023" t="n">
        <v>2.919</v>
      </c>
      <c r="F53" s="2024" t="inlineStr">
        <is>
          <t>2960170</t>
        </is>
      </c>
      <c r="G53" s="2024" t="inlineStr">
        <is>
          <t>12857761-01</t>
        </is>
      </c>
      <c r="H53" s="2024" t="inlineStr">
        <is>
          <t>130010037571</t>
        </is>
      </c>
      <c r="I53" s="2024" t="inlineStr">
        <is>
          <t>N/A</t>
        </is>
      </c>
    </row>
    <row r="54" ht="72" customHeight="1" s="1158">
      <c r="B54" s="2021" t="inlineStr">
        <is>
          <t>UPPER CONN. 3-1/2" TSH BLUE BOX 9.2 PPF SN 28 110 KSI
DESCRIPTION: 5 FEET XOVER
SAP: 130005011444
SUPPLIER: TENARIS
LOWER CONN. 3-1/2" VAM TOP PIN 9.2 PPF SN 28 110 KSI</t>
        </is>
      </c>
      <c r="C54" s="2022" t="n">
        <v>4.99</v>
      </c>
      <c r="D54" s="2023" t="n">
        <v>3.937</v>
      </c>
      <c r="E54" s="2023" t="n">
        <v>2.969</v>
      </c>
      <c r="F54" s="2024" t="inlineStr">
        <is>
          <t>N/A</t>
        </is>
      </c>
      <c r="G54" s="2024" t="inlineStr">
        <is>
          <t>N/A</t>
        </is>
      </c>
      <c r="H54" s="2024" t="inlineStr">
        <is>
          <t>130005011444</t>
        </is>
      </c>
      <c r="I54" s="2024" t="inlineStr">
        <is>
          <t>N/A</t>
        </is>
      </c>
    </row>
    <row r="55" ht="14.25" customHeight="1" s="1158">
      <c r="A55" s="1207" t="inlineStr">
        <is>
          <t>JT.#38</t>
        </is>
      </c>
      <c r="B55" s="1207" t="inlineStr">
        <is>
          <t>3 1/2" TSH</t>
        </is>
      </c>
      <c r="C55" s="1421" t="n">
        <v>31</v>
      </c>
    </row>
    <row r="56" ht="14.25" customHeight="1" s="1158">
      <c r="A56" s="1207" t="inlineStr">
        <is>
          <t>JT.#39</t>
        </is>
      </c>
      <c r="B56" s="1207" t="inlineStr">
        <is>
          <t>3 1/2" TSH</t>
        </is>
      </c>
      <c r="C56" s="1421" t="n">
        <v>31</v>
      </c>
    </row>
    <row r="57" ht="14.25" customHeight="1" s="1158">
      <c r="A57" s="1207" t="inlineStr">
        <is>
          <t>JT.#40</t>
        </is>
      </c>
      <c r="B57" s="1207" t="inlineStr">
        <is>
          <t>3 1/2" TSH</t>
        </is>
      </c>
      <c r="C57" s="1421" t="n">
        <v>31</v>
      </c>
    </row>
    <row r="58" ht="14.25" customHeight="1" s="1158">
      <c r="A58" s="1207" t="inlineStr">
        <is>
          <t>JT.#41</t>
        </is>
      </c>
      <c r="B58" s="1207" t="inlineStr">
        <is>
          <t>3 1/2" TSH</t>
        </is>
      </c>
      <c r="C58" s="1421" t="n">
        <v>31</v>
      </c>
    </row>
    <row r="59" ht="14.25" customHeight="1" s="1158">
      <c r="A59" s="1207" t="inlineStr">
        <is>
          <t>JT.#42</t>
        </is>
      </c>
      <c r="B59" s="1207" t="inlineStr">
        <is>
          <t>3 1/2" TSH</t>
        </is>
      </c>
      <c r="C59" s="1421" t="n">
        <v>31</v>
      </c>
    </row>
    <row r="60" ht="14.25" customHeight="1" s="1158">
      <c r="A60" s="1207" t="inlineStr">
        <is>
          <t>JT.#43</t>
        </is>
      </c>
      <c r="B60" s="1207" t="inlineStr">
        <is>
          <t>3 1/2" TSH</t>
        </is>
      </c>
      <c r="C60" s="1421" t="n">
        <v>31</v>
      </c>
    </row>
    <row r="61" ht="14.25" customHeight="1" s="1158">
      <c r="A61" s="1207" t="inlineStr">
        <is>
          <t>JT.#44</t>
        </is>
      </c>
      <c r="B61" s="1207" t="inlineStr">
        <is>
          <t>3 1/2" TSH</t>
        </is>
      </c>
      <c r="C61" s="1421" t="n">
        <v>31</v>
      </c>
    </row>
    <row r="62" ht="14.25" customHeight="1" s="1158">
      <c r="A62" s="1207" t="inlineStr">
        <is>
          <t>JT.#45</t>
        </is>
      </c>
      <c r="B62" s="1207" t="inlineStr">
        <is>
          <t>3 1/2" TSH</t>
        </is>
      </c>
      <c r="C62" s="1421" t="n">
        <v>31</v>
      </c>
    </row>
    <row r="63" ht="14.25" customHeight="1" s="1158">
      <c r="A63" s="1207" t="inlineStr">
        <is>
          <t>JT.#46</t>
        </is>
      </c>
      <c r="B63" s="1207" t="inlineStr">
        <is>
          <t>3 1/2" TSH</t>
        </is>
      </c>
      <c r="C63" s="1421" t="n">
        <v>31</v>
      </c>
    </row>
    <row r="64" ht="14.25" customHeight="1" s="1158">
      <c r="A64" s="1207" t="inlineStr">
        <is>
          <t>JT.#47</t>
        </is>
      </c>
      <c r="B64" s="1207" t="inlineStr">
        <is>
          <t>3 1/2" TSH</t>
        </is>
      </c>
      <c r="C64" s="1421" t="n">
        <v>31</v>
      </c>
    </row>
    <row r="65" ht="14.25" customHeight="1" s="1158">
      <c r="A65" s="1207" t="inlineStr">
        <is>
          <t>JT.#48</t>
        </is>
      </c>
      <c r="B65" s="1207" t="inlineStr">
        <is>
          <t>3 1/2" TSH</t>
        </is>
      </c>
      <c r="C65" s="1421" t="n">
        <v>31</v>
      </c>
    </row>
    <row r="66" ht="14.25" customHeight="1" s="1158">
      <c r="A66" s="1207" t="inlineStr">
        <is>
          <t>JT.#49</t>
        </is>
      </c>
      <c r="B66" s="1207" t="inlineStr">
        <is>
          <t>3 1/2" TSH</t>
        </is>
      </c>
      <c r="C66" s="1421" t="n">
        <v>31</v>
      </c>
    </row>
    <row r="67" ht="14.25" customHeight="1" s="1158">
      <c r="A67" s="1207" t="inlineStr">
        <is>
          <t>JT.#50</t>
        </is>
      </c>
      <c r="B67" s="1207" t="inlineStr">
        <is>
          <t>3 1/2" TSH</t>
        </is>
      </c>
      <c r="C67" s="1421" t="n">
        <v>31</v>
      </c>
    </row>
    <row r="68" ht="14.25" customHeight="1" s="1158">
      <c r="A68" s="1207" t="inlineStr">
        <is>
          <t>JT.#51</t>
        </is>
      </c>
      <c r="B68" s="1207" t="inlineStr">
        <is>
          <t>3 1/2" TSH</t>
        </is>
      </c>
      <c r="C68" s="1421" t="n">
        <v>31</v>
      </c>
    </row>
    <row r="69" ht="14.25" customHeight="1" s="1158">
      <c r="A69" s="1207" t="inlineStr">
        <is>
          <t>JT.#52</t>
        </is>
      </c>
      <c r="B69" s="1207" t="inlineStr">
        <is>
          <t>3 1/2" TSH</t>
        </is>
      </c>
      <c r="C69" s="1421" t="n">
        <v>31</v>
      </c>
    </row>
    <row r="70" ht="14.25" customHeight="1" s="1158">
      <c r="A70" s="1207" t="inlineStr">
        <is>
          <t>JT.#53</t>
        </is>
      </c>
      <c r="B70" s="1207" t="inlineStr">
        <is>
          <t>3 1/2" TSH</t>
        </is>
      </c>
      <c r="C70" s="1421" t="n">
        <v>31</v>
      </c>
    </row>
    <row r="71" ht="14.25" customHeight="1" s="1158">
      <c r="A71" s="1207" t="inlineStr">
        <is>
          <t>JT.#54</t>
        </is>
      </c>
      <c r="B71" s="1207" t="inlineStr">
        <is>
          <t>3 1/2" TSH</t>
        </is>
      </c>
      <c r="C71" s="1421" t="n">
        <v>31</v>
      </c>
    </row>
    <row r="72" ht="14.25" customHeight="1" s="1158">
      <c r="A72" s="1207" t="inlineStr">
        <is>
          <t>JT.#55</t>
        </is>
      </c>
      <c r="B72" s="1207" t="inlineStr">
        <is>
          <t>3 1/2" TSH</t>
        </is>
      </c>
      <c r="C72" s="1421" t="n">
        <v>31</v>
      </c>
    </row>
    <row r="73" ht="14.25" customHeight="1" s="1158">
      <c r="A73" s="1207" t="inlineStr">
        <is>
          <t>JT.#56</t>
        </is>
      </c>
      <c r="B73" s="1207" t="inlineStr">
        <is>
          <t>3 1/2" TSH</t>
        </is>
      </c>
      <c r="C73" s="1421" t="n">
        <v>31</v>
      </c>
    </row>
    <row r="74" ht="14.25" customHeight="1" s="1158">
      <c r="A74" s="1207" t="inlineStr">
        <is>
          <t>JT.#57</t>
        </is>
      </c>
      <c r="B74" s="1207" t="inlineStr">
        <is>
          <t>3 1/2" TSH</t>
        </is>
      </c>
      <c r="C74" s="1421" t="n">
        <v>31</v>
      </c>
    </row>
    <row r="75" ht="72" customHeight="1" s="1158">
      <c r="A75" s="2025" t="inlineStr">
        <is>
          <t>D1</t>
        </is>
      </c>
      <c r="B75" s="2026" t="inlineStr">
        <is>
          <t>UPPER CONN. 3-1/2" VAM TOP BOX 9.2 PPF SN 28 110 KSI
DESCRIPTION: 5 FEET XOVER
SAP: 130005011340
SUPPLIER: TENARIS
LOWER CONN. 3-1/2" TSH BLUE PIN 9.2 PPF SN 28 110 KSI</t>
        </is>
      </c>
      <c r="C75" s="2027" t="n">
        <v>5.2</v>
      </c>
      <c r="D75" s="2028" t="n">
        <v>3.908</v>
      </c>
      <c r="E75" s="2028" t="n">
        <v>2.959</v>
      </c>
      <c r="F75" s="2029" t="inlineStr">
        <is>
          <t>N/A</t>
        </is>
      </c>
      <c r="G75" s="2029" t="inlineStr">
        <is>
          <t>N/A</t>
        </is>
      </c>
      <c r="H75" s="2029" t="inlineStr">
        <is>
          <t>130005011340</t>
        </is>
      </c>
      <c r="I75" s="2029" t="inlineStr">
        <is>
          <t>N/A</t>
        </is>
      </c>
    </row>
    <row r="76" ht="72" customHeight="1" s="1158">
      <c r="B76" s="2026" t="inlineStr">
        <is>
          <t>UPPER CONN. 3-1/2" SENTINEL PRIME BOX 9.2 PPF TX28-110 KSI
DESCRIPTION: 5 FEET XOVER
SAP: 130013006385
SUPPLIER: TBX
LOWER CONN. 3-1/2" VAM TOP PIN 9.2 PPF TX28-110 KSI</t>
        </is>
      </c>
      <c r="C76" s="2027" t="n">
        <v>4.96</v>
      </c>
      <c r="D76" s="2028" t="n">
        <v>3.929</v>
      </c>
      <c r="E76" s="2028" t="n">
        <v>2.921</v>
      </c>
      <c r="F76" s="2029" t="inlineStr">
        <is>
          <t>N/A</t>
        </is>
      </c>
      <c r="G76" s="2029" t="inlineStr">
        <is>
          <t>N/A</t>
        </is>
      </c>
      <c r="H76" s="2029" t="inlineStr">
        <is>
          <t>130013006385</t>
        </is>
      </c>
      <c r="I76" s="2029" t="inlineStr">
        <is>
          <t>N/A</t>
        </is>
      </c>
    </row>
    <row r="77" ht="129" customHeight="1" s="1158">
      <c r="B77" s="202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2027" t="n">
        <v>8.69</v>
      </c>
      <c r="D77" s="2028" t="n">
        <v>5.82</v>
      </c>
      <c r="E77" s="2028" t="n">
        <v>2.9</v>
      </c>
      <c r="F77" s="2029" t="inlineStr">
        <is>
          <t>3205577</t>
        </is>
      </c>
      <c r="G77" s="2029" t="inlineStr">
        <is>
          <t>12636080-03</t>
        </is>
      </c>
      <c r="H77" s="2029" t="inlineStr">
        <is>
          <t>130010036652</t>
        </is>
      </c>
      <c r="I77" s="2029" t="inlineStr">
        <is>
          <t>N/A</t>
        </is>
      </c>
    </row>
    <row r="78" ht="72" customHeight="1" s="1158">
      <c r="B78" s="2026" t="inlineStr">
        <is>
          <t>UPPER CONN. 3-1/2" VAM TOP BOX 9.2 PPF TX28- 110 KSI
DESCRIPTION: 5 FEET XOVER
SAP: 130013006383
SUPPLIER: TBX
LOWER CONN -3-1/2" SENTINEL PRIME PIN 9.2 PPF TX28-110 KSI</t>
        </is>
      </c>
      <c r="C78" s="2027" t="n">
        <v>4.85</v>
      </c>
      <c r="D78" s="2028" t="n">
        <v>3.908</v>
      </c>
      <c r="E78" s="2028" t="n">
        <v>2.959</v>
      </c>
      <c r="F78" s="2029" t="inlineStr">
        <is>
          <t>N/A</t>
        </is>
      </c>
      <c r="G78" s="2029" t="inlineStr">
        <is>
          <t>N/A</t>
        </is>
      </c>
      <c r="H78" s="2029" t="inlineStr">
        <is>
          <t>130013006383</t>
        </is>
      </c>
      <c r="I78" s="2029" t="inlineStr">
        <is>
          <t>N/A</t>
        </is>
      </c>
    </row>
    <row r="79" ht="72" customHeight="1" s="1158">
      <c r="B79" s="2026" t="inlineStr">
        <is>
          <t>UPPER CONN. 3-1/2" TSH BLUE BOX 9.2 PPF SN 28 110 KSI
DESCRIPTION: 10 FEET XOVER
SAP: 130005012487
SUPPLIER: TENARIS
LOWER CONN. 3-1/2" VAM TOP PIN 9.2 PPF SN 28 110 KSI</t>
        </is>
      </c>
      <c r="C79" s="2027" t="n">
        <v>9.949999999999999</v>
      </c>
      <c r="D79" s="2028" t="n">
        <v>3.937</v>
      </c>
      <c r="E79" s="2028" t="n">
        <v>2.969</v>
      </c>
      <c r="F79" s="2029" t="inlineStr">
        <is>
          <t>N/A</t>
        </is>
      </c>
      <c r="G79" s="2029" t="inlineStr">
        <is>
          <t>N/A</t>
        </is>
      </c>
      <c r="H79" s="2029" t="inlineStr">
        <is>
          <t>130005012487</t>
        </is>
      </c>
      <c r="I79" s="2029" t="inlineStr">
        <is>
          <t>N/A</t>
        </is>
      </c>
    </row>
    <row r="80" ht="14.25" customHeight="1" s="1158">
      <c r="A80" s="1207" t="inlineStr">
        <is>
          <t>JT.#58</t>
        </is>
      </c>
      <c r="B80" s="1207" t="inlineStr">
        <is>
          <t>3 1/2" TSH</t>
        </is>
      </c>
      <c r="C80" s="1421" t="n">
        <v>31</v>
      </c>
    </row>
    <row r="81" ht="14.25" customHeight="1" s="1158">
      <c r="A81" s="1207" t="inlineStr">
        <is>
          <t>JT.#59</t>
        </is>
      </c>
      <c r="B81" s="1207" t="inlineStr">
        <is>
          <t>3 1/2" TSH</t>
        </is>
      </c>
      <c r="C81" s="1421" t="n">
        <v>31</v>
      </c>
    </row>
    <row r="82" ht="14.25" customHeight="1" s="1158">
      <c r="A82" s="1207" t="inlineStr">
        <is>
          <t>JT.#60</t>
        </is>
      </c>
      <c r="B82" s="1207" t="inlineStr">
        <is>
          <t>3 1/2" TSH</t>
        </is>
      </c>
      <c r="C82" s="1421" t="n">
        <v>31</v>
      </c>
    </row>
    <row r="83" ht="14.25" customHeight="1" s="1158">
      <c r="A83" s="1207" t="inlineStr">
        <is>
          <t>JT.#61</t>
        </is>
      </c>
      <c r="B83" s="1207" t="inlineStr">
        <is>
          <t>3 1/2" TSH</t>
        </is>
      </c>
      <c r="C83" s="1421" t="n">
        <v>31</v>
      </c>
    </row>
    <row r="84" ht="14.25" customHeight="1" s="1158">
      <c r="A84" s="1207" t="inlineStr">
        <is>
          <t>JT.#62</t>
        </is>
      </c>
      <c r="B84" s="1207" t="inlineStr">
        <is>
          <t>3 1/2" TSH</t>
        </is>
      </c>
      <c r="C84" s="1421" t="n">
        <v>31</v>
      </c>
    </row>
    <row r="85" ht="14.25" customHeight="1" s="1158">
      <c r="A85" s="1207" t="inlineStr">
        <is>
          <t>JT.#63</t>
        </is>
      </c>
      <c r="B85" s="1207" t="inlineStr">
        <is>
          <t>3 1/2" TSH</t>
        </is>
      </c>
      <c r="C85" s="1421" t="n">
        <v>31</v>
      </c>
    </row>
    <row r="86" ht="14.25" customHeight="1" s="1158">
      <c r="A86" s="1207" t="inlineStr">
        <is>
          <t>JT.#64</t>
        </is>
      </c>
      <c r="B86" s="1207" t="inlineStr">
        <is>
          <t>3 1/2" TSH</t>
        </is>
      </c>
      <c r="C86" s="1421" t="n">
        <v>31</v>
      </c>
    </row>
    <row r="87" ht="14.25" customHeight="1" s="1158">
      <c r="A87" s="1207" t="inlineStr">
        <is>
          <t>JT.#65</t>
        </is>
      </c>
      <c r="B87" s="1207" t="inlineStr">
        <is>
          <t>3 1/2" TSH</t>
        </is>
      </c>
      <c r="C87" s="1421" t="n">
        <v>31</v>
      </c>
    </row>
    <row r="88" ht="14.25" customHeight="1" s="1158">
      <c r="A88" s="1207" t="inlineStr">
        <is>
          <t>JT.#66</t>
        </is>
      </c>
      <c r="B88" s="1207" t="inlineStr">
        <is>
          <t>3 1/2" TSH</t>
        </is>
      </c>
      <c r="C88" s="1421" t="n">
        <v>31</v>
      </c>
    </row>
    <row r="89" ht="14.25" customHeight="1" s="1158">
      <c r="A89" s="1207" t="inlineStr">
        <is>
          <t>JT.#67</t>
        </is>
      </c>
      <c r="B89" s="1207" t="inlineStr">
        <is>
          <t>3 1/2" TSH</t>
        </is>
      </c>
      <c r="C89" s="1421" t="n">
        <v>31</v>
      </c>
    </row>
    <row r="90" ht="14.25" customHeight="1" s="1158">
      <c r="A90" s="1207" t="inlineStr">
        <is>
          <t>JT.#68</t>
        </is>
      </c>
      <c r="B90" s="1207" t="inlineStr">
        <is>
          <t>3 1/2" TSH</t>
        </is>
      </c>
      <c r="C90" s="1421" t="n">
        <v>31</v>
      </c>
    </row>
    <row r="91" ht="14.25" customHeight="1" s="1158">
      <c r="A91" s="1207" t="inlineStr">
        <is>
          <t>JT.#69</t>
        </is>
      </c>
      <c r="B91" s="1207" t="inlineStr">
        <is>
          <t>3 1/2" TSH</t>
        </is>
      </c>
      <c r="C91" s="1421" t="n">
        <v>31</v>
      </c>
    </row>
    <row r="92" ht="14.25" customHeight="1" s="1158">
      <c r="A92" s="1207" t="inlineStr">
        <is>
          <t>JT.#70</t>
        </is>
      </c>
      <c r="B92" s="1207" t="inlineStr">
        <is>
          <t>3 1/2" TSH</t>
        </is>
      </c>
      <c r="C92" s="1421" t="n">
        <v>31</v>
      </c>
    </row>
    <row r="93" ht="14.25" customHeight="1" s="1158">
      <c r="A93" s="1207" t="inlineStr">
        <is>
          <t>JT.#71</t>
        </is>
      </c>
      <c r="B93" s="1207" t="inlineStr">
        <is>
          <t>3 1/2" TSH</t>
        </is>
      </c>
      <c r="C93" s="1421" t="n">
        <v>31</v>
      </c>
    </row>
    <row r="94" ht="14.25" customHeight="1" s="1158">
      <c r="A94" s="1207" t="inlineStr">
        <is>
          <t>JT.#72</t>
        </is>
      </c>
      <c r="B94" s="1207" t="inlineStr">
        <is>
          <t>3 1/2" TSH</t>
        </is>
      </c>
      <c r="C94" s="1421" t="n">
        <v>31</v>
      </c>
    </row>
    <row r="95" ht="14.25" customHeight="1" s="1158">
      <c r="A95" s="1207" t="inlineStr">
        <is>
          <t>JT.#73</t>
        </is>
      </c>
      <c r="B95" s="1207" t="inlineStr">
        <is>
          <t>3 1/2" TSH</t>
        </is>
      </c>
      <c r="C95" s="1421" t="n">
        <v>31</v>
      </c>
    </row>
    <row r="96" ht="14.25" customHeight="1" s="1158">
      <c r="A96" s="1207" t="inlineStr">
        <is>
          <t>JT.#74</t>
        </is>
      </c>
      <c r="B96" s="1207" t="inlineStr">
        <is>
          <t>3 1/2" TSH</t>
        </is>
      </c>
      <c r="C96" s="1421" t="n">
        <v>31</v>
      </c>
    </row>
    <row r="97" ht="14.25" customHeight="1" s="1158">
      <c r="A97" s="1207" t="inlineStr">
        <is>
          <t>JT.#75</t>
        </is>
      </c>
      <c r="B97" s="1207" t="inlineStr">
        <is>
          <t>3 1/2" TSH</t>
        </is>
      </c>
      <c r="C97" s="1421" t="n">
        <v>31</v>
      </c>
    </row>
    <row r="98" ht="14.25" customHeight="1" s="1158">
      <c r="A98" s="1207" t="inlineStr">
        <is>
          <t>JT.#76</t>
        </is>
      </c>
      <c r="B98" s="1207" t="inlineStr">
        <is>
          <t>3 1/2" TSH</t>
        </is>
      </c>
      <c r="C98" s="1421" t="n">
        <v>31</v>
      </c>
    </row>
    <row r="99" ht="14.25" customHeight="1" s="1158">
      <c r="A99" s="1207" t="inlineStr">
        <is>
          <t>JT.#77</t>
        </is>
      </c>
      <c r="B99" s="1207" t="inlineStr">
        <is>
          <t>3 1/2" TSH</t>
        </is>
      </c>
      <c r="C99" s="1421" t="n">
        <v>31</v>
      </c>
    </row>
    <row r="100" ht="72" customHeight="1" s="1158">
      <c r="A100" s="2030" t="inlineStr">
        <is>
          <t>D2</t>
        </is>
      </c>
      <c r="B100" s="2031" t="inlineStr">
        <is>
          <t>UPPER CONN. 3-1/2" VAM TOP BOX 9.2 PPF SN 28 110 KSI
DESCRIPTION: 5 FEET XOVER
SAP: 130005011340
SUPPLIER: TENARIS
LOWER CONN. 3-1/2" TSH BLUE PIN 9.2 PPF SN 28 110 KSI</t>
        </is>
      </c>
      <c r="C100" s="2032" t="n">
        <v>5.18</v>
      </c>
      <c r="D100" s="2033" t="n">
        <v>3.908</v>
      </c>
      <c r="E100" s="2033" t="n">
        <v>2.959</v>
      </c>
      <c r="F100" s="2034" t="inlineStr">
        <is>
          <t>N/A</t>
        </is>
      </c>
      <c r="G100" s="2034" t="inlineStr">
        <is>
          <t>N/A</t>
        </is>
      </c>
      <c r="H100" s="2034" t="inlineStr">
        <is>
          <t>130005011340</t>
        </is>
      </c>
      <c r="I100" s="2034" t="inlineStr">
        <is>
          <t>N/A</t>
        </is>
      </c>
    </row>
    <row r="101" ht="72" customHeight="1" s="1158">
      <c r="B101" s="2031" t="inlineStr">
        <is>
          <t>UPPER CONN. 3-1/2" SENTINEL PRIME BOX 9.2 PPF TX28- 110 KSI
DESCRIPTION: 5 FEET XOVER
SAP: 130013006385
SUPPLIER: TBX
LOWER CONN. 3-1/2" VAM TOP PIN 9.2 PPF TX28-110 KSI</t>
        </is>
      </c>
      <c r="C101" s="2032" t="n">
        <v>4.97</v>
      </c>
      <c r="D101" s="2033" t="n">
        <v>3.929</v>
      </c>
      <c r="E101" s="2033" t="n">
        <v>2.921</v>
      </c>
      <c r="F101" s="2034" t="inlineStr">
        <is>
          <t>N/A</t>
        </is>
      </c>
      <c r="G101" s="2034" t="inlineStr">
        <is>
          <t>N/A</t>
        </is>
      </c>
      <c r="H101" s="2034" t="inlineStr">
        <is>
          <t>130013006385</t>
        </is>
      </c>
      <c r="I101" s="2034" t="inlineStr">
        <is>
          <t>N/A</t>
        </is>
      </c>
    </row>
    <row r="102" ht="129" customHeight="1" s="1158">
      <c r="B102" s="203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2032" t="n">
        <v>8.69</v>
      </c>
      <c r="D102" s="2033" t="n">
        <v>5.82</v>
      </c>
      <c r="E102" s="2033" t="n">
        <v>2.9</v>
      </c>
      <c r="F102" s="2034" t="inlineStr">
        <is>
          <t>3205577</t>
        </is>
      </c>
      <c r="G102" s="2034" t="inlineStr">
        <is>
          <t>12636080-05</t>
        </is>
      </c>
      <c r="H102" s="2034" t="inlineStr">
        <is>
          <t>130010036652</t>
        </is>
      </c>
      <c r="I102" s="2034" t="inlineStr">
        <is>
          <t>N/A</t>
        </is>
      </c>
    </row>
    <row r="103" ht="72" customHeight="1" s="1158">
      <c r="B103" s="2031" t="inlineStr">
        <is>
          <t>UPPER CONN. 3-1/2" VAM TOP BOX 9.2 PPF TX28- 110 KSI
DESCRIPTION: 5 FEET XOVER
SAP: 130013006383
SUPPLIER: TBX
LOWER CONN -3-1/2" SENTINEL PRIME PIN 9.2 PPF TX28-110 KSI</t>
        </is>
      </c>
      <c r="C103" s="2032" t="n">
        <v>4.8</v>
      </c>
      <c r="D103" s="2033" t="n">
        <v>3.908</v>
      </c>
      <c r="E103" s="2033" t="n">
        <v>2.959</v>
      </c>
      <c r="F103" s="2034" t="inlineStr">
        <is>
          <t>N/A</t>
        </is>
      </c>
      <c r="G103" s="2034" t="inlineStr">
        <is>
          <t>N/A</t>
        </is>
      </c>
      <c r="H103" s="2034" t="inlineStr">
        <is>
          <t>130013006383</t>
        </is>
      </c>
      <c r="I103" s="2034" t="inlineStr">
        <is>
          <t>N/A</t>
        </is>
      </c>
    </row>
    <row r="104" ht="72" customHeight="1" s="1158">
      <c r="B104" s="2031" t="inlineStr">
        <is>
          <t>UPPER CONN. 3-1/2" TSH BLUE BOX 9.2 PPF SN 28 110 KSI
DESCRIPTION: 10 FEET XOVER
SAP: 130005012487
SUPPLIER: TENARIS
LOWER CONN. 3-1/2" VAM TOP PIN 9.2 PPF SN 28 110 KSI</t>
        </is>
      </c>
      <c r="C104" s="2032" t="n">
        <v>9.949999999999999</v>
      </c>
      <c r="D104" s="2033" t="n">
        <v>3.937</v>
      </c>
      <c r="E104" s="2033" t="n">
        <v>2.969</v>
      </c>
      <c r="F104" s="2034" t="inlineStr">
        <is>
          <t>N/A</t>
        </is>
      </c>
      <c r="G104" s="2034" t="inlineStr">
        <is>
          <t>N/A</t>
        </is>
      </c>
      <c r="H104" s="2034" t="inlineStr">
        <is>
          <t>130005012487</t>
        </is>
      </c>
      <c r="I104" s="2034" t="inlineStr">
        <is>
          <t>N/A</t>
        </is>
      </c>
    </row>
    <row r="105" ht="14.25" customHeight="1" s="1158">
      <c r="A105" s="1207" t="inlineStr">
        <is>
          <t>JT.#78</t>
        </is>
      </c>
      <c r="B105" s="1207" t="inlineStr">
        <is>
          <t>3 1/2" TSH</t>
        </is>
      </c>
      <c r="C105" s="1421" t="n">
        <v>31</v>
      </c>
    </row>
    <row r="106" ht="14.25" customHeight="1" s="1158">
      <c r="A106" s="1207" t="inlineStr">
        <is>
          <t>JT.#79</t>
        </is>
      </c>
      <c r="B106" s="1207" t="inlineStr">
        <is>
          <t>3 1/2" TSH</t>
        </is>
      </c>
      <c r="C106" s="1421" t="n">
        <v>31</v>
      </c>
    </row>
    <row r="107" ht="14.25" customHeight="1" s="1158">
      <c r="A107" s="1207" t="inlineStr">
        <is>
          <t>JT.#80</t>
        </is>
      </c>
      <c r="B107" s="1207" t="inlineStr">
        <is>
          <t>3 1/2" TSH</t>
        </is>
      </c>
      <c r="C107" s="1421" t="n">
        <v>31</v>
      </c>
    </row>
    <row r="108" ht="14.25" customHeight="1" s="1158">
      <c r="A108" s="1207" t="inlineStr">
        <is>
          <t>JT.#81</t>
        </is>
      </c>
      <c r="B108" s="1207" t="inlineStr">
        <is>
          <t>3 1/2" TSH</t>
        </is>
      </c>
      <c r="C108" s="1421" t="n">
        <v>31</v>
      </c>
    </row>
    <row r="109" ht="14.25" customHeight="1" s="1158">
      <c r="A109" s="1207" t="inlineStr">
        <is>
          <t>JT.#82</t>
        </is>
      </c>
      <c r="B109" s="1207" t="inlineStr">
        <is>
          <t>3 1/2" TSH</t>
        </is>
      </c>
      <c r="C109" s="1421" t="n">
        <v>31</v>
      </c>
    </row>
    <row r="110" ht="14.25" customHeight="1" s="1158">
      <c r="A110" s="1207" t="inlineStr">
        <is>
          <t>JT.#83</t>
        </is>
      </c>
      <c r="B110" s="1207" t="inlineStr">
        <is>
          <t>3 1/2" TSH</t>
        </is>
      </c>
      <c r="C110" s="1421" t="n">
        <v>31</v>
      </c>
    </row>
    <row r="111" ht="14.25" customHeight="1" s="1158">
      <c r="A111" s="1207" t="inlineStr">
        <is>
          <t>JT.#84</t>
        </is>
      </c>
      <c r="B111" s="1207" t="inlineStr">
        <is>
          <t>3 1/2" TSH</t>
        </is>
      </c>
      <c r="C111" s="1421" t="n">
        <v>31</v>
      </c>
    </row>
    <row r="112" ht="14.25" customHeight="1" s="1158">
      <c r="A112" s="1207" t="inlineStr">
        <is>
          <t>JT.#85</t>
        </is>
      </c>
      <c r="B112" s="1207" t="inlineStr">
        <is>
          <t>3 1/2" TSH</t>
        </is>
      </c>
      <c r="C112" s="1421" t="n">
        <v>31</v>
      </c>
    </row>
    <row r="113" ht="14.25" customHeight="1" s="1158">
      <c r="A113" s="1207" t="inlineStr">
        <is>
          <t>JT.#86</t>
        </is>
      </c>
      <c r="B113" s="1207" t="inlineStr">
        <is>
          <t>3 1/2" TSH</t>
        </is>
      </c>
      <c r="C113" s="1421" t="n">
        <v>31</v>
      </c>
    </row>
    <row r="114" ht="14.25" customHeight="1" s="1158">
      <c r="A114" s="1207" t="inlineStr">
        <is>
          <t>JT.#87</t>
        </is>
      </c>
      <c r="B114" s="1207" t="inlineStr">
        <is>
          <t>3 1/2" TSH</t>
        </is>
      </c>
      <c r="C114" s="1421" t="n">
        <v>31</v>
      </c>
    </row>
    <row r="115" ht="14.25" customHeight="1" s="1158">
      <c r="A115" s="1207" t="inlineStr">
        <is>
          <t>JT.#88</t>
        </is>
      </c>
      <c r="B115" s="1207" t="inlineStr">
        <is>
          <t>3 1/2" TSH</t>
        </is>
      </c>
      <c r="C115" s="1421" t="n">
        <v>31</v>
      </c>
    </row>
    <row r="116" ht="14.25" customHeight="1" s="1158">
      <c r="A116" s="1207" t="inlineStr">
        <is>
          <t>JT.#89</t>
        </is>
      </c>
      <c r="B116" s="1207" t="inlineStr">
        <is>
          <t>3 1/2" TSH</t>
        </is>
      </c>
      <c r="C116" s="1421" t="n">
        <v>31</v>
      </c>
    </row>
    <row r="117" ht="14.25" customHeight="1" s="1158">
      <c r="A117" s="1207" t="inlineStr">
        <is>
          <t>JT.#90</t>
        </is>
      </c>
      <c r="B117" s="1207" t="inlineStr">
        <is>
          <t>3 1/2" TSH</t>
        </is>
      </c>
      <c r="C117" s="1421" t="n">
        <v>31</v>
      </c>
    </row>
    <row r="118" ht="14.25" customHeight="1" s="1158">
      <c r="A118" s="1207" t="inlineStr">
        <is>
          <t>JT.#91</t>
        </is>
      </c>
      <c r="B118" s="1207" t="inlineStr">
        <is>
          <t>3 1/2" TSH</t>
        </is>
      </c>
      <c r="C118" s="1421" t="n">
        <v>31</v>
      </c>
    </row>
    <row r="119" ht="14.25" customHeight="1" s="1158">
      <c r="A119" s="1207" t="inlineStr">
        <is>
          <t>JT.#92</t>
        </is>
      </c>
      <c r="B119" s="1207" t="inlineStr">
        <is>
          <t>3 1/2" TSH</t>
        </is>
      </c>
      <c r="C119" s="1421" t="n">
        <v>31</v>
      </c>
    </row>
    <row r="120" ht="14.25" customHeight="1" s="1158">
      <c r="A120" s="1207" t="inlineStr">
        <is>
          <t>JT.#93</t>
        </is>
      </c>
      <c r="B120" s="1207" t="inlineStr">
        <is>
          <t>3 1/2" TSH</t>
        </is>
      </c>
      <c r="C120" s="1421" t="n">
        <v>31</v>
      </c>
    </row>
    <row r="121" ht="14.25" customHeight="1" s="1158">
      <c r="A121" s="1207" t="inlineStr">
        <is>
          <t>JT.#94</t>
        </is>
      </c>
      <c r="B121" s="1207" t="inlineStr">
        <is>
          <t>3 1/2" TSH</t>
        </is>
      </c>
      <c r="C121" s="1421" t="n">
        <v>31</v>
      </c>
    </row>
    <row r="122" ht="14.25" customHeight="1" s="1158">
      <c r="A122" s="1207" t="inlineStr">
        <is>
          <t>JT.#95</t>
        </is>
      </c>
      <c r="B122" s="1207" t="inlineStr">
        <is>
          <t>3 1/2" TSH</t>
        </is>
      </c>
      <c r="C122" s="1421" t="n">
        <v>31</v>
      </c>
    </row>
    <row r="123" ht="14.25" customHeight="1" s="1158">
      <c r="A123" s="1207" t="inlineStr">
        <is>
          <t>JT.#96</t>
        </is>
      </c>
      <c r="B123" s="1207" t="inlineStr">
        <is>
          <t>3 1/2" TSH</t>
        </is>
      </c>
      <c r="C123" s="1421" t="n">
        <v>31</v>
      </c>
    </row>
    <row r="124" ht="14.25" customHeight="1" s="1158">
      <c r="A124" s="1207" t="inlineStr">
        <is>
          <t>JT.#97</t>
        </is>
      </c>
      <c r="B124" s="1207" t="inlineStr">
        <is>
          <t>3 1/2" TSH</t>
        </is>
      </c>
      <c r="C124" s="1421" t="n">
        <v>31</v>
      </c>
    </row>
    <row r="125" ht="72" customHeight="1" s="1158">
      <c r="A125" s="2035" t="inlineStr">
        <is>
          <t>D3</t>
        </is>
      </c>
      <c r="B125" s="2036" t="inlineStr">
        <is>
          <t>UPPER CONN. 3-1/2" VAM TOP BOX 9.2 PPF SN 28 110 KSI
DESCRIPTION: 5 FEET XOVER
SAP: 130005011340
SUPPLIER: TENARIS
LOWER CONN. 3-1/2" TSH BLUE PIN 9.2 PPF SN 28 110 KSI</t>
        </is>
      </c>
      <c r="C125" s="2037" t="n">
        <v>5.19</v>
      </c>
      <c r="D125" s="2038" t="n">
        <v>3.908</v>
      </c>
      <c r="E125" s="2038" t="n">
        <v>2.959</v>
      </c>
      <c r="F125" s="2039" t="inlineStr">
        <is>
          <t>N/A</t>
        </is>
      </c>
      <c r="G125" s="2039" t="inlineStr">
        <is>
          <t>N/A</t>
        </is>
      </c>
      <c r="H125" s="2039" t="inlineStr">
        <is>
          <t>130005011340</t>
        </is>
      </c>
      <c r="I125" s="2039" t="inlineStr">
        <is>
          <t>N/A</t>
        </is>
      </c>
    </row>
    <row r="126" ht="72" customHeight="1" s="1158">
      <c r="B126" s="2036" t="inlineStr">
        <is>
          <t>UPPER CONN. 3-1/2" SENTINEL PRIME BOX 9.2 PPF TX28-110 KSI
DESCRIPTION: 5 FEET XOVER
SAP: 130013006385
SUPPLIER: TBX
LOWER CONN. 3-1/2" VAM TOP PIN 9.2 PPF TX28-110 KSI</t>
        </is>
      </c>
      <c r="C126" s="2037" t="n">
        <v>4.96</v>
      </c>
      <c r="D126" s="2038" t="n">
        <v>3.929</v>
      </c>
      <c r="E126" s="2038" t="n">
        <v>2.921</v>
      </c>
      <c r="F126" s="2039" t="inlineStr">
        <is>
          <t>N/A</t>
        </is>
      </c>
      <c r="G126" s="2039" t="inlineStr">
        <is>
          <t>N/A</t>
        </is>
      </c>
      <c r="H126" s="2039" t="inlineStr">
        <is>
          <t>130013006385</t>
        </is>
      </c>
      <c r="I126" s="2039" t="inlineStr">
        <is>
          <t>N/A</t>
        </is>
      </c>
    </row>
    <row r="127" ht="129" customHeight="1" s="1158">
      <c r="B127" s="203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2037" t="n">
        <v>8.69</v>
      </c>
      <c r="D127" s="2038" t="n">
        <v>5.82</v>
      </c>
      <c r="E127" s="2038" t="n">
        <v>2.9</v>
      </c>
      <c r="F127" s="2039" t="inlineStr">
        <is>
          <t>3205577</t>
        </is>
      </c>
      <c r="G127" s="2039" t="inlineStr">
        <is>
          <t>12600735-08</t>
        </is>
      </c>
      <c r="H127" s="2039" t="inlineStr">
        <is>
          <t>130010036652</t>
        </is>
      </c>
      <c r="I127" s="2039" t="inlineStr">
        <is>
          <t>N/A</t>
        </is>
      </c>
    </row>
    <row r="128" ht="72" customHeight="1" s="1158">
      <c r="B128" s="2036" t="inlineStr">
        <is>
          <t>UPPER CONN. 3-1/2" VAM TOP BOX 9.2 PPF TX28- 110 KSI
DESCRIPTION: 5 FEET XOVER
SAP: 130013006383
SUPPLIER: TBX
LOWER CONN -3-1/2" SENTINEL PRIME PIN 9.2 PPF TX28-110 KSI</t>
        </is>
      </c>
      <c r="C128" s="2037" t="n">
        <v>4.88</v>
      </c>
      <c r="D128" s="2038" t="n">
        <v>3.908</v>
      </c>
      <c r="E128" s="2038" t="n">
        <v>2.959</v>
      </c>
      <c r="F128" s="2039" t="inlineStr">
        <is>
          <t>N/A</t>
        </is>
      </c>
      <c r="G128" s="2039" t="inlineStr">
        <is>
          <t>N/A</t>
        </is>
      </c>
      <c r="H128" s="2039" t="inlineStr">
        <is>
          <t>130013006383</t>
        </is>
      </c>
      <c r="I128" s="2039" t="inlineStr">
        <is>
          <t>N/A</t>
        </is>
      </c>
    </row>
    <row r="129" ht="72" customHeight="1" s="1158">
      <c r="B129" s="2036" t="inlineStr">
        <is>
          <t>UPPER CONN. 3-1/2" TSH BLUE BOX 9.2 PPF SN 28 110 KSI
DESCRIPTION: 10 FEET XOVER
SAP: 130005012487
SUPPLIER: TENARIS
LOWER CONN. 3-1/2" VAM TOP PIN 9.2 PPF SN 28 110 KSI</t>
        </is>
      </c>
      <c r="C129" s="2037" t="n">
        <v>9.93</v>
      </c>
      <c r="D129" s="2038" t="n">
        <v>3.937</v>
      </c>
      <c r="E129" s="2038" t="n">
        <v>2.969</v>
      </c>
      <c r="F129" s="2039" t="inlineStr">
        <is>
          <t>N/A</t>
        </is>
      </c>
      <c r="G129" s="2039" t="inlineStr">
        <is>
          <t>N/A</t>
        </is>
      </c>
      <c r="H129" s="2039" t="inlineStr">
        <is>
          <t>130005012487</t>
        </is>
      </c>
      <c r="I129" s="2039" t="inlineStr">
        <is>
          <t>N/A</t>
        </is>
      </c>
    </row>
    <row r="130" ht="14.25" customHeight="1" s="1158">
      <c r="A130" s="1207" t="inlineStr">
        <is>
          <t>JT.#98</t>
        </is>
      </c>
      <c r="B130" s="1207" t="inlineStr">
        <is>
          <t>3 1/2" TSH</t>
        </is>
      </c>
      <c r="C130" s="1421" t="n">
        <v>31</v>
      </c>
    </row>
    <row r="131" ht="14.25" customHeight="1" s="1158">
      <c r="A131" s="1207" t="inlineStr">
        <is>
          <t>JT.#99</t>
        </is>
      </c>
      <c r="B131" s="1207" t="inlineStr">
        <is>
          <t>3 1/2" TSH</t>
        </is>
      </c>
      <c r="C131" s="1421" t="n">
        <v>31</v>
      </c>
    </row>
    <row r="132" ht="14.25" customHeight="1" s="1158">
      <c r="A132" s="1207" t="inlineStr">
        <is>
          <t>JT.#100</t>
        </is>
      </c>
      <c r="B132" s="1207" t="inlineStr">
        <is>
          <t>3 1/2" TSH</t>
        </is>
      </c>
      <c r="C132" s="1421" t="n">
        <v>31</v>
      </c>
    </row>
    <row r="133" ht="14.25" customHeight="1" s="1158">
      <c r="A133" s="1207" t="inlineStr">
        <is>
          <t>JT.#101</t>
        </is>
      </c>
      <c r="B133" s="1207" t="inlineStr">
        <is>
          <t>3 1/2" TSH</t>
        </is>
      </c>
      <c r="C133" s="1421" t="n">
        <v>31</v>
      </c>
    </row>
    <row r="134" ht="14.25" customHeight="1" s="1158">
      <c r="A134" s="1207" t="inlineStr">
        <is>
          <t>JT.#102</t>
        </is>
      </c>
      <c r="B134" s="1207" t="inlineStr">
        <is>
          <t>3 1/2" TSH</t>
        </is>
      </c>
      <c r="C134" s="1421" t="n">
        <v>31</v>
      </c>
    </row>
    <row r="135" ht="14.25" customHeight="1" s="1158">
      <c r="A135" s="1207" t="inlineStr">
        <is>
          <t>JT.#103</t>
        </is>
      </c>
      <c r="B135" s="1207" t="inlineStr">
        <is>
          <t>3 1/2" TSH</t>
        </is>
      </c>
      <c r="C135" s="1421" t="n">
        <v>31</v>
      </c>
    </row>
    <row r="136" ht="14.25" customHeight="1" s="1158">
      <c r="A136" s="1207" t="inlineStr">
        <is>
          <t>JT.#104</t>
        </is>
      </c>
      <c r="B136" s="1207" t="inlineStr">
        <is>
          <t>3 1/2" TSH</t>
        </is>
      </c>
      <c r="C136" s="1421" t="n">
        <v>31</v>
      </c>
    </row>
    <row r="137" ht="14.25" customHeight="1" s="1158">
      <c r="A137" s="1207" t="inlineStr">
        <is>
          <t>JT.#105</t>
        </is>
      </c>
      <c r="B137" s="1207" t="inlineStr">
        <is>
          <t>3 1/2" TSH</t>
        </is>
      </c>
      <c r="C137" s="1421" t="n">
        <v>31</v>
      </c>
    </row>
    <row r="138" ht="14.25" customHeight="1" s="1158">
      <c r="A138" s="1207" t="inlineStr">
        <is>
          <t>JT.#106</t>
        </is>
      </c>
      <c r="B138" s="1207" t="inlineStr">
        <is>
          <t>3 1/2" TSH</t>
        </is>
      </c>
      <c r="C138" s="1421" t="n">
        <v>31</v>
      </c>
    </row>
    <row r="139" ht="14.25" customHeight="1" s="1158">
      <c r="A139" s="1207" t="inlineStr">
        <is>
          <t>JT.#107</t>
        </is>
      </c>
      <c r="B139" s="1207" t="inlineStr">
        <is>
          <t>3 1/2" TSH</t>
        </is>
      </c>
      <c r="C139" s="1421" t="n">
        <v>31</v>
      </c>
    </row>
    <row r="140" ht="14.25" customHeight="1" s="1158">
      <c r="A140" s="1207" t="inlineStr">
        <is>
          <t>JT.#108</t>
        </is>
      </c>
      <c r="B140" s="1207" t="inlineStr">
        <is>
          <t>3 1/2" TSH</t>
        </is>
      </c>
      <c r="C140" s="1421" t="n">
        <v>31</v>
      </c>
    </row>
    <row r="141" ht="14.25" customHeight="1" s="1158">
      <c r="A141" s="1207" t="inlineStr">
        <is>
          <t>JT.#109</t>
        </is>
      </c>
      <c r="B141" s="1207" t="inlineStr">
        <is>
          <t>3 1/2" TSH</t>
        </is>
      </c>
      <c r="C141" s="1421" t="n">
        <v>31</v>
      </c>
    </row>
    <row r="142" ht="14.25" customHeight="1" s="1158">
      <c r="A142" s="1207" t="inlineStr">
        <is>
          <t>JT.#110</t>
        </is>
      </c>
      <c r="B142" s="1207" t="inlineStr">
        <is>
          <t>3 1/2" TSH</t>
        </is>
      </c>
      <c r="C142" s="1421" t="n">
        <v>31</v>
      </c>
    </row>
    <row r="143" ht="14.25" customHeight="1" s="1158">
      <c r="A143" s="1207" t="inlineStr">
        <is>
          <t>JT.#111</t>
        </is>
      </c>
      <c r="B143" s="1207" t="inlineStr">
        <is>
          <t>3 1/2" TSH</t>
        </is>
      </c>
      <c r="C143" s="1421" t="n">
        <v>31</v>
      </c>
    </row>
    <row r="144" ht="14.25" customHeight="1" s="1158">
      <c r="A144" s="1207" t="inlineStr">
        <is>
          <t>JT.#112</t>
        </is>
      </c>
      <c r="B144" s="1207" t="inlineStr">
        <is>
          <t>3 1/2" TSH</t>
        </is>
      </c>
      <c r="C144" s="1421" t="n">
        <v>31</v>
      </c>
    </row>
    <row r="145" ht="14.25" customHeight="1" s="1158">
      <c r="A145" s="1207" t="inlineStr">
        <is>
          <t>JT.#113</t>
        </is>
      </c>
      <c r="B145" s="1207" t="inlineStr">
        <is>
          <t>3 1/2" TSH</t>
        </is>
      </c>
      <c r="C145" s="1421" t="n">
        <v>31</v>
      </c>
    </row>
    <row r="146" ht="14.25" customHeight="1" s="1158">
      <c r="A146" s="1207" t="inlineStr">
        <is>
          <t>JT.#114</t>
        </is>
      </c>
      <c r="B146" s="1207" t="inlineStr">
        <is>
          <t>3 1/2" TSH</t>
        </is>
      </c>
      <c r="C146" s="1421" t="n">
        <v>31</v>
      </c>
    </row>
    <row r="147" ht="14.25" customHeight="1" s="1158">
      <c r="A147" s="1207" t="inlineStr">
        <is>
          <t>JT.#115</t>
        </is>
      </c>
      <c r="B147" s="1207" t="inlineStr">
        <is>
          <t>3 1/2" TSH</t>
        </is>
      </c>
      <c r="C147" s="1421" t="n">
        <v>31</v>
      </c>
    </row>
    <row r="148" ht="14.25" customHeight="1" s="1158">
      <c r="A148" s="1207" t="inlineStr">
        <is>
          <t>JT.#116</t>
        </is>
      </c>
      <c r="B148" s="1207" t="inlineStr">
        <is>
          <t>3 1/2" TSH</t>
        </is>
      </c>
      <c r="C148" s="1421" t="n">
        <v>31</v>
      </c>
    </row>
    <row r="149" ht="14.25" customHeight="1" s="1158">
      <c r="A149" s="1207" t="inlineStr">
        <is>
          <t>JT.#117</t>
        </is>
      </c>
      <c r="B149" s="1207" t="inlineStr">
        <is>
          <t>3 1/2" TSH</t>
        </is>
      </c>
      <c r="C149" s="1421" t="n">
        <v>31</v>
      </c>
    </row>
    <row r="150" ht="72" customHeight="1" s="1158">
      <c r="A150" s="2040" t="inlineStr">
        <is>
          <t>D4</t>
        </is>
      </c>
      <c r="B150" s="2041" t="inlineStr">
        <is>
          <t>UPPER CONN. 3-1/2" VAM TOP BOX 9.2 PPF SN 28 110 KSI
DESCRIPTION: 5 FEET XOVER
SAP: 130005011340
SUPPLIER: TENARIS
LOWER CONN. 3-1/2" TSH BLUE PIN 9.2 PPF SN 28 110 KSI</t>
        </is>
      </c>
      <c r="C150" s="2042" t="n">
        <v>5.18</v>
      </c>
      <c r="D150" s="2043" t="n">
        <v>3.908</v>
      </c>
      <c r="E150" s="2043" t="n">
        <v>2.959</v>
      </c>
      <c r="F150" s="2044" t="inlineStr">
        <is>
          <t>N/A</t>
        </is>
      </c>
      <c r="G150" s="2044" t="inlineStr">
        <is>
          <t>N/A</t>
        </is>
      </c>
      <c r="H150" s="2044" t="inlineStr">
        <is>
          <t>130005011340</t>
        </is>
      </c>
      <c r="I150" s="2044" t="inlineStr">
        <is>
          <t>N/A</t>
        </is>
      </c>
    </row>
    <row r="151" ht="72" customHeight="1" s="1158">
      <c r="B151" s="2041" t="inlineStr">
        <is>
          <t>UPPER CONN. 3-1/2" SENTINEL PRIME BOX 9.2 PPF TX28-110 KSI
DESCRIPTION: 5 FEET XOVER
SAP: 130013006385
SUPPLIER: TBX
LOWER CONN. 3-1/2" VAM TOP PIN 9.2 PPF TX28-110 KSI</t>
        </is>
      </c>
      <c r="C151" s="2042" t="n">
        <v>4.96</v>
      </c>
      <c r="D151" s="2043" t="n">
        <v>3.929</v>
      </c>
      <c r="E151" s="2043" t="n">
        <v>2.921</v>
      </c>
      <c r="F151" s="2044" t="inlineStr">
        <is>
          <t>N/A</t>
        </is>
      </c>
      <c r="G151" s="2044" t="inlineStr">
        <is>
          <t>N/A</t>
        </is>
      </c>
      <c r="H151" s="2044" t="inlineStr">
        <is>
          <t>130013006385</t>
        </is>
      </c>
      <c r="I151" s="2044" t="inlineStr">
        <is>
          <t>N/A</t>
        </is>
      </c>
    </row>
    <row r="152" ht="129" customHeight="1" s="1158">
      <c r="B152" s="20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2042" t="n">
        <v>8.69</v>
      </c>
      <c r="D152" s="2043" t="n">
        <v>5.82</v>
      </c>
      <c r="E152" s="2043" t="n">
        <v>2.9</v>
      </c>
      <c r="F152" s="2044" t="inlineStr">
        <is>
          <t>3205577</t>
        </is>
      </c>
      <c r="G152" s="2044" t="inlineStr">
        <is>
          <t>12696654-13</t>
        </is>
      </c>
      <c r="H152" s="2044" t="inlineStr">
        <is>
          <t>130010036652</t>
        </is>
      </c>
      <c r="I152" s="2044" t="inlineStr">
        <is>
          <t>N/A</t>
        </is>
      </c>
    </row>
    <row r="153" ht="72" customHeight="1" s="1158">
      <c r="B153" s="2041" t="inlineStr">
        <is>
          <t>UPPER CONN. 3-1/2" VAM TOP BOX 9.2 PPF TX28- 110 KSI
DESCRIPTION: 10 FEET XOVER
SAP: 1130013006387
SUPPLIER: TBX
LOWER CONN-3-1/2" SENTINELPRIME PIN 9.2 PPF TX28110 KSI</t>
        </is>
      </c>
      <c r="C153" s="2042" t="n">
        <v>9.779999999999999</v>
      </c>
      <c r="D153" s="2043" t="n">
        <v>3.908</v>
      </c>
      <c r="E153" s="2043" t="n">
        <v>2.959</v>
      </c>
      <c r="F153" s="2044" t="inlineStr">
        <is>
          <t>N/A</t>
        </is>
      </c>
      <c r="G153" s="2044" t="inlineStr">
        <is>
          <t>N/A</t>
        </is>
      </c>
      <c r="H153" s="2044" t="inlineStr">
        <is>
          <t>1130013006387</t>
        </is>
      </c>
      <c r="I153" s="2044" t="inlineStr">
        <is>
          <t>N/A</t>
        </is>
      </c>
    </row>
    <row r="154" ht="72" customHeight="1" s="1158">
      <c r="B154" s="2041" t="inlineStr">
        <is>
          <t>UPPER CONN. 3-1/2" TSH BLUE BOX 9.2 PPF SN 28 110 KSI
DESCRIPTION: 5 FEET XOVER
SAP: 130005011340
SUPPLIER: TENARIS
LOWER CONN. 3-1/2" VAM TOP PIN 9.2 PPF SN 28 110 KSI</t>
        </is>
      </c>
      <c r="C154" s="2042" t="n">
        <v>4.96</v>
      </c>
      <c r="D154" s="2043" t="n">
        <v>3.937</v>
      </c>
      <c r="E154" s="2043" t="n">
        <v>2.969</v>
      </c>
      <c r="F154" s="2044" t="inlineStr">
        <is>
          <t>N/A</t>
        </is>
      </c>
      <c r="G154" s="2044" t="inlineStr">
        <is>
          <t>N/A</t>
        </is>
      </c>
      <c r="H154" s="2044" t="inlineStr">
        <is>
          <t>130005011340</t>
        </is>
      </c>
      <c r="I154" s="2044" t="inlineStr">
        <is>
          <t>N/A</t>
        </is>
      </c>
    </row>
    <row r="155" ht="14.25" customHeight="1" s="1158">
      <c r="A155" s="1207" t="inlineStr">
        <is>
          <t>JT.#118</t>
        </is>
      </c>
      <c r="B155" s="1207" t="inlineStr">
        <is>
          <t>3 1/2" TSH</t>
        </is>
      </c>
      <c r="C155" s="1421" t="n">
        <v>31</v>
      </c>
    </row>
    <row r="156" ht="14.25" customHeight="1" s="1158">
      <c r="A156" s="1207" t="inlineStr">
        <is>
          <t>JT.#119</t>
        </is>
      </c>
      <c r="B156" s="1207" t="inlineStr">
        <is>
          <t>3 1/2" TSH</t>
        </is>
      </c>
      <c r="C156" s="1421" t="n">
        <v>31</v>
      </c>
    </row>
    <row r="157" ht="14.25" customHeight="1" s="1158">
      <c r="A157" s="1207" t="inlineStr">
        <is>
          <t>JT.#120</t>
        </is>
      </c>
      <c r="B157" s="1207" t="inlineStr">
        <is>
          <t>3 1/2" TSH</t>
        </is>
      </c>
      <c r="C157" s="1421" t="n">
        <v>31</v>
      </c>
    </row>
    <row r="158" ht="14.25" customHeight="1" s="1158">
      <c r="A158" s="1207" t="inlineStr">
        <is>
          <t>JT.#121</t>
        </is>
      </c>
      <c r="B158" s="1207" t="inlineStr">
        <is>
          <t>3 1/2" TSH</t>
        </is>
      </c>
      <c r="C158" s="1421" t="n">
        <v>31</v>
      </c>
    </row>
    <row r="159" ht="14.25" customHeight="1" s="1158">
      <c r="A159" s="1207" t="inlineStr">
        <is>
          <t>JT.#122</t>
        </is>
      </c>
      <c r="B159" s="1207" t="inlineStr">
        <is>
          <t>3 1/2" TSH</t>
        </is>
      </c>
      <c r="C159" s="1421" t="n">
        <v>31</v>
      </c>
    </row>
    <row r="160" ht="14.25" customHeight="1" s="1158">
      <c r="A160" s="1207" t="inlineStr">
        <is>
          <t>JT.#123</t>
        </is>
      </c>
      <c r="B160" s="1207" t="inlineStr">
        <is>
          <t>3 1/2" TSH</t>
        </is>
      </c>
      <c r="C160" s="1421" t="n">
        <v>31</v>
      </c>
    </row>
    <row r="161" ht="14.25" customHeight="1" s="1158">
      <c r="A161" s="1207" t="inlineStr">
        <is>
          <t>JT.#124</t>
        </is>
      </c>
      <c r="B161" s="1207" t="inlineStr">
        <is>
          <t>3 1/2" TSH</t>
        </is>
      </c>
      <c r="C161" s="1421" t="n">
        <v>31</v>
      </c>
    </row>
    <row r="162" ht="14.25" customHeight="1" s="1158">
      <c r="A162" s="1207" t="inlineStr">
        <is>
          <t>JT.#125</t>
        </is>
      </c>
      <c r="B162" s="1207" t="inlineStr">
        <is>
          <t>3 1/2" TSH</t>
        </is>
      </c>
      <c r="C162" s="1421" t="n">
        <v>31</v>
      </c>
    </row>
    <row r="163" ht="14.25" customHeight="1" s="1158">
      <c r="A163" s="1207" t="inlineStr">
        <is>
          <t>JT.#126</t>
        </is>
      </c>
      <c r="B163" s="1207" t="inlineStr">
        <is>
          <t>3 1/2" TSH</t>
        </is>
      </c>
      <c r="C163" s="1421" t="n">
        <v>31</v>
      </c>
    </row>
    <row r="164" ht="14.25" customHeight="1" s="1158">
      <c r="A164" s="1207" t="inlineStr">
        <is>
          <t>JT.#127</t>
        </is>
      </c>
      <c r="B164" s="1207" t="inlineStr">
        <is>
          <t>3 1/2" TSH</t>
        </is>
      </c>
      <c r="C164" s="1421" t="n">
        <v>31</v>
      </c>
    </row>
    <row r="165" ht="14.25" customHeight="1" s="1158">
      <c r="A165" s="1207" t="inlineStr">
        <is>
          <t>JT.#128</t>
        </is>
      </c>
      <c r="B165" s="1207" t="inlineStr">
        <is>
          <t>3 1/2" TSH</t>
        </is>
      </c>
      <c r="C165" s="1421" t="n">
        <v>31</v>
      </c>
    </row>
    <row r="166" ht="14.25" customHeight="1" s="1158">
      <c r="A166" s="1207" t="inlineStr">
        <is>
          <t>JT.#129</t>
        </is>
      </c>
      <c r="B166" s="1207" t="inlineStr">
        <is>
          <t>3 1/2" TSH</t>
        </is>
      </c>
      <c r="C166" s="1421" t="n">
        <v>31</v>
      </c>
    </row>
    <row r="167" ht="14.25" customHeight="1" s="1158">
      <c r="A167" s="1207" t="inlineStr">
        <is>
          <t>JT.#130</t>
        </is>
      </c>
      <c r="B167" s="1207" t="inlineStr">
        <is>
          <t>3 1/2" TSH</t>
        </is>
      </c>
      <c r="C167" s="1421" t="n">
        <v>31</v>
      </c>
    </row>
    <row r="168" ht="14.25" customHeight="1" s="1158">
      <c r="A168" s="1207" t="inlineStr">
        <is>
          <t>JT.#131</t>
        </is>
      </c>
      <c r="B168" s="1207" t="inlineStr">
        <is>
          <t>3 1/2" TSH</t>
        </is>
      </c>
      <c r="C168" s="1421" t="n">
        <v>31</v>
      </c>
    </row>
    <row r="169" ht="14.25" customHeight="1" s="1158">
      <c r="A169" s="1207" t="inlineStr">
        <is>
          <t>JT.#132</t>
        </is>
      </c>
      <c r="B169" s="1207" t="inlineStr">
        <is>
          <t>3 1/2" TSH</t>
        </is>
      </c>
      <c r="C169" s="1421" t="n">
        <v>31</v>
      </c>
    </row>
    <row r="170" ht="14.25" customHeight="1" s="1158">
      <c r="A170" s="1207" t="inlineStr">
        <is>
          <t>JT.#133</t>
        </is>
      </c>
      <c r="B170" s="1207" t="inlineStr">
        <is>
          <t>3 1/2" TSH</t>
        </is>
      </c>
      <c r="C170" s="1421" t="n">
        <v>31</v>
      </c>
    </row>
    <row r="171" ht="14.25" customHeight="1" s="1158">
      <c r="A171" s="1207" t="inlineStr">
        <is>
          <t>JT.#134</t>
        </is>
      </c>
      <c r="B171" s="1207" t="inlineStr">
        <is>
          <t>3 1/2" TSH</t>
        </is>
      </c>
      <c r="C171" s="1421" t="n">
        <v>31</v>
      </c>
    </row>
    <row r="172" ht="14.25" customHeight="1" s="1158">
      <c r="A172" s="1207" t="inlineStr">
        <is>
          <t>JT.#135</t>
        </is>
      </c>
      <c r="B172" s="1207" t="inlineStr">
        <is>
          <t>3 1/2" TSH</t>
        </is>
      </c>
      <c r="C172" s="1421" t="n">
        <v>31</v>
      </c>
    </row>
    <row r="173" ht="14.25" customHeight="1" s="1158">
      <c r="A173" s="1207" t="inlineStr">
        <is>
          <t>JT.#136</t>
        </is>
      </c>
      <c r="B173" s="1207" t="inlineStr">
        <is>
          <t>3 1/2" TSH</t>
        </is>
      </c>
      <c r="C173" s="1421" t="n">
        <v>31</v>
      </c>
    </row>
    <row r="174" ht="14.25" customHeight="1" s="1158">
      <c r="A174" s="1207" t="inlineStr">
        <is>
          <t>JT.#137</t>
        </is>
      </c>
      <c r="B174" s="1207" t="inlineStr">
        <is>
          <t>3 1/2" TSH</t>
        </is>
      </c>
      <c r="C174" s="1421" t="n">
        <v>31</v>
      </c>
    </row>
    <row r="175" ht="72" customHeight="1" s="1158">
      <c r="A175" s="2045" t="inlineStr">
        <is>
          <t>F</t>
        </is>
      </c>
      <c r="B175" s="2046" t="inlineStr">
        <is>
          <t>UPPER CONN. 3-1/2" VAM TOP BOX 9.2 PPF SN 28 110 KSI
DESCRIPTION: 5 FEET XOVER
SAP: 130005011340
SUPPLIER: TENARIS
UPPER CONN. 3-1/2" TSH BLUE PIN 9.2 PPF SN 28 110 KSI</t>
        </is>
      </c>
      <c r="C175" s="2047" t="n">
        <v>5.02</v>
      </c>
      <c r="D175" s="2048" t="n">
        <v>3.908</v>
      </c>
      <c r="E175" s="2048" t="n">
        <v>2.959</v>
      </c>
      <c r="F175" s="2049" t="inlineStr">
        <is>
          <t>N/A</t>
        </is>
      </c>
      <c r="G175" s="2049" t="inlineStr">
        <is>
          <t>N/A</t>
        </is>
      </c>
      <c r="H175" s="2049" t="inlineStr">
        <is>
          <t>130005011340</t>
        </is>
      </c>
      <c r="I175" s="2049" t="inlineStr">
        <is>
          <t>N/A</t>
        </is>
      </c>
    </row>
    <row r="176" ht="100.5" customHeight="1" s="1158">
      <c r="B176" s="2046" t="inlineStr">
        <is>
          <t>UPPER CONN. 3-1/2" VAM TOP 9.2#PPF INCOLOY 925 BOX
DESCRIPTION: FLOW COUPLING
PN: 2996124
S/N: 130777-04-001
SAP: 130010035671
S UPPLIER: WEATHERFORD
LOWER CONN. 3-1/2" VAM TOP 9.2#PPF</t>
        </is>
      </c>
      <c r="C176" s="2047" t="n">
        <v>5.75</v>
      </c>
      <c r="D176" s="2048" t="n">
        <v>3.937</v>
      </c>
      <c r="E176" s="2048" t="n">
        <v>2.949</v>
      </c>
      <c r="F176" s="2049" t="inlineStr">
        <is>
          <t>2996124</t>
        </is>
      </c>
      <c r="G176" s="2049" t="inlineStr">
        <is>
          <t>130777-04-001</t>
        </is>
      </c>
      <c r="H176" s="2049" t="inlineStr">
        <is>
          <t>130010035671</t>
        </is>
      </c>
      <c r="I176" s="2049" t="inlineStr">
        <is>
          <t>N/A</t>
        </is>
      </c>
    </row>
    <row r="177" ht="144" customHeight="1" s="1158">
      <c r="B177" s="2046" t="inlineStr">
        <is>
          <t>UPPER CONN. 3-1/2" VAM TOP 9.2#PPF
INCOLOY 925
BOX
DESCRIPTION: WEATHERFORD ASSY, TRSV,3.5WZPE-10
2.813WOR,2kSD,9.2# VAM TOP, WN302
PN: 2980845
S/N: 12777594-01
SAP: 130010038007
SUPPLIER: WEATHERFORD
LOWER CONN. 3-1/2" VAM TOP 9.2#PPF</t>
        </is>
      </c>
      <c r="C177" s="2047" t="n">
        <v>4.44</v>
      </c>
      <c r="D177" s="2048" t="n">
        <v>5.46</v>
      </c>
      <c r="E177" s="2048" t="n">
        <v>2.813</v>
      </c>
      <c r="F177" s="2049" t="inlineStr">
        <is>
          <t>2980845</t>
        </is>
      </c>
      <c r="G177" s="2049" t="inlineStr">
        <is>
          <t>12777594-01</t>
        </is>
      </c>
      <c r="H177" s="2049" t="inlineStr">
        <is>
          <t>130010038007</t>
        </is>
      </c>
      <c r="I177" s="2049" t="inlineStr">
        <is>
          <t>N/A</t>
        </is>
      </c>
    </row>
    <row r="178" ht="129" customHeight="1" s="1158">
      <c r="B178" s="2046" t="inlineStr">
        <is>
          <t>UPPER CONN. 3-1/2" VAM TOP 9.2#PPF
INCOLOY 925
BOX
DESCRIPTION: FLOW COUPLING
P/N: 2996124
S/N: 130777-02-002
SAP: 130010035671
SUPPLIER: WEATHERFORD
LOWER CONN. 3-1/2" VAM TOP 9.2#PPF</t>
        </is>
      </c>
      <c r="C178" s="2047" t="n">
        <v>5.75</v>
      </c>
      <c r="D178" s="2048" t="n">
        <v>3.937</v>
      </c>
      <c r="E178" s="2048" t="n">
        <v>2.949</v>
      </c>
      <c r="F178" s="2049" t="inlineStr">
        <is>
          <t>2996124</t>
        </is>
      </c>
      <c r="G178" s="2049" t="inlineStr">
        <is>
          <t>130777-02-002</t>
        </is>
      </c>
      <c r="H178" s="2049" t="inlineStr">
        <is>
          <t>130010035671</t>
        </is>
      </c>
      <c r="I178" s="2049" t="inlineStr">
        <is>
          <t>N/A</t>
        </is>
      </c>
    </row>
    <row r="179" ht="72" customHeight="1" s="1158">
      <c r="B179" s="2046" t="inlineStr">
        <is>
          <t>UPPER CONN. 3-1/2" TSH BLUE BOX 9.2 PPF SN 28 110 KSI
DESCRIPTION: 10 FEET XOVER
SAP: 130005012487
SUPPLIER: TENARIS
LOWER CONN. 3-1/2" VAM TOP PIN 9.2 PPF SN 28 110 KSI</t>
        </is>
      </c>
      <c r="C179" s="2047" t="n">
        <v>9.93</v>
      </c>
      <c r="D179" s="2048" t="n">
        <v>3.937</v>
      </c>
      <c r="E179" s="2048" t="n">
        <v>2.969</v>
      </c>
      <c r="F179" s="2049" t="inlineStr">
        <is>
          <t>N/A</t>
        </is>
      </c>
      <c r="G179" s="2049" t="inlineStr">
        <is>
          <t>N/A</t>
        </is>
      </c>
      <c r="H179" s="2049" t="inlineStr">
        <is>
          <t>130005012487</t>
        </is>
      </c>
      <c r="I179" s="2049" t="inlineStr">
        <is>
          <t>N/A</t>
        </is>
      </c>
    </row>
    <row r="180" ht="14.25" customHeight="1" s="1158">
      <c r="A180" s="1207" t="inlineStr">
        <is>
          <t>JT.#138</t>
        </is>
      </c>
      <c r="B180" s="1207" t="inlineStr">
        <is>
          <t>3 1/2" TSH</t>
        </is>
      </c>
      <c r="C180" s="1421" t="n">
        <v>31</v>
      </c>
    </row>
    <row r="181" ht="14.25" customHeight="1" s="1158">
      <c r="A181" s="1207" t="inlineStr">
        <is>
          <t>JT.#139</t>
        </is>
      </c>
      <c r="B181" s="1207" t="inlineStr">
        <is>
          <t>3 1/2" TSH</t>
        </is>
      </c>
      <c r="C181" s="1421" t="n">
        <v>31</v>
      </c>
    </row>
    <row r="182" ht="14.25" customHeight="1" s="1158">
      <c r="A182" s="1207" t="inlineStr">
        <is>
          <t>JT.#140</t>
        </is>
      </c>
      <c r="B182" s="1207" t="inlineStr">
        <is>
          <t>3 1/2" TSH</t>
        </is>
      </c>
      <c r="C182" s="1421" t="n">
        <v>31</v>
      </c>
    </row>
    <row r="183" ht="14.25" customHeight="1" s="1158">
      <c r="A183" s="1207" t="inlineStr">
        <is>
          <t>JT.#141</t>
        </is>
      </c>
      <c r="B183" s="1207" t="inlineStr">
        <is>
          <t>3 1/2" TSH</t>
        </is>
      </c>
      <c r="C183" s="1421" t="n">
        <v>31</v>
      </c>
    </row>
    <row r="184" ht="14.25" customHeight="1" s="1158">
      <c r="A184" s="1207" t="inlineStr">
        <is>
          <t>JT.#142</t>
        </is>
      </c>
      <c r="B184" s="1207" t="inlineStr">
        <is>
          <t>3 1/2" TSH</t>
        </is>
      </c>
      <c r="C184" s="1421" t="n">
        <v>31</v>
      </c>
    </row>
    <row r="185" ht="72" customHeight="1" s="1158">
      <c r="A185" s="2050" t="inlineStr">
        <is>
          <t>F - 1</t>
        </is>
      </c>
      <c r="B185" s="2051" t="inlineStr">
        <is>
          <t>UPPER CONN. 3-1/2" TENARIS BLUE 9.2#PPF SN 28 110 KSI
DESCRIPTION: 5 FEET PUP JOINT
SAP: 130005011338
SUPPLIER:TENARIS
LOWER CONN. 3-1/2" TENARIS BLUE 9.2#PPF SN 28 110 KSI</t>
        </is>
      </c>
      <c r="C185" s="2052" t="n">
        <v>5.08</v>
      </c>
      <c r="D185" s="2053" t="n">
        <v>3.937</v>
      </c>
      <c r="E185" s="2053" t="n">
        <v>2.969</v>
      </c>
      <c r="F185" s="2054" t="inlineStr">
        <is>
          <t>N/A</t>
        </is>
      </c>
      <c r="G185" s="2054" t="inlineStr">
        <is>
          <t>N/A</t>
        </is>
      </c>
      <c r="H185" s="2054" t="inlineStr">
        <is>
          <t>130005011338</t>
        </is>
      </c>
      <c r="I185" s="2054" t="inlineStr">
        <is>
          <t>N/A</t>
        </is>
      </c>
    </row>
    <row r="186" ht="72" customHeight="1" s="1158">
      <c r="B186" s="2051" t="inlineStr">
        <is>
          <t>UPPER CONN. 4-1/2" VAM TOP 12.6 #PPF SN 28 120 KSI BOX
DESCRIPTION : X OVER
4 1/2 PIN TOP X 3 1/2 PIN BTM
SAP: 130005012767 SUPPLIER: TENARIS
LOWER CONN. 3-1/2" TENARIS BLUE 9.2#PPF SN 28 120 KSI PIN</t>
        </is>
      </c>
      <c r="C186" s="2052" t="n">
        <v>2.48</v>
      </c>
      <c r="D186" s="2053" t="n">
        <v>4.5</v>
      </c>
      <c r="E186" s="2053" t="n">
        <v>2.969</v>
      </c>
      <c r="F186" s="2054" t="inlineStr">
        <is>
          <t>N/A</t>
        </is>
      </c>
      <c r="G186" s="2054" t="inlineStr">
        <is>
          <t>N/A</t>
        </is>
      </c>
      <c r="H186" s="2054" t="inlineStr">
        <is>
          <t>130005012767</t>
        </is>
      </c>
      <c r="I186" s="2054" t="inlineStr">
        <is>
          <t>N/A</t>
        </is>
      </c>
    </row>
    <row r="187" ht="114.75" customHeight="1" s="1158">
      <c r="B187" s="2051" t="inlineStr">
        <is>
          <t>UPPER CONN. 4-1/2" VAM TOP 12.6 #PPF INC 718 120 KSI BOX
DESCRIPTION: GE TBGHGR; CWCT-ED-CLL; 11 X 4-1/2; 4-1/2 12.6 PPF
VAM TOP BOX BTM; 4-1/2 VAM
P/N: R893330-1ADC11 REV D
S/N - ADWHT80698-05
SAP: 130010044633
SUPPLIER: GE
LOWER CONN. 4-1/2" VAM TOP 12.6 #PPF INC 718 120 KSI BOX</t>
        </is>
      </c>
      <c r="C187" s="2052" t="n">
        <v>1.9</v>
      </c>
      <c r="D187" s="2053" t="n">
        <v>11</v>
      </c>
      <c r="E187" s="2053" t="n">
        <v>3.9</v>
      </c>
      <c r="F187" s="2054" t="inlineStr">
        <is>
          <t>R893330-1ADC11 REV D</t>
        </is>
      </c>
      <c r="G187" s="2054" t="inlineStr">
        <is>
          <t>ADWHT80698-05</t>
        </is>
      </c>
      <c r="H187" s="2054" t="inlineStr">
        <is>
          <t>130010044633</t>
        </is>
      </c>
      <c r="I187" s="2054" t="inlineStr">
        <is>
          <t>N/A</t>
        </is>
      </c>
    </row>
    <row r="188" ht="86.25" customHeight="1" s="1158">
      <c r="B188" s="2051" t="inlineStr">
        <is>
          <t>UPPER CONN. 4-1/2" VAMTOP 12.6# L80
Box
DESCRIPTION: 30' LANDING JOINT
SAP: 130005009160
SUPPLIER:VAM
LOWER CONN. 4-1/2" VAMTOP 12.6# L80 PIN</t>
        </is>
      </c>
      <c r="C188" s="2052" t="n">
        <v>24.82</v>
      </c>
      <c r="D188" s="2053" t="n">
        <v>4.937</v>
      </c>
      <c r="E188" s="2053" t="n">
        <v>3.913</v>
      </c>
      <c r="F188" s="2054" t="inlineStr">
        <is>
          <t>N/A</t>
        </is>
      </c>
      <c r="G188" s="2054" t="inlineStr">
        <is>
          <t>N/A</t>
        </is>
      </c>
      <c r="H188" s="2054" t="inlineStr">
        <is>
          <t>130005009160</t>
        </is>
      </c>
      <c r="I188" s="2054" t="inlineStr">
        <is>
          <t>N/A</t>
        </is>
      </c>
    </row>
    <row r="190" ht="91" customHeight="1" s="1158">
      <c r="A190" s="2055" t="inlineStr">
        <is>
          <t>A</t>
        </is>
      </c>
      <c r="B190" s="2056" t="inlineStr">
        <is>
          <t>UPPER CONN. 3-1/2" VAM TOP 9.2#PPF BOX VM 28 110 KSI
DESCRIPTION: WIRELINE ENTRY GUIDE
SN: 16339547-10-008
PN 2996481
SAP: 130010036277
SUPPLIER: WEATHERFORD</t>
        </is>
      </c>
      <c r="C190" s="2057" t="n">
        <v>0.6</v>
      </c>
      <c r="D190" s="2058" t="n">
        <v>3.937</v>
      </c>
      <c r="E190" s="2058" t="n">
        <v>2.949</v>
      </c>
      <c r="F190" s="2059" t="inlineStr">
        <is>
          <t>2996481</t>
        </is>
      </c>
      <c r="G190" s="2059" t="inlineStr">
        <is>
          <t>16339547-10-008</t>
        </is>
      </c>
      <c r="H190" s="2059" t="inlineStr">
        <is>
          <t>130010036277</t>
        </is>
      </c>
      <c r="I190" s="2059" t="inlineStr">
        <is>
          <t>N/A</t>
        </is>
      </c>
    </row>
    <row r="191" ht="76.09999999999999" customHeight="1" s="1158">
      <c r="B191" s="2056" t="inlineStr">
        <is>
          <t>UPPER CONN. 3-1/2" TSH BLUE BOX 9.2 PPF SN 28 110 KSI
DESCRIPTION: 5 FEET XOVER
SAP: 130005011340
SUPPLIER: TENARIS
LOWER CONN. 3-1/2" VAM TOP PIN 9.2 PPF SN 28 110 KSI</t>
        </is>
      </c>
      <c r="C191" s="2057" t="n">
        <v>4.96</v>
      </c>
      <c r="D191" s="2058" t="n">
        <v>3.937</v>
      </c>
      <c r="E191" s="2058" t="n">
        <v>2.969</v>
      </c>
      <c r="F191" s="2059" t="inlineStr">
        <is>
          <t>N/A</t>
        </is>
      </c>
      <c r="G191" s="2059" t="inlineStr">
        <is>
          <t>N/A</t>
        </is>
      </c>
      <c r="H191" s="2059" t="inlineStr">
        <is>
          <t>130005011340</t>
        </is>
      </c>
      <c r="I191" s="2059" t="inlineStr">
        <is>
          <t>N/A</t>
        </is>
      </c>
    </row>
    <row r="192" ht="14.25" customHeight="1" s="1158">
      <c r="A192" s="1207" t="inlineStr">
        <is>
          <t>JT.#1</t>
        </is>
      </c>
      <c r="B192" s="1207" t="inlineStr">
        <is>
          <t>3-1/2" TUBING 9.2 LB/FT ALLOY 28 TSH BL</t>
        </is>
      </c>
      <c r="C192" s="1421" t="n">
        <v>31</v>
      </c>
    </row>
    <row r="193" ht="14.25" customHeight="1" s="1158">
      <c r="A193" s="1207" t="inlineStr">
        <is>
          <t>JT.#2</t>
        </is>
      </c>
      <c r="B193" s="1207" t="inlineStr">
        <is>
          <t>3-1/2" TUBING 9.2 LB/FT ALLOY 28 TSH BL</t>
        </is>
      </c>
      <c r="C193" s="1421" t="n">
        <v>31</v>
      </c>
    </row>
    <row r="194" ht="14.25" customHeight="1" s="1158">
      <c r="A194" s="1207" t="inlineStr">
        <is>
          <t>JT.#3</t>
        </is>
      </c>
      <c r="B194" s="1207" t="inlineStr">
        <is>
          <t>3-1/2" TUBING 9.2 LB/FT ALLOY 28 TSH BL</t>
        </is>
      </c>
      <c r="C194" s="1421" t="n">
        <v>31</v>
      </c>
    </row>
    <row r="195" ht="14.25" customHeight="1" s="1158">
      <c r="A195" s="1207" t="inlineStr">
        <is>
          <t>JT.#4</t>
        </is>
      </c>
      <c r="B195" s="1207" t="inlineStr">
        <is>
          <t>3-1/2" TUBING 9.2 LB/FT ALLOY 28 TSH BL</t>
        </is>
      </c>
      <c r="C195" s="1421" t="n">
        <v>31</v>
      </c>
    </row>
    <row r="196" ht="14.25" customHeight="1" s="1158">
      <c r="A196" s="1207" t="inlineStr">
        <is>
          <t>JT.#5</t>
        </is>
      </c>
      <c r="B196" s="1207" t="inlineStr">
        <is>
          <t>3-1/2" TUBING 9.2 LB/FT ALLOY 28 TSH BL</t>
        </is>
      </c>
      <c r="C196" s="1421" t="n">
        <v>31</v>
      </c>
    </row>
    <row r="197" ht="14.25" customHeight="1" s="1158">
      <c r="A197" s="1207" t="inlineStr">
        <is>
          <t>JT.#6</t>
        </is>
      </c>
      <c r="B197" s="1207" t="inlineStr">
        <is>
          <t>3-1/2" TUBING 9.2 LB/FT ALLOY 28 TSH BL</t>
        </is>
      </c>
      <c r="C197" s="1421" t="n">
        <v>31</v>
      </c>
    </row>
    <row r="198" ht="14.25" customHeight="1" s="1158">
      <c r="A198" s="1207" t="inlineStr">
        <is>
          <t>JT.#7</t>
        </is>
      </c>
      <c r="B198" s="1207" t="inlineStr">
        <is>
          <t>3-1/2" TUBING 9.2 LB/FT ALLOY 28 TSH BL</t>
        </is>
      </c>
      <c r="C198" s="1421" t="n">
        <v>31</v>
      </c>
    </row>
    <row r="199" ht="14.25" customHeight="1" s="1158">
      <c r="A199" s="1207" t="inlineStr">
        <is>
          <t>JT.#8</t>
        </is>
      </c>
      <c r="B199" s="1207" t="inlineStr">
        <is>
          <t>3-1/2" TUBING 9.2 LB/FT ALLOY 28 TSH BL</t>
        </is>
      </c>
      <c r="C199" s="1421" t="n">
        <v>31</v>
      </c>
    </row>
    <row r="200" ht="14.25" customHeight="1" s="1158">
      <c r="A200" s="1207" t="inlineStr">
        <is>
          <t>JT.#9</t>
        </is>
      </c>
      <c r="B200" s="1207" t="inlineStr">
        <is>
          <t>3-1/2" TUBING 9.2 LB/FT ALLOY 28 TSH BL</t>
        </is>
      </c>
      <c r="C200" s="1421" t="n">
        <v>31</v>
      </c>
    </row>
    <row r="201" ht="14.25" customHeight="1" s="1158">
      <c r="A201" s="1207" t="inlineStr">
        <is>
          <t>JT.#10</t>
        </is>
      </c>
      <c r="B201" s="1207" t="inlineStr">
        <is>
          <t>3-1/2" TUBING 9.2 LB/FT ALLOY 28 TSH BL</t>
        </is>
      </c>
      <c r="C201" s="1421" t="n">
        <v>31</v>
      </c>
    </row>
    <row r="202" ht="14.25" customHeight="1" s="1158">
      <c r="A202" s="1207" t="inlineStr">
        <is>
          <t>JT.#11</t>
        </is>
      </c>
      <c r="B202" s="1207" t="inlineStr">
        <is>
          <t>3-1/2" TUBING 9.2 LB/FT ALLOY 28 TSH BL</t>
        </is>
      </c>
      <c r="C202" s="1421" t="n">
        <v>31</v>
      </c>
    </row>
    <row r="203" ht="14.25" customHeight="1" s="1158">
      <c r="A203" s="1207" t="inlineStr">
        <is>
          <t>JT.#12</t>
        </is>
      </c>
      <c r="B203" s="1207" t="inlineStr">
        <is>
          <t>3-1/2" TUBING 9.2 LB/FT ALLOY 28 TSH BL</t>
        </is>
      </c>
      <c r="C203" s="1421" t="n">
        <v>31</v>
      </c>
    </row>
    <row r="204" ht="14.25" customHeight="1" s="1158">
      <c r="A204" s="1207" t="inlineStr">
        <is>
          <t>JT.#13</t>
        </is>
      </c>
      <c r="B204" s="1207" t="inlineStr">
        <is>
          <t>3-1/2" TUBING 9.2 LB/FT ALLOY 28 TSH BL</t>
        </is>
      </c>
      <c r="C204" s="1421" t="n">
        <v>31</v>
      </c>
    </row>
    <row r="205" ht="14.25" customHeight="1" s="1158">
      <c r="A205" s="1207" t="inlineStr">
        <is>
          <t>JT.#14</t>
        </is>
      </c>
      <c r="B205" s="1207" t="inlineStr">
        <is>
          <t>3-1/2" TUBING 9.2 LB/FT ALLOY 28 TSH BL</t>
        </is>
      </c>
      <c r="C205" s="1421" t="n">
        <v>31</v>
      </c>
    </row>
    <row r="206" ht="14.25" customHeight="1" s="1158">
      <c r="A206" s="1207" t="inlineStr">
        <is>
          <t>JT.#15</t>
        </is>
      </c>
      <c r="B206" s="1207" t="inlineStr">
        <is>
          <t>3-1/2" TUBING 9.2 LB/FT ALLOY 28 TSH BL</t>
        </is>
      </c>
      <c r="C206" s="1421" t="n">
        <v>31</v>
      </c>
    </row>
    <row r="207" ht="14.25" customHeight="1" s="1158">
      <c r="A207" s="1207" t="inlineStr">
        <is>
          <t>JT.#16</t>
        </is>
      </c>
      <c r="B207" s="1207" t="inlineStr">
        <is>
          <t>3-1/2" TUBING 9.2 LB/FT ALLOY 28 TSH BL</t>
        </is>
      </c>
      <c r="C207" s="1421" t="n">
        <v>31</v>
      </c>
    </row>
    <row r="208" ht="14.25" customHeight="1" s="1158">
      <c r="A208" s="1207" t="inlineStr">
        <is>
          <t>JT.#17</t>
        </is>
      </c>
      <c r="B208" s="1207" t="inlineStr">
        <is>
          <t>3-1/2" TUBING 9.2 LB/FT ALLOY 28 TSH BL</t>
        </is>
      </c>
      <c r="C208" s="1421" t="n">
        <v>31</v>
      </c>
    </row>
    <row r="209" ht="14.25" customHeight="1" s="1158">
      <c r="A209" s="1207" t="inlineStr">
        <is>
          <t>JT.#18</t>
        </is>
      </c>
      <c r="B209" s="1207" t="inlineStr">
        <is>
          <t>3-1/2" TUBING 9.2 LB/FT ALLOY 28 TSH BL</t>
        </is>
      </c>
      <c r="C209" s="1421" t="n">
        <v>31</v>
      </c>
    </row>
    <row r="210" ht="14.25" customHeight="1" s="1158">
      <c r="A210" s="1207" t="inlineStr">
        <is>
          <t>JT.#19</t>
        </is>
      </c>
      <c r="B210" s="1207" t="inlineStr">
        <is>
          <t>3-1/2" TUBING 9.2 LB/FT ALLOY 28 TSH BL</t>
        </is>
      </c>
      <c r="C210" s="1421" t="n">
        <v>31</v>
      </c>
    </row>
    <row r="211" ht="14.25" customHeight="1" s="1158">
      <c r="A211" s="1207" t="inlineStr">
        <is>
          <t>JT.#20</t>
        </is>
      </c>
      <c r="B211" s="1207" t="inlineStr">
        <is>
          <t>3-1/2" TUBING 9.2 LB/FT ALLOY 28 TSH BL</t>
        </is>
      </c>
      <c r="C211" s="1421" t="n">
        <v>31</v>
      </c>
    </row>
    <row r="212" ht="14.25" customHeight="1" s="1158">
      <c r="A212" s="1207" t="inlineStr">
        <is>
          <t>JT.#21</t>
        </is>
      </c>
      <c r="B212" s="1207" t="inlineStr">
        <is>
          <t>3-1/2" TUBING 9.2 LB/FT ALLOY 28 TSH BL</t>
        </is>
      </c>
      <c r="C212" s="1421" t="n">
        <v>31</v>
      </c>
    </row>
    <row r="213" ht="14.25" customHeight="1" s="1158">
      <c r="A213" s="1207" t="inlineStr">
        <is>
          <t>JT.#22</t>
        </is>
      </c>
      <c r="B213" s="1207" t="inlineStr">
        <is>
          <t>3-1/2" TUBING 9.2 LB/FT ALLOY 28 TSH BL</t>
        </is>
      </c>
      <c r="C213" s="1421" t="n">
        <v>31</v>
      </c>
    </row>
    <row r="214" ht="14.25" customHeight="1" s="1158">
      <c r="A214" s="1207" t="inlineStr">
        <is>
          <t>JT.#23</t>
        </is>
      </c>
      <c r="B214" s="1207" t="inlineStr">
        <is>
          <t>3-1/2" TUBING 9.2 LB/FT ALLOY 28 TSH BL</t>
        </is>
      </c>
      <c r="C214" s="1421" t="n">
        <v>31</v>
      </c>
    </row>
    <row r="215" ht="14.25" customHeight="1" s="1158">
      <c r="A215" s="1207" t="inlineStr">
        <is>
          <t>JT.#24</t>
        </is>
      </c>
      <c r="B215" s="1207" t="inlineStr">
        <is>
          <t>3-1/2" TUBING 9.2 LB/FT ALLOY 28 TSH BL</t>
        </is>
      </c>
      <c r="C215" s="1421" t="n">
        <v>31</v>
      </c>
    </row>
    <row r="216" ht="14.25" customHeight="1" s="1158">
      <c r="A216" s="1207" t="inlineStr">
        <is>
          <t>JT.#25</t>
        </is>
      </c>
      <c r="B216" s="1207" t="inlineStr">
        <is>
          <t>3-1/2" TUBING 9.2 LB/FT ALLOY 28 TSH BL</t>
        </is>
      </c>
      <c r="C216" s="1421" t="n">
        <v>31</v>
      </c>
    </row>
    <row r="217" ht="14.25" customHeight="1" s="1158">
      <c r="A217" s="1207" t="inlineStr">
        <is>
          <t>JT.#26</t>
        </is>
      </c>
      <c r="B217" s="1207" t="inlineStr">
        <is>
          <t>3-1/2" TUBING 9.2 LB/FT ALLOY 28 TSH BL</t>
        </is>
      </c>
      <c r="C217" s="1421" t="n">
        <v>31</v>
      </c>
    </row>
    <row r="218" ht="14.25" customHeight="1" s="1158">
      <c r="A218" s="1207" t="inlineStr">
        <is>
          <t>JT.#27</t>
        </is>
      </c>
      <c r="B218" s="1207" t="inlineStr">
        <is>
          <t>3-1/2" TUBING 9.2 LB/FT ALLOY 28 TSH BL</t>
        </is>
      </c>
      <c r="C218" s="1421" t="n">
        <v>31</v>
      </c>
    </row>
    <row r="219" ht="14.25" customHeight="1" s="1158">
      <c r="A219" s="1207" t="inlineStr">
        <is>
          <t>JT.#28</t>
        </is>
      </c>
      <c r="B219" s="1207" t="inlineStr">
        <is>
          <t>3-1/2" TUBING 9.2 LB/FT ALLOY 28 TSH BL</t>
        </is>
      </c>
      <c r="C219" s="1421" t="n">
        <v>31</v>
      </c>
    </row>
    <row r="220" ht="14.25" customHeight="1" s="1158">
      <c r="A220" s="1207" t="inlineStr">
        <is>
          <t>JT.#29</t>
        </is>
      </c>
      <c r="B220" s="1207" t="inlineStr">
        <is>
          <t>3-1/2" TUBING 9.2 LB/FT ALLOY 28 TSH BL</t>
        </is>
      </c>
      <c r="C220" s="1421" t="n">
        <v>31</v>
      </c>
    </row>
    <row r="221" ht="14.25" customHeight="1" s="1158">
      <c r="A221" s="1207" t="inlineStr">
        <is>
          <t>JT.#30</t>
        </is>
      </c>
      <c r="B221" s="1207" t="inlineStr">
        <is>
          <t>3-1/2" TUBING 9.2 LB/FT ALLOY 28 TSH BL</t>
        </is>
      </c>
      <c r="C221" s="1421" t="n">
        <v>31</v>
      </c>
    </row>
    <row r="222" ht="14.25" customHeight="1" s="1158">
      <c r="A222" s="1207" t="inlineStr">
        <is>
          <t>JT.#31</t>
        </is>
      </c>
      <c r="B222" s="1207" t="inlineStr">
        <is>
          <t>3-1/2" TUBING 9.2 LB/FT ALLOY 28 TSH BL</t>
        </is>
      </c>
      <c r="C222" s="1421" t="n">
        <v>31</v>
      </c>
    </row>
    <row r="223" ht="14.25" customHeight="1" s="1158">
      <c r="A223" s="1207" t="inlineStr">
        <is>
          <t>JT.#32</t>
        </is>
      </c>
      <c r="B223" s="1207" t="inlineStr">
        <is>
          <t>3-1/2" TUBING 9.2 LB/FT ALLOY 28 TSH BL</t>
        </is>
      </c>
      <c r="C223" s="1421" t="n">
        <v>31</v>
      </c>
    </row>
    <row r="224" ht="14.25" customHeight="1" s="1158">
      <c r="A224" s="1207" t="inlineStr">
        <is>
          <t>JT.#33</t>
        </is>
      </c>
      <c r="B224" s="1207" t="inlineStr">
        <is>
          <t>3-1/2" TUBING 9.2 LB/FT ALLOY 28 TSH BL</t>
        </is>
      </c>
      <c r="C224" s="1421" t="n">
        <v>31</v>
      </c>
    </row>
    <row r="225" ht="14.25" customHeight="1" s="1158">
      <c r="A225" s="1207" t="inlineStr">
        <is>
          <t>JT.#34</t>
        </is>
      </c>
      <c r="B225" s="1207" t="inlineStr">
        <is>
          <t>3-1/2" TUBING 9.2 LB/FT ALLOY 28 TSH BL</t>
        </is>
      </c>
      <c r="C225" s="1421" t="n">
        <v>31</v>
      </c>
    </row>
    <row r="226" ht="14.25" customHeight="1" s="1158">
      <c r="A226" s="1207" t="inlineStr">
        <is>
          <t>JT.#35</t>
        </is>
      </c>
      <c r="B226" s="1207" t="inlineStr">
        <is>
          <t>3-1/2" TUBING 9.2 LB/FT ALLOY 28 TSH BL</t>
        </is>
      </c>
      <c r="C226" s="1421" t="n">
        <v>31</v>
      </c>
    </row>
    <row r="227" ht="14.25" customHeight="1" s="1158">
      <c r="A227" s="1207" t="inlineStr">
        <is>
          <t>JT.#36</t>
        </is>
      </c>
      <c r="B227" s="1207" t="inlineStr">
        <is>
          <t>3-1/2" TUBING 9.2 LB/FT ALLOY 28 TSH BL</t>
        </is>
      </c>
      <c r="C227" s="1421" t="n">
        <v>31</v>
      </c>
    </row>
    <row r="228" ht="14.25" customHeight="1" s="1158">
      <c r="A228" s="1207" t="inlineStr">
        <is>
          <t>JT.#37</t>
        </is>
      </c>
      <c r="B228" s="1207" t="inlineStr">
        <is>
          <t>3-1/2" TUBING 9.2 LB/FT ALLOY 28 TSH BL</t>
        </is>
      </c>
      <c r="C228" s="1421" t="n">
        <v>31</v>
      </c>
    </row>
    <row r="229" ht="14.25" customHeight="1" s="1158">
      <c r="A229" s="1207" t="inlineStr">
        <is>
          <t>JT.#38</t>
        </is>
      </c>
      <c r="B229" s="1207" t="inlineStr">
        <is>
          <t>3-1/2" TUBING 9.2 LB/FT ALLOY 28 TSH BL</t>
        </is>
      </c>
      <c r="C229" s="1421" t="n">
        <v>31</v>
      </c>
    </row>
    <row r="230" ht="14.25" customHeight="1" s="1158">
      <c r="A230" s="1207" t="inlineStr">
        <is>
          <t>JT.#39</t>
        </is>
      </c>
      <c r="B230" s="1207" t="inlineStr">
        <is>
          <t>3-1/2" TUBING 9.2 LB/FT ALLOY 28 TSH BL</t>
        </is>
      </c>
      <c r="C230" s="1421" t="n">
        <v>31</v>
      </c>
    </row>
    <row r="231" ht="14.25" customHeight="1" s="1158">
      <c r="A231" s="1207" t="inlineStr">
        <is>
          <t>JT.#40</t>
        </is>
      </c>
      <c r="B231" s="1207" t="inlineStr">
        <is>
          <t>3-1/2" TUBING 9.2 LB/FT ALLOY 28 TSH BL</t>
        </is>
      </c>
      <c r="C231" s="1421" t="n">
        <v>31</v>
      </c>
    </row>
    <row r="232" ht="14.25" customHeight="1" s="1158">
      <c r="A232" s="1207" t="inlineStr">
        <is>
          <t>JT.#41</t>
        </is>
      </c>
      <c r="B232" s="1207" t="inlineStr">
        <is>
          <t>3-1/2" TUBING 9.2 LB/FT ALLOY 28 TSH BL</t>
        </is>
      </c>
      <c r="C232" s="1421" t="n">
        <v>31</v>
      </c>
    </row>
    <row r="233" ht="14.25" customHeight="1" s="1158">
      <c r="A233" s="1207" t="inlineStr">
        <is>
          <t>JT.#42</t>
        </is>
      </c>
      <c r="B233" s="1207" t="inlineStr">
        <is>
          <t>3-1/2" TUBING 9.2 LB/FT ALLOY 28 TSH BL</t>
        </is>
      </c>
      <c r="C233" s="1421" t="n">
        <v>31</v>
      </c>
    </row>
    <row r="234" ht="14.25" customHeight="1" s="1158">
      <c r="A234" s="1207" t="inlineStr">
        <is>
          <t>JT.#43</t>
        </is>
      </c>
      <c r="B234" s="1207" t="inlineStr">
        <is>
          <t>3-1/2" TUBING 9.2 LB/FT ALLOY 28 TSH BL</t>
        </is>
      </c>
      <c r="C234" s="1421" t="n">
        <v>31</v>
      </c>
    </row>
    <row r="235" ht="14.25" customHeight="1" s="1158">
      <c r="A235" s="1207" t="inlineStr">
        <is>
          <t>JT.#44</t>
        </is>
      </c>
      <c r="B235" s="1207" t="inlineStr">
        <is>
          <t>3-1/2" TUBING 9.2 LB/FT ALLOY 28 TSH BL</t>
        </is>
      </c>
      <c r="C235" s="1421" t="n">
        <v>31</v>
      </c>
    </row>
    <row r="236" ht="14.25" customHeight="1" s="1158">
      <c r="A236" s="1207" t="inlineStr">
        <is>
          <t>JT.#45</t>
        </is>
      </c>
      <c r="B236" s="1207" t="inlineStr">
        <is>
          <t>3-1/2" TUBING 9.2 LB/FT ALLOY 28 TSH BL</t>
        </is>
      </c>
      <c r="C236" s="1421" t="n">
        <v>31</v>
      </c>
    </row>
    <row r="237" ht="14.25" customHeight="1" s="1158">
      <c r="A237" s="1207" t="inlineStr">
        <is>
          <t>JT.#46</t>
        </is>
      </c>
      <c r="B237" s="1207" t="inlineStr">
        <is>
          <t>3-1/2" TUBING 9.2 LB/FT ALLOY 28 TSH BL</t>
        </is>
      </c>
      <c r="C237" s="1421" t="n">
        <v>31</v>
      </c>
    </row>
    <row r="238" ht="14.25" customHeight="1" s="1158">
      <c r="A238" s="1207" t="inlineStr">
        <is>
          <t>JT.#47</t>
        </is>
      </c>
      <c r="B238" s="1207" t="inlineStr">
        <is>
          <t>3-1/2" TUBING 9.2 LB/FT ALLOY 28 TSH BL</t>
        </is>
      </c>
      <c r="C238" s="1421" t="n">
        <v>31</v>
      </c>
    </row>
    <row r="239" ht="14.25" customHeight="1" s="1158">
      <c r="A239" s="1207" t="inlineStr">
        <is>
          <t>JT.#48</t>
        </is>
      </c>
      <c r="B239" s="1207" t="inlineStr">
        <is>
          <t>3-1/2" TUBING 9.2 LB/FT ALLOY 28 TSH BL</t>
        </is>
      </c>
      <c r="C239" s="1421" t="n">
        <v>31</v>
      </c>
    </row>
    <row r="240" ht="14.25" customHeight="1" s="1158">
      <c r="A240" s="1207" t="inlineStr">
        <is>
          <t>JT.#49</t>
        </is>
      </c>
      <c r="B240" s="1207" t="inlineStr">
        <is>
          <t>3-1/2" TUBING 9.2 LB/FT ALLOY 28 TSH BL</t>
        </is>
      </c>
      <c r="C240" s="1421" t="n">
        <v>31</v>
      </c>
    </row>
    <row r="241" ht="14.25" customHeight="1" s="1158">
      <c r="A241" s="1207" t="inlineStr">
        <is>
          <t>JT.#50</t>
        </is>
      </c>
      <c r="B241" s="1207" t="inlineStr">
        <is>
          <t>3-1/2" TUBING 9.2 LB/FT ALLOY 28 TSH BL</t>
        </is>
      </c>
      <c r="C241" s="1421" t="n">
        <v>31</v>
      </c>
    </row>
    <row r="242" ht="14.25" customHeight="1" s="1158">
      <c r="A242" s="1207" t="inlineStr">
        <is>
          <t>JT.#51</t>
        </is>
      </c>
      <c r="B242" s="1207" t="inlineStr">
        <is>
          <t>3-1/2" TUBING 9.2 LB/FT ALLOY 28 TSH BL</t>
        </is>
      </c>
      <c r="C242" s="1421" t="n">
        <v>31</v>
      </c>
    </row>
    <row r="243" ht="14.25" customHeight="1" s="1158">
      <c r="A243" s="1207" t="inlineStr">
        <is>
          <t>JT.#52</t>
        </is>
      </c>
      <c r="B243" s="1207" t="inlineStr">
        <is>
          <t>3-1/2" TUBING 9.2 LB/FT ALLOY 28 TSH BL</t>
        </is>
      </c>
      <c r="C243" s="1421" t="n">
        <v>31</v>
      </c>
    </row>
    <row r="244" ht="14.25" customHeight="1" s="1158">
      <c r="A244" s="1207" t="inlineStr">
        <is>
          <t>JT.#53</t>
        </is>
      </c>
      <c r="B244" s="1207" t="inlineStr">
        <is>
          <t>3-1/2" TUBING 9.2 LB/FT ALLOY 28 TSH BL</t>
        </is>
      </c>
      <c r="C244" s="1421" t="n">
        <v>31</v>
      </c>
    </row>
    <row r="245" ht="14.25" customHeight="1" s="1158">
      <c r="A245" s="1207" t="inlineStr">
        <is>
          <t>JT.#54</t>
        </is>
      </c>
      <c r="B245" s="1207" t="inlineStr">
        <is>
          <t>3-1/2" TUBING 9.2 LB/FT ALLOY 28 TSH BL</t>
        </is>
      </c>
      <c r="C245" s="1421" t="n">
        <v>31</v>
      </c>
    </row>
    <row r="246" ht="14.25" customHeight="1" s="1158">
      <c r="A246" s="1207" t="inlineStr">
        <is>
          <t>JT.#55</t>
        </is>
      </c>
      <c r="B246" s="1207" t="inlineStr">
        <is>
          <t>3-1/2" TUBING 9.2 LB/FT ALLOY 28 TSH BL</t>
        </is>
      </c>
      <c r="C246" s="1421" t="n">
        <v>31</v>
      </c>
    </row>
    <row r="247" ht="14.25" customHeight="1" s="1158">
      <c r="A247" s="1207" t="inlineStr">
        <is>
          <t>JT.#56</t>
        </is>
      </c>
      <c r="B247" s="1207" t="inlineStr">
        <is>
          <t>3-1/2" TUBING 9.2 LB/FT ALLOY 28 TSH BL</t>
        </is>
      </c>
      <c r="C247" s="1421" t="n">
        <v>31</v>
      </c>
    </row>
    <row r="248" ht="14.25" customHeight="1" s="1158">
      <c r="A248" s="1207" t="inlineStr">
        <is>
          <t>JT.#57</t>
        </is>
      </c>
      <c r="B248" s="1207" t="inlineStr">
        <is>
          <t>3-1/2" TUBING 9.2 LB/FT ALLOY 28 TSH BL</t>
        </is>
      </c>
      <c r="C248" s="1421" t="n">
        <v>31</v>
      </c>
    </row>
    <row r="249" ht="14.25" customHeight="1" s="1158">
      <c r="A249" s="1207" t="inlineStr">
        <is>
          <t>JT.#58</t>
        </is>
      </c>
      <c r="B249" s="1207" t="inlineStr">
        <is>
          <t>3-1/2" TUBING 9.2 LB/FT ALLOY 28 TSH BL</t>
        </is>
      </c>
      <c r="C249" s="1421" t="n">
        <v>31</v>
      </c>
    </row>
    <row r="250" ht="14.25" customHeight="1" s="1158">
      <c r="A250" s="1207" t="inlineStr">
        <is>
          <t>JT.#59</t>
        </is>
      </c>
      <c r="B250" s="1207" t="inlineStr">
        <is>
          <t>3-1/2" TUBING 9.2 LB/FT ALLOY 28 TSH BL</t>
        </is>
      </c>
      <c r="C250" s="1421" t="n">
        <v>31</v>
      </c>
    </row>
    <row r="251" ht="14.25" customHeight="1" s="1158">
      <c r="A251" s="1207" t="inlineStr">
        <is>
          <t>JT.#60</t>
        </is>
      </c>
      <c r="B251" s="1207" t="inlineStr">
        <is>
          <t>3-1/2" TUBING 9.2 LB/FT ALLOY 28 TSH BL</t>
        </is>
      </c>
      <c r="C251" s="1421" t="n">
        <v>31</v>
      </c>
    </row>
    <row r="252" ht="14.25" customHeight="1" s="1158">
      <c r="A252" s="1207" t="inlineStr">
        <is>
          <t>JT.#61</t>
        </is>
      </c>
      <c r="B252" s="1207" t="inlineStr">
        <is>
          <t>3-1/2" TUBING 9.2 LB/FT ALLOY 28 TSH BL</t>
        </is>
      </c>
      <c r="C252" s="1421" t="n">
        <v>31</v>
      </c>
    </row>
    <row r="253" ht="14.25" customHeight="1" s="1158">
      <c r="A253" s="1207" t="inlineStr">
        <is>
          <t>JT.#62</t>
        </is>
      </c>
      <c r="B253" s="1207" t="inlineStr">
        <is>
          <t>3-1/2" TUBING 9.2 LB/FT ALLOY 28 TSH BL</t>
        </is>
      </c>
      <c r="C253" s="1421" t="n">
        <v>31</v>
      </c>
    </row>
    <row r="254" ht="14.25" customHeight="1" s="1158">
      <c r="A254" s="1207" t="inlineStr">
        <is>
          <t>JT.#63</t>
        </is>
      </c>
      <c r="B254" s="1207" t="inlineStr">
        <is>
          <t>3-1/2" TUBING 9.2 LB/FT ALLOY 28 TSH BL</t>
        </is>
      </c>
      <c r="C254" s="1421" t="n">
        <v>31</v>
      </c>
    </row>
    <row r="255" ht="14.25" customHeight="1" s="1158">
      <c r="A255" s="1207" t="inlineStr">
        <is>
          <t>JT.#64</t>
        </is>
      </c>
      <c r="B255" s="1207" t="inlineStr">
        <is>
          <t>3-1/2" TUBING 9.2 LB/FT ALLOY 28 TSH BL</t>
        </is>
      </c>
      <c r="C255" s="1421" t="n">
        <v>31</v>
      </c>
    </row>
    <row r="256" ht="14.25" customHeight="1" s="1158">
      <c r="A256" s="1207" t="inlineStr">
        <is>
          <t>JT.#65</t>
        </is>
      </c>
      <c r="B256" s="1207" t="inlineStr">
        <is>
          <t>3-1/2" TUBING 9.2 LB/FT ALLOY 28 TSH BL</t>
        </is>
      </c>
      <c r="C256" s="1421" t="n">
        <v>31</v>
      </c>
    </row>
    <row r="257" ht="14.25" customHeight="1" s="1158">
      <c r="A257" s="1207" t="inlineStr">
        <is>
          <t>JT.#66</t>
        </is>
      </c>
      <c r="B257" s="1207" t="inlineStr">
        <is>
          <t>3-1/2" TUBING 9.2 LB/FT ALLOY 28 TSH BL</t>
        </is>
      </c>
      <c r="C257" s="1421" t="n">
        <v>31</v>
      </c>
    </row>
    <row r="258" ht="76.09999999999999" customHeight="1" s="1158">
      <c r="A258" s="2060" t="inlineStr">
        <is>
          <t>SP-01</t>
        </is>
      </c>
      <c r="B258" s="2061" t="inlineStr">
        <is>
          <t>UPPER CONN. 3-1/2" VAM TOP BOX 9.2 PPF SN 28 110 KSI
DESCRIPTION: 5 FEET XOVER
SAP: 130005011340
SUPPLIER: TENARIS
UPPER CONN. 3-1/2" TSH BLUE PIN 9.2 PPF SN 28 110 KSI</t>
        </is>
      </c>
      <c r="C258" s="2062" t="n">
        <v>5.18</v>
      </c>
      <c r="D258" s="2063" t="n">
        <v>3.908</v>
      </c>
      <c r="E258" s="2063" t="n">
        <v>2.959</v>
      </c>
      <c r="F258" s="2064" t="inlineStr">
        <is>
          <t>N/A</t>
        </is>
      </c>
      <c r="G258" s="2064" t="inlineStr">
        <is>
          <t>N/A</t>
        </is>
      </c>
      <c r="H258" s="2064" t="inlineStr">
        <is>
          <t>130005011340</t>
        </is>
      </c>
      <c r="I258" s="2064" t="inlineStr">
        <is>
          <t>N/A</t>
        </is>
      </c>
    </row>
    <row r="259" ht="135.8" customHeight="1" s="1158">
      <c r="B259" s="2061" t="inlineStr">
        <is>
          <t>UPPER CONN.
3-1/2 9.2 PPF, 110KSI VAM TOP BOX
DESCRIPTION:
PCKR, SWEL,6,3-1/2,A925, OIL
P/N: 2991712
S/N: RDT-UAE-1003629
SAP: 130010039426
SUPPLIER: WFD-REACTIVE
LOWER CONN.</t>
        </is>
      </c>
      <c r="C259" s="2062" t="n">
        <v>30.88</v>
      </c>
      <c r="D259" s="2063" t="n">
        <v>5.7</v>
      </c>
      <c r="E259" s="2063" t="n">
        <v>2.953</v>
      </c>
      <c r="F259" s="2064" t="inlineStr">
        <is>
          <t>2991712</t>
        </is>
      </c>
      <c r="G259" s="2064" t="inlineStr">
        <is>
          <t>RDT-UAE-1003629</t>
        </is>
      </c>
      <c r="H259" s="2064" t="inlineStr">
        <is>
          <t>130010039426</t>
        </is>
      </c>
      <c r="I259" s="2064" t="inlineStr">
        <is>
          <t>N/A</t>
        </is>
      </c>
    </row>
    <row r="260" ht="76.09999999999999" customHeight="1" s="1158">
      <c r="B260" s="2061" t="inlineStr">
        <is>
          <t>UPPER CONN . 3-1/2" TSH BLUE BOX 9.2 PPF SN 28 110 KSI
DESCRIPTION: 3 FEET XOVER
SAP: 130005011337
SUPPLIER: TENARIS
LOWER CONN. 3-1/2" VAM TOP PIN 9.2 PPF SN 28 110 KSI</t>
        </is>
      </c>
      <c r="C260" s="2062" t="n">
        <v>2.78</v>
      </c>
      <c r="D260" s="2063" t="n">
        <v>3.937</v>
      </c>
      <c r="E260" s="2063" t="n">
        <v>2.969</v>
      </c>
      <c r="F260" s="2064" t="inlineStr">
        <is>
          <t>N/A</t>
        </is>
      </c>
      <c r="G260" s="2064" t="inlineStr">
        <is>
          <t>N/A</t>
        </is>
      </c>
      <c r="H260" s="2064" t="inlineStr">
        <is>
          <t>130005011337</t>
        </is>
      </c>
      <c r="I260" s="2064" t="inlineStr">
        <is>
          <t>N/A</t>
        </is>
      </c>
    </row>
    <row r="261" ht="14.25" customHeight="1" s="1158">
      <c r="A261" s="1207" t="inlineStr">
        <is>
          <t>JT.#67</t>
        </is>
      </c>
      <c r="B261" s="1207" t="inlineStr">
        <is>
          <t>3-1/2" TUBING 9.2 LB/FT ALLOY 28 TSH BL</t>
        </is>
      </c>
      <c r="C261" s="1421" t="n">
        <v>31</v>
      </c>
    </row>
    <row r="262" ht="14.25" customHeight="1" s="1158">
      <c r="A262" s="1207" t="inlineStr">
        <is>
          <t>JT.#68</t>
        </is>
      </c>
      <c r="B262" s="1207" t="inlineStr">
        <is>
          <t>3-1/2" TUBING 9.2 LB/FT ALLOY 28 TSH BL</t>
        </is>
      </c>
      <c r="C262" s="1421" t="n">
        <v>31</v>
      </c>
    </row>
    <row r="263" ht="14.25" customHeight="1" s="1158">
      <c r="A263" s="1207" t="inlineStr">
        <is>
          <t>JT.#69</t>
        </is>
      </c>
      <c r="B263" s="1207" t="inlineStr">
        <is>
          <t>3-1/2" TUBING 9.2 LB/FT ALLOY 28 TSH BL</t>
        </is>
      </c>
      <c r="C263" s="1421" t="n">
        <v>31</v>
      </c>
    </row>
    <row r="264" ht="14.25" customHeight="1" s="1158">
      <c r="A264" s="1207" t="inlineStr">
        <is>
          <t>JT.#70</t>
        </is>
      </c>
      <c r="B264" s="1207" t="inlineStr">
        <is>
          <t>3-1/2" TUBING 9.2 LB/FT ALLOY 28 TSH BL</t>
        </is>
      </c>
      <c r="C264" s="1421" t="n">
        <v>31</v>
      </c>
    </row>
    <row r="265" ht="14.25" customHeight="1" s="1158">
      <c r="A265" s="1207" t="inlineStr">
        <is>
          <t>JT.#71</t>
        </is>
      </c>
      <c r="B265" s="1207" t="inlineStr">
        <is>
          <t>3-1/2" TUBING 9.2 LB/FT ALLOY 28 TSH BL</t>
        </is>
      </c>
      <c r="C265" s="1421" t="n">
        <v>31</v>
      </c>
    </row>
    <row r="266" ht="14.25" customHeight="1" s="1158">
      <c r="A266" s="1207" t="inlineStr">
        <is>
          <t>JT.#72</t>
        </is>
      </c>
      <c r="B266" s="1207" t="inlineStr">
        <is>
          <t>3-1/2" TUBING 9.2 LB/FT ALLOY 28 TSH BL</t>
        </is>
      </c>
      <c r="C266" s="1421" t="n">
        <v>31</v>
      </c>
    </row>
    <row r="267" ht="14.25" customHeight="1" s="1158">
      <c r="A267" s="1207" t="inlineStr">
        <is>
          <t>JT.#73</t>
        </is>
      </c>
      <c r="B267" s="1207" t="inlineStr">
        <is>
          <t>3-1/2" TUBING 9.2 LB/FT ALLOY 28 TSH BL</t>
        </is>
      </c>
      <c r="C267" s="1421" t="n">
        <v>31</v>
      </c>
    </row>
    <row r="268" ht="14.25" customHeight="1" s="1158">
      <c r="A268" s="1207" t="inlineStr">
        <is>
          <t>JT.#74</t>
        </is>
      </c>
      <c r="B268" s="1207" t="inlineStr">
        <is>
          <t>3-1/2" TUBING 9.2 LB/FT ALLOY 28 TSH BL</t>
        </is>
      </c>
      <c r="C268" s="1421" t="n">
        <v>31</v>
      </c>
    </row>
    <row r="269" ht="14.25" customHeight="1" s="1158">
      <c r="A269" s="1207" t="inlineStr">
        <is>
          <t>JT.#75</t>
        </is>
      </c>
      <c r="B269" s="1207" t="inlineStr">
        <is>
          <t>3-1/2" TUBING 9.2 LB/FT ALLOY 28 TSH BL</t>
        </is>
      </c>
      <c r="C269" s="1421" t="n">
        <v>31</v>
      </c>
    </row>
    <row r="270" ht="14.25" customHeight="1" s="1158">
      <c r="A270" s="1207" t="inlineStr">
        <is>
          <t>JT.#76</t>
        </is>
      </c>
      <c r="B270" s="1207" t="inlineStr">
        <is>
          <t>3-1/2" TUBING 9.2 LB/FT ALLOY 28 TSH BL</t>
        </is>
      </c>
      <c r="C270" s="1421" t="n">
        <v>31</v>
      </c>
    </row>
    <row r="271" ht="14.25" customHeight="1" s="1158">
      <c r="A271" s="1207" t="inlineStr">
        <is>
          <t>JT.#77</t>
        </is>
      </c>
      <c r="B271" s="1207" t="inlineStr">
        <is>
          <t>3-1/2" TUBING 9.2 LB/FT ALLOY 28 TSH BL</t>
        </is>
      </c>
      <c r="C271" s="1421" t="n">
        <v>31</v>
      </c>
    </row>
    <row r="272" ht="14.25" customHeight="1" s="1158">
      <c r="A272" s="1207" t="inlineStr">
        <is>
          <t>JT.#78</t>
        </is>
      </c>
      <c r="B272" s="1207" t="inlineStr">
        <is>
          <t>3-1/2" TUBING 9.2 LB/FT ALLOY 28 TSH BL</t>
        </is>
      </c>
      <c r="C272" s="1421" t="n">
        <v>31</v>
      </c>
    </row>
    <row r="273" ht="14.25" customHeight="1" s="1158">
      <c r="A273" s="1207" t="inlineStr">
        <is>
          <t>JT.#79</t>
        </is>
      </c>
      <c r="B273" s="1207" t="inlineStr">
        <is>
          <t>3-1/2" TUBING 9.2 LB/FT ALLOY 28 TSH BL</t>
        </is>
      </c>
      <c r="C273" s="1421" t="n">
        <v>31</v>
      </c>
    </row>
    <row r="274" ht="14.25" customHeight="1" s="1158">
      <c r="A274" s="1207" t="inlineStr">
        <is>
          <t>JT.#80</t>
        </is>
      </c>
      <c r="B274" s="1207" t="inlineStr">
        <is>
          <t>3-1/2" TUBING 9.2 LB/FT ALLOY 28 TSH BL</t>
        </is>
      </c>
      <c r="C274" s="1421" t="n">
        <v>31</v>
      </c>
    </row>
    <row r="275" ht="14.25" customHeight="1" s="1158">
      <c r="A275" s="1207" t="inlineStr">
        <is>
          <t>JT.#81</t>
        </is>
      </c>
      <c r="B275" s="1207" t="inlineStr">
        <is>
          <t>3-1/2" TUBING 9.2 LB/FT ALLOY 28 TSH BL</t>
        </is>
      </c>
      <c r="C275" s="1421" t="n">
        <v>31</v>
      </c>
    </row>
    <row r="276" ht="14.25" customHeight="1" s="1158">
      <c r="A276" s="1207" t="inlineStr">
        <is>
          <t>JT.#82</t>
        </is>
      </c>
      <c r="B276" s="1207" t="inlineStr">
        <is>
          <t>3-1/2" TUBING 9.2 LB/FT ALLOY 28 TSH BL</t>
        </is>
      </c>
      <c r="C276" s="1421" t="n">
        <v>31</v>
      </c>
    </row>
    <row r="277" ht="14.25" customHeight="1" s="1158">
      <c r="A277" s="1207" t="inlineStr">
        <is>
          <t>JT.#83</t>
        </is>
      </c>
      <c r="B277" s="1207" t="inlineStr">
        <is>
          <t>3-1/2" TUBING 9.2 LB/FT ALLOY 28 TSH BL</t>
        </is>
      </c>
      <c r="C277" s="1421" t="n">
        <v>31</v>
      </c>
    </row>
    <row r="278" ht="14.25" customHeight="1" s="1158">
      <c r="A278" s="1207" t="inlineStr">
        <is>
          <t>JT.#84</t>
        </is>
      </c>
      <c r="B278" s="1207" t="inlineStr">
        <is>
          <t>3-1/2" TUBING 9.2 LB/FT ALLOY 28 TSH BL</t>
        </is>
      </c>
      <c r="C278" s="1421" t="n">
        <v>31</v>
      </c>
    </row>
    <row r="279" ht="14.25" customHeight="1" s="1158">
      <c r="A279" s="1207" t="inlineStr">
        <is>
          <t>JT.#85</t>
        </is>
      </c>
      <c r="B279" s="1207" t="inlineStr">
        <is>
          <t>3-1/2" TUBING 9.2 LB/FT ALLOY 28 TSH BL</t>
        </is>
      </c>
      <c r="C279" s="1421" t="n">
        <v>31</v>
      </c>
    </row>
    <row r="280" ht="14.25" customHeight="1" s="1158">
      <c r="A280" s="1207" t="inlineStr">
        <is>
          <t>JT.#86</t>
        </is>
      </c>
      <c r="B280" s="1207" t="inlineStr">
        <is>
          <t>3-1/2" TUBING 9.2 LB/FT ALLOY 28 TSH BL</t>
        </is>
      </c>
      <c r="C280" s="1421" t="n">
        <v>31</v>
      </c>
    </row>
    <row r="281" ht="14.25" customHeight="1" s="1158">
      <c r="A281" s="1207" t="inlineStr">
        <is>
          <t>JT.#87</t>
        </is>
      </c>
      <c r="B281" s="1207" t="inlineStr">
        <is>
          <t>3-1/2" TUBING 9.2 LB/FT ALLOY 28 TSH BL</t>
        </is>
      </c>
      <c r="C281" s="1421" t="n">
        <v>31</v>
      </c>
    </row>
    <row r="282" ht="14.25" customHeight="1" s="1158">
      <c r="A282" s="1207" t="inlineStr">
        <is>
          <t>JT.#88</t>
        </is>
      </c>
      <c r="B282" s="1207" t="inlineStr">
        <is>
          <t>3-1/2" TUBING 9.2 LB/FT ALLOY 28 TSH BL</t>
        </is>
      </c>
      <c r="C282" s="1421" t="n">
        <v>31</v>
      </c>
    </row>
    <row r="283" ht="14.25" customHeight="1" s="1158">
      <c r="A283" s="1207" t="inlineStr">
        <is>
          <t>JT.#89</t>
        </is>
      </c>
      <c r="B283" s="1207" t="inlineStr">
        <is>
          <t>3-1/2" TUBING 9.2 LB/FT ALLOY 28 TSH BL</t>
        </is>
      </c>
      <c r="C283" s="1421" t="n">
        <v>31</v>
      </c>
    </row>
    <row r="284" ht="14.25" customHeight="1" s="1158">
      <c r="A284" s="1207" t="inlineStr">
        <is>
          <t>JT.#90</t>
        </is>
      </c>
      <c r="B284" s="1207" t="inlineStr">
        <is>
          <t>3-1/2" TUBING 9.2 LB/FT ALLOY 28 TSH BL</t>
        </is>
      </c>
      <c r="C284" s="1421" t="n">
        <v>31</v>
      </c>
    </row>
    <row r="285" ht="14.25" customHeight="1" s="1158">
      <c r="A285" s="1207" t="inlineStr">
        <is>
          <t>JT.#91</t>
        </is>
      </c>
      <c r="B285" s="1207" t="inlineStr">
        <is>
          <t>3-1/2" TUBING 9.2 LB/FT ALLOY 28 TSH BL</t>
        </is>
      </c>
      <c r="C285" s="1421" t="n">
        <v>31</v>
      </c>
    </row>
    <row r="286" ht="14.25" customHeight="1" s="1158">
      <c r="A286" s="1207" t="inlineStr">
        <is>
          <t>JT.#92</t>
        </is>
      </c>
      <c r="B286" s="1207" t="inlineStr">
        <is>
          <t>3-1/2" TUBING 9.2 LB/FT ALLOY 28 TSH BL</t>
        </is>
      </c>
      <c r="C286" s="1421" t="n">
        <v>31</v>
      </c>
    </row>
    <row r="287" ht="14.25" customHeight="1" s="1158">
      <c r="A287" s="1207" t="inlineStr">
        <is>
          <t>JT.#93</t>
        </is>
      </c>
      <c r="B287" s="1207" t="inlineStr">
        <is>
          <t>3-1/2" TUBING 9.2 LB/FT ALLOY 28 TSH BL</t>
        </is>
      </c>
      <c r="C287" s="1421" t="n">
        <v>31</v>
      </c>
    </row>
    <row r="288" ht="14.25" customHeight="1" s="1158">
      <c r="A288" s="1207" t="inlineStr">
        <is>
          <t>JT.#94</t>
        </is>
      </c>
      <c r="B288" s="1207" t="inlineStr">
        <is>
          <t>3-1/2" TUBING 9.2 LB/FT ALLOY 28 TSH BL</t>
        </is>
      </c>
      <c r="C288" s="1421" t="n">
        <v>31</v>
      </c>
    </row>
    <row r="289" ht="14.25" customHeight="1" s="1158">
      <c r="A289" s="1207" t="inlineStr">
        <is>
          <t>JT.#95</t>
        </is>
      </c>
      <c r="B289" s="1207" t="inlineStr">
        <is>
          <t>3-1/2" TUBING 9.2 LB/FT ALLOY 28 TSH BL</t>
        </is>
      </c>
      <c r="C289" s="1421" t="n">
        <v>31</v>
      </c>
    </row>
    <row r="290" ht="14.25" customHeight="1" s="1158">
      <c r="A290" s="1207" t="inlineStr">
        <is>
          <t>JT.#96</t>
        </is>
      </c>
      <c r="B290" s="1207" t="inlineStr">
        <is>
          <t>3-1/2" TUBING 9.2 LB/FT ALLOY 28 TSH BL</t>
        </is>
      </c>
      <c r="C290" s="1421" t="n">
        <v>31</v>
      </c>
    </row>
    <row r="291" ht="14.25" customHeight="1" s="1158">
      <c r="A291" s="1207" t="inlineStr">
        <is>
          <t>JT.#97</t>
        </is>
      </c>
      <c r="B291" s="1207" t="inlineStr">
        <is>
          <t>3-1/2" TUBING 9.2 LB/FT ALLOY 28 TSH BL</t>
        </is>
      </c>
      <c r="C291" s="1421" t="n">
        <v>31</v>
      </c>
    </row>
    <row r="292" ht="14.25" customHeight="1" s="1158">
      <c r="A292" s="1207" t="inlineStr">
        <is>
          <t>JT.#98</t>
        </is>
      </c>
      <c r="B292" s="1207" t="inlineStr">
        <is>
          <t>3-1/2" TUBING 9.2 LB/FT ALLOY 28 TSH BL</t>
        </is>
      </c>
      <c r="C292" s="1421" t="n">
        <v>31</v>
      </c>
    </row>
    <row r="293" ht="14.25" customHeight="1" s="1158">
      <c r="A293" s="1207" t="inlineStr">
        <is>
          <t>JT.#99</t>
        </is>
      </c>
      <c r="B293" s="1207" t="inlineStr">
        <is>
          <t>3-1/2" TUBING 9.2 LB/FT ALLOY 28 TSH BL</t>
        </is>
      </c>
      <c r="C293" s="1421" t="n">
        <v>31</v>
      </c>
    </row>
    <row r="294" ht="14.25" customHeight="1" s="1158">
      <c r="A294" s="1207" t="inlineStr">
        <is>
          <t>JT.#100</t>
        </is>
      </c>
      <c r="B294" s="1207" t="inlineStr">
        <is>
          <t>3-1/2" TUBING 9.2 LB/FT ALLOY 28 TSH BL</t>
        </is>
      </c>
      <c r="C294" s="1421" t="n">
        <v>31</v>
      </c>
    </row>
    <row r="295" ht="14.25" customHeight="1" s="1158">
      <c r="A295" s="1207" t="inlineStr">
        <is>
          <t>JT.#101</t>
        </is>
      </c>
      <c r="B295" s="1207" t="inlineStr">
        <is>
          <t>3-1/2" TUBING 9.2 LB/FT ALLOY 28 TSH BL</t>
        </is>
      </c>
      <c r="C295" s="1421" t="n">
        <v>31</v>
      </c>
    </row>
    <row r="296" ht="14.25" customHeight="1" s="1158">
      <c r="A296" s="1207" t="inlineStr">
        <is>
          <t>JT.#102</t>
        </is>
      </c>
      <c r="B296" s="1207" t="inlineStr">
        <is>
          <t>3-1/2" TUBING 9.2 LB/FT ALLOY 28 TSH BL</t>
        </is>
      </c>
      <c r="C296" s="1421" t="n">
        <v>31</v>
      </c>
    </row>
    <row r="297" ht="14.25" customHeight="1" s="1158">
      <c r="A297" s="1207" t="inlineStr">
        <is>
          <t>JT.#103</t>
        </is>
      </c>
      <c r="B297" s="1207" t="inlineStr">
        <is>
          <t>3-1/2" TUBING 9.2 LB/FT ALLOY 28 TSH BL</t>
        </is>
      </c>
      <c r="C297" s="1421" t="n">
        <v>31</v>
      </c>
    </row>
    <row r="298" ht="14.25" customHeight="1" s="1158">
      <c r="A298" s="1207" t="inlineStr">
        <is>
          <t>JT.#104</t>
        </is>
      </c>
      <c r="B298" s="1207" t="inlineStr">
        <is>
          <t>3-1/2" TUBING 9.2 LB/FT ALLOY 28 TSH BL</t>
        </is>
      </c>
      <c r="C298" s="1421" t="n">
        <v>31</v>
      </c>
    </row>
    <row r="299" ht="14.25" customHeight="1" s="1158">
      <c r="A299" s="1207" t="inlineStr">
        <is>
          <t>JT.#105</t>
        </is>
      </c>
      <c r="B299" s="1207" t="inlineStr">
        <is>
          <t>3-1/2" TUBING 9.2 LB/FT ALLOY 28 TSH BL</t>
        </is>
      </c>
      <c r="C299" s="1421" t="n">
        <v>31</v>
      </c>
    </row>
    <row r="300" ht="14.25" customHeight="1" s="1158">
      <c r="A300" s="1207" t="inlineStr">
        <is>
          <t>JT.#106</t>
        </is>
      </c>
      <c r="B300" s="1207" t="inlineStr">
        <is>
          <t>3-1/2" TUBING 9.2 LB/FT ALLOY 28 TSH BL</t>
        </is>
      </c>
      <c r="C300" s="1421" t="n">
        <v>31</v>
      </c>
    </row>
    <row r="301" ht="14.25" customHeight="1" s="1158">
      <c r="A301" s="1207" t="inlineStr">
        <is>
          <t>JT.#107</t>
        </is>
      </c>
      <c r="B301" s="1207" t="inlineStr">
        <is>
          <t>3-1/2" TUBING 9.2 LB/FT ALLOY 28 TSH BL</t>
        </is>
      </c>
      <c r="C301" s="1421" t="n">
        <v>31</v>
      </c>
    </row>
    <row r="302" ht="14.25" customHeight="1" s="1158">
      <c r="A302" s="1207" t="inlineStr">
        <is>
          <t>JT.#108</t>
        </is>
      </c>
      <c r="B302" s="1207" t="inlineStr">
        <is>
          <t>3-1/2" TUBING 9.2 LB/FT ALLOY 28 TSH BL</t>
        </is>
      </c>
      <c r="C302" s="1421" t="n">
        <v>31</v>
      </c>
    </row>
    <row r="303" ht="14.25" customHeight="1" s="1158">
      <c r="A303" s="1207" t="inlineStr">
        <is>
          <t>JT.#109</t>
        </is>
      </c>
      <c r="B303" s="1207" t="inlineStr">
        <is>
          <t>3-1/2" TUBING 9.2 LB/FT ALLOY 28 TSH BL</t>
        </is>
      </c>
      <c r="C303" s="1421" t="n">
        <v>31</v>
      </c>
    </row>
    <row r="304" ht="14.25" customHeight="1" s="1158">
      <c r="A304" s="1207" t="inlineStr">
        <is>
          <t>JT.#110</t>
        </is>
      </c>
      <c r="B304" s="1207" t="inlineStr">
        <is>
          <t>3-1/2" TUBING 9.2 LB/FT ALLOY 28 TSH BL</t>
        </is>
      </c>
      <c r="C304" s="1421" t="n">
        <v>31</v>
      </c>
    </row>
    <row r="305" ht="14.25" customHeight="1" s="1158">
      <c r="A305" s="1207" t="inlineStr">
        <is>
          <t>JT.#111</t>
        </is>
      </c>
      <c r="B305" s="1207" t="inlineStr">
        <is>
          <t>3-1/2" TUBING 9.2 LB/FT ALLOY 28 TSH BL</t>
        </is>
      </c>
      <c r="C305" s="1421" t="n">
        <v>31</v>
      </c>
    </row>
    <row r="306" ht="14.25" customHeight="1" s="1158">
      <c r="A306" s="1207" t="inlineStr">
        <is>
          <t>JT.#112</t>
        </is>
      </c>
      <c r="B306" s="1207" t="inlineStr">
        <is>
          <t>3-1/2" TUBING 9.2 LB/FT ALLOY 28 TSH BL</t>
        </is>
      </c>
      <c r="C306" s="1421" t="n">
        <v>31</v>
      </c>
    </row>
    <row r="307" ht="14.25" customHeight="1" s="1158">
      <c r="A307" s="1207" t="inlineStr">
        <is>
          <t>JT.#113</t>
        </is>
      </c>
      <c r="B307" s="1207" t="inlineStr">
        <is>
          <t>3-1/2" TUBING 9.2 LB/FT ALLOY 28 TSH BL</t>
        </is>
      </c>
      <c r="C307" s="1421" t="n">
        <v>31</v>
      </c>
    </row>
    <row r="308" ht="14.25" customHeight="1" s="1158">
      <c r="A308" s="1207" t="inlineStr">
        <is>
          <t>JT.#114</t>
        </is>
      </c>
      <c r="B308" s="1207" t="inlineStr">
        <is>
          <t>3-1/2" TUBING 9.2 LB/FT ALLOY 28 TSH BL</t>
        </is>
      </c>
      <c r="C308" s="1421" t="n">
        <v>31</v>
      </c>
    </row>
    <row r="309" ht="14.25" customHeight="1" s="1158">
      <c r="A309" s="1207" t="inlineStr">
        <is>
          <t>JT.#115</t>
        </is>
      </c>
      <c r="B309" s="1207" t="inlineStr">
        <is>
          <t>3-1/2" TUBING 9.2 LB/FT ALLOY 28 TSH BL</t>
        </is>
      </c>
      <c r="C309" s="1421" t="n">
        <v>31</v>
      </c>
    </row>
    <row r="310" ht="14.25" customHeight="1" s="1158">
      <c r="A310" s="1207" t="inlineStr">
        <is>
          <t>JT.#116</t>
        </is>
      </c>
      <c r="B310" s="1207" t="inlineStr">
        <is>
          <t>3-1/2" TUBING 9.2 LB/FT ALLOY 28 TSH BL</t>
        </is>
      </c>
      <c r="C310" s="1421" t="n">
        <v>31</v>
      </c>
    </row>
    <row r="311" ht="14.25" customHeight="1" s="1158">
      <c r="A311" s="1207" t="inlineStr">
        <is>
          <t>JT.#117</t>
        </is>
      </c>
      <c r="B311" s="1207" t="inlineStr">
        <is>
          <t>3-1/2" TUBING 9.2 LB/FT ALLOY 28 TSH BL</t>
        </is>
      </c>
      <c r="C311" s="1421" t="n">
        <v>31</v>
      </c>
    </row>
    <row r="312" ht="14.25" customHeight="1" s="1158">
      <c r="A312" s="1207" t="inlineStr">
        <is>
          <t>JT.#118</t>
        </is>
      </c>
      <c r="B312" s="1207" t="inlineStr">
        <is>
          <t>3-1/2" TUBING 9.2 LB/FT ALLOY 28 TSH BL</t>
        </is>
      </c>
      <c r="C312" s="1421" t="n">
        <v>31</v>
      </c>
    </row>
    <row r="313" ht="14.25" customHeight="1" s="1158">
      <c r="A313" s="1207" t="inlineStr">
        <is>
          <t>JT.#119</t>
        </is>
      </c>
      <c r="B313" s="1207" t="inlineStr">
        <is>
          <t>3-1/2" TUBING 9.2 LB/FT ALLOY 28 TSH BL</t>
        </is>
      </c>
      <c r="C313" s="1421" t="n">
        <v>31</v>
      </c>
    </row>
    <row r="314" ht="14.25" customHeight="1" s="1158">
      <c r="A314" s="1207" t="inlineStr">
        <is>
          <t>JT.#120</t>
        </is>
      </c>
      <c r="B314" s="1207" t="inlineStr">
        <is>
          <t>3-1/2" TUBING 9.2 LB/FT ALLOY 28 TSH BL</t>
        </is>
      </c>
      <c r="C314" s="1421" t="n">
        <v>31</v>
      </c>
    </row>
    <row r="315" ht="14.25" customHeight="1" s="1158">
      <c r="A315" s="1207" t="inlineStr">
        <is>
          <t>JT.#121</t>
        </is>
      </c>
      <c r="B315" s="1207" t="inlineStr">
        <is>
          <t>3-1/2" TUBING 9.2 LB/FT ALLOY 28 TSH BL</t>
        </is>
      </c>
      <c r="C315" s="1421" t="n">
        <v>31</v>
      </c>
    </row>
    <row r="316" ht="14.25" customHeight="1" s="1158">
      <c r="A316" s="1207" t="inlineStr">
        <is>
          <t>JT.#122</t>
        </is>
      </c>
      <c r="B316" s="1207" t="inlineStr">
        <is>
          <t>3-1/2" TUBING 9.2 LB/FT ALLOY 28 TSH BL</t>
        </is>
      </c>
      <c r="C316" s="1421" t="n">
        <v>31</v>
      </c>
    </row>
    <row r="317" ht="14.25" customHeight="1" s="1158">
      <c r="A317" s="1207" t="inlineStr">
        <is>
          <t>JT.#123</t>
        </is>
      </c>
      <c r="B317" s="1207" t="inlineStr">
        <is>
          <t>3-1/2" TUBING 9.2 LB/FT ALLOY 28 TSH BL</t>
        </is>
      </c>
      <c r="C317" s="1421" t="n">
        <v>31</v>
      </c>
    </row>
    <row r="318" ht="14.25" customHeight="1" s="1158">
      <c r="A318" s="1207" t="inlineStr">
        <is>
          <t>JT.#124</t>
        </is>
      </c>
      <c r="B318" s="1207" t="inlineStr">
        <is>
          <t>3-1/2" TUBING 9.2 LB/FT ALLOY 28 TSH BL</t>
        </is>
      </c>
      <c r="C318" s="1421" t="n">
        <v>31</v>
      </c>
    </row>
    <row r="319" ht="14.25" customHeight="1" s="1158">
      <c r="A319" s="1207" t="inlineStr">
        <is>
          <t>JT.#125</t>
        </is>
      </c>
      <c r="B319" s="1207" t="inlineStr">
        <is>
          <t>3-1/2" TUBING 9.2 LB/FT ALLOY 28 TSH BL</t>
        </is>
      </c>
      <c r="C319" s="1421" t="n">
        <v>31</v>
      </c>
    </row>
    <row r="320" ht="14.25" customHeight="1" s="1158">
      <c r="A320" s="1207" t="inlineStr">
        <is>
          <t>JT.#126</t>
        </is>
      </c>
      <c r="B320" s="1207" t="inlineStr">
        <is>
          <t>3-1/2" TUBING 9.2 LB/FT ALLOY 28 TSH BL</t>
        </is>
      </c>
      <c r="C320" s="1421" t="n">
        <v>31</v>
      </c>
    </row>
    <row r="321" ht="14.25" customHeight="1" s="1158">
      <c r="A321" s="1207" t="inlineStr">
        <is>
          <t>JT.#127</t>
        </is>
      </c>
      <c r="B321" s="1207" t="inlineStr">
        <is>
          <t>3-1/2" TUBING 9.2 LB/FT ALLOY 28 TSH BL</t>
        </is>
      </c>
      <c r="C321" s="1421" t="n">
        <v>31</v>
      </c>
    </row>
    <row r="322" ht="14.25" customHeight="1" s="1158">
      <c r="A322" s="1207" t="inlineStr">
        <is>
          <t>JT.#128</t>
        </is>
      </c>
      <c r="B322" s="1207" t="inlineStr">
        <is>
          <t>3-1/2" TUBING 9.2 LB/FT ALLOY 28 TSH BL</t>
        </is>
      </c>
      <c r="C322" s="1421" t="n">
        <v>31</v>
      </c>
    </row>
    <row r="323" ht="14.25" customHeight="1" s="1158">
      <c r="A323" s="1207" t="inlineStr">
        <is>
          <t>JT.#129</t>
        </is>
      </c>
      <c r="B323" s="1207" t="inlineStr">
        <is>
          <t>3-1/2" TUBING 9.2 LB/FT ALLOY 28 TSH BL</t>
        </is>
      </c>
      <c r="C323" s="1421" t="n">
        <v>31</v>
      </c>
    </row>
    <row r="324" ht="14.25" customHeight="1" s="1158">
      <c r="A324" s="1207" t="inlineStr">
        <is>
          <t>JT.#130</t>
        </is>
      </c>
      <c r="B324" s="1207" t="inlineStr">
        <is>
          <t>3-1/2" TUBING 9.2 LB/FT ALLOY 28 TSH BL</t>
        </is>
      </c>
      <c r="C324" s="1421" t="n">
        <v>31</v>
      </c>
    </row>
    <row r="325" ht="14.25" customHeight="1" s="1158">
      <c r="A325" s="1207" t="inlineStr">
        <is>
          <t>JT.#131</t>
        </is>
      </c>
      <c r="B325" s="1207" t="inlineStr">
        <is>
          <t>3-1/2" TUBING 9.2 LB/FT ALLOY 28 TSH BL</t>
        </is>
      </c>
      <c r="C325" s="1421" t="n">
        <v>31</v>
      </c>
    </row>
    <row r="326" ht="14.25" customHeight="1" s="1158">
      <c r="A326" s="1207" t="inlineStr">
        <is>
          <t>JT.#132</t>
        </is>
      </c>
      <c r="B326" s="1207" t="inlineStr">
        <is>
          <t>3-1/2" TUBING 9.2 LB/FT ALLOY 28 TSH BL</t>
        </is>
      </c>
      <c r="C326" s="1421" t="n">
        <v>31</v>
      </c>
    </row>
    <row r="327" ht="14.25" customHeight="1" s="1158">
      <c r="A327" s="1207" t="inlineStr">
        <is>
          <t>JT.#133</t>
        </is>
      </c>
      <c r="B327" s="1207" t="inlineStr">
        <is>
          <t>3-1/2" TUBING 9.2 LB/FT ALLOY 28 TSH BL</t>
        </is>
      </c>
      <c r="C327" s="1421" t="n">
        <v>31</v>
      </c>
    </row>
    <row r="328" ht="14.25" customHeight="1" s="1158">
      <c r="A328" s="1207" t="inlineStr">
        <is>
          <t>JT.#134</t>
        </is>
      </c>
      <c r="B328" s="1207" t="inlineStr">
        <is>
          <t>3-1/2" TUBING 9.2 LB/FT ALLOY 28 TSH BL</t>
        </is>
      </c>
      <c r="C328" s="1421" t="n">
        <v>31</v>
      </c>
    </row>
    <row r="329" ht="14.25" customHeight="1" s="1158">
      <c r="A329" s="1207" t="inlineStr">
        <is>
          <t>JT.#135</t>
        </is>
      </c>
      <c r="B329" s="1207" t="inlineStr">
        <is>
          <t>3-1/2" TUBING 9.2 LB/FT ALLOY 28 TSH BL</t>
        </is>
      </c>
      <c r="C329" s="1421" t="n">
        <v>31</v>
      </c>
    </row>
    <row r="330" ht="14.25" customHeight="1" s="1158">
      <c r="A330" s="1207" t="inlineStr">
        <is>
          <t>JT.#136</t>
        </is>
      </c>
      <c r="B330" s="1207" t="inlineStr">
        <is>
          <t>3-1/2" TUBING 9.2 LB/FT ALLOY 28 TSH BL</t>
        </is>
      </c>
      <c r="C330" s="1421" t="n">
        <v>31</v>
      </c>
    </row>
    <row r="331" ht="14.25" customHeight="1" s="1158">
      <c r="A331" s="1207" t="inlineStr">
        <is>
          <t>JT.#137</t>
        </is>
      </c>
      <c r="B331" s="1207" t="inlineStr">
        <is>
          <t>3-1/2" TUBING 9.2 LB/FT ALLOY 28 TSH BL</t>
        </is>
      </c>
      <c r="C331" s="1421" t="n">
        <v>31</v>
      </c>
    </row>
    <row r="332" ht="14.25" customHeight="1" s="1158">
      <c r="A332" s="1207" t="inlineStr">
        <is>
          <t>JT.#138</t>
        </is>
      </c>
      <c r="B332" s="1207" t="inlineStr">
        <is>
          <t>3-1/2" TUBING 9.2 LB/FT ALLOY 28 TSH BL</t>
        </is>
      </c>
      <c r="C332" s="1421" t="n">
        <v>31</v>
      </c>
    </row>
    <row r="333" ht="14.25" customHeight="1" s="1158">
      <c r="A333" s="1207" t="inlineStr">
        <is>
          <t>JT.#139</t>
        </is>
      </c>
      <c r="B333" s="1207" t="inlineStr">
        <is>
          <t>3-1/2" TUBING 9.2 LB/FT ALLOY 28 TSH BL</t>
        </is>
      </c>
      <c r="C333" s="1421" t="n">
        <v>31</v>
      </c>
    </row>
    <row r="334" ht="14.25" customHeight="1" s="1158">
      <c r="A334" s="1207" t="inlineStr">
        <is>
          <t>JT.#140</t>
        </is>
      </c>
      <c r="B334" s="1207" t="inlineStr">
        <is>
          <t>3-1/2" TUBING 9.2 LB/FT ALLOY 28 TSH BL</t>
        </is>
      </c>
      <c r="C334" s="1421" t="n">
        <v>31</v>
      </c>
    </row>
    <row r="335" ht="14.25" customHeight="1" s="1158">
      <c r="A335" s="1207" t="inlineStr">
        <is>
          <t>JT.#141</t>
        </is>
      </c>
      <c r="B335" s="1207" t="inlineStr">
        <is>
          <t>3-1/2" TUBING 9.2 LB/FT ALLOY 28 TSH BL</t>
        </is>
      </c>
      <c r="C335" s="1421" t="n">
        <v>31</v>
      </c>
    </row>
    <row r="336" ht="14.25" customHeight="1" s="1158">
      <c r="A336" s="1207" t="inlineStr">
        <is>
          <t>JT.#142</t>
        </is>
      </c>
      <c r="B336" s="1207" t="inlineStr">
        <is>
          <t>3-1/2" TUBING 9.2 LB/FT ALLOY 28 TSH BL</t>
        </is>
      </c>
      <c r="C336" s="1421" t="n">
        <v>31</v>
      </c>
    </row>
    <row r="337" ht="14.25" customHeight="1" s="1158">
      <c r="A337" s="1207" t="inlineStr">
        <is>
          <t>JT.#143</t>
        </is>
      </c>
      <c r="B337" s="1207" t="inlineStr">
        <is>
          <t>3-1/2" TUBING 9.2 LB/FT ALLOY 28 TSH BL</t>
        </is>
      </c>
      <c r="C337" s="1421" t="n">
        <v>31</v>
      </c>
    </row>
    <row r="338" ht="14.25" customHeight="1" s="1158">
      <c r="A338" s="1207" t="inlineStr">
        <is>
          <t>JT.#144</t>
        </is>
      </c>
      <c r="B338" s="1207" t="inlineStr">
        <is>
          <t>3-1/2" TUBING 9.2 LB/FT ALLOY 28 TSH BL</t>
        </is>
      </c>
      <c r="C338" s="1421" t="n">
        <v>31</v>
      </c>
    </row>
    <row r="339" ht="14.25" customHeight="1" s="1158">
      <c r="A339" s="1207" t="inlineStr">
        <is>
          <t>JT.#145</t>
        </is>
      </c>
      <c r="B339" s="1207" t="inlineStr">
        <is>
          <t>3-1/2" TUBING 9.2 LB/FT ALLOY 28 TSH BL</t>
        </is>
      </c>
      <c r="C339" s="1421" t="n">
        <v>31</v>
      </c>
    </row>
    <row r="340" ht="76.09999999999999" customHeight="1" s="1158">
      <c r="A340" s="2065" t="inlineStr">
        <is>
          <t>B</t>
        </is>
      </c>
      <c r="B340" s="2066" t="inlineStr">
        <is>
          <t>UPPER CONN. 3-1/2" VAM TOP BOX 9.2 PPF SN 28 110 KSI
DESCRIPTION: 5 FEET XOVER
SAP: 130005011340
SUPPLIER: TENARIS
LOWER CONN. 3-1/2" TSH BLUE PIN 9.2 PPF SN 28 110 KSI</t>
        </is>
      </c>
      <c r="C340" s="2067" t="n">
        <v>5.18</v>
      </c>
      <c r="D340" s="2068" t="n">
        <v>3.908</v>
      </c>
      <c r="E340" s="2068" t="n">
        <v>2.959</v>
      </c>
      <c r="F340" s="2069" t="inlineStr">
        <is>
          <t>N/A</t>
        </is>
      </c>
      <c r="G340" s="2069" t="inlineStr">
        <is>
          <t>N/A</t>
        </is>
      </c>
      <c r="H340" s="2069" t="inlineStr">
        <is>
          <t>130005011340</t>
        </is>
      </c>
      <c r="I340" s="2069" t="inlineStr">
        <is>
          <t>N/A</t>
        </is>
      </c>
    </row>
    <row r="341" ht="76.09999999999999" customHeight="1" s="1158">
      <c r="B341" s="2066" t="inlineStr">
        <is>
          <t>UPPER CONN. 3-1/2" SENTINEL PRIME BOX 9.2 PPF TX28-110 KSI
DESCRIPTION: 5 FEET XOVER
SAP: 130013006385
SUPPLIER: TBX
LOWER CONN. 3-1/2" VAM TOP PIN 9.2 PPF TX28- 110 KSI</t>
        </is>
      </c>
      <c r="C341" s="2067" t="n">
        <v>4.91</v>
      </c>
      <c r="D341" s="2068" t="n">
        <v>3.929</v>
      </c>
      <c r="E341" s="2068" t="n">
        <v>2.921</v>
      </c>
      <c r="F341" s="2069" t="inlineStr">
        <is>
          <t>N/A</t>
        </is>
      </c>
      <c r="G341" s="2069" t="inlineStr">
        <is>
          <t>N/A</t>
        </is>
      </c>
      <c r="H341" s="2069" t="inlineStr">
        <is>
          <t>130013006385</t>
        </is>
      </c>
      <c r="I341" s="2069" t="inlineStr">
        <is>
          <t>N/A</t>
        </is>
      </c>
    </row>
    <row r="342" ht="105.95" customHeight="1" s="1158">
      <c r="B342" s="2066" t="inlineStr">
        <is>
          <t>UPPER CONN. 3-1/2" SENTINEL PRIME 9.2#PPF INC 925 BOX
DESCRIPTION: NINE ENERGY MULTICYCLE BARRIER DEVICE
7 CYCLES REMAINING
P/N: 3207251
S/N: 100 086 877
SAP: 130010036003 SUPPLIER: NINE ENERGY
LOWER CONN- 3 1/2 9.2 SENTINEL PRIME 9.2 PPF INC 925 PIN</t>
        </is>
      </c>
      <c r="C342" s="2067" t="n">
        <v>5.22</v>
      </c>
      <c r="D342" s="2068" t="n">
        <v>4.8</v>
      </c>
      <c r="E342" s="2068" t="n">
        <v>2.91</v>
      </c>
      <c r="F342" s="2069" t="inlineStr">
        <is>
          <t>3207251</t>
        </is>
      </c>
      <c r="G342" s="2069" t="inlineStr">
        <is>
          <t>100 086 877</t>
        </is>
      </c>
      <c r="H342" s="2069" t="inlineStr">
        <is>
          <t>130010036003</t>
        </is>
      </c>
      <c r="I342" s="2069" t="inlineStr">
        <is>
          <t>N/A</t>
        </is>
      </c>
    </row>
    <row r="343" ht="76.09999999999999" customHeight="1" s="1158">
      <c r="B343" s="2066" t="inlineStr">
        <is>
          <t>UPPER CONN. 3-1/2" VAM TOP BOX 9.2 PPF TX28- 110 KSI
DESCRIPTION: 5 FEET XOVER
SAP: 130013006383
SUPPLIER: TBX
LOWER CONN -3-1/2" SENTINEL PRIME PIN 9.2 PPF TX28-110 KSI</t>
        </is>
      </c>
      <c r="C343" s="2067" t="n">
        <v>4.8</v>
      </c>
      <c r="D343" s="2068" t="n">
        <v>3.908</v>
      </c>
      <c r="E343" s="2068" t="n">
        <v>2.959</v>
      </c>
      <c r="F343" s="2069" t="inlineStr">
        <is>
          <t>N/A</t>
        </is>
      </c>
      <c r="G343" s="2069" t="inlineStr">
        <is>
          <t>N/A</t>
        </is>
      </c>
      <c r="H343" s="2069" t="inlineStr">
        <is>
          <t>130013006383</t>
        </is>
      </c>
      <c r="I343" s="2069" t="inlineStr">
        <is>
          <t>N/A</t>
        </is>
      </c>
    </row>
    <row r="344" ht="76.09999999999999" customHeight="1" s="1158">
      <c r="B344" s="2066" t="inlineStr">
        <is>
          <t>UPPER CONN. 3-1/2" TSH BLUE BOX 9.2 PPF SN 28 110 KSI
DESCRIPTION: 10 FEET XOVER
SAP: 130005011444
SUPPLIER: TENARIS
LOWER CONN. 3-1/2" VAM TOP PIN 9.2 PPF SN 28 110 KSI</t>
        </is>
      </c>
      <c r="C344" s="2067" t="n">
        <v>9.83</v>
      </c>
      <c r="D344" s="2068" t="n">
        <v>3.937</v>
      </c>
      <c r="E344" s="2068" t="n">
        <v>2.969</v>
      </c>
      <c r="F344" s="2069" t="inlineStr">
        <is>
          <t>N/A</t>
        </is>
      </c>
      <c r="G344" s="2069" t="inlineStr">
        <is>
          <t>N/A</t>
        </is>
      </c>
      <c r="H344" s="2069" t="inlineStr">
        <is>
          <t>130005011444</t>
        </is>
      </c>
      <c r="I344" s="2069" t="inlineStr">
        <is>
          <t>N/A</t>
        </is>
      </c>
    </row>
    <row r="345" ht="14.25" customHeight="1" s="1158">
      <c r="A345" s="1207" t="inlineStr">
        <is>
          <t>JT.#146</t>
        </is>
      </c>
      <c r="B345" s="1207" t="inlineStr">
        <is>
          <t>3-1/2" TUBING 9.2 LB/FT ALLOY 28 TSH BL</t>
        </is>
      </c>
      <c r="C345" s="1421" t="n">
        <v>31</v>
      </c>
    </row>
    <row r="346" ht="14.25" customHeight="1" s="1158">
      <c r="A346" s="1207" t="inlineStr">
        <is>
          <t>JT.#147</t>
        </is>
      </c>
      <c r="B346" s="1207" t="inlineStr">
        <is>
          <t>3-1/2" TUBING 9.2 LB/FT ALLOY 28 TSH BL</t>
        </is>
      </c>
      <c r="C346" s="1421" t="n">
        <v>31</v>
      </c>
    </row>
    <row r="347" ht="76.09999999999999" customHeight="1" s="1158">
      <c r="A347" s="2070" t="inlineStr">
        <is>
          <t>C</t>
        </is>
      </c>
      <c r="B347" s="2071" t="inlineStr">
        <is>
          <t>UPPER CONN. 3-1/2" VAM TOP BOX 9.2 PPF SN 28 110 KSI
DESCRIPTION: 5 FEET XOVER
SAP: 130005011340
SUPPLIER: TENARIS
LOWER CONN. 3-1/2" TSH BLUE PIN 9.2 PPF SN 28 110 KSI</t>
        </is>
      </c>
      <c r="C347" s="2072" t="n">
        <v>5.16</v>
      </c>
      <c r="D347" s="2073" t="n">
        <v>3.908</v>
      </c>
      <c r="E347" s="2073" t="n">
        <v>2.959</v>
      </c>
      <c r="F347" s="2074" t="inlineStr">
        <is>
          <t>N/A</t>
        </is>
      </c>
      <c r="G347" s="2074" t="inlineStr">
        <is>
          <t>N/A</t>
        </is>
      </c>
      <c r="H347" s="2074" t="inlineStr">
        <is>
          <t>130005011340</t>
        </is>
      </c>
      <c r="I347" s="2074" t="inlineStr">
        <is>
          <t>N/A</t>
        </is>
      </c>
    </row>
    <row r="348" ht="105.95" customHeight="1" s="1158">
      <c r="B348" s="2071" t="inlineStr">
        <is>
          <t>UPPER CONN. 3-1/2" VAM TOP 9.2#PPF INC 925 KSI BOX
DESCRIPTION: 2.750 WXN Nipple
PN: 2963809
S/N :12527047-08
SAP: 130010036868
SUPPLIER: WEATHERFORD
LOWER CONN.3-1/2" VAM TOP 9.2#PPF INC 925KSI PIN</t>
        </is>
      </c>
      <c r="C348" s="2072" t="n">
        <v>1.15</v>
      </c>
      <c r="D348" s="2073" t="n">
        <v>3.885</v>
      </c>
      <c r="E348" s="2073" t="n">
        <v>2.637</v>
      </c>
      <c r="F348" s="2074" t="inlineStr">
        <is>
          <t>2963809</t>
        </is>
      </c>
      <c r="G348" s="2074" t="inlineStr">
        <is>
          <t>12527047-08</t>
        </is>
      </c>
      <c r="H348" s="2074" t="inlineStr">
        <is>
          <t>130010036868</t>
        </is>
      </c>
      <c r="I348" s="2074" t="inlineStr">
        <is>
          <t>N/A</t>
        </is>
      </c>
    </row>
    <row r="349" ht="76.09999999999999" customHeight="1" s="1158">
      <c r="B349" s="2071" t="inlineStr">
        <is>
          <t>UPPER CONN. 3-1/2" VAM TOP 9.2#PPF SM 2535 BOX
DESCRIPTION: 5 FEET PUP JOINT
SAP: 130005002758
SUPPLIER: VAM
LOWER CONN. 3-1/2" VAM TOP 9.2#PPF SM 2535 PIN</t>
        </is>
      </c>
      <c r="C349" s="2072" t="n">
        <v>4.92</v>
      </c>
      <c r="D349" s="2073" t="n">
        <v>3.908</v>
      </c>
      <c r="E349" s="2073" t="n">
        <v>2.959</v>
      </c>
      <c r="F349" s="2074" t="inlineStr">
        <is>
          <t>N/A</t>
        </is>
      </c>
      <c r="G349" s="2074" t="inlineStr">
        <is>
          <t>N/A</t>
        </is>
      </c>
      <c r="H349" s="2074" t="inlineStr">
        <is>
          <t>130005002758</t>
        </is>
      </c>
      <c r="I349" s="2074" t="inlineStr">
        <is>
          <t>N/A</t>
        </is>
      </c>
    </row>
    <row r="350" ht="76.09999999999999" customHeight="1" s="1158">
      <c r="B350" s="2071" t="inlineStr">
        <is>
          <t>UPPER CONN. 3-1/2" VAM TOP 9.2#PPF SM2535 BOX
DESCRIPTION: 10 FEET PUP JOINT
SAP: 130013000213
SUPPLIER: VAM
LOWER CONN. 3-1/2" VAM TOP 9.2#PPF SM2535 PIN</t>
        </is>
      </c>
      <c r="C350" s="2072" t="n">
        <v>9.92</v>
      </c>
      <c r="D350" s="2073" t="n">
        <v>3.908</v>
      </c>
      <c r="E350" s="2073" t="n">
        <v>2.959</v>
      </c>
      <c r="F350" s="2074" t="inlineStr">
        <is>
          <t>N/A</t>
        </is>
      </c>
      <c r="G350" s="2074" t="inlineStr">
        <is>
          <t>N/A</t>
        </is>
      </c>
      <c r="H350" s="2074" t="inlineStr">
        <is>
          <t>130013000213</t>
        </is>
      </c>
      <c r="I350" s="2074" t="inlineStr">
        <is>
          <t>N/A</t>
        </is>
      </c>
    </row>
    <row r="351" ht="150.7" customHeight="1" s="1158">
      <c r="B351" s="207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2072" t="n">
        <v>9.710000000000001</v>
      </c>
      <c r="D351" s="2073" t="n">
        <v>5.91</v>
      </c>
      <c r="E351" s="2073" t="n">
        <v>2.919</v>
      </c>
      <c r="F351" s="2074" t="inlineStr">
        <is>
          <t>2960170</t>
        </is>
      </c>
      <c r="G351" s="2074" t="inlineStr">
        <is>
          <t>12857761-01</t>
        </is>
      </c>
      <c r="H351" s="2074" t="inlineStr">
        <is>
          <t>130010037571</t>
        </is>
      </c>
      <c r="I351" s="2074" t="inlineStr">
        <is>
          <t>N/A</t>
        </is>
      </c>
    </row>
    <row r="352" ht="76.09999999999999" customHeight="1" s="1158">
      <c r="B352" s="2071" t="inlineStr">
        <is>
          <t>UPPER CONN. 3-1/2" TSH BLUE BOX 9.2 PPF SN 28 110 KSI
DESCRIPTION: 5 FEET XOVER
SAP: 130005011444
SUPPLIER: TENARIS
LOWER CONN. 3-1/2" VAM TOP PIN 9.2 PPF SN 28 110 KSI</t>
        </is>
      </c>
      <c r="C352" s="2072" t="n">
        <v>4.99</v>
      </c>
      <c r="D352" s="2073" t="n">
        <v>3.937</v>
      </c>
      <c r="E352" s="2073" t="n">
        <v>2.969</v>
      </c>
      <c r="F352" s="2074" t="inlineStr">
        <is>
          <t>N/A</t>
        </is>
      </c>
      <c r="G352" s="2074" t="inlineStr">
        <is>
          <t>N/A</t>
        </is>
      </c>
      <c r="H352" s="2074" t="inlineStr">
        <is>
          <t>130005011444</t>
        </is>
      </c>
      <c r="I352" s="2074" t="inlineStr">
        <is>
          <t>N/A</t>
        </is>
      </c>
    </row>
    <row r="353" ht="14.25" customHeight="1" s="1158">
      <c r="A353" s="1207" t="inlineStr">
        <is>
          <t>JT.#148</t>
        </is>
      </c>
      <c r="B353" s="1207" t="inlineStr">
        <is>
          <t>3-1/2" TUBING 9.2 LB/FT ALLOY 28 TSH BL</t>
        </is>
      </c>
      <c r="C353" s="1421" t="n">
        <v>31</v>
      </c>
    </row>
    <row r="354" ht="14.25" customHeight="1" s="1158">
      <c r="A354" s="1207" t="inlineStr">
        <is>
          <t>JT.#149</t>
        </is>
      </c>
      <c r="B354" s="1207" t="inlineStr">
        <is>
          <t>3-1/2" TUBING 9.2 LB/FT ALLOY 28 TSH BL</t>
        </is>
      </c>
      <c r="C354" s="1421" t="n">
        <v>31</v>
      </c>
    </row>
    <row r="355" ht="14.25" customHeight="1" s="1158">
      <c r="A355" s="1207" t="inlineStr">
        <is>
          <t>JT.#150</t>
        </is>
      </c>
      <c r="B355" s="1207" t="inlineStr">
        <is>
          <t>3-1/2" TUBING 9.2 LB/FT ALLOY 28 TSH BL</t>
        </is>
      </c>
      <c r="C355" s="1421" t="n">
        <v>31</v>
      </c>
    </row>
    <row r="356" ht="14.25" customHeight="1" s="1158">
      <c r="A356" s="1207" t="inlineStr">
        <is>
          <t>JT.#151</t>
        </is>
      </c>
      <c r="B356" s="1207" t="inlineStr">
        <is>
          <t>3-1/2" TUBING 9.2 LB/FT ALLOY 28 TSH BL</t>
        </is>
      </c>
      <c r="C356" s="1421" t="n">
        <v>31</v>
      </c>
    </row>
    <row r="357" ht="14.25" customHeight="1" s="1158">
      <c r="A357" s="1207" t="inlineStr">
        <is>
          <t>JT.#152</t>
        </is>
      </c>
      <c r="B357" s="1207" t="inlineStr">
        <is>
          <t>3-1/2" TUBING 9.2 LB/FT ALLOY 28 TSH BL</t>
        </is>
      </c>
      <c r="C357" s="1421" t="n">
        <v>31</v>
      </c>
    </row>
    <row r="358" ht="14.25" customHeight="1" s="1158">
      <c r="A358" s="1207" t="inlineStr">
        <is>
          <t>JT.#153</t>
        </is>
      </c>
      <c r="B358" s="1207" t="inlineStr">
        <is>
          <t>3-1/2" TUBING 9.2 LB/FT ALLOY 28 TSH BL</t>
        </is>
      </c>
      <c r="C358" s="1421" t="n">
        <v>31</v>
      </c>
    </row>
    <row r="359" ht="14.25" customHeight="1" s="1158">
      <c r="A359" s="1207" t="inlineStr">
        <is>
          <t>JT.#154</t>
        </is>
      </c>
      <c r="B359" s="1207" t="inlineStr">
        <is>
          <t>3-1/2" TUBING 9.2 LB/FT ALLOY 28 TSH BL</t>
        </is>
      </c>
      <c r="C359" s="1421" t="n">
        <v>31</v>
      </c>
    </row>
    <row r="360" ht="14.25" customHeight="1" s="1158">
      <c r="A360" s="1207" t="inlineStr">
        <is>
          <t>JT.#155</t>
        </is>
      </c>
      <c r="B360" s="1207" t="inlineStr">
        <is>
          <t>3-1/2" TUBING 9.2 LB/FT ALLOY 28 TSH BL</t>
        </is>
      </c>
      <c r="C360" s="1421" t="n">
        <v>31</v>
      </c>
    </row>
    <row r="361" ht="14.25" customHeight="1" s="1158">
      <c r="A361" s="1207" t="inlineStr">
        <is>
          <t>JT.#156</t>
        </is>
      </c>
      <c r="B361" s="1207" t="inlineStr">
        <is>
          <t>3-1/2" TUBING 9.2 LB/FT ALLOY 28 TSH BL</t>
        </is>
      </c>
      <c r="C361" s="1421" t="n">
        <v>31</v>
      </c>
    </row>
    <row r="362" ht="14.25" customHeight="1" s="1158">
      <c r="A362" s="1207" t="inlineStr">
        <is>
          <t>JT.#157</t>
        </is>
      </c>
      <c r="B362" s="1207" t="inlineStr">
        <is>
          <t>3-1/2" TUBING 9.2 LB/FT ALLOY 28 TSH BL</t>
        </is>
      </c>
      <c r="C362" s="1421" t="n">
        <v>31</v>
      </c>
    </row>
    <row r="363" ht="14.25" customHeight="1" s="1158">
      <c r="A363" s="1207" t="inlineStr">
        <is>
          <t>JT.#158</t>
        </is>
      </c>
      <c r="B363" s="1207" t="inlineStr">
        <is>
          <t>3-1/2" TUBING 9.2 LB/FT ALLOY 28 TSH BL</t>
        </is>
      </c>
      <c r="C363" s="1421" t="n">
        <v>31</v>
      </c>
    </row>
    <row r="364" ht="14.25" customHeight="1" s="1158">
      <c r="A364" s="1207" t="inlineStr">
        <is>
          <t>JT.#159</t>
        </is>
      </c>
      <c r="B364" s="1207" t="inlineStr">
        <is>
          <t>3-1/2" TUBING 9.2 LB/FT ALLOY 28 TSH BL</t>
        </is>
      </c>
      <c r="C364" s="1421" t="n">
        <v>31</v>
      </c>
    </row>
    <row r="365" ht="14.25" customHeight="1" s="1158">
      <c r="A365" s="1207" t="inlineStr">
        <is>
          <t>JT.#160</t>
        </is>
      </c>
      <c r="B365" s="1207" t="inlineStr">
        <is>
          <t>3-1/2" TUBING 9.2 LB/FT ALLOY 28 TSH BL</t>
        </is>
      </c>
      <c r="C365" s="1421" t="n">
        <v>31</v>
      </c>
    </row>
    <row r="366" ht="14.25" customHeight="1" s="1158">
      <c r="A366" s="1207" t="inlineStr">
        <is>
          <t>JT.#161</t>
        </is>
      </c>
      <c r="B366" s="1207" t="inlineStr">
        <is>
          <t>3-1/2" TUBING 9.2 LB/FT ALLOY 28 TSH BL</t>
        </is>
      </c>
      <c r="C366" s="1421" t="n">
        <v>31</v>
      </c>
    </row>
    <row r="367" ht="14.25" customHeight="1" s="1158">
      <c r="A367" s="1207" t="inlineStr">
        <is>
          <t>JT.#162</t>
        </is>
      </c>
      <c r="B367" s="1207" t="inlineStr">
        <is>
          <t>3-1/2" TUBING 9.2 LB/FT ALLOY 28 TSH BL</t>
        </is>
      </c>
      <c r="C367" s="1421" t="n">
        <v>31</v>
      </c>
    </row>
    <row r="368" ht="14.25" customHeight="1" s="1158">
      <c r="A368" s="1207" t="inlineStr">
        <is>
          <t>JT.#163</t>
        </is>
      </c>
      <c r="B368" s="1207" t="inlineStr">
        <is>
          <t>3-1/2" TUBING 9.2 LB/FT ALLOY 28 TSH BL</t>
        </is>
      </c>
      <c r="C368" s="1421" t="n">
        <v>31</v>
      </c>
    </row>
    <row r="369" ht="14.25" customHeight="1" s="1158">
      <c r="A369" s="1207" t="inlineStr">
        <is>
          <t>JT.#164</t>
        </is>
      </c>
      <c r="B369" s="1207" t="inlineStr">
        <is>
          <t>3-1/2" TUBING 9.2 LB/FT ALLOY 28 TSH BL</t>
        </is>
      </c>
      <c r="C369" s="1421" t="n">
        <v>31</v>
      </c>
    </row>
    <row r="370" ht="14.25" customHeight="1" s="1158">
      <c r="A370" s="1207" t="inlineStr">
        <is>
          <t>JT.#165</t>
        </is>
      </c>
      <c r="B370" s="1207" t="inlineStr">
        <is>
          <t>3-1/2" TUBING 9.2 LB/FT ALLOY 28 TSH BL</t>
        </is>
      </c>
      <c r="C370" s="1421" t="n">
        <v>31</v>
      </c>
    </row>
    <row r="371" ht="14.25" customHeight="1" s="1158">
      <c r="A371" s="1207" t="inlineStr">
        <is>
          <t>JT.#166</t>
        </is>
      </c>
      <c r="B371" s="1207" t="inlineStr">
        <is>
          <t>3-1/2" TUBING 9.2 LB/FT ALLOY 28 TSH BL</t>
        </is>
      </c>
      <c r="C371" s="1421" t="n">
        <v>31</v>
      </c>
    </row>
    <row r="372" ht="14.25" customHeight="1" s="1158">
      <c r="A372" s="1207" t="inlineStr">
        <is>
          <t>JT.#167</t>
        </is>
      </c>
      <c r="B372" s="1207" t="inlineStr">
        <is>
          <t>3-1/2" TUBING 9.2 LB/FT ALLOY 28 TSH BL</t>
        </is>
      </c>
      <c r="C372" s="1421" t="n">
        <v>31</v>
      </c>
    </row>
    <row r="373" ht="14.25" customHeight="1" s="1158">
      <c r="A373" s="1207" t="inlineStr">
        <is>
          <t>JT.#168</t>
        </is>
      </c>
      <c r="B373" s="1207" t="inlineStr">
        <is>
          <t>3-1/2" TUBING 9.2 LB/FT ALLOY 28 TSH BL</t>
        </is>
      </c>
      <c r="C373" s="1421" t="n">
        <v>31</v>
      </c>
    </row>
    <row r="374" ht="14.25" customHeight="1" s="1158">
      <c r="A374" s="1207" t="inlineStr">
        <is>
          <t>JT.#169</t>
        </is>
      </c>
      <c r="B374" s="1207" t="inlineStr">
        <is>
          <t>3-1/2" TUBING 9.2 LB/FT ALLOY 28 TSH BL</t>
        </is>
      </c>
      <c r="C374" s="1421" t="n">
        <v>31</v>
      </c>
    </row>
    <row r="375" ht="14.25" customHeight="1" s="1158">
      <c r="A375" s="1207" t="inlineStr">
        <is>
          <t>JT.#170</t>
        </is>
      </c>
      <c r="B375" s="1207" t="inlineStr">
        <is>
          <t>3-1/2" TUBING 9.2 LB/FT ALLOY 28 TSH BL</t>
        </is>
      </c>
      <c r="C375" s="1421" t="n">
        <v>31</v>
      </c>
    </row>
    <row r="376" ht="14.25" customHeight="1" s="1158">
      <c r="A376" s="1207" t="inlineStr">
        <is>
          <t>JT.#171</t>
        </is>
      </c>
      <c r="B376" s="1207" t="inlineStr">
        <is>
          <t>3-1/2" TUBING 9.2 LB/FT ALLOY 28 TSH BL</t>
        </is>
      </c>
      <c r="C376" s="1421" t="n">
        <v>31</v>
      </c>
    </row>
    <row r="377" ht="14.25" customHeight="1" s="1158">
      <c r="A377" s="1207" t="inlineStr">
        <is>
          <t>JT.#172</t>
        </is>
      </c>
      <c r="B377" s="1207" t="inlineStr">
        <is>
          <t>3-1/2" TUBING 9.2 LB/FT ALLOY 28 TSH BL</t>
        </is>
      </c>
      <c r="C377" s="1421" t="n">
        <v>31</v>
      </c>
    </row>
    <row r="378" ht="14.25" customHeight="1" s="1158">
      <c r="A378" s="1207" t="inlineStr">
        <is>
          <t>JT.#173</t>
        </is>
      </c>
      <c r="B378" s="1207" t="inlineStr">
        <is>
          <t>3-1/2" TUBING 9.2 LB/FT ALLOY 28 TSH BL</t>
        </is>
      </c>
      <c r="C378" s="1421" t="n">
        <v>31</v>
      </c>
    </row>
    <row r="379" ht="14.25" customHeight="1" s="1158">
      <c r="A379" s="1207" t="inlineStr">
        <is>
          <t>JT.#174</t>
        </is>
      </c>
      <c r="B379" s="1207" t="inlineStr">
        <is>
          <t>3-1/2" TUBING 9.2 LB/FT ALLOY 28 TSH BL</t>
        </is>
      </c>
      <c r="C379" s="1421" t="n">
        <v>31</v>
      </c>
    </row>
    <row r="380" ht="14.25" customHeight="1" s="1158">
      <c r="A380" s="1207" t="inlineStr">
        <is>
          <t>JT.#175</t>
        </is>
      </c>
      <c r="B380" s="1207" t="inlineStr">
        <is>
          <t>3-1/2" TUBING 9.2 LB/FT ALLOY 28 TSH BL</t>
        </is>
      </c>
      <c r="C380" s="1421" t="n">
        <v>31</v>
      </c>
    </row>
    <row r="381" ht="14.25" customHeight="1" s="1158">
      <c r="A381" s="1207" t="inlineStr">
        <is>
          <t>JT.#176</t>
        </is>
      </c>
      <c r="B381" s="1207" t="inlineStr">
        <is>
          <t>3-1/2" TUBING 9.2 LB/FT ALLOY 28 TSH BL</t>
        </is>
      </c>
      <c r="C381" s="1421" t="n">
        <v>31</v>
      </c>
    </row>
    <row r="382" ht="14.25" customHeight="1" s="1158">
      <c r="A382" s="1207" t="inlineStr">
        <is>
          <t>JT.#177</t>
        </is>
      </c>
      <c r="B382" s="1207" t="inlineStr">
        <is>
          <t>3-1/2" TUBING 9.2 LB/FT ALLOY 28 TSH BL</t>
        </is>
      </c>
      <c r="C382" s="1421" t="n">
        <v>31</v>
      </c>
    </row>
    <row r="383" ht="14.25" customHeight="1" s="1158">
      <c r="A383" s="1207" t="inlineStr">
        <is>
          <t>JT.#178</t>
        </is>
      </c>
      <c r="B383" s="1207" t="inlineStr">
        <is>
          <t>3-1/2" TUBING 9.2 LB/FT ALLOY 28 TSH BL</t>
        </is>
      </c>
      <c r="C383" s="1421" t="n">
        <v>31</v>
      </c>
    </row>
    <row r="384" ht="14.25" customHeight="1" s="1158">
      <c r="A384" s="1207" t="inlineStr">
        <is>
          <t>JT.#179</t>
        </is>
      </c>
      <c r="B384" s="1207" t="inlineStr">
        <is>
          <t>3-1/2" TUBING 9.2 LB/FT ALLOY 28 TSH BL</t>
        </is>
      </c>
      <c r="C384" s="1421" t="n">
        <v>31</v>
      </c>
    </row>
    <row r="385" ht="14.25" customHeight="1" s="1158">
      <c r="A385" s="1207" t="inlineStr">
        <is>
          <t>JT.#180</t>
        </is>
      </c>
      <c r="B385" s="1207" t="inlineStr">
        <is>
          <t>3-1/2" TUBING 9.2 LB/FT ALLOY 28 TSH BL</t>
        </is>
      </c>
      <c r="C385" s="1421" t="n">
        <v>31</v>
      </c>
    </row>
    <row r="386" ht="14.25" customHeight="1" s="1158">
      <c r="A386" s="1207" t="inlineStr">
        <is>
          <t>JT.#181</t>
        </is>
      </c>
      <c r="B386" s="1207" t="inlineStr">
        <is>
          <t>3-1/2" TUBING 9.2 LB/FT ALLOY 28 TSH BL</t>
        </is>
      </c>
      <c r="C386" s="1421" t="n">
        <v>31</v>
      </c>
    </row>
    <row r="387" ht="14.25" customHeight="1" s="1158">
      <c r="A387" s="1207" t="inlineStr">
        <is>
          <t>JT.#182</t>
        </is>
      </c>
      <c r="B387" s="1207" t="inlineStr">
        <is>
          <t>3-1/2" TUBING 9.2 LB/FT ALLOY 28 TSH BL</t>
        </is>
      </c>
      <c r="C387" s="1421" t="n">
        <v>31</v>
      </c>
    </row>
    <row r="388" ht="14.25" customHeight="1" s="1158">
      <c r="A388" s="1207" t="inlineStr">
        <is>
          <t>JT.#183</t>
        </is>
      </c>
      <c r="B388" s="1207" t="inlineStr">
        <is>
          <t>3-1/2" TUBING 9.2 LB/FT ALLOY 28 TSH BL</t>
        </is>
      </c>
      <c r="C388" s="1421" t="n">
        <v>31</v>
      </c>
    </row>
    <row r="389" ht="14.25" customHeight="1" s="1158">
      <c r="A389" s="1207" t="inlineStr">
        <is>
          <t>JT.#184</t>
        </is>
      </c>
      <c r="B389" s="1207" t="inlineStr">
        <is>
          <t>3-1/2" TUBING 9.2 LB/FT ALLOY 28 TSH BL</t>
        </is>
      </c>
      <c r="C389" s="1421" t="n">
        <v>31</v>
      </c>
    </row>
    <row r="390" ht="14.25" customHeight="1" s="1158">
      <c r="A390" s="1207" t="inlineStr">
        <is>
          <t>JT.#185</t>
        </is>
      </c>
      <c r="B390" s="1207" t="inlineStr">
        <is>
          <t>3-1/2" TUBING 9.2 LB/FT ALLOY 28 TSH BL</t>
        </is>
      </c>
      <c r="C390" s="1421" t="n">
        <v>31</v>
      </c>
    </row>
    <row r="391" ht="14.25" customHeight="1" s="1158">
      <c r="A391" s="1207" t="inlineStr">
        <is>
          <t>JT.#186</t>
        </is>
      </c>
      <c r="B391" s="1207" t="inlineStr">
        <is>
          <t>3-1/2" TUBING 9.2 LB/FT ALLOY 28 TSH BL</t>
        </is>
      </c>
      <c r="C391" s="1421" t="n">
        <v>31</v>
      </c>
    </row>
    <row r="392" ht="14.25" customHeight="1" s="1158">
      <c r="A392" s="1207" t="inlineStr">
        <is>
          <t>JT.#187</t>
        </is>
      </c>
      <c r="B392" s="1207" t="inlineStr">
        <is>
          <t>3-1/2" TUBING 9.2 LB/FT ALLOY 28 TSH BL</t>
        </is>
      </c>
      <c r="C392" s="1421" t="n">
        <v>31</v>
      </c>
    </row>
    <row r="393" ht="14.25" customHeight="1" s="1158">
      <c r="A393" s="1207" t="inlineStr">
        <is>
          <t>JT.#188</t>
        </is>
      </c>
      <c r="B393" s="1207" t="inlineStr">
        <is>
          <t>3-1/2" TUBING 9.2 LB/FT ALLOY 28 TSH BL</t>
        </is>
      </c>
      <c r="C393" s="1421" t="n">
        <v>31</v>
      </c>
    </row>
    <row r="394" ht="14.25" customHeight="1" s="1158">
      <c r="A394" s="1207" t="inlineStr">
        <is>
          <t>JT.#189</t>
        </is>
      </c>
      <c r="B394" s="1207" t="inlineStr">
        <is>
          <t>3-1/2" TUBING 9.2 LB/FT ALLOY 28 TSH BL</t>
        </is>
      </c>
      <c r="C394" s="1421" t="n">
        <v>31</v>
      </c>
    </row>
    <row r="395" ht="14.25" customHeight="1" s="1158">
      <c r="A395" s="1207" t="inlineStr">
        <is>
          <t>JT.#190</t>
        </is>
      </c>
      <c r="B395" s="1207" t="inlineStr">
        <is>
          <t>3-1/2" TUBING 9.2 LB/FT ALLOY 28 TSH BL</t>
        </is>
      </c>
      <c r="C395" s="1421" t="n">
        <v>31</v>
      </c>
    </row>
    <row r="396" ht="14.25" customHeight="1" s="1158">
      <c r="A396" s="1207" t="inlineStr">
        <is>
          <t>JT.#191</t>
        </is>
      </c>
      <c r="B396" s="1207" t="inlineStr">
        <is>
          <t>3-1/2" TUBING 9.2 LB/FT ALLOY 28 TSH BL</t>
        </is>
      </c>
      <c r="C396" s="1421" t="n">
        <v>31</v>
      </c>
    </row>
    <row r="397" ht="14.25" customHeight="1" s="1158">
      <c r="A397" s="1207" t="inlineStr">
        <is>
          <t>JT.#192</t>
        </is>
      </c>
      <c r="B397" s="1207" t="inlineStr">
        <is>
          <t>3-1/2" TUBING 9.2 LB/FT ALLOY 28 TSH BL</t>
        </is>
      </c>
      <c r="C397" s="1421" t="n">
        <v>31</v>
      </c>
    </row>
    <row r="398" ht="76.09999999999999" customHeight="1" s="1158">
      <c r="A398" s="2075" t="inlineStr">
        <is>
          <t>D1</t>
        </is>
      </c>
      <c r="B398" s="2076" t="inlineStr">
        <is>
          <t>UPPER CONN. 3-1/2" VAM TOP BOX 9.2 PPF SN 28 110 KSI
DESCRIPTION: 5 FEET XOVER
SAP: 130005011340
SUPPLIER: TENARIS
LOWER CONN. 3-1/2" TSH BLUE PIN 9.2 PPF SN 28 110 KSI</t>
        </is>
      </c>
      <c r="C398" s="2077" t="n">
        <v>5.2</v>
      </c>
      <c r="D398" s="2078" t="n">
        <v>3.908</v>
      </c>
      <c r="E398" s="2078" t="n">
        <v>2.959</v>
      </c>
      <c r="F398" s="2079" t="inlineStr">
        <is>
          <t>N/A</t>
        </is>
      </c>
      <c r="G398" s="2079" t="inlineStr">
        <is>
          <t>N/A</t>
        </is>
      </c>
      <c r="H398" s="2079" t="inlineStr">
        <is>
          <t>130005011340</t>
        </is>
      </c>
      <c r="I398" s="2079" t="inlineStr">
        <is>
          <t>N/A</t>
        </is>
      </c>
    </row>
    <row r="399" ht="76.09999999999999" customHeight="1" s="1158">
      <c r="B399" s="2076" t="inlineStr">
        <is>
          <t>UPPER CONN. 3-1/2" SENTINEL PRIME BOX 9.2 PPF TX28-110 KSI
DESCRIPTION: 5 FEET XOVER
SAP: 130013006385
SUPPLIER: TBX
LOWER CONN. 3-1/2" VAM TOP PIN 9.2 PPF TX28-110 KSI</t>
        </is>
      </c>
      <c r="C399" s="2077" t="n">
        <v>4.96</v>
      </c>
      <c r="D399" s="2078" t="n">
        <v>3.929</v>
      </c>
      <c r="E399" s="2078" t="n">
        <v>2.921</v>
      </c>
      <c r="F399" s="2079" t="inlineStr">
        <is>
          <t>N/A</t>
        </is>
      </c>
      <c r="G399" s="2079" t="inlineStr">
        <is>
          <t>N/A</t>
        </is>
      </c>
      <c r="H399" s="2079" t="inlineStr">
        <is>
          <t>130013006385</t>
        </is>
      </c>
      <c r="I399" s="2079" t="inlineStr">
        <is>
          <t>N/A</t>
        </is>
      </c>
    </row>
    <row r="400" ht="135.8" customHeight="1" s="1158">
      <c r="B400" s="207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2077" t="n">
        <v>8.69</v>
      </c>
      <c r="D400" s="2078" t="n">
        <v>5.82</v>
      </c>
      <c r="E400" s="2078" t="n">
        <v>2.9</v>
      </c>
      <c r="F400" s="2079" t="inlineStr">
        <is>
          <t>3205577</t>
        </is>
      </c>
      <c r="G400" s="2079" t="inlineStr">
        <is>
          <t>12636080-03</t>
        </is>
      </c>
      <c r="H400" s="2079" t="inlineStr">
        <is>
          <t>130010036652</t>
        </is>
      </c>
      <c r="I400" s="2079" t="inlineStr">
        <is>
          <t>N/A</t>
        </is>
      </c>
    </row>
    <row r="401" ht="76.09999999999999" customHeight="1" s="1158">
      <c r="B401" s="2076" t="inlineStr">
        <is>
          <t>UPPER CONN. 3-1/2" VAM TOP BOX 9.2 PPF TX28- 110 KSI
DESCRIPTION: 5 FEET XOVER
SAP: 130013006383
SUPPLIER: TBX
LOWER CONN -3-1/2" SENTINEL PRIME PIN 9.2 PPF TX28-110 KSI</t>
        </is>
      </c>
      <c r="C401" s="2077" t="n">
        <v>4.85</v>
      </c>
      <c r="D401" s="2078" t="n">
        <v>3.908</v>
      </c>
      <c r="E401" s="2078" t="n">
        <v>2.959</v>
      </c>
      <c r="F401" s="2079" t="inlineStr">
        <is>
          <t>N/A</t>
        </is>
      </c>
      <c r="G401" s="2079" t="inlineStr">
        <is>
          <t>N/A</t>
        </is>
      </c>
      <c r="H401" s="2079" t="inlineStr">
        <is>
          <t>130013006383</t>
        </is>
      </c>
      <c r="I401" s="2079" t="inlineStr">
        <is>
          <t>N/A</t>
        </is>
      </c>
    </row>
    <row r="402" ht="76.09999999999999" customHeight="1" s="1158">
      <c r="B402" s="2076" t="inlineStr">
        <is>
          <t>UPPER CONN. 3-1/2" TSH BLUE BOX 9.2 PPF SN 28 110 KSI
DESCRIPTION: 10 FEET XOVER
SAP: 130005012487
SUPPLIER: TENARIS
LOWER CONN. 3-1/2" VAM TOP PIN 9.2 PPF SN 28 110 KSI</t>
        </is>
      </c>
      <c r="C402" s="2077" t="n">
        <v>9.949999999999999</v>
      </c>
      <c r="D402" s="2078" t="n">
        <v>3.937</v>
      </c>
      <c r="E402" s="2078" t="n">
        <v>2.969</v>
      </c>
      <c r="F402" s="2079" t="inlineStr">
        <is>
          <t>N/A</t>
        </is>
      </c>
      <c r="G402" s="2079" t="inlineStr">
        <is>
          <t>N/A</t>
        </is>
      </c>
      <c r="H402" s="2079" t="inlineStr">
        <is>
          <t>130005012487</t>
        </is>
      </c>
      <c r="I402" s="2079" t="inlineStr">
        <is>
          <t>N/A</t>
        </is>
      </c>
    </row>
    <row r="403" ht="14.25" customHeight="1" s="1158">
      <c r="A403" s="1207" t="inlineStr">
        <is>
          <t>JT.#193</t>
        </is>
      </c>
      <c r="B403" s="1207" t="inlineStr">
        <is>
          <t>3-1/2" TUBING 9.2 LB/FT ALLOY 28 TSH BL</t>
        </is>
      </c>
      <c r="C403" s="1421" t="n">
        <v>31</v>
      </c>
    </row>
    <row r="404" ht="14.25" customHeight="1" s="1158">
      <c r="A404" s="1207" t="inlineStr">
        <is>
          <t>JT.#194</t>
        </is>
      </c>
      <c r="B404" s="1207" t="inlineStr">
        <is>
          <t>3-1/2" TUBING 9.2 LB/FT ALLOY 28 TSH BL</t>
        </is>
      </c>
      <c r="C404" s="1421" t="n">
        <v>31</v>
      </c>
    </row>
    <row r="405" ht="14.25" customHeight="1" s="1158">
      <c r="A405" s="1207" t="inlineStr">
        <is>
          <t>JT.#195</t>
        </is>
      </c>
      <c r="B405" s="1207" t="inlineStr">
        <is>
          <t>3-1/2" TUBING 9.2 LB/FT ALLOY 28 TSH BL</t>
        </is>
      </c>
      <c r="C405" s="1421" t="n">
        <v>31</v>
      </c>
    </row>
    <row r="406" ht="14.25" customHeight="1" s="1158">
      <c r="A406" s="1207" t="inlineStr">
        <is>
          <t>JT.#196</t>
        </is>
      </c>
      <c r="B406" s="1207" t="inlineStr">
        <is>
          <t>3-1/2" TUBING 9.2 LB/FT ALLOY 28 TSH BL</t>
        </is>
      </c>
      <c r="C406" s="1421" t="n">
        <v>31</v>
      </c>
    </row>
    <row r="407" ht="14.25" customHeight="1" s="1158">
      <c r="A407" s="1207" t="inlineStr">
        <is>
          <t>JT.#197</t>
        </is>
      </c>
      <c r="B407" s="1207" t="inlineStr">
        <is>
          <t>3-1/2" TUBING 9.2 LB/FT ALLOY 28 TSH BL</t>
        </is>
      </c>
      <c r="C407" s="1421" t="n">
        <v>31</v>
      </c>
    </row>
    <row r="408" ht="14.25" customHeight="1" s="1158">
      <c r="A408" s="1207" t="inlineStr">
        <is>
          <t>JT.#198</t>
        </is>
      </c>
      <c r="B408" s="1207" t="inlineStr">
        <is>
          <t>3-1/2" TUBING 9.2 LB/FT ALLOY 28 TSH BL</t>
        </is>
      </c>
      <c r="C408" s="1421" t="n">
        <v>31</v>
      </c>
    </row>
    <row r="409" ht="14.25" customHeight="1" s="1158">
      <c r="A409" s="1207" t="inlineStr">
        <is>
          <t>JT.#199</t>
        </is>
      </c>
      <c r="B409" s="1207" t="inlineStr">
        <is>
          <t>3-1/2" TUBING 9.2 LB/FT ALLOY 28 TSH BL</t>
        </is>
      </c>
      <c r="C409" s="1421" t="n">
        <v>31</v>
      </c>
    </row>
    <row r="410" ht="14.25" customHeight="1" s="1158">
      <c r="A410" s="1207" t="inlineStr">
        <is>
          <t>JT.#200</t>
        </is>
      </c>
      <c r="B410" s="1207" t="inlineStr">
        <is>
          <t>3-1/2" TUBING 9.2 LB/FT ALLOY 28 TSH BL</t>
        </is>
      </c>
      <c r="C410" s="1421" t="n">
        <v>31</v>
      </c>
    </row>
    <row r="411" ht="14.25" customHeight="1" s="1158">
      <c r="A411" s="1207" t="inlineStr">
        <is>
          <t>JT.#201</t>
        </is>
      </c>
      <c r="B411" s="1207" t="inlineStr">
        <is>
          <t>3-1/2" TUBING 9.2 LB/FT ALLOY 28 TSH BL</t>
        </is>
      </c>
      <c r="C411" s="1421" t="n">
        <v>31</v>
      </c>
    </row>
    <row r="412" ht="14.25" customHeight="1" s="1158">
      <c r="A412" s="1207" t="inlineStr">
        <is>
          <t>JT.#202</t>
        </is>
      </c>
      <c r="B412" s="1207" t="inlineStr">
        <is>
          <t>3-1/2" TUBING 9.2 LB/FT ALLOY 28 TSH BL</t>
        </is>
      </c>
      <c r="C412" s="1421" t="n">
        <v>31</v>
      </c>
    </row>
    <row r="413" ht="14.25" customHeight="1" s="1158">
      <c r="A413" s="1207" t="inlineStr">
        <is>
          <t>JT.#203</t>
        </is>
      </c>
      <c r="B413" s="1207" t="inlineStr">
        <is>
          <t>3-1/2" TUBING 9.2 LB/FT ALLOY 28 TSH BL</t>
        </is>
      </c>
      <c r="C413" s="1421" t="n">
        <v>31</v>
      </c>
    </row>
    <row r="414" ht="14.25" customHeight="1" s="1158">
      <c r="A414" s="1207" t="inlineStr">
        <is>
          <t>JT.#204</t>
        </is>
      </c>
      <c r="B414" s="1207" t="inlineStr">
        <is>
          <t>3-1/2" TUBING 9.2 LB/FT ALLOY 28 TSH BL</t>
        </is>
      </c>
      <c r="C414" s="1421" t="n">
        <v>31</v>
      </c>
    </row>
    <row r="415" ht="14.25" customHeight="1" s="1158">
      <c r="A415" s="1207" t="inlineStr">
        <is>
          <t>JT.#205</t>
        </is>
      </c>
      <c r="B415" s="1207" t="inlineStr">
        <is>
          <t>3-1/2" TUBING 9.2 LB/FT ALLOY 28 TSH BL</t>
        </is>
      </c>
      <c r="C415" s="1421" t="n">
        <v>31</v>
      </c>
    </row>
    <row r="416" ht="14.25" customHeight="1" s="1158">
      <c r="A416" s="1207" t="inlineStr">
        <is>
          <t>JT.#206</t>
        </is>
      </c>
      <c r="B416" s="1207" t="inlineStr">
        <is>
          <t>3-1/2" TUBING 9.2 LB/FT ALLOY 28 TSH BL</t>
        </is>
      </c>
      <c r="C416" s="1421" t="n">
        <v>31</v>
      </c>
    </row>
    <row r="417" ht="14.25" customHeight="1" s="1158">
      <c r="A417" s="1207" t="inlineStr">
        <is>
          <t>JT.#207</t>
        </is>
      </c>
      <c r="B417" s="1207" t="inlineStr">
        <is>
          <t>3-1/2" TUBING 9.2 LB/FT ALLOY 28 TSH BL</t>
        </is>
      </c>
      <c r="C417" s="1421" t="n">
        <v>31</v>
      </c>
    </row>
    <row r="418" ht="76.09999999999999" customHeight="1" s="1158">
      <c r="A418" s="2080" t="inlineStr">
        <is>
          <t>D2</t>
        </is>
      </c>
      <c r="B418" s="2081" t="inlineStr">
        <is>
          <t>UPPER CONN. 3-1/2" VAM TOP BOX 9.2 PPF SN 28 110 KSI
DESCRIPTION: 5 FEET XOVER
SAP: 130005011340
SUPPLIER: TENARIS
LOWER CONN. 3-1/2" TSH BLUE PIN 9.2 PPF SN 28 110 KSI</t>
        </is>
      </c>
      <c r="C418" s="2082" t="n">
        <v>5.18</v>
      </c>
      <c r="D418" s="2083" t="n">
        <v>3.908</v>
      </c>
      <c r="E418" s="2083" t="n">
        <v>2.959</v>
      </c>
      <c r="F418" s="2084" t="inlineStr">
        <is>
          <t>N/A</t>
        </is>
      </c>
      <c r="G418" s="2084" t="inlineStr">
        <is>
          <t>N/A</t>
        </is>
      </c>
      <c r="H418" s="2084" t="inlineStr">
        <is>
          <t>130005011340</t>
        </is>
      </c>
      <c r="I418" s="2084" t="inlineStr">
        <is>
          <t>N/A</t>
        </is>
      </c>
    </row>
    <row r="419" ht="76.09999999999999" customHeight="1" s="1158">
      <c r="B419" s="2081" t="inlineStr">
        <is>
          <t>UPPER CONN. 3-1/2" SENTINEL PRIME BOX 9.2 PPF TX28- 110 KSI
DESCRIPTION: 5 FEET XOVER
SAP: 130013006385
SUPPLIER: TBX
LOWER CONN. 3-1/2" VAM TOP PIN 9.2 PPF TX28-110 KSI</t>
        </is>
      </c>
      <c r="C419" s="2082" t="n">
        <v>4.97</v>
      </c>
      <c r="D419" s="2083" t="n">
        <v>3.929</v>
      </c>
      <c r="E419" s="2083" t="n">
        <v>2.921</v>
      </c>
      <c r="F419" s="2084" t="inlineStr">
        <is>
          <t>N/A</t>
        </is>
      </c>
      <c r="G419" s="2084" t="inlineStr">
        <is>
          <t>N/A</t>
        </is>
      </c>
      <c r="H419" s="2084" t="inlineStr">
        <is>
          <t>130013006385</t>
        </is>
      </c>
      <c r="I419" s="2084" t="inlineStr">
        <is>
          <t>N/A</t>
        </is>
      </c>
    </row>
    <row r="420" ht="135.8" customHeight="1" s="1158">
      <c r="B420" s="208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2082" t="n">
        <v>8.69</v>
      </c>
      <c r="D420" s="2083" t="n">
        <v>5.82</v>
      </c>
      <c r="E420" s="2083" t="n">
        <v>2.9</v>
      </c>
      <c r="F420" s="2084" t="inlineStr">
        <is>
          <t>3205577</t>
        </is>
      </c>
      <c r="G420" s="2084" t="inlineStr">
        <is>
          <t>12636080-05</t>
        </is>
      </c>
      <c r="H420" s="2084" t="inlineStr">
        <is>
          <t>130010036652</t>
        </is>
      </c>
      <c r="I420" s="2084" t="inlineStr">
        <is>
          <t>N/A</t>
        </is>
      </c>
    </row>
    <row r="421" ht="76.09999999999999" customHeight="1" s="1158">
      <c r="B421" s="2081" t="inlineStr">
        <is>
          <t>UPPER CONN. 3-1/2" VAM TOP BOX 9.2 PPF TX28- 110 KSI
DESCRIPTION: 5 FEET XOVER
SAP: 130013006383
SUPPLIER: TBX
LOWER CONN -3-1/2" SENTINEL PRIME PIN 9.2 PPF TX28-110 KSI</t>
        </is>
      </c>
      <c r="C421" s="2082" t="n">
        <v>4.8</v>
      </c>
      <c r="D421" s="2083" t="n">
        <v>3.908</v>
      </c>
      <c r="E421" s="2083" t="n">
        <v>2.959</v>
      </c>
      <c r="F421" s="2084" t="inlineStr">
        <is>
          <t>N/A</t>
        </is>
      </c>
      <c r="G421" s="2084" t="inlineStr">
        <is>
          <t>N/A</t>
        </is>
      </c>
      <c r="H421" s="2084" t="inlineStr">
        <is>
          <t>130013006383</t>
        </is>
      </c>
      <c r="I421" s="2084" t="inlineStr">
        <is>
          <t>N/A</t>
        </is>
      </c>
    </row>
    <row r="422" ht="76.09999999999999" customHeight="1" s="1158">
      <c r="B422" s="2081" t="inlineStr">
        <is>
          <t>UPPER CONN. 3-1/2" TSH BLUE BOX 9.2 PPF SN 28 110 KSI
DESCRIPTION: 10 FEET XOVER
SAP: 130005012487
SUPPLIER: TENARIS
LOWER CONN. 3-1/2" VAM TOP PIN 9.2 PPF SN 28 110 KSI</t>
        </is>
      </c>
      <c r="C422" s="2082" t="n">
        <v>9.949999999999999</v>
      </c>
      <c r="D422" s="2083" t="n">
        <v>3.937</v>
      </c>
      <c r="E422" s="2083" t="n">
        <v>2.969</v>
      </c>
      <c r="F422" s="2084" t="inlineStr">
        <is>
          <t>N/A</t>
        </is>
      </c>
      <c r="G422" s="2084" t="inlineStr">
        <is>
          <t>N/A</t>
        </is>
      </c>
      <c r="H422" s="2084" t="inlineStr">
        <is>
          <t>130005012487</t>
        </is>
      </c>
      <c r="I422" s="2084" t="inlineStr">
        <is>
          <t>N/A</t>
        </is>
      </c>
    </row>
    <row r="423" ht="14.25" customHeight="1" s="1158">
      <c r="A423" s="1207" t="inlineStr">
        <is>
          <t>JT.#208</t>
        </is>
      </c>
      <c r="B423" s="1207" t="inlineStr">
        <is>
          <t>3-1/2" TUBING 9.2 LB/FT ALLOY 28 TSH BL</t>
        </is>
      </c>
      <c r="C423" s="1421" t="n">
        <v>31</v>
      </c>
    </row>
    <row r="424" ht="14.25" customHeight="1" s="1158">
      <c r="A424" s="1207" t="inlineStr">
        <is>
          <t>JT.#209</t>
        </is>
      </c>
      <c r="B424" s="1207" t="inlineStr">
        <is>
          <t>3-1/2" TUBING 9.2 LB/FT ALLOY 28 TSH BL</t>
        </is>
      </c>
      <c r="C424" s="1421" t="n">
        <v>31</v>
      </c>
    </row>
    <row r="425" ht="14.25" customHeight="1" s="1158">
      <c r="A425" s="1207" t="inlineStr">
        <is>
          <t>JT.#210</t>
        </is>
      </c>
      <c r="B425" s="1207" t="inlineStr">
        <is>
          <t>3-1/2" TUBING 9.2 LB/FT ALLOY 28 TSH BL</t>
        </is>
      </c>
      <c r="C425" s="1421" t="n">
        <v>31</v>
      </c>
    </row>
    <row r="426" ht="14.25" customHeight="1" s="1158">
      <c r="A426" s="1207" t="inlineStr">
        <is>
          <t>JT.#211</t>
        </is>
      </c>
      <c r="B426" s="1207" t="inlineStr">
        <is>
          <t>3-1/2" TUBING 9.2 LB/FT ALLOY 28 TSH BL</t>
        </is>
      </c>
      <c r="C426" s="1421" t="n">
        <v>31</v>
      </c>
    </row>
    <row r="427" ht="14.25" customHeight="1" s="1158">
      <c r="A427" s="1207" t="inlineStr">
        <is>
          <t>JT.#212</t>
        </is>
      </c>
      <c r="B427" s="1207" t="inlineStr">
        <is>
          <t>3-1/2" TUBING 9.2 LB/FT ALLOY 28 TSH BL</t>
        </is>
      </c>
      <c r="C427" s="1421" t="n">
        <v>31</v>
      </c>
    </row>
    <row r="428" ht="14.25" customHeight="1" s="1158">
      <c r="A428" s="1207" t="inlineStr">
        <is>
          <t>JT.#213</t>
        </is>
      </c>
      <c r="B428" s="1207" t="inlineStr">
        <is>
          <t>3-1/2" TUBING 9.2 LB/FT ALLOY 28 TSH BL</t>
        </is>
      </c>
      <c r="C428" s="1421" t="n">
        <v>31</v>
      </c>
    </row>
    <row r="429" ht="14.25" customHeight="1" s="1158">
      <c r="A429" s="1207" t="inlineStr">
        <is>
          <t>JT.#214</t>
        </is>
      </c>
      <c r="B429" s="1207" t="inlineStr">
        <is>
          <t>3-1/2" TUBING 9.2 LB/FT ALLOY 28 TSH BL</t>
        </is>
      </c>
      <c r="C429" s="1421" t="n">
        <v>31</v>
      </c>
    </row>
    <row r="430" ht="14.25" customHeight="1" s="1158">
      <c r="A430" s="1207" t="inlineStr">
        <is>
          <t>JT.#215</t>
        </is>
      </c>
      <c r="B430" s="1207" t="inlineStr">
        <is>
          <t>3-1/2" TUBING 9.2 LB/FT ALLOY 28 TSH BL</t>
        </is>
      </c>
      <c r="C430" s="1421" t="n">
        <v>31</v>
      </c>
    </row>
    <row r="431" ht="14.25" customHeight="1" s="1158">
      <c r="A431" s="1207" t="inlineStr">
        <is>
          <t>JT.#216</t>
        </is>
      </c>
      <c r="B431" s="1207" t="inlineStr">
        <is>
          <t>3-1/2" TUBING 9.2 LB/FT ALLOY 28 TSH BL</t>
        </is>
      </c>
      <c r="C431" s="1421" t="n">
        <v>31</v>
      </c>
    </row>
    <row r="432" ht="14.25" customHeight="1" s="1158">
      <c r="A432" s="1207" t="inlineStr">
        <is>
          <t>JT.#217</t>
        </is>
      </c>
      <c r="B432" s="1207" t="inlineStr">
        <is>
          <t>3-1/2" TUBING 9.2 LB/FT ALLOY 28 TSH BL</t>
        </is>
      </c>
      <c r="C432" s="1421" t="n">
        <v>31</v>
      </c>
    </row>
    <row r="433" ht="14.25" customHeight="1" s="1158">
      <c r="A433" s="1207" t="inlineStr">
        <is>
          <t>JT.#218</t>
        </is>
      </c>
      <c r="B433" s="1207" t="inlineStr">
        <is>
          <t>3-1/2" TUBING 9.2 LB/FT ALLOY 28 TSH BL</t>
        </is>
      </c>
      <c r="C433" s="1421" t="n">
        <v>31</v>
      </c>
    </row>
    <row r="434" ht="14.25" customHeight="1" s="1158">
      <c r="A434" s="1207" t="inlineStr">
        <is>
          <t>JT.#219</t>
        </is>
      </c>
      <c r="B434" s="1207" t="inlineStr">
        <is>
          <t>3-1/2" TUBING 9.2 LB/FT ALLOY 28 TSH BL</t>
        </is>
      </c>
      <c r="C434" s="1421" t="n">
        <v>31</v>
      </c>
    </row>
    <row r="435" ht="14.25" customHeight="1" s="1158">
      <c r="A435" s="1207" t="inlineStr">
        <is>
          <t>JT.#220</t>
        </is>
      </c>
      <c r="B435" s="1207" t="inlineStr">
        <is>
          <t>3-1/2" TUBING 9.2 LB/FT ALLOY 28 TSH BL</t>
        </is>
      </c>
      <c r="C435" s="1421" t="n">
        <v>31</v>
      </c>
    </row>
    <row r="436" ht="14.25" customHeight="1" s="1158">
      <c r="A436" s="1207" t="inlineStr">
        <is>
          <t>JT.#221</t>
        </is>
      </c>
      <c r="B436" s="1207" t="inlineStr">
        <is>
          <t>3-1/2" TUBING 9.2 LB/FT ALLOY 28 TSH BL</t>
        </is>
      </c>
      <c r="C436" s="1421" t="n">
        <v>31</v>
      </c>
    </row>
    <row r="437" ht="14.25" customHeight="1" s="1158">
      <c r="A437" s="1207" t="inlineStr">
        <is>
          <t>JT.#222</t>
        </is>
      </c>
      <c r="B437" s="1207" t="inlineStr">
        <is>
          <t>3-1/2" TUBING 9.2 LB/FT ALLOY 28 TSH BL</t>
        </is>
      </c>
      <c r="C437" s="1421" t="n">
        <v>31</v>
      </c>
    </row>
    <row r="438" ht="14.25" customHeight="1" s="1158">
      <c r="A438" s="1207" t="inlineStr">
        <is>
          <t>JT.#223</t>
        </is>
      </c>
      <c r="B438" s="1207" t="inlineStr">
        <is>
          <t>3-1/2" TUBING 9.2 LB/FT ALLOY 28 TSH BL</t>
        </is>
      </c>
      <c r="C438" s="1421" t="n">
        <v>31</v>
      </c>
    </row>
    <row r="439" ht="14.25" customHeight="1" s="1158">
      <c r="A439" s="1207" t="inlineStr">
        <is>
          <t>JT.#224</t>
        </is>
      </c>
      <c r="B439" s="1207" t="inlineStr">
        <is>
          <t>3-1/2" TUBING 9.2 LB/FT ALLOY 28 TSH BL</t>
        </is>
      </c>
      <c r="C439" s="1421" t="n">
        <v>31</v>
      </c>
    </row>
    <row r="440" ht="14.25" customHeight="1" s="1158">
      <c r="A440" s="1207" t="inlineStr">
        <is>
          <t>JT.#225</t>
        </is>
      </c>
      <c r="B440" s="1207" t="inlineStr">
        <is>
          <t>3-1/2" TUBING 9.2 LB/FT ALLOY 28 TSH BL</t>
        </is>
      </c>
      <c r="C440" s="1421" t="n">
        <v>31</v>
      </c>
    </row>
    <row r="441" ht="14.25" customHeight="1" s="1158">
      <c r="A441" s="1207" t="inlineStr">
        <is>
          <t>JT.#226</t>
        </is>
      </c>
      <c r="B441" s="1207" t="inlineStr">
        <is>
          <t>3-1/2" TUBING 9.2 LB/FT ALLOY 28 TSH BL</t>
        </is>
      </c>
      <c r="C441" s="1421" t="n">
        <v>31</v>
      </c>
    </row>
    <row r="442" ht="14.25" customHeight="1" s="1158">
      <c r="A442" s="1207" t="inlineStr">
        <is>
          <t>JT.#227</t>
        </is>
      </c>
      <c r="B442" s="1207" t="inlineStr">
        <is>
          <t>3-1/2" TUBING 9.2 LB/FT ALLOY 28 TSH BL</t>
        </is>
      </c>
      <c r="C442" s="1421" t="n">
        <v>31</v>
      </c>
    </row>
    <row r="443" ht="14.25" customHeight="1" s="1158">
      <c r="A443" s="1207" t="inlineStr">
        <is>
          <t>JT.#228</t>
        </is>
      </c>
      <c r="B443" s="1207" t="inlineStr">
        <is>
          <t>3-1/2" TUBING 9.2 LB/FT ALLOY 28 TSH BL</t>
        </is>
      </c>
      <c r="C443" s="1421" t="n">
        <v>31</v>
      </c>
    </row>
    <row r="444" ht="14.25" customHeight="1" s="1158">
      <c r="A444" s="1207" t="inlineStr">
        <is>
          <t>JT.#229</t>
        </is>
      </c>
      <c r="B444" s="1207" t="inlineStr">
        <is>
          <t>3-1/2" TUBING 9.2 LB/FT ALLOY 28 TSH BL</t>
        </is>
      </c>
      <c r="C444" s="1421" t="n">
        <v>31</v>
      </c>
    </row>
    <row r="445" ht="14.25" customHeight="1" s="1158">
      <c r="A445" s="1207" t="inlineStr">
        <is>
          <t>JT.#230</t>
        </is>
      </c>
      <c r="B445" s="1207" t="inlineStr">
        <is>
          <t>3-1/2" TUBING 9.2 LB/FT ALLOY 28 TSH BL</t>
        </is>
      </c>
      <c r="C445" s="1421" t="n">
        <v>31</v>
      </c>
    </row>
    <row r="446" ht="14.25" customHeight="1" s="1158">
      <c r="A446" s="1207" t="inlineStr">
        <is>
          <t>JT.#231</t>
        </is>
      </c>
      <c r="B446" s="1207" t="inlineStr">
        <is>
          <t>3-1/2" TUBING 9.2 LB/FT ALLOY 28 TSH BL</t>
        </is>
      </c>
      <c r="C446" s="1421" t="n">
        <v>31</v>
      </c>
    </row>
    <row r="447" ht="14.25" customHeight="1" s="1158">
      <c r="A447" s="1207" t="inlineStr">
        <is>
          <t>JT.#232</t>
        </is>
      </c>
      <c r="B447" s="1207" t="inlineStr">
        <is>
          <t>3-1/2" TUBING 9.2 LB/FT ALLOY 28 TSH BL</t>
        </is>
      </c>
      <c r="C447" s="1421" t="n">
        <v>31</v>
      </c>
    </row>
    <row r="448" ht="14.25" customHeight="1" s="1158">
      <c r="A448" s="1207" t="inlineStr">
        <is>
          <t>JT.#233</t>
        </is>
      </c>
      <c r="B448" s="1207" t="inlineStr">
        <is>
          <t>3-1/2" TUBING 9.2 LB/FT ALLOY 28 TSH BL</t>
        </is>
      </c>
      <c r="C448" s="1421" t="n">
        <v>31</v>
      </c>
    </row>
    <row r="449" ht="14.25" customHeight="1" s="1158">
      <c r="A449" s="1207" t="inlineStr">
        <is>
          <t>JT.#234</t>
        </is>
      </c>
      <c r="B449" s="1207" t="inlineStr">
        <is>
          <t>3-1/2" TUBING 9.2 LB/FT ALLOY 28 TSH BL</t>
        </is>
      </c>
      <c r="C449" s="1421" t="n">
        <v>31</v>
      </c>
    </row>
    <row r="450" ht="14.25" customHeight="1" s="1158">
      <c r="A450" s="1207" t="inlineStr">
        <is>
          <t>JT.#235</t>
        </is>
      </c>
      <c r="B450" s="1207" t="inlineStr">
        <is>
          <t>3-1/2" TUBING 9.2 LB/FT ALLOY 28 TSH BL</t>
        </is>
      </c>
      <c r="C450" s="1421" t="n">
        <v>31</v>
      </c>
    </row>
    <row r="451" ht="76.09999999999999" customHeight="1" s="1158">
      <c r="A451" s="2085" t="inlineStr">
        <is>
          <t>D3</t>
        </is>
      </c>
      <c r="B451" s="2086" t="inlineStr">
        <is>
          <t>UPPER CONN. 3-1/2" VAM TOP BOX 9.2 PPF SN 28 110 KSI
DESCRIPTION: 5 FEET XOVER
SAP: 130005011340
SUPPLIER: TENARIS
LOWER CONN. 3-1/2" TSH BLUE PIN 9.2 PPF SN 28 110 KSI</t>
        </is>
      </c>
      <c r="C451" s="2087" t="n">
        <v>5.19</v>
      </c>
      <c r="D451" s="2088" t="n">
        <v>3.908</v>
      </c>
      <c r="E451" s="2088" t="n">
        <v>2.959</v>
      </c>
      <c r="F451" s="2089" t="inlineStr">
        <is>
          <t>N/A</t>
        </is>
      </c>
      <c r="G451" s="2089" t="inlineStr">
        <is>
          <t>N/A</t>
        </is>
      </c>
      <c r="H451" s="2089" t="inlineStr">
        <is>
          <t>130005011340</t>
        </is>
      </c>
      <c r="I451" s="2089" t="inlineStr">
        <is>
          <t>N/A</t>
        </is>
      </c>
    </row>
    <row r="452" ht="76.09999999999999" customHeight="1" s="1158">
      <c r="B452" s="2086" t="inlineStr">
        <is>
          <t>UPPER CONN. 3-1/2" SENTINEL PRIME BOX 9.2 PPF TX28-110 KSI
DESCRIPTION: 5 FEET XOVER
SAP: 130013006385
SUPPLIER: TBX
LOWER CONN. 3-1/2" VAM TOP PIN 9.2 PPF TX28-110 KSI</t>
        </is>
      </c>
      <c r="C452" s="2087" t="n">
        <v>4.96</v>
      </c>
      <c r="D452" s="2088" t="n">
        <v>3.929</v>
      </c>
      <c r="E452" s="2088" t="n">
        <v>2.921</v>
      </c>
      <c r="F452" s="2089" t="inlineStr">
        <is>
          <t>N/A</t>
        </is>
      </c>
      <c r="G452" s="2089" t="inlineStr">
        <is>
          <t>N/A</t>
        </is>
      </c>
      <c r="H452" s="2089" t="inlineStr">
        <is>
          <t>130013006385</t>
        </is>
      </c>
      <c r="I452" s="2089" t="inlineStr">
        <is>
          <t>N/A</t>
        </is>
      </c>
    </row>
    <row r="453" ht="135.8" customHeight="1" s="1158">
      <c r="B453" s="208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2087" t="n">
        <v>8.69</v>
      </c>
      <c r="D453" s="2088" t="n">
        <v>5.82</v>
      </c>
      <c r="E453" s="2088" t="n">
        <v>2.9</v>
      </c>
      <c r="F453" s="2089" t="inlineStr">
        <is>
          <t>3205577</t>
        </is>
      </c>
      <c r="G453" s="2089" t="inlineStr">
        <is>
          <t>12600735-08</t>
        </is>
      </c>
      <c r="H453" s="2089" t="inlineStr">
        <is>
          <t>130010036652</t>
        </is>
      </c>
      <c r="I453" s="2089" t="inlineStr">
        <is>
          <t>N/A</t>
        </is>
      </c>
    </row>
    <row r="454" ht="76.09999999999999" customHeight="1" s="1158">
      <c r="B454" s="2086" t="inlineStr">
        <is>
          <t>UPPER CONN. 3-1/2" VAM TOP BOX 9.2 PPF TX28- 110 KSI
DESCRIPTION: 5 FEET XOVER
SAP: 130013006383
SUPPLIER: TBX
LOWER CONN -3-1/2" SENTINEL PRIME PIN 9.2 PPF TX28-110 KSI</t>
        </is>
      </c>
      <c r="C454" s="2087" t="n">
        <v>4.88</v>
      </c>
      <c r="D454" s="2088" t="n">
        <v>3.908</v>
      </c>
      <c r="E454" s="2088" t="n">
        <v>2.959</v>
      </c>
      <c r="F454" s="2089" t="inlineStr">
        <is>
          <t>N/A</t>
        </is>
      </c>
      <c r="G454" s="2089" t="inlineStr">
        <is>
          <t>N/A</t>
        </is>
      </c>
      <c r="H454" s="2089" t="inlineStr">
        <is>
          <t>130013006383</t>
        </is>
      </c>
      <c r="I454" s="2089" t="inlineStr">
        <is>
          <t>N/A</t>
        </is>
      </c>
    </row>
    <row r="455" ht="76.09999999999999" customHeight="1" s="1158">
      <c r="B455" s="2086" t="inlineStr">
        <is>
          <t>UPPER CONN. 3-1/2" TSH BLUE BOX 9.2 PPF SN 28 110 KSI
DESCRIPTION: 10 FEET XOVER
SAP: 130005012487
SUPPLIER: TENARIS
LOWER CONN. 3-1/2" VAM TOP PIN 9.2 PPF SN 28 110 KSI</t>
        </is>
      </c>
      <c r="C455" s="2087" t="n">
        <v>9.93</v>
      </c>
      <c r="D455" s="2088" t="n">
        <v>3.937</v>
      </c>
      <c r="E455" s="2088" t="n">
        <v>2.969</v>
      </c>
      <c r="F455" s="2089" t="inlineStr">
        <is>
          <t>N/A</t>
        </is>
      </c>
      <c r="G455" s="2089" t="inlineStr">
        <is>
          <t>N/A</t>
        </is>
      </c>
      <c r="H455" s="2089" t="inlineStr">
        <is>
          <t>130005012487</t>
        </is>
      </c>
      <c r="I455" s="2089" t="inlineStr">
        <is>
          <t>N/A</t>
        </is>
      </c>
    </row>
    <row r="456" ht="14.25" customHeight="1" s="1158">
      <c r="A456" s="1207" t="inlineStr">
        <is>
          <t>JT.#236</t>
        </is>
      </c>
      <c r="B456" s="1207" t="inlineStr">
        <is>
          <t>3-1/2" TUBING 9.2 LB/FT ALLOY 28 TSH BL</t>
        </is>
      </c>
      <c r="C456" s="1421" t="n">
        <v>31</v>
      </c>
    </row>
    <row r="457" ht="14.25" customHeight="1" s="1158">
      <c r="A457" s="1207" t="inlineStr">
        <is>
          <t>JT.#237</t>
        </is>
      </c>
      <c r="B457" s="1207" t="inlineStr">
        <is>
          <t>3-1/2" TUBING 9.2 LB/FT ALLOY 28 TSH BL</t>
        </is>
      </c>
      <c r="C457" s="1421" t="n">
        <v>31</v>
      </c>
    </row>
    <row r="458" ht="14.25" customHeight="1" s="1158">
      <c r="A458" s="1207" t="inlineStr">
        <is>
          <t>JT.#238</t>
        </is>
      </c>
      <c r="B458" s="1207" t="inlineStr">
        <is>
          <t>3-1/2" TUBING 9.2 LB/FT ALLOY 28 TSH BL</t>
        </is>
      </c>
      <c r="C458" s="1421" t="n">
        <v>31</v>
      </c>
    </row>
    <row r="459" ht="14.25" customHeight="1" s="1158">
      <c r="A459" s="1207" t="inlineStr">
        <is>
          <t>JT.#239</t>
        </is>
      </c>
      <c r="B459" s="1207" t="inlineStr">
        <is>
          <t>3-1/2" TUBING 9.2 LB/FT ALLOY 28 TSH BL</t>
        </is>
      </c>
      <c r="C459" s="1421" t="n">
        <v>31</v>
      </c>
    </row>
    <row r="460" ht="14.25" customHeight="1" s="1158">
      <c r="A460" s="1207" t="inlineStr">
        <is>
          <t>JT.#240</t>
        </is>
      </c>
      <c r="B460" s="1207" t="inlineStr">
        <is>
          <t>3-1/2" TUBING 9.2 LB/FT ALLOY 28 TSH BL</t>
        </is>
      </c>
      <c r="C460" s="1421" t="n">
        <v>31</v>
      </c>
    </row>
    <row r="461" ht="14.25" customHeight="1" s="1158">
      <c r="A461" s="1207" t="inlineStr">
        <is>
          <t>JT.#241</t>
        </is>
      </c>
      <c r="B461" s="1207" t="inlineStr">
        <is>
          <t>3-1/2" TUBING 9.2 LB/FT ALLOY 28 TSH BL</t>
        </is>
      </c>
      <c r="C461" s="1421" t="n">
        <v>31</v>
      </c>
    </row>
    <row r="462" ht="14.25" customHeight="1" s="1158">
      <c r="A462" s="1207" t="inlineStr">
        <is>
          <t>JT.#242</t>
        </is>
      </c>
      <c r="B462" s="1207" t="inlineStr">
        <is>
          <t>3-1/2" TUBING 9.2 LB/FT ALLOY 28 TSH BL</t>
        </is>
      </c>
      <c r="C462" s="1421" t="n">
        <v>31</v>
      </c>
    </row>
    <row r="463" ht="14.25" customHeight="1" s="1158">
      <c r="A463" s="1207" t="inlineStr">
        <is>
          <t>JT.#243</t>
        </is>
      </c>
      <c r="B463" s="1207" t="inlineStr">
        <is>
          <t>3-1/2" TUBING 9.2 LB/FT ALLOY 28 TSH BL</t>
        </is>
      </c>
      <c r="C463" s="1421" t="n">
        <v>31</v>
      </c>
    </row>
    <row r="464" ht="14.25" customHeight="1" s="1158">
      <c r="A464" s="1207" t="inlineStr">
        <is>
          <t>JT.#244</t>
        </is>
      </c>
      <c r="B464" s="1207" t="inlineStr">
        <is>
          <t>3-1/2" TUBING 9.2 LB/FT ALLOY 28 TSH BL</t>
        </is>
      </c>
      <c r="C464" s="1421" t="n">
        <v>31</v>
      </c>
    </row>
    <row r="465" ht="14.25" customHeight="1" s="1158">
      <c r="A465" s="1207" t="inlineStr">
        <is>
          <t>JT.#245</t>
        </is>
      </c>
      <c r="B465" s="1207" t="inlineStr">
        <is>
          <t>3-1/2" TUBING 9.2 LB/FT ALLOY 28 TSH BL</t>
        </is>
      </c>
      <c r="C465" s="1421" t="n">
        <v>31</v>
      </c>
    </row>
    <row r="466" ht="14.25" customHeight="1" s="1158">
      <c r="A466" s="1207" t="inlineStr">
        <is>
          <t>JT.#246</t>
        </is>
      </c>
      <c r="B466" s="1207" t="inlineStr">
        <is>
          <t>3-1/2" TUBING 9.2 LB/FT ALLOY 28 TSH BL</t>
        </is>
      </c>
      <c r="C466" s="1421" t="n">
        <v>31</v>
      </c>
    </row>
    <row r="467" ht="14.25" customHeight="1" s="1158">
      <c r="A467" s="1207" t="inlineStr">
        <is>
          <t>JT.#247</t>
        </is>
      </c>
      <c r="B467" s="1207" t="inlineStr">
        <is>
          <t>3-1/2" TUBING 9.2 LB/FT ALLOY 28 TSH BL</t>
        </is>
      </c>
      <c r="C467" s="1421" t="n">
        <v>31</v>
      </c>
    </row>
    <row r="468" ht="14.25" customHeight="1" s="1158">
      <c r="A468" s="1207" t="inlineStr">
        <is>
          <t>JT.#248</t>
        </is>
      </c>
      <c r="B468" s="1207" t="inlineStr">
        <is>
          <t>3-1/2" TUBING 9.2 LB/FT ALLOY 28 TSH BL</t>
        </is>
      </c>
      <c r="C468" s="1421" t="n">
        <v>31</v>
      </c>
    </row>
    <row r="469" ht="14.25" customHeight="1" s="1158">
      <c r="A469" s="1207" t="inlineStr">
        <is>
          <t>JT.#249</t>
        </is>
      </c>
      <c r="B469" s="1207" t="inlineStr">
        <is>
          <t>3-1/2" TUBING 9.2 LB/FT ALLOY 28 TSH BL</t>
        </is>
      </c>
      <c r="C469" s="1421" t="n">
        <v>31</v>
      </c>
    </row>
    <row r="470" ht="14.25" customHeight="1" s="1158">
      <c r="A470" s="1207" t="inlineStr">
        <is>
          <t>JT.#250</t>
        </is>
      </c>
      <c r="B470" s="1207" t="inlineStr">
        <is>
          <t>3-1/2" TUBING 9.2 LB/FT ALLOY 28 TSH BL</t>
        </is>
      </c>
      <c r="C470" s="1421" t="n">
        <v>31</v>
      </c>
    </row>
    <row r="471" ht="14.25" customHeight="1" s="1158">
      <c r="A471" s="1207" t="inlineStr">
        <is>
          <t>JT.#251</t>
        </is>
      </c>
      <c r="B471" s="1207" t="inlineStr">
        <is>
          <t>3-1/2" TUBING 9.2 LB/FT ALLOY 28 TSH BL</t>
        </is>
      </c>
      <c r="C471" s="1421" t="n">
        <v>31</v>
      </c>
    </row>
    <row r="472" ht="14.25" customHeight="1" s="1158">
      <c r="A472" s="1207" t="inlineStr">
        <is>
          <t>JT.#252</t>
        </is>
      </c>
      <c r="B472" s="1207" t="inlineStr">
        <is>
          <t>3-1/2" TUBING 9.2 LB/FT ALLOY 28 TSH BL</t>
        </is>
      </c>
      <c r="C472" s="1421" t="n">
        <v>31</v>
      </c>
    </row>
    <row r="473" ht="14.25" customHeight="1" s="1158">
      <c r="A473" s="1207" t="inlineStr">
        <is>
          <t>JT.#253</t>
        </is>
      </c>
      <c r="B473" s="1207" t="inlineStr">
        <is>
          <t>3-1/2" TUBING 9.2 LB/FT ALLOY 28 TSH BL</t>
        </is>
      </c>
      <c r="C473" s="1421" t="n">
        <v>31</v>
      </c>
    </row>
    <row r="474" ht="14.25" customHeight="1" s="1158">
      <c r="A474" s="1207" t="inlineStr">
        <is>
          <t>JT.#254</t>
        </is>
      </c>
      <c r="B474" s="1207" t="inlineStr">
        <is>
          <t>3-1/2" TUBING 9.2 LB/FT ALLOY 28 TSH BL</t>
        </is>
      </c>
      <c r="C474" s="1421" t="n">
        <v>31</v>
      </c>
    </row>
    <row r="475" ht="14.25" customHeight="1" s="1158">
      <c r="A475" s="1207" t="inlineStr">
        <is>
          <t>JT.#255</t>
        </is>
      </c>
      <c r="B475" s="1207" t="inlineStr">
        <is>
          <t>3-1/2" TUBING 9.2 LB/FT ALLOY 28 TSH BL</t>
        </is>
      </c>
      <c r="C475" s="1421" t="n">
        <v>31</v>
      </c>
    </row>
    <row r="476" ht="14.25" customHeight="1" s="1158">
      <c r="A476" s="1207" t="inlineStr">
        <is>
          <t>JT.#256</t>
        </is>
      </c>
      <c r="B476" s="1207" t="inlineStr">
        <is>
          <t>3-1/2" TUBING 9.2 LB/FT ALLOY 28 TSH BL</t>
        </is>
      </c>
      <c r="C476" s="1421" t="n">
        <v>31</v>
      </c>
    </row>
    <row r="477" ht="14.25" customHeight="1" s="1158">
      <c r="A477" s="1207" t="inlineStr">
        <is>
          <t>JT.#257</t>
        </is>
      </c>
      <c r="B477" s="1207" t="inlineStr">
        <is>
          <t>3-1/2" TUBING 9.2 LB/FT ALLOY 28 TSH BL</t>
        </is>
      </c>
      <c r="C477" s="1421" t="n">
        <v>31</v>
      </c>
    </row>
    <row r="478" ht="14.25" customHeight="1" s="1158">
      <c r="A478" s="1207" t="inlineStr">
        <is>
          <t>JT.#258</t>
        </is>
      </c>
      <c r="B478" s="1207" t="inlineStr">
        <is>
          <t>3-1/2" TUBING 9.2 LB/FT ALLOY 28 TSH BL</t>
        </is>
      </c>
      <c r="C478" s="1421" t="n">
        <v>31</v>
      </c>
    </row>
    <row r="479" ht="14.25" customHeight="1" s="1158">
      <c r="A479" s="1207" t="inlineStr">
        <is>
          <t>JT.#259</t>
        </is>
      </c>
      <c r="B479" s="1207" t="inlineStr">
        <is>
          <t>3-1/2" TUBING 9.2 LB/FT ALLOY 28 TSH BL</t>
        </is>
      </c>
      <c r="C479" s="1421" t="n">
        <v>31</v>
      </c>
    </row>
    <row r="480" ht="14.25" customHeight="1" s="1158">
      <c r="A480" s="1207" t="inlineStr">
        <is>
          <t>JT.#260</t>
        </is>
      </c>
      <c r="B480" s="1207" t="inlineStr">
        <is>
          <t>3-1/2" TUBING 9.2 LB/FT ALLOY 28 TSH BL</t>
        </is>
      </c>
      <c r="C480" s="1421" t="n">
        <v>31</v>
      </c>
    </row>
    <row r="481" ht="14.25" customHeight="1" s="1158">
      <c r="A481" s="1207" t="inlineStr">
        <is>
          <t>JT.#261</t>
        </is>
      </c>
      <c r="B481" s="1207" t="inlineStr">
        <is>
          <t>3-1/2" TUBING 9.2 LB/FT ALLOY 28 TSH BL</t>
        </is>
      </c>
      <c r="C481" s="1421" t="n">
        <v>31</v>
      </c>
    </row>
    <row r="482" ht="14.25" customHeight="1" s="1158">
      <c r="A482" s="1207" t="inlineStr">
        <is>
          <t>JT.#262</t>
        </is>
      </c>
      <c r="B482" s="1207" t="inlineStr">
        <is>
          <t>3-1/2" TUBING 9.2 LB/FT ALLOY 28 TSH BL</t>
        </is>
      </c>
      <c r="C482" s="1421" t="n">
        <v>31</v>
      </c>
    </row>
    <row r="483" ht="14.25" customHeight="1" s="1158">
      <c r="A483" s="1207" t="inlineStr">
        <is>
          <t>JT.#263</t>
        </is>
      </c>
      <c r="B483" s="1207" t="inlineStr">
        <is>
          <t>3-1/2" TUBING 9.2 LB/FT ALLOY 28 TSH BL</t>
        </is>
      </c>
      <c r="C483" s="1421" t="n">
        <v>31</v>
      </c>
    </row>
    <row r="484" ht="14.25" customHeight="1" s="1158">
      <c r="A484" s="1207" t="inlineStr">
        <is>
          <t>JT.#264</t>
        </is>
      </c>
      <c r="B484" s="1207" t="inlineStr">
        <is>
          <t>3-1/2" TUBING 9.2 LB/FT ALLOY 28 TSH BL</t>
        </is>
      </c>
      <c r="C484" s="1421" t="n">
        <v>31</v>
      </c>
    </row>
    <row r="485" ht="14.25" customHeight="1" s="1158">
      <c r="A485" s="1207" t="inlineStr">
        <is>
          <t>JT.#265</t>
        </is>
      </c>
      <c r="B485" s="1207" t="inlineStr">
        <is>
          <t>3-1/2" TUBING 9.2 LB/FT ALLOY 28 TSH BL</t>
        </is>
      </c>
      <c r="C485" s="1421" t="n">
        <v>31</v>
      </c>
    </row>
    <row r="486" ht="14.25" customHeight="1" s="1158">
      <c r="A486" s="1207" t="inlineStr">
        <is>
          <t>JT.#266</t>
        </is>
      </c>
      <c r="B486" s="1207" t="inlineStr">
        <is>
          <t>3-1/2" TUBING 9.2 LB/FT ALLOY 28 TSH BL</t>
        </is>
      </c>
      <c r="C486" s="1421" t="n">
        <v>31</v>
      </c>
    </row>
    <row r="487" ht="14.25" customHeight="1" s="1158">
      <c r="A487" s="1207" t="inlineStr">
        <is>
          <t>JT.#267</t>
        </is>
      </c>
      <c r="B487" s="1207" t="inlineStr">
        <is>
          <t>3-1/2" TUBING 9.2 LB/FT ALLOY 28 TSH BL</t>
        </is>
      </c>
      <c r="C487" s="1421" t="n">
        <v>31</v>
      </c>
    </row>
    <row r="488" ht="14.25" customHeight="1" s="1158">
      <c r="A488" s="1207" t="inlineStr">
        <is>
          <t>JT.#268</t>
        </is>
      </c>
      <c r="B488" s="1207" t="inlineStr">
        <is>
          <t>3-1/2" TUBING 9.2 LB/FT ALLOY 28 TSH BL</t>
        </is>
      </c>
      <c r="C488" s="1421" t="n">
        <v>31</v>
      </c>
    </row>
    <row r="489" ht="14.25" customHeight="1" s="1158">
      <c r="A489" s="1207" t="inlineStr">
        <is>
          <t>JT.#269</t>
        </is>
      </c>
      <c r="B489" s="1207" t="inlineStr">
        <is>
          <t>3-1/2" TUBING 9.2 LB/FT ALLOY 28 TSH BL</t>
        </is>
      </c>
      <c r="C489" s="1421" t="n">
        <v>31</v>
      </c>
    </row>
    <row r="490" ht="14.25" customHeight="1" s="1158">
      <c r="A490" s="1207" t="inlineStr">
        <is>
          <t>JT.#270</t>
        </is>
      </c>
      <c r="B490" s="1207" t="inlineStr">
        <is>
          <t>3-1/2" TUBING 9.2 LB/FT ALLOY 28 TSH BL</t>
        </is>
      </c>
      <c r="C490" s="1421" t="n">
        <v>31</v>
      </c>
    </row>
    <row r="491" ht="14.25" customHeight="1" s="1158">
      <c r="A491" s="1207" t="inlineStr">
        <is>
          <t>JT.#271</t>
        </is>
      </c>
      <c r="B491" s="1207" t="inlineStr">
        <is>
          <t>3-1/2" TUBING 9.2 LB/FT ALLOY 28 TSH BL</t>
        </is>
      </c>
      <c r="C491" s="1421" t="n">
        <v>31</v>
      </c>
    </row>
    <row r="492" ht="14.25" customHeight="1" s="1158">
      <c r="A492" s="1207" t="inlineStr">
        <is>
          <t>JT.#272</t>
        </is>
      </c>
      <c r="B492" s="1207" t="inlineStr">
        <is>
          <t>3-1/2" TUBING 9.2 LB/FT ALLOY 28 TSH BL</t>
        </is>
      </c>
      <c r="C492" s="1421" t="n">
        <v>31</v>
      </c>
    </row>
    <row r="493" ht="14.25" customHeight="1" s="1158">
      <c r="A493" s="1207" t="inlineStr">
        <is>
          <t>JT.#273</t>
        </is>
      </c>
      <c r="B493" s="1207" t="inlineStr">
        <is>
          <t>3-1/2" TUBING 9.2 LB/FT ALLOY 28 TSH BL</t>
        </is>
      </c>
      <c r="C493" s="1421" t="n">
        <v>31</v>
      </c>
    </row>
    <row r="494" ht="14.25" customHeight="1" s="1158">
      <c r="A494" s="1207" t="inlineStr">
        <is>
          <t>JT.#274</t>
        </is>
      </c>
      <c r="B494" s="1207" t="inlineStr">
        <is>
          <t>3-1/2" TUBING 9.2 LB/FT ALLOY 28 TSH BL</t>
        </is>
      </c>
      <c r="C494" s="1421" t="n">
        <v>31</v>
      </c>
    </row>
    <row r="495" ht="14.25" customHeight="1" s="1158">
      <c r="A495" s="1207" t="inlineStr">
        <is>
          <t>JT.#275</t>
        </is>
      </c>
      <c r="B495" s="1207" t="inlineStr">
        <is>
          <t>3-1/2" TUBING 9.2 LB/FT ALLOY 28 TSH BL</t>
        </is>
      </c>
      <c r="C495" s="1421" t="n">
        <v>31</v>
      </c>
    </row>
    <row r="496" ht="14.25" customHeight="1" s="1158">
      <c r="A496" s="1207" t="inlineStr">
        <is>
          <t>JT.#276</t>
        </is>
      </c>
      <c r="B496" s="1207" t="inlineStr">
        <is>
          <t>3-1/2" TUBING 9.2 LB/FT ALLOY 28 TSH BL</t>
        </is>
      </c>
      <c r="C496" s="1421" t="n">
        <v>31</v>
      </c>
    </row>
    <row r="497" ht="14.25" customHeight="1" s="1158">
      <c r="A497" s="1207" t="inlineStr">
        <is>
          <t>JT.#277</t>
        </is>
      </c>
      <c r="B497" s="1207" t="inlineStr">
        <is>
          <t>3-1/2" TUBING 9.2 LB/FT ALLOY 28 TSH BL</t>
        </is>
      </c>
      <c r="C497" s="1421" t="n">
        <v>31</v>
      </c>
    </row>
    <row r="498" ht="14.25" customHeight="1" s="1158">
      <c r="A498" s="1207" t="inlineStr">
        <is>
          <t>JT.#278</t>
        </is>
      </c>
      <c r="B498" s="1207" t="inlineStr">
        <is>
          <t>3-1/2" TUBING 9.2 LB/FT ALLOY 28 TSH BL</t>
        </is>
      </c>
      <c r="C498" s="1421" t="n">
        <v>31</v>
      </c>
    </row>
    <row r="499" ht="14.25" customHeight="1" s="1158">
      <c r="A499" s="1207" t="inlineStr">
        <is>
          <t>JT.#279</t>
        </is>
      </c>
      <c r="B499" s="1207" t="inlineStr">
        <is>
          <t>3-1/2" TUBING 9.2 LB/FT ALLOY 28 TSH BL</t>
        </is>
      </c>
      <c r="C499" s="1421" t="n">
        <v>31</v>
      </c>
    </row>
    <row r="500" ht="14.25" customHeight="1" s="1158">
      <c r="A500" s="1207" t="inlineStr">
        <is>
          <t>JT.#280</t>
        </is>
      </c>
      <c r="B500" s="1207" t="inlineStr">
        <is>
          <t>3-1/2" TUBING 9.2 LB/FT ALLOY 28 TSH BL</t>
        </is>
      </c>
      <c r="C500" s="1421" t="n">
        <v>31</v>
      </c>
    </row>
    <row r="501" ht="14.25" customHeight="1" s="1158">
      <c r="A501" s="1207" t="inlineStr">
        <is>
          <t>JT.#281</t>
        </is>
      </c>
      <c r="B501" s="1207" t="inlineStr">
        <is>
          <t>3-1/2" TUBING 9.2 LB/FT ALLOY 28 TSH BL</t>
        </is>
      </c>
      <c r="C501" s="1421" t="n">
        <v>31</v>
      </c>
    </row>
    <row r="502" ht="14.25" customHeight="1" s="1158">
      <c r="A502" s="1207" t="inlineStr">
        <is>
          <t>JT.#282</t>
        </is>
      </c>
      <c r="B502" s="1207" t="inlineStr">
        <is>
          <t>3-1/2" TUBING 9.2 LB/FT ALLOY 28 TSH BL</t>
        </is>
      </c>
      <c r="C502" s="1421" t="n">
        <v>31</v>
      </c>
    </row>
    <row r="503" ht="14.25" customHeight="1" s="1158">
      <c r="A503" s="1207" t="inlineStr">
        <is>
          <t>JT.#283</t>
        </is>
      </c>
      <c r="B503" s="1207" t="inlineStr">
        <is>
          <t>3-1/2" TUBING 9.2 LB/FT ALLOY 28 TSH BL</t>
        </is>
      </c>
      <c r="C503" s="1421" t="n">
        <v>31</v>
      </c>
    </row>
    <row r="504" ht="14.25" customHeight="1" s="1158">
      <c r="A504" s="1207" t="inlineStr">
        <is>
          <t>JT.#284</t>
        </is>
      </c>
      <c r="B504" s="1207" t="inlineStr">
        <is>
          <t>3-1/2" TUBING 9.2 LB/FT ALLOY 28 TSH BL</t>
        </is>
      </c>
      <c r="C504" s="1421" t="n">
        <v>31</v>
      </c>
    </row>
    <row r="505" ht="76.09999999999999" customHeight="1" s="1158">
      <c r="A505" s="2090" t="inlineStr">
        <is>
          <t>D4</t>
        </is>
      </c>
      <c r="B505" s="2091" t="inlineStr">
        <is>
          <t>UPPER CONN. 3-1/2" VAM TOP BOX 9.2 PPF SN 28 110 KSI
DESCRIPTION: 5 FEET XOVER
SAP: 130005011340
SUPPLIER: TENARIS
LOWER CONN. 3-1/2" TSH BLUE PIN 9.2 PPF SN 28 110 KSI</t>
        </is>
      </c>
      <c r="C505" s="2092" t="n">
        <v>5.18</v>
      </c>
      <c r="D505" s="2093" t="n">
        <v>3.908</v>
      </c>
      <c r="E505" s="2093" t="n">
        <v>2.959</v>
      </c>
      <c r="F505" s="2094" t="inlineStr">
        <is>
          <t>N/A</t>
        </is>
      </c>
      <c r="G505" s="2094" t="inlineStr">
        <is>
          <t>N/A</t>
        </is>
      </c>
      <c r="H505" s="2094" t="inlineStr">
        <is>
          <t>130005011340</t>
        </is>
      </c>
      <c r="I505" s="2094" t="inlineStr">
        <is>
          <t>N/A</t>
        </is>
      </c>
    </row>
    <row r="506" ht="76.09999999999999" customHeight="1" s="1158">
      <c r="B506" s="2091" t="inlineStr">
        <is>
          <t>UPPER CONN. 3-1/2" SENTINEL PRIME BOX 9.2 PPF TX28-110 KSI
DESCRIPTION: 5 FEET XOVER
SAP: 130013006385
SUPPLIER: TBX
LOWER CONN. 3-1/2" VAM TOP PIN 9.2 PPF TX28-110 KSI</t>
        </is>
      </c>
      <c r="C506" s="2092" t="n">
        <v>4.96</v>
      </c>
      <c r="D506" s="2093" t="n">
        <v>3.929</v>
      </c>
      <c r="E506" s="2093" t="n">
        <v>2.921</v>
      </c>
      <c r="F506" s="2094" t="inlineStr">
        <is>
          <t>N/A</t>
        </is>
      </c>
      <c r="G506" s="2094" t="inlineStr">
        <is>
          <t>N/A</t>
        </is>
      </c>
      <c r="H506" s="2094" t="inlineStr">
        <is>
          <t>130013006385</t>
        </is>
      </c>
      <c r="I506" s="2094" t="inlineStr">
        <is>
          <t>N/A</t>
        </is>
      </c>
    </row>
    <row r="507" ht="135.8" customHeight="1" s="1158">
      <c r="B507" s="209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2092" t="n">
        <v>8.69</v>
      </c>
      <c r="D507" s="2093" t="n">
        <v>5.82</v>
      </c>
      <c r="E507" s="2093" t="n">
        <v>2.9</v>
      </c>
      <c r="F507" s="2094" t="inlineStr">
        <is>
          <t>3205577</t>
        </is>
      </c>
      <c r="G507" s="2094" t="inlineStr">
        <is>
          <t>12696654-13</t>
        </is>
      </c>
      <c r="H507" s="2094" t="inlineStr">
        <is>
          <t>130010036652</t>
        </is>
      </c>
      <c r="I507" s="2094" t="inlineStr">
        <is>
          <t>N/A</t>
        </is>
      </c>
    </row>
    <row r="508" ht="76.09999999999999" customHeight="1" s="1158">
      <c r="B508" s="2091" t="inlineStr">
        <is>
          <t>UPPER CONN. 3-1/2" VAM TOP BOX 9.2 PPF TX28- 110 KSI
DESCRIPTION: 10 FEET XOVER
SAP: 1130013006387
SUPPLIER: TBX
LOWER CONN-3-1/2" SENTINELPRIME PIN 9.2 PPF TX28110 KSI</t>
        </is>
      </c>
      <c r="C508" s="2092" t="n">
        <v>9.779999999999999</v>
      </c>
      <c r="D508" s="2093" t="n">
        <v>3.908</v>
      </c>
      <c r="E508" s="2093" t="n">
        <v>2.959</v>
      </c>
      <c r="F508" s="2094" t="inlineStr">
        <is>
          <t>N/A</t>
        </is>
      </c>
      <c r="G508" s="2094" t="inlineStr">
        <is>
          <t>N/A</t>
        </is>
      </c>
      <c r="H508" s="2094" t="inlineStr">
        <is>
          <t>1130013006387</t>
        </is>
      </c>
      <c r="I508" s="2094" t="inlineStr">
        <is>
          <t>N/A</t>
        </is>
      </c>
    </row>
    <row r="509" ht="76.09999999999999" customHeight="1" s="1158">
      <c r="B509" s="2091" t="inlineStr">
        <is>
          <t>UPPER CONN. 3-1/2" TSH BLUE BOX 9.2 PPF SN 28 110 KSI
DESCRIPTION: 5 FEET XOVER
SAP: 130005011340
SUPPLIER: TENARIS
LOWER CONN. 3-1/2" VAM TOP PIN 9.2 PPF SN 28 110 KSI</t>
        </is>
      </c>
      <c r="C509" s="2092" t="n">
        <v>4.96</v>
      </c>
      <c r="D509" s="2093" t="n">
        <v>3.937</v>
      </c>
      <c r="E509" s="2093" t="n">
        <v>2.969</v>
      </c>
      <c r="F509" s="2094" t="inlineStr">
        <is>
          <t>N/A</t>
        </is>
      </c>
      <c r="G509" s="2094" t="inlineStr">
        <is>
          <t>N/A</t>
        </is>
      </c>
      <c r="H509" s="2094" t="inlineStr">
        <is>
          <t>130005011340</t>
        </is>
      </c>
      <c r="I509" s="2094" t="inlineStr">
        <is>
          <t>N/A</t>
        </is>
      </c>
    </row>
    <row r="510" ht="14.25" customHeight="1" s="1158">
      <c r="A510" s="1207" t="inlineStr">
        <is>
          <t>JT.#285</t>
        </is>
      </c>
      <c r="B510" s="1207" t="inlineStr">
        <is>
          <t>3-1/2" TUBING 9.2 LB/FT ALLOY 28 TSH BL</t>
        </is>
      </c>
      <c r="C510" s="1421" t="n">
        <v>31</v>
      </c>
    </row>
    <row r="511" ht="14.25" customHeight="1" s="1158">
      <c r="A511" s="1207" t="inlineStr">
        <is>
          <t>JT.#286</t>
        </is>
      </c>
      <c r="B511" s="1207" t="inlineStr">
        <is>
          <t>3-1/2" TUBING 9.2 LB/FT ALLOY 28 TSH BL</t>
        </is>
      </c>
      <c r="C511" s="1421" t="n">
        <v>31</v>
      </c>
    </row>
    <row r="512" ht="14.25" customHeight="1" s="1158">
      <c r="A512" s="1207" t="inlineStr">
        <is>
          <t>JT.#287</t>
        </is>
      </c>
      <c r="B512" s="1207" t="inlineStr">
        <is>
          <t>3-1/2" TUBING 9.2 LB/FT ALLOY 28 TSH BL</t>
        </is>
      </c>
      <c r="C512" s="1421" t="n">
        <v>31</v>
      </c>
    </row>
    <row r="513" ht="14.25" customHeight="1" s="1158">
      <c r="A513" s="1207" t="inlineStr">
        <is>
          <t>JT.#288</t>
        </is>
      </c>
      <c r="B513" s="1207" t="inlineStr">
        <is>
          <t>3-1/2" TUBING 9.2 LB/FT ALLOY 28 TSH BL</t>
        </is>
      </c>
      <c r="C513" s="1421" t="n">
        <v>31</v>
      </c>
    </row>
    <row r="514" ht="14.25" customHeight="1" s="1158">
      <c r="A514" s="1207" t="inlineStr">
        <is>
          <t>JT.#289</t>
        </is>
      </c>
      <c r="B514" s="1207" t="inlineStr">
        <is>
          <t>3-1/2" TUBING 9.2 LB/FT ALLOY 28 TSH BL</t>
        </is>
      </c>
      <c r="C514" s="1421" t="n">
        <v>31</v>
      </c>
    </row>
    <row r="515" ht="14.25" customHeight="1" s="1158">
      <c r="A515" s="1207" t="inlineStr">
        <is>
          <t>JT.#290</t>
        </is>
      </c>
      <c r="B515" s="1207" t="inlineStr">
        <is>
          <t>3-1/2" TUBING 9.2 LB/FT ALLOY 28 TSH BL</t>
        </is>
      </c>
      <c r="C515" s="1421" t="n">
        <v>31</v>
      </c>
    </row>
    <row r="516" ht="14.25" customHeight="1" s="1158">
      <c r="A516" s="1207" t="inlineStr">
        <is>
          <t>JT.#291</t>
        </is>
      </c>
      <c r="B516" s="1207" t="inlineStr">
        <is>
          <t>3-1/2" TUBING 9.2 LB/FT ALLOY 28 TSH BL</t>
        </is>
      </c>
      <c r="C516" s="1421" t="n">
        <v>31</v>
      </c>
    </row>
    <row r="517" ht="14.25" customHeight="1" s="1158">
      <c r="A517" s="1207" t="inlineStr">
        <is>
          <t>JT.#292</t>
        </is>
      </c>
      <c r="B517" s="1207" t="inlineStr">
        <is>
          <t>3-1/2" TUBING 9.2 LB/FT ALLOY 28 TSH BL</t>
        </is>
      </c>
      <c r="C517" s="1421" t="n">
        <v>31</v>
      </c>
    </row>
    <row r="518" ht="14.25" customHeight="1" s="1158">
      <c r="A518" s="1207" t="inlineStr">
        <is>
          <t>JT.#293</t>
        </is>
      </c>
      <c r="B518" s="1207" t="inlineStr">
        <is>
          <t>3-1/2" TUBING 9.2 LB/FT ALLOY 28 TSH BL</t>
        </is>
      </c>
      <c r="C518" s="1421" t="n">
        <v>31</v>
      </c>
    </row>
    <row r="519" ht="14.25" customHeight="1" s="1158">
      <c r="A519" s="1207" t="inlineStr">
        <is>
          <t>JT.#294</t>
        </is>
      </c>
      <c r="B519" s="1207" t="inlineStr">
        <is>
          <t>3-1/2" TUBING 9.2 LB/FT ALLOY 28 TSH BL</t>
        </is>
      </c>
      <c r="C519" s="1421" t="n">
        <v>31</v>
      </c>
    </row>
    <row r="520" ht="14.25" customHeight="1" s="1158">
      <c r="A520" s="1207" t="inlineStr">
        <is>
          <t>JT.#295</t>
        </is>
      </c>
      <c r="B520" s="1207" t="inlineStr">
        <is>
          <t>3-1/2" TUBING 9.2 LB/FT ALLOY 28 TSH BL</t>
        </is>
      </c>
      <c r="C520" s="1421" t="n">
        <v>31</v>
      </c>
    </row>
    <row r="521" ht="14.25" customHeight="1" s="1158">
      <c r="A521" s="1207" t="inlineStr">
        <is>
          <t>JT.#296</t>
        </is>
      </c>
      <c r="B521" s="1207" t="inlineStr">
        <is>
          <t>3-1/2" TUBING 9.2 LB/FT ALLOY 28 TSH BL</t>
        </is>
      </c>
      <c r="C521" s="1421" t="n">
        <v>31</v>
      </c>
    </row>
    <row r="522" ht="14.25" customHeight="1" s="1158">
      <c r="A522" s="1207" t="inlineStr">
        <is>
          <t>JT.#297</t>
        </is>
      </c>
      <c r="B522" s="1207" t="inlineStr">
        <is>
          <t>3-1/2" TUBING 9.2 LB/FT ALLOY 28 TSH BL</t>
        </is>
      </c>
      <c r="C522" s="1421" t="n">
        <v>31</v>
      </c>
    </row>
    <row r="523" ht="14.25" customHeight="1" s="1158">
      <c r="A523" s="1207" t="inlineStr">
        <is>
          <t>JT.#298</t>
        </is>
      </c>
      <c r="B523" s="1207" t="inlineStr">
        <is>
          <t>3-1/2" TUBING 9.2 LB/FT ALLOY 28 TSH BL</t>
        </is>
      </c>
      <c r="C523" s="1421" t="n">
        <v>31</v>
      </c>
    </row>
    <row r="524" ht="14.25" customHeight="1" s="1158">
      <c r="A524" s="1207" t="inlineStr">
        <is>
          <t>JT.#299</t>
        </is>
      </c>
      <c r="B524" s="1207" t="inlineStr">
        <is>
          <t>3-1/2" TUBING 9.2 LB/FT ALLOY 28 TSH BL</t>
        </is>
      </c>
      <c r="C524" s="1421" t="n">
        <v>31</v>
      </c>
    </row>
    <row r="525" ht="14.25" customHeight="1" s="1158">
      <c r="A525" s="1207" t="inlineStr">
        <is>
          <t>JT.#300</t>
        </is>
      </c>
      <c r="B525" s="1207" t="inlineStr">
        <is>
          <t>3-1/2" TUBING 9.2 LB/FT ALLOY 28 TSH BL</t>
        </is>
      </c>
      <c r="C525" s="1421" t="n">
        <v>31</v>
      </c>
    </row>
    <row r="526" ht="14.25" customHeight="1" s="1158">
      <c r="A526" s="1207" t="inlineStr">
        <is>
          <t>JT.#301</t>
        </is>
      </c>
      <c r="B526" s="1207" t="inlineStr">
        <is>
          <t>3-1/2" TUBING 9.2 LB/FT ALLOY 28 TSH BL</t>
        </is>
      </c>
      <c r="C526" s="1421" t="n">
        <v>31</v>
      </c>
    </row>
    <row r="527" ht="14.25" customHeight="1" s="1158">
      <c r="A527" s="1207" t="inlineStr">
        <is>
          <t>JT.#302</t>
        </is>
      </c>
      <c r="B527" s="1207" t="inlineStr">
        <is>
          <t>3-1/2" TUBING 9.2 LB/FT ALLOY 28 TSH BL</t>
        </is>
      </c>
      <c r="C527" s="1421" t="n">
        <v>31</v>
      </c>
    </row>
    <row r="528" ht="14.25" customHeight="1" s="1158">
      <c r="A528" s="1207" t="inlineStr">
        <is>
          <t>JT.#303</t>
        </is>
      </c>
      <c r="B528" s="1207" t="inlineStr">
        <is>
          <t>3-1/2" TUBING 9.2 LB/FT ALLOY 28 TSH BL</t>
        </is>
      </c>
      <c r="C528" s="1421" t="n">
        <v>31</v>
      </c>
    </row>
    <row r="529" ht="14.25" customHeight="1" s="1158">
      <c r="A529" s="1207" t="inlineStr">
        <is>
          <t>JT.#304</t>
        </is>
      </c>
      <c r="B529" s="1207" t="inlineStr">
        <is>
          <t>3-1/2" TUBING 9.2 LB/FT ALLOY 28 TSH BL</t>
        </is>
      </c>
      <c r="C529" s="1421" t="n">
        <v>31</v>
      </c>
    </row>
    <row r="530" ht="14.25" customHeight="1" s="1158">
      <c r="A530" s="1207" t="inlineStr">
        <is>
          <t>JT.#305</t>
        </is>
      </c>
      <c r="B530" s="1207" t="inlineStr">
        <is>
          <t>3-1/2" TUBING 9.2 LB/FT ALLOY 28 TSH BL</t>
        </is>
      </c>
      <c r="C530" s="1421" t="n">
        <v>31</v>
      </c>
    </row>
    <row r="531" ht="14.25" customHeight="1" s="1158">
      <c r="A531" s="1207" t="inlineStr">
        <is>
          <t>JT.#306</t>
        </is>
      </c>
      <c r="B531" s="1207" t="inlineStr">
        <is>
          <t>3-1/2" TUBING 9.2 LB/FT ALLOY 28 TSH BL</t>
        </is>
      </c>
      <c r="C531" s="1421" t="n">
        <v>31</v>
      </c>
    </row>
    <row r="532" ht="14.25" customHeight="1" s="1158">
      <c r="A532" s="1207" t="inlineStr">
        <is>
          <t>JT.#307</t>
        </is>
      </c>
      <c r="B532" s="1207" t="inlineStr">
        <is>
          <t>3-1/2" TUBING 9.2 LB/FT ALLOY 28 TSH BL</t>
        </is>
      </c>
      <c r="C532" s="1421" t="n">
        <v>31</v>
      </c>
    </row>
    <row r="533" ht="14.25" customHeight="1" s="1158">
      <c r="A533" s="1207" t="inlineStr">
        <is>
          <t>JT.#308</t>
        </is>
      </c>
      <c r="B533" s="1207" t="inlineStr">
        <is>
          <t>3-1/2" TUBING 9.2 LB/FT ALLOY 28 TSH BL</t>
        </is>
      </c>
      <c r="C533" s="1421" t="n">
        <v>31</v>
      </c>
    </row>
    <row r="534" ht="14.25" customHeight="1" s="1158">
      <c r="A534" s="1207" t="inlineStr">
        <is>
          <t>JT.#309</t>
        </is>
      </c>
      <c r="B534" s="1207" t="inlineStr">
        <is>
          <t>3-1/2" TUBING 9.2 LB/FT ALLOY 28 TSH BL</t>
        </is>
      </c>
      <c r="C534" s="1421" t="n">
        <v>31</v>
      </c>
    </row>
    <row r="535" ht="14.25" customHeight="1" s="1158">
      <c r="A535" s="1207" t="inlineStr">
        <is>
          <t>JT.#310</t>
        </is>
      </c>
      <c r="B535" s="1207" t="inlineStr">
        <is>
          <t>3-1/2" TUBING 9.2 LB/FT ALLOY 28 TSH BL</t>
        </is>
      </c>
      <c r="C535" s="1421" t="n">
        <v>31</v>
      </c>
    </row>
    <row r="536" ht="14.25" customHeight="1" s="1158">
      <c r="A536" s="1207" t="inlineStr">
        <is>
          <t>JT.#311</t>
        </is>
      </c>
      <c r="B536" s="1207" t="inlineStr">
        <is>
          <t>3-1/2" TUBING 9.2 LB/FT ALLOY 28 TSH BL</t>
        </is>
      </c>
      <c r="C536" s="1421" t="n">
        <v>31</v>
      </c>
    </row>
    <row r="537" ht="14.25" customHeight="1" s="1158">
      <c r="A537" s="1207" t="inlineStr">
        <is>
          <t>JT.#312</t>
        </is>
      </c>
      <c r="B537" s="1207" t="inlineStr">
        <is>
          <t>3-1/2" TUBING 9.2 LB/FT ALLOY 28 TSH BL</t>
        </is>
      </c>
      <c r="C537" s="1421" t="n">
        <v>31</v>
      </c>
    </row>
    <row r="538" ht="14.25" customHeight="1" s="1158">
      <c r="A538" s="1207" t="inlineStr">
        <is>
          <t>JT.#313</t>
        </is>
      </c>
      <c r="B538" s="1207" t="inlineStr">
        <is>
          <t>3-1/2" TUBING 9.2 LB/FT ALLOY 28 TSH BL</t>
        </is>
      </c>
      <c r="C538" s="1421" t="n">
        <v>31</v>
      </c>
    </row>
    <row r="539" ht="14.25" customHeight="1" s="1158">
      <c r="A539" s="1207" t="inlineStr">
        <is>
          <t>JT.#314</t>
        </is>
      </c>
      <c r="B539" s="1207" t="inlineStr">
        <is>
          <t>3-1/2" TUBING 9.2 LB/FT ALLOY 28 TSH BL</t>
        </is>
      </c>
      <c r="C539" s="1421" t="n">
        <v>31</v>
      </c>
    </row>
    <row r="540" ht="14.25" customHeight="1" s="1158">
      <c r="A540" s="1207" t="inlineStr">
        <is>
          <t>JT.#315</t>
        </is>
      </c>
      <c r="B540" s="1207" t="inlineStr">
        <is>
          <t>3-1/2" TUBING 9.2 LB/FT ALLOY 28 TSH BL</t>
        </is>
      </c>
      <c r="C540" s="1421" t="n">
        <v>31</v>
      </c>
    </row>
    <row r="541" ht="14.25" customHeight="1" s="1158">
      <c r="A541" s="1207" t="inlineStr">
        <is>
          <t>JT.#316</t>
        </is>
      </c>
      <c r="B541" s="1207" t="inlineStr">
        <is>
          <t>3-1/2" TUBING 9.2 LB/FT ALLOY 28 TSH BL</t>
        </is>
      </c>
      <c r="C541" s="1421" t="n">
        <v>31</v>
      </c>
    </row>
    <row r="542" ht="14.25" customHeight="1" s="1158">
      <c r="A542" s="1207" t="inlineStr">
        <is>
          <t>JT.#317</t>
        </is>
      </c>
      <c r="B542" s="1207" t="inlineStr">
        <is>
          <t>3-1/2" TUBING 9.2 LB/FT ALLOY 28 TSH BL</t>
        </is>
      </c>
      <c r="C542" s="1421" t="n">
        <v>31</v>
      </c>
    </row>
    <row r="543" ht="14.25" customHeight="1" s="1158">
      <c r="A543" s="1207" t="inlineStr">
        <is>
          <t>JT.#318</t>
        </is>
      </c>
      <c r="B543" s="1207" t="inlineStr">
        <is>
          <t>3-1/2" TUBING 9.2 LB/FT ALLOY 28 TSH BL</t>
        </is>
      </c>
      <c r="C543" s="1421" t="n">
        <v>31</v>
      </c>
    </row>
    <row r="544" ht="14.25" customHeight="1" s="1158">
      <c r="A544" s="1207" t="inlineStr">
        <is>
          <t>JT.#319</t>
        </is>
      </c>
      <c r="B544" s="1207" t="inlineStr">
        <is>
          <t>3-1/2" TUBING 9.2 LB/FT ALLOY 28 TSH BL</t>
        </is>
      </c>
      <c r="C544" s="1421" t="n">
        <v>31</v>
      </c>
    </row>
    <row r="545" ht="14.25" customHeight="1" s="1158">
      <c r="A545" s="1207" t="inlineStr">
        <is>
          <t>JT.#320</t>
        </is>
      </c>
      <c r="B545" s="1207" t="inlineStr">
        <is>
          <t>3-1/2" TUBING 9.2 LB/FT ALLOY 28 TSH BL</t>
        </is>
      </c>
      <c r="C545" s="1421" t="n">
        <v>31</v>
      </c>
    </row>
    <row r="546" ht="14.25" customHeight="1" s="1158">
      <c r="A546" s="1207" t="inlineStr">
        <is>
          <t>JT.#321</t>
        </is>
      </c>
      <c r="B546" s="1207" t="inlineStr">
        <is>
          <t>3-1/2" TUBING 9.2 LB/FT ALLOY 28 TSH BL</t>
        </is>
      </c>
      <c r="C546" s="1421" t="n">
        <v>31</v>
      </c>
    </row>
    <row r="547" ht="14.25" customHeight="1" s="1158">
      <c r="A547" s="1207" t="inlineStr">
        <is>
          <t>JT.#322</t>
        </is>
      </c>
      <c r="B547" s="1207" t="inlineStr">
        <is>
          <t>3-1/2" TUBING 9.2 LB/FT ALLOY 28 TSH BL</t>
        </is>
      </c>
      <c r="C547" s="1421" t="n">
        <v>31</v>
      </c>
    </row>
    <row r="548" ht="14.25" customHeight="1" s="1158">
      <c r="A548" s="1207" t="inlineStr">
        <is>
          <t>JT.#323</t>
        </is>
      </c>
      <c r="B548" s="1207" t="inlineStr">
        <is>
          <t>3-1/2" TUBING 9.2 LB/FT ALLOY 28 TSH BL</t>
        </is>
      </c>
      <c r="C548" s="1421" t="n">
        <v>31</v>
      </c>
    </row>
    <row r="549" ht="14.25" customHeight="1" s="1158">
      <c r="A549" s="1207" t="inlineStr">
        <is>
          <t>JT.#324</t>
        </is>
      </c>
      <c r="B549" s="1207" t="inlineStr">
        <is>
          <t>3-1/2" TUBING 9.2 LB/FT ALLOY 28 TSH BL</t>
        </is>
      </c>
      <c r="C549" s="1421" t="n">
        <v>31</v>
      </c>
    </row>
    <row r="550" ht="14.25" customHeight="1" s="1158">
      <c r="A550" s="1207" t="inlineStr">
        <is>
          <t>JT.#325</t>
        </is>
      </c>
      <c r="B550" s="1207" t="inlineStr">
        <is>
          <t>3-1/2" TUBING 9.2 LB/FT ALLOY 28 TSH BL</t>
        </is>
      </c>
      <c r="C550" s="1421" t="n">
        <v>31</v>
      </c>
    </row>
    <row r="551" ht="14.25" customHeight="1" s="1158">
      <c r="A551" s="1207" t="inlineStr">
        <is>
          <t>JT.#326</t>
        </is>
      </c>
      <c r="B551" s="1207" t="inlineStr">
        <is>
          <t>3-1/2" TUBING 9.2 LB/FT ALLOY 28 TSH BL</t>
        </is>
      </c>
      <c r="C551" s="1421" t="n">
        <v>31</v>
      </c>
    </row>
    <row r="552" ht="14.25" customHeight="1" s="1158">
      <c r="A552" s="1207" t="inlineStr">
        <is>
          <t>JT.#327</t>
        </is>
      </c>
      <c r="B552" s="1207" t="inlineStr">
        <is>
          <t>3-1/2" TUBING 9.2 LB/FT ALLOY 28 TSH BL</t>
        </is>
      </c>
      <c r="C552" s="1421" t="n">
        <v>31</v>
      </c>
    </row>
    <row r="553" ht="14.25" customHeight="1" s="1158">
      <c r="A553" s="1207" t="inlineStr">
        <is>
          <t>JT.#328</t>
        </is>
      </c>
      <c r="B553" s="1207" t="inlineStr">
        <is>
          <t>3-1/2" TUBING 9.2 LB/FT ALLOY 28 TSH BL</t>
        </is>
      </c>
      <c r="C553" s="1421" t="n">
        <v>31</v>
      </c>
    </row>
    <row r="554" ht="14.25" customHeight="1" s="1158">
      <c r="A554" s="1207" t="inlineStr">
        <is>
          <t>JT.#329</t>
        </is>
      </c>
      <c r="B554" s="1207" t="inlineStr">
        <is>
          <t>3-1/2" TUBING 9.2 LB/FT ALLOY 28 TSH BL</t>
        </is>
      </c>
      <c r="C554" s="1421" t="n">
        <v>31</v>
      </c>
    </row>
    <row r="555" ht="14.25" customHeight="1" s="1158">
      <c r="A555" s="1207" t="inlineStr">
        <is>
          <t>JT.#330</t>
        </is>
      </c>
      <c r="B555" s="1207" t="inlineStr">
        <is>
          <t>3-1/2" TUBING 9.2 LB/FT ALLOY 28 TSH BL</t>
        </is>
      </c>
      <c r="C555" s="1421" t="n">
        <v>31</v>
      </c>
    </row>
    <row r="556" ht="14.25" customHeight="1" s="1158">
      <c r="A556" s="1207" t="inlineStr">
        <is>
          <t>JT.#331</t>
        </is>
      </c>
      <c r="B556" s="1207" t="inlineStr">
        <is>
          <t>3-1/2" TUBING 9.2 LB/FT ALLOY 28 TSH BL</t>
        </is>
      </c>
      <c r="C556" s="1421" t="n">
        <v>31</v>
      </c>
    </row>
    <row r="557" ht="14.25" customHeight="1" s="1158">
      <c r="A557" s="1207" t="inlineStr">
        <is>
          <t>JT.#332</t>
        </is>
      </c>
      <c r="B557" s="1207" t="inlineStr">
        <is>
          <t>3-1/2" TUBING 9.2 LB/FT ALLOY 28 TSH BL</t>
        </is>
      </c>
      <c r="C557" s="1421" t="n">
        <v>31</v>
      </c>
    </row>
    <row r="558" ht="14.25" customHeight="1" s="1158">
      <c r="A558" s="1207" t="inlineStr">
        <is>
          <t>JT.#333</t>
        </is>
      </c>
      <c r="B558" s="1207" t="inlineStr">
        <is>
          <t>3-1/2" TUBING 9.2 LB/FT ALLOY 28 TSH BL</t>
        </is>
      </c>
      <c r="C558" s="1421" t="n">
        <v>31</v>
      </c>
    </row>
    <row r="559" ht="14.25" customHeight="1" s="1158">
      <c r="A559" s="1207" t="inlineStr">
        <is>
          <t>JT.#334</t>
        </is>
      </c>
      <c r="B559" s="1207" t="inlineStr">
        <is>
          <t>3-1/2" TUBING 9.2 LB/FT ALLOY 28 TSH BL</t>
        </is>
      </c>
      <c r="C559" s="1421" t="n">
        <v>31</v>
      </c>
    </row>
    <row r="560" ht="14.25" customHeight="1" s="1158">
      <c r="A560" s="1207" t="inlineStr">
        <is>
          <t>JT.#335</t>
        </is>
      </c>
      <c r="B560" s="1207" t="inlineStr">
        <is>
          <t>3-1/2" TUBING 9.2 LB/FT ALLOY 28 TSH BL</t>
        </is>
      </c>
      <c r="C560" s="1421" t="n">
        <v>31</v>
      </c>
    </row>
    <row r="561" ht="14.25" customHeight="1" s="1158">
      <c r="A561" s="1207" t="inlineStr">
        <is>
          <t>JT.#336</t>
        </is>
      </c>
      <c r="B561" s="1207" t="inlineStr">
        <is>
          <t>3-1/2" TUBING 9.2 LB/FT ALLOY 28 TSH BL</t>
        </is>
      </c>
      <c r="C561" s="1421" t="n">
        <v>31</v>
      </c>
    </row>
    <row r="562" ht="14.25" customHeight="1" s="1158">
      <c r="A562" s="1207" t="inlineStr">
        <is>
          <t>JT.#337</t>
        </is>
      </c>
      <c r="B562" s="1207" t="inlineStr">
        <is>
          <t>3-1/2" TUBING 9.2 LB/FT ALLOY 28 TSH BL</t>
        </is>
      </c>
      <c r="C562" s="1421" t="n">
        <v>31</v>
      </c>
    </row>
    <row r="563" ht="14.25" customHeight="1" s="1158">
      <c r="A563" s="1207" t="inlineStr">
        <is>
          <t>JT.#338</t>
        </is>
      </c>
      <c r="B563" s="1207" t="inlineStr">
        <is>
          <t>3-1/2" TUBING 9.2 LB/FT ALLOY 28 TSH BL</t>
        </is>
      </c>
      <c r="C563" s="1421" t="n">
        <v>31</v>
      </c>
    </row>
    <row r="564" ht="14.25" customHeight="1" s="1158">
      <c r="A564" s="1207" t="inlineStr">
        <is>
          <t>JT.#339</t>
        </is>
      </c>
      <c r="B564" s="1207" t="inlineStr">
        <is>
          <t>3-1/2" TUBING 9.2 LB/FT ALLOY 28 TSH BL</t>
        </is>
      </c>
      <c r="C564" s="1421" t="n">
        <v>31</v>
      </c>
    </row>
    <row r="565" ht="14.25" customHeight="1" s="1158">
      <c r="A565" s="1207" t="inlineStr">
        <is>
          <t>JT.#340</t>
        </is>
      </c>
      <c r="B565" s="1207" t="inlineStr">
        <is>
          <t>3-1/2" TUBING 9.2 LB/FT ALLOY 28 TSH BL</t>
        </is>
      </c>
      <c r="C565" s="1421" t="n">
        <v>31</v>
      </c>
    </row>
    <row r="566" ht="14.25" customHeight="1" s="1158">
      <c r="A566" s="1207" t="inlineStr">
        <is>
          <t>JT.#341</t>
        </is>
      </c>
      <c r="B566" s="1207" t="inlineStr">
        <is>
          <t>3-1/2" TUBING 9.2 LB/FT ALLOY 28 TSH BL</t>
        </is>
      </c>
      <c r="C566" s="1421" t="n">
        <v>31</v>
      </c>
    </row>
    <row r="567" ht="14.25" customHeight="1" s="1158">
      <c r="A567" s="1207" t="inlineStr">
        <is>
          <t>JT.#342</t>
        </is>
      </c>
      <c r="B567" s="1207" t="inlineStr">
        <is>
          <t>3-1/2" TUBING 9.2 LB/FT ALLOY 28 TSH BL</t>
        </is>
      </c>
      <c r="C567" s="1421" t="n">
        <v>31</v>
      </c>
    </row>
    <row r="568" ht="14.25" customHeight="1" s="1158">
      <c r="A568" s="1207" t="inlineStr">
        <is>
          <t>JT.#343</t>
        </is>
      </c>
      <c r="B568" s="1207" t="inlineStr">
        <is>
          <t>3-1/2" TUBING 9.2 LB/FT ALLOY 28 TSH BL</t>
        </is>
      </c>
      <c r="C568" s="1421" t="n">
        <v>31</v>
      </c>
    </row>
    <row r="569" ht="14.25" customHeight="1" s="1158">
      <c r="A569" s="1207" t="inlineStr">
        <is>
          <t>JT.#344</t>
        </is>
      </c>
      <c r="B569" s="1207" t="inlineStr">
        <is>
          <t>3-1/2" TUBING 9.2 LB/FT ALLOY 28 TSH BL</t>
        </is>
      </c>
      <c r="C569" s="1421" t="n">
        <v>31</v>
      </c>
    </row>
    <row r="570" ht="14.25" customHeight="1" s="1158">
      <c r="A570" s="1207" t="inlineStr">
        <is>
          <t>JT.#345</t>
        </is>
      </c>
      <c r="B570" s="1207" t="inlineStr">
        <is>
          <t>3-1/2" TUBING 9.2 LB/FT ALLOY 28 TSH BL</t>
        </is>
      </c>
      <c r="C570" s="1421" t="n">
        <v>31</v>
      </c>
    </row>
    <row r="571" ht="14.25" customHeight="1" s="1158">
      <c r="A571" s="1207" t="inlineStr">
        <is>
          <t>JT.#346</t>
        </is>
      </c>
      <c r="B571" s="1207" t="inlineStr">
        <is>
          <t>3-1/2" TUBING 9.2 LB/FT ALLOY 28 TSH BL</t>
        </is>
      </c>
      <c r="C571" s="1421" t="n">
        <v>31</v>
      </c>
    </row>
    <row r="572" ht="14.25" customHeight="1" s="1158">
      <c r="A572" s="1207" t="inlineStr">
        <is>
          <t>JT.#347</t>
        </is>
      </c>
      <c r="B572" s="1207" t="inlineStr">
        <is>
          <t>3-1/2" TUBING 9.2 LB/FT ALLOY 28 TSH BL</t>
        </is>
      </c>
      <c r="C572" s="1421" t="n">
        <v>31</v>
      </c>
    </row>
    <row r="573" ht="14.25" customHeight="1" s="1158">
      <c r="A573" s="1207" t="inlineStr">
        <is>
          <t>JT.#348</t>
        </is>
      </c>
      <c r="B573" s="1207" t="inlineStr">
        <is>
          <t>3-1/2" TUBING 9.2 LB/FT ALLOY 28 TSH BL</t>
        </is>
      </c>
      <c r="C573" s="1421" t="n">
        <v>31</v>
      </c>
    </row>
    <row r="574" ht="14.25" customHeight="1" s="1158">
      <c r="A574" s="1207" t="inlineStr">
        <is>
          <t>JT.#349</t>
        </is>
      </c>
      <c r="B574" s="1207" t="inlineStr">
        <is>
          <t>3-1/2" TUBING 9.2 LB/FT ALLOY 28 TSH BL</t>
        </is>
      </c>
      <c r="C574" s="1421" t="n">
        <v>31</v>
      </c>
    </row>
    <row r="575" ht="14.25" customHeight="1" s="1158">
      <c r="A575" s="1207" t="inlineStr">
        <is>
          <t>JT.#350</t>
        </is>
      </c>
      <c r="B575" s="1207" t="inlineStr">
        <is>
          <t>3-1/2" TUBING 9.2 LB/FT ALLOY 28 TSH BL</t>
        </is>
      </c>
      <c r="C575" s="1421" t="n">
        <v>31</v>
      </c>
    </row>
    <row r="576" ht="14.25" customHeight="1" s="1158">
      <c r="A576" s="1207" t="inlineStr">
        <is>
          <t>JT.#351</t>
        </is>
      </c>
      <c r="B576" s="1207" t="inlineStr">
        <is>
          <t>3-1/2" TUBING 9.2 LB/FT ALLOY 28 TSH BL</t>
        </is>
      </c>
      <c r="C576" s="1421" t="n">
        <v>31</v>
      </c>
    </row>
    <row r="577" ht="14.25" customHeight="1" s="1158">
      <c r="A577" s="1207" t="inlineStr">
        <is>
          <t>JT.#352</t>
        </is>
      </c>
      <c r="B577" s="1207" t="inlineStr">
        <is>
          <t>3-1/2" TUBING 9.2 LB/FT ALLOY 28 TSH BL</t>
        </is>
      </c>
      <c r="C577" s="1421" t="n">
        <v>31</v>
      </c>
    </row>
    <row r="578" ht="14.25" customHeight="1" s="1158">
      <c r="A578" s="1207" t="inlineStr">
        <is>
          <t>JT.#353</t>
        </is>
      </c>
      <c r="B578" s="1207" t="inlineStr">
        <is>
          <t>3-1/2" TUBING 9.2 LB/FT ALLOY 28 TSH BL</t>
        </is>
      </c>
      <c r="C578" s="1421" t="n">
        <v>31</v>
      </c>
    </row>
    <row r="579" ht="14.25" customHeight="1" s="1158">
      <c r="A579" s="1207" t="inlineStr">
        <is>
          <t>JT.#354</t>
        </is>
      </c>
      <c r="B579" s="1207" t="inlineStr">
        <is>
          <t>3-1/2" TUBING 9.2 LB/FT ALLOY 28 TSH BL</t>
        </is>
      </c>
      <c r="C579" s="1421" t="n">
        <v>31</v>
      </c>
    </row>
    <row r="580" ht="14.25" customHeight="1" s="1158">
      <c r="A580" s="1207" t="inlineStr">
        <is>
          <t>JT.#355</t>
        </is>
      </c>
      <c r="B580" s="1207" t="inlineStr">
        <is>
          <t>3-1/2" TUBING 9.2 LB/FT ALLOY 28 TSH BL</t>
        </is>
      </c>
      <c r="C580" s="1421" t="n">
        <v>31</v>
      </c>
    </row>
    <row r="581" ht="14.25" customHeight="1" s="1158">
      <c r="A581" s="1207" t="inlineStr">
        <is>
          <t>JT.#356</t>
        </is>
      </c>
      <c r="B581" s="1207" t="inlineStr">
        <is>
          <t>3-1/2" TUBING 9.2 LB/FT ALLOY 28 TSH BL</t>
        </is>
      </c>
      <c r="C581" s="1421" t="n">
        <v>31</v>
      </c>
    </row>
    <row r="582" ht="14.25" customHeight="1" s="1158">
      <c r="A582" s="1207" t="inlineStr">
        <is>
          <t>JT.#357</t>
        </is>
      </c>
      <c r="B582" s="1207" t="inlineStr">
        <is>
          <t>3-1/2" TUBING 9.2 LB/FT ALLOY 28 TSH BL</t>
        </is>
      </c>
      <c r="C582" s="1421" t="n">
        <v>31</v>
      </c>
    </row>
    <row r="583" ht="14.25" customHeight="1" s="1158">
      <c r="A583" s="1207" t="inlineStr">
        <is>
          <t>JT.#358</t>
        </is>
      </c>
      <c r="B583" s="1207" t="inlineStr">
        <is>
          <t>3-1/2" TUBING 9.2 LB/FT ALLOY 28 TSH BL</t>
        </is>
      </c>
      <c r="C583" s="1421" t="n">
        <v>31</v>
      </c>
    </row>
    <row r="584" ht="14.25" customHeight="1" s="1158">
      <c r="A584" s="1207" t="inlineStr">
        <is>
          <t>JT.#359</t>
        </is>
      </c>
      <c r="B584" s="1207" t="inlineStr">
        <is>
          <t>3-1/2" TUBING 9.2 LB/FT ALLOY 28 TSH BL</t>
        </is>
      </c>
      <c r="C584" s="1421" t="n">
        <v>31</v>
      </c>
    </row>
    <row r="585" ht="76.09999999999999" customHeight="1" s="1158">
      <c r="A585" s="2095" t="inlineStr">
        <is>
          <t>F</t>
        </is>
      </c>
      <c r="B585" s="2096" t="inlineStr">
        <is>
          <t>UPPER CONN. 3-1/2" VAM TOP BOX 9.2 PPF SN 28 110 KSI
DESCRIPTION: 5 FEET XOVER
SAP: 130005011340
SUPPLIER: TENARIS
UPPER CONN. 3-1/2" TSH BLUE PIN 9.2 PPF SN 28 110 KSI</t>
        </is>
      </c>
      <c r="C585" s="2097" t="n">
        <v>5.02</v>
      </c>
      <c r="D585" s="2098" t="n">
        <v>3.908</v>
      </c>
      <c r="E585" s="2098" t="n">
        <v>2.959</v>
      </c>
      <c r="F585" s="2099" t="inlineStr">
        <is>
          <t>N/A</t>
        </is>
      </c>
      <c r="G585" s="2099" t="inlineStr">
        <is>
          <t>N/A</t>
        </is>
      </c>
      <c r="H585" s="2099" t="inlineStr">
        <is>
          <t>130005011340</t>
        </is>
      </c>
      <c r="I585" s="2099" t="inlineStr">
        <is>
          <t>N/A</t>
        </is>
      </c>
    </row>
    <row r="586" ht="105.95" customHeight="1" s="1158">
      <c r="B586" s="2096" t="inlineStr">
        <is>
          <t>UPPER CONN. 3-1/2" VAM TOP 9.2#PPF INCOLOY 925 BOX
DESCRIPTION: FLOW COUPLING
PN: 2996124
S/N: 130777-04-001
SAP: 130010035671
S UPPLIER: WEATHERFORD
LOWER CONN. 3-1/2" VAM TOP 9.2#PPF</t>
        </is>
      </c>
      <c r="C586" s="2097" t="n">
        <v>5.75</v>
      </c>
      <c r="D586" s="2098" t="n">
        <v>3.937</v>
      </c>
      <c r="E586" s="2098" t="n">
        <v>2.949</v>
      </c>
      <c r="F586" s="2099" t="inlineStr">
        <is>
          <t>2996124</t>
        </is>
      </c>
      <c r="G586" s="2099" t="inlineStr">
        <is>
          <t>130777-04-001</t>
        </is>
      </c>
      <c r="H586" s="2099" t="inlineStr">
        <is>
          <t>130010035671</t>
        </is>
      </c>
      <c r="I586" s="2099" t="inlineStr">
        <is>
          <t>N/A</t>
        </is>
      </c>
    </row>
    <row r="587" ht="150.7" customHeight="1" s="1158">
      <c r="B587" s="2096" t="inlineStr">
        <is>
          <t>UPPER CONN. 3-1/2" VAM TOP 9.2#PPF
INCOLOY 925
BOX
DESCRIPTION: WEATHERFORD ASSY, TRSV,3.5WZPE-10
2.813WOR,2kSD,9.2# VAM TOP, WN302
PN: 2980845
S/N: 12777594-01
SAP: 130010038007
SUPPLIER: WEATHERFORD
LOWER CONN. 3-1/2" VAM TOP 9.2#PPF</t>
        </is>
      </c>
      <c r="C587" s="2097" t="n">
        <v>4.44</v>
      </c>
      <c r="D587" s="2098" t="n">
        <v>5.46</v>
      </c>
      <c r="E587" s="2098" t="n">
        <v>2.813</v>
      </c>
      <c r="F587" s="2099" t="inlineStr">
        <is>
          <t>2980845</t>
        </is>
      </c>
      <c r="G587" s="2099" t="inlineStr">
        <is>
          <t>12777594-01</t>
        </is>
      </c>
      <c r="H587" s="2099" t="inlineStr">
        <is>
          <t>130010038007</t>
        </is>
      </c>
      <c r="I587" s="2099" t="inlineStr">
        <is>
          <t>N/A</t>
        </is>
      </c>
    </row>
    <row r="588" ht="135.8" customHeight="1" s="1158">
      <c r="B588" s="2096" t="inlineStr">
        <is>
          <t>UPPER CONN. 3-1/2" VAM TOP 9.2#PPF
INCOLOY 925
BOX
DESCRIPTION: FLOW COUPLING
P/N: 2996124
S/N: 130777-02-002
SAP: 130010035671
SUPPLIER: WEATHERFORD
LOWER CONN. 3-1/2" VAM TOP 9.2#PPF</t>
        </is>
      </c>
      <c r="C588" s="2097" t="n">
        <v>5.75</v>
      </c>
      <c r="D588" s="2098" t="n">
        <v>3.937</v>
      </c>
      <c r="E588" s="2098" t="n">
        <v>2.949</v>
      </c>
      <c r="F588" s="2099" t="inlineStr">
        <is>
          <t>2996124</t>
        </is>
      </c>
      <c r="G588" s="2099" t="inlineStr">
        <is>
          <t>130777-02-002</t>
        </is>
      </c>
      <c r="H588" s="2099" t="inlineStr">
        <is>
          <t>130010035671</t>
        </is>
      </c>
      <c r="I588" s="2099" t="inlineStr">
        <is>
          <t>N/A</t>
        </is>
      </c>
    </row>
    <row r="589" ht="76.09999999999999" customHeight="1" s="1158">
      <c r="B589" s="2096" t="inlineStr">
        <is>
          <t>UPPER CONN. 3-1/2" TSH BLUE BOX 9.2 PPF SN 28 110 KSI
DESCRIPTION: 10 FEET XOVER
SAP: 130005012487
SUPPLIER: TENARIS
LOWER CONN. 3-1/2" VAM TOP PIN 9.2 PPF SN 28 110 KSI</t>
        </is>
      </c>
      <c r="C589" s="2097" t="n">
        <v>9.93</v>
      </c>
      <c r="D589" s="2098" t="n">
        <v>3.937</v>
      </c>
      <c r="E589" s="2098" t="n">
        <v>2.969</v>
      </c>
      <c r="F589" s="2099" t="inlineStr">
        <is>
          <t>N/A</t>
        </is>
      </c>
      <c r="G589" s="2099" t="inlineStr">
        <is>
          <t>N/A</t>
        </is>
      </c>
      <c r="H589" s="2099" t="inlineStr">
        <is>
          <t>130005012487</t>
        </is>
      </c>
      <c r="I589" s="2099" t="inlineStr">
        <is>
          <t>N/A</t>
        </is>
      </c>
    </row>
    <row r="590" ht="14.25" customHeight="1" s="1158">
      <c r="A590" s="1207" t="inlineStr">
        <is>
          <t>JT.#360</t>
        </is>
      </c>
      <c r="B590" s="1207" t="inlineStr">
        <is>
          <t>3-1/2" TUBING 9.2 LB/FT ALLOY 28 TSH BL</t>
        </is>
      </c>
      <c r="C590" s="1421" t="n">
        <v>31</v>
      </c>
    </row>
    <row r="591" ht="14.25" customHeight="1" s="1158">
      <c r="A591" s="1207" t="inlineStr">
        <is>
          <t>JT.#361</t>
        </is>
      </c>
      <c r="B591" s="1207" t="inlineStr">
        <is>
          <t>3-1/2" TUBING 9.2 LB/FT ALLOY 28 TSH BL</t>
        </is>
      </c>
      <c r="C591" s="1421" t="n">
        <v>31</v>
      </c>
    </row>
    <row r="592" ht="14.25" customHeight="1" s="1158">
      <c r="A592" s="1207" t="inlineStr">
        <is>
          <t>JT.#362</t>
        </is>
      </c>
      <c r="B592" s="1207" t="inlineStr">
        <is>
          <t>3-1/2" TUBING 9.2 LB/FT ALLOY 28 TSH BL</t>
        </is>
      </c>
      <c r="C592" s="1421" t="n">
        <v>31</v>
      </c>
    </row>
    <row r="593" ht="14.25" customHeight="1" s="1158">
      <c r="A593" s="1207" t="inlineStr">
        <is>
          <t>JT.#363</t>
        </is>
      </c>
      <c r="B593" s="1207" t="inlineStr">
        <is>
          <t>3-1/2" TUBING 9.2 LB/FT ALLOY 28 TSH BL</t>
        </is>
      </c>
      <c r="C593" s="1421" t="n">
        <v>31</v>
      </c>
    </row>
    <row r="594" ht="14.25" customHeight="1" s="1158">
      <c r="A594" s="1207" t="inlineStr">
        <is>
          <t>JT.#364</t>
        </is>
      </c>
      <c r="B594" s="1207" t="inlineStr">
        <is>
          <t>3-1/2" TUBING 9.2 LB/FT ALLOY 28 TSH BL</t>
        </is>
      </c>
      <c r="C594" s="1421" t="n">
        <v>31</v>
      </c>
    </row>
    <row r="595" ht="76.09999999999999" customHeight="1" s="1158">
      <c r="A595" s="2100" t="inlineStr">
        <is>
          <t>F - 1</t>
        </is>
      </c>
      <c r="B595" s="2101" t="inlineStr">
        <is>
          <t>UPPER CONN. 3-1/2" TENARIS BLUE 9.2#PPF SN 28 110 KSI
DESCRIPTION: 5 FEET PUP JOINT
SAP: 130005011338
SUPPLIER:TENARIS
LOWER CONN. 3-1/2" TENARIS BLUE 9.2#PPF SN 28 110 KSI</t>
        </is>
      </c>
      <c r="C595" s="2102" t="n">
        <v>5.08</v>
      </c>
      <c r="D595" s="2103" t="n">
        <v>3.937</v>
      </c>
      <c r="E595" s="2103" t="n">
        <v>2.969</v>
      </c>
      <c r="F595" s="2104" t="inlineStr">
        <is>
          <t>N/A</t>
        </is>
      </c>
      <c r="G595" s="2104" t="inlineStr">
        <is>
          <t>N/A</t>
        </is>
      </c>
      <c r="H595" s="2104" t="inlineStr">
        <is>
          <t>130005011338</t>
        </is>
      </c>
      <c r="I595" s="2104" t="inlineStr">
        <is>
          <t>N/A</t>
        </is>
      </c>
    </row>
    <row r="596" ht="76.09999999999999" customHeight="1" s="1158">
      <c r="B596" s="2101" t="inlineStr">
        <is>
          <t>UPPER CONN. 4-1/2" VAM TOP 12.6 #PPF SN 28 120 KSI BOX
DESCRIPTION : X OVER
4 1/2 PIN TOP X 3 1/2 PIN BTM
SAP: 130005012767 SUPPLIER: TENARIS
LOWER CONN. 3-1/2" TENARIS BLUE 9.2#PPF SN 28 120 KSI PIN</t>
        </is>
      </c>
      <c r="C596" s="2102" t="n">
        <v>2.48</v>
      </c>
      <c r="D596" s="2103" t="n">
        <v>4.5</v>
      </c>
      <c r="E596" s="2103" t="n">
        <v>2.969</v>
      </c>
      <c r="F596" s="2104" t="inlineStr">
        <is>
          <t>N/A</t>
        </is>
      </c>
      <c r="G596" s="2104" t="inlineStr">
        <is>
          <t>N/A</t>
        </is>
      </c>
      <c r="H596" s="2104" t="inlineStr">
        <is>
          <t>130005012767</t>
        </is>
      </c>
      <c r="I596" s="2104" t="inlineStr">
        <is>
          <t>N/A</t>
        </is>
      </c>
    </row>
    <row r="597" ht="120.85" customHeight="1" s="1158">
      <c r="B597" s="2101" t="inlineStr">
        <is>
          <t>UPPER CONN. 4-1/2" VAM TOP 12.6 #PPF INC 718 120 KSI BOX
DESCRIPTION: GE TBGHGR; CWCT-ED-CLL; 11 X 4-1/2; 4-1/2 12.6 PPF
VAM TOP BOX BTM; 4-1/2 VAM
P/N: R893330-1ADC11 REV D
S/N - ADWHT80698-05
SAP: 130010044633
SUPPLIER: GE
LOWER CONN. 4-1/2" VAM TOP 12.6 #PPF INC 718 120 KSI BOX</t>
        </is>
      </c>
      <c r="C597" s="2102" t="n">
        <v>1.9</v>
      </c>
      <c r="D597" s="2103" t="n">
        <v>11</v>
      </c>
      <c r="E597" s="2103" t="n">
        <v>3.9</v>
      </c>
      <c r="F597" s="2104" t="inlineStr">
        <is>
          <t>R893330-1ADC11 REV D</t>
        </is>
      </c>
      <c r="G597" s="2104" t="inlineStr">
        <is>
          <t>ADWHT80698-05</t>
        </is>
      </c>
      <c r="H597" s="2104" t="inlineStr">
        <is>
          <t>130010044633</t>
        </is>
      </c>
      <c r="I597" s="2104"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C31" activeCellId="0" sqref="A11:S58"/>
    </sheetView>
  </sheetViews>
  <sheetFormatPr baseColWidth="8" defaultColWidth="8.59765625" defaultRowHeight="14.25" customHeight="0" zeroHeight="0" outlineLevelRow="0"/>
  <cols>
    <col width="20" customWidth="1" style="1207" min="1" max="1"/>
    <col width="55" customWidth="1" style="1207" min="2" max="2"/>
    <col width="15" customWidth="1" style="1207" min="3" max="8"/>
    <col width="18" customWidth="1" style="1207" min="9" max="11"/>
    <col width="14" customWidth="1" style="1207" min="12" max="12"/>
  </cols>
  <sheetData>
    <row r="1" ht="14.25" customHeight="1" s="1158">
      <c r="A1" s="2004" t="inlineStr">
        <is>
          <t>Image Name</t>
        </is>
      </c>
      <c r="B1" s="2004" t="inlineStr">
        <is>
          <t>Description</t>
        </is>
      </c>
      <c r="C1" s="2004" t="inlineStr">
        <is>
          <t>ID</t>
        </is>
      </c>
      <c r="D1" s="1168" t="n"/>
      <c r="E1" s="2004" t="inlineStr">
        <is>
          <t>OD</t>
        </is>
      </c>
      <c r="F1" s="1168" t="n"/>
      <c r="G1" s="2004" t="inlineStr">
        <is>
          <t>Length</t>
        </is>
      </c>
      <c r="H1" s="1168" t="n"/>
      <c r="I1" s="2004" t="inlineStr">
        <is>
          <t>PN</t>
        </is>
      </c>
      <c r="J1" s="2004" t="inlineStr">
        <is>
          <t>SN</t>
        </is>
      </c>
      <c r="K1" s="2004" t="inlineStr">
        <is>
          <t>SAP</t>
        </is>
      </c>
      <c r="L1" s="2004" t="inlineStr">
        <is>
          <t>CAT ID</t>
        </is>
      </c>
    </row>
    <row r="2" ht="91" customHeight="1" s="1158">
      <c r="A2" s="2105" t="inlineStr">
        <is>
          <t>F - 1</t>
        </is>
      </c>
      <c r="B2" s="2106" t="inlineStr">
        <is>
          <t>UPPER CONN. 4-1/2" VAMTOP 12.6# L80
Box
DESCRIPTION: 30' LANDING JOINT
SAP: 130005009160
SUPPLIER:VAM
LOWER CONN. 4-1/2" VAMTOP 12.6# L80 PIN</t>
        </is>
      </c>
      <c r="C2" s="2107" t="n">
        <v>3.913</v>
      </c>
      <c r="D2" s="1171" t="n"/>
      <c r="E2" s="2107" t="n">
        <v>4.937</v>
      </c>
      <c r="F2" s="1171" t="n"/>
      <c r="G2" s="2108" t="n">
        <v>24.82</v>
      </c>
      <c r="H2" s="1171" t="n"/>
      <c r="I2" s="2106" t="inlineStr">
        <is>
          <t>N/A</t>
        </is>
      </c>
      <c r="J2" s="2106" t="inlineStr">
        <is>
          <t>N/A</t>
        </is>
      </c>
      <c r="K2" s="2106" t="inlineStr">
        <is>
          <t>130005009160</t>
        </is>
      </c>
      <c r="L2" s="2106" t="inlineStr">
        <is>
          <t>N/A</t>
        </is>
      </c>
    </row>
    <row r="3" ht="120.85" customHeight="1" s="1158">
      <c r="A3" s="1766" t="n"/>
      <c r="B3" s="2106" t="inlineStr">
        <is>
          <t>UPPER CONN. 4-1/2" VAM TOP 12.6 #PPF INC 718 120 KSI BOX
DESCRIPTION: GE TBGHGR; CWCT-ED-CLL; 11 X 4-1/2; 4-1/2 12.6 PPF
VAM TOP BOX BTM; 4-1/2 VAM
P/N: R893330-1ADC11 REV D
S/N - ADWHT80698-05
SAP: 130010044633
SUPPLIER: GE
LOWER CONN. 4-1/2" VAM TOP 12.6 #PPF INC 718 120 KSI BOX</t>
        </is>
      </c>
      <c r="C3" s="2107" t="n">
        <v>3.9</v>
      </c>
      <c r="D3" s="1171" t="n"/>
      <c r="E3" s="2107" t="n">
        <v>11</v>
      </c>
      <c r="F3" s="1171" t="n"/>
      <c r="G3" s="2108" t="n">
        <v>1.9</v>
      </c>
      <c r="H3" s="1171" t="n"/>
      <c r="I3" s="2106" t="inlineStr">
        <is>
          <t>R893330-1ADC11 REV D</t>
        </is>
      </c>
      <c r="J3" s="2106" t="inlineStr">
        <is>
          <t>ADWHT80698-05</t>
        </is>
      </c>
      <c r="K3" s="2106" t="inlineStr">
        <is>
          <t>130010044633</t>
        </is>
      </c>
      <c r="L3" s="2106" t="inlineStr">
        <is>
          <t>N/A</t>
        </is>
      </c>
    </row>
    <row r="4" ht="16.4" customHeight="1" s="1158">
      <c r="A4" s="1766" t="n"/>
      <c r="B4" s="2106" t="inlineStr">
        <is>
          <t>UPPER CONN. 4-1/2" VAM TOP 12.6 #PPF SN 28 120 KSI BOX
DESCRIPTION : X OVER
4 1/2 PIN TOP X 3 1/2 PIN BTM
SAP: 130005012767 SUPPLIER: TENARIS
LOWER CONN. 3-1/2" TENARIS BLUE 9.2#PPF SN 28 120 KSI PIN</t>
        </is>
      </c>
      <c r="C4" s="2107" t="n">
        <v>2.969</v>
      </c>
      <c r="D4" s="1171" t="n"/>
      <c r="E4" s="2107" t="n">
        <v>4.5</v>
      </c>
      <c r="F4" s="1171" t="n"/>
      <c r="G4" s="2108" t="n">
        <v>2.48</v>
      </c>
      <c r="H4" s="1171" t="n"/>
      <c r="I4" s="2106" t="inlineStr">
        <is>
          <t>N/A</t>
        </is>
      </c>
      <c r="J4" s="2106" t="inlineStr">
        <is>
          <t>N/A</t>
        </is>
      </c>
      <c r="K4" s="2106" t="inlineStr">
        <is>
          <t>130005012767</t>
        </is>
      </c>
      <c r="L4" s="2106" t="inlineStr">
        <is>
          <t>N/A</t>
        </is>
      </c>
    </row>
    <row r="5" ht="76.09999999999999" customHeight="1" s="1158">
      <c r="A5" s="1440" t="n"/>
      <c r="B5" s="2106" t="inlineStr">
        <is>
          <t>UPPER CONN. 3-1/2" TENARIS BLUE 9.2#PPF SN 28 110 KSI
DESCRIPTION: 5 FEET PUP JOINT
SAP: 130005011338
SUPPLIER:TENARIS
LOWER CONN. 3-1/2" TENARIS BLUE 9.2#PPF SN 28 110 KSI</t>
        </is>
      </c>
      <c r="C5" s="2107" t="n">
        <v>2.969</v>
      </c>
      <c r="D5" s="1171" t="n"/>
      <c r="E5" s="2107" t="n">
        <v>3.937</v>
      </c>
      <c r="F5" s="1171" t="n"/>
      <c r="G5" s="2108" t="n">
        <v>4.779</v>
      </c>
      <c r="H5" s="1171" t="n"/>
      <c r="I5" s="2106" t="inlineStr">
        <is>
          <t>N/A</t>
        </is>
      </c>
      <c r="J5" s="2106" t="inlineStr">
        <is>
          <t>N/A</t>
        </is>
      </c>
      <c r="K5" s="2106" t="inlineStr">
        <is>
          <t>130005011338</t>
        </is>
      </c>
      <c r="L5" s="2106" t="inlineStr">
        <is>
          <t>N/A</t>
        </is>
      </c>
    </row>
    <row r="6" ht="14.25" customHeight="1" s="1158">
      <c r="B6" s="2106" t="n"/>
      <c r="C6" s="2107" t="n">
        <v>2.969</v>
      </c>
      <c r="D6" s="1171" t="n"/>
      <c r="E6" s="2107" t="n">
        <v>3.937</v>
      </c>
      <c r="F6" s="1171" t="n"/>
      <c r="G6" s="1372" t="n"/>
      <c r="H6" s="1171" t="n"/>
      <c r="I6" s="2106" t="n"/>
      <c r="J6" s="2106" t="n"/>
      <c r="K6" s="2106" t="n"/>
      <c r="L6" s="2106" t="n"/>
    </row>
    <row r="7" ht="16.4" customHeight="1" s="1158">
      <c r="A7" s="2109" t="inlineStr">
        <is>
          <t>F</t>
        </is>
      </c>
      <c r="B7" s="2106" t="inlineStr">
        <is>
          <t>UPPER CONN. 3-1/2" TSH BLUE BOX 9.2 PPF SN 28 110 KSI
DESCRIPTION: 10 FEET XOVER
SAP: 130005012487
SUPPLIER: TENARIS
LOWER CONN. 3-1/2" VAM TOP PIN 9.2 PPF SN 28 110 KSI</t>
        </is>
      </c>
      <c r="C7" s="2107" t="n">
        <v>2.969</v>
      </c>
      <c r="D7" s="1171" t="n"/>
      <c r="E7" s="2107" t="n">
        <v>3.937</v>
      </c>
      <c r="F7" s="1171" t="n"/>
      <c r="G7" s="2110" t="n">
        <v>9.93</v>
      </c>
      <c r="H7" s="1171" t="n"/>
      <c r="I7" s="2106" t="inlineStr">
        <is>
          <t>N/A</t>
        </is>
      </c>
      <c r="J7" s="2106" t="inlineStr">
        <is>
          <t>N/A</t>
        </is>
      </c>
      <c r="K7" s="2106" t="inlineStr">
        <is>
          <t>130005012487</t>
        </is>
      </c>
      <c r="L7" s="2106" t="inlineStr">
        <is>
          <t>N/A</t>
        </is>
      </c>
    </row>
    <row r="8" ht="16.4" customHeight="1" s="1158">
      <c r="A8" s="1766" t="n"/>
      <c r="B8" s="2106" t="inlineStr">
        <is>
          <t>UPPER CONN. 3-1/2" VAM TOP 9.2#PPF
INCOLOY 925
BOX
DESCRIPTION: FLOW COUPLING
P/N: 2996124
S/N: 130777-02-002
SAP: 130010035671
SUPPLIER: WEATHERFORD
LOWER CONN. 3-1/2" VAM TOP 9.2#PPF</t>
        </is>
      </c>
      <c r="C8" s="2107" t="n">
        <v>2.949</v>
      </c>
      <c r="D8" s="1171" t="n"/>
      <c r="E8" s="2107" t="n">
        <v>3.937</v>
      </c>
      <c r="F8" s="1171" t="n"/>
      <c r="G8" s="2110" t="n">
        <v>5.75</v>
      </c>
      <c r="H8" s="1171" t="n"/>
      <c r="I8" s="2106" t="inlineStr">
        <is>
          <t>2996124</t>
        </is>
      </c>
      <c r="J8" s="2106" t="inlineStr">
        <is>
          <t>130777-02-002</t>
        </is>
      </c>
      <c r="K8" s="2106" t="inlineStr">
        <is>
          <t>130010035671</t>
        </is>
      </c>
      <c r="L8" s="2106" t="inlineStr">
        <is>
          <t>N/A</t>
        </is>
      </c>
    </row>
    <row r="9" ht="16.4" customHeight="1" s="1158">
      <c r="A9" s="1766" t="n"/>
      <c r="B9" s="2106" t="inlineStr">
        <is>
          <t>UPPER CONN. 3-1/2" VAM TOP 9.2#PPF
INCOLOY 925
BOX
DESCRIPTION: WEATHERFORD ASSY, TRSV,3.5WZPE-10
2.813WOR,2kSD,9.2# VAM TOP, WN302
PN: 2980845
S/N: 12777594-01
SAP: 130010038007
SUPPLIER: WEATHERFORD
LOWER CONN. 3-1/2" VAM TOP 9.2#PPF</t>
        </is>
      </c>
      <c r="C9" s="2107" t="n">
        <v>2.813</v>
      </c>
      <c r="D9" s="1171" t="n"/>
      <c r="E9" s="2107" t="n">
        <v>5.46</v>
      </c>
      <c r="F9" s="1171" t="n"/>
      <c r="G9" s="2110" t="n">
        <v>4.44</v>
      </c>
      <c r="H9" s="1171" t="n"/>
      <c r="I9" s="2106" t="inlineStr">
        <is>
          <t>2980845</t>
        </is>
      </c>
      <c r="J9" s="2106" t="inlineStr">
        <is>
          <t>12777594-01</t>
        </is>
      </c>
      <c r="K9" s="2106" t="inlineStr">
        <is>
          <t>130010038007</t>
        </is>
      </c>
      <c r="L9" s="2106" t="inlineStr">
        <is>
          <t>N/A</t>
        </is>
      </c>
    </row>
    <row r="10" ht="105.95" customHeight="1" s="1158">
      <c r="A10" s="1766" t="n"/>
      <c r="B10" s="2106" t="inlineStr">
        <is>
          <t>UPPER CONN. 3-1/2" VAM TOP 9.2#PPF INCOLOY 925 BOX
DESCRIPTION: FLOW COUPLING
PN: 2996124
S/N: 130777-04-001
SAP: 130010035671
S UPPLIER: WEATHERFORD
LOWER CONN. 3-1/2" VAM TOP 9.2#PPF</t>
        </is>
      </c>
      <c r="C10" s="2107" t="n">
        <v>2.949</v>
      </c>
      <c r="D10" s="1171" t="n"/>
      <c r="E10" s="2107" t="n">
        <v>3.937</v>
      </c>
      <c r="F10" s="1171" t="n"/>
      <c r="G10" s="2110" t="n">
        <v>5.75</v>
      </c>
      <c r="H10" s="1171" t="n"/>
      <c r="I10" s="2106" t="inlineStr">
        <is>
          <t>2996124</t>
        </is>
      </c>
      <c r="J10" s="2106" t="inlineStr">
        <is>
          <t>130777-04-001</t>
        </is>
      </c>
      <c r="K10" s="2106" t="inlineStr">
        <is>
          <t>130010035671</t>
        </is>
      </c>
      <c r="L10" s="2106" t="inlineStr">
        <is>
          <t>N/A</t>
        </is>
      </c>
    </row>
    <row r="11" ht="76.09999999999999" customHeight="1" s="1158">
      <c r="A11" s="1440" t="n"/>
      <c r="B11" s="2106" t="inlineStr">
        <is>
          <t>UPPER CONN. 3-1/2" VAM TOP BOX 9.2 PPF SN 28 110 KSI
DESCRIPTION: 5 FEET XOVER
SAP: 130005011340
SUPPLIER: TENARIS
UPPER CONN. 3-1/2" TSH BLUE PIN 9.2 PPF SN 28 110 KSI</t>
        </is>
      </c>
      <c r="C11" s="2107" t="n">
        <v>2.959</v>
      </c>
      <c r="D11" s="1171" t="n"/>
      <c r="E11" s="2107" t="n">
        <v>3.908</v>
      </c>
      <c r="F11" s="1171" t="n"/>
      <c r="G11" s="2110" t="n">
        <v>4.719</v>
      </c>
      <c r="H11" s="1171" t="n"/>
      <c r="I11" s="2106" t="inlineStr">
        <is>
          <t>N/A</t>
        </is>
      </c>
      <c r="J11" s="2106" t="inlineStr">
        <is>
          <t>N/A</t>
        </is>
      </c>
      <c r="K11" s="2106" t="inlineStr">
        <is>
          <t>130005011340</t>
        </is>
      </c>
      <c r="L11" s="2106" t="inlineStr">
        <is>
          <t>N/A</t>
        </is>
      </c>
    </row>
    <row r="12" ht="14.25" customHeight="1" s="1158">
      <c r="B12" s="2106" t="n"/>
      <c r="C12" s="2107" t="n">
        <v>2.959</v>
      </c>
      <c r="D12" s="1171" t="n"/>
      <c r="E12" s="2107" t="n">
        <v>3.908</v>
      </c>
      <c r="F12" s="1171" t="n"/>
      <c r="G12" s="1372" t="n"/>
      <c r="H12" s="1171" t="n"/>
      <c r="I12" s="2106" t="n"/>
      <c r="J12" s="2106" t="n"/>
      <c r="K12" s="2106" t="n"/>
      <c r="L12" s="2106" t="n"/>
    </row>
    <row r="13" ht="16.4" customHeight="1" s="1158">
      <c r="A13" s="2111" t="inlineStr">
        <is>
          <t>D4</t>
        </is>
      </c>
      <c r="B13" s="2106" t="inlineStr">
        <is>
          <t>UPPER CONN. 3-1/2" TSH BLUE BOX 9.2 PPF SN 28 110 KSI
DESCRIPTION: 5 FEET XOVER
SAP: 130005011340
SUPPLIER: TENARIS
LOWER CONN. 3-1/2" VAM TOP PIN 9.2 PPF SN 28 110 KSI</t>
        </is>
      </c>
      <c r="C13" s="2107" t="n">
        <v>2.969</v>
      </c>
      <c r="D13" s="1171" t="n"/>
      <c r="E13" s="2107" t="n">
        <v>3.937</v>
      </c>
      <c r="F13" s="1171" t="n"/>
      <c r="G13" s="2112" t="n">
        <v>4.96</v>
      </c>
      <c r="H13" s="1171" t="n"/>
      <c r="I13" s="2106" t="inlineStr">
        <is>
          <t>N/A</t>
        </is>
      </c>
      <c r="J13" s="2106" t="inlineStr">
        <is>
          <t>N/A</t>
        </is>
      </c>
      <c r="K13" s="2106" t="inlineStr">
        <is>
          <t>130005011340</t>
        </is>
      </c>
      <c r="L13" s="2106" t="inlineStr">
        <is>
          <t>N/A</t>
        </is>
      </c>
    </row>
    <row r="14" ht="76.09999999999999" customHeight="1" s="1158">
      <c r="A14" s="1766" t="n"/>
      <c r="B14" s="2106" t="inlineStr">
        <is>
          <t>UPPER CONN. 3-1/2" VAM TOP BOX 9.2 PPF TX28- 110 KSI
DESCRIPTION: 10 FEET XOVER
SAP: 1130013006387
SUPPLIER: TBX
LOWER CONN-3-1/2" SENTINELPRIME PIN 9.2 PPF TX28110 KSI</t>
        </is>
      </c>
      <c r="C14" s="2107" t="n">
        <v>2.959</v>
      </c>
      <c r="D14" s="1171" t="n"/>
      <c r="E14" s="2107" t="n">
        <v>3.908</v>
      </c>
      <c r="F14" s="1171" t="n"/>
      <c r="G14" s="2112" t="n">
        <v>9.779999999999999</v>
      </c>
      <c r="H14" s="1171" t="n"/>
      <c r="I14" s="2106" t="inlineStr">
        <is>
          <t>N/A</t>
        </is>
      </c>
      <c r="J14" s="2106" t="inlineStr">
        <is>
          <t>N/A</t>
        </is>
      </c>
      <c r="K14" s="2106" t="inlineStr">
        <is>
          <t>1130013006387</t>
        </is>
      </c>
      <c r="L14" s="2106" t="inlineStr">
        <is>
          <t>N/A</t>
        </is>
      </c>
    </row>
    <row r="15" ht="135.8" customHeight="1" s="1158">
      <c r="A15" s="1766" t="n"/>
      <c r="B15" s="210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2107" t="n">
        <v>2.9</v>
      </c>
      <c r="D15" s="1171" t="n"/>
      <c r="E15" s="2107" t="n">
        <v>5.82</v>
      </c>
      <c r="F15" s="1171" t="n"/>
      <c r="G15" s="2112" t="n">
        <v>8.69</v>
      </c>
      <c r="H15" s="1171" t="n"/>
      <c r="I15" s="2106" t="inlineStr">
        <is>
          <t>3205577</t>
        </is>
      </c>
      <c r="J15" s="2106" t="inlineStr">
        <is>
          <t>12696654-13</t>
        </is>
      </c>
      <c r="K15" s="2106" t="inlineStr">
        <is>
          <t>130010036652</t>
        </is>
      </c>
      <c r="L15" s="2106" t="inlineStr">
        <is>
          <t>N/A</t>
        </is>
      </c>
    </row>
    <row r="16" ht="16.4" customHeight="1" s="1158">
      <c r="A16" s="1766" t="n"/>
      <c r="B16" s="2106" t="inlineStr">
        <is>
          <t>UPPER CONN. 3-1/2" SENTINEL PRIME BOX 9.2 PPF TX28-110 KSI
DESCRIPTION: 5 FEET XOVER
SAP: 130013006385
SUPPLIER: TBX
LOWER CONN. 3-1/2" VAM TOP PIN 9.2 PPF TX28-110 KSI</t>
        </is>
      </c>
      <c r="C16" s="2107" t="n">
        <v>2.921</v>
      </c>
      <c r="D16" s="1171" t="n"/>
      <c r="E16" s="2107" t="n">
        <v>3.929</v>
      </c>
      <c r="F16" s="1171" t="n"/>
      <c r="G16" s="2112" t="n">
        <v>4.96</v>
      </c>
      <c r="H16" s="1171" t="n"/>
      <c r="I16" s="2106" t="inlineStr">
        <is>
          <t>N/A</t>
        </is>
      </c>
      <c r="J16" s="2106" t="inlineStr">
        <is>
          <t>N/A</t>
        </is>
      </c>
      <c r="K16" s="2106" t="inlineStr">
        <is>
          <t>130013006385</t>
        </is>
      </c>
      <c r="L16" s="2106" t="inlineStr">
        <is>
          <t>N/A</t>
        </is>
      </c>
    </row>
    <row r="17" ht="16.4" customHeight="1" s="1158">
      <c r="A17" s="1440" t="n"/>
      <c r="B17" s="2106" t="inlineStr">
        <is>
          <t>UPPER CONN. 3-1/2" VAM TOP BOX 9.2 PPF SN 28 110 KSI
DESCRIPTION: 5 FEET XOVER
SAP: 130005011340
SUPPLIER: TENARIS
LOWER CONN. 3-1/2" TSH BLUE PIN 9.2 PPF SN 28 110 KSI</t>
        </is>
      </c>
      <c r="C17" s="2107" t="n">
        <v>2.959</v>
      </c>
      <c r="D17" s="1171" t="n"/>
      <c r="E17" s="2107" t="n">
        <v>3.908</v>
      </c>
      <c r="F17" s="1171" t="n"/>
      <c r="G17" s="2112" t="n">
        <v>4.879</v>
      </c>
      <c r="H17" s="1171" t="n"/>
      <c r="I17" s="2106" t="inlineStr">
        <is>
          <t>N/A</t>
        </is>
      </c>
      <c r="J17" s="2106" t="inlineStr">
        <is>
          <t>N/A</t>
        </is>
      </c>
      <c r="K17" s="2106" t="inlineStr">
        <is>
          <t>130005011340</t>
        </is>
      </c>
      <c r="L17" s="2106" t="inlineStr">
        <is>
          <t>N/A</t>
        </is>
      </c>
    </row>
    <row r="18" ht="14.25" customHeight="1" s="1158">
      <c r="B18" s="2106" t="n"/>
      <c r="C18" s="2107" t="n">
        <v>2.959</v>
      </c>
      <c r="D18" s="1171" t="n"/>
      <c r="E18" s="2107" t="n">
        <v>3.908</v>
      </c>
      <c r="F18" s="1171" t="n"/>
      <c r="G18" s="1372" t="n"/>
      <c r="H18" s="1171" t="n"/>
      <c r="I18" s="2106" t="n"/>
      <c r="J18" s="2106" t="n"/>
      <c r="K18" s="2106" t="n"/>
      <c r="L18" s="2106" t="n"/>
    </row>
    <row r="19" ht="16.4" customHeight="1" s="1158">
      <c r="A19" s="2113" t="inlineStr">
        <is>
          <t>D3</t>
        </is>
      </c>
      <c r="B19" s="2106" t="inlineStr">
        <is>
          <t>UPPER CONN. 3-1/2" TSH BLUE BOX 9.2 PPF SN 28 110 KSI
DESCRIPTION: 10 FEET XOVER
SAP: 130005012487
SUPPLIER: TENARIS
LOWER CONN. 3-1/2" VAM TOP PIN 9.2 PPF SN 28 110 KSI</t>
        </is>
      </c>
      <c r="C19" s="2107" t="n">
        <v>2.969</v>
      </c>
      <c r="D19" s="1171" t="n"/>
      <c r="E19" s="2107" t="n">
        <v>3.937</v>
      </c>
      <c r="F19" s="1171" t="n"/>
      <c r="G19" s="2114" t="n">
        <v>9.93</v>
      </c>
      <c r="H19" s="1171" t="n"/>
      <c r="I19" s="2106" t="inlineStr">
        <is>
          <t>N/A</t>
        </is>
      </c>
      <c r="J19" s="2106" t="inlineStr">
        <is>
          <t>N/A</t>
        </is>
      </c>
      <c r="K19" s="2106" t="inlineStr">
        <is>
          <t>130005012487</t>
        </is>
      </c>
      <c r="L19" s="2106" t="inlineStr">
        <is>
          <t>N/A</t>
        </is>
      </c>
    </row>
    <row r="20" ht="76.09999999999999" customHeight="1" s="1158">
      <c r="A20" s="1766" t="n"/>
      <c r="B20" s="2106" t="inlineStr">
        <is>
          <t>UPPER CONN. 3-1/2" VAM TOP BOX 9.2 PPF TX28- 110 KSI
DESCRIPTION: 5 FEET XOVER
SAP: 130013006383
SUPPLIER: TBX
LOWER CONN -3-1/2" SENTINEL PRIME PIN 9.2 PPF TX28-110 KSI</t>
        </is>
      </c>
      <c r="C20" s="2107" t="n">
        <v>2.959</v>
      </c>
      <c r="D20" s="1171" t="n"/>
      <c r="E20" s="2107" t="n">
        <v>3.908</v>
      </c>
      <c r="F20" s="1171" t="n"/>
      <c r="G20" s="2114" t="n">
        <v>4.88</v>
      </c>
      <c r="H20" s="1171" t="n"/>
      <c r="I20" s="2106" t="inlineStr">
        <is>
          <t>N/A</t>
        </is>
      </c>
      <c r="J20" s="2106" t="inlineStr">
        <is>
          <t>N/A</t>
        </is>
      </c>
      <c r="K20" s="2106" t="inlineStr">
        <is>
          <t>130013006383</t>
        </is>
      </c>
      <c r="L20" s="2106" t="inlineStr">
        <is>
          <t>N/A</t>
        </is>
      </c>
    </row>
    <row r="21" ht="16.4" customHeight="1" s="1158">
      <c r="A21" s="1766" t="n"/>
      <c r="B21" s="210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2107" t="n">
        <v>2.9</v>
      </c>
      <c r="D21" s="1171" t="n"/>
      <c r="E21" s="2107" t="n">
        <v>5.82</v>
      </c>
      <c r="F21" s="1171" t="n"/>
      <c r="G21" s="2114" t="n">
        <v>8.69</v>
      </c>
      <c r="H21" s="1171" t="n"/>
      <c r="I21" s="2106" t="inlineStr">
        <is>
          <t>3205577</t>
        </is>
      </c>
      <c r="J21" s="2106" t="inlineStr">
        <is>
          <t>12600735-08</t>
        </is>
      </c>
      <c r="K21" s="2106" t="inlineStr">
        <is>
          <t>130010036652</t>
        </is>
      </c>
      <c r="L21" s="2106" t="inlineStr">
        <is>
          <t>N/A</t>
        </is>
      </c>
    </row>
    <row r="22" ht="76.09999999999999" customHeight="1" s="1158">
      <c r="A22" s="1766" t="n"/>
      <c r="B22" s="2106" t="inlineStr">
        <is>
          <t>UPPER CONN. 3-1/2" SENTINEL PRIME BOX 9.2 PPF TX28-110 KSI
DESCRIPTION: 5 FEET XOVER
SAP: 130013006385
SUPPLIER: TBX
LOWER CONN. 3-1/2" VAM TOP PIN 9.2 PPF TX28-110 KSI</t>
        </is>
      </c>
      <c r="C22" s="2107" t="n">
        <v>2.921</v>
      </c>
      <c r="D22" s="1171" t="n"/>
      <c r="E22" s="2107" t="n">
        <v>3.929</v>
      </c>
      <c r="F22" s="1171" t="n"/>
      <c r="G22" s="2114" t="n">
        <v>4.96</v>
      </c>
      <c r="H22" s="1171" t="n"/>
      <c r="I22" s="2106" t="inlineStr">
        <is>
          <t>N/A</t>
        </is>
      </c>
      <c r="J22" s="2106" t="inlineStr">
        <is>
          <t>N/A</t>
        </is>
      </c>
      <c r="K22" s="2106" t="inlineStr">
        <is>
          <t>130013006385</t>
        </is>
      </c>
      <c r="L22" s="2106" t="inlineStr">
        <is>
          <t>N/A</t>
        </is>
      </c>
    </row>
    <row r="23" ht="76.09999999999999" customHeight="1" s="1158">
      <c r="A23" s="1440" t="n"/>
      <c r="B23" s="2106" t="inlineStr">
        <is>
          <t>UPPER CONN. 3-1/2" VAM TOP BOX 9.2 PPF SN 28 110 KSI
DESCRIPTION: 5 FEET XOVER
SAP: 130005011340
SUPPLIER: TENARIS
LOWER CONN. 3-1/2" TSH BLUE PIN 9.2 PPF SN 28 110 KSI</t>
        </is>
      </c>
      <c r="C23" s="2107" t="n">
        <v>2.959</v>
      </c>
      <c r="D23" s="1171" t="n"/>
      <c r="E23" s="2107" t="n">
        <v>3.908</v>
      </c>
      <c r="F23" s="1171" t="n"/>
      <c r="G23" s="2114" t="n">
        <v>4.889</v>
      </c>
      <c r="H23" s="1171" t="n"/>
      <c r="I23" s="2106" t="inlineStr">
        <is>
          <t>N/A</t>
        </is>
      </c>
      <c r="J23" s="2106" t="inlineStr">
        <is>
          <t>N/A</t>
        </is>
      </c>
      <c r="K23" s="2106" t="inlineStr">
        <is>
          <t>130005011340</t>
        </is>
      </c>
      <c r="L23" s="2106" t="inlineStr">
        <is>
          <t>N/A</t>
        </is>
      </c>
    </row>
    <row r="24" ht="14.25" customHeight="1" s="1158">
      <c r="B24" s="2106" t="n"/>
      <c r="C24" s="2107" t="n">
        <v>2.959</v>
      </c>
      <c r="D24" s="1171" t="n"/>
      <c r="E24" s="2107" t="n">
        <v>3.908</v>
      </c>
      <c r="F24" s="1171" t="n"/>
      <c r="G24" s="1372" t="n"/>
      <c r="H24" s="1171" t="n"/>
      <c r="I24" s="2106" t="n"/>
      <c r="J24" s="2106" t="n"/>
      <c r="K24" s="2106" t="n"/>
      <c r="L24" s="2106" t="n"/>
    </row>
    <row r="25" ht="16.4" customHeight="1" s="1158">
      <c r="A25" s="2115" t="inlineStr">
        <is>
          <t>D2</t>
        </is>
      </c>
      <c r="B25" s="2106" t="inlineStr">
        <is>
          <t>UPPER CONN. 3-1/2" TSH BLUE BOX 9.2 PPF SN 28 110 KSI
DESCRIPTION: 10 FEET XOVER
SAP: 130005012487
SUPPLIER: TENARIS
LOWER CONN. 3-1/2" VAM TOP PIN 9.2 PPF SN 28 110 KSI</t>
        </is>
      </c>
      <c r="C25" s="2107" t="n">
        <v>2.969</v>
      </c>
      <c r="D25" s="1171" t="n"/>
      <c r="E25" s="2107" t="n">
        <v>3.937</v>
      </c>
      <c r="F25" s="1171" t="n"/>
      <c r="G25" s="2116" t="n">
        <v>9.949999999999999</v>
      </c>
      <c r="H25" s="1171" t="n"/>
      <c r="I25" s="2106" t="inlineStr">
        <is>
          <t>N/A</t>
        </is>
      </c>
      <c r="J25" s="2106" t="inlineStr">
        <is>
          <t>N/A</t>
        </is>
      </c>
      <c r="K25" s="2106" t="inlineStr">
        <is>
          <t>130005012487</t>
        </is>
      </c>
      <c r="L25" s="2106" t="inlineStr">
        <is>
          <t>N/A</t>
        </is>
      </c>
    </row>
    <row r="26" ht="76.09999999999999" customHeight="1" s="1158">
      <c r="A26" s="1766" t="n"/>
      <c r="B26" s="2106" t="inlineStr">
        <is>
          <t>UPPER CONN. 3-1/2" VAM TOP BOX 9.2 PPF TX28- 110 KSI
DESCRIPTION: 5 FEET XOVER
SAP: 130013006383
SUPPLIER: TBX
LOWER CONN -3-1/2" SENTINEL PRIME PIN 9.2 PPF TX28-110 KSI</t>
        </is>
      </c>
      <c r="C26" s="2107" t="n">
        <v>2.959</v>
      </c>
      <c r="D26" s="1171" t="n"/>
      <c r="E26" s="2107" t="n">
        <v>3.908</v>
      </c>
      <c r="F26" s="1171" t="n"/>
      <c r="G26" s="2116" t="n">
        <v>4.8</v>
      </c>
      <c r="H26" s="1171" t="n"/>
      <c r="I26" s="2106" t="inlineStr">
        <is>
          <t>N/A</t>
        </is>
      </c>
      <c r="J26" s="2106" t="inlineStr">
        <is>
          <t>N/A</t>
        </is>
      </c>
      <c r="K26" s="2106" t="inlineStr">
        <is>
          <t>130013006383</t>
        </is>
      </c>
      <c r="L26" s="2106" t="inlineStr">
        <is>
          <t>N/A</t>
        </is>
      </c>
    </row>
    <row r="27" ht="135.8" customHeight="1" s="1158">
      <c r="A27" s="1766" t="n"/>
      <c r="B27" s="210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2107" t="n">
        <v>2.9</v>
      </c>
      <c r="D27" s="1171" t="n"/>
      <c r="E27" s="2107" t="n">
        <v>5.82</v>
      </c>
      <c r="F27" s="1171" t="n"/>
      <c r="G27" s="2116" t="n">
        <v>8.69</v>
      </c>
      <c r="H27" s="1171" t="n"/>
      <c r="I27" s="2106" t="inlineStr">
        <is>
          <t>3205577</t>
        </is>
      </c>
      <c r="J27" s="2106" t="inlineStr">
        <is>
          <t>12636080-05</t>
        </is>
      </c>
      <c r="K27" s="2106" t="inlineStr">
        <is>
          <t>130010036652</t>
        </is>
      </c>
      <c r="L27" s="2106" t="inlineStr">
        <is>
          <t>N/A</t>
        </is>
      </c>
    </row>
    <row r="28" ht="16.4" customHeight="1" s="1158">
      <c r="A28" s="1766" t="n"/>
      <c r="B28" s="2106" t="inlineStr">
        <is>
          <t>UPPER CONN. 3-1/2" SENTINEL PRIME BOX 9.2 PPF TX28- 110 KSI
DESCRIPTION: 5 FEET XOVER
SAP: 130013006385
SUPPLIER: TBX
LOWER CONN. 3-1/2" VAM TOP PIN 9.2 PPF TX28-110 KSI</t>
        </is>
      </c>
      <c r="C28" s="2107" t="n">
        <v>2.921</v>
      </c>
      <c r="D28" s="1171" t="n"/>
      <c r="E28" s="2107" t="n">
        <v>3.929</v>
      </c>
      <c r="F28" s="1171" t="n"/>
      <c r="G28" s="2116" t="n">
        <v>4.97</v>
      </c>
      <c r="H28" s="1171" t="n"/>
      <c r="I28" s="2106" t="inlineStr">
        <is>
          <t>N/A</t>
        </is>
      </c>
      <c r="J28" s="2106" t="inlineStr">
        <is>
          <t>N/A</t>
        </is>
      </c>
      <c r="K28" s="2106" t="inlineStr">
        <is>
          <t>130013006385</t>
        </is>
      </c>
      <c r="L28" s="2106" t="inlineStr">
        <is>
          <t>N/A</t>
        </is>
      </c>
    </row>
    <row r="29" ht="76.09999999999999" customHeight="1" s="1158">
      <c r="A29" s="1440" t="n"/>
      <c r="B29" s="2106" t="inlineStr">
        <is>
          <t>UPPER CONN. 3-1/2" VAM TOP BOX 9.2 PPF SN 28 110 KSI
DESCRIPTION: 5 FEET XOVER
SAP: 130005011340
SUPPLIER: TENARIS
LOWER CONN. 3-1/2" TSH BLUE PIN 9.2 PPF SN 28 110 KSI</t>
        </is>
      </c>
      <c r="C29" s="2107" t="n">
        <v>2.959</v>
      </c>
      <c r="D29" s="1171" t="n"/>
      <c r="E29" s="2107" t="n">
        <v>3.908</v>
      </c>
      <c r="F29" s="1171" t="n"/>
      <c r="G29" s="2116" t="n">
        <v>4.879</v>
      </c>
      <c r="H29" s="1171" t="n"/>
      <c r="I29" s="2106" t="inlineStr">
        <is>
          <t>N/A</t>
        </is>
      </c>
      <c r="J29" s="2106" t="inlineStr">
        <is>
          <t>N/A</t>
        </is>
      </c>
      <c r="K29" s="2106" t="inlineStr">
        <is>
          <t>130005011340</t>
        </is>
      </c>
      <c r="L29" s="2106" t="inlineStr">
        <is>
          <t>N/A</t>
        </is>
      </c>
    </row>
    <row r="30" ht="14.25" customHeight="1" s="1158">
      <c r="B30" s="2106" t="n"/>
      <c r="C30" s="2107" t="n">
        <v>2.959</v>
      </c>
      <c r="D30" s="1171" t="n"/>
      <c r="E30" s="2107" t="n">
        <v>3.908</v>
      </c>
      <c r="F30" s="1171" t="n"/>
      <c r="G30" s="1372" t="n"/>
      <c r="H30" s="1171" t="n"/>
      <c r="I30" s="2106" t="n"/>
      <c r="J30" s="2106" t="n"/>
      <c r="K30" s="2106" t="n"/>
      <c r="L30" s="2106" t="n"/>
    </row>
    <row r="31" ht="76.09999999999999" customHeight="1" s="1158">
      <c r="A31" s="2117" t="inlineStr">
        <is>
          <t>D1</t>
        </is>
      </c>
      <c r="B31" s="2106" t="inlineStr">
        <is>
          <t>UPPER CONN. 3-1/2" TSH BLUE BOX 9.2 PPF SN 28 110 KSI
DESCRIPTION: 10 FEET XOVER
SAP: 130005012487
SUPPLIER: TENARIS
LOWER CONN. 3-1/2" VAM TOP PIN 9.2 PPF SN 28 110 KSI</t>
        </is>
      </c>
      <c r="C31" s="2107" t="n">
        <v>2.969</v>
      </c>
      <c r="D31" s="1171" t="n"/>
      <c r="E31" s="2107" t="n">
        <v>3.937</v>
      </c>
      <c r="F31" s="1171" t="n"/>
      <c r="G31" s="2118" t="n">
        <v>9.949999999999999</v>
      </c>
      <c r="H31" s="1171" t="n"/>
      <c r="I31" s="2106" t="inlineStr">
        <is>
          <t>N/A</t>
        </is>
      </c>
      <c r="J31" s="2106" t="inlineStr">
        <is>
          <t>N/A</t>
        </is>
      </c>
      <c r="K31" s="2106" t="inlineStr">
        <is>
          <t>130005012487</t>
        </is>
      </c>
      <c r="L31" s="2106" t="inlineStr">
        <is>
          <t>N/A</t>
        </is>
      </c>
    </row>
    <row r="32" ht="76.09999999999999" customHeight="1" s="1158">
      <c r="A32" s="1766" t="n"/>
      <c r="B32" s="2106" t="inlineStr">
        <is>
          <t>UPPER CONN. 3-1/2" VAM TOP BOX 9.2 PPF TX28- 110 KSI
DESCRIPTION: 5 FEET XOVER
SAP: 130013006383
SUPPLIER: TBX
LOWER CONN -3-1/2" SENTINEL PRIME PIN 9.2 PPF TX28-110 KSI</t>
        </is>
      </c>
      <c r="C32" s="2107" t="n">
        <v>2.959</v>
      </c>
      <c r="D32" s="1171" t="n"/>
      <c r="E32" s="2107" t="n">
        <v>3.908</v>
      </c>
      <c r="F32" s="1171" t="n"/>
      <c r="G32" s="2118" t="n">
        <v>4.85</v>
      </c>
      <c r="H32" s="1171" t="n"/>
      <c r="I32" s="2106" t="inlineStr">
        <is>
          <t>N/A</t>
        </is>
      </c>
      <c r="J32" s="2106" t="inlineStr">
        <is>
          <t>N/A</t>
        </is>
      </c>
      <c r="K32" s="2106" t="inlineStr">
        <is>
          <t>130013006383</t>
        </is>
      </c>
      <c r="L32" s="2106" t="inlineStr">
        <is>
          <t>N/A</t>
        </is>
      </c>
    </row>
    <row r="33" ht="135.8" customHeight="1" s="1158">
      <c r="A33" s="1766" t="n"/>
      <c r="B33" s="210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2107" t="n">
        <v>2.9</v>
      </c>
      <c r="D33" s="1171" t="n"/>
      <c r="E33" s="2107" t="n">
        <v>5.82</v>
      </c>
      <c r="F33" s="1171" t="n"/>
      <c r="G33" s="2118" t="n">
        <v>8.69</v>
      </c>
      <c r="H33" s="1171" t="n"/>
      <c r="I33" s="2106" t="inlineStr">
        <is>
          <t>3205577</t>
        </is>
      </c>
      <c r="J33" s="2106" t="inlineStr">
        <is>
          <t>12636080-03</t>
        </is>
      </c>
      <c r="K33" s="2106" t="inlineStr">
        <is>
          <t>130010036652</t>
        </is>
      </c>
      <c r="L33" s="2106" t="inlineStr">
        <is>
          <t>N/A</t>
        </is>
      </c>
    </row>
    <row r="34" ht="76.09999999999999" customHeight="1" s="1158">
      <c r="A34" s="1766" t="n"/>
      <c r="B34" s="2106" t="inlineStr">
        <is>
          <t>UPPER CONN. 3-1/2" SENTINEL PRIME BOX 9.2 PPF TX28-110 KSI
DESCRIPTION: 5 FEET XOVER
SAP: 130013006385
SUPPLIER: TBX
LOWER CONN. 3-1/2" VAM TOP PIN 9.2 PPF TX28-110 KSI</t>
        </is>
      </c>
      <c r="C34" s="2107" t="n">
        <v>2.921</v>
      </c>
      <c r="D34" s="1171" t="n"/>
      <c r="E34" s="2107" t="n">
        <v>3.929</v>
      </c>
      <c r="F34" s="1171" t="n"/>
      <c r="G34" s="2118" t="n">
        <v>4.96</v>
      </c>
      <c r="H34" s="1171" t="n"/>
      <c r="I34" s="2106" t="inlineStr">
        <is>
          <t>N/A</t>
        </is>
      </c>
      <c r="J34" s="2106" t="inlineStr">
        <is>
          <t>N/A</t>
        </is>
      </c>
      <c r="K34" s="2106" t="inlineStr">
        <is>
          <t>130013006385</t>
        </is>
      </c>
      <c r="L34" s="2106" t="inlineStr">
        <is>
          <t>N/A</t>
        </is>
      </c>
    </row>
    <row r="35" ht="76.09999999999999" customHeight="1" s="1158">
      <c r="A35" s="1440" t="n"/>
      <c r="B35" s="2106" t="inlineStr">
        <is>
          <t>UPPER CONN. 3-1/2" VAM TOP BOX 9.2 PPF SN 28 110 KSI
DESCRIPTION: 5 FEET XOVER
SAP: 130005011340
SUPPLIER: TENARIS
LOWER CONN. 3-1/2" TSH BLUE PIN 9.2 PPF SN 28 110 KSI</t>
        </is>
      </c>
      <c r="C35" s="2107" t="n">
        <v>2.959</v>
      </c>
      <c r="D35" s="1171" t="n"/>
      <c r="E35" s="2107" t="n">
        <v>3.908</v>
      </c>
      <c r="F35" s="1171" t="n"/>
      <c r="G35" s="2118" t="n">
        <v>4.899</v>
      </c>
      <c r="H35" s="1171" t="n"/>
      <c r="I35" s="2106" t="inlineStr">
        <is>
          <t>N/A</t>
        </is>
      </c>
      <c r="J35" s="2106" t="inlineStr">
        <is>
          <t>N/A</t>
        </is>
      </c>
      <c r="K35" s="2106" t="inlineStr">
        <is>
          <t>130005011340</t>
        </is>
      </c>
      <c r="L35" s="2106" t="inlineStr">
        <is>
          <t>N/A</t>
        </is>
      </c>
    </row>
    <row r="36" ht="14.25" customHeight="1" s="1158">
      <c r="B36" s="2106" t="n"/>
      <c r="C36" s="2107" t="n">
        <v>2.959</v>
      </c>
      <c r="D36" s="1171" t="n"/>
      <c r="E36" s="2107" t="n">
        <v>3.908</v>
      </c>
      <c r="F36" s="1171" t="n"/>
      <c r="G36" s="1372" t="n"/>
      <c r="H36" s="1171" t="n"/>
      <c r="I36" s="2106" t="n"/>
      <c r="J36" s="2106" t="n"/>
      <c r="K36" s="2106" t="n"/>
      <c r="L36" s="2106" t="n"/>
    </row>
    <row r="37" ht="76.09999999999999" customHeight="1" s="1158">
      <c r="A37" s="2119" t="inlineStr">
        <is>
          <t>C</t>
        </is>
      </c>
      <c r="B37" s="2106" t="inlineStr">
        <is>
          <t>UPPER CONN. 3-1/2" TSH BLUE BOX 9.2 PPF SN 28 110 KSI
DESCRIPTION: 5 FEET XOVER
SAP: 130005011444
SUPPLIER: TENARIS
LOWER CONN. 3-1/2" VAM TOP PIN 9.2 PPF SN 28 110 KSI</t>
        </is>
      </c>
      <c r="C37" s="2107" t="n">
        <v>2.969</v>
      </c>
      <c r="D37" s="1171" t="n"/>
      <c r="E37" s="2107" t="n">
        <v>3.937</v>
      </c>
      <c r="F37" s="1171" t="n"/>
      <c r="G37" s="2120" t="n">
        <v>4.99</v>
      </c>
      <c r="H37" s="1171" t="n"/>
      <c r="I37" s="2106" t="inlineStr">
        <is>
          <t>N/A</t>
        </is>
      </c>
      <c r="J37" s="2106" t="inlineStr">
        <is>
          <t>N/A</t>
        </is>
      </c>
      <c r="K37" s="2106" t="inlineStr">
        <is>
          <t>130005011444</t>
        </is>
      </c>
      <c r="L37" s="2106" t="inlineStr">
        <is>
          <t>N/A</t>
        </is>
      </c>
    </row>
    <row r="38" ht="150.7" customHeight="1" s="1158">
      <c r="A38" s="1766" t="n"/>
      <c r="B38" s="210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2107" t="n">
        <v>2.919</v>
      </c>
      <c r="D38" s="1171" t="n"/>
      <c r="E38" s="2107" t="n">
        <v>5.91</v>
      </c>
      <c r="F38" s="1171" t="n"/>
      <c r="G38" s="2120" t="n">
        <v>9.710000000000001</v>
      </c>
      <c r="H38" s="1171" t="n"/>
      <c r="I38" s="2106" t="inlineStr">
        <is>
          <t>2960170</t>
        </is>
      </c>
      <c r="J38" s="2106" t="inlineStr">
        <is>
          <t>12857761-01</t>
        </is>
      </c>
      <c r="K38" s="2106" t="inlineStr">
        <is>
          <t>130010037571</t>
        </is>
      </c>
      <c r="L38" s="2106" t="inlineStr">
        <is>
          <t>N/A</t>
        </is>
      </c>
    </row>
    <row r="39" ht="76.09999999999999" customHeight="1" s="1158">
      <c r="A39" s="1766" t="n"/>
      <c r="B39" s="2106" t="inlineStr">
        <is>
          <t>UPPER CONN. 3-1/2" VAM TOP 9.2#PPF SM2535 BOX
DESCRIPTION: 10 FEET PUP JOINT
SAP: 130013000213
SUPPLIER: VAM
LOWER CONN. 3-1/2" VAM TOP 9.2#PPF SM2535 PIN</t>
        </is>
      </c>
      <c r="C39" s="2107" t="n">
        <v>2.959</v>
      </c>
      <c r="D39" s="1171" t="n"/>
      <c r="E39" s="2107" t="n">
        <v>3.908</v>
      </c>
      <c r="F39" s="1171" t="n"/>
      <c r="G39" s="2120" t="n">
        <v>9.92</v>
      </c>
      <c r="H39" s="1171" t="n"/>
      <c r="I39" s="2106" t="inlineStr">
        <is>
          <t>N/A</t>
        </is>
      </c>
      <c r="J39" s="2106" t="inlineStr">
        <is>
          <t>N/A</t>
        </is>
      </c>
      <c r="K39" s="2106" t="inlineStr">
        <is>
          <t>130013000213</t>
        </is>
      </c>
      <c r="L39" s="2106" t="inlineStr">
        <is>
          <t>N/A</t>
        </is>
      </c>
    </row>
    <row r="40" ht="76.09999999999999" customHeight="1" s="1158">
      <c r="A40" s="1766" t="n"/>
      <c r="B40" s="2106" t="inlineStr">
        <is>
          <t>UPPER CONN. 3-1/2" VAM TOP 9.2#PPF SM 2535 BOX
DESCRIPTION: 5 FEET PUP JOINT
SAP: 130005002758
SUPPLIER: VAM
LOWER CONN. 3-1/2" VAM TOP 9.2#PPF SM 2535 PIN</t>
        </is>
      </c>
      <c r="C40" s="2107" t="n">
        <v>2.959</v>
      </c>
      <c r="D40" s="1171" t="n"/>
      <c r="E40" s="2107" t="n">
        <v>3.908</v>
      </c>
      <c r="F40" s="1171" t="n"/>
      <c r="G40" s="2120" t="n">
        <v>4.92</v>
      </c>
      <c r="H40" s="1171" t="n"/>
      <c r="I40" s="2106" t="inlineStr">
        <is>
          <t>N/A</t>
        </is>
      </c>
      <c r="J40" s="2106" t="inlineStr">
        <is>
          <t>N/A</t>
        </is>
      </c>
      <c r="K40" s="2106" t="inlineStr">
        <is>
          <t>130005002758</t>
        </is>
      </c>
      <c r="L40" s="2106" t="inlineStr">
        <is>
          <t>N/A</t>
        </is>
      </c>
    </row>
    <row r="41" ht="105.95" customHeight="1" s="1158">
      <c r="A41" s="1766" t="n"/>
      <c r="B41" s="2106" t="inlineStr">
        <is>
          <t>UPPER CONN. 3-1/2" VAM TOP 9.2#PPF INC 925 KSI BOX
DESCRIPTION: 2.750 WXN Nipple
PN: 2963809
S/N :12527047-08
SAP: 130010036868
SUPPLIER: WEATHERFORD
LOWER CONN.3-1/2" VAM TOP 9.2#PPF INC 925KSI PIN</t>
        </is>
      </c>
      <c r="C41" s="2107" t="n">
        <v>2.637</v>
      </c>
      <c r="D41" s="1171" t="n"/>
      <c r="E41" s="2107" t="n">
        <v>3.885</v>
      </c>
      <c r="F41" s="1171" t="n"/>
      <c r="G41" s="2120" t="n">
        <v>1.15</v>
      </c>
      <c r="H41" s="1171" t="n"/>
      <c r="I41" s="2106" t="inlineStr">
        <is>
          <t>2963809</t>
        </is>
      </c>
      <c r="J41" s="2106" t="inlineStr">
        <is>
          <t>12527047-08</t>
        </is>
      </c>
      <c r="K41" s="2106" t="inlineStr">
        <is>
          <t>130010036868</t>
        </is>
      </c>
      <c r="L41" s="2106" t="inlineStr">
        <is>
          <t>N/A</t>
        </is>
      </c>
    </row>
    <row r="42" ht="76.09999999999999" customHeight="1" s="1158">
      <c r="A42" s="1440" t="n"/>
      <c r="B42" s="2106" t="inlineStr">
        <is>
          <t>UPPER CONN. 3-1/2" VAM TOP BOX 9.2 PPF SN 28 110 KSI
DESCRIPTION: 5 FEET XOVER
SAP: 130005011340
SUPPLIER: TENARIS
LOWER CONN. 3-1/2" TSH BLUE PIN 9.2 PPF SN 28 110 KSI</t>
        </is>
      </c>
      <c r="C42" s="2107" t="n">
        <v>2.959</v>
      </c>
      <c r="D42" s="1171" t="n"/>
      <c r="E42" s="2107" t="n">
        <v>3.908</v>
      </c>
      <c r="F42" s="1171" t="n"/>
      <c r="G42" s="2120" t="n">
        <v>4.859</v>
      </c>
      <c r="H42" s="1171" t="n"/>
      <c r="I42" s="2106" t="inlineStr">
        <is>
          <t>N/A</t>
        </is>
      </c>
      <c r="J42" s="2106" t="inlineStr">
        <is>
          <t>N/A</t>
        </is>
      </c>
      <c r="K42" s="2106" t="inlineStr">
        <is>
          <t>130005011340</t>
        </is>
      </c>
      <c r="L42" s="2106" t="inlineStr">
        <is>
          <t>N/A</t>
        </is>
      </c>
    </row>
    <row r="43" ht="14.25" customHeight="1" s="1158">
      <c r="B43" s="2106" t="n"/>
      <c r="C43" s="2107" t="n">
        <v>2.959</v>
      </c>
      <c r="D43" s="1171" t="n"/>
      <c r="E43" s="2107" t="n">
        <v>3.908</v>
      </c>
      <c r="F43" s="1171" t="n"/>
      <c r="G43" s="1372" t="n"/>
      <c r="H43" s="1171" t="n"/>
      <c r="I43" s="2106" t="n"/>
      <c r="J43" s="2106" t="n"/>
      <c r="K43" s="2106" t="n"/>
      <c r="L43" s="2106" t="n"/>
    </row>
    <row r="44" ht="76.09999999999999" customHeight="1" s="1158">
      <c r="A44" s="2121" t="inlineStr">
        <is>
          <t>B</t>
        </is>
      </c>
      <c r="B44" s="2106" t="inlineStr">
        <is>
          <t>UPPER CONN. 3-1/2" TSH BLUE BOX 9.2 PPF SN 28 110 KSI
DESCRIPTION: 10 FEET XOVER
SAP: 130005011444
SUPPLIER: TENARIS
LOWER CONN. 3-1/2" VAM TOP PIN 9.2 PPF SN 28 110 KSI</t>
        </is>
      </c>
      <c r="C44" s="2107" t="n">
        <v>2.969</v>
      </c>
      <c r="D44" s="1171" t="n"/>
      <c r="E44" s="2107" t="n">
        <v>3.937</v>
      </c>
      <c r="F44" s="1171" t="n"/>
      <c r="G44" s="2122" t="n">
        <v>9.83</v>
      </c>
      <c r="H44" s="1171" t="n"/>
      <c r="I44" s="2106" t="inlineStr">
        <is>
          <t>N/A</t>
        </is>
      </c>
      <c r="J44" s="2106" t="inlineStr">
        <is>
          <t>N/A</t>
        </is>
      </c>
      <c r="K44" s="2106" t="inlineStr">
        <is>
          <t>130005011444</t>
        </is>
      </c>
      <c r="L44" s="2106" t="inlineStr">
        <is>
          <t>N/A</t>
        </is>
      </c>
    </row>
    <row r="45" ht="16.4" customHeight="1" s="1158">
      <c r="A45" s="1766" t="n"/>
      <c r="B45" s="2106" t="inlineStr">
        <is>
          <t>UPPER CONN. 3-1/2" VAM TOP BOX 9.2 PPF TX28- 110 KSI
DESCRIPTION: 5 FEET XOVER
SAP: 130013006383
SUPPLIER: TBX
LOWER CONN -3-1/2" SENTINEL PRIME PIN 9.2 PPF TX28-110 KSI</t>
        </is>
      </c>
      <c r="C45" s="2107" t="n">
        <v>2.959</v>
      </c>
      <c r="D45" s="1171" t="n"/>
      <c r="E45" s="2107" t="n">
        <v>3.908</v>
      </c>
      <c r="F45" s="1171" t="n"/>
      <c r="G45" s="2122" t="n">
        <v>4.8</v>
      </c>
      <c r="H45" s="1171" t="n"/>
      <c r="I45" s="2106" t="inlineStr">
        <is>
          <t>N/A</t>
        </is>
      </c>
      <c r="J45" s="2106" t="inlineStr">
        <is>
          <t>N/A</t>
        </is>
      </c>
      <c r="K45" s="2106" t="inlineStr">
        <is>
          <t>130013006383</t>
        </is>
      </c>
      <c r="L45" s="2106" t="inlineStr">
        <is>
          <t>N/A</t>
        </is>
      </c>
    </row>
    <row r="46" ht="16.4" customHeight="1" s="1158">
      <c r="A46" s="1766" t="n"/>
      <c r="B46" s="2106" t="inlineStr">
        <is>
          <t>UPPER CONN. 3-1/2" SENTINEL PRIME 9.2#PPF INC 925 BOX
DESCRIPTION: NINE ENERGY MULTICYCLE BARRIER DEVICE
7 CYCLES REMAINING
P/N: 3207251
S/N: 100 086 877
SAP: 130010036003 SUPPLIER: NINE ENERGY
LOWER CONN- 3 1/2 9.2 SENTINEL PRIME 9.2 PPF INC 925 PIN</t>
        </is>
      </c>
      <c r="C46" s="2107" t="n">
        <v>2.91</v>
      </c>
      <c r="D46" s="1171" t="n"/>
      <c r="E46" s="2107" t="n">
        <v>4.8</v>
      </c>
      <c r="F46" s="1171" t="n"/>
      <c r="G46" s="2122" t="n">
        <v>5.22</v>
      </c>
      <c r="H46" s="1171" t="n"/>
      <c r="I46" s="2106" t="inlineStr">
        <is>
          <t>3207251</t>
        </is>
      </c>
      <c r="J46" s="2106" t="inlineStr">
        <is>
          <t>100 086 877</t>
        </is>
      </c>
      <c r="K46" s="2106" t="inlineStr">
        <is>
          <t>130010036003</t>
        </is>
      </c>
      <c r="L46" s="2106" t="inlineStr">
        <is>
          <t>N/A</t>
        </is>
      </c>
    </row>
    <row r="47" ht="76.09999999999999" customHeight="1" s="1158">
      <c r="A47" s="1766" t="n"/>
      <c r="B47" s="2106" t="inlineStr">
        <is>
          <t>UPPER CONN. 3-1/2" SENTINEL PRIME BOX 9.2 PPF TX28-110 KSI
DESCRIPTION: 5 FEET XOVER
SAP: 130013006385
SUPPLIER: TBX
LOWER CONN. 3-1/2" VAM TOP PIN 9.2 PPF TX28- 110 KSI</t>
        </is>
      </c>
      <c r="C47" s="2107" t="n">
        <v>2.921</v>
      </c>
      <c r="D47" s="1171" t="n"/>
      <c r="E47" s="2107" t="n">
        <v>3.929</v>
      </c>
      <c r="F47" s="1171" t="n"/>
      <c r="G47" s="2122" t="n">
        <v>4.91</v>
      </c>
      <c r="H47" s="1171" t="n"/>
      <c r="I47" s="2106" t="inlineStr">
        <is>
          <t>N/A</t>
        </is>
      </c>
      <c r="J47" s="2106" t="inlineStr">
        <is>
          <t>N/A</t>
        </is>
      </c>
      <c r="K47" s="2106" t="inlineStr">
        <is>
          <t>130013006385</t>
        </is>
      </c>
      <c r="L47" s="2106" t="inlineStr">
        <is>
          <t>N/A</t>
        </is>
      </c>
    </row>
    <row r="48" ht="76.09999999999999" customHeight="1" s="1158">
      <c r="A48" s="1440" t="n"/>
      <c r="B48" s="2106" t="inlineStr">
        <is>
          <t>UPPER CONN. 3-1/2" VAM TOP BOX 9.2 PPF SN 28 110 KSI
DESCRIPTION: 5 FEET XOVER
SAP: 130005011340
SUPPLIER: TENARIS
LOWER CONN. 3-1/2" TSH BLUE PIN 9.2 PPF SN 28 110 KSI</t>
        </is>
      </c>
      <c r="C48" s="2107" t="n">
        <v>2.959</v>
      </c>
      <c r="D48" s="1171" t="n"/>
      <c r="E48" s="2107" t="n">
        <v>3.908</v>
      </c>
      <c r="F48" s="1171" t="n"/>
      <c r="G48" s="2122" t="n">
        <v>4.879</v>
      </c>
      <c r="H48" s="1171" t="n"/>
      <c r="I48" s="2106" t="inlineStr">
        <is>
          <t>N/A</t>
        </is>
      </c>
      <c r="J48" s="2106" t="inlineStr">
        <is>
          <t>N/A</t>
        </is>
      </c>
      <c r="K48" s="2106" t="inlineStr">
        <is>
          <t>130005011340</t>
        </is>
      </c>
      <c r="L48" s="2106" t="inlineStr">
        <is>
          <t>N/A</t>
        </is>
      </c>
    </row>
    <row r="49" ht="14.25" customHeight="1" s="1158">
      <c r="B49" s="2106" t="n"/>
      <c r="C49" s="2107" t="n">
        <v>2.959</v>
      </c>
      <c r="D49" s="1171" t="n"/>
      <c r="E49" s="2107" t="n">
        <v>3.908</v>
      </c>
      <c r="F49" s="1171" t="n"/>
      <c r="G49" s="1372" t="n"/>
      <c r="H49" s="1171" t="n"/>
      <c r="I49" s="2106" t="n"/>
      <c r="J49" s="2106" t="n"/>
      <c r="K49" s="2106" t="n"/>
      <c r="L49" s="2106" t="n"/>
    </row>
    <row r="50" ht="76.09999999999999" customHeight="1" s="1158">
      <c r="A50" s="2123" t="inlineStr">
        <is>
          <t>SP-01</t>
        </is>
      </c>
      <c r="B50" s="2106" t="inlineStr">
        <is>
          <t>UPPER CONN . 3-1/2" TSH BLUE BOX 9.2 PPF SN 28 110 KSI
DESCRIPTION: 3 FEET XOVER
SAP: 130005011337
SUPPLIER: TENARIS
LOWER CONN. 3-1/2" VAM TOP PIN 9.2 PPF SN 28 110 KSI</t>
        </is>
      </c>
      <c r="C50" s="2107" t="n">
        <v>2.969</v>
      </c>
      <c r="D50" s="1171" t="n"/>
      <c r="E50" s="2107" t="n">
        <v>3.937</v>
      </c>
      <c r="F50" s="1171" t="n"/>
      <c r="G50" s="2124" t="n">
        <v>2.78</v>
      </c>
      <c r="H50" s="1171" t="n"/>
      <c r="I50" s="2106" t="inlineStr">
        <is>
          <t>N/A</t>
        </is>
      </c>
      <c r="J50" s="2106" t="inlineStr">
        <is>
          <t>N/A</t>
        </is>
      </c>
      <c r="K50" s="2106" t="inlineStr">
        <is>
          <t>130005011337</t>
        </is>
      </c>
      <c r="L50" s="2106" t="inlineStr">
        <is>
          <t>N/A</t>
        </is>
      </c>
    </row>
    <row r="51" ht="135.8" customHeight="1" s="1158">
      <c r="A51" s="1766" t="n"/>
      <c r="B51" s="2106" t="inlineStr">
        <is>
          <t>UPPER CONN.
3-1/2 9.2 PPF, 110KSI VAM TOP BOX
DESCRIPTION:
PCKR, SWEL,6,3-1/2,A925, OIL
P/N: 2991712
S/N: RDT-UAE-1003629
SAP: 130010039426
SUPPLIER: WFD-REACTIVE
LOWER CONN.</t>
        </is>
      </c>
      <c r="C51" s="2107" t="n">
        <v>2.953</v>
      </c>
      <c r="D51" s="1171" t="n"/>
      <c r="E51" s="2107" t="n">
        <v>5.7</v>
      </c>
      <c r="F51" s="1171" t="n"/>
      <c r="G51" s="2124" t="n">
        <v>30.88</v>
      </c>
      <c r="H51" s="1171" t="n"/>
      <c r="I51" s="2106" t="inlineStr">
        <is>
          <t>2991712</t>
        </is>
      </c>
      <c r="J51" s="2106" t="inlineStr">
        <is>
          <t>RDT-UAE-1003629</t>
        </is>
      </c>
      <c r="K51" s="2106" t="inlineStr">
        <is>
          <t>130010039426</t>
        </is>
      </c>
      <c r="L51" s="2106" t="inlineStr">
        <is>
          <t>N/A</t>
        </is>
      </c>
    </row>
    <row r="52" ht="76.09999999999999" customHeight="1" s="1158">
      <c r="A52" s="1440" t="n"/>
      <c r="B52" s="2106" t="inlineStr">
        <is>
          <t>UPPER CONN. 3-1/2" VAM TOP BOX 9.2 PPF SN 28 110 KSI
DESCRIPTION: 5 FEET XOVER
SAP: 130005011340
SUPPLIER: TENARIS
UPPER CONN. 3-1/2" TSH BLUE PIN 9.2 PPF SN 28 110 KSI</t>
        </is>
      </c>
      <c r="C52" s="2107" t="n">
        <v>2.959</v>
      </c>
      <c r="D52" s="1171" t="n"/>
      <c r="E52" s="2107" t="n">
        <v>3.908</v>
      </c>
      <c r="F52" s="1171" t="n"/>
      <c r="G52" s="2124" t="n">
        <v>4.879</v>
      </c>
      <c r="H52" s="1171" t="n"/>
      <c r="I52" s="2106" t="inlineStr">
        <is>
          <t>N/A</t>
        </is>
      </c>
      <c r="J52" s="2106" t="inlineStr">
        <is>
          <t>N/A</t>
        </is>
      </c>
      <c r="K52" s="2106" t="inlineStr">
        <is>
          <t>130005011340</t>
        </is>
      </c>
      <c r="L52" s="2106" t="inlineStr">
        <is>
          <t>N/A</t>
        </is>
      </c>
    </row>
    <row r="53" ht="14.25" customHeight="1" s="1158">
      <c r="B53" s="2106" t="n"/>
      <c r="C53" s="2107" t="n">
        <v>2.959</v>
      </c>
      <c r="D53" s="1171" t="n"/>
      <c r="E53" s="2107" t="n">
        <v>3.908</v>
      </c>
      <c r="F53" s="1171" t="n"/>
      <c r="G53" s="1372" t="n"/>
      <c r="H53" s="1171" t="n"/>
      <c r="I53" s="2106" t="n"/>
      <c r="J53" s="2106" t="n"/>
      <c r="K53" s="2106" t="n"/>
      <c r="L53" s="2106" t="n"/>
    </row>
    <row r="54" ht="76.09999999999999" customHeight="1" s="1158">
      <c r="A54" s="2125" t="inlineStr">
        <is>
          <t>A</t>
        </is>
      </c>
      <c r="B54" s="2106" t="inlineStr">
        <is>
          <t>UPPER CONN. 3-1/2" TSH BLUE BOX 9.2 PPF SN 28 110 KSI
DESCRIPTION: 5 FEET XOVER
SAP: 130005011340
SUPPLIER: TENARIS
LOWER CONN. 3-1/2" VAM TOP PIN 9.2 PPF SN 28 110 KSI</t>
        </is>
      </c>
      <c r="C54" s="2107" t="n">
        <v>2.969</v>
      </c>
      <c r="D54" s="1171" t="n"/>
      <c r="E54" s="2107" t="n">
        <v>3.937</v>
      </c>
      <c r="F54" s="1171" t="n"/>
      <c r="G54" s="2126" t="n">
        <v>4.96</v>
      </c>
      <c r="H54" s="1171" t="n"/>
      <c r="I54" s="2106" t="inlineStr">
        <is>
          <t>N/A</t>
        </is>
      </c>
      <c r="J54" s="2106" t="inlineStr">
        <is>
          <t>N/A</t>
        </is>
      </c>
      <c r="K54" s="2106" t="inlineStr">
        <is>
          <t>130005011340</t>
        </is>
      </c>
      <c r="L54" s="2106" t="inlineStr">
        <is>
          <t>N/A</t>
        </is>
      </c>
    </row>
    <row r="55" ht="91" customHeight="1" s="1158">
      <c r="A55" s="1440" t="n"/>
      <c r="B55" s="2106" t="inlineStr">
        <is>
          <t>UPPER CONN. 3-1/2" VAM TOP 9.2#PPF BOX VM 28 110 KSI
DESCRIPTION: WIRELINE ENTRY GUIDE
SN: 16339547-10-008
PN 2996481
SAP: 130010036277
SUPPLIER: WEATHERFORD</t>
        </is>
      </c>
      <c r="C55" s="2107" t="n">
        <v>2.949</v>
      </c>
      <c r="D55" s="1171" t="n"/>
      <c r="E55" s="2107" t="n">
        <v>3.937</v>
      </c>
      <c r="F55" s="1171" t="n"/>
      <c r="G55" s="2126" t="n">
        <v>0.299</v>
      </c>
      <c r="H55" s="1171" t="n"/>
      <c r="I55" s="2106" t="inlineStr">
        <is>
          <t>2996481</t>
        </is>
      </c>
      <c r="J55" s="2106" t="inlineStr">
        <is>
          <t>16339547-10-008</t>
        </is>
      </c>
      <c r="K55" s="2106" t="inlineStr">
        <is>
          <t>130010036277</t>
        </is>
      </c>
      <c r="L55" s="2106" t="inlineStr">
        <is>
          <t>N/A</t>
        </is>
      </c>
    </row>
    <row r="56" ht="14.25" customHeight="1" s="1158">
      <c r="B56" s="2106" t="n"/>
      <c r="C56" s="2107" t="n">
        <v>2.949</v>
      </c>
      <c r="D56" s="1171" t="n"/>
      <c r="E56" s="2107" t="n">
        <v>3.937</v>
      </c>
      <c r="F56" s="1171" t="n"/>
      <c r="G56" s="1372" t="n"/>
      <c r="H56" s="1171" t="n"/>
      <c r="I56" s="2106" t="n"/>
      <c r="J56" s="2106" t="n"/>
      <c r="K56" s="2106" t="n"/>
      <c r="L56" s="2106"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4.xml><?xml version="1.0" encoding="utf-8"?>
<worksheet xmlns="http://schemas.openxmlformats.org/spreadsheetml/2006/main">
  <sheetPr filterMode="0">
    <outlinePr summaryBelow="1" summaryRight="1"/>
    <pageSetUpPr fitToPage="0"/>
  </sheetPr>
  <dimension ref="A1:C494"/>
  <sheetViews>
    <sheetView showFormulas="0" showGridLines="0" showRowColHeaders="1" showZeros="1" rightToLeft="0" tabSelected="0" showOutlineSymbols="1" defaultGridColor="1" view="pageBreakPreview" topLeftCell="A1" colorId="64" zoomScale="100" zoomScaleNormal="110" zoomScalePageLayoutView="100" workbookViewId="0">
      <selection pane="topLeft" activeCell="I16" activeCellId="0" sqref="A11:S58"/>
    </sheetView>
  </sheetViews>
  <sheetFormatPr baseColWidth="8" defaultColWidth="8.59765625" defaultRowHeight="14.25" customHeight="0" zeroHeight="0" outlineLevelRow="0"/>
  <cols>
    <col width="16" customWidth="1" style="1207" min="1" max="1"/>
    <col width="15.89" customWidth="1" style="2127" min="2" max="2"/>
    <col width="15.78" customWidth="1" style="2128" min="3" max="3"/>
  </cols>
  <sheetData>
    <row r="1" ht="14.25" customHeight="1" s="1158">
      <c r="A1" s="2129" t="n"/>
      <c r="B1" s="2130" t="inlineStr">
        <is>
          <t>WELL</t>
        </is>
      </c>
      <c r="C1" s="2130">
        <f>'MS2'!I9</f>
        <v/>
      </c>
    </row>
    <row r="2" ht="29.25" customHeight="1" s="1158">
      <c r="A2" s="2129" t="n"/>
      <c r="B2" s="2131" t="inlineStr">
        <is>
          <t>3 1/2" CASING TALLY CRROM PIPE (END TO END)</t>
        </is>
      </c>
      <c r="C2" s="1168" t="n"/>
    </row>
    <row r="3" ht="28.5" customHeight="1" s="1158">
      <c r="A3" s="2129" t="inlineStr">
        <is>
          <t>Joint No.</t>
        </is>
      </c>
      <c r="B3" s="2132" t="inlineStr">
        <is>
          <t>Length W/thread[ft] end to end</t>
        </is>
      </c>
      <c r="C3" s="2133" t="inlineStr">
        <is>
          <t>Length [ft]</t>
        </is>
      </c>
    </row>
    <row r="4" ht="23.25" customHeight="1" s="1158">
      <c r="A4" s="2129" t="n"/>
      <c r="B4" s="1440" t="n"/>
      <c r="C4" s="2133" t="inlineStr">
        <is>
          <t>WO/Thread</t>
        </is>
      </c>
    </row>
    <row r="5" ht="30.55" customHeight="1" s="1158">
      <c r="A5" s="2134" t="inlineStr">
        <is>
          <t>JT. # 1</t>
        </is>
      </c>
      <c r="B5" s="2135" t="n">
        <v>30.81</v>
      </c>
      <c r="C5" s="2136">
        <f>B5-0.301</f>
        <v/>
      </c>
    </row>
    <row r="6" ht="30.55" customHeight="1" s="1158">
      <c r="A6" s="2134" t="inlineStr">
        <is>
          <t>JT. # 2</t>
        </is>
      </c>
      <c r="B6" s="2135" t="n">
        <v>30.66</v>
      </c>
      <c r="C6" s="2136">
        <f>B6-0.301</f>
        <v/>
      </c>
    </row>
    <row r="7" ht="30.55" customHeight="1" s="1158">
      <c r="A7" s="2134" t="inlineStr">
        <is>
          <t>JT. # 3</t>
        </is>
      </c>
      <c r="B7" s="2135" t="n">
        <v>30.46</v>
      </c>
      <c r="C7" s="2136">
        <f>B7-0.301</f>
        <v/>
      </c>
    </row>
    <row r="8" ht="30.55" customHeight="1" s="1158">
      <c r="A8" s="2134" t="inlineStr">
        <is>
          <t>JT. # 4</t>
        </is>
      </c>
      <c r="B8" s="2135" t="n">
        <v>31.47</v>
      </c>
      <c r="C8" s="2136">
        <f>B8-0.301</f>
        <v/>
      </c>
    </row>
    <row r="9" ht="30.55" customHeight="1" s="1158">
      <c r="A9" s="2134" t="inlineStr">
        <is>
          <t>JT. # 5</t>
        </is>
      </c>
      <c r="B9" s="2135" t="n">
        <v>31.58</v>
      </c>
      <c r="C9" s="2136">
        <f>B9-0.301</f>
        <v/>
      </c>
    </row>
    <row r="10" ht="30.55" customHeight="1" s="1158">
      <c r="A10" s="2134" t="inlineStr">
        <is>
          <t>JT. # 6</t>
        </is>
      </c>
      <c r="B10" s="2135" t="n">
        <v>31.67</v>
      </c>
      <c r="C10" s="2136">
        <f>B10-0.301</f>
        <v/>
      </c>
    </row>
    <row r="11" ht="30.55" customHeight="1" s="1158">
      <c r="A11" s="2134" t="inlineStr">
        <is>
          <t>JT. # 7</t>
        </is>
      </c>
      <c r="B11" s="2135" t="n">
        <v>31.13</v>
      </c>
      <c r="C11" s="2136">
        <f>B11-0.301</f>
        <v/>
      </c>
    </row>
    <row r="12" ht="30.55" customHeight="1" s="1158">
      <c r="A12" s="2134" t="inlineStr">
        <is>
          <t>JT. # 8</t>
        </is>
      </c>
      <c r="B12" s="2135" t="n">
        <v>30.94</v>
      </c>
      <c r="C12" s="2136">
        <f>B12-0.301</f>
        <v/>
      </c>
    </row>
    <row r="13" ht="30.55" customHeight="1" s="1158">
      <c r="A13" s="2134" t="inlineStr">
        <is>
          <t>JT. # 9</t>
        </is>
      </c>
      <c r="B13" s="2135" t="n">
        <v>31.14</v>
      </c>
      <c r="C13" s="2136">
        <f>B13-0.301</f>
        <v/>
      </c>
    </row>
    <row r="14" ht="30.55" customHeight="1" s="1158">
      <c r="A14" s="2134" t="inlineStr">
        <is>
          <t>JT. # 10</t>
        </is>
      </c>
      <c r="B14" s="2135" t="n">
        <v>31.32</v>
      </c>
      <c r="C14" s="2136">
        <f>B14-0.301</f>
        <v/>
      </c>
    </row>
    <row r="15" ht="30.55" customHeight="1" s="1158">
      <c r="A15" s="2134" t="inlineStr">
        <is>
          <t>JT. # 11</t>
        </is>
      </c>
      <c r="B15" s="2135" t="n">
        <v>31.42</v>
      </c>
      <c r="C15" s="2136">
        <f>B15-0.301</f>
        <v/>
      </c>
    </row>
    <row r="16" ht="30.55" customHeight="1" s="1158">
      <c r="A16" s="2134" t="inlineStr">
        <is>
          <t>JT. # 12</t>
        </is>
      </c>
      <c r="B16" s="2135" t="n">
        <v>30.88</v>
      </c>
      <c r="C16" s="2136">
        <f>B16-0.301</f>
        <v/>
      </c>
    </row>
    <row r="17" ht="30.55" customHeight="1" s="1158">
      <c r="A17" s="2134" t="inlineStr">
        <is>
          <t>JT. # 13</t>
        </is>
      </c>
      <c r="B17" s="2135" t="n">
        <v>31.94</v>
      </c>
      <c r="C17" s="2136">
        <f>B17-0.301</f>
        <v/>
      </c>
    </row>
    <row r="18" ht="30.55" customHeight="1" s="1158">
      <c r="A18" s="2134" t="inlineStr">
        <is>
          <t>JT. # 14</t>
        </is>
      </c>
      <c r="B18" s="2135" t="n">
        <v>31.01</v>
      </c>
      <c r="C18" s="2136">
        <f>B18-0.301</f>
        <v/>
      </c>
    </row>
    <row r="19" ht="30.55" customHeight="1" s="1158">
      <c r="A19" s="2134" t="inlineStr">
        <is>
          <t>JT. # 15</t>
        </is>
      </c>
      <c r="B19" s="2135" t="n">
        <v>31.68</v>
      </c>
      <c r="C19" s="2136">
        <f>B19-0.301</f>
        <v/>
      </c>
    </row>
    <row r="20" ht="30.55" customHeight="1" s="1158">
      <c r="A20" s="2134" t="inlineStr">
        <is>
          <t>JT. # 16</t>
        </is>
      </c>
      <c r="B20" s="2135" t="n">
        <v>31.07</v>
      </c>
      <c r="C20" s="2136">
        <f>B20-0.301</f>
        <v/>
      </c>
    </row>
    <row r="21" ht="30.55" customHeight="1" s="1158">
      <c r="A21" s="2134" t="inlineStr">
        <is>
          <t>JT. # 17</t>
        </is>
      </c>
      <c r="B21" s="2135" t="n">
        <v>31.52</v>
      </c>
      <c r="C21" s="2136">
        <f>B21-0.301</f>
        <v/>
      </c>
    </row>
    <row r="22" ht="30.55" customHeight="1" s="1158">
      <c r="A22" s="2134" t="inlineStr">
        <is>
          <t>JT. # 18</t>
        </is>
      </c>
      <c r="B22" s="2135" t="n">
        <v>31.12</v>
      </c>
      <c r="C22" s="2136">
        <f>B22-0.301</f>
        <v/>
      </c>
    </row>
    <row r="23" ht="30.55" customHeight="1" s="1158">
      <c r="A23" s="2134" t="inlineStr">
        <is>
          <t>JT. # 19</t>
        </is>
      </c>
      <c r="B23" s="2135" t="n">
        <v>30.85</v>
      </c>
      <c r="C23" s="2136">
        <f>B23-0.301</f>
        <v/>
      </c>
    </row>
    <row r="24" ht="30.55" customHeight="1" s="1158">
      <c r="A24" s="2134" t="inlineStr">
        <is>
          <t>JT. # 20</t>
        </is>
      </c>
      <c r="B24" s="2135" t="n">
        <v>30.99</v>
      </c>
      <c r="C24" s="2136">
        <f>B24-0.301</f>
        <v/>
      </c>
    </row>
    <row r="25" ht="30.55" customHeight="1" s="1158">
      <c r="A25" s="2134" t="inlineStr">
        <is>
          <t>JT. # 21</t>
        </is>
      </c>
      <c r="B25" s="2135" t="n">
        <v>31.93</v>
      </c>
      <c r="C25" s="2136">
        <f>B25-0.301</f>
        <v/>
      </c>
    </row>
    <row r="26" ht="30.55" customHeight="1" s="1158">
      <c r="A26" s="2134" t="inlineStr">
        <is>
          <t>JT. # 22</t>
        </is>
      </c>
      <c r="B26" s="2135" t="n">
        <v>30.92</v>
      </c>
      <c r="C26" s="2136">
        <f>B26-0.301</f>
        <v/>
      </c>
    </row>
    <row r="27" ht="30.55" customHeight="1" s="1158">
      <c r="A27" s="2134" t="inlineStr">
        <is>
          <t>JT. # 23</t>
        </is>
      </c>
      <c r="B27" s="2135" t="n">
        <v>31.21</v>
      </c>
      <c r="C27" s="2136">
        <f>B27-0.301</f>
        <v/>
      </c>
    </row>
    <row r="28" ht="30.55" customHeight="1" s="1158">
      <c r="A28" s="2134" t="inlineStr">
        <is>
          <t>JT. # 24</t>
        </is>
      </c>
      <c r="B28" s="2135" t="n">
        <v>31.93</v>
      </c>
      <c r="C28" s="2136">
        <f>B28-0.301</f>
        <v/>
      </c>
    </row>
    <row r="29" ht="30.55" customHeight="1" s="1158">
      <c r="A29" s="2134" t="inlineStr">
        <is>
          <t>JT. # 25</t>
        </is>
      </c>
      <c r="B29" s="2135" t="n">
        <v>31.57</v>
      </c>
      <c r="C29" s="2136">
        <f>B29-0.301</f>
        <v/>
      </c>
    </row>
    <row r="30" ht="30.55" customHeight="1" s="1158">
      <c r="A30" s="2134" t="inlineStr">
        <is>
          <t>JT. # 26</t>
        </is>
      </c>
      <c r="B30" s="2135" t="n">
        <v>31.11</v>
      </c>
      <c r="C30" s="2136">
        <f>B30-0.301</f>
        <v/>
      </c>
    </row>
    <row r="31" ht="30.55" customHeight="1" s="1158">
      <c r="A31" s="2134" t="inlineStr">
        <is>
          <t>JT. # 27</t>
        </is>
      </c>
      <c r="B31" s="2135" t="n">
        <v>30.21</v>
      </c>
      <c r="C31" s="2136">
        <f>B31-0.301</f>
        <v/>
      </c>
    </row>
    <row r="32" ht="30.55" customFormat="1" customHeight="1" s="2137">
      <c r="A32" s="2134" t="inlineStr">
        <is>
          <t>JT. # 28</t>
        </is>
      </c>
      <c r="B32" s="2135" t="n">
        <v>31.94</v>
      </c>
      <c r="C32" s="2136">
        <f>B32-0.301</f>
        <v/>
      </c>
    </row>
    <row r="33" ht="30.55" customFormat="1" customHeight="1" s="2137">
      <c r="A33" s="2134" t="inlineStr">
        <is>
          <t>JT. # 29</t>
        </is>
      </c>
      <c r="B33" s="2135" t="n">
        <v>30.8</v>
      </c>
      <c r="C33" s="2136">
        <f>B33-0.301</f>
        <v/>
      </c>
    </row>
    <row r="34" ht="30.55" customFormat="1" customHeight="1" s="2137">
      <c r="A34" s="2134" t="inlineStr">
        <is>
          <t>JT. # 30</t>
        </is>
      </c>
      <c r="B34" s="2135" t="n">
        <v>31.21</v>
      </c>
      <c r="C34" s="2136">
        <f>B34-0.301</f>
        <v/>
      </c>
    </row>
    <row r="35" ht="30.55" customFormat="1" customHeight="1" s="2137">
      <c r="A35" s="2134" t="inlineStr">
        <is>
          <t>JT. # 31</t>
        </is>
      </c>
      <c r="B35" s="2135" t="n">
        <v>31.55</v>
      </c>
      <c r="C35" s="2136">
        <f>B35-0.301</f>
        <v/>
      </c>
    </row>
    <row r="36" ht="30.55" customHeight="1" s="1158">
      <c r="A36" s="2134" t="inlineStr">
        <is>
          <t>JT. # 32</t>
        </is>
      </c>
      <c r="B36" s="2135" t="n">
        <v>30.01</v>
      </c>
      <c r="C36" s="2136">
        <f>B36-0.301</f>
        <v/>
      </c>
    </row>
    <row r="37" ht="30.55" customHeight="1" s="1158">
      <c r="A37" s="2134" t="inlineStr">
        <is>
          <t>JT. # 33</t>
        </is>
      </c>
      <c r="B37" s="2135" t="n">
        <v>31.58</v>
      </c>
      <c r="C37" s="2136">
        <f>B37-0.301</f>
        <v/>
      </c>
    </row>
    <row r="38" ht="30.55" customHeight="1" s="1158">
      <c r="A38" s="2134" t="inlineStr">
        <is>
          <t>JT. # 34</t>
        </is>
      </c>
      <c r="B38" s="2135" t="n">
        <v>31.01</v>
      </c>
      <c r="C38" s="2136">
        <f>B38-0.301</f>
        <v/>
      </c>
    </row>
    <row r="39" ht="30.55" customHeight="1" s="1158">
      <c r="A39" s="2134" t="inlineStr">
        <is>
          <t>JT. # 35</t>
        </is>
      </c>
      <c r="B39" s="2135" t="n">
        <v>31.05</v>
      </c>
      <c r="C39" s="2136">
        <f>B39-0.301</f>
        <v/>
      </c>
    </row>
    <row r="40" ht="30.55" customHeight="1" s="1158">
      <c r="A40" s="2134" t="inlineStr">
        <is>
          <t>JT. # 36</t>
        </is>
      </c>
      <c r="B40" s="2135" t="n">
        <v>31.94</v>
      </c>
      <c r="C40" s="2136">
        <f>B40-0.301</f>
        <v/>
      </c>
    </row>
    <row r="41" ht="30.55" customHeight="1" s="1158">
      <c r="A41" s="2134" t="inlineStr">
        <is>
          <t>JT. # 37</t>
        </is>
      </c>
      <c r="B41" s="2135" t="n">
        <v>31.55</v>
      </c>
      <c r="C41" s="2136">
        <f>B41-0.301</f>
        <v/>
      </c>
    </row>
    <row r="42" ht="30.55" customHeight="1" s="1158">
      <c r="A42" s="2134" t="inlineStr">
        <is>
          <t>JT. # 38</t>
        </is>
      </c>
      <c r="B42" s="2135" t="n">
        <v>31.49</v>
      </c>
      <c r="C42" s="2136">
        <f>B42-0.301</f>
        <v/>
      </c>
    </row>
    <row r="43" ht="30.55" customHeight="1" s="1158">
      <c r="A43" s="2134" t="inlineStr">
        <is>
          <t>JT. # 39</t>
        </is>
      </c>
      <c r="B43" s="2135" t="n">
        <v>30.46</v>
      </c>
      <c r="C43" s="2136">
        <f>B43-0.301</f>
        <v/>
      </c>
    </row>
    <row r="44" ht="30.55" customHeight="1" s="1158">
      <c r="A44" s="2134" t="inlineStr">
        <is>
          <t>JT. # 40</t>
        </is>
      </c>
      <c r="B44" s="2135" t="n">
        <v>31.08</v>
      </c>
      <c r="C44" s="2136">
        <f>B44-0.301</f>
        <v/>
      </c>
    </row>
    <row r="45" ht="30.55" customHeight="1" s="1158">
      <c r="A45" s="2134" t="inlineStr">
        <is>
          <t>JT. # 41</t>
        </is>
      </c>
      <c r="B45" s="2135" t="n">
        <v>31.06</v>
      </c>
      <c r="C45" s="2136">
        <f>B45-0.301</f>
        <v/>
      </c>
    </row>
    <row r="46" ht="30.55" customHeight="1" s="1158">
      <c r="A46" s="2134" t="inlineStr">
        <is>
          <t>JT. # 42</t>
        </is>
      </c>
      <c r="B46" s="2135" t="n">
        <v>31.77</v>
      </c>
      <c r="C46" s="2136">
        <f>B46-0.301</f>
        <v/>
      </c>
    </row>
    <row r="47" ht="30.55" customHeight="1" s="1158">
      <c r="A47" s="2134" t="inlineStr">
        <is>
          <t>JT. # 43</t>
        </is>
      </c>
      <c r="B47" s="2135" t="n">
        <v>31.76</v>
      </c>
      <c r="C47" s="2136">
        <f>B47-0.301</f>
        <v/>
      </c>
    </row>
    <row r="48" ht="30.55" customHeight="1" s="1158">
      <c r="A48" s="2134" t="inlineStr">
        <is>
          <t>JT. # 44</t>
        </is>
      </c>
      <c r="B48" s="2135" t="n">
        <v>31.52</v>
      </c>
      <c r="C48" s="2136">
        <f>B48-0.301</f>
        <v/>
      </c>
    </row>
    <row r="49" ht="30.55" customHeight="1" s="1158">
      <c r="A49" s="2134" t="inlineStr">
        <is>
          <t>JT. # 45</t>
        </is>
      </c>
      <c r="B49" s="2135" t="n">
        <v>29.74</v>
      </c>
      <c r="C49" s="2136">
        <f>B49-0.301</f>
        <v/>
      </c>
    </row>
    <row r="50" ht="30.55" customHeight="1" s="1158">
      <c r="A50" s="2134" t="inlineStr">
        <is>
          <t>JT. # 46</t>
        </is>
      </c>
      <c r="B50" s="2135" t="n">
        <v>31.92</v>
      </c>
      <c r="C50" s="2136">
        <f>B50-0.301</f>
        <v/>
      </c>
    </row>
    <row r="51" ht="30.55" customHeight="1" s="1158">
      <c r="A51" s="2134" t="inlineStr">
        <is>
          <t>JT. # 47</t>
        </is>
      </c>
      <c r="B51" s="2135" t="n">
        <v>31.54</v>
      </c>
      <c r="C51" s="2136">
        <f>B51-0.301</f>
        <v/>
      </c>
    </row>
    <row r="52" ht="30.55" customHeight="1" s="1158">
      <c r="A52" s="2134" t="inlineStr">
        <is>
          <t>JT. # 48</t>
        </is>
      </c>
      <c r="B52" s="2135" t="n">
        <v>31.32</v>
      </c>
      <c r="C52" s="2136">
        <f>B52-0.301</f>
        <v/>
      </c>
    </row>
    <row r="53" ht="30.55" customHeight="1" s="1158">
      <c r="A53" s="2134" t="inlineStr">
        <is>
          <t>JT. # 49</t>
        </is>
      </c>
      <c r="B53" s="2135" t="n">
        <v>31.71</v>
      </c>
      <c r="C53" s="2136">
        <f>B53-0.301</f>
        <v/>
      </c>
    </row>
    <row r="54" ht="30.55" customHeight="1" s="1158">
      <c r="A54" s="2134" t="inlineStr">
        <is>
          <t>JT. # 50</t>
        </is>
      </c>
      <c r="B54" s="2135" t="n">
        <v>31.31</v>
      </c>
      <c r="C54" s="2136">
        <f>B54-0.301</f>
        <v/>
      </c>
    </row>
    <row r="55" ht="30.55" customHeight="1" s="1158">
      <c r="A55" s="2134" t="inlineStr">
        <is>
          <t>JT. # 51</t>
        </is>
      </c>
      <c r="B55" s="2135" t="n">
        <v>31.31</v>
      </c>
      <c r="C55" s="2136">
        <f>B55-0.301</f>
        <v/>
      </c>
    </row>
    <row r="56" ht="30.55" customHeight="1" s="1158">
      <c r="A56" s="2134" t="inlineStr">
        <is>
          <t>JT. # 52</t>
        </is>
      </c>
      <c r="B56" s="2135" t="n">
        <v>31.01</v>
      </c>
      <c r="C56" s="2136">
        <f>B56-0.301</f>
        <v/>
      </c>
    </row>
    <row r="57" ht="30.55" customHeight="1" s="1158">
      <c r="A57" s="2134" t="inlineStr">
        <is>
          <t>JT. # 53</t>
        </is>
      </c>
      <c r="B57" s="2135" t="n">
        <v>29.75</v>
      </c>
      <c r="C57" s="2136">
        <f>B57-0.301</f>
        <v/>
      </c>
    </row>
    <row r="58" ht="30.55" customHeight="1" s="1158">
      <c r="A58" s="2134" t="inlineStr">
        <is>
          <t>JT. # 54</t>
        </is>
      </c>
      <c r="B58" s="2135" t="n">
        <v>31.56</v>
      </c>
      <c r="C58" s="2136">
        <f>B58-0.301</f>
        <v/>
      </c>
    </row>
    <row r="59" ht="30.55" customHeight="1" s="1158">
      <c r="A59" s="2134" t="inlineStr">
        <is>
          <t>JT. # 55</t>
        </is>
      </c>
      <c r="B59" s="2135" t="n">
        <v>31.83</v>
      </c>
      <c r="C59" s="2136">
        <f>B59-0.301</f>
        <v/>
      </c>
    </row>
    <row r="60" ht="30.55" customHeight="1" s="1158">
      <c r="A60" s="2134" t="inlineStr">
        <is>
          <t>JT. # 56</t>
        </is>
      </c>
      <c r="B60" s="2135" t="n">
        <v>31.65</v>
      </c>
      <c r="C60" s="2136">
        <f>B60-0.301</f>
        <v/>
      </c>
    </row>
    <row r="61" ht="30.55" customHeight="1" s="1158">
      <c r="A61" s="2134" t="inlineStr">
        <is>
          <t>JT. # 57</t>
        </is>
      </c>
      <c r="B61" s="2135" t="n">
        <v>31.55</v>
      </c>
      <c r="C61" s="2136">
        <f>B61-0.301</f>
        <v/>
      </c>
    </row>
    <row r="62" ht="30.55" customHeight="1" s="1158">
      <c r="A62" s="2134" t="inlineStr">
        <is>
          <t>JT. # 58</t>
        </is>
      </c>
      <c r="B62" s="2135" t="n">
        <v>30.73</v>
      </c>
      <c r="C62" s="2136">
        <f>B62-0.301</f>
        <v/>
      </c>
    </row>
    <row r="63" ht="30.55" customHeight="1" s="1158">
      <c r="A63" s="2134" t="inlineStr">
        <is>
          <t>JT. # 59</t>
        </is>
      </c>
      <c r="B63" s="2135" t="n">
        <v>31.48</v>
      </c>
      <c r="C63" s="2136">
        <f>B63-0.301</f>
        <v/>
      </c>
    </row>
    <row r="64" ht="30.55" customHeight="1" s="1158">
      <c r="A64" s="2134" t="inlineStr">
        <is>
          <t>JT. # 60</t>
        </is>
      </c>
      <c r="B64" s="2135" t="n">
        <v>31.95</v>
      </c>
      <c r="C64" s="2136">
        <f>B64-0.301</f>
        <v/>
      </c>
    </row>
    <row r="65" ht="30.55" customHeight="1" s="1158">
      <c r="A65" s="2134" t="inlineStr">
        <is>
          <t>JT. # 61</t>
        </is>
      </c>
      <c r="B65" s="2135" t="n">
        <v>30.24</v>
      </c>
      <c r="C65" s="2136">
        <f>B65-0.301</f>
        <v/>
      </c>
    </row>
    <row r="66" ht="30.55" customHeight="1" s="1158">
      <c r="A66" s="2134" t="inlineStr">
        <is>
          <t>JT. # 62</t>
        </is>
      </c>
      <c r="B66" s="2135" t="n">
        <v>31.22</v>
      </c>
      <c r="C66" s="2136">
        <f>B66-0.301</f>
        <v/>
      </c>
    </row>
    <row r="67" ht="30.55" customHeight="1" s="1158">
      <c r="A67" s="2134" t="inlineStr">
        <is>
          <t>JT. # 63</t>
        </is>
      </c>
      <c r="B67" s="2135" t="n">
        <v>31.11</v>
      </c>
      <c r="C67" s="2136">
        <f>B67-0.301</f>
        <v/>
      </c>
    </row>
    <row r="68" ht="30.55" customHeight="1" s="1158">
      <c r="A68" s="2134" t="inlineStr">
        <is>
          <t>JT. # 64</t>
        </is>
      </c>
      <c r="B68" s="2135" t="n">
        <v>30.92</v>
      </c>
      <c r="C68" s="2136">
        <f>B68-0.301</f>
        <v/>
      </c>
    </row>
    <row r="69" ht="30.55" customHeight="1" s="1158">
      <c r="A69" s="2134" t="inlineStr">
        <is>
          <t>JT. # 65</t>
        </is>
      </c>
      <c r="B69" s="2135" t="n">
        <v>31.56</v>
      </c>
      <c r="C69" s="2136">
        <f>B69-0.301</f>
        <v/>
      </c>
    </row>
    <row r="70" ht="30.55" customHeight="1" s="1158">
      <c r="A70" s="2134" t="inlineStr">
        <is>
          <t>JT. # 66</t>
        </is>
      </c>
      <c r="B70" s="2135" t="n">
        <v>31.43</v>
      </c>
      <c r="C70" s="2136">
        <f>B70-0.301</f>
        <v/>
      </c>
    </row>
    <row r="71" ht="30.55" customHeight="1" s="1158">
      <c r="A71" s="2134" t="inlineStr">
        <is>
          <t>JT. # 67</t>
        </is>
      </c>
      <c r="B71" s="2135" t="n">
        <v>30.15</v>
      </c>
      <c r="C71" s="2136">
        <f>B71-0.301</f>
        <v/>
      </c>
    </row>
    <row r="72" ht="30.55" customHeight="1" s="1158">
      <c r="A72" s="2134" t="inlineStr">
        <is>
          <t>JT. # 68</t>
        </is>
      </c>
      <c r="B72" s="2135" t="n">
        <v>31.64</v>
      </c>
      <c r="C72" s="2136">
        <f>B72-0.301</f>
        <v/>
      </c>
    </row>
    <row r="73" ht="30.55" customHeight="1" s="1158">
      <c r="A73" s="2134" t="inlineStr">
        <is>
          <t>JT. # 69</t>
        </is>
      </c>
      <c r="B73" s="2135" t="n">
        <v>30.43</v>
      </c>
      <c r="C73" s="2136">
        <f>B73-0.301</f>
        <v/>
      </c>
    </row>
    <row r="74" ht="30.55" customHeight="1" s="1158">
      <c r="A74" s="2134" t="inlineStr">
        <is>
          <t>JT. # 70</t>
        </is>
      </c>
      <c r="B74" s="2135" t="n">
        <v>30.42</v>
      </c>
      <c r="C74" s="2136">
        <f>B74-0.301</f>
        <v/>
      </c>
    </row>
    <row r="75" ht="30.55" customHeight="1" s="1158">
      <c r="A75" s="2134" t="inlineStr">
        <is>
          <t>JT. # 71</t>
        </is>
      </c>
      <c r="B75" s="2135" t="n">
        <v>31.89</v>
      </c>
      <c r="C75" s="2136">
        <f>B75-0.301</f>
        <v/>
      </c>
    </row>
    <row r="76" ht="30.55" customHeight="1" s="1158">
      <c r="A76" s="2134" t="inlineStr">
        <is>
          <t>JT. # 72</t>
        </is>
      </c>
      <c r="B76" s="2135" t="n">
        <v>31.56</v>
      </c>
      <c r="C76" s="2136">
        <f>B76-0.301</f>
        <v/>
      </c>
    </row>
    <row r="77" ht="30.55" customHeight="1" s="1158">
      <c r="A77" s="2134" t="inlineStr">
        <is>
          <t>JT. # 73</t>
        </is>
      </c>
      <c r="B77" s="2135" t="n">
        <v>31.67</v>
      </c>
      <c r="C77" s="2136">
        <f>B77-0.301</f>
        <v/>
      </c>
    </row>
    <row r="78" ht="30.55" customHeight="1" s="1158">
      <c r="A78" s="2134" t="inlineStr">
        <is>
          <t>JT. # 74</t>
        </is>
      </c>
      <c r="B78" s="2135" t="n">
        <v>31.62</v>
      </c>
      <c r="C78" s="2136">
        <f>B78-0.301</f>
        <v/>
      </c>
    </row>
    <row r="79" ht="30.55" customHeight="1" s="1158">
      <c r="A79" s="2134" t="inlineStr">
        <is>
          <t>JT. # 75</t>
        </is>
      </c>
      <c r="B79" s="2135" t="n">
        <v>31.39</v>
      </c>
      <c r="C79" s="2136">
        <f>B79-0.301</f>
        <v/>
      </c>
    </row>
    <row r="80" ht="30.55" customHeight="1" s="1158">
      <c r="A80" s="2134" t="inlineStr">
        <is>
          <t>JT. # 76</t>
        </is>
      </c>
      <c r="B80" s="2135" t="n">
        <v>31.7</v>
      </c>
      <c r="C80" s="2136">
        <f>B80-0.301</f>
        <v/>
      </c>
    </row>
    <row r="81" ht="30.55" customHeight="1" s="1158">
      <c r="A81" s="2134" t="inlineStr">
        <is>
          <t>JT. # 77</t>
        </is>
      </c>
      <c r="B81" s="2135" t="n">
        <v>31.64</v>
      </c>
      <c r="C81" s="2136">
        <f>B81-0.301</f>
        <v/>
      </c>
    </row>
    <row r="82" ht="30.55" customHeight="1" s="1158">
      <c r="A82" s="2134" t="inlineStr">
        <is>
          <t>JT. # 78</t>
        </is>
      </c>
      <c r="B82" s="2135" t="n">
        <v>31.14</v>
      </c>
      <c r="C82" s="2136">
        <f>B82-0.301</f>
        <v/>
      </c>
    </row>
    <row r="83" ht="30.55" customHeight="1" s="1158">
      <c r="A83" s="2134" t="inlineStr">
        <is>
          <t>JT. # 79</t>
        </is>
      </c>
      <c r="B83" s="2135" t="n">
        <v>31.35</v>
      </c>
      <c r="C83" s="2136">
        <f>B83-0.301</f>
        <v/>
      </c>
    </row>
    <row r="84" ht="30.55" customHeight="1" s="1158">
      <c r="A84" s="2134" t="inlineStr">
        <is>
          <t>JT. # 80</t>
        </is>
      </c>
      <c r="B84" s="2135" t="n">
        <v>31.26</v>
      </c>
      <c r="C84" s="2136">
        <f>B84-0.301</f>
        <v/>
      </c>
    </row>
    <row r="85" ht="30.55" customHeight="1" s="1158">
      <c r="A85" s="2134" t="inlineStr">
        <is>
          <t>JT. # 81</t>
        </is>
      </c>
      <c r="B85" s="2135" t="n">
        <v>30.43</v>
      </c>
      <c r="C85" s="2136">
        <f>B85-0.301</f>
        <v/>
      </c>
    </row>
    <row r="86" ht="30.55" customHeight="1" s="1158">
      <c r="A86" s="2134" t="inlineStr">
        <is>
          <t>JT. # 82</t>
        </is>
      </c>
      <c r="B86" s="2135" t="n">
        <v>31.37</v>
      </c>
      <c r="C86" s="2136">
        <f>B86-0.301</f>
        <v/>
      </c>
    </row>
    <row r="87" ht="30.55" customHeight="1" s="1158">
      <c r="A87" s="2134" t="inlineStr">
        <is>
          <t>JT. # 83</t>
        </is>
      </c>
      <c r="B87" s="2135" t="n">
        <v>31.57</v>
      </c>
      <c r="C87" s="2136">
        <f>B87-0.301</f>
        <v/>
      </c>
    </row>
    <row r="88" ht="30.55" customHeight="1" s="1158">
      <c r="A88" s="2134" t="inlineStr">
        <is>
          <t>JT. # 84</t>
        </is>
      </c>
      <c r="B88" s="2135" t="n">
        <v>31.33</v>
      </c>
      <c r="C88" s="2136">
        <f>B88-0.301</f>
        <v/>
      </c>
    </row>
    <row r="89" ht="30.55" customHeight="1" s="1158">
      <c r="A89" s="2134" t="inlineStr">
        <is>
          <t>JT. # 85</t>
        </is>
      </c>
      <c r="B89" s="2135" t="n">
        <v>31.26</v>
      </c>
      <c r="C89" s="2136">
        <f>B89-0.301</f>
        <v/>
      </c>
    </row>
    <row r="90" ht="30.55" customHeight="1" s="1158">
      <c r="A90" s="2134" t="inlineStr">
        <is>
          <t>JT. # 86</t>
        </is>
      </c>
      <c r="B90" s="2135" t="n">
        <v>31.86</v>
      </c>
      <c r="C90" s="2136">
        <f>B90-0.301</f>
        <v/>
      </c>
    </row>
    <row r="91" ht="30.55" customHeight="1" s="1158">
      <c r="A91" s="2134" t="inlineStr">
        <is>
          <t>JT. # 87</t>
        </is>
      </c>
      <c r="B91" s="2135" t="n">
        <v>31.67</v>
      </c>
      <c r="C91" s="2136">
        <f>B91-0.301</f>
        <v/>
      </c>
    </row>
    <row r="92" ht="30.55" customHeight="1" s="1158">
      <c r="A92" s="2134" t="inlineStr">
        <is>
          <t>JT. # 88</t>
        </is>
      </c>
      <c r="B92" s="2135" t="n">
        <v>31.43</v>
      </c>
      <c r="C92" s="2136">
        <f>B92-0.301</f>
        <v/>
      </c>
    </row>
    <row r="93" ht="30.55" customHeight="1" s="1158">
      <c r="A93" s="2134" t="inlineStr">
        <is>
          <t>JT. # 89</t>
        </is>
      </c>
      <c r="B93" s="2135" t="n">
        <v>31.77</v>
      </c>
      <c r="C93" s="2136">
        <f>B93-0.301</f>
        <v/>
      </c>
    </row>
    <row r="94" ht="30.55" customHeight="1" s="1158">
      <c r="A94" s="2134" t="inlineStr">
        <is>
          <t>JT. # 90</t>
        </is>
      </c>
      <c r="B94" s="2135" t="n">
        <v>31.84</v>
      </c>
      <c r="C94" s="2136">
        <f>B94-0.301</f>
        <v/>
      </c>
    </row>
    <row r="95" ht="30.55" customHeight="1" s="1158">
      <c r="A95" s="2134" t="inlineStr">
        <is>
          <t>JT. # 91</t>
        </is>
      </c>
      <c r="B95" s="2135" t="n">
        <v>31.28</v>
      </c>
      <c r="C95" s="2136">
        <f>B95-0.301</f>
        <v/>
      </c>
    </row>
    <row r="96" ht="30.55" customHeight="1" s="1158">
      <c r="A96" s="2134" t="inlineStr">
        <is>
          <t>JT. # 92</t>
        </is>
      </c>
      <c r="B96" s="2135" t="n">
        <v>31.96</v>
      </c>
      <c r="C96" s="2136">
        <f>B96-0.301</f>
        <v/>
      </c>
    </row>
    <row r="97" ht="30.55" customHeight="1" s="1158">
      <c r="A97" s="2134" t="inlineStr">
        <is>
          <t>JT. # 93</t>
        </is>
      </c>
      <c r="B97" s="2135" t="n">
        <v>31.95</v>
      </c>
      <c r="C97" s="2136">
        <f>B97-0.301</f>
        <v/>
      </c>
    </row>
    <row r="98" ht="30.55" customHeight="1" s="1158">
      <c r="A98" s="2134" t="inlineStr">
        <is>
          <t>JT. # 94</t>
        </is>
      </c>
      <c r="B98" s="2135" t="n">
        <v>31.16</v>
      </c>
      <c r="C98" s="2136">
        <f>B98-0.301</f>
        <v/>
      </c>
    </row>
    <row r="99" ht="30.55" customHeight="1" s="1158">
      <c r="A99" s="2134" t="inlineStr">
        <is>
          <t>JT. # 95</t>
        </is>
      </c>
      <c r="B99" s="2135" t="n">
        <v>31.13</v>
      </c>
      <c r="C99" s="2136">
        <f>B99-0.301</f>
        <v/>
      </c>
    </row>
    <row r="100" ht="30.55" customHeight="1" s="1158">
      <c r="A100" s="2134" t="inlineStr">
        <is>
          <t>JT. # 96</t>
        </is>
      </c>
      <c r="B100" s="2135" t="n">
        <v>31.26</v>
      </c>
      <c r="C100" s="2136">
        <f>B100-0.301</f>
        <v/>
      </c>
    </row>
    <row r="101" ht="30.55" customHeight="1" s="1158">
      <c r="A101" s="2134" t="inlineStr">
        <is>
          <t>JT. # 97</t>
        </is>
      </c>
      <c r="B101" s="2135" t="n">
        <v>31.99</v>
      </c>
      <c r="C101" s="2136">
        <f>B101-0.301</f>
        <v/>
      </c>
    </row>
    <row r="102" ht="30.55" customHeight="1" s="1158">
      <c r="A102" s="2134" t="inlineStr">
        <is>
          <t>JT. # 98</t>
        </is>
      </c>
      <c r="B102" s="2135" t="n">
        <v>31.25</v>
      </c>
      <c r="C102" s="2136">
        <f>B102-0.301</f>
        <v/>
      </c>
    </row>
    <row r="103" ht="30.55" customHeight="1" s="1158">
      <c r="A103" s="2134" t="inlineStr">
        <is>
          <t>JT. # 99</t>
        </is>
      </c>
      <c r="B103" s="2135" t="n">
        <v>31.95</v>
      </c>
      <c r="C103" s="2136">
        <f>B103-0.301</f>
        <v/>
      </c>
    </row>
    <row r="104" ht="30.55" customHeight="1" s="1158">
      <c r="A104" s="2134" t="inlineStr">
        <is>
          <t>JT. # 100</t>
        </is>
      </c>
      <c r="B104" s="2135" t="n">
        <v>31.67</v>
      </c>
      <c r="C104" s="2136">
        <f>B104-0.301</f>
        <v/>
      </c>
    </row>
    <row r="105" ht="30.55" customHeight="1" s="1158">
      <c r="A105" s="2134" t="inlineStr">
        <is>
          <t>JT. # 101</t>
        </is>
      </c>
      <c r="B105" s="2138" t="n">
        <v>31.73</v>
      </c>
      <c r="C105" s="2136">
        <f>B105-0.301</f>
        <v/>
      </c>
    </row>
    <row r="106" ht="30.55" customHeight="1" s="1158">
      <c r="A106" s="2134" t="inlineStr">
        <is>
          <t>JT. # 102</t>
        </is>
      </c>
      <c r="B106" s="2139" t="n">
        <v>29.8</v>
      </c>
      <c r="C106" s="2136">
        <f>B106-0.301</f>
        <v/>
      </c>
    </row>
    <row r="107" ht="30.55" customHeight="1" s="1158">
      <c r="A107" s="2134" t="inlineStr">
        <is>
          <t>JT. # 103</t>
        </is>
      </c>
      <c r="B107" s="2139" t="n">
        <v>31.42</v>
      </c>
      <c r="C107" s="2136">
        <f>B107-0.301</f>
        <v/>
      </c>
    </row>
    <row r="108" ht="30.55" customHeight="1" s="1158">
      <c r="A108" s="2134" t="inlineStr">
        <is>
          <t>JT. # 104</t>
        </is>
      </c>
      <c r="B108" s="2139" t="n">
        <v>30.33</v>
      </c>
      <c r="C108" s="2136">
        <f>B108-0.301</f>
        <v/>
      </c>
    </row>
    <row r="109" ht="30.55" customHeight="1" s="1158">
      <c r="A109" s="2134" t="inlineStr">
        <is>
          <t>JT. # 105</t>
        </is>
      </c>
      <c r="B109" s="2139" t="n">
        <v>31.35</v>
      </c>
      <c r="C109" s="2136">
        <f>B109-0.301</f>
        <v/>
      </c>
    </row>
    <row r="110" ht="30.55" customHeight="1" s="1158">
      <c r="A110" s="2134" t="inlineStr">
        <is>
          <t>JT. # 106</t>
        </is>
      </c>
      <c r="B110" s="2139" t="n">
        <v>31.49</v>
      </c>
      <c r="C110" s="2136">
        <f>B110-0.301</f>
        <v/>
      </c>
    </row>
    <row r="111" ht="30.55" customHeight="1" s="1158">
      <c r="A111" s="2134" t="inlineStr">
        <is>
          <t>JT. # 107</t>
        </is>
      </c>
      <c r="B111" s="2139" t="n">
        <v>31.69</v>
      </c>
      <c r="C111" s="2136">
        <f>B111-0.301</f>
        <v/>
      </c>
    </row>
    <row r="112" ht="30.55" customHeight="1" s="1158">
      <c r="A112" s="2134" t="inlineStr">
        <is>
          <t>JT. # 108</t>
        </is>
      </c>
      <c r="B112" s="2139" t="n">
        <v>30.69</v>
      </c>
      <c r="C112" s="2136">
        <f>B112-0.301</f>
        <v/>
      </c>
    </row>
    <row r="113" ht="30.55" customHeight="1" s="1158">
      <c r="A113" s="2134" t="inlineStr">
        <is>
          <t>JT. # 109</t>
        </is>
      </c>
      <c r="B113" s="2140" t="n">
        <v>31.96</v>
      </c>
      <c r="C113" s="2136">
        <f>B113-0.301</f>
        <v/>
      </c>
    </row>
    <row r="114" ht="30.55" customHeight="1" s="1158">
      <c r="A114" s="2134" t="inlineStr">
        <is>
          <t>JT. # 110</t>
        </is>
      </c>
      <c r="B114" s="2140" t="n">
        <v>31.15</v>
      </c>
      <c r="C114" s="2136">
        <f>B114-0.301</f>
        <v/>
      </c>
    </row>
    <row r="115" ht="30.55" customHeight="1" s="1158">
      <c r="A115" s="2134" t="inlineStr">
        <is>
          <t>JT. # 111</t>
        </is>
      </c>
      <c r="B115" s="2139" t="n">
        <v>31.35</v>
      </c>
      <c r="C115" s="2136">
        <f>B115-0.301</f>
        <v/>
      </c>
    </row>
    <row r="116" ht="30.55" customHeight="1" s="1158">
      <c r="A116" s="2134" t="inlineStr">
        <is>
          <t>JT. # 112</t>
        </is>
      </c>
      <c r="B116" s="2140" t="n">
        <v>31.94</v>
      </c>
      <c r="C116" s="2136">
        <f>B116-0.301</f>
        <v/>
      </c>
    </row>
    <row r="117" ht="30.55" customHeight="1" s="1158">
      <c r="A117" s="2134" t="inlineStr">
        <is>
          <t>JT. # 113</t>
        </is>
      </c>
      <c r="B117" s="2139" t="n">
        <v>31.85</v>
      </c>
      <c r="C117" s="2136">
        <f>B117-0.301</f>
        <v/>
      </c>
    </row>
    <row r="118" ht="30.55" customHeight="1" s="1158">
      <c r="A118" s="2134" t="inlineStr">
        <is>
          <t>JT. # 114</t>
        </is>
      </c>
      <c r="B118" s="2139" t="n">
        <v>31.95</v>
      </c>
      <c r="C118" s="2136">
        <f>B118-0.301</f>
        <v/>
      </c>
    </row>
    <row r="119" ht="30.55" customHeight="1" s="1158">
      <c r="A119" s="2134" t="inlineStr">
        <is>
          <t>JT. # 115</t>
        </is>
      </c>
      <c r="B119" s="2139" t="n">
        <v>31.83</v>
      </c>
      <c r="C119" s="2136">
        <f>B119-0.301</f>
        <v/>
      </c>
    </row>
    <row r="120" ht="30.55" customHeight="1" s="1158">
      <c r="A120" s="2134" t="inlineStr">
        <is>
          <t>JT. # 116</t>
        </is>
      </c>
      <c r="B120" s="2139" t="n">
        <v>31.96</v>
      </c>
      <c r="C120" s="2136">
        <f>B120-0.301</f>
        <v/>
      </c>
    </row>
    <row r="121" ht="30.55" customHeight="1" s="1158">
      <c r="A121" s="2134" t="inlineStr">
        <is>
          <t>JT. # 117</t>
        </is>
      </c>
      <c r="B121" s="2139" t="n">
        <v>30.22</v>
      </c>
      <c r="C121" s="2136">
        <f>B121-0.301</f>
        <v/>
      </c>
    </row>
    <row r="122" ht="30.55" customHeight="1" s="1158">
      <c r="A122" s="2134" t="inlineStr">
        <is>
          <t>JT. # 118</t>
        </is>
      </c>
      <c r="B122" s="2139" t="n">
        <v>31.17</v>
      </c>
      <c r="C122" s="2136">
        <f>B122-0.301</f>
        <v/>
      </c>
    </row>
    <row r="123" ht="30.55" customHeight="1" s="1158">
      <c r="A123" s="2134" t="inlineStr">
        <is>
          <t>JT. # 119</t>
        </is>
      </c>
      <c r="B123" s="2139" t="n">
        <v>31.86</v>
      </c>
      <c r="C123" s="2136">
        <f>B123-0.301</f>
        <v/>
      </c>
    </row>
    <row r="124" ht="30.55" customHeight="1" s="1158">
      <c r="A124" s="2134" t="inlineStr">
        <is>
          <t>JT. # 120</t>
        </is>
      </c>
      <c r="B124" s="2139" t="n">
        <v>31.07</v>
      </c>
      <c r="C124" s="2136">
        <f>B124-0.301</f>
        <v/>
      </c>
    </row>
    <row r="125" ht="30.55" customHeight="1" s="1158">
      <c r="A125" s="2134" t="inlineStr">
        <is>
          <t>JT. # 121</t>
        </is>
      </c>
      <c r="B125" s="2139" t="n">
        <v>31.95</v>
      </c>
      <c r="C125" s="2136">
        <f>B125-0.301</f>
        <v/>
      </c>
    </row>
    <row r="126" ht="30.55" customHeight="1" s="1158">
      <c r="A126" s="2134" t="inlineStr">
        <is>
          <t>JT. # 122</t>
        </is>
      </c>
      <c r="B126" s="2139" t="n">
        <v>30.94</v>
      </c>
      <c r="C126" s="2136">
        <f>B126-0.301</f>
        <v/>
      </c>
    </row>
    <row r="127" ht="30.55" customHeight="1" s="1158">
      <c r="A127" s="2134" t="inlineStr">
        <is>
          <t>JT. # 123</t>
        </is>
      </c>
      <c r="B127" s="2139" t="n">
        <v>30.84</v>
      </c>
      <c r="C127" s="2136">
        <f>B127-0.301</f>
        <v/>
      </c>
    </row>
    <row r="128" ht="30.55" customHeight="1" s="1158">
      <c r="A128" s="2134" t="inlineStr">
        <is>
          <t>JT. # 124</t>
        </is>
      </c>
      <c r="B128" s="2139" t="n">
        <v>30.92</v>
      </c>
      <c r="C128" s="2136">
        <f>B128-0.301</f>
        <v/>
      </c>
    </row>
    <row r="129" ht="30.55" customHeight="1" s="1158">
      <c r="A129" s="2134" t="inlineStr">
        <is>
          <t>JT. # 125</t>
        </is>
      </c>
      <c r="B129" s="2139" t="n">
        <v>30.94</v>
      </c>
      <c r="C129" s="2136">
        <f>B129-0.301</f>
        <v/>
      </c>
    </row>
    <row r="130" ht="30.55" customHeight="1" s="1158">
      <c r="A130" s="2134" t="inlineStr">
        <is>
          <t>JT. # 126</t>
        </is>
      </c>
      <c r="B130" s="2139" t="n">
        <v>31.61</v>
      </c>
      <c r="C130" s="2136">
        <f>B130-0.301</f>
        <v/>
      </c>
    </row>
    <row r="131" ht="30.55" customHeight="1" s="1158">
      <c r="A131" s="2134" t="inlineStr">
        <is>
          <t>JT. # 127</t>
        </is>
      </c>
      <c r="B131" s="2139" t="n">
        <v>29.57</v>
      </c>
      <c r="C131" s="2136">
        <f>B131-0.301</f>
        <v/>
      </c>
    </row>
    <row r="132" ht="30.55" customHeight="1" s="1158">
      <c r="A132" s="2134" t="inlineStr">
        <is>
          <t>JT. # 128</t>
        </is>
      </c>
      <c r="B132" s="2139" t="n">
        <v>30.65</v>
      </c>
      <c r="C132" s="2136">
        <f>B132-0.301</f>
        <v/>
      </c>
    </row>
    <row r="133" ht="30.55" customHeight="1" s="1158">
      <c r="A133" s="2134" t="inlineStr">
        <is>
          <t>JT. # 129</t>
        </is>
      </c>
      <c r="B133" s="2139" t="n">
        <v>31.65</v>
      </c>
      <c r="C133" s="2136">
        <f>B133-0.301</f>
        <v/>
      </c>
    </row>
    <row r="134" ht="30.55" customHeight="1" s="1158">
      <c r="A134" s="2134" t="inlineStr">
        <is>
          <t>JT. # 130</t>
        </is>
      </c>
      <c r="B134" s="2139" t="n">
        <v>31.17</v>
      </c>
      <c r="C134" s="2136">
        <f>B134-0.301</f>
        <v/>
      </c>
    </row>
    <row r="135" ht="30.55" customHeight="1" s="1158">
      <c r="A135" s="2134" t="inlineStr">
        <is>
          <t>JT. # 131</t>
        </is>
      </c>
      <c r="B135" s="2139" t="n">
        <v>30.58</v>
      </c>
      <c r="C135" s="2136">
        <f>B135-0.301</f>
        <v/>
      </c>
    </row>
    <row r="136" ht="30.55" customHeight="1" s="1158">
      <c r="A136" s="2134" t="inlineStr">
        <is>
          <t>JT. # 132</t>
        </is>
      </c>
      <c r="B136" s="2139" t="n">
        <v>31.95</v>
      </c>
      <c r="C136" s="2136">
        <f>B136-0.301</f>
        <v/>
      </c>
    </row>
    <row r="137" ht="30.55" customHeight="1" s="1158">
      <c r="A137" s="2134" t="inlineStr">
        <is>
          <t>JT. # 133</t>
        </is>
      </c>
      <c r="B137" s="2139" t="n">
        <v>31.92</v>
      </c>
      <c r="C137" s="2136">
        <f>B137-0.301</f>
        <v/>
      </c>
    </row>
    <row r="138" ht="30.55" customHeight="1" s="1158">
      <c r="A138" s="2134" t="inlineStr">
        <is>
          <t>JT. # 134</t>
        </is>
      </c>
      <c r="B138" s="2139" t="n">
        <v>31.63</v>
      </c>
      <c r="C138" s="2136">
        <f>B138-0.301</f>
        <v/>
      </c>
    </row>
    <row r="139" ht="30.55" customHeight="1" s="1158">
      <c r="A139" s="2134" t="inlineStr">
        <is>
          <t>JT. # 135</t>
        </is>
      </c>
      <c r="B139" s="2139" t="n">
        <v>30.78</v>
      </c>
      <c r="C139" s="2136">
        <f>B139-0.301</f>
        <v/>
      </c>
    </row>
    <row r="140" ht="30.55" customHeight="1" s="1158">
      <c r="A140" s="2134" t="inlineStr">
        <is>
          <t>JT. # 136</t>
        </is>
      </c>
      <c r="B140" s="2139" t="n">
        <v>30.35</v>
      </c>
      <c r="C140" s="2136">
        <f>B140-0.301</f>
        <v/>
      </c>
    </row>
    <row r="141" ht="30.55" customHeight="1" s="1158">
      <c r="A141" s="2134" t="inlineStr">
        <is>
          <t>JT. # 137</t>
        </is>
      </c>
      <c r="B141" s="2139" t="n">
        <v>30.72</v>
      </c>
      <c r="C141" s="2136">
        <f>B141-0.301</f>
        <v/>
      </c>
    </row>
    <row r="142" ht="30.55" customHeight="1" s="1158">
      <c r="A142" s="2134" t="inlineStr">
        <is>
          <t>JT. # 138</t>
        </is>
      </c>
      <c r="B142" s="2139" t="n">
        <v>31.63</v>
      </c>
      <c r="C142" s="2136">
        <f>B142-0.301</f>
        <v/>
      </c>
    </row>
    <row r="143" ht="30.55" customHeight="1" s="1158">
      <c r="A143" s="2134" t="inlineStr">
        <is>
          <t>JT. # 139</t>
        </is>
      </c>
      <c r="B143" s="2139" t="n">
        <v>30.58</v>
      </c>
      <c r="C143" s="2136">
        <f>B143-0.301</f>
        <v/>
      </c>
    </row>
    <row r="144" ht="30.55" customHeight="1" s="1158">
      <c r="A144" s="2134" t="inlineStr">
        <is>
          <t>JT. # 140</t>
        </is>
      </c>
      <c r="B144" s="2139" t="n">
        <v>30.37</v>
      </c>
      <c r="C144" s="2136">
        <f>B144-0.301</f>
        <v/>
      </c>
    </row>
    <row r="145" ht="30.55" customHeight="1" s="1158">
      <c r="A145" s="2134" t="inlineStr">
        <is>
          <t>JT. # 141</t>
        </is>
      </c>
      <c r="B145" s="2139" t="n">
        <v>31.93</v>
      </c>
      <c r="C145" s="2136">
        <f>B145-0.301</f>
        <v/>
      </c>
    </row>
    <row r="146" ht="30.55" customHeight="1" s="1158">
      <c r="A146" s="2134" t="inlineStr">
        <is>
          <t>JT. # 142</t>
        </is>
      </c>
      <c r="B146" s="2139" t="n">
        <v>31.93</v>
      </c>
      <c r="C146" s="2136">
        <f>B146-0.301</f>
        <v/>
      </c>
    </row>
    <row r="147" ht="30.55" customHeight="1" s="1158">
      <c r="A147" s="2134" t="inlineStr">
        <is>
          <t>JT. # 143</t>
        </is>
      </c>
      <c r="B147" s="2139" t="n">
        <v>29.92</v>
      </c>
      <c r="C147" s="2136">
        <f>B147-0.301</f>
        <v/>
      </c>
    </row>
    <row r="148" ht="30.55" customHeight="1" s="1158">
      <c r="A148" s="2134" t="inlineStr">
        <is>
          <t>JT. # 144</t>
        </is>
      </c>
      <c r="B148" s="2139" t="n">
        <v>30.34</v>
      </c>
      <c r="C148" s="2136">
        <f>B148-0.301</f>
        <v/>
      </c>
    </row>
    <row r="149" ht="30.55" customHeight="1" s="1158">
      <c r="A149" s="2134" t="inlineStr">
        <is>
          <t>JT. # 145</t>
        </is>
      </c>
      <c r="B149" s="2139" t="n">
        <v>30.67</v>
      </c>
      <c r="C149" s="2136">
        <f>B149-0.301</f>
        <v/>
      </c>
    </row>
    <row r="150" ht="30.55" customHeight="1" s="1158">
      <c r="A150" s="2134" t="inlineStr">
        <is>
          <t>JT. # 146</t>
        </is>
      </c>
      <c r="B150" s="2139" t="n">
        <v>30.49</v>
      </c>
      <c r="C150" s="2136">
        <f>B150-0.301</f>
        <v/>
      </c>
    </row>
    <row r="151" ht="30.55" customHeight="1" s="1158">
      <c r="A151" s="2134" t="inlineStr">
        <is>
          <t>JT. # 147</t>
        </is>
      </c>
      <c r="B151" s="2139" t="n">
        <v>29.67</v>
      </c>
      <c r="C151" s="2136">
        <f>B151-0.301</f>
        <v/>
      </c>
    </row>
    <row r="152" ht="30.55" customHeight="1" s="1158">
      <c r="A152" s="2134" t="inlineStr">
        <is>
          <t>JT. # 148</t>
        </is>
      </c>
      <c r="B152" s="2139" t="n">
        <v>29.43</v>
      </c>
      <c r="C152" s="2136">
        <f>B152-0.301</f>
        <v/>
      </c>
    </row>
    <row r="153" ht="30.55" customHeight="1" s="1158">
      <c r="A153" s="2134" t="inlineStr">
        <is>
          <t>JT. # 149</t>
        </is>
      </c>
      <c r="B153" s="2139" t="n">
        <v>29.53</v>
      </c>
      <c r="C153" s="2136">
        <f>B153-0.301</f>
        <v/>
      </c>
    </row>
    <row r="154" ht="30.55" customHeight="1" s="1158">
      <c r="A154" s="2134" t="inlineStr">
        <is>
          <t>JT. # 150</t>
        </is>
      </c>
      <c r="B154" s="2139" t="n">
        <v>29.31</v>
      </c>
      <c r="C154" s="2136">
        <f>B154-0.301</f>
        <v/>
      </c>
    </row>
    <row r="155" ht="30.55" customHeight="1" s="1158">
      <c r="A155" s="2134" t="inlineStr">
        <is>
          <t>JT. # 151</t>
        </is>
      </c>
      <c r="B155" s="2141" t="n">
        <v>31.4</v>
      </c>
      <c r="C155" s="2136">
        <f>B155-0.301</f>
        <v/>
      </c>
    </row>
    <row r="156" ht="30.55" customHeight="1" s="1158">
      <c r="A156" s="2134" t="inlineStr">
        <is>
          <t>JT. # 152</t>
        </is>
      </c>
      <c r="B156" s="2139" t="n">
        <v>31.42</v>
      </c>
      <c r="C156" s="2136">
        <f>B156-0.301</f>
        <v/>
      </c>
    </row>
    <row r="157" ht="30.55" customHeight="1" s="1158">
      <c r="A157" s="2134" t="inlineStr">
        <is>
          <t>JT. # 153</t>
        </is>
      </c>
      <c r="B157" s="2139" t="n">
        <v>30.45</v>
      </c>
      <c r="C157" s="2136">
        <f>B157-0.301</f>
        <v/>
      </c>
    </row>
    <row r="158" ht="30.55" customHeight="1" s="1158">
      <c r="A158" s="2134" t="inlineStr">
        <is>
          <t>JT. # 154</t>
        </is>
      </c>
      <c r="B158" s="2139" t="n">
        <v>30.36</v>
      </c>
      <c r="C158" s="2136">
        <f>B158-0.301</f>
        <v/>
      </c>
    </row>
    <row r="159" ht="30.55" customHeight="1" s="1158">
      <c r="A159" s="2134" t="inlineStr">
        <is>
          <t>JT. # 155</t>
        </is>
      </c>
      <c r="B159" s="2139" t="n">
        <v>30.92</v>
      </c>
      <c r="C159" s="2136">
        <f>B159-0.301</f>
        <v/>
      </c>
    </row>
    <row r="160" ht="30.55" customHeight="1" s="1158">
      <c r="A160" s="2134" t="inlineStr">
        <is>
          <t>JT. # 156</t>
        </is>
      </c>
      <c r="B160" s="2139" t="n">
        <v>31.4</v>
      </c>
      <c r="C160" s="2136">
        <f>B160-0.301</f>
        <v/>
      </c>
    </row>
    <row r="161" ht="30.55" customHeight="1" s="1158">
      <c r="A161" s="2134" t="inlineStr">
        <is>
          <t>JT. # 157</t>
        </is>
      </c>
      <c r="B161" s="2139" t="n">
        <v>29.34</v>
      </c>
      <c r="C161" s="2136">
        <f>B161-0.301</f>
        <v/>
      </c>
    </row>
    <row r="162" ht="30.55" customHeight="1" s="1158">
      <c r="A162" s="2134" t="inlineStr">
        <is>
          <t>JT. # 158</t>
        </is>
      </c>
      <c r="B162" s="2139" t="n">
        <v>30.74</v>
      </c>
      <c r="C162" s="2136">
        <f>B162-0.301</f>
        <v/>
      </c>
    </row>
    <row r="163" ht="30.55" customHeight="1" s="1158">
      <c r="A163" s="2134" t="inlineStr">
        <is>
          <t>JT. # 159</t>
        </is>
      </c>
      <c r="B163" s="2139" t="n">
        <v>31.61</v>
      </c>
      <c r="C163" s="2136">
        <f>B163-0.301</f>
        <v/>
      </c>
    </row>
    <row r="164" ht="30.55" customHeight="1" s="1158">
      <c r="A164" s="2134" t="inlineStr">
        <is>
          <t>JT. # 160</t>
        </is>
      </c>
      <c r="B164" s="2139" t="n">
        <v>30.9</v>
      </c>
      <c r="C164" s="2136">
        <f>B164-0.301</f>
        <v/>
      </c>
    </row>
    <row r="165" ht="30.55" customHeight="1" s="1158">
      <c r="A165" s="2134" t="inlineStr">
        <is>
          <t>JT. # 161</t>
        </is>
      </c>
      <c r="B165" s="2139" t="n">
        <v>30.79</v>
      </c>
      <c r="C165" s="2136">
        <f>B165-0.301</f>
        <v/>
      </c>
    </row>
    <row r="166" ht="30.55" customHeight="1" s="1158">
      <c r="A166" s="2134" t="inlineStr">
        <is>
          <t>JT. # 162</t>
        </is>
      </c>
      <c r="B166" s="2139" t="n">
        <v>31.45</v>
      </c>
      <c r="C166" s="2136">
        <f>B166-0.301</f>
        <v/>
      </c>
    </row>
    <row r="167" ht="30.55" customHeight="1" s="1158">
      <c r="A167" s="2134" t="inlineStr">
        <is>
          <t>JT. # 163</t>
        </is>
      </c>
      <c r="B167" s="2139" t="n">
        <v>29.28</v>
      </c>
      <c r="C167" s="2136">
        <f>B167-0.301</f>
        <v/>
      </c>
    </row>
    <row r="168" ht="30.55" customHeight="1" s="1158">
      <c r="A168" s="2134" t="inlineStr">
        <is>
          <t>JT. # 164</t>
        </is>
      </c>
      <c r="B168" s="2139" t="n">
        <v>29.64</v>
      </c>
      <c r="C168" s="2136">
        <f>B168-0.301</f>
        <v/>
      </c>
    </row>
    <row r="169" ht="30.55" customHeight="1" s="1158">
      <c r="A169" s="2134" t="inlineStr">
        <is>
          <t>JT. # 165</t>
        </is>
      </c>
      <c r="B169" s="2139" t="n">
        <v>30.33</v>
      </c>
      <c r="C169" s="2136">
        <f>B169-0.301</f>
        <v/>
      </c>
    </row>
    <row r="170" ht="30.55" customHeight="1" s="1158">
      <c r="A170" s="2134" t="inlineStr">
        <is>
          <t>JT. # 166</t>
        </is>
      </c>
      <c r="B170" s="2139" t="n">
        <v>30.43</v>
      </c>
      <c r="C170" s="2136">
        <f>B170-0.301</f>
        <v/>
      </c>
    </row>
    <row r="171" ht="30.55" customHeight="1" s="1158">
      <c r="A171" s="2134" t="inlineStr">
        <is>
          <t>JT. # 167</t>
        </is>
      </c>
      <c r="B171" s="2139" t="n">
        <v>30.51</v>
      </c>
      <c r="C171" s="2136">
        <f>B171-0.301</f>
        <v/>
      </c>
    </row>
    <row r="172" ht="30.55" customHeight="1" s="1158">
      <c r="A172" s="2134" t="inlineStr">
        <is>
          <t>JT. # 168</t>
        </is>
      </c>
      <c r="B172" s="2139" t="n">
        <v>31.43</v>
      </c>
      <c r="C172" s="2136">
        <f>B172-0.301</f>
        <v/>
      </c>
    </row>
    <row r="173" ht="30.55" customHeight="1" s="1158">
      <c r="A173" s="2134" t="inlineStr">
        <is>
          <t>JT. # 169</t>
        </is>
      </c>
      <c r="B173" s="2139" t="n">
        <v>31.27</v>
      </c>
      <c r="C173" s="2136">
        <f>B173-0.301</f>
        <v/>
      </c>
    </row>
    <row r="174" ht="30.55" customHeight="1" s="1158">
      <c r="A174" s="2134" t="inlineStr">
        <is>
          <t>JT. # 170</t>
        </is>
      </c>
      <c r="B174" s="2139" t="n">
        <v>30.66</v>
      </c>
      <c r="C174" s="2136">
        <f>B174-0.301</f>
        <v/>
      </c>
    </row>
    <row r="175" ht="30.55" customHeight="1" s="1158">
      <c r="A175" s="2134" t="inlineStr">
        <is>
          <t>JT. # 171</t>
        </is>
      </c>
      <c r="B175" s="2139" t="n">
        <v>31.82</v>
      </c>
      <c r="C175" s="2136">
        <f>B175-0.301</f>
        <v/>
      </c>
    </row>
    <row r="176" ht="30.55" customHeight="1" s="1158">
      <c r="A176" s="2134" t="inlineStr">
        <is>
          <t>JT. # 172</t>
        </is>
      </c>
      <c r="B176" s="2139" t="n">
        <v>31.62</v>
      </c>
      <c r="C176" s="2136">
        <f>B176-0.301</f>
        <v/>
      </c>
    </row>
    <row r="177" ht="30.55" customHeight="1" s="1158">
      <c r="A177" s="2134" t="inlineStr">
        <is>
          <t>JT. # 173</t>
        </is>
      </c>
      <c r="B177" s="2139" t="n">
        <v>31.85</v>
      </c>
      <c r="C177" s="2136">
        <f>B177-0.301</f>
        <v/>
      </c>
    </row>
    <row r="178" ht="30.55" customHeight="1" s="1158">
      <c r="A178" s="2134" t="inlineStr">
        <is>
          <t>JT. # 174</t>
        </is>
      </c>
      <c r="B178" s="2139" t="n">
        <v>31.37</v>
      </c>
      <c r="C178" s="2136">
        <f>B178-0.301</f>
        <v/>
      </c>
    </row>
    <row r="179" ht="30.55" customHeight="1" s="1158">
      <c r="A179" s="2134" t="inlineStr">
        <is>
          <t>JT. # 175</t>
        </is>
      </c>
      <c r="B179" s="2139" t="n">
        <v>31.64</v>
      </c>
      <c r="C179" s="2136">
        <f>B179-0.301</f>
        <v/>
      </c>
    </row>
    <row r="180" ht="30.55" customHeight="1" s="1158">
      <c r="A180" s="2134" t="inlineStr">
        <is>
          <t>JT. # 176</t>
        </is>
      </c>
      <c r="B180" s="2139" t="n">
        <v>31.58</v>
      </c>
      <c r="C180" s="2136">
        <f>B180-0.301</f>
        <v/>
      </c>
    </row>
    <row r="181" ht="30.55" customHeight="1" s="1158">
      <c r="A181" s="2134" t="inlineStr">
        <is>
          <t>JT. # 177</t>
        </is>
      </c>
      <c r="B181" s="2139" t="n">
        <v>30.88</v>
      </c>
      <c r="C181" s="2136">
        <f>B181-0.301</f>
        <v/>
      </c>
    </row>
    <row r="182" ht="30.55" customHeight="1" s="1158">
      <c r="A182" s="2134" t="inlineStr">
        <is>
          <t>JT. # 178</t>
        </is>
      </c>
      <c r="B182" s="2139" t="n">
        <v>31.38</v>
      </c>
      <c r="C182" s="2136">
        <f>B182-0.301</f>
        <v/>
      </c>
    </row>
    <row r="183" ht="30.55" customHeight="1" s="1158">
      <c r="A183" s="2134" t="inlineStr">
        <is>
          <t>JT. # 179</t>
        </is>
      </c>
      <c r="B183" s="2139" t="n">
        <v>30.99</v>
      </c>
      <c r="C183" s="2136">
        <f>B183-0.301</f>
        <v/>
      </c>
    </row>
    <row r="184" ht="30.55" customHeight="1" s="1158">
      <c r="A184" s="2134" t="inlineStr">
        <is>
          <t>JT. # 180</t>
        </is>
      </c>
      <c r="B184" s="2139" t="n">
        <v>31.27</v>
      </c>
      <c r="C184" s="2136">
        <f>B184-0.301</f>
        <v/>
      </c>
    </row>
    <row r="185" ht="30.55" customHeight="1" s="1158">
      <c r="A185" s="2134" t="inlineStr">
        <is>
          <t>JT. # 181</t>
        </is>
      </c>
      <c r="B185" s="2139" t="n">
        <v>30.35</v>
      </c>
      <c r="C185" s="2136">
        <f>B185-0.301</f>
        <v/>
      </c>
    </row>
    <row r="186" ht="30.55" customHeight="1" s="1158">
      <c r="A186" s="2134" t="inlineStr">
        <is>
          <t>JT. # 182</t>
        </is>
      </c>
      <c r="B186" s="2139" t="n">
        <v>30.18</v>
      </c>
      <c r="C186" s="2136">
        <f>B186-0.301</f>
        <v/>
      </c>
    </row>
    <row r="187" ht="30.55" customHeight="1" s="1158">
      <c r="A187" s="2134" t="inlineStr">
        <is>
          <t>JT. # 183</t>
        </is>
      </c>
      <c r="B187" s="2139" t="n">
        <v>31.4</v>
      </c>
      <c r="C187" s="2136">
        <f>B187-0.301</f>
        <v/>
      </c>
    </row>
    <row r="188" ht="30.55" customHeight="1" s="1158">
      <c r="A188" s="2134" t="inlineStr">
        <is>
          <t>JT. # 184</t>
        </is>
      </c>
      <c r="B188" s="2139" t="n">
        <v>31.87</v>
      </c>
      <c r="C188" s="2136">
        <f>B188-0.301</f>
        <v/>
      </c>
    </row>
    <row r="189" ht="30.55" customHeight="1" s="1158">
      <c r="A189" s="2134" t="inlineStr">
        <is>
          <t>JT. # 185</t>
        </is>
      </c>
      <c r="B189" s="2139" t="n">
        <v>31.75</v>
      </c>
      <c r="C189" s="2136">
        <f>B189-0.301</f>
        <v/>
      </c>
    </row>
    <row r="190" ht="30.55" customHeight="1" s="1158">
      <c r="A190" s="2134" t="inlineStr">
        <is>
          <t>JT. # 186</t>
        </is>
      </c>
      <c r="B190" s="2139" t="n">
        <v>31.42</v>
      </c>
      <c r="C190" s="2136">
        <f>B190-0.301</f>
        <v/>
      </c>
    </row>
    <row r="191" ht="30.55" customHeight="1" s="1158">
      <c r="A191" s="2134" t="inlineStr">
        <is>
          <t>JT. # 187</t>
        </is>
      </c>
      <c r="B191" s="2139" t="n">
        <v>31.67</v>
      </c>
      <c r="C191" s="2136">
        <f>B191-0.301</f>
        <v/>
      </c>
    </row>
    <row r="192" ht="30.55" customHeight="1" s="1158">
      <c r="A192" s="2134" t="inlineStr">
        <is>
          <t>JT. # 188</t>
        </is>
      </c>
      <c r="B192" s="2139" t="n">
        <v>31.65</v>
      </c>
      <c r="C192" s="2136">
        <f>B192-0.301</f>
        <v/>
      </c>
    </row>
    <row r="193" ht="30.55" customHeight="1" s="1158">
      <c r="A193" s="2134" t="inlineStr">
        <is>
          <t>JT. # 189</t>
        </is>
      </c>
      <c r="B193" s="2139" t="n">
        <v>31.36</v>
      </c>
      <c r="C193" s="2136">
        <f>B193-0.301</f>
        <v/>
      </c>
    </row>
    <row r="194" ht="30.55" customHeight="1" s="1158">
      <c r="A194" s="2134" t="inlineStr">
        <is>
          <t>JT. # 190</t>
        </is>
      </c>
      <c r="B194" s="2139" t="n">
        <v>31.84</v>
      </c>
      <c r="C194" s="2136">
        <f>B194-0.301</f>
        <v/>
      </c>
    </row>
    <row r="195" ht="30.55" customHeight="1" s="1158">
      <c r="A195" s="2134" t="inlineStr">
        <is>
          <t>JT. # 191</t>
        </is>
      </c>
      <c r="B195" s="2139" t="n">
        <v>31.36</v>
      </c>
      <c r="C195" s="2136">
        <f>B195-0.301</f>
        <v/>
      </c>
    </row>
    <row r="196" ht="30.55" customHeight="1" s="1158">
      <c r="A196" s="2134" t="inlineStr">
        <is>
          <t>JT. # 192</t>
        </is>
      </c>
      <c r="B196" s="2139" t="n">
        <v>31.6</v>
      </c>
      <c r="C196" s="2136">
        <f>B196-0.301</f>
        <v/>
      </c>
    </row>
    <row r="197" ht="30.55" customHeight="1" s="1158">
      <c r="A197" s="2134" t="inlineStr">
        <is>
          <t>JT. # 193</t>
        </is>
      </c>
      <c r="B197" s="2139" t="n">
        <v>31.56</v>
      </c>
      <c r="C197" s="2136">
        <f>B197-0.301</f>
        <v/>
      </c>
    </row>
    <row r="198" ht="30.55" customHeight="1" s="1158">
      <c r="A198" s="2134" t="inlineStr">
        <is>
          <t>JT. # 194</t>
        </is>
      </c>
      <c r="B198" s="2139" t="n">
        <v>31.51</v>
      </c>
      <c r="C198" s="2136">
        <f>B198-0.301</f>
        <v/>
      </c>
    </row>
    <row r="199" ht="30.55" customHeight="1" s="1158">
      <c r="A199" s="2134" t="inlineStr">
        <is>
          <t>JT. # 195</t>
        </is>
      </c>
      <c r="B199" s="2139" t="n">
        <v>31.43</v>
      </c>
      <c r="C199" s="2136">
        <f>B199-0.301</f>
        <v/>
      </c>
    </row>
    <row r="200" ht="30.55" customHeight="1" s="1158">
      <c r="A200" s="2134" t="inlineStr">
        <is>
          <t>JT. # 196</t>
        </is>
      </c>
      <c r="B200" s="2139" t="n">
        <v>31.64</v>
      </c>
      <c r="C200" s="2136">
        <f>B200-0.301</f>
        <v/>
      </c>
    </row>
    <row r="201" ht="30.55" customHeight="1" s="1158">
      <c r="A201" s="2134" t="inlineStr">
        <is>
          <t>JT. # 197</t>
        </is>
      </c>
      <c r="B201" s="2139" t="n">
        <v>31.8</v>
      </c>
      <c r="C201" s="2136">
        <f>B201-0.301</f>
        <v/>
      </c>
    </row>
    <row r="202" ht="30.55" customHeight="1" s="1158">
      <c r="A202" s="2134" t="inlineStr">
        <is>
          <t>JT. # 198</t>
        </is>
      </c>
      <c r="B202" s="2139" t="n">
        <v>31.94</v>
      </c>
      <c r="C202" s="2136">
        <f>B202-0.301</f>
        <v/>
      </c>
    </row>
    <row r="203" ht="30.55" customHeight="1" s="1158">
      <c r="A203" s="2134" t="inlineStr">
        <is>
          <t>JT. # 199</t>
        </is>
      </c>
      <c r="B203" s="2139" t="n">
        <v>30.81</v>
      </c>
      <c r="C203" s="2136">
        <f>B203-0.301</f>
        <v/>
      </c>
    </row>
    <row r="204" ht="30.55" customHeight="1" s="1158">
      <c r="A204" s="2134" t="inlineStr">
        <is>
          <t>JT. # 200</t>
        </is>
      </c>
      <c r="B204" s="2139" t="n">
        <v>31.27</v>
      </c>
      <c r="C204" s="2136">
        <f>B204-0.301</f>
        <v/>
      </c>
    </row>
    <row r="205" ht="30.55" customHeight="1" s="1158">
      <c r="A205" s="2134" t="inlineStr">
        <is>
          <t>JT. # 201</t>
        </is>
      </c>
      <c r="B205" s="2142" t="n">
        <v>31.01</v>
      </c>
      <c r="C205" s="2136">
        <f>B205-0.301</f>
        <v/>
      </c>
    </row>
    <row r="206" ht="30.55" customHeight="1" s="1158">
      <c r="A206" s="2134" t="inlineStr">
        <is>
          <t>JT. # 202</t>
        </is>
      </c>
      <c r="B206" s="2142" t="n">
        <v>31.38</v>
      </c>
      <c r="C206" s="2136">
        <f>B206-0.301</f>
        <v/>
      </c>
    </row>
    <row r="207" ht="30.55" customHeight="1" s="1158">
      <c r="A207" s="2134" t="inlineStr">
        <is>
          <t>JT. # 203</t>
        </is>
      </c>
      <c r="B207" s="2142" t="n">
        <v>31.9</v>
      </c>
      <c r="C207" s="2136">
        <f>B207-0.301</f>
        <v/>
      </c>
    </row>
    <row r="208" ht="30.55" customHeight="1" s="1158">
      <c r="A208" s="2134" t="inlineStr">
        <is>
          <t>JT. # 204</t>
        </is>
      </c>
      <c r="B208" s="2142" t="n">
        <v>31.58</v>
      </c>
      <c r="C208" s="2136">
        <f>B208-0.301</f>
        <v/>
      </c>
    </row>
    <row r="209" ht="30.55" customHeight="1" s="1158">
      <c r="A209" s="2134" t="inlineStr">
        <is>
          <t>JT. # 205</t>
        </is>
      </c>
      <c r="B209" s="2142" t="n">
        <v>31.21</v>
      </c>
      <c r="C209" s="2136">
        <f>B209-0.301</f>
        <v/>
      </c>
    </row>
    <row r="210" ht="30.55" customHeight="1" s="1158">
      <c r="A210" s="2134" t="inlineStr">
        <is>
          <t>JT. # 206</t>
        </is>
      </c>
      <c r="B210" s="2142" t="n">
        <v>31.15</v>
      </c>
      <c r="C210" s="2136">
        <f>B210-0.301</f>
        <v/>
      </c>
    </row>
    <row r="211" ht="30.55" customHeight="1" s="1158">
      <c r="A211" s="2134" t="inlineStr">
        <is>
          <t>JT. # 207</t>
        </is>
      </c>
      <c r="B211" s="2142" t="n">
        <v>31.62</v>
      </c>
      <c r="C211" s="2136">
        <f>B211-0.301</f>
        <v/>
      </c>
    </row>
    <row r="212" ht="30.55" customHeight="1" s="1158">
      <c r="A212" s="2134" t="inlineStr">
        <is>
          <t>JT. # 208</t>
        </is>
      </c>
      <c r="B212" s="2139" t="n">
        <v>31.53</v>
      </c>
      <c r="C212" s="2136">
        <f>B212-0.301</f>
        <v/>
      </c>
    </row>
    <row r="213" ht="30.55" customHeight="1" s="1158">
      <c r="A213" s="2134" t="inlineStr">
        <is>
          <t>JT. # 209</t>
        </is>
      </c>
      <c r="B213" s="2139" t="n">
        <v>31.67</v>
      </c>
      <c r="C213" s="2136">
        <f>B213-0.301</f>
        <v/>
      </c>
    </row>
    <row r="214" ht="30.55" customHeight="1" s="1158">
      <c r="A214" s="2134" t="inlineStr">
        <is>
          <t>JT. # 210</t>
        </is>
      </c>
      <c r="B214" s="2139" t="n">
        <v>31.78</v>
      </c>
      <c r="C214" s="2136">
        <f>B214-0.301</f>
        <v/>
      </c>
    </row>
    <row r="215" ht="30.55" customHeight="1" s="1158">
      <c r="A215" s="2134" t="inlineStr">
        <is>
          <t>JT. # 211</t>
        </is>
      </c>
      <c r="B215" s="2139" t="n">
        <v>31.95</v>
      </c>
      <c r="C215" s="2136">
        <f>B215-0.301</f>
        <v/>
      </c>
    </row>
    <row r="216" ht="30.55" customHeight="1" s="1158">
      <c r="A216" s="2134" t="inlineStr">
        <is>
          <t>JT. # 212</t>
        </is>
      </c>
      <c r="B216" s="2139" t="n">
        <v>31.4</v>
      </c>
      <c r="C216" s="2136">
        <f>B216-0.301</f>
        <v/>
      </c>
    </row>
    <row r="217" ht="30.55" customHeight="1" s="1158">
      <c r="A217" s="2134" t="inlineStr">
        <is>
          <t>JT. # 213</t>
        </is>
      </c>
      <c r="B217" s="2139" t="n">
        <v>31.43</v>
      </c>
      <c r="C217" s="2136">
        <f>B217-0.301</f>
        <v/>
      </c>
    </row>
    <row r="218" ht="30.55" customHeight="1" s="1158">
      <c r="A218" s="2134" t="inlineStr">
        <is>
          <t>JT. # 214</t>
        </is>
      </c>
      <c r="B218" s="2139" t="n">
        <v>31.4</v>
      </c>
      <c r="C218" s="2136">
        <f>B218-0.301</f>
        <v/>
      </c>
    </row>
    <row r="219" ht="30.55" customHeight="1" s="1158">
      <c r="A219" s="2134" t="inlineStr">
        <is>
          <t>JT. # 215</t>
        </is>
      </c>
      <c r="B219" s="2139" t="n">
        <v>31.07</v>
      </c>
      <c r="C219" s="2136">
        <f>B219-0.301</f>
        <v/>
      </c>
    </row>
    <row r="220" ht="30.55" customHeight="1" s="1158">
      <c r="A220" s="2134" t="inlineStr">
        <is>
          <t>JT. # 216</t>
        </is>
      </c>
      <c r="B220" s="2139" t="n">
        <v>31.41</v>
      </c>
      <c r="C220" s="2136">
        <f>B220-0.301</f>
        <v/>
      </c>
    </row>
    <row r="221" ht="30.55" customHeight="1" s="1158">
      <c r="A221" s="2134" t="inlineStr">
        <is>
          <t>JT. # 217</t>
        </is>
      </c>
      <c r="B221" s="2139" t="n">
        <v>31.17</v>
      </c>
      <c r="C221" s="2136">
        <f>B221-0.301</f>
        <v/>
      </c>
    </row>
    <row r="222" ht="30.55" customHeight="1" s="1158">
      <c r="A222" s="2134" t="inlineStr">
        <is>
          <t>JT. # 218</t>
        </is>
      </c>
      <c r="B222" s="2139" t="n">
        <v>31.33</v>
      </c>
      <c r="C222" s="2136">
        <f>B222-0.301</f>
        <v/>
      </c>
    </row>
    <row r="223" ht="30.55" customHeight="1" s="1158">
      <c r="A223" s="2134" t="inlineStr">
        <is>
          <t>JT. # 219</t>
        </is>
      </c>
      <c r="B223" s="2139" t="n">
        <v>31.94</v>
      </c>
      <c r="C223" s="2136">
        <f>B223-0.301</f>
        <v/>
      </c>
    </row>
    <row r="224" ht="30.55" customHeight="1" s="1158">
      <c r="A224" s="2134" t="inlineStr">
        <is>
          <t>JT. # 220</t>
        </is>
      </c>
      <c r="B224" s="2139" t="n">
        <v>31.95</v>
      </c>
      <c r="C224" s="2136">
        <f>B224-0.301</f>
        <v/>
      </c>
    </row>
    <row r="225" ht="30.55" customHeight="1" s="1158">
      <c r="A225" s="2134" t="inlineStr">
        <is>
          <t>JT. # 221</t>
        </is>
      </c>
      <c r="B225" s="2139" t="n">
        <v>31.41</v>
      </c>
      <c r="C225" s="2136">
        <f>B225-0.301</f>
        <v/>
      </c>
    </row>
    <row r="226" ht="30.55" customHeight="1" s="1158">
      <c r="A226" s="2134" t="inlineStr">
        <is>
          <t>JT. # 222</t>
        </is>
      </c>
      <c r="B226" s="2139" t="n">
        <v>31.5</v>
      </c>
      <c r="C226" s="2136">
        <f>B226-0.301</f>
        <v/>
      </c>
    </row>
    <row r="227" ht="30.55" customHeight="1" s="1158">
      <c r="A227" s="2134" t="inlineStr">
        <is>
          <t>JT. # 223</t>
        </is>
      </c>
      <c r="B227" s="2139" t="n">
        <v>31.38</v>
      </c>
      <c r="C227" s="2136">
        <f>B227-0.301</f>
        <v/>
      </c>
    </row>
    <row r="228" ht="30.55" customHeight="1" s="1158">
      <c r="A228" s="2134" t="inlineStr">
        <is>
          <t>JT. # 224</t>
        </is>
      </c>
      <c r="B228" s="2139" t="n">
        <v>29.46</v>
      </c>
      <c r="C228" s="2136">
        <f>B228-0.301</f>
        <v/>
      </c>
    </row>
    <row r="229" ht="30.55" customHeight="1" s="1158">
      <c r="A229" s="2134" t="inlineStr">
        <is>
          <t>JT. # 225</t>
        </is>
      </c>
      <c r="B229" s="2139" t="n">
        <v>31.17</v>
      </c>
      <c r="C229" s="2136">
        <f>B229-0.301</f>
        <v/>
      </c>
    </row>
    <row r="230" ht="30.55" customHeight="1" s="1158">
      <c r="A230" s="2134" t="inlineStr">
        <is>
          <t>JT. # 226</t>
        </is>
      </c>
      <c r="B230" s="2139" t="n">
        <v>30.52</v>
      </c>
      <c r="C230" s="2136">
        <f>B230-0.301</f>
        <v/>
      </c>
    </row>
    <row r="231" ht="30.55" customHeight="1" s="1158">
      <c r="A231" s="2134" t="inlineStr">
        <is>
          <t>JT. # 227</t>
        </is>
      </c>
      <c r="B231" s="2139" t="n">
        <v>31.6</v>
      </c>
      <c r="C231" s="2136">
        <f>B231-0.301</f>
        <v/>
      </c>
    </row>
    <row r="232" ht="30.55" customHeight="1" s="1158">
      <c r="A232" s="2134" t="inlineStr">
        <is>
          <t>JT. # 228</t>
        </is>
      </c>
      <c r="B232" s="2139" t="n">
        <v>31.21</v>
      </c>
      <c r="C232" s="2136">
        <f>B232-0.301</f>
        <v/>
      </c>
    </row>
    <row r="233" ht="30.55" customHeight="1" s="1158">
      <c r="A233" s="2134" t="inlineStr">
        <is>
          <t>JT. # 229</t>
        </is>
      </c>
      <c r="B233" s="2139" t="n">
        <v>31.96</v>
      </c>
      <c r="C233" s="2136">
        <f>B233-0.301</f>
        <v/>
      </c>
    </row>
    <row r="234" ht="30.55" customHeight="1" s="1158">
      <c r="A234" s="2134" t="inlineStr">
        <is>
          <t>JT. # 230</t>
        </is>
      </c>
      <c r="B234" s="2139" t="n">
        <v>31.92</v>
      </c>
      <c r="C234" s="2136">
        <f>B234-0.301</f>
        <v/>
      </c>
    </row>
    <row r="235" ht="30.55" customHeight="1" s="1158">
      <c r="A235" s="2134" t="inlineStr">
        <is>
          <t>JT. # 231</t>
        </is>
      </c>
      <c r="B235" s="2139" t="n">
        <v>31.63</v>
      </c>
      <c r="C235" s="2136">
        <f>B235-0.301</f>
        <v/>
      </c>
    </row>
    <row r="236" ht="30.55" customHeight="1" s="1158">
      <c r="A236" s="2134" t="inlineStr">
        <is>
          <t>JT. # 232</t>
        </is>
      </c>
      <c r="B236" s="2139" t="n">
        <v>31.68</v>
      </c>
      <c r="C236" s="2136">
        <f>B236-0.301</f>
        <v/>
      </c>
    </row>
    <row r="237" ht="30.55" customHeight="1" s="1158">
      <c r="A237" s="2134" t="inlineStr">
        <is>
          <t>JT. # 233</t>
        </is>
      </c>
      <c r="B237" s="2139" t="n">
        <v>29.37</v>
      </c>
      <c r="C237" s="2136">
        <f>B237-0.301</f>
        <v/>
      </c>
    </row>
    <row r="238" ht="30.55" customHeight="1" s="1158">
      <c r="A238" s="2134" t="inlineStr">
        <is>
          <t>JT. # 234</t>
        </is>
      </c>
      <c r="B238" s="2139" t="n">
        <v>29.38</v>
      </c>
      <c r="C238" s="2136">
        <f>B238-0.301</f>
        <v/>
      </c>
    </row>
    <row r="239" ht="30.55" customHeight="1" s="1158">
      <c r="A239" s="2134" t="inlineStr">
        <is>
          <t>JT. # 235</t>
        </is>
      </c>
      <c r="B239" s="2139" t="n">
        <v>30.92</v>
      </c>
      <c r="C239" s="2136">
        <f>B239-0.301</f>
        <v/>
      </c>
    </row>
    <row r="240" ht="30.55" customHeight="1" s="1158">
      <c r="A240" s="2134" t="inlineStr">
        <is>
          <t>JT. # 236</t>
        </is>
      </c>
      <c r="B240" s="2139" t="n">
        <v>31.49</v>
      </c>
      <c r="C240" s="2136">
        <f>B240-0.301</f>
        <v/>
      </c>
    </row>
    <row r="241" ht="30.55" customHeight="1" s="1158">
      <c r="A241" s="2134" t="inlineStr">
        <is>
          <t>JT. # 237</t>
        </is>
      </c>
      <c r="B241" s="2139" t="n">
        <v>30.57</v>
      </c>
      <c r="C241" s="2136">
        <f>B241-0.301</f>
        <v/>
      </c>
    </row>
    <row r="242" ht="30.55" customHeight="1" s="1158">
      <c r="A242" s="2134" t="inlineStr">
        <is>
          <t>JT. # 238</t>
        </is>
      </c>
      <c r="B242" s="2139" t="n">
        <v>31.61</v>
      </c>
      <c r="C242" s="2136">
        <f>B242-0.301</f>
        <v/>
      </c>
    </row>
    <row r="243" ht="30.55" customHeight="1" s="1158">
      <c r="A243" s="2134" t="inlineStr">
        <is>
          <t>JT. # 239</t>
        </is>
      </c>
      <c r="B243" s="2139" t="n">
        <v>31.22</v>
      </c>
      <c r="C243" s="2136">
        <f>B243-0.301</f>
        <v/>
      </c>
    </row>
    <row r="244" ht="30.55" customHeight="1" s="1158">
      <c r="A244" s="2134" t="inlineStr">
        <is>
          <t>JT. # 240</t>
        </is>
      </c>
      <c r="B244" s="2139" t="n">
        <v>31.32</v>
      </c>
      <c r="C244" s="2136">
        <f>B244-0.301</f>
        <v/>
      </c>
    </row>
    <row r="245" ht="30.55" customHeight="1" s="1158">
      <c r="A245" s="2134" t="inlineStr">
        <is>
          <t>JT. # 241</t>
        </is>
      </c>
      <c r="B245" s="2139" t="n">
        <v>31.31</v>
      </c>
      <c r="C245" s="2136">
        <f>B245-0.301</f>
        <v/>
      </c>
    </row>
    <row r="246" ht="30.55" customHeight="1" s="1158">
      <c r="A246" s="2134" t="inlineStr">
        <is>
          <t>JT. # 242</t>
        </is>
      </c>
      <c r="B246" s="2139" t="n">
        <v>31.06</v>
      </c>
      <c r="C246" s="2136">
        <f>B246-0.301</f>
        <v/>
      </c>
    </row>
    <row r="247" ht="30.55" customHeight="1" s="1158">
      <c r="A247" s="2134" t="inlineStr">
        <is>
          <t>JT. # 243</t>
        </is>
      </c>
      <c r="B247" s="2139" t="n">
        <v>31.23</v>
      </c>
      <c r="C247" s="2136">
        <f>B247-0.301</f>
        <v/>
      </c>
    </row>
    <row r="248" ht="30.55" customHeight="1" s="1158">
      <c r="A248" s="2134" t="inlineStr">
        <is>
          <t>JT. # 244</t>
        </is>
      </c>
      <c r="B248" s="2139" t="n">
        <v>31.2</v>
      </c>
      <c r="C248" s="2136">
        <f>B248-0.301</f>
        <v/>
      </c>
    </row>
    <row r="249" ht="30.55" customHeight="1" s="1158">
      <c r="A249" s="2134" t="inlineStr">
        <is>
          <t>JT. # 245</t>
        </is>
      </c>
      <c r="B249" s="2139" t="n">
        <v>31.22</v>
      </c>
      <c r="C249" s="2136">
        <f>B249-0.301</f>
        <v/>
      </c>
    </row>
    <row r="250" ht="30.55" customHeight="1" s="1158">
      <c r="A250" s="2134" t="inlineStr">
        <is>
          <t>JT. # 246</t>
        </is>
      </c>
      <c r="B250" s="2139" t="n">
        <v>31.18</v>
      </c>
      <c r="C250" s="2136">
        <f>B250-0.301</f>
        <v/>
      </c>
    </row>
    <row r="251" ht="30.55" customHeight="1" s="1158">
      <c r="A251" s="2134" t="inlineStr">
        <is>
          <t>JT. # 247</t>
        </is>
      </c>
      <c r="B251" s="2139" t="n">
        <v>29.18</v>
      </c>
      <c r="C251" s="2136">
        <f>B251-0.301</f>
        <v/>
      </c>
    </row>
    <row r="252" ht="30.55" customHeight="1" s="1158">
      <c r="A252" s="2134" t="inlineStr">
        <is>
          <t>JT. # 248</t>
        </is>
      </c>
      <c r="B252" s="2139" t="n">
        <v>31.46</v>
      </c>
      <c r="C252" s="2136">
        <f>B252-0.301</f>
        <v/>
      </c>
    </row>
    <row r="253" ht="30.55" customHeight="1" s="1158">
      <c r="A253" s="2134" t="inlineStr">
        <is>
          <t>JT. # 249</t>
        </is>
      </c>
      <c r="B253" s="2139" t="n">
        <v>31.45</v>
      </c>
      <c r="C253" s="2136">
        <f>B253-0.301</f>
        <v/>
      </c>
    </row>
    <row r="254" ht="30.55" customHeight="1" s="1158">
      <c r="A254" s="2134" t="inlineStr">
        <is>
          <t>JT. # 250</t>
        </is>
      </c>
      <c r="B254" s="2139" t="n">
        <v>31.21</v>
      </c>
      <c r="C254" s="2136">
        <f>B254-0.301</f>
        <v/>
      </c>
    </row>
    <row r="255" ht="30.55" customHeight="1" s="1158">
      <c r="A255" s="2134" t="inlineStr">
        <is>
          <t>JT. # 251</t>
        </is>
      </c>
      <c r="B255" s="2141" t="n">
        <v>31.46</v>
      </c>
      <c r="C255" s="2136">
        <f>B255-0.301</f>
        <v/>
      </c>
    </row>
    <row r="256" ht="30.55" customHeight="1" s="1158">
      <c r="A256" s="2134" t="inlineStr">
        <is>
          <t>JT. # 252</t>
        </is>
      </c>
      <c r="B256" s="2139" t="n">
        <v>31.26</v>
      </c>
      <c r="C256" s="2136">
        <f>B256-0.301</f>
        <v/>
      </c>
    </row>
    <row r="257" ht="30.55" customHeight="1" s="1158">
      <c r="A257" s="2134" t="inlineStr">
        <is>
          <t>JT. # 253</t>
        </is>
      </c>
      <c r="B257" s="2139" t="n">
        <v>31.22</v>
      </c>
      <c r="C257" s="2136">
        <f>B257-0.301</f>
        <v/>
      </c>
    </row>
    <row r="258" ht="30.55" customHeight="1" s="1158">
      <c r="A258" s="2134" t="inlineStr">
        <is>
          <t>JT. # 254</t>
        </is>
      </c>
      <c r="B258" s="2139" t="n">
        <v>31.13</v>
      </c>
      <c r="C258" s="2136">
        <f>B258-0.301</f>
        <v/>
      </c>
    </row>
    <row r="259" ht="30.55" customHeight="1" s="1158">
      <c r="A259" s="2134" t="inlineStr">
        <is>
          <t>JT. # 255</t>
        </is>
      </c>
      <c r="B259" s="2139" t="n">
        <v>30.97</v>
      </c>
      <c r="C259" s="2136">
        <f>B259-0.301</f>
        <v/>
      </c>
    </row>
    <row r="260" ht="30.55" customHeight="1" s="1158">
      <c r="A260" s="2134" t="inlineStr">
        <is>
          <t>JT. # 256</t>
        </is>
      </c>
      <c r="B260" s="2139" t="n">
        <v>31.13</v>
      </c>
      <c r="C260" s="2136">
        <f>B260-0.301</f>
        <v/>
      </c>
    </row>
    <row r="261" ht="30.55" customHeight="1" s="1158">
      <c r="A261" s="2134" t="inlineStr">
        <is>
          <t>JT. # 257</t>
        </is>
      </c>
      <c r="B261" s="2139" t="n">
        <v>31.37</v>
      </c>
      <c r="C261" s="2136">
        <f>B261-0.301</f>
        <v/>
      </c>
    </row>
    <row r="262" ht="30.55" customHeight="1" s="1158">
      <c r="A262" s="2134" t="inlineStr">
        <is>
          <t>JT. # 258</t>
        </is>
      </c>
      <c r="B262" s="2139" t="n">
        <v>31.4</v>
      </c>
      <c r="C262" s="2136">
        <f>B262-0.301</f>
        <v/>
      </c>
    </row>
    <row r="263" ht="30.55" customHeight="1" s="1158">
      <c r="A263" s="2134" t="inlineStr">
        <is>
          <t>JT. # 259</t>
        </is>
      </c>
      <c r="B263" s="2139" t="n">
        <v>31.36</v>
      </c>
      <c r="C263" s="2136">
        <f>B263-0.301</f>
        <v/>
      </c>
    </row>
    <row r="264" ht="30.55" customHeight="1" s="1158">
      <c r="A264" s="2134" t="inlineStr">
        <is>
          <t>JT. # 260</t>
        </is>
      </c>
      <c r="B264" s="2139" t="n">
        <v>31.3</v>
      </c>
      <c r="C264" s="2136">
        <f>B264-0.301</f>
        <v/>
      </c>
    </row>
    <row r="265" ht="30.55" customHeight="1" s="1158">
      <c r="A265" s="2134" t="inlineStr">
        <is>
          <t>JT. # 261</t>
        </is>
      </c>
      <c r="B265" s="2139" t="n">
        <v>31.35</v>
      </c>
      <c r="C265" s="2136">
        <f>B265-0.301</f>
        <v/>
      </c>
    </row>
    <row r="266" ht="30.55" customHeight="1" s="1158">
      <c r="A266" s="2134" t="inlineStr">
        <is>
          <t>JT. # 262</t>
        </is>
      </c>
      <c r="B266" s="2139" t="n">
        <v>30.62</v>
      </c>
      <c r="C266" s="2136">
        <f>B266-0.301</f>
        <v/>
      </c>
    </row>
    <row r="267" ht="30.55" customHeight="1" s="1158">
      <c r="A267" s="2134" t="inlineStr">
        <is>
          <t>JT. # 263</t>
        </is>
      </c>
      <c r="B267" s="2139" t="n">
        <v>30.52</v>
      </c>
      <c r="C267" s="2136">
        <f>B267-0.301</f>
        <v/>
      </c>
    </row>
    <row r="268" ht="30.55" customHeight="1" s="1158">
      <c r="A268" s="2134" t="inlineStr">
        <is>
          <t>JT. # 264</t>
        </is>
      </c>
      <c r="B268" s="2139" t="n">
        <v>29.9</v>
      </c>
      <c r="C268" s="2136">
        <f>B268-0.301</f>
        <v/>
      </c>
    </row>
    <row r="269" ht="30.55" customHeight="1" s="1158">
      <c r="A269" s="2134" t="inlineStr">
        <is>
          <t>JT. # 265</t>
        </is>
      </c>
      <c r="B269" s="2139" t="n">
        <v>31.15</v>
      </c>
      <c r="C269" s="2136">
        <f>B269-0.301</f>
        <v/>
      </c>
    </row>
    <row r="270" ht="30.55" customHeight="1" s="1158">
      <c r="A270" s="2134" t="inlineStr">
        <is>
          <t>JT. # 266</t>
        </is>
      </c>
      <c r="B270" s="2139" t="n">
        <v>31.27</v>
      </c>
      <c r="C270" s="2136">
        <f>B270-0.301</f>
        <v/>
      </c>
    </row>
    <row r="271" ht="30.55" customHeight="1" s="1158">
      <c r="A271" s="2134" t="inlineStr">
        <is>
          <t>JT. # 267</t>
        </is>
      </c>
      <c r="B271" s="2139" t="n">
        <v>31.45</v>
      </c>
      <c r="C271" s="2136">
        <f>B271-0.301</f>
        <v/>
      </c>
    </row>
    <row r="272" ht="30.55" customHeight="1" s="1158">
      <c r="A272" s="2134" t="inlineStr">
        <is>
          <t>JT. # 268</t>
        </is>
      </c>
      <c r="B272" s="2139" t="n">
        <v>31.34</v>
      </c>
      <c r="C272" s="2136">
        <f>B272-0.301</f>
        <v/>
      </c>
    </row>
    <row r="273" ht="30.55" customHeight="1" s="1158">
      <c r="A273" s="2134" t="inlineStr">
        <is>
          <t>JT. # 269</t>
        </is>
      </c>
      <c r="B273" s="2139" t="n">
        <v>31.33</v>
      </c>
      <c r="C273" s="2136">
        <f>B273-0.301</f>
        <v/>
      </c>
    </row>
    <row r="274" ht="30.55" customHeight="1" s="1158">
      <c r="A274" s="2134" t="inlineStr">
        <is>
          <t>JT. # 270</t>
        </is>
      </c>
      <c r="B274" s="2139" t="n">
        <v>31.44</v>
      </c>
      <c r="C274" s="2136">
        <f>B274-0.301</f>
        <v/>
      </c>
    </row>
    <row r="275" ht="30.55" customHeight="1" s="1158">
      <c r="A275" s="2134" t="inlineStr">
        <is>
          <t>JT. # 271</t>
        </is>
      </c>
      <c r="B275" s="2139" t="n">
        <v>30.34</v>
      </c>
      <c r="C275" s="2136">
        <f>B275-0.301</f>
        <v/>
      </c>
    </row>
    <row r="276" ht="30.55" customHeight="1" s="1158">
      <c r="A276" s="2134" t="inlineStr">
        <is>
          <t>JT. # 272</t>
        </is>
      </c>
      <c r="B276" s="2139" t="n">
        <v>30.77</v>
      </c>
      <c r="C276" s="2136">
        <f>B276-0.301</f>
        <v/>
      </c>
    </row>
    <row r="277" ht="30.55" customHeight="1" s="1158">
      <c r="A277" s="2134" t="inlineStr">
        <is>
          <t>JT. # 273</t>
        </is>
      </c>
      <c r="B277" s="2139" t="n">
        <v>31.02</v>
      </c>
      <c r="C277" s="2136">
        <f>B277-0.301</f>
        <v/>
      </c>
    </row>
    <row r="278" ht="30.55" customHeight="1" s="1158">
      <c r="A278" s="2134" t="inlineStr">
        <is>
          <t>JT. # 274</t>
        </is>
      </c>
      <c r="B278" s="2139" t="n">
        <v>30.44</v>
      </c>
      <c r="C278" s="2136">
        <f>B278-0.301</f>
        <v/>
      </c>
    </row>
    <row r="279" ht="30.55" customHeight="1" s="1158">
      <c r="A279" s="2134" t="inlineStr">
        <is>
          <t>JT. # 275</t>
        </is>
      </c>
      <c r="B279" s="2139" t="n">
        <v>31.5</v>
      </c>
      <c r="C279" s="2136">
        <f>B279-0.301</f>
        <v/>
      </c>
    </row>
    <row r="280" ht="30.55" customHeight="1" s="1158">
      <c r="A280" s="2134" t="inlineStr">
        <is>
          <t>JT. # 276</t>
        </is>
      </c>
      <c r="B280" s="2139" t="n">
        <v>31.25</v>
      </c>
      <c r="C280" s="2136">
        <f>B280-0.301</f>
        <v/>
      </c>
    </row>
    <row r="281" ht="30.55" customHeight="1" s="1158">
      <c r="A281" s="2134" t="inlineStr">
        <is>
          <t>JT. # 277</t>
        </is>
      </c>
      <c r="B281" s="2139" t="n">
        <v>31.71</v>
      </c>
      <c r="C281" s="2136">
        <f>B281-0.301</f>
        <v/>
      </c>
    </row>
    <row r="282" ht="30.55" customHeight="1" s="1158">
      <c r="A282" s="2134" t="inlineStr">
        <is>
          <t>JT. # 278</t>
        </is>
      </c>
      <c r="B282" s="2139" t="n">
        <v>31.59</v>
      </c>
      <c r="C282" s="2136">
        <f>B282-0.301</f>
        <v/>
      </c>
    </row>
    <row r="283" ht="30.55" customHeight="1" s="1158">
      <c r="A283" s="2134" t="inlineStr">
        <is>
          <t>JT. # 279</t>
        </is>
      </c>
      <c r="B283" s="2139" t="n">
        <v>31.25</v>
      </c>
      <c r="C283" s="2136">
        <f>B283-0.301</f>
        <v/>
      </c>
    </row>
    <row r="284" ht="30.55" customHeight="1" s="1158">
      <c r="A284" s="2134" t="inlineStr">
        <is>
          <t>JT. # 280</t>
        </is>
      </c>
      <c r="B284" s="2139" t="n">
        <v>30.7</v>
      </c>
      <c r="C284" s="2136">
        <f>B284-0.301</f>
        <v/>
      </c>
    </row>
    <row r="285" ht="30.55" customHeight="1" s="1158">
      <c r="A285" s="2134" t="inlineStr">
        <is>
          <t>JT. # 281</t>
        </is>
      </c>
      <c r="B285" s="2139" t="n">
        <v>31.16</v>
      </c>
      <c r="C285" s="2136">
        <f>B285-0.301</f>
        <v/>
      </c>
    </row>
    <row r="286" ht="30.55" customHeight="1" s="1158">
      <c r="A286" s="2134" t="inlineStr">
        <is>
          <t>JT. # 282</t>
        </is>
      </c>
      <c r="B286" s="2139" t="n">
        <v>30.96</v>
      </c>
      <c r="C286" s="2136">
        <f>B286-0.301</f>
        <v/>
      </c>
    </row>
    <row r="287" ht="30.55" customHeight="1" s="1158">
      <c r="A287" s="2134" t="inlineStr">
        <is>
          <t>JT. # 283</t>
        </is>
      </c>
      <c r="B287" s="2139" t="n">
        <v>30.26</v>
      </c>
      <c r="C287" s="2136">
        <f>B287-0.301</f>
        <v/>
      </c>
    </row>
    <row r="288" ht="30.55" customHeight="1" s="1158">
      <c r="A288" s="2134" t="inlineStr">
        <is>
          <t>JT. # 284</t>
        </is>
      </c>
      <c r="B288" s="2139" t="n">
        <v>30.76</v>
      </c>
      <c r="C288" s="2136">
        <f>B288-0.301</f>
        <v/>
      </c>
    </row>
    <row r="289" ht="30.55" customHeight="1" s="1158">
      <c r="A289" s="2134" t="inlineStr">
        <is>
          <t>JT. # 285</t>
        </is>
      </c>
      <c r="B289" s="2139" t="n">
        <v>31.02</v>
      </c>
      <c r="C289" s="2136">
        <f>B289-0.301</f>
        <v/>
      </c>
    </row>
    <row r="290" ht="30.55" customHeight="1" s="1158">
      <c r="A290" s="2134" t="inlineStr">
        <is>
          <t>JT. # 286</t>
        </is>
      </c>
      <c r="B290" s="2139" t="n">
        <v>31.73</v>
      </c>
      <c r="C290" s="2136">
        <f>B290-0.301</f>
        <v/>
      </c>
    </row>
    <row r="291" ht="30.55" customHeight="1" s="1158">
      <c r="A291" s="2134" t="inlineStr">
        <is>
          <t>JT. # 287</t>
        </is>
      </c>
      <c r="B291" s="2139" t="n">
        <v>31.39</v>
      </c>
      <c r="C291" s="2136">
        <f>B291-0.301</f>
        <v/>
      </c>
    </row>
    <row r="292" ht="30.55" customHeight="1" s="1158">
      <c r="A292" s="2134" t="inlineStr">
        <is>
          <t>JT. # 288</t>
        </is>
      </c>
      <c r="B292" s="2139" t="n">
        <v>31.45</v>
      </c>
      <c r="C292" s="2136">
        <f>B292-0.301</f>
        <v/>
      </c>
    </row>
    <row r="293" ht="30.55" customHeight="1" s="1158">
      <c r="A293" s="2134" t="inlineStr">
        <is>
          <t>JT. # 289</t>
        </is>
      </c>
      <c r="B293" s="2139" t="n">
        <v>31.6</v>
      </c>
      <c r="C293" s="2136">
        <f>B293-0.301</f>
        <v/>
      </c>
    </row>
    <row r="294" ht="30.55" customHeight="1" s="1158">
      <c r="A294" s="2134" t="inlineStr">
        <is>
          <t>JT. # 290</t>
        </is>
      </c>
      <c r="B294" s="2139" t="n">
        <v>30.49</v>
      </c>
      <c r="C294" s="2136">
        <f>B294-0.301</f>
        <v/>
      </c>
    </row>
    <row r="295" ht="30.55" customHeight="1" s="1158">
      <c r="A295" s="2134" t="inlineStr">
        <is>
          <t>JT. # 291</t>
        </is>
      </c>
      <c r="B295" s="2139" t="n">
        <v>31.71</v>
      </c>
      <c r="C295" s="2136">
        <f>B295-0.301</f>
        <v/>
      </c>
    </row>
    <row r="296" ht="30.55" customHeight="1" s="1158">
      <c r="A296" s="2134" t="inlineStr">
        <is>
          <t>JT. # 292</t>
        </is>
      </c>
      <c r="B296" s="2139" t="n">
        <v>31.38</v>
      </c>
      <c r="C296" s="2136">
        <f>B296-0.301</f>
        <v/>
      </c>
    </row>
    <row r="297" ht="30.55" customHeight="1" s="1158">
      <c r="A297" s="2134" t="inlineStr">
        <is>
          <t>JT. # 293</t>
        </is>
      </c>
      <c r="B297" s="2139" t="n">
        <v>31.01</v>
      </c>
      <c r="C297" s="2136">
        <f>B297-0.301</f>
        <v/>
      </c>
    </row>
    <row r="298" ht="30.55" customHeight="1" s="1158">
      <c r="A298" s="2134" t="inlineStr">
        <is>
          <t>JT. # 294</t>
        </is>
      </c>
      <c r="B298" s="2139" t="n">
        <v>30.49</v>
      </c>
      <c r="C298" s="2136">
        <f>B298-0.301</f>
        <v/>
      </c>
    </row>
    <row r="299" ht="30.55" customHeight="1" s="1158">
      <c r="A299" s="2134" t="inlineStr">
        <is>
          <t>JT. # 295</t>
        </is>
      </c>
      <c r="B299" s="2139" t="n">
        <v>30.38</v>
      </c>
      <c r="C299" s="2136">
        <f>B299-0.301</f>
        <v/>
      </c>
    </row>
    <row r="300" ht="30.55" customHeight="1" s="1158">
      <c r="A300" s="2134" t="inlineStr">
        <is>
          <t>JT. # 296</t>
        </is>
      </c>
      <c r="B300" s="2139" t="n">
        <v>31.19</v>
      </c>
      <c r="C300" s="2136">
        <f>B300-0.301</f>
        <v/>
      </c>
    </row>
    <row r="301" ht="30.55" customHeight="1" s="1158">
      <c r="A301" s="2134" t="inlineStr">
        <is>
          <t>JT. # 297</t>
        </is>
      </c>
      <c r="B301" s="2139" t="n">
        <v>31.71</v>
      </c>
      <c r="C301" s="2136">
        <f>B301-0.301</f>
        <v/>
      </c>
    </row>
    <row r="302" ht="30.55" customHeight="1" s="1158">
      <c r="A302" s="2134" t="inlineStr">
        <is>
          <t>JT. # 298</t>
        </is>
      </c>
      <c r="B302" s="2143" t="n">
        <v>31.82</v>
      </c>
      <c r="C302" s="2136">
        <f>B302-0.301</f>
        <v/>
      </c>
    </row>
    <row r="303" ht="30.55" customHeight="1" s="1158">
      <c r="A303" s="2134" t="inlineStr">
        <is>
          <t>JT. # 299</t>
        </is>
      </c>
      <c r="B303" s="2143" t="n">
        <v>31.09</v>
      </c>
      <c r="C303" s="2136">
        <f>B303-0.301</f>
        <v/>
      </c>
    </row>
    <row r="304" ht="30.55" customHeight="1" s="1158">
      <c r="A304" s="2134" t="inlineStr">
        <is>
          <t>JT. # 300</t>
        </is>
      </c>
      <c r="B304" s="2139" t="n">
        <v>31.52</v>
      </c>
      <c r="C304" s="2136">
        <f>B304-0.301</f>
        <v/>
      </c>
    </row>
    <row r="305" ht="30.55" customFormat="1" customHeight="1" s="2127">
      <c r="A305" s="2134" t="inlineStr">
        <is>
          <t>JT. # 301</t>
        </is>
      </c>
      <c r="B305" s="2142" t="n">
        <v>30.65</v>
      </c>
      <c r="C305" s="2136">
        <f>B305-0.301</f>
        <v/>
      </c>
    </row>
    <row r="306" ht="30.55" customFormat="1" customHeight="1" s="2127">
      <c r="A306" s="2134" t="inlineStr">
        <is>
          <t>JT. # 302</t>
        </is>
      </c>
      <c r="B306" s="2142" t="n">
        <v>30.8</v>
      </c>
      <c r="C306" s="2136">
        <f>B306-0.301</f>
        <v/>
      </c>
    </row>
    <row r="307" ht="30.55" customFormat="1" customHeight="1" s="2127">
      <c r="A307" s="2134" t="inlineStr">
        <is>
          <t>JT. # 303</t>
        </is>
      </c>
      <c r="B307" s="2142" t="n">
        <v>31.22</v>
      </c>
      <c r="C307" s="2136">
        <f>B307-0.301</f>
        <v/>
      </c>
    </row>
    <row r="308" ht="30.55" customFormat="1" customHeight="1" s="2127">
      <c r="A308" s="2134" t="inlineStr">
        <is>
          <t>JT. # 304</t>
        </is>
      </c>
      <c r="B308" s="2142" t="n">
        <v>30.99</v>
      </c>
      <c r="C308" s="2136">
        <f>B308-0.301</f>
        <v/>
      </c>
    </row>
    <row r="309" ht="30.55" customFormat="1" customHeight="1" s="2127">
      <c r="A309" s="2134" t="inlineStr">
        <is>
          <t>JT. # 305</t>
        </is>
      </c>
      <c r="B309" s="2142" t="n">
        <v>31.7</v>
      </c>
      <c r="C309" s="2136">
        <f>B309-0.301</f>
        <v/>
      </c>
    </row>
    <row r="310" ht="30.55" customFormat="1" customHeight="1" s="2127">
      <c r="A310" s="2134" t="inlineStr">
        <is>
          <t>JT. # 306</t>
        </is>
      </c>
      <c r="B310" s="2142" t="n">
        <v>31.65</v>
      </c>
      <c r="C310" s="2136">
        <f>B310-0.301</f>
        <v/>
      </c>
    </row>
    <row r="311" ht="30.55" customFormat="1" customHeight="1" s="2127">
      <c r="A311" s="2134" t="inlineStr">
        <is>
          <t>JT. # 307</t>
        </is>
      </c>
      <c r="B311" s="2142" t="n">
        <v>31.28</v>
      </c>
      <c r="C311" s="2136">
        <f>B311-0.301</f>
        <v/>
      </c>
    </row>
    <row r="312" ht="30.55" customFormat="1" customHeight="1" s="2127">
      <c r="A312" s="2134" t="inlineStr">
        <is>
          <t>JT. # 308</t>
        </is>
      </c>
      <c r="B312" s="2139" t="n">
        <v>31.42</v>
      </c>
      <c r="C312" s="2136">
        <f>B312-0.301</f>
        <v/>
      </c>
    </row>
    <row r="313" ht="30.55" customFormat="1" customHeight="1" s="2127">
      <c r="A313" s="2134" t="inlineStr">
        <is>
          <t>JT. # 309</t>
        </is>
      </c>
      <c r="B313" s="2139" t="n">
        <v>31.26</v>
      </c>
      <c r="C313" s="2136">
        <f>B313-0.301</f>
        <v/>
      </c>
    </row>
    <row r="314" ht="30.55" customFormat="1" customHeight="1" s="2127">
      <c r="A314" s="2134" t="inlineStr">
        <is>
          <t>JT. # 310</t>
        </is>
      </c>
      <c r="B314" s="2139" t="n">
        <v>31.24</v>
      </c>
      <c r="C314" s="2136">
        <f>B314-0.301</f>
        <v/>
      </c>
    </row>
    <row r="315" ht="30.55" customFormat="1" customHeight="1" s="2127">
      <c r="A315" s="2134" t="inlineStr">
        <is>
          <t>JT. # 311</t>
        </is>
      </c>
      <c r="B315" s="2139" t="n">
        <v>31.35</v>
      </c>
      <c r="C315" s="2136">
        <f>B315-0.301</f>
        <v/>
      </c>
    </row>
    <row r="316" ht="30.55" customFormat="1" customHeight="1" s="2127">
      <c r="A316" s="2134" t="inlineStr">
        <is>
          <t>JT. # 312</t>
        </is>
      </c>
      <c r="B316" s="2139" t="n">
        <v>31.18</v>
      </c>
      <c r="C316" s="2136">
        <f>B316-0.301</f>
        <v/>
      </c>
    </row>
    <row r="317" ht="30.55" customFormat="1" customHeight="1" s="2127">
      <c r="A317" s="2134" t="inlineStr">
        <is>
          <t>JT. # 313</t>
        </is>
      </c>
      <c r="B317" s="2139" t="n">
        <v>31.09</v>
      </c>
      <c r="C317" s="2136">
        <f>B317-0.301</f>
        <v/>
      </c>
    </row>
    <row r="318" ht="30.55" customFormat="1" customHeight="1" s="2127">
      <c r="A318" s="2134" t="inlineStr">
        <is>
          <t>JT. # 314</t>
        </is>
      </c>
      <c r="B318" s="2139" t="n">
        <v>31.59</v>
      </c>
      <c r="C318" s="2136">
        <f>B318-0.301</f>
        <v/>
      </c>
    </row>
    <row r="319" ht="30.55" customFormat="1" customHeight="1" s="2127">
      <c r="A319" s="2134" t="inlineStr">
        <is>
          <t>JT. # 315</t>
        </is>
      </c>
      <c r="B319" s="2139" t="n">
        <v>30.93</v>
      </c>
      <c r="C319" s="2136">
        <f>B319-0.301</f>
        <v/>
      </c>
    </row>
    <row r="320" ht="30.55" customFormat="1" customHeight="1" s="2127">
      <c r="A320" s="2134" t="inlineStr">
        <is>
          <t>JT. # 316</t>
        </is>
      </c>
      <c r="B320" s="2139" t="n">
        <v>31.73</v>
      </c>
      <c r="C320" s="2136">
        <f>B320-0.301</f>
        <v/>
      </c>
    </row>
    <row r="321" ht="30.55" customFormat="1" customHeight="1" s="2127">
      <c r="A321" s="2134" t="inlineStr">
        <is>
          <t>JT. # 317</t>
        </is>
      </c>
      <c r="B321" s="2139" t="n">
        <v>31.53</v>
      </c>
      <c r="C321" s="2136">
        <f>B321-0.301</f>
        <v/>
      </c>
    </row>
    <row r="322" ht="30.55" customFormat="1" customHeight="1" s="2127">
      <c r="A322" s="2134" t="inlineStr">
        <is>
          <t>JT. # 318</t>
        </is>
      </c>
      <c r="B322" s="2139" t="n">
        <v>30.94</v>
      </c>
      <c r="C322" s="2136">
        <f>B322-0.301</f>
        <v/>
      </c>
    </row>
    <row r="323" ht="30.55" customFormat="1" customHeight="1" s="2127">
      <c r="A323" s="2134" t="inlineStr">
        <is>
          <t>JT. # 319</t>
        </is>
      </c>
      <c r="B323" s="2139" t="n">
        <v>31.2</v>
      </c>
      <c r="C323" s="2136">
        <f>B323-0.301</f>
        <v/>
      </c>
    </row>
    <row r="324" ht="30.55" customFormat="1" customHeight="1" s="2127">
      <c r="A324" s="2134" t="inlineStr">
        <is>
          <t>JT. # 320</t>
        </is>
      </c>
      <c r="B324" s="2139" t="n">
        <v>31.2</v>
      </c>
      <c r="C324" s="2136">
        <f>B324-0.301</f>
        <v/>
      </c>
    </row>
    <row r="325" ht="30.55" customFormat="1" customHeight="1" s="2127">
      <c r="A325" s="2134" t="inlineStr">
        <is>
          <t>JT. # 321</t>
        </is>
      </c>
      <c r="B325" s="2139" t="n">
        <v>32</v>
      </c>
      <c r="C325" s="2136">
        <f>B325-0.301</f>
        <v/>
      </c>
    </row>
    <row r="326" ht="30.55" customFormat="1" customHeight="1" s="2127">
      <c r="A326" s="2134" t="inlineStr">
        <is>
          <t>JT. # 322</t>
        </is>
      </c>
      <c r="B326" s="2139" t="n">
        <v>31.53</v>
      </c>
      <c r="C326" s="2136">
        <f>B326-0.301</f>
        <v/>
      </c>
    </row>
    <row r="327" ht="30.55" customFormat="1" customHeight="1" s="2127">
      <c r="A327" s="2134" t="inlineStr">
        <is>
          <t>JT. # 323</t>
        </is>
      </c>
      <c r="B327" s="2139" t="n">
        <v>31.28</v>
      </c>
      <c r="C327" s="2136">
        <f>B327-0.301</f>
        <v/>
      </c>
    </row>
    <row r="328" ht="30.55" customFormat="1" customHeight="1" s="2127">
      <c r="A328" s="2134" t="inlineStr">
        <is>
          <t>JT. # 324</t>
        </is>
      </c>
      <c r="B328" s="2139" t="n">
        <v>30.98</v>
      </c>
      <c r="C328" s="2136">
        <f>B328-0.301</f>
        <v/>
      </c>
    </row>
    <row r="329" ht="30.55" customFormat="1" customHeight="1" s="2127">
      <c r="A329" s="2134" t="inlineStr">
        <is>
          <t>JT. # 325</t>
        </is>
      </c>
      <c r="B329" s="2139" t="n">
        <v>31.41</v>
      </c>
      <c r="C329" s="2136">
        <f>B329-0.301</f>
        <v/>
      </c>
    </row>
    <row r="330" ht="30.55" customFormat="1" customHeight="1" s="2127">
      <c r="A330" s="2134" t="inlineStr">
        <is>
          <t>JT. # 326</t>
        </is>
      </c>
      <c r="B330" s="2139" t="n">
        <v>31.36</v>
      </c>
      <c r="C330" s="2136">
        <f>B330-0.301</f>
        <v/>
      </c>
    </row>
    <row r="331" ht="30.55" customFormat="1" customHeight="1" s="2127">
      <c r="A331" s="2134" t="inlineStr">
        <is>
          <t>JT. # 327</t>
        </is>
      </c>
      <c r="B331" s="2139" t="n">
        <v>31.53</v>
      </c>
      <c r="C331" s="2136">
        <f>B331-0.301</f>
        <v/>
      </c>
    </row>
    <row r="332" ht="30.55" customFormat="1" customHeight="1" s="2127">
      <c r="A332" s="2134" t="inlineStr">
        <is>
          <t>JT. # 328</t>
        </is>
      </c>
      <c r="B332" s="2139" t="n">
        <v>30.9</v>
      </c>
      <c r="C332" s="2136">
        <f>B332-0.301</f>
        <v/>
      </c>
    </row>
    <row r="333" ht="30.55" customFormat="1" customHeight="1" s="2127">
      <c r="A333" s="2134" t="inlineStr">
        <is>
          <t>JT. # 329</t>
        </is>
      </c>
      <c r="B333" s="2139" t="n">
        <v>31.41</v>
      </c>
      <c r="C333" s="2136">
        <f>B333-0.301</f>
        <v/>
      </c>
    </row>
    <row r="334" ht="30.55" customFormat="1" customHeight="1" s="2127">
      <c r="A334" s="2134" t="inlineStr">
        <is>
          <t>JT. # 330</t>
        </is>
      </c>
      <c r="B334" s="2139" t="n">
        <v>31.26</v>
      </c>
      <c r="C334" s="2136">
        <f>B334-0.301</f>
        <v/>
      </c>
    </row>
    <row r="335" ht="30.55" customFormat="1" customHeight="1" s="2127">
      <c r="A335" s="2134" t="inlineStr">
        <is>
          <t>JT. # 331</t>
        </is>
      </c>
      <c r="B335" s="2139" t="n">
        <v>29.85</v>
      </c>
      <c r="C335" s="2136">
        <f>B335-0.301</f>
        <v/>
      </c>
    </row>
    <row r="336" ht="30.55" customFormat="1" customHeight="1" s="2127">
      <c r="A336" s="2134" t="inlineStr">
        <is>
          <t>JT. # 332</t>
        </is>
      </c>
      <c r="B336" s="2139" t="n">
        <v>29.35</v>
      </c>
      <c r="C336" s="2136">
        <f>B336-0.301</f>
        <v/>
      </c>
    </row>
    <row r="337" ht="30.55" customFormat="1" customHeight="1" s="2127">
      <c r="A337" s="2134" t="inlineStr">
        <is>
          <t>JT. # 333</t>
        </is>
      </c>
      <c r="B337" s="2139" t="n">
        <v>30.96</v>
      </c>
      <c r="C337" s="2136">
        <f>B337-0.301</f>
        <v/>
      </c>
    </row>
    <row r="338" ht="30.55" customFormat="1" customHeight="1" s="2127">
      <c r="A338" s="2134" t="inlineStr">
        <is>
          <t>JT. # 334</t>
        </is>
      </c>
      <c r="B338" s="2139" t="n">
        <v>31.63</v>
      </c>
      <c r="C338" s="2136">
        <f>B338-0.301</f>
        <v/>
      </c>
    </row>
    <row r="339" ht="30.55" customFormat="1" customHeight="1" s="2127">
      <c r="A339" s="2134" t="inlineStr">
        <is>
          <t>JT. # 335</t>
        </is>
      </c>
      <c r="B339" s="2139" t="n">
        <v>30.63</v>
      </c>
      <c r="C339" s="2136">
        <f>B339-0.301</f>
        <v/>
      </c>
    </row>
    <row r="340" ht="30.55" customFormat="1" customHeight="1" s="2127">
      <c r="A340" s="2134" t="inlineStr">
        <is>
          <t>JT. # 336</t>
        </is>
      </c>
      <c r="B340" s="2139" t="n">
        <v>30.8</v>
      </c>
      <c r="C340" s="2136">
        <f>B340-0.301</f>
        <v/>
      </c>
    </row>
    <row r="341" ht="30.55" customFormat="1" customHeight="1" s="2127">
      <c r="A341" s="2134" t="inlineStr">
        <is>
          <t>JT. # 337</t>
        </is>
      </c>
      <c r="B341" s="2139" t="n">
        <v>31.05</v>
      </c>
      <c r="C341" s="2136">
        <f>B341-0.301</f>
        <v/>
      </c>
    </row>
    <row r="342" ht="30.55" customFormat="1" customHeight="1" s="2127">
      <c r="A342" s="2134" t="inlineStr">
        <is>
          <t>JT. # 338</t>
        </is>
      </c>
      <c r="B342" s="2139" t="n">
        <v>31.94</v>
      </c>
      <c r="C342" s="2136">
        <f>B342-0.301</f>
        <v/>
      </c>
    </row>
    <row r="343" ht="30.55" customFormat="1" customHeight="1" s="2127">
      <c r="A343" s="2134" t="inlineStr">
        <is>
          <t>JT. # 339</t>
        </is>
      </c>
      <c r="B343" s="2139" t="n">
        <v>30.05</v>
      </c>
      <c r="C343" s="2136">
        <f>B343-0.301</f>
        <v/>
      </c>
    </row>
    <row r="344" ht="30.55" customFormat="1" customHeight="1" s="2127">
      <c r="A344" s="2134" t="inlineStr">
        <is>
          <t>JT. # 340</t>
        </is>
      </c>
      <c r="B344" s="2139" t="n">
        <v>31.2</v>
      </c>
      <c r="C344" s="2136">
        <f>B344-0.301</f>
        <v/>
      </c>
    </row>
    <row r="345" ht="30.55" customFormat="1" customHeight="1" s="2127">
      <c r="A345" s="2134" t="inlineStr">
        <is>
          <t>JT. # 341</t>
        </is>
      </c>
      <c r="B345" s="2139" t="n">
        <v>30.85</v>
      </c>
      <c r="C345" s="2136">
        <f>B345-0.301</f>
        <v/>
      </c>
    </row>
    <row r="346" ht="30.55" customFormat="1" customHeight="1" s="2127">
      <c r="A346" s="2134" t="inlineStr">
        <is>
          <t>JT. # 342</t>
        </is>
      </c>
      <c r="B346" s="2139" t="n">
        <v>29.76</v>
      </c>
      <c r="C346" s="2136">
        <f>B346-0.301</f>
        <v/>
      </c>
    </row>
    <row r="347" ht="30.55" customFormat="1" customHeight="1" s="2127">
      <c r="A347" s="2134" t="inlineStr">
        <is>
          <t>JT. # 343</t>
        </is>
      </c>
      <c r="B347" s="2139" t="n">
        <v>30.35</v>
      </c>
      <c r="C347" s="2136">
        <f>B347-0.301</f>
        <v/>
      </c>
    </row>
    <row r="348" ht="30.55" customFormat="1" customHeight="1" s="2127">
      <c r="A348" s="2134" t="inlineStr">
        <is>
          <t>JT. # 344</t>
        </is>
      </c>
      <c r="B348" s="2139" t="n">
        <v>32</v>
      </c>
      <c r="C348" s="2136">
        <f>B348-0.301</f>
        <v/>
      </c>
    </row>
    <row r="349" ht="30.55" customFormat="1" customHeight="1" s="2127">
      <c r="A349" s="2134" t="inlineStr">
        <is>
          <t>JT. # 345</t>
        </is>
      </c>
      <c r="B349" s="2139" t="n">
        <v>30.43</v>
      </c>
      <c r="C349" s="2136">
        <f>B349-0.301</f>
        <v/>
      </c>
    </row>
    <row r="350" ht="30.55" customFormat="1" customHeight="1" s="2127">
      <c r="A350" s="2134" t="inlineStr">
        <is>
          <t>JT. # 346</t>
        </is>
      </c>
      <c r="B350" s="2139" t="n">
        <v>30.75</v>
      </c>
      <c r="C350" s="2136">
        <f>B350-0.301</f>
        <v/>
      </c>
    </row>
    <row r="351" ht="30.55" customFormat="1" customHeight="1" s="2127">
      <c r="A351" s="2134" t="inlineStr">
        <is>
          <t>JT. # 347</t>
        </is>
      </c>
      <c r="B351" s="2139" t="n">
        <v>30.5</v>
      </c>
      <c r="C351" s="2136">
        <f>B351-0.301</f>
        <v/>
      </c>
    </row>
    <row r="352" ht="30.55" customFormat="1" customHeight="1" s="2127">
      <c r="A352" s="2134" t="inlineStr">
        <is>
          <t>JT. # 348</t>
        </is>
      </c>
      <c r="B352" s="2139" t="n">
        <v>31.27</v>
      </c>
      <c r="C352" s="2136">
        <f>B352-0.301</f>
        <v/>
      </c>
    </row>
    <row r="353" ht="30.55" customFormat="1" customHeight="1" s="2127">
      <c r="A353" s="2134" t="inlineStr">
        <is>
          <t>JT. # 349</t>
        </is>
      </c>
      <c r="B353" s="2139" t="n">
        <v>30.48</v>
      </c>
      <c r="C353" s="2136">
        <f>B353-0.301</f>
        <v/>
      </c>
    </row>
    <row r="354" ht="30.55" customFormat="1" customHeight="1" s="2127">
      <c r="A354" s="2134" t="inlineStr">
        <is>
          <t>JT. # 350</t>
        </is>
      </c>
      <c r="B354" s="2139" t="n">
        <v>31.07</v>
      </c>
      <c r="C354" s="2136">
        <f>B354-0.301</f>
        <v/>
      </c>
    </row>
    <row r="355" ht="30.55" customFormat="1" customHeight="1" s="2127">
      <c r="A355" s="2134" t="inlineStr">
        <is>
          <t>JT. # 351</t>
        </is>
      </c>
      <c r="B355" s="2139" t="n">
        <v>31.27</v>
      </c>
      <c r="C355" s="2136">
        <f>B355-0.301</f>
        <v/>
      </c>
    </row>
    <row r="356" ht="30.55" customFormat="1" customHeight="1" s="2127">
      <c r="A356" s="2134" t="inlineStr">
        <is>
          <t>JT. # 352</t>
        </is>
      </c>
      <c r="B356" s="2139" t="n">
        <v>30.95</v>
      </c>
      <c r="C356" s="2136">
        <f>B356-0.301</f>
        <v/>
      </c>
    </row>
    <row r="357" ht="30.55" customFormat="1" customHeight="1" s="2127">
      <c r="A357" s="2134" t="inlineStr">
        <is>
          <t>JT. # 353</t>
        </is>
      </c>
      <c r="B357" s="2139" t="n">
        <v>31.91</v>
      </c>
      <c r="C357" s="2136">
        <f>B357-0.301</f>
        <v/>
      </c>
    </row>
    <row r="358" ht="30.55" customFormat="1" customHeight="1" s="2127">
      <c r="A358" s="2134" t="inlineStr">
        <is>
          <t>JT. # 354</t>
        </is>
      </c>
      <c r="B358" s="2139" t="n">
        <v>31.95</v>
      </c>
      <c r="C358" s="2136">
        <f>B358-0.301</f>
        <v/>
      </c>
    </row>
    <row r="359" ht="30.55" customFormat="1" customHeight="1" s="2127">
      <c r="A359" s="2134" t="inlineStr">
        <is>
          <t>JT. # 355</t>
        </is>
      </c>
      <c r="B359" s="2139" t="n">
        <v>31.81</v>
      </c>
      <c r="C359" s="2136">
        <f>B359-0.301</f>
        <v/>
      </c>
    </row>
    <row r="360" ht="30.55" customFormat="1" customHeight="1" s="2127">
      <c r="A360" s="2134" t="inlineStr">
        <is>
          <t>JT. # 356</t>
        </is>
      </c>
      <c r="B360" s="2139" t="n">
        <v>30</v>
      </c>
      <c r="C360" s="2136">
        <f>B360-0.301</f>
        <v/>
      </c>
    </row>
    <row r="361" ht="30.55" customFormat="1" customHeight="1" s="2127">
      <c r="A361" s="2134" t="inlineStr">
        <is>
          <t>JT. # 357</t>
        </is>
      </c>
      <c r="B361" s="2139" t="n">
        <v>31.4</v>
      </c>
      <c r="C361" s="2136">
        <f>B361-0.301</f>
        <v/>
      </c>
    </row>
    <row r="362" ht="30.55" customFormat="1" customHeight="1" s="2127">
      <c r="A362" s="2134" t="inlineStr">
        <is>
          <t>JT. # 358</t>
        </is>
      </c>
      <c r="B362" s="2139" t="n">
        <v>31</v>
      </c>
      <c r="C362" s="2136">
        <f>B362-0.301</f>
        <v/>
      </c>
    </row>
    <row r="363" ht="30.55" customFormat="1" customHeight="1" s="2127">
      <c r="A363" s="2134" t="inlineStr">
        <is>
          <t>JT. # 359</t>
        </is>
      </c>
      <c r="B363" s="2139" t="n">
        <v>31.38</v>
      </c>
      <c r="C363" s="2136">
        <f>B363-0.301</f>
        <v/>
      </c>
    </row>
    <row r="364" ht="30.55" customFormat="1" customHeight="1" s="2127">
      <c r="A364" s="2134" t="inlineStr">
        <is>
          <t>JT. # 360</t>
        </is>
      </c>
      <c r="B364" s="2139" t="n">
        <v>31.45</v>
      </c>
      <c r="C364" s="2136">
        <f>B364-0.301</f>
        <v/>
      </c>
    </row>
    <row r="365" ht="30.55" customFormat="1" customHeight="1" s="2127">
      <c r="A365" s="2134" t="inlineStr">
        <is>
          <t>JT. # 361</t>
        </is>
      </c>
      <c r="B365" s="2139" t="n">
        <v>31.95</v>
      </c>
      <c r="C365" s="2136">
        <f>B365-0.301</f>
        <v/>
      </c>
    </row>
    <row r="366" ht="30.55" customFormat="1" customHeight="1" s="2127">
      <c r="A366" s="2134" t="inlineStr">
        <is>
          <t>JT. # 362</t>
        </is>
      </c>
      <c r="B366" s="2139" t="n">
        <v>31.15</v>
      </c>
      <c r="C366" s="2136">
        <f>B366-0.301</f>
        <v/>
      </c>
    </row>
    <row r="367" ht="30.55" customFormat="1" customHeight="1" s="2127">
      <c r="A367" s="2134" t="inlineStr">
        <is>
          <t>JT. # 363</t>
        </is>
      </c>
      <c r="B367" s="2139" t="n">
        <v>30.42</v>
      </c>
      <c r="C367" s="2136">
        <f>B367-0.301</f>
        <v/>
      </c>
    </row>
    <row r="368" ht="30.55" customFormat="1" customHeight="1" s="2127">
      <c r="A368" s="2134" t="inlineStr">
        <is>
          <t>JT. # 364</t>
        </is>
      </c>
      <c r="B368" s="2139" t="n">
        <v>30.23</v>
      </c>
      <c r="C368" s="2136">
        <f>B368-0.301</f>
        <v/>
      </c>
    </row>
    <row r="369" ht="30.55" customFormat="1" customHeight="1" s="2127">
      <c r="A369" s="2134" t="inlineStr">
        <is>
          <t>JT. # 365</t>
        </is>
      </c>
      <c r="B369" s="2139" t="n">
        <v>31.93</v>
      </c>
      <c r="C369" s="2136">
        <f>B369-0.301</f>
        <v/>
      </c>
    </row>
    <row r="370" ht="30.55" customFormat="1" customHeight="1" s="2127">
      <c r="A370" s="2134" t="inlineStr">
        <is>
          <t>JT. # 366</t>
        </is>
      </c>
      <c r="B370" s="2139" t="n">
        <v>31.32</v>
      </c>
      <c r="C370" s="2136">
        <f>B370-0.301</f>
        <v/>
      </c>
    </row>
    <row r="371" ht="30.55" customFormat="1" customHeight="1" s="2127">
      <c r="A371" s="2134" t="inlineStr">
        <is>
          <t>JT. # 367</t>
        </is>
      </c>
      <c r="B371" s="2139" t="n">
        <v>29.68</v>
      </c>
      <c r="C371" s="2136">
        <f>B371-0.301</f>
        <v/>
      </c>
    </row>
    <row r="372" ht="30.55" customFormat="1" customHeight="1" s="2127">
      <c r="A372" s="2134" t="inlineStr">
        <is>
          <t>JT. # 368</t>
        </is>
      </c>
      <c r="B372" s="2139" t="n">
        <v>31.31</v>
      </c>
      <c r="C372" s="2136">
        <f>B372-0.301</f>
        <v/>
      </c>
    </row>
    <row r="373" ht="30.55" customFormat="1" customHeight="1" s="2127">
      <c r="A373" s="2134" t="inlineStr">
        <is>
          <t>JT. # 369</t>
        </is>
      </c>
      <c r="B373" s="2139" t="n">
        <v>31.94</v>
      </c>
      <c r="C373" s="2136">
        <f>B373-0.301</f>
        <v/>
      </c>
    </row>
    <row r="374" ht="30.55" customFormat="1" customHeight="1" s="2127">
      <c r="A374" s="2134" t="inlineStr">
        <is>
          <t>JT. # 370</t>
        </is>
      </c>
      <c r="B374" s="2139" t="n">
        <v>31.36</v>
      </c>
      <c r="C374" s="2136">
        <f>B374-0.301</f>
        <v/>
      </c>
    </row>
    <row r="375" ht="30.55" customFormat="1" customHeight="1" s="2127">
      <c r="A375" s="2134" t="inlineStr">
        <is>
          <t>JT. # 371</t>
        </is>
      </c>
      <c r="B375" s="2139" t="n">
        <v>31.65</v>
      </c>
      <c r="C375" s="2136">
        <f>B375-0.301</f>
        <v/>
      </c>
    </row>
    <row r="376" ht="30.55" customFormat="1" customHeight="1" s="2127">
      <c r="A376" s="2134" t="inlineStr">
        <is>
          <t>JT. # 372</t>
        </is>
      </c>
      <c r="B376" s="2139" t="n">
        <v>31.48</v>
      </c>
      <c r="C376" s="2136">
        <f>B376-0.301</f>
        <v/>
      </c>
    </row>
    <row r="377" ht="30.55" customFormat="1" customHeight="1" s="2127">
      <c r="A377" s="2134" t="inlineStr">
        <is>
          <t>JT. # 373</t>
        </is>
      </c>
      <c r="B377" s="2139" t="n">
        <v>30.54</v>
      </c>
      <c r="C377" s="2136">
        <f>B377-0.301</f>
        <v/>
      </c>
    </row>
    <row r="378" ht="30.55" customFormat="1" customHeight="1" s="2127">
      <c r="A378" s="2134" t="inlineStr">
        <is>
          <t>JT. # 374</t>
        </is>
      </c>
      <c r="B378" s="2139" t="n">
        <v>31.06</v>
      </c>
      <c r="C378" s="2136">
        <f>B378-0.301</f>
        <v/>
      </c>
    </row>
    <row r="379" ht="30.55" customFormat="1" customHeight="1" s="2127">
      <c r="A379" s="2134" t="inlineStr">
        <is>
          <t>JT. # 375</t>
        </is>
      </c>
      <c r="B379" s="2139" t="n">
        <v>31.28</v>
      </c>
      <c r="C379" s="2136">
        <f>B379-0.301</f>
        <v/>
      </c>
    </row>
    <row r="380" ht="30.55" customFormat="1" customHeight="1" s="2127">
      <c r="A380" s="2134" t="inlineStr">
        <is>
          <t>JT. # 376</t>
        </is>
      </c>
      <c r="B380" s="2139" t="n">
        <v>31.93</v>
      </c>
      <c r="C380" s="2136">
        <f>B380-0.301</f>
        <v/>
      </c>
    </row>
    <row r="381" ht="30.55" customFormat="1" customHeight="1" s="2127">
      <c r="A381" s="2134" t="inlineStr">
        <is>
          <t>JT. # 377</t>
        </is>
      </c>
      <c r="B381" s="2139" t="n">
        <v>30</v>
      </c>
      <c r="C381" s="2136">
        <f>B381-0.301</f>
        <v/>
      </c>
    </row>
    <row r="382" ht="30.55" customFormat="1" customHeight="1" s="2127">
      <c r="A382" s="2134" t="inlineStr">
        <is>
          <t>JT. # 378</t>
        </is>
      </c>
      <c r="B382" s="2139" t="n">
        <v>30.71</v>
      </c>
      <c r="C382" s="2136">
        <f>B382-0.301</f>
        <v/>
      </c>
    </row>
    <row r="383" ht="30.55" customFormat="1" customHeight="1" s="2127">
      <c r="A383" s="2134" t="inlineStr">
        <is>
          <t>JT. # 379</t>
        </is>
      </c>
      <c r="B383" s="2139" t="n">
        <v>30.78</v>
      </c>
      <c r="C383" s="2136">
        <f>B383-0.301</f>
        <v/>
      </c>
    </row>
    <row r="384" ht="30.55" customFormat="1" customHeight="1" s="2127">
      <c r="A384" s="2134" t="inlineStr">
        <is>
          <t>JT. # 380</t>
        </is>
      </c>
      <c r="B384" s="2139" t="n">
        <v>30.8</v>
      </c>
      <c r="C384" s="2136">
        <f>B384-0.301</f>
        <v/>
      </c>
    </row>
    <row r="385" ht="25.5" customFormat="1" customHeight="1" s="2127">
      <c r="A385" s="2144" t="n"/>
      <c r="B385" s="2145" t="n"/>
      <c r="C385" s="2146" t="n"/>
    </row>
    <row r="386" ht="25.5" customFormat="1" customHeight="1" s="2127">
      <c r="A386" s="2144" t="n"/>
      <c r="B386" s="2145" t="n"/>
      <c r="C386" s="2146" t="n"/>
    </row>
    <row r="387" ht="25.5" customFormat="1" customHeight="1" s="2127">
      <c r="A387" s="2144" t="n"/>
      <c r="B387" s="2145" t="n"/>
      <c r="C387" s="2146" t="n"/>
    </row>
    <row r="388" ht="25.5" customFormat="1" customHeight="1" s="2127">
      <c r="A388" s="2144" t="n"/>
      <c r="B388" s="2145" t="n"/>
      <c r="C388" s="2146" t="n"/>
    </row>
    <row r="389" ht="25.5" customFormat="1" customHeight="1" s="2127">
      <c r="A389" s="2144" t="n"/>
      <c r="B389" s="2145" t="n"/>
      <c r="C389" s="2146" t="n"/>
    </row>
    <row r="390" ht="25.5" customFormat="1" customHeight="1" s="2127">
      <c r="A390" s="2144" t="n"/>
      <c r="B390" s="2145" t="n"/>
      <c r="C390" s="2146" t="n"/>
    </row>
    <row r="391" ht="25.5" customFormat="1" customHeight="1" s="2127">
      <c r="A391" s="2144" t="n"/>
      <c r="B391" s="2145" t="n"/>
      <c r="C391" s="2146" t="n"/>
    </row>
    <row r="392" ht="25.5" customFormat="1" customHeight="1" s="2127">
      <c r="A392" s="2144" t="n"/>
      <c r="B392" s="2145" t="n"/>
      <c r="C392" s="2146" t="n"/>
    </row>
    <row r="393" ht="25.5" customFormat="1" customHeight="1" s="2127">
      <c r="A393" s="2144" t="n"/>
      <c r="B393" s="2145" t="n"/>
      <c r="C393" s="2146" t="n"/>
    </row>
    <row r="394" ht="25.5" customFormat="1" customHeight="1" s="2127">
      <c r="A394" s="2144" t="n"/>
      <c r="B394" s="2145" t="n"/>
      <c r="C394" s="2146" t="n"/>
    </row>
    <row r="395" ht="25.5" customFormat="1" customHeight="1" s="2127">
      <c r="A395" s="2144" t="n"/>
      <c r="B395" s="2145" t="n"/>
      <c r="C395" s="2146" t="n"/>
    </row>
    <row r="396" ht="25.5" customFormat="1" customHeight="1" s="2127">
      <c r="A396" s="2144" t="n"/>
      <c r="B396" s="2145" t="n"/>
      <c r="C396" s="2146" t="n"/>
    </row>
    <row r="397" ht="25.5" customFormat="1" customHeight="1" s="2127">
      <c r="A397" s="2144" t="n"/>
      <c r="B397" s="2145" t="n"/>
      <c r="C397" s="2146" t="n"/>
    </row>
    <row r="398" ht="25.5" customFormat="1" customHeight="1" s="2127">
      <c r="A398" s="2144" t="n"/>
      <c r="B398" s="2145" t="n"/>
      <c r="C398" s="2146" t="n"/>
    </row>
    <row r="399" ht="25.5" customFormat="1" customHeight="1" s="2127">
      <c r="A399" s="2144" t="n"/>
      <c r="B399" s="2145" t="n"/>
      <c r="C399" s="2146" t="n"/>
    </row>
    <row r="400" ht="25.5" customFormat="1" customHeight="1" s="2127">
      <c r="A400" s="2144" t="n"/>
      <c r="B400" s="2145" t="n"/>
      <c r="C400" s="2146" t="n"/>
    </row>
    <row r="401" ht="25.5" customFormat="1" customHeight="1" s="2127">
      <c r="A401" s="2144" t="n"/>
      <c r="B401" s="2145" t="n"/>
      <c r="C401" s="2146" t="n"/>
    </row>
    <row r="402" ht="25.5" customFormat="1" customHeight="1" s="2127">
      <c r="A402" s="2144" t="n"/>
      <c r="B402" s="2145" t="n"/>
      <c r="C402" s="2146" t="n"/>
    </row>
    <row r="403" ht="25.5" customFormat="1" customHeight="1" s="2127">
      <c r="A403" s="2144" t="n"/>
      <c r="B403" s="2145" t="n"/>
      <c r="C403" s="2146" t="n"/>
    </row>
    <row r="404" ht="25.5" customFormat="1" customHeight="1" s="2127">
      <c r="A404" s="2144" t="n"/>
      <c r="B404" s="2145" t="n"/>
      <c r="C404" s="2146" t="n"/>
    </row>
    <row r="405" ht="25.5" customFormat="1" customHeight="1" s="2127">
      <c r="A405" s="2144" t="n"/>
      <c r="B405" s="2145" t="n"/>
      <c r="C405" s="2146" t="n"/>
    </row>
    <row r="406" ht="25.5" customFormat="1" customHeight="1" s="2127">
      <c r="A406" s="2144" t="n"/>
      <c r="B406" s="2145" t="n"/>
      <c r="C406" s="2146" t="n"/>
    </row>
    <row r="407" ht="25.5" customFormat="1" customHeight="1" s="2127">
      <c r="A407" s="2144" t="n"/>
      <c r="B407" s="2145" t="n"/>
      <c r="C407" s="2146" t="n"/>
    </row>
    <row r="408" ht="25.5" customFormat="1" customHeight="1" s="2127">
      <c r="A408" s="2144" t="n"/>
      <c r="B408" s="2145" t="n"/>
      <c r="C408" s="2146" t="n"/>
    </row>
    <row r="409" ht="25.5" customFormat="1" customHeight="1" s="2127">
      <c r="A409" s="2144" t="n"/>
      <c r="B409" s="2145" t="n"/>
      <c r="C409" s="2146" t="n"/>
    </row>
    <row r="410" ht="25.5" customFormat="1" customHeight="1" s="2127">
      <c r="A410" s="2144" t="n"/>
      <c r="B410" s="2145" t="n"/>
      <c r="C410" s="2146" t="n"/>
    </row>
    <row r="411" ht="25.5" customFormat="1" customHeight="1" s="2127">
      <c r="A411" s="2144" t="n"/>
      <c r="B411" s="2145" t="n"/>
      <c r="C411" s="2146" t="n"/>
    </row>
    <row r="412" ht="25.5" customFormat="1" customHeight="1" s="2127">
      <c r="A412" s="2144" t="n"/>
      <c r="B412" s="2145" t="n"/>
      <c r="C412" s="2146" t="n"/>
    </row>
    <row r="413" ht="25.5" customFormat="1" customHeight="1" s="2127">
      <c r="A413" s="2144" t="n"/>
      <c r="B413" s="2145" t="n"/>
      <c r="C413" s="2146" t="n"/>
    </row>
    <row r="414" ht="25.5" customFormat="1" customHeight="1" s="2127">
      <c r="A414" s="2144" t="n"/>
      <c r="B414" s="2145" t="n"/>
      <c r="C414" s="2146" t="n"/>
    </row>
    <row r="415" ht="25.5" customFormat="1" customHeight="1" s="2127">
      <c r="A415" s="2144" t="n"/>
      <c r="B415" s="2145" t="n"/>
      <c r="C415" s="2146" t="n"/>
    </row>
    <row r="416" ht="25.5" customFormat="1" customHeight="1" s="2127">
      <c r="A416" s="2144" t="n"/>
      <c r="B416" s="2145" t="n"/>
      <c r="C416" s="2146" t="n"/>
    </row>
    <row r="417" ht="25.5" customFormat="1" customHeight="1" s="2127">
      <c r="A417" s="2144" t="n"/>
      <c r="B417" s="2145" t="n"/>
      <c r="C417" s="2146" t="n"/>
    </row>
    <row r="418" ht="25.5" customFormat="1" customHeight="1" s="2127">
      <c r="A418" s="2144" t="n"/>
      <c r="B418" s="2145" t="n"/>
      <c r="C418" s="2146" t="n"/>
    </row>
    <row r="419" ht="25.5" customFormat="1" customHeight="1" s="2127">
      <c r="A419" s="2144" t="n"/>
      <c r="B419" s="2145" t="n"/>
      <c r="C419" s="2146" t="n"/>
    </row>
    <row r="420" ht="25.5" customFormat="1" customHeight="1" s="2127">
      <c r="A420" s="2144" t="n"/>
      <c r="B420" s="2145" t="n"/>
      <c r="C420" s="2146" t="n"/>
    </row>
    <row r="421" ht="25.5" customFormat="1" customHeight="1" s="2127">
      <c r="A421" s="2144" t="n"/>
      <c r="B421" s="2145" t="n"/>
      <c r="C421" s="2146" t="n"/>
    </row>
    <row r="422" ht="25.5" customFormat="1" customHeight="1" s="2127">
      <c r="A422" s="2144" t="n"/>
      <c r="B422" s="2145" t="n"/>
      <c r="C422" s="2146" t="n"/>
    </row>
    <row r="423" ht="25.5" customFormat="1" customHeight="1" s="2127">
      <c r="A423" s="2144" t="n"/>
      <c r="B423" s="2145" t="n"/>
      <c r="C423" s="2146" t="n"/>
    </row>
    <row r="424" ht="25.5" customFormat="1" customHeight="1" s="2127">
      <c r="A424" s="2144" t="n"/>
      <c r="B424" s="2145" t="n"/>
      <c r="C424" s="2146" t="n"/>
    </row>
    <row r="425" ht="25.5" customFormat="1" customHeight="1" s="2127">
      <c r="A425" s="2144" t="n"/>
      <c r="B425" s="2145" t="n"/>
      <c r="C425" s="2146" t="n"/>
    </row>
    <row r="426" ht="25.5" customFormat="1" customHeight="1" s="2127">
      <c r="A426" s="2144" t="n"/>
      <c r="B426" s="2145" t="n"/>
      <c r="C426" s="2146" t="n"/>
    </row>
    <row r="427" ht="25.5" customFormat="1" customHeight="1" s="2127">
      <c r="A427" s="2144" t="n"/>
      <c r="B427" s="2145" t="n"/>
      <c r="C427" s="2146" t="n"/>
    </row>
    <row r="428" ht="25.5" customFormat="1" customHeight="1" s="2127">
      <c r="A428" s="2144" t="n"/>
      <c r="B428" s="2145" t="n"/>
      <c r="C428" s="2146" t="n"/>
    </row>
    <row r="429" ht="25.5" customFormat="1" customHeight="1" s="2127">
      <c r="A429" s="2144" t="n"/>
      <c r="B429" s="2145" t="n"/>
      <c r="C429" s="2146" t="n"/>
    </row>
    <row r="430" ht="25.5" customFormat="1" customHeight="1" s="2127">
      <c r="A430" s="2144" t="n"/>
      <c r="B430" s="2145" t="n"/>
      <c r="C430" s="2146" t="n"/>
    </row>
    <row r="431" ht="25.5" customFormat="1" customHeight="1" s="2127">
      <c r="A431" s="2144" t="n"/>
      <c r="B431" s="2145" t="n"/>
      <c r="C431" s="2146" t="n"/>
    </row>
    <row r="432" ht="25.5" customFormat="1" customHeight="1" s="2127">
      <c r="A432" s="2144" t="n"/>
      <c r="B432" s="2145" t="n"/>
      <c r="C432" s="2146" t="n"/>
    </row>
    <row r="433" ht="25.5" customFormat="1" customHeight="1" s="2127">
      <c r="A433" s="2144" t="n"/>
      <c r="B433" s="2145" t="n"/>
      <c r="C433" s="2146" t="n"/>
    </row>
    <row r="434" ht="25.5" customFormat="1" customHeight="1" s="2127">
      <c r="A434" s="2144" t="n"/>
      <c r="B434" s="2145" t="n"/>
      <c r="C434" s="2146" t="n"/>
    </row>
    <row r="435" ht="25.5" customFormat="1" customHeight="1" s="2127">
      <c r="A435" s="2144" t="n"/>
      <c r="B435" s="2145" t="n"/>
      <c r="C435" s="2146" t="n"/>
    </row>
    <row r="436" ht="25.5" customFormat="1" customHeight="1" s="2127">
      <c r="A436" s="2144" t="n"/>
      <c r="B436" s="2145" t="n"/>
      <c r="C436" s="2146" t="n"/>
    </row>
    <row r="437" ht="25.5" customFormat="1" customHeight="1" s="2127">
      <c r="A437" s="2144" t="n"/>
      <c r="B437" s="2145" t="n"/>
      <c r="C437" s="2146" t="n"/>
    </row>
    <row r="438" ht="25.5" customFormat="1" customHeight="1" s="2127">
      <c r="A438" s="2144" t="n"/>
      <c r="B438" s="2145" t="n"/>
      <c r="C438" s="2146" t="n"/>
    </row>
    <row r="439" ht="25.5" customFormat="1" customHeight="1" s="2127">
      <c r="A439" s="2144" t="n"/>
      <c r="B439" s="2145" t="n"/>
      <c r="C439" s="2146" t="n"/>
    </row>
    <row r="440" ht="25.5" customFormat="1" customHeight="1" s="2127">
      <c r="A440" s="2144" t="n"/>
      <c r="B440" s="2145" t="n"/>
      <c r="C440" s="2146" t="n"/>
    </row>
    <row r="441" ht="25.5" customFormat="1" customHeight="1" s="2127">
      <c r="A441" s="2144" t="n"/>
      <c r="B441" s="2145" t="n"/>
      <c r="C441" s="2146" t="n"/>
    </row>
    <row r="442" ht="25.5" customFormat="1" customHeight="1" s="2127">
      <c r="A442" s="2144" t="n"/>
      <c r="B442" s="2145" t="n"/>
      <c r="C442" s="2146" t="n"/>
    </row>
    <row r="443" ht="25.5" customFormat="1" customHeight="1" s="2127">
      <c r="A443" s="2144" t="n"/>
      <c r="B443" s="2145" t="n"/>
      <c r="C443" s="2146" t="n"/>
    </row>
    <row r="444" ht="25.5" customFormat="1" customHeight="1" s="2127">
      <c r="A444" s="2144" t="n"/>
      <c r="B444" s="2145" t="n"/>
      <c r="C444" s="2146" t="n"/>
    </row>
    <row r="445" ht="25.5" customFormat="1" customHeight="1" s="2127">
      <c r="A445" s="2144" t="n"/>
      <c r="B445" s="2145" t="n"/>
      <c r="C445" s="2146" t="n"/>
    </row>
    <row r="446" ht="25.5" customFormat="1" customHeight="1" s="2127">
      <c r="A446" s="2144" t="n"/>
      <c r="B446" s="2145" t="n"/>
      <c r="C446" s="2146" t="n"/>
    </row>
    <row r="447" ht="25.5" customFormat="1" customHeight="1" s="2127">
      <c r="A447" s="2144" t="n"/>
      <c r="B447" s="2145" t="n"/>
      <c r="C447" s="2146" t="n"/>
    </row>
    <row r="448" ht="25.5" customFormat="1" customHeight="1" s="2127">
      <c r="A448" s="2144" t="n"/>
      <c r="B448" s="2145" t="n"/>
      <c r="C448" s="2146" t="n"/>
    </row>
    <row r="449" ht="25.5" customFormat="1" customHeight="1" s="2127">
      <c r="A449" s="2144" t="n"/>
      <c r="B449" s="2145" t="n"/>
      <c r="C449" s="2146" t="n"/>
    </row>
    <row r="450" ht="25.5" customFormat="1" customHeight="1" s="2127">
      <c r="A450" s="2144" t="n"/>
      <c r="B450" s="2145" t="n"/>
      <c r="C450" s="2146" t="n"/>
    </row>
    <row r="451" ht="25.5" customFormat="1" customHeight="1" s="2127">
      <c r="A451" s="2144" t="n"/>
      <c r="B451" s="2145" t="n"/>
      <c r="C451" s="2146" t="n"/>
    </row>
    <row r="452" ht="25.5" customFormat="1" customHeight="1" s="2127">
      <c r="A452" s="2144" t="n"/>
      <c r="B452" s="2145" t="n"/>
      <c r="C452" s="2146" t="n"/>
    </row>
    <row r="453" ht="25.5" customFormat="1" customHeight="1" s="2127">
      <c r="A453" s="2144" t="n"/>
      <c r="B453" s="2145" t="n"/>
      <c r="C453" s="2146" t="n"/>
    </row>
    <row r="454" ht="25.5" customFormat="1" customHeight="1" s="2127">
      <c r="A454" s="2144" t="n"/>
      <c r="B454" s="2145" t="n"/>
      <c r="C454" s="2146" t="n"/>
    </row>
    <row r="455" ht="25.5" customFormat="1" customHeight="1" s="2127">
      <c r="A455" s="2144" t="n"/>
      <c r="B455" s="2145" t="n"/>
      <c r="C455" s="2146" t="n"/>
    </row>
    <row r="456" ht="25.5" customFormat="1" customHeight="1" s="2127">
      <c r="A456" s="2144" t="n"/>
      <c r="B456" s="2145" t="n"/>
      <c r="C456" s="2146" t="n"/>
    </row>
    <row r="457" ht="25.5" customFormat="1" customHeight="1" s="2127">
      <c r="A457" s="2144" t="n"/>
      <c r="B457" s="2145" t="n"/>
      <c r="C457" s="2146" t="n"/>
    </row>
    <row r="458" ht="25.5" customFormat="1" customHeight="1" s="2127">
      <c r="A458" s="2144" t="n"/>
      <c r="B458" s="2145" t="n"/>
      <c r="C458" s="2146" t="n"/>
    </row>
    <row r="459" ht="25.5" customFormat="1" customHeight="1" s="2127">
      <c r="A459" s="2144" t="n"/>
      <c r="B459" s="2145" t="n"/>
      <c r="C459" s="2146" t="n"/>
    </row>
    <row r="460" ht="25.5" customFormat="1" customHeight="1" s="2127">
      <c r="A460" s="2144" t="n"/>
      <c r="B460" s="2145" t="n"/>
      <c r="C460" s="2146" t="n"/>
    </row>
    <row r="461" ht="25.5" customFormat="1" customHeight="1" s="2127">
      <c r="A461" s="2144" t="n"/>
      <c r="B461" s="2145" t="n"/>
      <c r="C461" s="2146" t="n"/>
    </row>
    <row r="462" ht="25.5" customFormat="1" customHeight="1" s="2127">
      <c r="A462" s="2144" t="n"/>
      <c r="B462" s="2145" t="n"/>
      <c r="C462" s="2146" t="n"/>
    </row>
    <row r="463" ht="25.5" customFormat="1" customHeight="1" s="2127">
      <c r="A463" s="2144" t="n"/>
      <c r="B463" s="2145" t="n"/>
      <c r="C463" s="2146" t="n"/>
    </row>
    <row r="464" ht="25.5" customFormat="1" customHeight="1" s="2127">
      <c r="A464" s="2144" t="n"/>
      <c r="B464" s="2145" t="n"/>
      <c r="C464" s="2146" t="n"/>
    </row>
    <row r="465" ht="25.5" customFormat="1" customHeight="1" s="2127">
      <c r="A465" s="2144" t="n"/>
      <c r="B465" s="2145" t="n"/>
      <c r="C465" s="2146" t="n"/>
    </row>
    <row r="466" ht="25.5" customFormat="1" customHeight="1" s="2127">
      <c r="A466" s="2144" t="n"/>
      <c r="B466" s="2145" t="n"/>
      <c r="C466" s="2146" t="n"/>
    </row>
    <row r="467" ht="25.5" customFormat="1" customHeight="1" s="2127">
      <c r="A467" s="2144" t="n"/>
      <c r="B467" s="2145" t="n"/>
      <c r="C467" s="2146" t="n"/>
    </row>
    <row r="468" ht="25.5" customFormat="1" customHeight="1" s="2127">
      <c r="A468" s="2144" t="n"/>
      <c r="B468" s="2145" t="n"/>
      <c r="C468" s="2146" t="n"/>
    </row>
    <row r="469" ht="25.5" customFormat="1" customHeight="1" s="2127">
      <c r="A469" s="2144" t="n"/>
      <c r="B469" s="2145" t="n"/>
      <c r="C469" s="2146" t="n"/>
    </row>
    <row r="470" ht="25.5" customFormat="1" customHeight="1" s="2127">
      <c r="A470" s="2144" t="n"/>
      <c r="B470" s="2145" t="n"/>
      <c r="C470" s="2146" t="n"/>
    </row>
    <row r="471" ht="25.5" customFormat="1" customHeight="1" s="2127">
      <c r="A471" s="2144" t="n"/>
      <c r="B471" s="2145" t="n"/>
      <c r="C471" s="2146" t="n"/>
    </row>
    <row r="472" ht="25.5" customFormat="1" customHeight="1" s="2127">
      <c r="A472" s="2144" t="n"/>
      <c r="B472" s="2145" t="n"/>
      <c r="C472" s="2146" t="n"/>
    </row>
    <row r="473" ht="25.5" customFormat="1" customHeight="1" s="2127">
      <c r="A473" s="2144" t="n"/>
      <c r="B473" s="2145" t="n"/>
      <c r="C473" s="2146" t="n"/>
    </row>
    <row r="474" ht="25.5" customFormat="1" customHeight="1" s="2127">
      <c r="A474" s="2144" t="n"/>
      <c r="B474" s="2145" t="n"/>
      <c r="C474" s="2146" t="n"/>
    </row>
    <row r="475" ht="25.5" customFormat="1" customHeight="1" s="2127">
      <c r="A475" s="2144" t="n"/>
      <c r="B475" s="2145" t="n"/>
      <c r="C475" s="2146" t="n"/>
    </row>
    <row r="476" ht="25.5" customFormat="1" customHeight="1" s="2127">
      <c r="A476" s="2144" t="n"/>
      <c r="B476" s="2145" t="n"/>
      <c r="C476" s="2146" t="n"/>
    </row>
    <row r="477" ht="25.5" customFormat="1" customHeight="1" s="2127">
      <c r="A477" s="2144" t="n"/>
      <c r="B477" s="2145" t="n"/>
      <c r="C477" s="2146" t="n"/>
    </row>
    <row r="478" ht="25.5" customFormat="1" customHeight="1" s="2127">
      <c r="A478" s="2144" t="n"/>
      <c r="B478" s="2145" t="n"/>
      <c r="C478" s="2146" t="n"/>
    </row>
    <row r="479" ht="25.5" customFormat="1" customHeight="1" s="2127">
      <c r="A479" s="2144" t="n"/>
      <c r="B479" s="2145" t="n"/>
      <c r="C479" s="2146" t="n"/>
    </row>
    <row r="480" ht="25.5" customFormat="1" customHeight="1" s="2127">
      <c r="A480" s="2144" t="n"/>
      <c r="B480" s="2145" t="n"/>
      <c r="C480" s="2146" t="n"/>
    </row>
    <row r="481" ht="25.5" customFormat="1" customHeight="1" s="2127">
      <c r="A481" s="2144" t="n"/>
      <c r="B481" s="2145" t="n"/>
      <c r="C481" s="2146" t="n"/>
    </row>
    <row r="482" ht="25.5" customFormat="1" customHeight="1" s="2127">
      <c r="A482" s="2144" t="n"/>
      <c r="B482" s="2145" t="n"/>
      <c r="C482" s="2146" t="n"/>
    </row>
    <row r="483" ht="25.5" customFormat="1" customHeight="1" s="2127">
      <c r="A483" s="2144" t="n"/>
      <c r="B483" s="2145" t="n"/>
      <c r="C483" s="2146" t="n"/>
    </row>
    <row r="484" ht="25.5" customFormat="1" customHeight="1" s="2127">
      <c r="A484" s="2144" t="n"/>
      <c r="B484" s="2145" t="n"/>
      <c r="C484" s="2146" t="n"/>
    </row>
    <row r="485" ht="25.5" customFormat="1" customHeight="1" s="2127">
      <c r="A485" s="2144" t="n"/>
      <c r="B485" s="2145" t="n"/>
      <c r="C485" s="2146" t="n"/>
    </row>
    <row r="486" ht="25.5" customHeight="1" s="1158">
      <c r="A486" s="2144" t="n"/>
      <c r="B486" s="2145" t="n"/>
      <c r="C486" s="2146" t="n"/>
    </row>
    <row r="487" ht="25.5" customHeight="1" s="1158">
      <c r="A487" s="2144" t="n"/>
      <c r="B487" s="2145" t="n"/>
      <c r="C487" s="2146" t="n"/>
    </row>
    <row r="488" ht="25.5" customHeight="1" s="1158">
      <c r="A488" s="2144" t="n"/>
      <c r="B488" s="2145" t="n"/>
      <c r="C488" s="2146" t="n"/>
    </row>
    <row r="489" ht="25.5" customHeight="1" s="1158">
      <c r="A489" s="2144" t="n"/>
      <c r="B489" s="2145" t="n"/>
      <c r="C489" s="2146" t="n"/>
    </row>
    <row r="490" ht="25.5" customHeight="1" s="1158">
      <c r="A490" s="2144" t="n"/>
      <c r="B490" s="2145" t="n"/>
      <c r="C490" s="2146" t="n"/>
    </row>
    <row r="491" ht="25.5" customHeight="1" s="1158">
      <c r="A491" s="2144" t="n"/>
      <c r="B491" s="2145" t="n"/>
      <c r="C491" s="2146" t="n"/>
    </row>
    <row r="492" ht="25.5" customHeight="1" s="1158">
      <c r="A492" s="2144" t="n"/>
      <c r="B492" s="2145" t="n"/>
      <c r="C492" s="2146" t="n"/>
    </row>
    <row r="493" ht="25.5" customHeight="1" s="1158">
      <c r="A493" s="2144" t="n"/>
      <c r="B493" s="2145" t="n"/>
      <c r="C493" s="2146" t="n"/>
    </row>
    <row r="494" ht="25.5" customHeight="1" s="1158">
      <c r="A494" s="2144" t="n"/>
      <c r="B494" s="2145" t="n"/>
      <c r="C494" s="2146" t="n"/>
    </row>
  </sheetData>
  <mergeCells count="2">
    <mergeCell ref="B2:C2"/>
    <mergeCell ref="B3:B4"/>
  </mergeCells>
  <printOptions horizontalCentered="0" verticalCentered="0" headings="0" gridLines="0" gridLinesSet="1"/>
  <pageMargins left="0.511805555555556" right="0.511805555555556" top="0.511805555555556" bottom="0.511805555555556" header="0.511805555555556" footer="0.511811023622047"/>
  <pageSetup orientation="portrait" paperSize="9" scale="88" fitToHeight="1" fitToWidth="1" pageOrder="downThenOver" blackAndWhite="0" draft="0" horizontalDpi="300" verticalDpi="300" copies="1"/>
  <headerFooter differentOddEven="0" differentFirst="0">
    <oddHeader>&amp;L&amp;"arial,Regular"&amp;1 &amp;K737373ADNOC Classification: Internal#&amp;R&amp;P</oddHeader>
    <oddFooter/>
    <evenHeader/>
    <evenFooter/>
    <firstHeader/>
    <firstFooter/>
  </headerFooter>
  <rowBreaks count="4" manualBreakCount="4">
    <brk id="53" min="0" max="16383" man="1"/>
    <brk id="108" min="0" max="16383" man="1"/>
    <brk id="163" min="0" max="16383" man="1"/>
    <brk id="185" min="0" max="16383" man="1"/>
  </rowBreaks>
</worksheet>
</file>

<file path=xl/worksheets/sheet15.xml><?xml version="1.0" encoding="utf-8"?>
<worksheet xmlns="http://schemas.openxmlformats.org/spreadsheetml/2006/main">
  <sheetPr filterMode="0">
    <outlinePr summaryBelow="1" summaryRight="1"/>
    <pageSetUpPr fitToPage="0"/>
  </sheetPr>
  <dimension ref="A1:AA33"/>
  <sheetViews>
    <sheetView showFormulas="0" showGridLines="1" showRowColHeaders="1" showZeros="1" rightToLeft="0" tabSelected="0" showOutlineSymbols="1" defaultGridColor="1" view="pageBreakPreview" topLeftCell="A19" colorId="64" zoomScale="100" zoomScaleNormal="100" zoomScalePageLayoutView="100" workbookViewId="0">
      <selection pane="topLeft" activeCell="I18" activeCellId="0" sqref="A11:S58"/>
    </sheetView>
  </sheetViews>
  <sheetFormatPr baseColWidth="8" defaultColWidth="8.59765625" defaultRowHeight="14.25" customHeight="0" zeroHeight="0" outlineLevelRow="0"/>
  <cols>
    <col width="14.89" customWidth="1" style="1207" min="1" max="1"/>
    <col width="7.33" customWidth="1" style="1207" min="2" max="2"/>
    <col width="7" customWidth="1" style="1207" min="3" max="4"/>
    <col width="14" customWidth="1" style="1207" min="5" max="5"/>
    <col width="11.78" customWidth="1" style="1207" min="11" max="18"/>
  </cols>
  <sheetData>
    <row r="1" ht="20.25" customHeight="1" s="1158">
      <c r="A1" s="2147" t="inlineStr">
        <is>
          <t xml:space="preserve">Description </t>
        </is>
      </c>
      <c r="B1" s="2148" t="inlineStr">
        <is>
          <t>Program</t>
        </is>
      </c>
      <c r="C1" s="2149" t="inlineStr">
        <is>
          <t xml:space="preserve">Acutal </t>
        </is>
      </c>
      <c r="D1" s="2149" t="inlineStr">
        <is>
          <t>Diff</t>
        </is>
      </c>
      <c r="E1" s="2149" t="n"/>
      <c r="F1" s="2149" t="n"/>
      <c r="G1" s="2150" t="n"/>
      <c r="K1" s="2151" t="inlineStr">
        <is>
          <t>ITEM</t>
        </is>
      </c>
      <c r="L1" s="2152" t="inlineStr">
        <is>
          <t>Unique ASSY No</t>
        </is>
      </c>
      <c r="M1" s="2153" t="inlineStr">
        <is>
          <t>DESCRIPTION</t>
        </is>
      </c>
      <c r="N1" s="2152" t="inlineStr">
        <is>
          <t>SERIAL NUMBERS</t>
        </is>
      </c>
      <c r="O1" s="2152" t="inlineStr">
        <is>
          <t>PART NUMBERS/ MM</t>
        </is>
      </c>
      <c r="P1" s="2152" t="inlineStr">
        <is>
          <t xml:space="preserve">G/L Valve part number </t>
        </is>
      </c>
      <c r="Q1" s="2154" t="inlineStr">
        <is>
          <t>QTY</t>
        </is>
      </c>
      <c r="R1" s="2155" t="inlineStr">
        <is>
          <t xml:space="preserve">SUPPLIER </t>
        </is>
      </c>
    </row>
    <row r="2" ht="21.75" customHeight="1" s="1158">
      <c r="A2" s="2156" t="inlineStr">
        <is>
          <t>WLEG</t>
        </is>
      </c>
      <c r="B2" s="2157" t="n"/>
      <c r="C2" s="2157" t="n"/>
      <c r="D2" s="2157" t="n"/>
      <c r="E2" s="2158" t="n"/>
      <c r="F2" s="2159" t="n"/>
      <c r="G2" s="2160" t="n"/>
      <c r="K2" s="2161" t="n"/>
      <c r="L2" s="1766" t="n"/>
      <c r="M2" s="1432" t="n"/>
      <c r="N2" s="1766" t="n"/>
      <c r="O2" s="1766" t="n"/>
      <c r="P2" s="1766" t="n"/>
      <c r="Q2" s="1766" t="n"/>
      <c r="R2" s="1272" t="n"/>
    </row>
    <row r="3" ht="21.75" customHeight="1" s="1158">
      <c r="A3" s="2162" t="inlineStr">
        <is>
          <t xml:space="preserve">Packer </t>
        </is>
      </c>
      <c r="B3" s="2159" t="n"/>
      <c r="C3" s="2159" t="n"/>
      <c r="D3" s="2159" t="n"/>
      <c r="E3" s="2163" t="n"/>
      <c r="F3" s="2164" t="n"/>
      <c r="G3" s="2160" t="n"/>
      <c r="K3" s="2106" t="n"/>
      <c r="L3" s="2106" t="n"/>
      <c r="M3" s="2106" t="n"/>
      <c r="N3" s="2106" t="n"/>
      <c r="O3" s="2106" t="n"/>
      <c r="P3" s="2106" t="n"/>
      <c r="Q3" s="2106" t="n"/>
      <c r="R3" s="2106" t="n"/>
    </row>
    <row r="4" ht="21.75" customHeight="1" s="1158">
      <c r="A4" s="1440" t="n"/>
      <c r="B4" s="1440" t="n"/>
      <c r="C4" s="1440" t="n"/>
      <c r="D4" s="1440" t="n"/>
      <c r="E4" s="2164" t="n"/>
      <c r="F4" s="2164" t="n"/>
      <c r="G4" s="2160" t="n"/>
      <c r="K4" s="2165" t="n"/>
      <c r="L4" s="2166" t="n"/>
      <c r="M4" s="2167" t="n"/>
      <c r="N4" s="2168" t="n"/>
      <c r="O4" s="2168" t="n"/>
      <c r="P4" s="2168" t="n"/>
      <c r="Q4" s="2166" t="n"/>
      <c r="R4" s="2168" t="n"/>
    </row>
    <row r="5" ht="21.75" customHeight="1" s="1158">
      <c r="A5" s="2156" t="inlineStr">
        <is>
          <t>GLM 2</t>
        </is>
      </c>
      <c r="B5" s="2157" t="n"/>
      <c r="C5" s="2157" t="n"/>
      <c r="D5" s="2157" t="n"/>
      <c r="E5" s="2169" t="n"/>
      <c r="F5" s="2159" t="n"/>
      <c r="G5" s="2160" t="n"/>
      <c r="K5" s="2165" t="n"/>
      <c r="L5" s="2166" t="n"/>
      <c r="M5" s="2167" t="n"/>
      <c r="N5" s="2166" t="n"/>
      <c r="O5" s="2168" t="n"/>
      <c r="P5" s="2168" t="n"/>
      <c r="Q5" s="2166" t="n"/>
      <c r="R5" s="2168" t="n"/>
    </row>
    <row r="6" ht="21.75" customHeight="1" s="1158">
      <c r="A6" s="2156" t="inlineStr">
        <is>
          <t>GLM3</t>
        </is>
      </c>
      <c r="B6" s="2157" t="n"/>
      <c r="C6" s="2157" t="n"/>
      <c r="D6" s="2157" t="n"/>
      <c r="E6" s="2170" t="n"/>
      <c r="F6" s="2171" t="n"/>
      <c r="G6" s="2160" t="n"/>
      <c r="K6" s="2165" t="n"/>
      <c r="L6" s="2166" t="n"/>
      <c r="M6" s="2167" t="n"/>
      <c r="N6" s="2166" t="n"/>
      <c r="O6" s="2168" t="n"/>
      <c r="P6" s="2166" t="n"/>
      <c r="Q6" s="2166" t="n"/>
      <c r="R6" s="2168" t="n"/>
      <c r="T6" s="2172" t="n"/>
      <c r="U6" s="2173" t="n"/>
      <c r="V6" s="2173" t="n"/>
      <c r="W6" s="2173" t="n"/>
      <c r="X6" s="2174" t="n"/>
      <c r="Y6" s="2174" t="n"/>
      <c r="Z6" s="2174" t="n"/>
      <c r="AA6" s="2174" t="n"/>
    </row>
    <row r="7" ht="21.75" customHeight="1" s="1158">
      <c r="A7" s="2156" t="inlineStr">
        <is>
          <t xml:space="preserve">GLM4 </t>
        </is>
      </c>
      <c r="B7" s="2157" t="n"/>
      <c r="C7" s="2157" t="n"/>
      <c r="D7" s="2157" t="n"/>
      <c r="E7" s="2175" t="n"/>
      <c r="F7" s="2171" t="n"/>
      <c r="G7" s="2160" t="n"/>
      <c r="K7" s="2165" t="n"/>
      <c r="L7" s="2166" t="n"/>
      <c r="M7" s="2167" t="n"/>
      <c r="N7" s="2166" t="n"/>
      <c r="O7" s="2168" t="n"/>
      <c r="P7" s="2166" t="n"/>
      <c r="Q7" s="2166" t="n"/>
      <c r="R7" s="2168" t="n"/>
    </row>
    <row r="8" ht="21.75" customHeight="1" s="1158">
      <c r="A8" s="2156" t="inlineStr">
        <is>
          <t>GLM 5</t>
        </is>
      </c>
      <c r="B8" s="2157" t="n"/>
      <c r="C8" s="2157" t="n"/>
      <c r="D8" s="2157" t="n"/>
      <c r="E8" s="2169" t="n"/>
      <c r="F8" s="2159" t="n"/>
      <c r="G8" s="2160" t="n"/>
      <c r="K8" s="2165" t="n"/>
      <c r="L8" s="2166" t="n"/>
      <c r="M8" s="2167" t="n"/>
      <c r="N8" s="2166" t="n"/>
      <c r="O8" s="2168" t="n"/>
      <c r="P8" s="2166" t="n"/>
      <c r="Q8" s="2166" t="n"/>
      <c r="R8" s="2168" t="n"/>
    </row>
    <row r="9" ht="21.75" customHeight="1" s="1158">
      <c r="A9" s="2156" t="inlineStr">
        <is>
          <t>TRSV</t>
        </is>
      </c>
      <c r="B9" s="2157" t="n"/>
      <c r="C9" s="2157" t="n"/>
      <c r="D9" s="2157" t="n"/>
      <c r="E9" s="2158" t="n"/>
      <c r="F9" s="2159" t="n"/>
      <c r="G9" s="2160" t="n"/>
      <c r="K9" s="2165" t="n"/>
      <c r="L9" s="2166" t="n"/>
      <c r="M9" s="2167" t="n"/>
      <c r="N9" s="2166" t="n"/>
      <c r="O9" s="2168" t="n"/>
      <c r="P9" s="2166" t="n"/>
      <c r="Q9" s="2166" t="n"/>
      <c r="R9" s="2168" t="n"/>
    </row>
    <row r="10" ht="21.75" customHeight="1" s="1158">
      <c r="A10" s="2156" t="inlineStr">
        <is>
          <t>END OF TALLY</t>
        </is>
      </c>
      <c r="B10" s="2157" t="n"/>
      <c r="C10" s="2157" t="n"/>
      <c r="D10" s="2157" t="n"/>
      <c r="E10" s="2170" t="n"/>
      <c r="F10" s="2171" t="n"/>
      <c r="G10" s="2160" t="n"/>
      <c r="K10" s="2165" t="n"/>
      <c r="L10" s="2166" t="n"/>
      <c r="M10" s="2167" t="n"/>
      <c r="N10" s="2166" t="n"/>
      <c r="O10" s="2168" t="n"/>
      <c r="P10" s="2166" t="n"/>
      <c r="Q10" s="2166" t="n"/>
      <c r="R10" s="2168" t="n"/>
    </row>
    <row r="11" ht="15" customHeight="1" s="1158">
      <c r="K11" s="2165" t="n"/>
      <c r="L11" s="2166" t="n"/>
      <c r="M11" s="2167" t="n"/>
      <c r="N11" s="2166" t="n"/>
      <c r="O11" s="2168" t="n"/>
      <c r="P11" s="2166" t="n"/>
      <c r="Q11" s="2166" t="n"/>
      <c r="R11" s="2168" t="n"/>
    </row>
    <row r="12" ht="15" customHeight="1" s="1158">
      <c r="K12" s="2165" t="n"/>
      <c r="L12" s="2166" t="n"/>
      <c r="M12" s="2167" t="n"/>
      <c r="N12" s="2166" t="n"/>
      <c r="O12" s="2168" t="n"/>
      <c r="P12" s="2166" t="n"/>
      <c r="Q12" s="2166" t="n"/>
      <c r="R12" s="2168" t="n"/>
    </row>
    <row r="13" ht="15" customHeight="1" s="1158">
      <c r="K13" s="2165" t="n"/>
      <c r="L13" s="2166" t="n"/>
      <c r="M13" s="2167" t="n"/>
      <c r="N13" s="2166" t="n"/>
      <c r="O13" s="2166" t="n"/>
      <c r="P13" s="2166" t="n"/>
      <c r="Q13" s="2166" t="n"/>
      <c r="R13" s="2168" t="n"/>
    </row>
    <row r="14" ht="15" customHeight="1" s="1158">
      <c r="K14" s="2165" t="n"/>
      <c r="L14" s="2166" t="n"/>
      <c r="M14" s="2167" t="n"/>
      <c r="N14" s="2166" t="n"/>
      <c r="O14" s="2166" t="n"/>
      <c r="P14" s="2166" t="n"/>
      <c r="Q14" s="2166" t="n"/>
      <c r="R14" s="2168" t="n"/>
    </row>
    <row r="15" ht="15" customHeight="1" s="1158">
      <c r="K15" s="2165" t="n"/>
      <c r="L15" s="2166" t="n"/>
      <c r="M15" s="2167" t="n"/>
      <c r="N15" s="2166" t="n"/>
      <c r="O15" s="2166" t="n"/>
      <c r="P15" s="2166" t="n"/>
      <c r="Q15" s="2166" t="n"/>
      <c r="R15" s="2168" t="n"/>
    </row>
    <row r="16" ht="15" customHeight="1" s="1158">
      <c r="K16" s="2165" t="n"/>
      <c r="L16" s="2166" t="n"/>
      <c r="M16" s="2167" t="n"/>
      <c r="N16" s="2166" t="n"/>
      <c r="O16" s="2166" t="n"/>
      <c r="P16" s="2166" t="n"/>
      <c r="Q16" s="2166" t="n"/>
      <c r="R16" s="2168" t="n"/>
    </row>
    <row r="17" ht="15" customHeight="1" s="1158">
      <c r="K17" s="2165" t="n"/>
      <c r="L17" s="2166" t="n"/>
      <c r="M17" s="2167" t="n"/>
      <c r="N17" s="2166" t="n"/>
      <c r="O17" s="2166" t="n"/>
      <c r="P17" s="2166" t="n"/>
      <c r="Q17" s="2166" t="n"/>
      <c r="R17" s="2168" t="n"/>
    </row>
    <row r="18" ht="15" customHeight="1" s="1158">
      <c r="K18" s="2165" t="n"/>
      <c r="L18" s="2166" t="n"/>
      <c r="M18" s="2167" t="n"/>
      <c r="N18" s="2166" t="n"/>
      <c r="O18" s="2166" t="n"/>
      <c r="P18" s="2166" t="n"/>
      <c r="Q18" s="2166" t="n"/>
      <c r="R18" s="2168" t="n"/>
    </row>
    <row r="19" ht="15" customHeight="1" s="1158">
      <c r="K19" s="2165" t="n"/>
      <c r="L19" s="2166" t="n"/>
      <c r="M19" s="2167" t="n"/>
      <c r="N19" s="2166" t="n"/>
      <c r="O19" s="2166" t="n"/>
      <c r="P19" s="2166" t="n"/>
      <c r="Q19" s="2166" t="n"/>
      <c r="R19" s="2168" t="n"/>
    </row>
    <row r="20" ht="15" customHeight="1" s="1158">
      <c r="K20" s="2165" t="n"/>
      <c r="L20" s="2166" t="n"/>
      <c r="M20" s="2167" t="n"/>
      <c r="N20" s="2166" t="n"/>
      <c r="O20" s="2166" t="n"/>
      <c r="P20" s="2166" t="n"/>
      <c r="Q20" s="2166" t="n"/>
      <c r="R20" s="2168" t="n"/>
    </row>
    <row r="21" ht="15" customHeight="1" s="1158">
      <c r="K21" s="2165" t="n"/>
      <c r="L21" s="2166" t="n"/>
      <c r="M21" s="2167" t="n"/>
      <c r="N21" s="2166" t="n"/>
      <c r="O21" s="2166" t="n"/>
      <c r="P21" s="2166" t="n"/>
      <c r="Q21" s="2166" t="n"/>
      <c r="R21" s="2168" t="n"/>
    </row>
    <row r="22" ht="15" customHeight="1" s="1158">
      <c r="K22" s="2165" t="n"/>
      <c r="L22" s="2166" t="n"/>
      <c r="M22" s="2167" t="n"/>
      <c r="N22" s="2166" t="n"/>
      <c r="O22" s="2166" t="n"/>
      <c r="P22" s="2166" t="n"/>
      <c r="Q22" s="2166" t="n"/>
      <c r="R22" s="2168" t="n"/>
    </row>
    <row r="23" ht="15" customHeight="1" s="1158">
      <c r="K23" s="2165" t="n"/>
      <c r="L23" s="2166" t="n"/>
      <c r="M23" s="2167" t="n"/>
      <c r="N23" s="2166" t="n"/>
      <c r="O23" s="2166" t="n"/>
      <c r="P23" s="2166" t="n"/>
      <c r="Q23" s="2166" t="n"/>
      <c r="R23" s="2168" t="n"/>
    </row>
    <row r="24" ht="15" customHeight="1" s="1158">
      <c r="K24" s="2165" t="n"/>
      <c r="L24" s="2166" t="n"/>
      <c r="M24" s="2167" t="n"/>
      <c r="N24" s="2166" t="n"/>
      <c r="O24" s="2166" t="n"/>
      <c r="P24" s="2166" t="n"/>
      <c r="Q24" s="2166" t="n"/>
      <c r="R24" s="2168" t="n"/>
    </row>
    <row r="25" ht="15" customHeight="1" s="1158">
      <c r="K25" s="2165" t="n"/>
      <c r="L25" s="2166" t="n"/>
      <c r="M25" s="2167" t="n"/>
      <c r="N25" s="2166" t="n"/>
      <c r="O25" s="2166" t="n"/>
      <c r="P25" s="2166" t="n"/>
      <c r="Q25" s="2166" t="n"/>
      <c r="R25" s="2168" t="n"/>
    </row>
    <row r="26" ht="15" customHeight="1" s="1158">
      <c r="K26" s="2165" t="n"/>
      <c r="L26" s="2166" t="n"/>
      <c r="M26" s="2167" t="n"/>
      <c r="N26" s="2166" t="n"/>
      <c r="O26" s="2166" t="n"/>
      <c r="P26" s="2166" t="n"/>
      <c r="Q26" s="2166" t="n"/>
      <c r="R26" s="2168" t="n"/>
    </row>
    <row r="27" ht="15" customHeight="1" s="1158">
      <c r="K27" s="2165" t="n"/>
      <c r="L27" s="2166" t="n"/>
      <c r="M27" s="2167" t="n"/>
      <c r="N27" s="2166" t="n"/>
      <c r="O27" s="2166" t="n"/>
      <c r="P27" s="2166" t="n"/>
      <c r="Q27" s="2166" t="n"/>
      <c r="R27" s="2168" t="n"/>
    </row>
    <row r="28" ht="15" customHeight="1" s="1158">
      <c r="K28" s="2165" t="n"/>
      <c r="L28" s="2166" t="n"/>
      <c r="M28" s="2167" t="n"/>
      <c r="N28" s="2166" t="n"/>
      <c r="O28" s="2166" t="n"/>
      <c r="P28" s="2166" t="n"/>
      <c r="Q28" s="2166" t="n"/>
      <c r="R28" s="2168" t="n"/>
    </row>
    <row r="29" ht="15" customHeight="1" s="1158">
      <c r="K29" s="2165" t="n"/>
      <c r="L29" s="2166" t="n"/>
      <c r="M29" s="2167" t="n"/>
      <c r="N29" s="2166" t="n"/>
      <c r="O29" s="2166" t="n"/>
      <c r="P29" s="2166" t="n"/>
      <c r="Q29" s="2166" t="n"/>
      <c r="R29" s="2168" t="n"/>
    </row>
    <row r="30" ht="15" customHeight="1" s="1158">
      <c r="K30" s="2165" t="n"/>
      <c r="L30" s="2166" t="n"/>
      <c r="M30" s="2167" t="n"/>
      <c r="N30" s="2166" t="n"/>
      <c r="O30" s="2166" t="n"/>
      <c r="P30" s="2166" t="n"/>
      <c r="Q30" s="2166" t="n"/>
      <c r="R30" s="2168" t="n"/>
    </row>
    <row r="31" ht="15" customHeight="1" s="1158">
      <c r="K31" s="2165" t="n"/>
      <c r="L31" s="2166" t="n"/>
      <c r="M31" s="2167" t="n"/>
      <c r="N31" s="2166" t="n"/>
      <c r="O31" s="2166" t="n"/>
      <c r="P31" s="2166" t="n"/>
      <c r="Q31" s="2166" t="n"/>
      <c r="R31" s="2168" t="n"/>
    </row>
    <row r="32" ht="15" customHeight="1" s="1158">
      <c r="K32" s="2165" t="n"/>
      <c r="L32" s="2166" t="n"/>
      <c r="M32" s="2167" t="n"/>
      <c r="N32" s="2166" t="n"/>
      <c r="O32" s="2166" t="n"/>
      <c r="P32" s="2166" t="n"/>
      <c r="Q32" s="2166" t="n"/>
      <c r="R32" s="2168" t="n"/>
    </row>
    <row r="33" ht="15" customHeight="1" s="1158">
      <c r="K33" s="2165" t="n"/>
      <c r="L33" s="2176" t="n"/>
      <c r="M33" s="2177" t="n"/>
      <c r="N33" s="2166" t="n"/>
      <c r="O33" s="2166" t="n"/>
      <c r="P33" s="2166" t="n"/>
      <c r="Q33" s="2166" t="n"/>
      <c r="R33" s="2166" t="n"/>
    </row>
  </sheetData>
  <mergeCells count="12">
    <mergeCell ref="C3:C4"/>
    <mergeCell ref="B3:B4"/>
    <mergeCell ref="A3:A4"/>
    <mergeCell ref="N1:N2"/>
    <mergeCell ref="Q1:Q2"/>
    <mergeCell ref="L1:L2"/>
    <mergeCell ref="D3:D4"/>
    <mergeCell ref="K1:K2"/>
    <mergeCell ref="M1:M2"/>
    <mergeCell ref="P1:P2"/>
    <mergeCell ref="O1:O2"/>
    <mergeCell ref="R1:R2"/>
  </mergeCells>
  <dataValidations count="1">
    <dataValidation sqref="R4:R33" showDropDown="0" showInputMessage="1" showErrorMessage="1" allowBlank="1" type="list" errorStyle="stop" operator="between">
      <formula1>Threads</formula1>
      <formula2>0</formula2>
    </dataValidation>
  </dataValidations>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16.xml><?xml version="1.0" encoding="utf-8"?>
<worksheet xmlns="http://schemas.openxmlformats.org/spreadsheetml/2006/main">
  <sheetPr filterMode="0">
    <tabColor rgb="FFC00000"/>
    <outlinePr summaryBelow="1" summaryRight="1"/>
    <pageSetUpPr fitToPage="1"/>
  </sheetPr>
  <dimension ref="A1:AZ109"/>
  <sheetViews>
    <sheetView showFormulas="0" showGridLines="0" showRowColHeaders="1" showZeros="1" rightToLeft="0" tabSelected="0" showOutlineSymbols="1" defaultGridColor="1" view="pageBreakPreview" topLeftCell="D1" colorId="64" zoomScale="85" zoomScaleNormal="85" zoomScalePageLayoutView="85" workbookViewId="0">
      <selection pane="topLeft" activeCell="W2" activeCellId="1" sqref="A11:S58 W2"/>
    </sheetView>
  </sheetViews>
  <sheetFormatPr baseColWidth="8" defaultColWidth="9.11328125" defaultRowHeight="13.5" customHeight="0" zeroHeight="0" outlineLevelRow="0"/>
  <cols>
    <col hidden="1" outlineLevel="1" width="6.67" customWidth="1" style="2178" min="1" max="1"/>
    <col hidden="1" outlineLevel="1" width="16.11" customWidth="1" style="2178" min="2" max="2"/>
    <col hidden="1" outlineLevel="1" width="3.55" customWidth="1" style="2178" min="3" max="3"/>
    <col width="0.67" customWidth="1" style="2178" min="4" max="4"/>
    <col width="6.67" customWidth="1" style="2178" min="5" max="5"/>
    <col width="0.33" customWidth="1" style="2178" min="6" max="6"/>
    <col width="1.56" customWidth="1" style="2178" min="7" max="7"/>
    <col width="0.33" customWidth="1" style="2178" min="8" max="8"/>
    <col width="1.56" customWidth="1" style="2178" min="9" max="9"/>
    <col width="0.45" customWidth="1" style="2178" min="10" max="10"/>
    <col width="1.66" customWidth="1" style="2178" min="11" max="11"/>
    <col width="1.33" customWidth="1" style="2178" min="12" max="12"/>
    <col width="0.33" customWidth="1" style="2178" min="13" max="13"/>
    <col width="1.56" customWidth="1" style="2178" min="14" max="14"/>
    <col width="0.33" customWidth="1" style="2178" min="15" max="15"/>
    <col width="1.56" customWidth="1" style="2178" min="16" max="16"/>
    <col width="0.33" customWidth="1" style="2178" min="17" max="17"/>
    <col width="6.34" customWidth="1" style="2178" min="18" max="18"/>
    <col width="7.45" customWidth="1" style="2178" min="19" max="19"/>
    <col width="7.33" customWidth="1" style="2178" min="20" max="20"/>
    <col width="6.67" customWidth="1" style="2178" min="21" max="21"/>
    <col width="8.67" customWidth="1" style="2178" min="22" max="22"/>
    <col width="11.33" customWidth="1" style="2178" min="23" max="23"/>
    <col width="8.33" customWidth="1" style="2178" min="24" max="25"/>
    <col width="6.89" customWidth="1" style="2178" min="26" max="37"/>
    <col width="7.78" customWidth="1" style="2178" min="38" max="38"/>
    <col width="5.33" customWidth="1" style="2178" min="39" max="40"/>
    <col width="11" customWidth="1" style="2178" min="41" max="41"/>
    <col width="8.67" customWidth="1" style="2178" min="42" max="42"/>
    <col width="5.33" customWidth="1" style="2178" min="43" max="43"/>
    <col width="0.67" customWidth="1" style="2178" min="44" max="44"/>
    <col width="65.78" customWidth="1" style="2178" min="45" max="45"/>
    <col width="9.109999999999999" customWidth="1" style="2178" min="46" max="16384"/>
  </cols>
  <sheetData>
    <row r="1" ht="5.25" customHeight="1" s="1158">
      <c r="G1" s="2179" t="n"/>
      <c r="H1" s="2179" t="n"/>
      <c r="I1" s="2179" t="n"/>
      <c r="J1" s="2179" t="n"/>
      <c r="K1" s="2179" t="n"/>
      <c r="L1" s="2179" t="n"/>
      <c r="M1" s="2179" t="n"/>
      <c r="N1" s="2179" t="n"/>
      <c r="O1" s="2179" t="n"/>
      <c r="P1" s="2179" t="n"/>
      <c r="Q1" s="2179" t="n"/>
    </row>
    <row r="2" ht="15" customHeight="1" s="1158">
      <c r="A2" s="2180" t="inlineStr">
        <is>
          <t>DHWS_BB1436_OP30728CBB30v1</t>
        </is>
      </c>
      <c r="E2" s="2181" t="n"/>
      <c r="F2" s="1319" t="n"/>
      <c r="G2" s="1319" t="n"/>
      <c r="H2" s="1319" t="n"/>
      <c r="I2" s="1319" t="n"/>
      <c r="J2" s="1319" t="n"/>
      <c r="K2" s="1319" t="n"/>
      <c r="L2" s="1319" t="n"/>
      <c r="M2" s="1319" t="n"/>
      <c r="N2" s="1319" t="n"/>
      <c r="O2" s="1319" t="n"/>
      <c r="P2" s="1319" t="n"/>
      <c r="Q2" s="2182" t="n"/>
      <c r="R2" s="2183" t="inlineStr">
        <is>
          <t>DOWNHOLE WELL STATUS</t>
        </is>
      </c>
      <c r="S2" s="1319" t="n"/>
      <c r="T2" s="1319" t="n"/>
      <c r="U2" s="1319" t="n"/>
      <c r="V2" s="2182" t="n"/>
      <c r="W2" s="2184" t="inlineStr">
        <is>
          <t xml:space="preserve">3-1/2" Single Oil Producer, Alloy-28 Tubing, 3-1/2" TRSV, Permanent Conventional Packer, W/ Gas Lift, W/ Actuated Wellhead, Y-Shape
 </t>
        </is>
      </c>
      <c r="X2" s="1319" t="n"/>
      <c r="Y2" s="1319" t="n"/>
      <c r="Z2" s="1319" t="n"/>
      <c r="AA2" s="1319" t="n"/>
      <c r="AB2" s="1319" t="n"/>
      <c r="AC2" s="1319" t="n"/>
      <c r="AD2" s="1319" t="n"/>
      <c r="AE2" s="1319" t="n"/>
      <c r="AF2" s="2182" t="n"/>
      <c r="AG2" s="2185" t="inlineStr">
        <is>
          <t>RIG  :</t>
        </is>
      </c>
      <c r="AH2" s="1319" t="n"/>
      <c r="AI2" s="2186" t="inlineStr">
        <is>
          <t>AD-89</t>
        </is>
      </c>
      <c r="AJ2" s="1319" t="n"/>
      <c r="AK2" s="1319" t="n"/>
      <c r="AL2" s="1319" t="n"/>
      <c r="AM2" s="2187" t="n"/>
      <c r="AN2" s="2188" t="inlineStr">
        <is>
          <t>BB-1436</t>
        </is>
      </c>
      <c r="AO2" s="1319" t="n"/>
      <c r="AP2" s="1319" t="n"/>
      <c r="AQ2" s="1323" t="n"/>
    </row>
    <row r="3" ht="15" customHeight="1" s="1158">
      <c r="A3" s="2180" t="inlineStr">
        <is>
          <t>COMP_BB1436_OP30728CBB30v1</t>
        </is>
      </c>
      <c r="E3" s="1375" t="n"/>
      <c r="Q3" s="2189" t="n"/>
      <c r="R3" s="2190" t="n"/>
      <c r="S3" s="2191" t="n"/>
      <c r="T3" s="2191" t="n"/>
      <c r="U3" s="2191" t="n"/>
      <c r="V3" s="2192" t="n"/>
      <c r="W3" s="2190" t="n"/>
      <c r="X3" s="2191" t="n"/>
      <c r="Y3" s="2191" t="n"/>
      <c r="Z3" s="2191" t="n"/>
      <c r="AA3" s="2191" t="n"/>
      <c r="AB3" s="2191" t="n"/>
      <c r="AC3" s="2191" t="n"/>
      <c r="AD3" s="2191" t="n"/>
      <c r="AE3" s="2191" t="n"/>
      <c r="AF3" s="2192" t="n"/>
      <c r="AG3" s="2190" t="n"/>
      <c r="AH3" s="2191" t="n"/>
      <c r="AI3" s="2191" t="n"/>
      <c r="AJ3" s="2191" t="n"/>
      <c r="AK3" s="2191" t="n"/>
      <c r="AL3" s="2191" t="n"/>
      <c r="AM3" s="2191" t="n"/>
      <c r="AN3" s="2191" t="n"/>
      <c r="AO3" s="2191" t="n"/>
      <c r="AP3" s="2191" t="n"/>
      <c r="AQ3" s="2193" t="n"/>
    </row>
    <row r="4" ht="13.5" customHeight="1" s="1158">
      <c r="E4" s="1375" t="n"/>
      <c r="Q4" s="2189" t="n"/>
      <c r="R4" s="2194" t="inlineStr">
        <is>
          <t>RTKB :</t>
        </is>
      </c>
      <c r="T4" s="2195" t="inlineStr">
        <is>
          <t>17.72'</t>
        </is>
      </c>
      <c r="U4" s="2196" t="inlineStr">
        <is>
          <t>WZL LS :</t>
        </is>
      </c>
      <c r="W4" s="2195" t="n"/>
      <c r="X4" s="2196" t="inlineStr">
        <is>
          <t>GL :</t>
        </is>
      </c>
      <c r="Y4" s="2197" t="inlineStr">
        <is>
          <t>48.13'</t>
        </is>
      </c>
      <c r="Z4" s="2198" t="inlineStr">
        <is>
          <t>CASING , CEMENT &amp; TUBING DATA</t>
        </is>
      </c>
      <c r="AA4" s="2199" t="n"/>
      <c r="AB4" s="2199" t="n"/>
      <c r="AC4" s="2199" t="n"/>
      <c r="AD4" s="2199" t="n"/>
      <c r="AE4" s="2199" t="n"/>
      <c r="AF4" s="2199" t="n"/>
      <c r="AG4" s="2199" t="n"/>
      <c r="AH4" s="2199" t="n"/>
      <c r="AI4" s="2199" t="n"/>
      <c r="AJ4" s="2199" t="n"/>
      <c r="AK4" s="2199" t="n"/>
      <c r="AL4" s="2199" t="n"/>
      <c r="AM4" s="2199" t="n"/>
      <c r="AN4" s="2199" t="n"/>
      <c r="AO4" s="2199" t="n"/>
      <c r="AP4" s="2199" t="n"/>
      <c r="AQ4" s="2200" t="n"/>
      <c r="AT4" s="2201" t="inlineStr">
        <is>
          <t>TYPE</t>
        </is>
      </c>
      <c r="AU4" s="2202" t="inlineStr">
        <is>
          <t>BBL</t>
        </is>
      </c>
      <c r="AV4" s="2203" t="n"/>
      <c r="AW4" s="2204" t="inlineStr">
        <is>
          <t>SL.WT, PPG</t>
        </is>
      </c>
      <c r="AX4" s="2205" t="inlineStr">
        <is>
          <t>RTNS, BBL</t>
        </is>
      </c>
      <c r="AY4" s="2206" t="n"/>
      <c r="AZ4" s="2207" t="inlineStr">
        <is>
          <t>TOP.JOB, BBL</t>
        </is>
      </c>
    </row>
    <row r="5" ht="13.5" customHeight="1" s="1158">
      <c r="A5" s="2208" t="inlineStr">
        <is>
          <t>TIE BACK</t>
        </is>
      </c>
      <c r="B5" s="2208" t="inlineStr">
        <is>
          <t>YES</t>
        </is>
      </c>
      <c r="E5" s="1375" t="n"/>
      <c r="Q5" s="2189" t="n"/>
      <c r="R5" s="2209" t="inlineStr">
        <is>
          <t>THS :</t>
        </is>
      </c>
      <c r="T5" s="2210">
        <f>AO19</f>
        <v/>
      </c>
      <c r="U5" s="2211" t="inlineStr">
        <is>
          <t>WZL SS :</t>
        </is>
      </c>
      <c r="W5" s="2212" t="n"/>
      <c r="X5" s="2211" t="inlineStr">
        <is>
          <t>13-3/8" CHH :</t>
        </is>
      </c>
      <c r="Y5" s="2213" t="n"/>
      <c r="Z5" s="2214" t="inlineStr">
        <is>
          <t>SIZE</t>
        </is>
      </c>
      <c r="AA5" s="2215" t="n"/>
      <c r="AB5" s="2216" t="inlineStr">
        <is>
          <t>WEIGHT</t>
        </is>
      </c>
      <c r="AC5" s="2215" t="n"/>
      <c r="AD5" s="2217" t="inlineStr">
        <is>
          <t>GRADE</t>
        </is>
      </c>
      <c r="AE5" s="2215" t="n"/>
      <c r="AF5" s="2217" t="inlineStr">
        <is>
          <t>CONN</t>
        </is>
      </c>
      <c r="AG5" s="2215" t="n"/>
      <c r="AH5" s="2217" t="inlineStr">
        <is>
          <t>JOINTS</t>
        </is>
      </c>
      <c r="AI5" s="2215" t="n"/>
      <c r="AJ5" s="2216" t="inlineStr">
        <is>
          <t>DEPTH</t>
        </is>
      </c>
      <c r="AK5" s="2215" t="n"/>
      <c r="AL5" s="2218" t="inlineStr">
        <is>
          <t>CEMENT (PPG)</t>
        </is>
      </c>
      <c r="AM5" s="2219" t="n"/>
      <c r="AN5" s="2220" t="n"/>
      <c r="AO5" s="2221" t="n"/>
      <c r="AP5" s="2220">
        <f>AZ4</f>
        <v/>
      </c>
      <c r="AQ5" s="2222" t="n"/>
      <c r="AT5" s="2223" t="inlineStr">
        <is>
          <t>G</t>
        </is>
      </c>
      <c r="AU5" s="2224" t="n">
        <v>100</v>
      </c>
      <c r="AV5" s="2225" t="n"/>
      <c r="AW5" s="2226" t="n">
        <v>15.8</v>
      </c>
      <c r="AX5" s="2227" t="inlineStr">
        <is>
          <t>YES</t>
        </is>
      </c>
      <c r="AY5" s="2228" t="n"/>
      <c r="AZ5" s="2229" t="n">
        <v>5</v>
      </c>
    </row>
    <row r="6" ht="13.5" customHeight="1" s="1158">
      <c r="A6" s="2208" t="inlineStr">
        <is>
          <t>7" TOL</t>
        </is>
      </c>
      <c r="B6" s="2208" t="inlineStr">
        <is>
          <t>YES</t>
        </is>
      </c>
      <c r="E6" s="1375" t="n"/>
      <c r="Q6" s="2189" t="n"/>
      <c r="R6" s="2230" t="inlineStr">
        <is>
          <t>TD  :</t>
        </is>
      </c>
      <c r="S6" s="2231" t="n"/>
      <c r="T6" s="2212" t="n">
        <v>19253</v>
      </c>
      <c r="U6" s="2232" t="inlineStr">
        <is>
          <t>TVD :</t>
        </is>
      </c>
      <c r="V6" s="2233" t="n"/>
      <c r="W6" s="2212" t="n">
        <v>9703</v>
      </c>
      <c r="X6" s="2232" t="inlineStr">
        <is>
          <t>PBTD :</t>
        </is>
      </c>
      <c r="Y6" s="2234" t="inlineStr">
        <is>
          <t>NIL</t>
        </is>
      </c>
      <c r="Z6" s="2235" t="inlineStr">
        <is>
          <t>(INCH)</t>
        </is>
      </c>
      <c r="AA6" s="1194" t="n"/>
      <c r="AB6" s="2236" t="inlineStr">
        <is>
          <t>(LBS)</t>
        </is>
      </c>
      <c r="AC6" s="1194" t="n"/>
      <c r="AD6" s="2237" t="n"/>
      <c r="AE6" s="1194" t="n"/>
      <c r="AF6" s="2237" t="n"/>
      <c r="AG6" s="1194" t="n"/>
      <c r="AH6" s="2237" t="n"/>
      <c r="AI6" s="1194" t="n"/>
      <c r="AJ6" s="2238" t="inlineStr">
        <is>
          <t>MD (FT)</t>
        </is>
      </c>
      <c r="AK6" s="1194" t="n"/>
      <c r="AL6" s="2239">
        <f>AT4</f>
        <v/>
      </c>
      <c r="AM6" s="2240" t="inlineStr">
        <is>
          <t>BBL</t>
        </is>
      </c>
      <c r="AN6" s="2240">
        <f>AW4</f>
        <v/>
      </c>
      <c r="AO6" s="2240">
        <f>AX4</f>
        <v/>
      </c>
      <c r="AP6" s="1440" t="n"/>
      <c r="AQ6" s="2241" t="n"/>
      <c r="AT6" s="2242" t="inlineStr">
        <is>
          <t>Lead Slurry</t>
        </is>
      </c>
      <c r="AU6" s="2243" t="n">
        <v>122</v>
      </c>
      <c r="AV6" s="2244" t="n"/>
      <c r="AW6" s="2245" t="n">
        <v>11.3</v>
      </c>
      <c r="AX6" s="2246" t="n"/>
      <c r="AY6" s="2247" t="n"/>
      <c r="AZ6" s="2244" t="n"/>
    </row>
    <row r="7" ht="13.5" customHeight="1" s="1158">
      <c r="A7" s="2208" t="inlineStr">
        <is>
          <t>VIR CMT</t>
        </is>
      </c>
      <c r="B7" s="2208" t="inlineStr">
        <is>
          <t>NO</t>
        </is>
      </c>
      <c r="E7" s="1375" t="n"/>
      <c r="Q7" s="2189" t="n"/>
      <c r="R7" s="2248" t="inlineStr">
        <is>
          <t>P/U WT :</t>
        </is>
      </c>
      <c r="T7" s="2249" t="n">
        <v>92000</v>
      </c>
      <c r="U7" s="2250" t="inlineStr">
        <is>
          <t>S/O WT :</t>
        </is>
      </c>
      <c r="W7" s="2249" t="n">
        <v>82000</v>
      </c>
      <c r="X7" s="2250" t="inlineStr">
        <is>
          <t>BRINE WT :</t>
        </is>
      </c>
      <c r="Y7" s="2234" t="inlineStr">
        <is>
          <t>8.5 PPG</t>
        </is>
      </c>
      <c r="Z7" s="2251" t="inlineStr">
        <is>
          <t>18-5/8"</t>
        </is>
      </c>
      <c r="AA7" s="1247" t="n"/>
      <c r="AB7" s="2252" t="n">
        <v>87.5</v>
      </c>
      <c r="AC7" s="1249" t="n"/>
      <c r="AD7" s="2252" t="inlineStr">
        <is>
          <t>J-55</t>
        </is>
      </c>
      <c r="AE7" s="1249" t="n"/>
      <c r="AF7" s="2252" t="inlineStr">
        <is>
          <t>BTC</t>
        </is>
      </c>
      <c r="AG7" s="1249" t="n"/>
      <c r="AH7" s="2253">
        <f>'[196]Table 1'!F72</f>
        <v/>
      </c>
      <c r="AI7" s="1249" t="n"/>
      <c r="AJ7" s="2252" t="n">
        <v>160</v>
      </c>
      <c r="AK7" s="1249" t="n"/>
      <c r="AL7" s="2239">
        <f>AT5</f>
        <v/>
      </c>
      <c r="AM7" s="2254">
        <f>AU5</f>
        <v/>
      </c>
      <c r="AN7" s="2255">
        <f>AW5</f>
        <v/>
      </c>
      <c r="AO7" s="2240">
        <f>AX5</f>
        <v/>
      </c>
      <c r="AP7" s="2220">
        <f>AZ6</f>
        <v/>
      </c>
      <c r="AQ7" s="2256" t="n"/>
      <c r="AT7" s="2257" t="n"/>
      <c r="AU7" s="2258" t="n"/>
      <c r="AV7" s="2259" t="n"/>
      <c r="AW7" s="2260" t="n"/>
      <c r="AX7" s="2261" t="n">
        <v>0</v>
      </c>
      <c r="AY7" s="2258" t="n"/>
      <c r="AZ7" s="2262" t="n">
        <v>114</v>
      </c>
    </row>
    <row r="8" ht="13.5" customHeight="1" s="1158">
      <c r="A8" s="2208" t="inlineStr">
        <is>
          <t>SCD</t>
        </is>
      </c>
      <c r="B8" s="2208" t="inlineStr">
        <is>
          <t>NO</t>
        </is>
      </c>
      <c r="E8" s="2263" t="n"/>
      <c r="F8" s="2191" t="n"/>
      <c r="G8" s="2191" t="n"/>
      <c r="H8" s="2191" t="n"/>
      <c r="I8" s="2191" t="n"/>
      <c r="J8" s="2191" t="n"/>
      <c r="K8" s="2191" t="n"/>
      <c r="L8" s="2191" t="n"/>
      <c r="M8" s="2191" t="n"/>
      <c r="N8" s="2191" t="n"/>
      <c r="O8" s="2191" t="n"/>
      <c r="P8" s="2191" t="n"/>
      <c r="Q8" s="2192" t="n"/>
      <c r="R8" s="2264" t="inlineStr">
        <is>
          <t>WELLHEAD DATA</t>
        </is>
      </c>
      <c r="S8" s="2199" t="n"/>
      <c r="T8" s="2199" t="n"/>
      <c r="U8" s="2199" t="n"/>
      <c r="V8" s="2199" t="n"/>
      <c r="W8" s="2199" t="n"/>
      <c r="X8" s="2199" t="n"/>
      <c r="Y8" s="2265" t="n"/>
      <c r="Z8" s="2266" t="inlineStr">
        <is>
          <t>13-3/8"</t>
        </is>
      </c>
      <c r="AA8" s="1428" t="n"/>
      <c r="AB8" s="2267" t="n">
        <v>68</v>
      </c>
      <c r="AC8" s="1428" t="n"/>
      <c r="AD8" s="2267" t="inlineStr">
        <is>
          <t>J-55</t>
        </is>
      </c>
      <c r="AE8" s="1428" t="n"/>
      <c r="AF8" s="2267" t="inlineStr">
        <is>
          <t>BTC</t>
        </is>
      </c>
      <c r="AG8" s="1428" t="n"/>
      <c r="AH8" s="2267" t="n">
        <v>37</v>
      </c>
      <c r="AI8" s="1428" t="n"/>
      <c r="AJ8" s="2267" t="n">
        <v>1580</v>
      </c>
      <c r="AK8" s="1428" t="n"/>
      <c r="AL8" s="2239">
        <f>AT6</f>
        <v/>
      </c>
      <c r="AM8" s="2268">
        <f>AU6</f>
        <v/>
      </c>
      <c r="AN8" s="2269">
        <f>AW6</f>
        <v/>
      </c>
      <c r="AO8" s="2240">
        <f>AX6</f>
        <v/>
      </c>
      <c r="AP8" s="1440" t="n"/>
      <c r="AQ8" s="2270" t="n"/>
      <c r="AT8" s="2271" t="inlineStr">
        <is>
          <t>Tail Slurry</t>
        </is>
      </c>
      <c r="AU8" s="2272" t="n">
        <v>200</v>
      </c>
      <c r="AV8" s="2273" t="n"/>
      <c r="AW8" s="2274" t="n">
        <v>15.8</v>
      </c>
      <c r="AX8" s="2275" t="n"/>
      <c r="AY8" s="2276" t="n"/>
      <c r="AZ8" s="2273" t="n"/>
    </row>
    <row r="9" ht="13.5" customHeight="1" s="1158">
      <c r="E9" s="2277" t="inlineStr">
        <is>
          <t>DESCRIPTION</t>
        </is>
      </c>
      <c r="F9" s="2278" t="n"/>
      <c r="G9" s="2278" t="n"/>
      <c r="H9" s="2278" t="n"/>
      <c r="I9" s="2278" t="n"/>
      <c r="J9" s="2278" t="n"/>
      <c r="K9" s="2221" t="n"/>
      <c r="L9" s="2279" t="inlineStr">
        <is>
          <t>MAKER</t>
        </is>
      </c>
      <c r="M9" s="2278" t="n"/>
      <c r="N9" s="2278" t="n"/>
      <c r="O9" s="2278" t="n"/>
      <c r="P9" s="2278" t="n"/>
      <c r="Q9" s="2221" t="n"/>
      <c r="R9" s="2279" t="inlineStr">
        <is>
          <t>SIZE &amp; PRESSURE</t>
        </is>
      </c>
      <c r="S9" s="2278" t="n"/>
      <c r="T9" s="2278" t="n"/>
      <c r="U9" s="2278" t="n"/>
      <c r="V9" s="2278" t="n"/>
      <c r="W9" s="2221" t="n"/>
      <c r="X9" s="2280" t="inlineStr">
        <is>
          <t>TYPE</t>
        </is>
      </c>
      <c r="Y9" s="2281" t="n"/>
      <c r="Z9" s="2266" t="inlineStr">
        <is>
          <t>9-5/8"</t>
        </is>
      </c>
      <c r="AA9" s="1428" t="n"/>
      <c r="AB9" s="2267" t="n">
        <v>47</v>
      </c>
      <c r="AC9" s="1428" t="n"/>
      <c r="AD9" s="2267" t="inlineStr">
        <is>
          <t>L-80</t>
        </is>
      </c>
      <c r="AE9" s="1428" t="n"/>
      <c r="AF9" s="2267" t="inlineStr">
        <is>
          <t>VTOP</t>
        </is>
      </c>
      <c r="AG9" s="1428" t="n"/>
      <c r="AH9" s="2267" t="n">
        <v>174</v>
      </c>
      <c r="AI9" s="1428" t="n"/>
      <c r="AJ9" s="2267" t="n">
        <v>7329</v>
      </c>
      <c r="AK9" s="1428" t="n"/>
      <c r="AL9" s="2282">
        <f>AT7</f>
        <v/>
      </c>
      <c r="AM9" s="2268">
        <f>AU8</f>
        <v/>
      </c>
      <c r="AN9" s="2269">
        <f>AW7</f>
        <v/>
      </c>
      <c r="AO9" s="2283">
        <f>AX7</f>
        <v/>
      </c>
      <c r="AP9" s="2220">
        <f>AZ8</f>
        <v/>
      </c>
      <c r="AQ9" s="2270" t="n"/>
      <c r="AT9" s="2242" t="inlineStr">
        <is>
          <t>Lead Slurry</t>
        </is>
      </c>
      <c r="AU9" s="2243" t="n">
        <v>528</v>
      </c>
      <c r="AV9" s="2244" t="n"/>
      <c r="AW9" s="2284" t="n">
        <v>10</v>
      </c>
      <c r="AX9" s="1249" t="n"/>
      <c r="AY9" s="2247" t="n"/>
      <c r="AZ9" s="2244" t="n"/>
    </row>
    <row r="10" ht="13.5" customHeight="1" s="1158">
      <c r="E10" s="2285" t="inlineStr">
        <is>
          <t>X-MAS TREE</t>
        </is>
      </c>
      <c r="F10" s="1171" t="n"/>
      <c r="G10" s="1171" t="n"/>
      <c r="H10" s="1171" t="n"/>
      <c r="I10" s="1171" t="n"/>
      <c r="J10" s="1171" t="n"/>
      <c r="K10" s="1168" t="n"/>
      <c r="L10" s="2286" t="inlineStr">
        <is>
          <t>BH</t>
        </is>
      </c>
      <c r="M10" s="1171" t="n"/>
      <c r="N10" s="1171" t="n"/>
      <c r="O10" s="1171" t="n"/>
      <c r="P10" s="1171" t="n"/>
      <c r="Q10" s="1168" t="n"/>
      <c r="R10" s="2286" t="inlineStr">
        <is>
          <t>11 X 4-1/16 5K</t>
        </is>
      </c>
      <c r="S10" s="1171" t="n"/>
      <c r="T10" s="1171" t="n"/>
      <c r="U10" s="1171" t="n"/>
      <c r="V10" s="1171" t="n"/>
      <c r="W10" s="1168" t="n"/>
      <c r="X10" s="2286" t="inlineStr">
        <is>
          <t>Y BLOCK</t>
        </is>
      </c>
      <c r="Y10" s="1168" t="n"/>
      <c r="Z10" s="2287" t="inlineStr">
        <is>
          <t>7"</t>
        </is>
      </c>
      <c r="AA10" s="1428" t="n"/>
      <c r="AB10" s="2267" t="n">
        <v>29</v>
      </c>
      <c r="AC10" s="1428" t="n"/>
      <c r="AD10" s="2267" t="inlineStr">
        <is>
          <t>L-80</t>
        </is>
      </c>
      <c r="AE10" s="1428" t="n"/>
      <c r="AF10" s="2267" t="inlineStr">
        <is>
          <t>VTOP</t>
        </is>
      </c>
      <c r="AG10" s="1428" t="n"/>
      <c r="AH10" s="2267" t="n"/>
      <c r="AI10" s="1428" t="n"/>
      <c r="AJ10" s="2267" t="inlineStr">
        <is>
          <t>0-7025</t>
        </is>
      </c>
      <c r="AK10" s="1428" t="n"/>
      <c r="AL10" s="2239">
        <f>AT8</f>
        <v/>
      </c>
      <c r="AM10" s="2268">
        <f>AU9</f>
        <v/>
      </c>
      <c r="AN10" s="2269">
        <f>AW8</f>
        <v/>
      </c>
      <c r="AO10" s="2240">
        <f>AX8</f>
        <v/>
      </c>
      <c r="AP10" s="1440" t="n"/>
      <c r="AQ10" s="2270" t="n"/>
      <c r="AT10" s="2257" t="n"/>
      <c r="AU10" s="2276" t="n"/>
      <c r="AV10" s="2273" t="n"/>
      <c r="AW10" s="2275" t="n"/>
      <c r="AX10" s="2261" t="n">
        <v>150</v>
      </c>
      <c r="AY10" s="2258" t="n"/>
      <c r="AZ10" s="2262" t="n">
        <v>334</v>
      </c>
    </row>
    <row r="11" ht="13.5" customHeight="1" s="1158">
      <c r="E11" s="2285" t="inlineStr">
        <is>
          <t>SIDE OUTLETS</t>
        </is>
      </c>
      <c r="F11" s="1171" t="n"/>
      <c r="G11" s="1171" t="n"/>
      <c r="H11" s="1171" t="n"/>
      <c r="I11" s="1171" t="n"/>
      <c r="J11" s="1171" t="n"/>
      <c r="K11" s="1168" t="n"/>
      <c r="L11" s="2286" t="inlineStr">
        <is>
          <t>BH</t>
        </is>
      </c>
      <c r="M11" s="1171" t="n"/>
      <c r="N11" s="1171" t="n"/>
      <c r="O11" s="1171" t="n"/>
      <c r="P11" s="1171" t="n"/>
      <c r="Q11" s="1168" t="n"/>
      <c r="R11" s="2286" t="inlineStr">
        <is>
          <t>4-1/16 5K</t>
        </is>
      </c>
      <c r="S11" s="1171" t="n"/>
      <c r="T11" s="1171" t="n"/>
      <c r="U11" s="1171" t="n"/>
      <c r="V11" s="1171" t="n"/>
      <c r="W11" s="1168" t="n"/>
      <c r="X11" s="2286" t="n">
        <v>2200</v>
      </c>
      <c r="Y11" s="1168" t="n"/>
      <c r="Z11" s="2287" t="inlineStr">
        <is>
          <t>7"</t>
        </is>
      </c>
      <c r="AA11" s="1428" t="n"/>
      <c r="AB11" s="2267" t="n">
        <v>29</v>
      </c>
      <c r="AC11" s="1428" t="n"/>
      <c r="AD11" s="2267" t="inlineStr">
        <is>
          <t>L-80</t>
        </is>
      </c>
      <c r="AE11" s="1428" t="n"/>
      <c r="AF11" s="2267" t="inlineStr">
        <is>
          <t>VTOP</t>
        </is>
      </c>
      <c r="AG11" s="1428" t="n"/>
      <c r="AH11" s="2267" t="n">
        <v>75</v>
      </c>
      <c r="AI11" s="1428" t="n"/>
      <c r="AJ11" s="2267" t="inlineStr">
        <is>
          <t>7025-9399</t>
        </is>
      </c>
      <c r="AK11" s="1428" t="n"/>
      <c r="AL11" s="2239">
        <f>AT9</f>
        <v/>
      </c>
      <c r="AM11" s="2268">
        <f>AU11</f>
        <v/>
      </c>
      <c r="AN11" s="2269">
        <f>AW9</f>
        <v/>
      </c>
      <c r="AO11" s="2283">
        <f>AX9</f>
        <v/>
      </c>
      <c r="AP11" s="2220">
        <f>AZ10</f>
        <v/>
      </c>
      <c r="AQ11" s="2270" t="n"/>
      <c r="AT11" s="2288" t="inlineStr">
        <is>
          <t>Tail Slurry</t>
        </is>
      </c>
      <c r="AU11" s="2224" t="n">
        <v>200</v>
      </c>
      <c r="AV11" s="2225" t="n"/>
      <c r="AW11" s="2289" t="n">
        <v>15.8</v>
      </c>
      <c r="AX11" s="1194" t="n"/>
      <c r="AY11" s="2276" t="n"/>
      <c r="AZ11" s="2273" t="n"/>
    </row>
    <row r="12" ht="13.5" customHeight="1" s="1158">
      <c r="E12" s="2285" t="inlineStr">
        <is>
          <t>TUBING HANGER</t>
        </is>
      </c>
      <c r="F12" s="1171" t="n"/>
      <c r="G12" s="1171" t="n"/>
      <c r="H12" s="1171" t="n"/>
      <c r="I12" s="1171" t="n"/>
      <c r="J12" s="1171" t="n"/>
      <c r="K12" s="1168" t="n"/>
      <c r="L12" s="2286" t="inlineStr">
        <is>
          <t>BH</t>
        </is>
      </c>
      <c r="M12" s="1171" t="n"/>
      <c r="N12" s="1171" t="n"/>
      <c r="O12" s="1171" t="n"/>
      <c r="P12" s="1171" t="n"/>
      <c r="Q12" s="1168" t="n"/>
      <c r="R12" s="2286" t="inlineStr">
        <is>
          <t>11 X 4-1/2 5K</t>
        </is>
      </c>
      <c r="S12" s="1171" t="n"/>
      <c r="T12" s="1171" t="n"/>
      <c r="U12" s="1171" t="n"/>
      <c r="V12" s="1171" t="n"/>
      <c r="W12" s="1168" t="n"/>
      <c r="X12" s="2286" t="inlineStr">
        <is>
          <t>CWCT-ED-CCL</t>
        </is>
      </c>
      <c r="Y12" s="1168" t="n"/>
      <c r="Z12" s="2287" t="inlineStr">
        <is>
          <t>7"</t>
        </is>
      </c>
      <c r="AA12" s="1428" t="n"/>
      <c r="AB12" s="2267" t="n">
        <v>29</v>
      </c>
      <c r="AC12" s="1428" t="n"/>
      <c r="AD12" s="2267" t="inlineStr">
        <is>
          <t>ALLOY 28</t>
        </is>
      </c>
      <c r="AE12" s="1428" t="n"/>
      <c r="AF12" s="2267" t="inlineStr">
        <is>
          <t>VTOP</t>
        </is>
      </c>
      <c r="AG12" s="1428" t="n"/>
      <c r="AH12" s="2267" t="n">
        <v>57</v>
      </c>
      <c r="AI12" s="1428" t="n"/>
      <c r="AJ12" s="2267" t="inlineStr">
        <is>
          <t>9399-11597</t>
        </is>
      </c>
      <c r="AK12" s="1428" t="n"/>
      <c r="AL12" s="2239" t="n"/>
      <c r="AM12" s="2268">
        <f>AU12</f>
        <v/>
      </c>
      <c r="AN12" s="2269">
        <f>AW10</f>
        <v/>
      </c>
      <c r="AO12" s="2283">
        <f>AX10</f>
        <v/>
      </c>
      <c r="AP12" s="1440" t="n"/>
      <c r="AQ12" s="2270" t="n"/>
      <c r="AT12" s="2242" t="inlineStr">
        <is>
          <t>Lead Slurry</t>
        </is>
      </c>
      <c r="AU12" s="2243" t="n">
        <v>90</v>
      </c>
      <c r="AV12" s="2244" t="n"/>
      <c r="AW12" s="2290" t="n">
        <v>15.8</v>
      </c>
      <c r="AX12" s="1249" t="n"/>
      <c r="AY12" s="2247" t="n"/>
      <c r="AZ12" s="2244" t="n"/>
    </row>
    <row r="13" ht="13.5" customHeight="1" s="1158">
      <c r="E13" s="2285" t="inlineStr">
        <is>
          <t>TH SPOOL</t>
        </is>
      </c>
      <c r="F13" s="1171" t="n"/>
      <c r="G13" s="1171" t="n"/>
      <c r="H13" s="1171" t="n"/>
      <c r="I13" s="1171" t="n"/>
      <c r="J13" s="1171" t="n"/>
      <c r="K13" s="1168" t="n"/>
      <c r="L13" s="2286" t="inlineStr">
        <is>
          <t>BH</t>
        </is>
      </c>
      <c r="M13" s="1171" t="n"/>
      <c r="N13" s="1171" t="n"/>
      <c r="O13" s="1171" t="n"/>
      <c r="P13" s="1171" t="n"/>
      <c r="Q13" s="1168" t="n"/>
      <c r="R13" s="2286" t="inlineStr">
        <is>
          <t xml:space="preserve">11 X 11 5K </t>
        </is>
      </c>
      <c r="S13" s="1171" t="n"/>
      <c r="T13" s="1171" t="n"/>
      <c r="U13" s="1171" t="n"/>
      <c r="V13" s="1171" t="n"/>
      <c r="W13" s="1168" t="n"/>
      <c r="X13" s="2286" t="inlineStr">
        <is>
          <t>CWCT-ED-EBS3</t>
        </is>
      </c>
      <c r="Y13" s="1168" t="n"/>
      <c r="Z13" s="2291" t="n"/>
      <c r="AA13" s="1194" t="n"/>
      <c r="AB13" s="2292" t="n"/>
      <c r="AC13" s="1194" t="n"/>
      <c r="AD13" s="2292" t="n"/>
      <c r="AE13" s="1194" t="n"/>
      <c r="AF13" s="2292" t="n"/>
      <c r="AG13" s="1194" t="n"/>
      <c r="AH13" s="2292" t="n"/>
      <c r="AI13" s="1194" t="n"/>
      <c r="AJ13" s="2292" t="n"/>
      <c r="AK13" s="1194" t="n"/>
      <c r="AL13" s="2239">
        <f>AT11</f>
        <v/>
      </c>
      <c r="AM13" s="2268">
        <f>AU14</f>
        <v/>
      </c>
      <c r="AN13" s="2269">
        <f>AW11</f>
        <v/>
      </c>
      <c r="AO13" s="2293">
        <f>AX11</f>
        <v/>
      </c>
      <c r="AP13" s="2294" t="n"/>
      <c r="AQ13" s="2270" t="n"/>
      <c r="AT13" s="2257" t="n"/>
      <c r="AU13" s="2258" t="n"/>
      <c r="AV13" s="2259" t="n"/>
      <c r="AW13" s="2260" t="n"/>
      <c r="AX13" s="1428" t="n"/>
      <c r="AY13" s="2258" t="n"/>
      <c r="AZ13" s="2259" t="n"/>
    </row>
    <row r="14" ht="13.5" customHeight="1" s="1158">
      <c r="E14" s="2295" t="inlineStr">
        <is>
          <t>CHS</t>
        </is>
      </c>
      <c r="F14" s="1171" t="n"/>
      <c r="G14" s="1171" t="n"/>
      <c r="H14" s="1171" t="n"/>
      <c r="I14" s="1171" t="n"/>
      <c r="J14" s="1171" t="n"/>
      <c r="K14" s="1168" t="n"/>
      <c r="L14" s="2286" t="inlineStr">
        <is>
          <t>BH</t>
        </is>
      </c>
      <c r="M14" s="1171" t="n"/>
      <c r="N14" s="1171" t="n"/>
      <c r="O14" s="1171" t="n"/>
      <c r="P14" s="1168" t="n"/>
      <c r="Q14" s="2286" t="n"/>
      <c r="R14" s="2286" t="inlineStr">
        <is>
          <t>13-5/8 X 11 5K</t>
        </is>
      </c>
      <c r="S14" s="1171" t="n"/>
      <c r="T14" s="1171" t="n"/>
      <c r="U14" s="1171" t="n"/>
      <c r="V14" s="1171" t="n"/>
      <c r="W14" s="1168" t="n"/>
      <c r="X14" s="2286" t="inlineStr">
        <is>
          <t>CWCT-ED</t>
        </is>
      </c>
      <c r="Y14" s="1168" t="n"/>
      <c r="Z14" s="2296" t="inlineStr">
        <is>
          <t>3-1/2"</t>
        </is>
      </c>
      <c r="AA14" s="1247" t="n"/>
      <c r="AB14" s="2252" t="n">
        <v>9.199999999999999</v>
      </c>
      <c r="AC14" s="1249" t="n"/>
      <c r="AD14" s="2252" t="inlineStr">
        <is>
          <t>ALLOY 28</t>
        </is>
      </c>
      <c r="AE14" s="1249" t="n"/>
      <c r="AF14" s="2252" t="inlineStr">
        <is>
          <t>TSH BL</t>
        </is>
      </c>
      <c r="AG14" s="1249" t="n"/>
      <c r="AH14" s="2252" t="n">
        <v>364</v>
      </c>
      <c r="AI14" s="1249" t="n"/>
      <c r="AJ14" s="2297">
        <f>AP73</f>
        <v/>
      </c>
      <c r="AK14" s="1249" t="n"/>
      <c r="AL14" s="2252" t="n"/>
      <c r="AM14" s="2252" t="n"/>
      <c r="AN14" s="2252" t="n"/>
      <c r="AO14" s="2252" t="n"/>
      <c r="AP14" s="2252" t="n"/>
      <c r="AQ14" s="2298" t="n"/>
      <c r="AT14" s="2299" t="inlineStr">
        <is>
          <t>Tail Slurry</t>
        </is>
      </c>
      <c r="AU14" s="2272" t="n">
        <v>110</v>
      </c>
      <c r="AV14" s="2273" t="n"/>
      <c r="AW14" s="2300" t="n">
        <v>16.7</v>
      </c>
      <c r="AX14" s="1428" t="n"/>
      <c r="AY14" s="2258" t="n"/>
      <c r="AZ14" s="2259" t="n"/>
    </row>
    <row r="15" ht="13.5" customHeight="1" s="1158">
      <c r="E15" s="2285" t="inlineStr">
        <is>
          <t>FLUTED CSG HGR</t>
        </is>
      </c>
      <c r="F15" s="1171" t="n"/>
      <c r="G15" s="1171" t="n"/>
      <c r="H15" s="1171" t="n"/>
      <c r="I15" s="1171" t="n"/>
      <c r="J15" s="1171" t="n"/>
      <c r="K15" s="1168" t="n"/>
      <c r="L15" s="2286" t="inlineStr">
        <is>
          <t>BH</t>
        </is>
      </c>
      <c r="M15" s="1171" t="n"/>
      <c r="N15" s="1171" t="n"/>
      <c r="O15" s="1171" t="n"/>
      <c r="P15" s="1171" t="n"/>
      <c r="Q15" s="1168" t="n"/>
      <c r="R15" s="2286" t="inlineStr">
        <is>
          <t>7 X 11 5K</t>
        </is>
      </c>
      <c r="S15" s="1171" t="n"/>
      <c r="T15" s="1171" t="n"/>
      <c r="U15" s="1171" t="n"/>
      <c r="V15" s="1171" t="n"/>
      <c r="W15" s="1168" t="n"/>
      <c r="X15" s="2286" t="inlineStr">
        <is>
          <t>FMH</t>
        </is>
      </c>
      <c r="Y15" s="1168" t="n"/>
      <c r="Z15" s="2287" t="n"/>
      <c r="AA15" s="1428" t="n"/>
      <c r="AB15" s="2267" t="n"/>
      <c r="AC15" s="1428" t="n"/>
      <c r="AD15" s="2267" t="n"/>
      <c r="AE15" s="1428" t="n"/>
      <c r="AF15" s="2267" t="n"/>
      <c r="AG15" s="1428" t="n"/>
      <c r="AH15" s="2267" t="n"/>
      <c r="AI15" s="1428" t="n"/>
      <c r="AJ15" s="2267" t="n"/>
      <c r="AK15" s="1428" t="n"/>
      <c r="AL15" s="2301" t="n"/>
      <c r="AM15" s="2301" t="n"/>
      <c r="AN15" s="2301" t="n"/>
      <c r="AO15" s="2301" t="n"/>
      <c r="AP15" s="2301" t="n"/>
      <c r="AQ15" s="2301" t="n"/>
    </row>
    <row r="16" ht="13.5" customHeight="1" s="1158">
      <c r="E16" s="2285" t="inlineStr">
        <is>
          <t>FLUTED CSG HGR</t>
        </is>
      </c>
      <c r="F16" s="1171" t="n"/>
      <c r="G16" s="1171" t="n"/>
      <c r="H16" s="1171" t="n"/>
      <c r="I16" s="1171" t="n"/>
      <c r="J16" s="1171" t="n"/>
      <c r="K16" s="1168" t="n"/>
      <c r="L16" s="2286" t="inlineStr">
        <is>
          <t>CAMR</t>
        </is>
      </c>
      <c r="M16" s="1171" t="n"/>
      <c r="N16" s="1171" t="n"/>
      <c r="O16" s="1171" t="n"/>
      <c r="P16" s="1168" t="n"/>
      <c r="Q16" s="2286" t="n"/>
      <c r="R16" s="2286" t="inlineStr">
        <is>
          <t>13-3/8 X 9-5/8 3K</t>
        </is>
      </c>
      <c r="S16" s="1171" t="n"/>
      <c r="T16" s="1171" t="n"/>
      <c r="U16" s="1171" t="n"/>
      <c r="V16" s="1171" t="n"/>
      <c r="W16" s="1168" t="n"/>
      <c r="X16" s="2286" t="inlineStr">
        <is>
          <t>FMH</t>
        </is>
      </c>
      <c r="Y16" s="1168" t="n"/>
      <c r="Z16" s="2302" t="n"/>
      <c r="AA16" s="2303" t="n"/>
      <c r="AB16" s="2304" t="n"/>
      <c r="AC16" s="2303" t="n"/>
      <c r="AD16" s="2304" t="n"/>
      <c r="AE16" s="2303" t="n"/>
      <c r="AF16" s="2304" t="n"/>
      <c r="AG16" s="2303" t="n"/>
      <c r="AH16" s="2304" t="n"/>
      <c r="AI16" s="2303" t="n"/>
      <c r="AJ16" s="2304" t="n"/>
      <c r="AK16" s="2303" t="n"/>
      <c r="AL16" s="2301" t="n"/>
      <c r="AM16" s="2301" t="n"/>
      <c r="AN16" s="2301" t="n"/>
      <c r="AO16" s="2301" t="n"/>
      <c r="AP16" s="2301" t="n"/>
      <c r="AQ16" s="2301" t="n"/>
    </row>
    <row r="17" ht="13.5" customHeight="1" s="1158">
      <c r="E17" s="2285" t="inlineStr">
        <is>
          <t>CH HOUSING</t>
        </is>
      </c>
      <c r="F17" s="1171" t="n"/>
      <c r="G17" s="1171" t="n"/>
      <c r="H17" s="1171" t="n"/>
      <c r="I17" s="1171" t="n"/>
      <c r="J17" s="1171" t="n"/>
      <c r="K17" s="1168" t="n"/>
      <c r="L17" s="2286" t="inlineStr">
        <is>
          <t>CAMR</t>
        </is>
      </c>
      <c r="M17" s="1171" t="n"/>
      <c r="N17" s="1171" t="n"/>
      <c r="O17" s="1171" t="n"/>
      <c r="P17" s="1171" t="n"/>
      <c r="Q17" s="1168" t="n"/>
      <c r="R17" s="2286" t="inlineStr">
        <is>
          <t>13-3/8 X 13-5/8 3K</t>
        </is>
      </c>
      <c r="S17" s="1171" t="n"/>
      <c r="T17" s="1171" t="n"/>
      <c r="U17" s="1171" t="n"/>
      <c r="V17" s="1171" t="n"/>
      <c r="W17" s="1168" t="n"/>
      <c r="X17" s="2286" t="inlineStr">
        <is>
          <t>CAMR</t>
        </is>
      </c>
      <c r="Y17" s="1168" t="n"/>
      <c r="Z17" s="2305" t="n"/>
      <c r="AA17" s="2305" t="n"/>
      <c r="AB17" s="2305" t="n"/>
      <c r="AC17" s="2305" t="n"/>
      <c r="AD17" s="2305" t="n"/>
      <c r="AE17" s="2305" t="n"/>
      <c r="AF17" s="2305" t="n"/>
      <c r="AG17" s="2305" t="n"/>
      <c r="AH17" s="2305" t="n"/>
      <c r="AI17" s="2305" t="n"/>
      <c r="AJ17" s="2305" t="n"/>
      <c r="AK17" s="2287" t="n"/>
      <c r="AL17" s="2306" t="n"/>
      <c r="AM17" s="2306" t="n"/>
      <c r="AN17" s="2287" t="n"/>
      <c r="AO17" s="2306" t="n"/>
      <c r="AP17" s="2306" t="n"/>
      <c r="AQ17" s="2307" t="n"/>
    </row>
    <row r="18" ht="14.25" customHeight="1" s="1158">
      <c r="A18" s="2308" t="inlineStr">
        <is>
          <t>TBG_1</t>
        </is>
      </c>
      <c r="B18" s="2309" t="n">
        <v>1</v>
      </c>
      <c r="C18" s="2309" t="n"/>
      <c r="E18" s="2310" t="n"/>
      <c r="F18" s="2311" t="n"/>
      <c r="G18" s="2312" t="n"/>
      <c r="P18" s="2313" t="n"/>
      <c r="Q18" s="2311" t="n"/>
      <c r="S18" s="2314" t="n"/>
      <c r="T18" s="2180" t="n"/>
      <c r="U18" s="2180" t="n"/>
      <c r="V18" s="2180" t="n"/>
      <c r="W18" s="2180" t="n"/>
      <c r="X18" s="2315" t="inlineStr">
        <is>
          <t>ITEM</t>
        </is>
      </c>
      <c r="Y18" s="2316" t="inlineStr">
        <is>
          <t>DESCRIPTION</t>
        </is>
      </c>
      <c r="Z18" s="1193" t="n"/>
      <c r="AA18" s="1193" t="n"/>
      <c r="AB18" s="1193" t="n"/>
      <c r="AC18" s="1193" t="n"/>
      <c r="AD18" s="1193" t="n"/>
      <c r="AE18" s="1193" t="n"/>
      <c r="AF18" s="1193" t="n"/>
      <c r="AG18" s="1193" t="n"/>
      <c r="AH18" s="1193" t="n"/>
      <c r="AI18" s="1193" t="n"/>
      <c r="AJ18" s="1193" t="n"/>
      <c r="AK18" s="1194" t="n"/>
      <c r="AL18" s="2317" t="inlineStr">
        <is>
          <t>ID</t>
        </is>
      </c>
      <c r="AM18" s="2318" t="inlineStr">
        <is>
          <t>OD</t>
        </is>
      </c>
      <c r="AN18" s="2221" t="n"/>
      <c r="AO18" s="2317" t="inlineStr">
        <is>
          <t>LENGTH</t>
        </is>
      </c>
      <c r="AP18" s="2319" t="inlineStr">
        <is>
          <t>MD</t>
        </is>
      </c>
      <c r="AQ18" s="2320" t="n"/>
    </row>
    <row r="19" ht="14.25" customHeight="1" s="1158">
      <c r="A19" s="2308" t="inlineStr">
        <is>
          <t>THSV_1</t>
        </is>
      </c>
      <c r="B19" s="2309" t="n">
        <v>1</v>
      </c>
      <c r="C19" s="2309" t="n"/>
      <c r="E19" s="2310" t="n"/>
      <c r="F19" s="2311" t="n"/>
      <c r="G19" s="2312" t="n"/>
      <c r="P19" s="2313" t="n"/>
      <c r="Q19" s="2311" t="n"/>
      <c r="S19" s="2314" t="n"/>
      <c r="T19" s="2180" t="n"/>
      <c r="U19" s="2180" t="n"/>
      <c r="V19" s="2180" t="n"/>
      <c r="W19" s="2180" t="n"/>
      <c r="X19" s="2321" t="n"/>
      <c r="Y19" s="2322" t="inlineStr">
        <is>
          <t>ELEVATION</t>
        </is>
      </c>
      <c r="Z19" s="2322" t="n"/>
      <c r="AA19" s="2322" t="n"/>
      <c r="AB19" s="2322" t="n"/>
      <c r="AC19" s="2322" t="n"/>
      <c r="AD19" s="2322" t="n"/>
      <c r="AE19" s="2322" t="n"/>
      <c r="AF19" s="2322" t="n"/>
      <c r="AG19" s="2322" t="n"/>
      <c r="AH19" s="2322" t="n"/>
      <c r="AI19" s="2322" t="n"/>
      <c r="AJ19" s="2322" t="n"/>
      <c r="AK19" s="2323" t="n"/>
      <c r="AL19" s="2324" t="n"/>
      <c r="AM19" s="2325" t="n"/>
      <c r="AN19" s="1249" t="n"/>
      <c r="AO19" s="2326" t="n">
        <v>20.27</v>
      </c>
      <c r="AP19" s="2327">
        <f>AP20-AO19</f>
        <v/>
      </c>
      <c r="AQ19" s="1272" t="n"/>
    </row>
    <row r="20" ht="65.25" customHeight="1" s="1158">
      <c r="A20" s="2308" t="inlineStr">
        <is>
          <t>SPM_1</t>
        </is>
      </c>
      <c r="B20" s="2309" t="n">
        <v>1</v>
      </c>
      <c r="C20" s="2309" t="inlineStr">
        <is>
          <t>***</t>
        </is>
      </c>
      <c r="E20" s="2310" t="n"/>
      <c r="F20" s="2311" t="n"/>
      <c r="G20" s="2312" t="n"/>
      <c r="P20" s="2313" t="n"/>
      <c r="Q20" s="2311" t="n"/>
      <c r="S20" s="2314" t="n"/>
      <c r="T20" s="2180" t="n"/>
      <c r="U20" s="2180" t="n"/>
      <c r="V20" s="2180" t="n"/>
      <c r="W20" s="2180" t="n"/>
      <c r="X20" s="2328" t="n">
        <v>1</v>
      </c>
      <c r="Y20" s="2329" t="inlineStr">
        <is>
          <t>UPPER CONN . 4-1/2" VAM TOP 12.6 #PPF INC 718 120 KSI BOX
DESCRIPTION : GE TBGHGR; CWCT-ED-CLL; 11 X 4-1/2; 4-1/2 12.6 PPF
VAM TOP BOX BTM; 4-1/2 VAM
P/N: R893330-1ADC11 REV D S/N - ADWHT80698-05
SAP: 1300010044633 SUPPLIER: GE
LOWER CONN . 4-1/2" VAM TOP 12.6 #PPF INC 718 120 KSI BOXUPPER CONN . 4-1/2" VAM TOP 12.6 #PPF INC 718 120 KSI BOX
DESCRIPTION : GE TBGHGR; CWCT-ED-CLL; 11 X 4-1/2; 4-1/2 12.6 PPF
VAM TOP BOX BTM; 4-1/2 VAM
P/N: R893330-1ADC11 REV D S/N - ADWHT80698-05
SAP: 1300010044633 SUPPLIER: GE
LOWER CONN . 4-1/2" VAM TOP 12.6 #PPF INC 718 120 KSI BOX</t>
        </is>
      </c>
      <c r="Z20" s="1171" t="n"/>
      <c r="AA20" s="1171" t="n"/>
      <c r="AB20" s="1171" t="n"/>
      <c r="AC20" s="1171" t="n"/>
      <c r="AD20" s="1171" t="n"/>
      <c r="AE20" s="1171" t="n"/>
      <c r="AF20" s="1171" t="n"/>
      <c r="AG20" s="1171" t="n"/>
      <c r="AH20" s="1171" t="n"/>
      <c r="AI20" s="1171" t="n"/>
      <c r="AJ20" s="1171" t="n"/>
      <c r="AK20" s="2330" t="n"/>
      <c r="AL20" s="2331" t="n">
        <v>3.9</v>
      </c>
      <c r="AM20" s="2331" t="n">
        <v>11</v>
      </c>
      <c r="AN20" s="2331" t="n">
        <v>1.9</v>
      </c>
      <c r="AO20" s="2332" t="n"/>
      <c r="AP20" s="2327">
        <f>AP21-AO20</f>
        <v/>
      </c>
      <c r="AQ20" s="1272" t="n"/>
      <c r="AR20" s="2333" t="n"/>
    </row>
    <row r="21" ht="13.5" customHeight="1" s="1158">
      <c r="A21" s="2308" t="inlineStr">
        <is>
          <t>SPM_2</t>
        </is>
      </c>
      <c r="B21" s="2309" t="n">
        <v>1</v>
      </c>
      <c r="C21" s="2309" t="inlineStr">
        <is>
          <t>*</t>
        </is>
      </c>
      <c r="E21" s="2310" t="n"/>
      <c r="F21" s="2311" t="n"/>
      <c r="G21" s="2312" t="n"/>
      <c r="P21" s="2313" t="n"/>
      <c r="Q21" s="2311" t="n"/>
      <c r="S21" s="2314" t="n"/>
      <c r="T21" s="2180" t="n"/>
      <c r="U21" s="2180" t="n"/>
      <c r="V21" s="2180" t="n"/>
      <c r="W21" s="2180" t="n"/>
      <c r="X21" s="2328" t="n">
        <v>2</v>
      </c>
      <c r="Y21" s="2329" t="inlineStr">
        <is>
          <t>X-O 4-1/2" VTOP P X 3-1/2" ALLOY 28 TSH BL P</t>
        </is>
      </c>
      <c r="Z21" s="1171" t="n"/>
      <c r="AA21" s="1171" t="n"/>
      <c r="AB21" s="1171" t="n"/>
      <c r="AC21" s="1171" t="n"/>
      <c r="AD21" s="1171" t="n"/>
      <c r="AE21" s="1171" t="n"/>
      <c r="AF21" s="1171" t="n"/>
      <c r="AG21" s="1171" t="n"/>
      <c r="AH21" s="1171" t="n"/>
      <c r="AI21" s="1171" t="n"/>
      <c r="AJ21" s="1171" t="n"/>
      <c r="AK21" s="2330" t="n"/>
      <c r="AL21" s="2331" t="n">
        <v>2.969</v>
      </c>
      <c r="AM21" s="2331" t="n">
        <v>4.5</v>
      </c>
      <c r="AN21" s="2331" t="n">
        <v>2.48</v>
      </c>
      <c r="AO21" s="2332" t="n"/>
      <c r="AP21" s="2327">
        <f>AP22-AO21</f>
        <v/>
      </c>
      <c r="AQ21" s="1272" t="n"/>
      <c r="AR21" s="2333" t="n"/>
    </row>
    <row r="22" ht="13.5" customHeight="1" s="1158">
      <c r="A22" s="2308" t="inlineStr">
        <is>
          <t>SPM_3</t>
        </is>
      </c>
      <c r="B22" s="2309" t="n">
        <v>1</v>
      </c>
      <c r="C22" s="2309" t="inlineStr">
        <is>
          <t>*</t>
        </is>
      </c>
      <c r="E22" s="2310" t="n"/>
      <c r="F22" s="2311" t="n"/>
      <c r="G22" s="2312" t="n"/>
      <c r="P22" s="2313" t="n"/>
      <c r="Q22" s="2311" t="n"/>
      <c r="S22" s="2314" t="n"/>
      <c r="T22" s="2180" t="n"/>
      <c r="U22" s="2180" t="n"/>
      <c r="V22" s="2180" t="n"/>
      <c r="W22" s="2180" t="n"/>
      <c r="X22" s="2328" t="n">
        <v>3</v>
      </c>
      <c r="Y22" s="2329" t="inlineStr">
        <is>
          <t>3-1/2" 5 FT PUP JT 9.2 LB/FT ALLOY 28 TSH BL</t>
        </is>
      </c>
      <c r="Z22" s="1171" t="n"/>
      <c r="AA22" s="1171" t="n"/>
      <c r="AB22" s="1171" t="n"/>
      <c r="AC22" s="1171" t="n"/>
      <c r="AD22" s="1171" t="n"/>
      <c r="AE22" s="1171" t="n"/>
      <c r="AF22" s="1171" t="n"/>
      <c r="AG22" s="1171" t="n"/>
      <c r="AH22" s="1171" t="n"/>
      <c r="AI22" s="1171" t="n"/>
      <c r="AJ22" s="1171" t="n"/>
      <c r="AK22" s="2330" t="n"/>
      <c r="AL22" s="2331" t="n">
        <v>2.969</v>
      </c>
      <c r="AM22" s="2331" t="n">
        <v>3.937</v>
      </c>
      <c r="AN22" s="2331" t="n">
        <v>5.08</v>
      </c>
      <c r="AO22" s="2332" t="n"/>
      <c r="AP22" s="2327">
        <f>AP23-AO22</f>
        <v/>
      </c>
      <c r="AQ22" s="1272" t="n"/>
      <c r="AR22" s="2333" t="n"/>
      <c r="AV22" s="2334">
        <f>AO28-0.301</f>
        <v/>
      </c>
    </row>
    <row r="23" ht="13.5" customHeight="1" s="1158">
      <c r="A23" s="2308" t="inlineStr">
        <is>
          <t>SPM_4</t>
        </is>
      </c>
      <c r="B23" s="2309" t="n">
        <v>1</v>
      </c>
      <c r="C23" s="2309" t="n"/>
      <c r="E23" s="2310" t="n"/>
      <c r="F23" s="2311" t="n"/>
      <c r="G23" s="2312" t="n"/>
      <c r="P23" s="2313" t="n"/>
      <c r="Q23" s="2311" t="n"/>
      <c r="S23" s="2314" t="n"/>
      <c r="T23" s="2180" t="n"/>
      <c r="U23" s="2180" t="n"/>
      <c r="V23" s="2180" t="n"/>
      <c r="W23" s="2180" t="n"/>
      <c r="X23" s="2328" t="n">
        <v>4</v>
      </c>
      <c r="Y23" s="2329" t="inlineStr">
        <is>
          <t>3-1/2" TUBING 9.2 LB/FT ALLOY 28 TSH BL</t>
        </is>
      </c>
      <c r="Z23" s="1171" t="n"/>
      <c r="AA23" s="1171" t="n"/>
      <c r="AB23" s="1171" t="n"/>
      <c r="AC23" s="1171" t="n"/>
      <c r="AD23" s="1171" t="n"/>
      <c r="AE23" s="1171" t="n"/>
      <c r="AF23" s="1171" t="n"/>
      <c r="AG23" s="1171" t="n"/>
      <c r="AH23" s="1171" t="n"/>
      <c r="AI23" s="1171" t="n"/>
      <c r="AJ23" s="1171" t="n"/>
      <c r="AK23" s="2330" t="inlineStr">
        <is>
          <t>5 JTS</t>
        </is>
      </c>
      <c r="AL23" s="2331" t="n"/>
      <c r="AM23" s="2331" t="n"/>
      <c r="AO23" s="2332" t="n"/>
      <c r="AP23" s="2327">
        <f>AP24-AO23</f>
        <v/>
      </c>
      <c r="AQ23" s="1272" t="n"/>
      <c r="AR23" s="2333" t="n"/>
    </row>
    <row r="24" ht="13.5" customHeight="1" s="1158">
      <c r="A24" s="2308" t="inlineStr">
        <is>
          <t>SPM_5</t>
        </is>
      </c>
      <c r="B24" s="2309" t="n">
        <v>0</v>
      </c>
      <c r="C24" s="2309" t="inlineStr">
        <is>
          <t>*</t>
        </is>
      </c>
      <c r="E24" s="2310" t="n"/>
      <c r="F24" s="2311" t="n"/>
      <c r="G24" s="2312" t="n"/>
      <c r="P24" s="2313" t="n"/>
      <c r="Q24" s="2311" t="n"/>
      <c r="S24" s="2314" t="n"/>
      <c r="T24" s="2180" t="n"/>
      <c r="U24" s="2180" t="n"/>
      <c r="V24" s="2180" t="n"/>
      <c r="W24" s="2180" t="n"/>
      <c r="X24" s="2328" t="n">
        <v>5</v>
      </c>
      <c r="Y24" s="2329" t="inlineStr">
        <is>
          <t>X-O 3-1/2" 10 FT PUP JT 9.2 LB/FT ALLOY 28 TSH BL B X VTOP P</t>
        </is>
      </c>
      <c r="Z24" s="1171" t="n"/>
      <c r="AA24" s="1171" t="n"/>
      <c r="AB24" s="1171" t="n"/>
      <c r="AC24" s="1171" t="n"/>
      <c r="AD24" s="1171" t="n"/>
      <c r="AE24" s="1171" t="n"/>
      <c r="AF24" s="1171" t="n"/>
      <c r="AG24" s="1171" t="n"/>
      <c r="AH24" s="1171" t="n"/>
      <c r="AI24" s="1171" t="n"/>
      <c r="AJ24" s="1171" t="n"/>
      <c r="AK24" s="2330" t="n"/>
      <c r="AL24" s="2331" t="n">
        <v>2.969</v>
      </c>
      <c r="AM24" s="2331" t="n">
        <v>3.937</v>
      </c>
      <c r="AN24" s="2331" t="n">
        <v>9.93</v>
      </c>
      <c r="AO24" s="2332" t="n"/>
      <c r="AP24" s="2327">
        <f>AP25-AO24</f>
        <v/>
      </c>
      <c r="AQ24" s="1272" t="n"/>
      <c r="AR24" s="2333" t="n"/>
    </row>
    <row r="25" ht="13.5" customHeight="1" s="1158">
      <c r="A25" s="2308" t="inlineStr">
        <is>
          <t>TJ_1</t>
        </is>
      </c>
      <c r="B25" s="2309" t="n">
        <v>0</v>
      </c>
      <c r="C25" s="2309" t="inlineStr">
        <is>
          <t>*</t>
        </is>
      </c>
      <c r="E25" s="2310" t="n"/>
      <c r="F25" s="2311" t="n"/>
      <c r="G25" s="2312" t="n"/>
      <c r="P25" s="2313" t="n"/>
      <c r="Q25" s="2311" t="n"/>
      <c r="S25" s="2314" t="n"/>
      <c r="T25" s="2180" t="n"/>
      <c r="U25" s="2180" t="n"/>
      <c r="V25" s="2180" t="n"/>
      <c r="W25" s="2180" t="n"/>
      <c r="X25" s="2328" t="n">
        <v>6</v>
      </c>
      <c r="Y25" s="2329" t="inlineStr">
        <is>
          <t>3-1/2" FLOW COUPLING FLOW COUPLING 9.2 LB/FT ALLOY 28 VTOP</t>
        </is>
      </c>
      <c r="Z25" s="1171" t="n"/>
      <c r="AA25" s="1171" t="n"/>
      <c r="AB25" s="1171" t="n"/>
      <c r="AC25" s="1171" t="n"/>
      <c r="AD25" s="1171" t="n"/>
      <c r="AE25" s="1171" t="n"/>
      <c r="AF25" s="1171" t="n"/>
      <c r="AG25" s="1171" t="n"/>
      <c r="AH25" s="1171" t="n"/>
      <c r="AI25" s="1171" t="n"/>
      <c r="AJ25" s="1171" t="n"/>
      <c r="AK25" s="2330" t="n"/>
      <c r="AL25" s="2331" t="n">
        <v>2.949</v>
      </c>
      <c r="AM25" s="2331" t="n">
        <v>3.937</v>
      </c>
      <c r="AN25" s="2331" t="n">
        <v>5.75</v>
      </c>
      <c r="AO25" s="2332" t="n"/>
      <c r="AP25" s="2327">
        <f>AP26-AO25</f>
        <v/>
      </c>
      <c r="AQ25" s="1272" t="n"/>
      <c r="AR25" s="2333" t="n"/>
    </row>
    <row r="26" ht="65.25" customHeight="1" s="1158">
      <c r="A26" s="2335" t="inlineStr">
        <is>
          <t>PKR_2</t>
        </is>
      </c>
      <c r="B26" s="2309" t="n">
        <v>0</v>
      </c>
      <c r="C26" s="2309" t="inlineStr">
        <is>
          <t>***</t>
        </is>
      </c>
      <c r="E26" s="2310" t="n"/>
      <c r="F26" s="2311" t="n"/>
      <c r="G26" s="2312" t="n"/>
      <c r="P26" s="2313" t="n"/>
      <c r="Q26" s="2311" t="n"/>
      <c r="S26" s="2314" t="n"/>
      <c r="T26" s="2180" t="n"/>
      <c r="U26" s="2180" t="n"/>
      <c r="V26" s="2180" t="n"/>
      <c r="W26" s="2336" t="n"/>
      <c r="X26" s="2328" t="n">
        <v>7</v>
      </c>
      <c r="Y26" s="2329" t="inlineStr">
        <is>
          <t>UPPER CONN . 3-1/2" VAM TOP 9.2HPPF INCOLOY 925 BOXDESCRIPTION : WEATHERFORD ASSY,TRSV,3.5WZPE-10 2.813WOR,2KSD,9.2H VAM TOP,WN302PN: 2980845S/N: 12777594-01SAP: 130010038007SUPPLIER: WEATHERFORDLOWER CONN . 3-1/2" VAM TOP 9.2HPPF INCOLOY 925 PINUPPER CONN . 3-1/2" VAM TOP 9.2HPPF INCOLOY 925 BOXDESCRIPTION : WEATHERFORD ASSY,TRSV,3.5WZPE-10 2.813WOR,2KSD,9.2H VAM TOP,WN302PN: 2980845S/N: 12777594-01SAP: 130010038007SUPPLIER: WEATHERFORDLOWER CONN . 3-1/2" VAM TOP 9.2HPPF INCOLOY 925 PIN</t>
        </is>
      </c>
      <c r="Z26" s="1171" t="n"/>
      <c r="AA26" s="1171" t="n"/>
      <c r="AB26" s="1171" t="n"/>
      <c r="AC26" s="1171" t="n"/>
      <c r="AD26" s="1171" t="n"/>
      <c r="AE26" s="1171" t="n"/>
      <c r="AF26" s="1171" t="n"/>
      <c r="AG26" s="1171" t="n"/>
      <c r="AH26" s="1171" t="n"/>
      <c r="AI26" s="1171" t="n"/>
      <c r="AJ26" s="1171" t="n"/>
      <c r="AK26" s="2330" t="n"/>
      <c r="AL26" s="2331" t="n">
        <v>2.813</v>
      </c>
      <c r="AM26" s="2331" t="n">
        <v>5.46</v>
      </c>
      <c r="AO26" s="2332" t="n"/>
      <c r="AP26" s="2327">
        <f>AP27-AO26</f>
        <v/>
      </c>
      <c r="AQ26" s="1272" t="n"/>
      <c r="AR26" s="2333" t="n"/>
    </row>
    <row r="27" ht="13.5" customHeight="1" s="1158">
      <c r="A27" s="2335" t="inlineStr">
        <is>
          <t>LN_2</t>
        </is>
      </c>
      <c r="B27" s="2309" t="n">
        <v>0</v>
      </c>
      <c r="C27" s="2309" t="inlineStr">
        <is>
          <t>*</t>
        </is>
      </c>
      <c r="E27" s="2310" t="n"/>
      <c r="F27" s="2311" t="n"/>
      <c r="G27" s="2312" t="n"/>
      <c r="P27" s="2313" t="n"/>
      <c r="Q27" s="2311" t="n"/>
      <c r="S27" s="2314" t="n"/>
      <c r="T27" s="2180" t="n"/>
      <c r="U27" s="2180" t="n"/>
      <c r="V27" s="2180" t="n"/>
      <c r="W27" s="2336" t="n"/>
      <c r="X27" s="2328" t="n">
        <v>8</v>
      </c>
      <c r="Y27" s="2329" t="inlineStr">
        <is>
          <t>3-1/2" FLOW COUPLING FLOW COUPLING 9.2 LB/FT ALLOY 28 VTOP</t>
        </is>
      </c>
      <c r="Z27" s="1171" t="n"/>
      <c r="AA27" s="1171" t="n"/>
      <c r="AB27" s="1171" t="n"/>
      <c r="AC27" s="1171" t="n"/>
      <c r="AD27" s="1171" t="n"/>
      <c r="AE27" s="1171" t="n"/>
      <c r="AF27" s="1171" t="n"/>
      <c r="AG27" s="1171" t="n"/>
      <c r="AH27" s="1171" t="n"/>
      <c r="AI27" s="1171" t="n"/>
      <c r="AJ27" s="1171" t="n"/>
      <c r="AK27" s="2330" t="n"/>
      <c r="AL27" s="2331" t="n">
        <v>2.949</v>
      </c>
      <c r="AM27" s="2331" t="n">
        <v>3.937</v>
      </c>
      <c r="AO27" s="2332" t="n"/>
      <c r="AP27" s="2327">
        <f>AP28-AO27</f>
        <v/>
      </c>
      <c r="AQ27" s="1272" t="n"/>
      <c r="AR27" s="2333" t="n"/>
    </row>
    <row r="28" ht="13.5" customHeight="1" s="1158">
      <c r="A28" s="2335" t="inlineStr">
        <is>
          <t>BD_1</t>
        </is>
      </c>
      <c r="B28" s="2309" t="n">
        <v>0</v>
      </c>
      <c r="C28" s="2309" t="inlineStr">
        <is>
          <t>*</t>
        </is>
      </c>
      <c r="E28" s="2310" t="n"/>
      <c r="F28" s="2311" t="n"/>
      <c r="G28" s="2312" t="n"/>
      <c r="P28" s="2313" t="n"/>
      <c r="Q28" s="2311" t="n"/>
      <c r="S28" s="2314" t="n"/>
      <c r="T28" s="2180" t="n"/>
      <c r="U28" s="2180" t="n"/>
      <c r="V28" s="2180" t="n"/>
      <c r="W28" s="2336" t="n"/>
      <c r="X28" s="2328" t="n">
        <v>9</v>
      </c>
      <c r="Y28" s="2329" t="inlineStr">
        <is>
          <t>X-O 3-1/2" 5 FT PUP JT 9.2 LB/FT ALLOY 28 VTOP B X TSH BL P</t>
        </is>
      </c>
      <c r="Z28" s="1171" t="n"/>
      <c r="AA28" s="1171" t="n"/>
      <c r="AB28" s="1171" t="n"/>
      <c r="AC28" s="1171" t="n"/>
      <c r="AD28" s="1171" t="n"/>
      <c r="AE28" s="1171" t="n"/>
      <c r="AF28" s="1171" t="n"/>
      <c r="AG28" s="1171" t="n"/>
      <c r="AH28" s="1171" t="n"/>
      <c r="AI28" s="1171" t="n"/>
      <c r="AJ28" s="1171" t="n"/>
      <c r="AK28" s="2330" t="n"/>
      <c r="AL28" s="2331" t="n">
        <v>2.959</v>
      </c>
      <c r="AM28" s="2331" t="n">
        <v>3.908</v>
      </c>
      <c r="AO28" s="2331" t="n"/>
      <c r="AP28" s="2327">
        <f>AP29-AO28</f>
        <v/>
      </c>
      <c r="AQ28" s="1272" t="n"/>
      <c r="AR28" s="2333" t="n"/>
    </row>
    <row r="29" ht="13.5" customHeight="1" s="1158">
      <c r="A29" s="2308" t="inlineStr">
        <is>
          <t>TJ_2</t>
        </is>
      </c>
      <c r="B29" s="2309" t="n">
        <v>0</v>
      </c>
      <c r="C29" s="2309" t="n"/>
      <c r="E29" s="2310" t="n"/>
      <c r="F29" s="2311" t="n"/>
      <c r="G29" s="2312" t="n"/>
      <c r="P29" s="2313" t="n"/>
      <c r="Q29" s="2311" t="n"/>
      <c r="S29" s="2314" t="n"/>
      <c r="T29" s="2180" t="n"/>
      <c r="U29" s="2180" t="n"/>
      <c r="V29" s="2180" t="n"/>
      <c r="W29" s="2336" t="n"/>
      <c r="X29" s="2328" t="n">
        <v>10</v>
      </c>
      <c r="Y29" s="2329" t="inlineStr">
        <is>
          <t>3-1/2" TUBING 9.2 LB/FT ALLOY 28 TSH BL (AS REQ'D).</t>
        </is>
      </c>
      <c r="Z29" s="1171" t="n"/>
      <c r="AA29" s="1171" t="n"/>
      <c r="AB29" s="1171" t="n"/>
      <c r="AC29" s="1171" t="n"/>
      <c r="AD29" s="1171" t="n"/>
      <c r="AE29" s="1171" t="n"/>
      <c r="AF29" s="1171" t="n"/>
      <c r="AG29" s="1171" t="n"/>
      <c r="AH29" s="1171" t="n"/>
      <c r="AI29" s="1171" t="n"/>
      <c r="AJ29" s="1171" t="n"/>
      <c r="AK29" s="2330" t="inlineStr">
        <is>
          <t>75 JTS</t>
        </is>
      </c>
      <c r="AL29" s="2331" t="n"/>
      <c r="AM29" s="2331" t="n"/>
      <c r="AO29" s="2332" t="n"/>
      <c r="AP29" s="2327">
        <f>AP30-AO29</f>
        <v/>
      </c>
      <c r="AQ29" s="1272" t="n"/>
      <c r="AR29" s="2333" t="n"/>
    </row>
    <row r="30" ht="13.5" customHeight="1" s="1158">
      <c r="A30" s="2308" t="inlineStr">
        <is>
          <t>PDHG_1</t>
        </is>
      </c>
      <c r="B30" s="2309" t="n">
        <v>0</v>
      </c>
      <c r="C30" s="2309" t="inlineStr">
        <is>
          <t>*</t>
        </is>
      </c>
      <c r="E30" s="2310" t="n"/>
      <c r="F30" s="2311" t="n"/>
      <c r="G30" s="2312" t="n"/>
      <c r="P30" s="2313" t="n"/>
      <c r="Q30" s="2311" t="n"/>
      <c r="S30" s="2314" t="n"/>
      <c r="T30" s="2180" t="n"/>
      <c r="U30" s="2180" t="n"/>
      <c r="V30" s="2180" t="n"/>
      <c r="W30" s="2336" t="n"/>
      <c r="X30" s="2328" t="n">
        <v>11</v>
      </c>
      <c r="Y30" s="2329" t="inlineStr">
        <is>
          <t>X-O 3-1/2" 10 FT PUP JT 9.2 LB/FT ALLOY 28 TSH BL B X VTOP P</t>
        </is>
      </c>
      <c r="Z30" s="1171" t="n"/>
      <c r="AA30" s="1171" t="n"/>
      <c r="AB30" s="1171" t="n"/>
      <c r="AC30" s="1171" t="n"/>
      <c r="AD30" s="1171" t="n"/>
      <c r="AE30" s="1171" t="n"/>
      <c r="AF30" s="1171" t="n"/>
      <c r="AG30" s="1171" t="n"/>
      <c r="AH30" s="1171" t="n"/>
      <c r="AI30" s="1171" t="n"/>
      <c r="AJ30" s="1171" t="n"/>
      <c r="AK30" s="2330" t="n"/>
      <c r="AL30" s="2331" t="n">
        <v>2.969</v>
      </c>
      <c r="AM30" s="2331" t="n">
        <v>3.937</v>
      </c>
      <c r="AO30" s="2332" t="n"/>
      <c r="AP30" s="2327">
        <f>AP31-AO30</f>
        <v/>
      </c>
      <c r="AQ30" s="1272" t="n"/>
      <c r="AR30" s="2333" t="n"/>
    </row>
    <row r="31" ht="13.5" customHeight="1" s="1158">
      <c r="A31" s="2308" t="inlineStr">
        <is>
          <t>PDHG_1</t>
        </is>
      </c>
      <c r="B31" s="2309" t="n">
        <v>0</v>
      </c>
      <c r="C31" s="2309" t="inlineStr">
        <is>
          <t>*</t>
        </is>
      </c>
      <c r="E31" s="2310" t="n"/>
      <c r="F31" s="2311" t="n"/>
      <c r="G31" s="2312" t="n"/>
      <c r="P31" s="2313" t="n"/>
      <c r="Q31" s="2311" t="n"/>
      <c r="S31" s="2314" t="n"/>
      <c r="T31" s="2180" t="n"/>
      <c r="U31" s="2180" t="n"/>
      <c r="V31" s="2180" t="n"/>
      <c r="W31" s="2336" t="n"/>
      <c r="X31" s="2328" t="n">
        <v>11</v>
      </c>
      <c r="Y31" s="2329" t="inlineStr">
        <is>
          <t>X-O 3-1/2" 10 FT PUP JT 9.2 LB/FT ALLOY 28 TSH BL B X VTOP P</t>
        </is>
      </c>
      <c r="Z31" s="1171" t="n"/>
      <c r="AA31" s="1171" t="n"/>
      <c r="AB31" s="1171" t="n"/>
      <c r="AC31" s="1171" t="n"/>
      <c r="AD31" s="1171" t="n"/>
      <c r="AE31" s="1171" t="n"/>
      <c r="AF31" s="1171" t="n"/>
      <c r="AG31" s="1171" t="n"/>
      <c r="AH31" s="1171" t="n"/>
      <c r="AI31" s="1171" t="n"/>
      <c r="AJ31" s="1171" t="n"/>
      <c r="AK31" s="2330" t="n"/>
      <c r="AL31" s="2331" t="n">
        <v>2.959</v>
      </c>
      <c r="AM31" s="2331" t="n">
        <v>3.908</v>
      </c>
      <c r="AO31" s="2332" t="n"/>
      <c r="AP31" s="2327">
        <f>AP32-AO31</f>
        <v/>
      </c>
      <c r="AQ31" s="1272" t="n"/>
      <c r="AR31" s="2333" t="n"/>
    </row>
    <row r="32" ht="99" customHeight="1" s="1158">
      <c r="A32" s="2308" t="inlineStr">
        <is>
          <t>CIS_1</t>
        </is>
      </c>
      <c r="B32" s="2309" t="n">
        <v>0</v>
      </c>
      <c r="C32" s="2309" t="inlineStr">
        <is>
          <t>**</t>
        </is>
      </c>
      <c r="E32" s="2310" t="n"/>
      <c r="F32" s="2311" t="n"/>
      <c r="G32" s="2312" t="n"/>
      <c r="P32" s="2313" t="n"/>
      <c r="Q32" s="2311" t="n"/>
      <c r="S32" s="2337" t="n"/>
      <c r="T32" s="2180" t="n"/>
      <c r="U32" s="2180" t="n"/>
      <c r="V32" s="2180" t="n"/>
      <c r="W32" s="2336" t="n"/>
      <c r="X32" s="2328" t="n">
        <v>12</v>
      </c>
      <c r="Y32" s="2329" t="inlineStr">
        <is>
          <t>UPPER CONN . 3-1/2" SENTINEL PRIME 9.2#PPF INC 925 BOX
DESCRIPTION : WEATHERFORD SIDE POCKET MANDREL SBRO-2NGR
DUMMY SN 12817789-20 DUMMY PN 2953030 &amp;
LATCH SN 12817844-21 LATCH PN 2951409
P/N: 3205577 S/N: 12696654-13
SAP: 130010036652 SUPPLIER : WEATHERFORD
LOWER CONN- 3 1/2 9.2 SENTINEL PRIME 9.2 PPF INC 925 PINUPPER CONN . 3-1/2" SENTINEL PRIME 9.2#PPF INC 925 BOX
DESCRIPTION : WEATHERFORD SIDE POCKET MANDREL SBRO-2NGR
DUMMY SN 12817789-20 DUMMY PN 2953030 &amp;
LATCH SN 12817844-21 LATCH PN 2951409
P/N: 3205577 S/N: 12696654-13
SAP: 130010036652 SUPPLIER : WEATHERFORD
LOWER CONN- 3 1/2 9.2 SENTINEL PRIME 9.2 PPF INC 925 PIN</t>
        </is>
      </c>
      <c r="Z32" s="1171" t="n"/>
      <c r="AA32" s="1171" t="n"/>
      <c r="AB32" s="1171" t="n"/>
      <c r="AC32" s="1171" t="n"/>
      <c r="AD32" s="1171" t="n"/>
      <c r="AE32" s="1171" t="n"/>
      <c r="AF32" s="1171" t="n"/>
      <c r="AG32" s="1171" t="n"/>
      <c r="AH32" s="1171" t="n"/>
      <c r="AI32" s="1171" t="n"/>
      <c r="AJ32" s="1171" t="n"/>
      <c r="AK32" s="2330" t="inlineStr">
        <is>
          <t xml:space="preserve"> DEG</t>
        </is>
      </c>
      <c r="AL32" s="2331" t="n">
        <v>2.9</v>
      </c>
      <c r="AM32" s="2331" t="n">
        <v>5.82</v>
      </c>
      <c r="AO32" s="2332" t="n"/>
      <c r="AP32" s="2327">
        <f>AP33-AO32</f>
        <v/>
      </c>
      <c r="AQ32" s="1272" t="n"/>
      <c r="AR32" s="2333" t="n"/>
    </row>
    <row r="33" ht="13.5" customHeight="1" s="1158">
      <c r="A33" s="2308" t="inlineStr">
        <is>
          <t>PKR_1</t>
        </is>
      </c>
      <c r="B33" s="2309" t="n">
        <v>1</v>
      </c>
      <c r="C33" s="2309" t="inlineStr">
        <is>
          <t>*</t>
        </is>
      </c>
      <c r="E33" s="2310" t="n"/>
      <c r="F33" s="2311" t="n"/>
      <c r="G33" s="2312" t="n"/>
      <c r="P33" s="2313" t="n"/>
      <c r="Q33" s="2311" t="n"/>
      <c r="S33" s="2314" t="n"/>
      <c r="T33" s="2180" t="n"/>
      <c r="U33" s="2180" t="n"/>
      <c r="V33" s="2180" t="n"/>
      <c r="W33" s="2336" t="n"/>
      <c r="X33" s="2328" t="n">
        <v>13</v>
      </c>
      <c r="Y33" s="2329" t="inlineStr">
        <is>
          <t>X-O 3-1/2" 10 FT PUP JT 9.2 LB/FT ALLOY 28 VTOP B X TSH BL P</t>
        </is>
      </c>
      <c r="Z33" s="1171" t="n"/>
      <c r="AA33" s="1171" t="n"/>
      <c r="AB33" s="1171" t="n"/>
      <c r="AC33" s="1171" t="n"/>
      <c r="AD33" s="1171" t="n"/>
      <c r="AE33" s="1171" t="n"/>
      <c r="AF33" s="1171" t="n"/>
      <c r="AG33" s="1171" t="n"/>
      <c r="AH33" s="1171" t="n"/>
      <c r="AI33" s="1171" t="n"/>
      <c r="AJ33" s="1171" t="n"/>
      <c r="AK33" s="2330" t="n"/>
      <c r="AL33" s="2331" t="n">
        <v>2.921</v>
      </c>
      <c r="AM33" s="2331" t="n">
        <v>3.929</v>
      </c>
      <c r="AO33" s="2332" t="n"/>
      <c r="AP33" s="2327">
        <f>AP34-AO33</f>
        <v/>
      </c>
      <c r="AQ33" s="1272" t="n"/>
      <c r="AR33" s="2333" t="n"/>
    </row>
    <row r="34" ht="13.5" customHeight="1" s="1158">
      <c r="A34" s="2308" t="inlineStr">
        <is>
          <t>PKR_1</t>
        </is>
      </c>
      <c r="B34" s="2309" t="n">
        <v>1</v>
      </c>
      <c r="C34" s="2309" t="inlineStr">
        <is>
          <t>*</t>
        </is>
      </c>
      <c r="E34" s="2310" t="n"/>
      <c r="F34" s="2311" t="n"/>
      <c r="G34" s="2312" t="n"/>
      <c r="P34" s="2313" t="n"/>
      <c r="Q34" s="2311" t="n"/>
      <c r="S34" s="2314" t="n"/>
      <c r="T34" s="2180" t="n"/>
      <c r="U34" s="2180" t="n"/>
      <c r="V34" s="2180" t="n"/>
      <c r="W34" s="2336" t="n"/>
      <c r="X34" s="2328" t="n">
        <v>13</v>
      </c>
      <c r="Y34" s="2329" t="inlineStr">
        <is>
          <t>X-O 3-1/2" 10 FT PUP JT 9.2 LB/FT ALLOY 28 VTOP B X TSH BL P</t>
        </is>
      </c>
      <c r="Z34" s="1171" t="n"/>
      <c r="AA34" s="1171" t="n"/>
      <c r="AB34" s="1171" t="n"/>
      <c r="AC34" s="1171" t="n"/>
      <c r="AD34" s="1171" t="n"/>
      <c r="AE34" s="1171" t="n"/>
      <c r="AF34" s="1171" t="n"/>
      <c r="AG34" s="1171" t="n"/>
      <c r="AH34" s="1171" t="n"/>
      <c r="AI34" s="1171" t="n"/>
      <c r="AJ34" s="1171" t="n"/>
      <c r="AK34" s="2330" t="n"/>
      <c r="AL34" s="2331" t="n">
        <v>2.959</v>
      </c>
      <c r="AM34" s="2331" t="n">
        <v>3.908</v>
      </c>
      <c r="AN34" s="2331" t="n">
        <v>5.18</v>
      </c>
      <c r="AO34" s="2332" t="n"/>
      <c r="AP34" s="2327">
        <f>AP35-AO34</f>
        <v/>
      </c>
      <c r="AQ34" s="1272" t="n"/>
      <c r="AR34" s="2333" t="n"/>
    </row>
    <row r="35" ht="13.5" customHeight="1" s="1158">
      <c r="A35" s="2308" t="inlineStr">
        <is>
          <t>CIS_2</t>
        </is>
      </c>
      <c r="B35" s="2309" t="n">
        <v>0</v>
      </c>
      <c r="C35" s="2309" t="n"/>
      <c r="E35" s="2310" t="n"/>
      <c r="F35" s="2311" t="n"/>
      <c r="G35" s="2312" t="n"/>
      <c r="P35" s="2313" t="n"/>
      <c r="Q35" s="2311" t="n"/>
      <c r="S35" s="2314" t="n"/>
      <c r="T35" s="2180" t="n"/>
      <c r="U35" s="2180" t="n"/>
      <c r="V35" s="2180" t="n"/>
      <c r="W35" s="2336" t="n"/>
      <c r="X35" s="2328" t="n">
        <v>14</v>
      </c>
      <c r="Y35" s="2329" t="inlineStr">
        <is>
          <t>3-1/2" TUBING 9.2 LB/FT ALLOY 28 TSH BL (AS REQ'D).</t>
        </is>
      </c>
      <c r="Z35" s="1171" t="n"/>
      <c r="AA35" s="1171" t="n"/>
      <c r="AB35" s="1171" t="n"/>
      <c r="AC35" s="1171" t="n"/>
      <c r="AD35" s="1171" t="n"/>
      <c r="AE35" s="1171" t="n"/>
      <c r="AF35" s="1171" t="n"/>
      <c r="AG35" s="1171" t="n"/>
      <c r="AH35" s="1171" t="n"/>
      <c r="AI35" s="1171" t="n"/>
      <c r="AJ35" s="1171" t="n"/>
      <c r="AK35" s="2330" t="inlineStr">
        <is>
          <t>49 JTS</t>
        </is>
      </c>
      <c r="AL35" s="2331" t="n"/>
      <c r="AM35" s="2331" t="n"/>
      <c r="AO35" s="2332" t="n"/>
      <c r="AP35" s="2327">
        <f>AP36-AO35</f>
        <v/>
      </c>
      <c r="AQ35" s="1272" t="n"/>
      <c r="AR35" s="2333" t="n"/>
    </row>
    <row r="36" ht="13.5" customHeight="1" s="1158">
      <c r="A36" s="2308" t="inlineStr">
        <is>
          <t>PDHG_2</t>
        </is>
      </c>
      <c r="B36" s="2309" t="n">
        <v>0</v>
      </c>
      <c r="C36" s="2309" t="inlineStr">
        <is>
          <t>*</t>
        </is>
      </c>
      <c r="E36" s="2310" t="n"/>
      <c r="F36" s="2311" t="n"/>
      <c r="G36" s="2312" t="n"/>
      <c r="P36" s="2313" t="n"/>
      <c r="Q36" s="2311" t="n"/>
      <c r="S36" s="2314" t="n"/>
      <c r="T36" s="2180" t="n"/>
      <c r="U36" s="2180" t="n"/>
      <c r="V36" s="2180" t="n"/>
      <c r="W36" s="2336" t="n"/>
      <c r="X36" s="2328" t="n">
        <v>15</v>
      </c>
      <c r="Y36" s="2329" t="inlineStr">
        <is>
          <t>X-O 3-1/2" 10 FT PUP JT 9.2 LB/FT ALLOY 28 TSH BL B X VTOP P</t>
        </is>
      </c>
      <c r="Z36" s="1171" t="n"/>
      <c r="AA36" s="1171" t="n"/>
      <c r="AB36" s="1171" t="n"/>
      <c r="AC36" s="1171" t="n"/>
      <c r="AD36" s="1171" t="n"/>
      <c r="AE36" s="1171" t="n"/>
      <c r="AF36" s="1171" t="n"/>
      <c r="AG36" s="1171" t="n"/>
      <c r="AH36" s="1171" t="n"/>
      <c r="AI36" s="1171" t="n"/>
      <c r="AJ36" s="1171" t="n"/>
      <c r="AK36" s="2330" t="n"/>
      <c r="AL36" s="2331" t="n">
        <v>2.959</v>
      </c>
      <c r="AM36" s="2331" t="n">
        <v>3.908</v>
      </c>
      <c r="AO36" s="2332" t="n"/>
      <c r="AP36" s="2327">
        <f>AP37-AO36</f>
        <v/>
      </c>
      <c r="AQ36" s="1272" t="n"/>
      <c r="AR36" s="2333" t="n"/>
    </row>
    <row r="37" ht="13.5" customHeight="1" s="1158">
      <c r="A37" s="2308" t="inlineStr">
        <is>
          <t>PDHG_2</t>
        </is>
      </c>
      <c r="B37" s="2309" t="n">
        <v>0</v>
      </c>
      <c r="C37" s="2309" t="inlineStr">
        <is>
          <t>*</t>
        </is>
      </c>
      <c r="E37" s="2310" t="n"/>
      <c r="F37" s="2311" t="n"/>
      <c r="G37" s="2312" t="n"/>
      <c r="P37" s="2313" t="n"/>
      <c r="Q37" s="2311" t="n"/>
      <c r="S37" s="2314" t="n"/>
      <c r="T37" s="2180" t="n"/>
      <c r="U37" s="2180" t="n"/>
      <c r="V37" s="2180" t="n"/>
      <c r="W37" s="2336" t="n"/>
      <c r="X37" s="2328" t="n">
        <v>15</v>
      </c>
      <c r="Y37" s="2329" t="inlineStr">
        <is>
          <t>X-O 3-1/2" 10 FT PUP JT 9.2 LB/FT ALLOY 28 TSH BL B X VTOP P</t>
        </is>
      </c>
      <c r="Z37" s="1171" t="n"/>
      <c r="AA37" s="1171" t="n"/>
      <c r="AB37" s="1171" t="n"/>
      <c r="AC37" s="1171" t="n"/>
      <c r="AD37" s="1171" t="n"/>
      <c r="AE37" s="1171" t="n"/>
      <c r="AF37" s="1171" t="n"/>
      <c r="AG37" s="1171" t="n"/>
      <c r="AH37" s="1171" t="n"/>
      <c r="AI37" s="1171" t="n"/>
      <c r="AJ37" s="1171" t="n"/>
      <c r="AK37" s="2330" t="n"/>
      <c r="AL37" s="2331" t="n">
        <v>2.9</v>
      </c>
      <c r="AM37" s="2331" t="n">
        <v>5.82</v>
      </c>
      <c r="AN37" s="2331" t="n">
        <v>8.69</v>
      </c>
      <c r="AO37" s="2332" t="n"/>
      <c r="AP37" s="2327">
        <f>AP38-AO37</f>
        <v/>
      </c>
      <c r="AQ37" s="1272" t="n"/>
      <c r="AR37" s="2333" t="n"/>
    </row>
    <row r="38" ht="77.25" customHeight="1" s="1158">
      <c r="A38" s="2308" t="inlineStr">
        <is>
          <t>BD_2</t>
        </is>
      </c>
      <c r="B38" s="2309" t="n">
        <v>1</v>
      </c>
      <c r="C38" s="2309" t="inlineStr">
        <is>
          <t>**</t>
        </is>
      </c>
      <c r="E38" s="2310" t="n"/>
      <c r="F38" s="2311" t="n"/>
      <c r="G38" s="2312" t="n"/>
      <c r="P38" s="2313" t="n"/>
      <c r="Q38" s="2311" t="n"/>
      <c r="S38" s="2314" t="n"/>
      <c r="T38" s="2180" t="n"/>
      <c r="U38" s="2180" t="n"/>
      <c r="V38" s="2180" t="n"/>
      <c r="W38" s="2336" t="n"/>
      <c r="X38" s="2328" t="n">
        <v>16</v>
      </c>
      <c r="Y38" s="2329" t="inlineStr">
        <is>
          <t>UPPER CONN . 3-1/2" SENTINEL PRIME 9.2#PPF INC 925 BOXDESCRIPTION : WEATHERFORD SIDE POCKET MANDREL SBRO-2NGRGROOVED GLMDUMMY SN 12799406-17 DUMMY PN 2953030 &amp;LATCH SN 12817838-11 LATCH PN 2951409P/N: 3205577S/N: 12600735-08SAP: 130010036652SUPPLIER: WEATHERFORDLOWER CONN- 3 1/2 9.2 SENTINEL PRIME 9.2 PPF INC 925 PINUPPER CONN . 3-1/2" SENTINEL PRIME 9.2#PPF INC 925 BOXDESCRIPTION : WEATHERFORD SIDE POCKET MANDREL SBRO-2NGRGROOVED GLMDUMMY SN 12799406-17 DUMMY PN 2953030 &amp;LATCH SN 12817838-11 LATCH PN 2951409P/N: 3205577S/N: 12600735-08SAP: 130010036652SUPPLIER: WEATHERFORDLOWER CONN- 3 1/2 9.2 SENTINEL PRIME 9.2 PPF INC 925 PIN</t>
        </is>
      </c>
      <c r="Z38" s="1171" t="n"/>
      <c r="AA38" s="1171" t="n"/>
      <c r="AB38" s="1171" t="n"/>
      <c r="AC38" s="1171" t="n"/>
      <c r="AD38" s="1171" t="n"/>
      <c r="AE38" s="1171" t="n"/>
      <c r="AF38" s="1171" t="n"/>
      <c r="AG38" s="1171" t="n"/>
      <c r="AH38" s="1171" t="n"/>
      <c r="AI38" s="1171" t="n"/>
      <c r="AJ38" s="1171" t="n"/>
      <c r="AK38" s="2330" t="inlineStr">
        <is>
          <t xml:space="preserve"> DEG</t>
        </is>
      </c>
      <c r="AL38" s="2331" t="n">
        <v>2.921</v>
      </c>
      <c r="AM38" s="2331" t="n">
        <v>3.929</v>
      </c>
      <c r="AO38" s="2332" t="n"/>
      <c r="AP38" s="2327">
        <f>AP39-AO38</f>
        <v/>
      </c>
      <c r="AQ38" s="1272" t="n"/>
      <c r="AR38" s="2333" t="n"/>
    </row>
    <row r="39" ht="13.5" customHeight="1" s="1158">
      <c r="A39" s="2308" t="inlineStr">
        <is>
          <t>CIS_3</t>
        </is>
      </c>
      <c r="B39" s="2309" t="n">
        <v>0</v>
      </c>
      <c r="C39" s="2309" t="inlineStr">
        <is>
          <t>*</t>
        </is>
      </c>
      <c r="E39" s="2310" t="n"/>
      <c r="F39" s="2311" t="n"/>
      <c r="G39" s="2312" t="n"/>
      <c r="P39" s="2313" t="n"/>
      <c r="Q39" s="2311" t="n"/>
      <c r="S39" s="2338" t="inlineStr">
        <is>
          <t>13-3/8"</t>
        </is>
      </c>
      <c r="T39" s="2180" t="n"/>
      <c r="U39" s="2180" t="n"/>
      <c r="V39" s="2180" t="n"/>
      <c r="W39" s="2336" t="n"/>
      <c r="X39" s="2328" t="n">
        <v>17</v>
      </c>
      <c r="Y39" s="2329" t="inlineStr">
        <is>
          <t>X-O 3-1/2" 10 FT PUP JT 9.2 LB/FT ALLOY 28 VTOP B X TSH BL P</t>
        </is>
      </c>
      <c r="Z39" s="1171" t="n"/>
      <c r="AA39" s="1171" t="n"/>
      <c r="AB39" s="1171" t="n"/>
      <c r="AC39" s="1171" t="n"/>
      <c r="AD39" s="1171" t="n"/>
      <c r="AE39" s="1171" t="n"/>
      <c r="AF39" s="1171" t="n"/>
      <c r="AG39" s="1171" t="n"/>
      <c r="AH39" s="1171" t="n"/>
      <c r="AI39" s="1171" t="n"/>
      <c r="AJ39" s="1171" t="n"/>
      <c r="AK39" s="2330" t="n"/>
      <c r="AL39" s="2331" t="n">
        <v>2.959</v>
      </c>
      <c r="AM39" s="2331" t="n">
        <v>3.908</v>
      </c>
      <c r="AO39" s="2332" t="n"/>
      <c r="AP39" s="2327">
        <f>AP40-AO39</f>
        <v/>
      </c>
      <c r="AQ39" s="1272" t="n"/>
      <c r="AR39" s="2333" t="n"/>
    </row>
    <row r="40" ht="13.5" customHeight="1" s="1158">
      <c r="A40" s="2308" t="inlineStr">
        <is>
          <t>CIS_3</t>
        </is>
      </c>
      <c r="B40" s="2309" t="n">
        <v>0</v>
      </c>
      <c r="C40" s="2309" t="inlineStr">
        <is>
          <t>*</t>
        </is>
      </c>
      <c r="E40" s="2310" t="n"/>
      <c r="F40" s="2311" t="n"/>
      <c r="G40" s="2312" t="n"/>
      <c r="P40" s="2313" t="n"/>
      <c r="Q40" s="2311" t="n"/>
      <c r="S40" s="2338" t="inlineStr">
        <is>
          <t>13-3/8"</t>
        </is>
      </c>
      <c r="T40" s="2180" t="n"/>
      <c r="U40" s="2180" t="n"/>
      <c r="V40" s="2180" t="n"/>
      <c r="W40" s="2336" t="n"/>
      <c r="X40" s="2328" t="n">
        <v>17</v>
      </c>
      <c r="Y40" s="2329" t="inlineStr">
        <is>
          <t>X-O 3-1/2" 10 FT PUP JT 9.2 LB/FT ALLOY 28 VTOP B X TSH BL P</t>
        </is>
      </c>
      <c r="Z40" s="1171" t="n"/>
      <c r="AA40" s="1171" t="n"/>
      <c r="AB40" s="1171" t="n"/>
      <c r="AC40" s="1171" t="n"/>
      <c r="AD40" s="1171" t="n"/>
      <c r="AE40" s="1171" t="n"/>
      <c r="AF40" s="1171" t="n"/>
      <c r="AG40" s="1171" t="n"/>
      <c r="AH40" s="1171" t="n"/>
      <c r="AI40" s="1171" t="n"/>
      <c r="AJ40" s="1171" t="n"/>
      <c r="AK40" s="2330" t="n"/>
      <c r="AL40" s="2331" t="n"/>
      <c r="AM40" s="2331" t="n"/>
      <c r="AO40" s="2332" t="n"/>
      <c r="AP40" s="2327">
        <f>AP41-AO40</f>
        <v/>
      </c>
      <c r="AQ40" s="1272" t="n"/>
      <c r="AR40" s="2333" t="n"/>
    </row>
    <row r="41" ht="13.5" customHeight="1" s="1158">
      <c r="A41" s="2308" t="inlineStr">
        <is>
          <t>SP_1</t>
        </is>
      </c>
      <c r="B41" s="2309" t="n">
        <v>1</v>
      </c>
      <c r="C41" s="2309" t="n"/>
      <c r="E41" s="2310" t="n"/>
      <c r="F41" s="2311" t="n"/>
      <c r="G41" s="2312" t="n"/>
      <c r="P41" s="2313" t="n"/>
      <c r="Q41" s="2311" t="n"/>
      <c r="S41" s="2338" t="inlineStr">
        <is>
          <t>SHOE @</t>
        </is>
      </c>
      <c r="T41" s="2339" t="n">
        <v>1580</v>
      </c>
      <c r="U41" s="2340" t="inlineStr">
        <is>
          <t>FT MD</t>
        </is>
      </c>
      <c r="V41" s="2180" t="n"/>
      <c r="W41" s="2336" t="n"/>
      <c r="X41" s="2328" t="n">
        <v>18</v>
      </c>
      <c r="Y41" s="2329" t="inlineStr">
        <is>
          <t>3-1/2" TUBING 9.2 LB/FT ALLOY 28 TSH BL (AS REQ'D).</t>
        </is>
      </c>
      <c r="Z41" s="1171" t="n"/>
      <c r="AA41" s="1171" t="n"/>
      <c r="AB41" s="1171" t="n"/>
      <c r="AC41" s="1171" t="n"/>
      <c r="AD41" s="1171" t="n"/>
      <c r="AE41" s="1171" t="n"/>
      <c r="AF41" s="1171" t="n"/>
      <c r="AG41" s="1171" t="n"/>
      <c r="AH41" s="1171" t="n"/>
      <c r="AI41" s="1171" t="n"/>
      <c r="AJ41" s="1171" t="n"/>
      <c r="AK41" s="2330" t="inlineStr">
        <is>
          <t>28 JTS</t>
        </is>
      </c>
      <c r="AL41" s="2331" t="n">
        <v>2.969</v>
      </c>
      <c r="AM41" s="2331" t="n">
        <v>3.937</v>
      </c>
      <c r="AO41" s="2332" t="n"/>
      <c r="AP41" s="2327">
        <f>AP42-AO41</f>
        <v/>
      </c>
      <c r="AQ41" s="1272" t="n"/>
      <c r="AR41" s="2333" t="n"/>
    </row>
    <row r="42" ht="13.5" customHeight="1" s="1158">
      <c r="A42" s="2308" t="inlineStr">
        <is>
          <t>LNR</t>
        </is>
      </c>
      <c r="B42" s="2309" t="n">
        <v>2</v>
      </c>
      <c r="C42" s="2309" t="inlineStr">
        <is>
          <t>*</t>
        </is>
      </c>
      <c r="E42" s="2310" t="n"/>
      <c r="F42" s="2311" t="n"/>
      <c r="G42" s="2312" t="n"/>
      <c r="P42" s="2313" t="n"/>
      <c r="Q42" s="2311" t="n"/>
      <c r="S42" s="2314" t="n"/>
      <c r="V42" s="2180" t="n"/>
      <c r="W42" s="2336" t="n"/>
      <c r="X42" s="2328" t="n">
        <v>19</v>
      </c>
      <c r="Y42" s="2329" t="inlineStr">
        <is>
          <t>X-O 3-1/2" 10 FT PUP JT 9.2 LB/FT ALLOY 28 TSH BL B X VTOP P</t>
        </is>
      </c>
      <c r="Z42" s="1171" t="n"/>
      <c r="AA42" s="1171" t="n"/>
      <c r="AB42" s="1171" t="n"/>
      <c r="AC42" s="1171" t="n"/>
      <c r="AD42" s="1171" t="n"/>
      <c r="AE42" s="1171" t="n"/>
      <c r="AF42" s="1171" t="n"/>
      <c r="AG42" s="1171" t="n"/>
      <c r="AH42" s="1171" t="n"/>
      <c r="AI42" s="1171" t="n"/>
      <c r="AJ42" s="1171" t="n"/>
      <c r="AK42" s="2330" t="n"/>
      <c r="AL42" s="2331" t="n">
        <v>2.959</v>
      </c>
      <c r="AM42" s="2331" t="n">
        <v>3.908</v>
      </c>
      <c r="AN42" s="2331" t="n">
        <v>4.8</v>
      </c>
      <c r="AO42" s="2332" t="n"/>
      <c r="AP42" s="2327">
        <f>AP43-AO42</f>
        <v/>
      </c>
      <c r="AQ42" s="1272" t="n"/>
      <c r="AR42" s="2333" t="n"/>
    </row>
    <row r="43" ht="13.5" customHeight="1" s="1158">
      <c r="A43" s="2308" t="inlineStr">
        <is>
          <t>LNR</t>
        </is>
      </c>
      <c r="B43" s="2309" t="n">
        <v>2</v>
      </c>
      <c r="C43" s="2309" t="inlineStr">
        <is>
          <t>*</t>
        </is>
      </c>
      <c r="E43" s="2310" t="n"/>
      <c r="F43" s="2311" t="n"/>
      <c r="G43" s="2312" t="n"/>
      <c r="P43" s="2313" t="n"/>
      <c r="Q43" s="2311" t="n"/>
      <c r="S43" s="2314" t="n"/>
      <c r="V43" s="2180" t="n"/>
      <c r="W43" s="2336" t="n"/>
      <c r="X43" s="2328" t="n">
        <v>19</v>
      </c>
      <c r="Y43" s="2329" t="inlineStr">
        <is>
          <t>X-O 3-1/2" 10 FT PUP JT 9.2 LB/FT ALLOY 28 TSH BL B X VTOP P</t>
        </is>
      </c>
      <c r="Z43" s="1171" t="n"/>
      <c r="AA43" s="1171" t="n"/>
      <c r="AB43" s="1171" t="n"/>
      <c r="AC43" s="1171" t="n"/>
      <c r="AD43" s="1171" t="n"/>
      <c r="AE43" s="1171" t="n"/>
      <c r="AF43" s="1171" t="n"/>
      <c r="AG43" s="1171" t="n"/>
      <c r="AH43" s="1171" t="n"/>
      <c r="AI43" s="1171" t="n"/>
      <c r="AJ43" s="1171" t="n"/>
      <c r="AK43" s="2330" t="n"/>
      <c r="AL43" s="2331" t="n">
        <v>2.9</v>
      </c>
      <c r="AM43" s="2331" t="n">
        <v>5.82</v>
      </c>
      <c r="AN43" s="2331" t="n">
        <v>8.69</v>
      </c>
      <c r="AO43" s="2332" t="n"/>
      <c r="AP43" s="2327">
        <f>AP44-AO43</f>
        <v/>
      </c>
      <c r="AQ43" s="1272" t="n"/>
      <c r="AR43" s="2333" t="n"/>
    </row>
    <row r="44" ht="70.5" customHeight="1" s="1158">
      <c r="A44" s="2308" t="inlineStr">
        <is>
          <t>PERF</t>
        </is>
      </c>
      <c r="B44" s="2309" t="n">
        <v>0</v>
      </c>
      <c r="C44" s="2309" t="inlineStr">
        <is>
          <t>**</t>
        </is>
      </c>
      <c r="E44" s="2310" t="n"/>
      <c r="F44" s="2311" t="n"/>
      <c r="G44" s="2312" t="n"/>
      <c r="P44" s="2313" t="n"/>
      <c r="Q44" s="2311" t="n"/>
      <c r="S44" s="2314" t="n"/>
      <c r="V44" s="2180" t="n"/>
      <c r="W44" s="2336" t="n"/>
      <c r="X44" s="2328" t="n">
        <v>20</v>
      </c>
      <c r="Y44" s="2329" t="inlineStr">
        <is>
          <t>UPPER CONN . 3-1/2" VAM TOP 9.2#PPF 13 CR 95 BOX DESCRIPTION : WEATHERFORD SIDE POCKET MANDREL GROOVED Mandrel, SBRO-2NGRDUMMY SN 12817789-13 DUMMY PN 2953030 &amp; LATCH SN 12817844-14 LATCH PN 2951409 P/N: 2953124 S/N: 12692972-05 SUPPLIER : WEATHERFORD SAP : 130010036622LOWER CONN- 3 1/2 9.2 VAM TOP 13 CR 95 KSI PIN</t>
        </is>
      </c>
      <c r="Z44" s="1171" t="n"/>
      <c r="AA44" s="1171" t="n"/>
      <c r="AB44" s="1171" t="n"/>
      <c r="AC44" s="1171" t="n"/>
      <c r="AD44" s="1171" t="n"/>
      <c r="AE44" s="1171" t="n"/>
      <c r="AF44" s="1171" t="n"/>
      <c r="AG44" s="1171" t="n"/>
      <c r="AH44" s="1171" t="n"/>
      <c r="AI44" s="1171" t="n"/>
      <c r="AJ44" s="1171" t="n"/>
      <c r="AK44" s="2330" t="inlineStr">
        <is>
          <t xml:space="preserve"> DEG</t>
        </is>
      </c>
      <c r="AL44" s="2331" t="n">
        <v>2.921</v>
      </c>
      <c r="AM44" s="2331" t="n">
        <v>3.929</v>
      </c>
      <c r="AN44" s="2331" t="n">
        <v>4.97</v>
      </c>
      <c r="AO44" s="2332" t="n"/>
      <c r="AP44" s="2327">
        <f>AP45-AO44</f>
        <v/>
      </c>
      <c r="AQ44" s="1272" t="n"/>
      <c r="AR44" s="2333" t="n"/>
    </row>
    <row r="45" ht="13.5" customHeight="1" s="1158">
      <c r="A45" s="2308" t="inlineStr">
        <is>
          <t>OH</t>
        </is>
      </c>
      <c r="B45" s="2309" t="n">
        <v>1</v>
      </c>
      <c r="C45" s="2309" t="inlineStr">
        <is>
          <t>*</t>
        </is>
      </c>
      <c r="E45" s="2310" t="n"/>
      <c r="F45" s="2311" t="n"/>
      <c r="G45" s="2312" t="n"/>
      <c r="P45" s="2313" t="n"/>
      <c r="Q45" s="2311" t="n"/>
      <c r="S45" s="2314" t="n"/>
      <c r="V45" s="2180" t="n"/>
      <c r="W45" s="2336" t="n"/>
      <c r="X45" s="2328" t="n">
        <v>21</v>
      </c>
      <c r="Y45" s="2329" t="inlineStr">
        <is>
          <t>X-O 3-1/2" 10 FT PUP JT 9.2 LB/FT ALLOY 28 VTOP B X TSH BL P</t>
        </is>
      </c>
      <c r="Z45" s="1171" t="n"/>
      <c r="AA45" s="1171" t="n"/>
      <c r="AB45" s="1171" t="n"/>
      <c r="AC45" s="1171" t="n"/>
      <c r="AD45" s="1171" t="n"/>
      <c r="AE45" s="1171" t="n"/>
      <c r="AF45" s="1171" t="n"/>
      <c r="AG45" s="1171" t="n"/>
      <c r="AH45" s="1171" t="n"/>
      <c r="AI45" s="1171" t="n"/>
      <c r="AJ45" s="1171" t="n"/>
      <c r="AK45" s="2330" t="n"/>
      <c r="AL45" s="2331" t="n">
        <v>2.959</v>
      </c>
      <c r="AM45" s="2331" t="n">
        <v>3.908</v>
      </c>
      <c r="AN45" s="2331" t="n">
        <v>5.18</v>
      </c>
      <c r="AO45" s="2332" t="n"/>
      <c r="AP45" s="2327">
        <f>AP46-AO45</f>
        <v/>
      </c>
      <c r="AQ45" s="1272" t="n"/>
      <c r="AR45" s="2333" t="n"/>
    </row>
    <row r="46" ht="13.5" customHeight="1" s="1158">
      <c r="A46" s="2308" t="inlineStr">
        <is>
          <t>OH</t>
        </is>
      </c>
      <c r="B46" s="2309" t="n">
        <v>1</v>
      </c>
      <c r="C46" s="2309" t="inlineStr">
        <is>
          <t>*</t>
        </is>
      </c>
      <c r="E46" s="2310" t="n"/>
      <c r="F46" s="2311" t="n"/>
      <c r="G46" s="2312" t="n"/>
      <c r="P46" s="2313" t="n"/>
      <c r="Q46" s="2311" t="n"/>
      <c r="S46" s="2314" t="n"/>
      <c r="V46" s="2180" t="n"/>
      <c r="W46" s="2336" t="n"/>
      <c r="X46" s="2328" t="n">
        <v>21</v>
      </c>
      <c r="Y46" s="2329" t="inlineStr">
        <is>
          <t>X-O 3-1/2" 10 FT PUP JT 9.2 LB/FT ALLOY 28 VTOP B X TSH BL P</t>
        </is>
      </c>
      <c r="Z46" s="1171" t="n"/>
      <c r="AA46" s="1171" t="n"/>
      <c r="AB46" s="1171" t="n"/>
      <c r="AC46" s="1171" t="n"/>
      <c r="AD46" s="1171" t="n"/>
      <c r="AE46" s="1171" t="n"/>
      <c r="AF46" s="1171" t="n"/>
      <c r="AG46" s="1171" t="n"/>
      <c r="AH46" s="1171" t="n"/>
      <c r="AI46" s="1171" t="n"/>
      <c r="AJ46" s="1171" t="n"/>
      <c r="AK46" s="2330" t="n"/>
      <c r="AL46" s="2331" t="n"/>
      <c r="AM46" s="2331" t="n"/>
      <c r="AO46" s="2332" t="n"/>
      <c r="AP46" s="2327">
        <f>AP47-AO46</f>
        <v/>
      </c>
      <c r="AQ46" s="1272" t="n"/>
      <c r="AR46" s="2333" t="n"/>
    </row>
    <row r="47" ht="13.5" customHeight="1" s="1158">
      <c r="A47" s="2308" t="inlineStr">
        <is>
          <t>XO_1</t>
        </is>
      </c>
      <c r="B47" s="2309" t="n">
        <v>1</v>
      </c>
      <c r="C47" s="2309" t="n"/>
      <c r="E47" s="2310" t="n"/>
      <c r="F47" s="2311" t="n"/>
      <c r="G47" s="2312" t="n"/>
      <c r="P47" s="2313" t="n"/>
      <c r="Q47" s="2311" t="n"/>
      <c r="S47" s="2180" t="n"/>
      <c r="V47" s="2180" t="n"/>
      <c r="W47" s="2336" t="n"/>
      <c r="X47" s="2328" t="n">
        <v>22</v>
      </c>
      <c r="Y47" s="2329" t="inlineStr">
        <is>
          <t>3-1/2" TUBING 9.2 LB/FT ALLOY 28 TSH BL (AS REQ'D).</t>
        </is>
      </c>
      <c r="Z47" s="1171" t="n"/>
      <c r="AA47" s="1171" t="n"/>
      <c r="AB47" s="1171" t="n"/>
      <c r="AC47" s="1171" t="n"/>
      <c r="AD47" s="1171" t="n"/>
      <c r="AE47" s="1171" t="n"/>
      <c r="AF47" s="1171" t="n"/>
      <c r="AG47" s="1171" t="n"/>
      <c r="AH47" s="1171" t="n"/>
      <c r="AI47" s="1171" t="n"/>
      <c r="AJ47" s="1171" t="n"/>
      <c r="AK47" s="2330" t="inlineStr">
        <is>
          <t>15 JTS</t>
        </is>
      </c>
      <c r="AL47" s="2331" t="n">
        <v>2.969</v>
      </c>
      <c r="AM47" s="2331" t="n">
        <v>3.937</v>
      </c>
      <c r="AN47" s="2331" t="n">
        <v>9.949999999999999</v>
      </c>
      <c r="AO47" s="2332" t="n"/>
      <c r="AP47" s="2327">
        <f>AP48-AO47</f>
        <v/>
      </c>
      <c r="AQ47" s="1272" t="n"/>
      <c r="AR47" s="2333" t="n"/>
    </row>
    <row r="48" ht="13.5" customHeight="1" s="1158">
      <c r="A48" s="2308" t="inlineStr">
        <is>
          <t>CSG_1</t>
        </is>
      </c>
      <c r="B48" s="2309" t="n">
        <v>1</v>
      </c>
      <c r="C48" s="2309" t="inlineStr">
        <is>
          <t>*</t>
        </is>
      </c>
      <c r="E48" s="2310" t="n"/>
      <c r="F48" s="2311" t="n"/>
      <c r="G48" s="2312" t="n"/>
      <c r="P48" s="2313" t="n"/>
      <c r="Q48" s="2311" t="n"/>
      <c r="R48" s="2341" t="n"/>
      <c r="V48" s="2180" t="n"/>
      <c r="W48" s="2336" t="n"/>
      <c r="X48" s="2328" t="n">
        <v>23</v>
      </c>
      <c r="Y48" s="2329" t="inlineStr">
        <is>
          <t>X-O 3-1/2" 10 FT PUP JT 9.2 LB/FT ALLOY 28 TSH BL B X VTOP P</t>
        </is>
      </c>
      <c r="Z48" s="1171" t="n"/>
      <c r="AA48" s="1171" t="n"/>
      <c r="AB48" s="1171" t="n"/>
      <c r="AC48" s="1171" t="n"/>
      <c r="AD48" s="1171" t="n"/>
      <c r="AE48" s="1171" t="n"/>
      <c r="AF48" s="1171" t="n"/>
      <c r="AG48" s="1171" t="n"/>
      <c r="AH48" s="1171" t="n"/>
      <c r="AI48" s="1171" t="n"/>
      <c r="AJ48" s="1171" t="n"/>
      <c r="AK48" s="2330" t="n"/>
      <c r="AL48" s="2331" t="n">
        <v>2.959</v>
      </c>
      <c r="AM48" s="2331" t="n">
        <v>3.908</v>
      </c>
      <c r="AN48" s="2331" t="n">
        <v>4.85</v>
      </c>
      <c r="AO48" s="2332" t="n"/>
      <c r="AP48" s="2327">
        <f>AP49-AO48</f>
        <v/>
      </c>
      <c r="AQ48" s="1272" t="n"/>
      <c r="AR48" s="2333" t="n"/>
    </row>
    <row r="49" ht="13.5" customHeight="1" s="1158">
      <c r="A49" s="2308" t="inlineStr">
        <is>
          <t>CSG_1</t>
        </is>
      </c>
      <c r="B49" s="2309" t="n">
        <v>1</v>
      </c>
      <c r="C49" s="2309" t="inlineStr">
        <is>
          <t>*</t>
        </is>
      </c>
      <c r="E49" s="2310" t="n"/>
      <c r="F49" s="2311" t="n"/>
      <c r="G49" s="2312" t="n"/>
      <c r="P49" s="2313" t="n"/>
      <c r="Q49" s="2311" t="n"/>
      <c r="R49" s="2341" t="n"/>
      <c r="V49" s="2180" t="n"/>
      <c r="W49" s="2336" t="n"/>
      <c r="X49" s="2328" t="n">
        <v>23</v>
      </c>
      <c r="Y49" s="2329" t="inlineStr">
        <is>
          <t>X-O 3-1/2" 10 FT PUP JT 9.2 LB/FT ALLOY 28 TSH BL B X VTOP P</t>
        </is>
      </c>
      <c r="Z49" s="1171" t="n"/>
      <c r="AA49" s="1171" t="n"/>
      <c r="AB49" s="1171" t="n"/>
      <c r="AC49" s="1171" t="n"/>
      <c r="AD49" s="1171" t="n"/>
      <c r="AE49" s="1171" t="n"/>
      <c r="AF49" s="1171" t="n"/>
      <c r="AG49" s="1171" t="n"/>
      <c r="AH49" s="1171" t="n"/>
      <c r="AI49" s="1171" t="n"/>
      <c r="AJ49" s="1171" t="n"/>
      <c r="AK49" s="2330" t="n"/>
      <c r="AL49" s="2331" t="n">
        <v>2.9</v>
      </c>
      <c r="AM49" s="2331" t="n">
        <v>5.82</v>
      </c>
      <c r="AN49" s="2331" t="n">
        <v>8.69</v>
      </c>
      <c r="AO49" s="2332" t="n"/>
      <c r="AP49" s="2327">
        <f>AP50-AO49</f>
        <v/>
      </c>
      <c r="AQ49" s="1272" t="n"/>
      <c r="AR49" s="2333" t="n"/>
    </row>
    <row r="50" ht="45.75" customHeight="1" s="1158">
      <c r="A50" s="2308" t="inlineStr">
        <is>
          <t>GRE_1</t>
        </is>
      </c>
      <c r="B50" s="2342" t="n">
        <v>0</v>
      </c>
      <c r="C50" s="2309" t="inlineStr">
        <is>
          <t>**</t>
        </is>
      </c>
      <c r="E50" s="2310" t="n"/>
      <c r="F50" s="2311" t="n"/>
      <c r="G50" s="2312" t="n"/>
      <c r="P50" s="2313" t="n"/>
      <c r="Q50" s="2311" t="n"/>
      <c r="R50" s="2341" t="n"/>
      <c r="T50" s="2180" t="n"/>
      <c r="U50" s="2180" t="n"/>
      <c r="V50" s="2180" t="n"/>
      <c r="W50" s="2336" t="n"/>
      <c r="X50" s="2328" t="n">
        <v>24</v>
      </c>
      <c r="Y50" s="2329" t="inlineStr">
        <is>
          <t>UPPER CONN . 3-1/2" SENTINEL PRIME 9.2#PPF INC 925 BOXDESCRIPTION : WEATHERFORD SIDE POCKET MANDREL SBRO-2NGRGROOVED GLMDUMMY SN 12799406-15 DUMMY PN 2953030 &amp;LATCH SN 12817838-09 LATCH PN 2951409P/N: 3205577 S/N: 12636080-03SAP: 130010036652 SUPPLIER: WEATHERFORDLOWER CONN- 3 1/2 9.2 SENTINEL PRIME 9.2 PPF INC 925 PINUPPER CONN . 3-1/2" SENTINEL PRIME 9.2#PPF INC 925 BOXDESCRIPTION : WEATHERFORD SIDE POCKET MANDREL SBRO-2NGRGROOVED GLMDUMMY SN 12799406-15 DUMMY PN 2953030 &amp;LATCH SN 12817838-09 LATCH PN 2951409P/N: 3205577 S/N: 12636080-03SAP: 130010036652 SUPPLIER: WEATHERFORDLOWER CONN- 3 1/2 9.2 SENTINEL PRIME 9.2 PPF INC 925 PIN</t>
        </is>
      </c>
      <c r="Z50" s="1171" t="n"/>
      <c r="AA50" s="1171" t="n"/>
      <c r="AB50" s="1171" t="n"/>
      <c r="AC50" s="1171" t="n"/>
      <c r="AD50" s="1171" t="n"/>
      <c r="AE50" s="1171" t="n"/>
      <c r="AF50" s="1171" t="n"/>
      <c r="AG50" s="1171" t="n"/>
      <c r="AH50" s="1171" t="n"/>
      <c r="AI50" s="1171" t="n"/>
      <c r="AJ50" s="1171" t="n"/>
      <c r="AK50" s="2330" t="inlineStr">
        <is>
          <t xml:space="preserve"> DEG</t>
        </is>
      </c>
      <c r="AL50" s="2331" t="n">
        <v>2.921</v>
      </c>
      <c r="AM50" s="2331" t="n">
        <v>3.929</v>
      </c>
      <c r="AN50" s="2331" t="n">
        <v>4.96</v>
      </c>
      <c r="AO50" s="2332" t="n"/>
      <c r="AP50" s="2327">
        <f>AP51-AO50</f>
        <v/>
      </c>
      <c r="AQ50" s="1272" t="n"/>
      <c r="AR50" s="2333" t="n"/>
    </row>
    <row r="51" ht="13.5" customHeight="1" s="1158">
      <c r="A51" s="2308" t="inlineStr">
        <is>
          <t>XO_GRE</t>
        </is>
      </c>
      <c r="B51" s="2342" t="n">
        <v>0</v>
      </c>
      <c r="C51" s="2309" t="inlineStr">
        <is>
          <t>*</t>
        </is>
      </c>
      <c r="E51" s="2310" t="n"/>
      <c r="F51" s="2311" t="n"/>
      <c r="G51" s="2312" t="n"/>
      <c r="P51" s="2313" t="n"/>
      <c r="Q51" s="2311" t="n"/>
      <c r="R51" s="2341" t="n"/>
      <c r="T51" s="2180" t="n"/>
      <c r="U51" s="2180" t="n"/>
      <c r="V51" s="2180" t="n"/>
      <c r="W51" s="2336" t="n"/>
      <c r="X51" s="2328" t="n">
        <v>25</v>
      </c>
      <c r="Y51" s="2329" t="inlineStr">
        <is>
          <t>X-O 3-1/2" 10 FT PUP JT 9.2 LB/FT ALLOY 28 VTOP B X TSH BL P</t>
        </is>
      </c>
      <c r="Z51" s="1171" t="n"/>
      <c r="AA51" s="1171" t="n"/>
      <c r="AB51" s="1171" t="n"/>
      <c r="AC51" s="1171" t="n"/>
      <c r="AD51" s="1171" t="n"/>
      <c r="AE51" s="1171" t="n"/>
      <c r="AF51" s="1171" t="n"/>
      <c r="AG51" s="1171" t="n"/>
      <c r="AH51" s="1171" t="n"/>
      <c r="AI51" s="1171" t="n"/>
      <c r="AJ51" s="1171" t="n"/>
      <c r="AK51" s="2330" t="n"/>
      <c r="AL51" s="2331" t="n">
        <v>2.959</v>
      </c>
      <c r="AM51" s="2331" t="n">
        <v>3.908</v>
      </c>
      <c r="AN51" s="2331" t="n">
        <v>5.2</v>
      </c>
      <c r="AO51" s="2332" t="n"/>
      <c r="AP51" s="2327">
        <f>AP52-AO51</f>
        <v/>
      </c>
      <c r="AQ51" s="1272" t="n"/>
      <c r="AR51" s="2333" t="n"/>
    </row>
    <row r="52" ht="13.5" customHeight="1" s="1158">
      <c r="A52" s="2308" t="inlineStr">
        <is>
          <t>XO_GRE</t>
        </is>
      </c>
      <c r="B52" s="2342" t="n">
        <v>0</v>
      </c>
      <c r="C52" s="2309" t="inlineStr">
        <is>
          <t>*</t>
        </is>
      </c>
      <c r="E52" s="2310" t="n"/>
      <c r="F52" s="2311" t="n"/>
      <c r="G52" s="2312" t="n"/>
      <c r="P52" s="2313" t="n"/>
      <c r="Q52" s="2311" t="n"/>
      <c r="R52" s="2341" t="n"/>
      <c r="T52" s="2180" t="n"/>
      <c r="U52" s="2180" t="n"/>
      <c r="V52" s="2180" t="n"/>
      <c r="W52" s="2336" t="n"/>
      <c r="X52" s="2328" t="n">
        <v>25</v>
      </c>
      <c r="Y52" s="2329" t="inlineStr">
        <is>
          <t>X-O 3-1/2" 10 FT PUP JT 9.2 LB/FT ALLOY 28 VTOP B X TSH BL P</t>
        </is>
      </c>
      <c r="Z52" s="1171" t="n"/>
      <c r="AA52" s="1171" t="n"/>
      <c r="AB52" s="1171" t="n"/>
      <c r="AC52" s="1171" t="n"/>
      <c r="AD52" s="1171" t="n"/>
      <c r="AE52" s="1171" t="n"/>
      <c r="AF52" s="1171" t="n"/>
      <c r="AG52" s="1171" t="n"/>
      <c r="AH52" s="1171" t="n"/>
      <c r="AI52" s="1171" t="n"/>
      <c r="AJ52" s="1171" t="n"/>
      <c r="AK52" s="2330" t="n"/>
      <c r="AL52" s="2331" t="n"/>
      <c r="AM52" s="2331" t="n"/>
      <c r="AO52" s="2332" t="n"/>
      <c r="AP52" s="2327">
        <f>AP53-AO52</f>
        <v/>
      </c>
      <c r="AQ52" s="1272" t="n"/>
      <c r="AR52" s="2333" t="n"/>
    </row>
    <row r="53" ht="13.5" customHeight="1" s="1158">
      <c r="C53" s="2309" t="n"/>
      <c r="E53" s="2310" t="n"/>
      <c r="F53" s="2311" t="n"/>
      <c r="G53" s="2312" t="n"/>
      <c r="P53" s="2313" t="n"/>
      <c r="Q53" s="2311" t="n"/>
      <c r="R53" s="2343" t="n"/>
      <c r="T53" s="2180" t="n"/>
      <c r="U53" s="2180" t="n"/>
      <c r="V53" s="2180" t="n"/>
      <c r="W53" s="2336" t="n"/>
      <c r="X53" s="2328" t="n">
        <v>26</v>
      </c>
      <c r="Y53" s="2329" t="inlineStr">
        <is>
          <t>3-1/2" TUBING 9.2 LB/FT ALLOY 28 TSH BL (AS REQ'D).</t>
        </is>
      </c>
      <c r="Z53" s="1171" t="n"/>
      <c r="AA53" s="1171" t="n"/>
      <c r="AB53" s="1171" t="n"/>
      <c r="AC53" s="1171" t="n"/>
      <c r="AD53" s="1171" t="n"/>
      <c r="AE53" s="1171" t="n"/>
      <c r="AF53" s="1171" t="n"/>
      <c r="AG53" s="1171" t="n"/>
      <c r="AH53" s="1171" t="n"/>
      <c r="AI53" s="1171" t="n"/>
      <c r="AJ53" s="1171" t="n"/>
      <c r="AK53" s="2330" t="inlineStr">
        <is>
          <t>45JTS</t>
        </is>
      </c>
      <c r="AL53" s="2331" t="n">
        <v>2.969</v>
      </c>
      <c r="AM53" s="2331" t="n">
        <v>3.937</v>
      </c>
      <c r="AN53" s="2331" t="n">
        <v>4.99</v>
      </c>
      <c r="AO53" s="2332" t="n"/>
      <c r="AP53" s="2327">
        <f>AP54-AO53</f>
        <v/>
      </c>
      <c r="AQ53" s="1272" t="n"/>
      <c r="AR53" s="2333" t="n"/>
    </row>
    <row r="54" ht="13.5" customHeight="1" s="1158">
      <c r="C54" s="2309" t="inlineStr">
        <is>
          <t>*</t>
        </is>
      </c>
      <c r="E54" s="2310" t="n"/>
      <c r="F54" s="2311" t="n"/>
      <c r="G54" s="2312" t="n"/>
      <c r="P54" s="2313" t="n"/>
      <c r="Q54" s="2311" t="n"/>
      <c r="R54" s="2341" t="n"/>
      <c r="T54" s="2180" t="n"/>
      <c r="U54" s="2180" t="n"/>
      <c r="V54" s="2180" t="n"/>
      <c r="W54" s="2336" t="n"/>
      <c r="X54" s="2328" t="n">
        <v>27</v>
      </c>
      <c r="Y54" s="2329" t="inlineStr">
        <is>
          <t>X-O 3-1/2" 5 FT PUP JT 9.2 LB/FT ALLOY 28 TSH BL B X VTOP P</t>
        </is>
      </c>
      <c r="Z54" s="1171" t="n"/>
      <c r="AA54" s="1171" t="n"/>
      <c r="AB54" s="1171" t="n"/>
      <c r="AC54" s="1171" t="n"/>
      <c r="AD54" s="1171" t="n"/>
      <c r="AE54" s="1171" t="n"/>
      <c r="AF54" s="1171" t="n"/>
      <c r="AG54" s="1171" t="n"/>
      <c r="AH54" s="1171" t="n"/>
      <c r="AI54" s="1171" t="n"/>
      <c r="AJ54" s="1171" t="n"/>
      <c r="AK54" s="2330" t="n"/>
      <c r="AL54" s="2331" t="n">
        <v>2.919</v>
      </c>
      <c r="AM54" s="2331" t="n">
        <v>5.91</v>
      </c>
      <c r="AN54" s="2331" t="n">
        <v>9.710000000000001</v>
      </c>
      <c r="AO54" s="2332" t="n"/>
      <c r="AP54" s="2327">
        <f>AP55-AO54</f>
        <v/>
      </c>
      <c r="AQ54" s="1272" t="n"/>
      <c r="AR54" s="2333" t="n"/>
    </row>
    <row r="55" ht="90" customHeight="1" s="1158">
      <c r="C55" s="2309" t="inlineStr">
        <is>
          <t>***</t>
        </is>
      </c>
      <c r="E55" s="2310" t="n"/>
      <c r="F55" s="2311" t="n"/>
      <c r="G55" s="2312" t="n"/>
      <c r="P55" s="2313" t="n"/>
      <c r="Q55" s="2311" t="n"/>
      <c r="R55" s="2341" t="n"/>
      <c r="T55" s="2180" t="n"/>
      <c r="U55" s="2180" t="n"/>
      <c r="V55" s="2180" t="n"/>
      <c r="W55" s="2336" t="n"/>
      <c r="X55" s="2328" t="n">
        <v>28</v>
      </c>
      <c r="Y55" s="2329" t="inlineStr">
        <is>
          <t>UPPER CONN . 3-1/2" VAM TOP 9.2#PPF INC 925 110 KSI BOXDESCRIPTION :WEATHERFORD PACKER REMOVABLE HYDRAULIC OPTI PACKER 7.0 29-32 PPF, 6 SHEAR SCREW, 320 PSI EACH SREW AND TOTAL VALUE 2550 PSI ELEMENT - AFLASP/N: 2960170 S/N: 12857761-01SAP: 130010037571 SUPPLIER: WEATHERFORDLOWER CONN . 3-1/2" VAM TOP 9.2#PPF INC 925 110 KSI PINUPPER CONN . 3-1/2" VAM TOP 9.2#PPF INC 925 110 KSI BOXDESCRIPTION :WEATHERFORD PACKER REMOVABLE HYDRAULIC OPTI PACKER 7.0 29-32 PPF, 6 SHEAR SCREW, 320 PSI EACH SREW AND TOTAL VALUE 2550 PSI ELEMENT - AFLASP/N: 2960170 S/N: 12857761-01SAP: 130010037571 SUPPLIER: WEATHERFORDLOWER CONN . 3-1/2" VAM TOP 9.2#PPF INC 925 110 KSI PIN</t>
        </is>
      </c>
      <c r="Z55" s="1171" t="n"/>
      <c r="AA55" s="1171" t="n"/>
      <c r="AB55" s="1171" t="n"/>
      <c r="AC55" s="1171" t="n"/>
      <c r="AD55" s="1171" t="n"/>
      <c r="AE55" s="1171" t="n"/>
      <c r="AF55" s="1171" t="n"/>
      <c r="AG55" s="1171" t="n"/>
      <c r="AH55" s="1171" t="n"/>
      <c r="AI55" s="1171" t="n"/>
      <c r="AJ55" s="1171" t="n"/>
      <c r="AK55" s="2330" t="inlineStr">
        <is>
          <t>45 DEG</t>
        </is>
      </c>
      <c r="AL55" s="2331" t="n">
        <v>2.959</v>
      </c>
      <c r="AM55" s="2331" t="n">
        <v>3.908</v>
      </c>
      <c r="AO55" s="2332" t="n"/>
      <c r="AP55" s="2327">
        <f>AP56-AO55</f>
        <v/>
      </c>
      <c r="AQ55" s="1272" t="n"/>
      <c r="AR55" s="2333" t="n"/>
    </row>
    <row r="56" ht="13.5" customHeight="1" s="1158">
      <c r="C56" s="2309" t="inlineStr">
        <is>
          <t>*</t>
        </is>
      </c>
      <c r="E56" s="2310" t="n"/>
      <c r="F56" s="2311" t="n"/>
      <c r="G56" s="2312" t="n"/>
      <c r="P56" s="2313" t="n"/>
      <c r="Q56" s="2311" t="n"/>
      <c r="R56" s="2341" t="n"/>
      <c r="T56" s="2180" t="n"/>
      <c r="U56" s="2180" t="n"/>
      <c r="V56" s="2180" t="n"/>
      <c r="W56" s="2336" t="n"/>
      <c r="X56" s="2328" t="n">
        <v>29</v>
      </c>
      <c r="Y56" s="2329" t="inlineStr">
        <is>
          <t>X-O 3-1/2" 10 FT PUP JT 9.2 LB/FT ALLOY 28 VTOP B X TSH BL P</t>
        </is>
      </c>
      <c r="Z56" s="1171" t="n"/>
      <c r="AA56" s="1171" t="n"/>
      <c r="AB56" s="1171" t="n"/>
      <c r="AC56" s="1171" t="n"/>
      <c r="AD56" s="1171" t="n"/>
      <c r="AE56" s="1171" t="n"/>
      <c r="AF56" s="1171" t="n"/>
      <c r="AG56" s="1171" t="n"/>
      <c r="AH56" s="1171" t="n"/>
      <c r="AI56" s="1171" t="n"/>
      <c r="AJ56" s="1171" t="n"/>
      <c r="AK56" s="2330" t="n"/>
      <c r="AL56" s="2331" t="n">
        <v>2.959</v>
      </c>
      <c r="AM56" s="2331" t="n">
        <v>3.908</v>
      </c>
      <c r="AN56" s="2331" t="n">
        <v>4.92</v>
      </c>
      <c r="AO56" s="2332" t="n"/>
      <c r="AP56" s="2327">
        <f>AP57-AO56</f>
        <v/>
      </c>
      <c r="AQ56" s="1272" t="n"/>
      <c r="AR56" s="2333" t="n"/>
    </row>
    <row r="57" ht="13.5" customHeight="1" s="1158">
      <c r="C57" s="2309" t="inlineStr">
        <is>
          <t>*</t>
        </is>
      </c>
      <c r="E57" s="2310" t="n"/>
      <c r="F57" s="2311" t="n"/>
      <c r="G57" s="2312" t="n"/>
      <c r="P57" s="2313" t="n"/>
      <c r="Q57" s="2311" t="n"/>
      <c r="R57" s="2341" t="n"/>
      <c r="T57" s="2180" t="n"/>
      <c r="U57" s="2180" t="n"/>
      <c r="V57" s="2180" t="n"/>
      <c r="W57" s="2336" t="n"/>
      <c r="X57" s="2328" t="n">
        <v>30</v>
      </c>
      <c r="Y57" s="2329" t="inlineStr">
        <is>
          <t>X-O 3-1/2" 5 FT PUP JT 9.2 LB/FT ALLOY 28 TSH BL B X VTOP P</t>
        </is>
      </c>
      <c r="Z57" s="1171" t="n"/>
      <c r="AA57" s="1171" t="n"/>
      <c r="AB57" s="1171" t="n"/>
      <c r="AC57" s="1171" t="n"/>
      <c r="AD57" s="1171" t="n"/>
      <c r="AE57" s="1171" t="n"/>
      <c r="AF57" s="1171" t="n"/>
      <c r="AG57" s="1171" t="n"/>
      <c r="AH57" s="1171" t="n"/>
      <c r="AI57" s="1171" t="n"/>
      <c r="AJ57" s="1171" t="n"/>
      <c r="AK57" s="2330" t="n"/>
      <c r="AL57" s="2331" t="n">
        <v>2.637</v>
      </c>
      <c r="AM57" s="2331" t="n">
        <v>3.885</v>
      </c>
      <c r="AN57" s="2331" t="n">
        <v>1.15</v>
      </c>
      <c r="AO57" s="2332" t="n"/>
      <c r="AP57" s="2327">
        <f>AP58-AO57</f>
        <v/>
      </c>
      <c r="AQ57" s="1272" t="n"/>
      <c r="AR57" s="2333" t="n"/>
    </row>
    <row r="58" ht="67.5" customHeight="1" s="1158">
      <c r="C58" s="2309" t="inlineStr">
        <is>
          <t>**</t>
        </is>
      </c>
      <c r="E58" s="2310" t="n"/>
      <c r="F58" s="2311" t="n"/>
      <c r="G58" s="2312" t="n"/>
      <c r="P58" s="2313" t="n"/>
      <c r="Q58" s="2311" t="n"/>
      <c r="R58" s="2341" t="n"/>
      <c r="T58" s="2180" t="n"/>
      <c r="U58" s="2180" t="n"/>
      <c r="V58" s="2180" t="n"/>
      <c r="W58" s="2336" t="n"/>
      <c r="X58" s="2328" t="n">
        <v>31</v>
      </c>
      <c r="Y58" s="2329" t="inlineStr">
        <is>
          <t>UPPER CONN . 3-1/2" VAM TOP 9.2#PPF INC 925 KSI BOXDESCRIPTION : 2.750 WXN NipplePN: 2963809 S/N :12527047-08SAP: 130010036868 SUPPLIER:WEATHERFORDLOWER CONN.3-1/2" VAM TOP 9.2#PPF INC 925KSI PINUPPER CONN. 3-1/2" VAM TOP BOX 9.2 PPF SN 28 110 KSIUPPER CONN . 3-1/2" VAM TOP 9.2#PPF INC 925 KSI BOXDESCRIPTION : 2.750 WXN NipplePN: 2963809 S/N :12527047-08SAP: 130010036868 SUPPLIER:WEATHERFORDLOWER CONN.3-1/2" VAM TOP 9.2#PPF INC 925KSI PINUPPER CONN. 3-1/2" VAM TOP BOX 9.2 PPF SN 28 110 KSI</t>
        </is>
      </c>
      <c r="Z58" s="1171" t="n"/>
      <c r="AA58" s="1171" t="n"/>
      <c r="AB58" s="1171" t="n"/>
      <c r="AC58" s="1171" t="n"/>
      <c r="AD58" s="1171" t="n"/>
      <c r="AE58" s="1171" t="n"/>
      <c r="AF58" s="1171" t="n"/>
      <c r="AG58" s="1171" t="n"/>
      <c r="AH58" s="1171" t="n"/>
      <c r="AI58" s="1171" t="n"/>
      <c r="AJ58" s="1171" t="n"/>
      <c r="AK58" s="2330" t="inlineStr">
        <is>
          <t>45 DEG</t>
        </is>
      </c>
      <c r="AL58" s="2331" t="n">
        <v>2.959</v>
      </c>
      <c r="AM58" s="2331" t="n">
        <v>3.908</v>
      </c>
      <c r="AO58" s="2332" t="n"/>
      <c r="AP58" s="2327">
        <f>AP59-AO58</f>
        <v/>
      </c>
      <c r="AQ58" s="1272" t="n"/>
      <c r="AR58" s="2333" t="n"/>
      <c r="AS58" s="2178">
        <f>SUBSTITUTE(A1,CHAR(10)," ")</f>
        <v/>
      </c>
    </row>
    <row r="59" ht="13.5" customHeight="1" s="1158">
      <c r="C59" s="2309" t="inlineStr">
        <is>
          <t>*</t>
        </is>
      </c>
      <c r="E59" s="2310" t="n"/>
      <c r="F59" s="2311" t="n"/>
      <c r="G59" s="2312" t="n"/>
      <c r="P59" s="2313" t="n"/>
      <c r="Q59" s="2311" t="n"/>
      <c r="R59" s="2343" t="n"/>
      <c r="T59" s="2180" t="n"/>
      <c r="U59" s="2180" t="n"/>
      <c r="V59" s="2180" t="n"/>
      <c r="W59" s="2336" t="n"/>
      <c r="X59" s="2328" t="n">
        <v>32</v>
      </c>
      <c r="Y59" s="2329" t="inlineStr">
        <is>
          <t>X-O 3-1/2" 5 FT PUP JT 9.2 LB/FT ALLOY 28 VTOP B X TSH BL P</t>
        </is>
      </c>
      <c r="Z59" s="1171" t="n"/>
      <c r="AA59" s="1171" t="n"/>
      <c r="AB59" s="1171" t="n"/>
      <c r="AC59" s="1171" t="n"/>
      <c r="AD59" s="1171" t="n"/>
      <c r="AE59" s="1171" t="n"/>
      <c r="AF59" s="1171" t="n"/>
      <c r="AG59" s="1171" t="n"/>
      <c r="AH59" s="1171" t="n"/>
      <c r="AI59" s="1171" t="n"/>
      <c r="AJ59" s="1171" t="n"/>
      <c r="AK59" s="2330" t="n"/>
      <c r="AL59" s="2331" t="n"/>
      <c r="AM59" s="2331" t="n"/>
      <c r="AO59" s="2332" t="n"/>
      <c r="AP59" s="2327">
        <f>AP60-AO59</f>
        <v/>
      </c>
      <c r="AQ59" s="1272" t="n"/>
      <c r="AR59" s="2333" t="n"/>
    </row>
    <row r="60" ht="13.5" customHeight="1" s="1158">
      <c r="C60" s="2309" t="n"/>
      <c r="E60" s="2310" t="n"/>
      <c r="F60" s="2311" t="n"/>
      <c r="G60" s="2312" t="n"/>
      <c r="P60" s="2313" t="n"/>
      <c r="Q60" s="2311" t="n"/>
      <c r="R60" s="2341" t="n"/>
      <c r="T60" s="2180" t="n"/>
      <c r="U60" s="2180" t="n"/>
      <c r="V60" s="2180" t="n"/>
      <c r="W60" s="2336" t="n"/>
      <c r="X60" s="2328" t="n">
        <v>33</v>
      </c>
      <c r="Y60" s="2329" t="inlineStr">
        <is>
          <t>3-1/2" TUBING 9.2 LB/FT ALLOY 28 TSH BL</t>
        </is>
      </c>
      <c r="Z60" s="1171" t="n"/>
      <c r="AA60" s="1171" t="n"/>
      <c r="AB60" s="1171" t="n"/>
      <c r="AC60" s="1171" t="n"/>
      <c r="AD60" s="1171" t="n"/>
      <c r="AE60" s="1171" t="n"/>
      <c r="AF60" s="1171" t="n"/>
      <c r="AG60" s="1171" t="n"/>
      <c r="AH60" s="1171" t="n"/>
      <c r="AI60" s="1171" t="n"/>
      <c r="AJ60" s="1171" t="n"/>
      <c r="AK60" s="2330" t="inlineStr">
        <is>
          <t>2 JTS</t>
        </is>
      </c>
      <c r="AL60" s="2331" t="n">
        <v>2.969</v>
      </c>
      <c r="AM60" s="2331" t="n">
        <v>3.937</v>
      </c>
      <c r="AO60" s="2332" t="n"/>
      <c r="AP60" s="2327">
        <f>AP61-AO60</f>
        <v/>
      </c>
      <c r="AQ60" s="1272" t="n"/>
      <c r="AR60" s="2333" t="n"/>
    </row>
    <row r="61" ht="13.5" customHeight="1" s="1158">
      <c r="C61" s="2309" t="inlineStr">
        <is>
          <t>*</t>
        </is>
      </c>
      <c r="E61" s="2310" t="n"/>
      <c r="F61" s="2311" t="n"/>
      <c r="G61" s="2312" t="n"/>
      <c r="P61" s="2313" t="n"/>
      <c r="Q61" s="2311" t="n"/>
      <c r="R61" s="2341" t="n"/>
      <c r="T61" s="2180" t="n"/>
      <c r="U61" s="2180" t="n"/>
      <c r="V61" s="2180" t="n"/>
      <c r="W61" s="2336" t="n"/>
      <c r="X61" s="2328" t="n">
        <v>34</v>
      </c>
      <c r="Y61" s="2329" t="inlineStr">
        <is>
          <t>X-O 3-1/2" 10 FT PUP JT 9.2 LB/FT ALLOY 28 TSH BL B X VTOP P</t>
        </is>
      </c>
      <c r="Z61" s="1171" t="n"/>
      <c r="AA61" s="1171" t="n"/>
      <c r="AB61" s="1171" t="n"/>
      <c r="AC61" s="1171" t="n"/>
      <c r="AD61" s="1171" t="n"/>
      <c r="AE61" s="1171" t="n"/>
      <c r="AF61" s="1171" t="n"/>
      <c r="AG61" s="1171" t="n"/>
      <c r="AH61" s="1171" t="n"/>
      <c r="AI61" s="1171" t="n"/>
      <c r="AJ61" s="1171" t="n"/>
      <c r="AK61" s="2330" t="n"/>
      <c r="AL61" s="2331" t="n">
        <v>2.953</v>
      </c>
      <c r="AM61" s="2331" t="n">
        <v>5.7</v>
      </c>
      <c r="AO61" s="2332" t="n"/>
      <c r="AP61" s="2327">
        <f>AP62-AO61</f>
        <v/>
      </c>
      <c r="AQ61" s="1272" t="n"/>
      <c r="AR61" s="2333" t="n"/>
    </row>
    <row r="62" ht="13.5" customHeight="1" s="1158">
      <c r="C62" s="2309" t="inlineStr">
        <is>
          <t>*</t>
        </is>
      </c>
      <c r="E62" s="2310" t="n"/>
      <c r="F62" s="2311" t="n"/>
      <c r="G62" s="2312" t="n"/>
      <c r="P62" s="2313" t="n"/>
      <c r="Q62" s="2311" t="n"/>
      <c r="R62" s="2341" t="n"/>
      <c r="T62" s="2180" t="n"/>
      <c r="U62" s="2180" t="n"/>
      <c r="V62" s="2180" t="n"/>
      <c r="W62" s="2336" t="n"/>
      <c r="X62" s="2328" t="n">
        <v>34</v>
      </c>
      <c r="Y62" s="2329" t="inlineStr">
        <is>
          <t>X-O 3-1/2" 10 FT PUP JT 9.2 LB/FT ALLOY 28 TSH BL B X VTOP P</t>
        </is>
      </c>
      <c r="Z62" s="1171" t="n"/>
      <c r="AA62" s="1171" t="n"/>
      <c r="AB62" s="1171" t="n"/>
      <c r="AC62" s="1171" t="n"/>
      <c r="AD62" s="1171" t="n"/>
      <c r="AE62" s="1171" t="n"/>
      <c r="AF62" s="1171" t="n"/>
      <c r="AG62" s="1171" t="n"/>
      <c r="AH62" s="1171" t="n"/>
      <c r="AI62" s="1171" t="n"/>
      <c r="AJ62" s="1171" t="n"/>
      <c r="AK62" s="2330" t="n"/>
      <c r="AL62" s="2331" t="n">
        <v>2.959</v>
      </c>
      <c r="AM62" s="2331" t="n">
        <v>3.908</v>
      </c>
      <c r="AO62" s="2332" t="n"/>
      <c r="AP62" s="2327">
        <f>AP63-AO62</f>
        <v/>
      </c>
      <c r="AQ62" s="1272" t="n"/>
      <c r="AR62" s="2333" t="n"/>
    </row>
    <row r="63" ht="57" customHeight="1" s="1158">
      <c r="C63" s="2309" t="inlineStr">
        <is>
          <t>**</t>
        </is>
      </c>
      <c r="E63" s="2310" t="n"/>
      <c r="F63" s="2311" t="n"/>
      <c r="G63" s="2312" t="n"/>
      <c r="P63" s="2313" t="n"/>
      <c r="Q63" s="2311" t="n"/>
      <c r="R63" s="2341" t="n"/>
      <c r="T63" s="2180" t="n"/>
      <c r="U63" s="2180" t="n"/>
      <c r="V63" s="2180" t="n"/>
      <c r="W63" s="2336" t="n"/>
      <c r="X63" s="2328" t="n">
        <v>35</v>
      </c>
      <c r="Y63" s="2329" t="inlineStr">
        <is>
          <t>UPPER CONN . 3-1/2" SENTINEL PRIME 9.2#PPF INC 925 BOXDESCRIPTION : NINE ENERGY MULTICYCLE BARRIER DEVICE7 CYCLES REMAININGP/N: 3207251 S/N: 100 086 877SAP: 130010036003 SUPPLIER: NINE ENERGYLOWER CONN- 3 1/2 9.2 SENTINEL PRIME 9.2 PPF INC 925 PINUPPER CONN . 3-1/2" SENTINEL PRIME 9.2#PPF INC 925 BOXDESCRIPTION : NINE ENERGY MULTICYCLE BARRIER DEVICE7 CYCLES REMAININGP/N: 3207251 S/N: 100 086 877SAP: 130010036003 SUPPLIER: NINE ENERGYLOWER CONN- 3 1/2 9.2 SENTINEL PRIME 9.2 PPF INC 925 PIN</t>
        </is>
      </c>
      <c r="Z63" s="1171" t="n"/>
      <c r="AA63" s="1171" t="n"/>
      <c r="AB63" s="1171" t="n"/>
      <c r="AC63" s="1171" t="n"/>
      <c r="AD63" s="1171" t="n"/>
      <c r="AE63" s="1171" t="n"/>
      <c r="AF63" s="1171" t="n"/>
      <c r="AG63" s="1171" t="n"/>
      <c r="AH63" s="1171" t="n"/>
      <c r="AI63" s="1171" t="n"/>
      <c r="AJ63" s="1171" t="n"/>
      <c r="AK63" s="2330" t="inlineStr">
        <is>
          <t>46 DEG</t>
        </is>
      </c>
      <c r="AL63" s="2331" t="n"/>
      <c r="AM63" s="2331" t="n"/>
      <c r="AO63" s="2332" t="n"/>
      <c r="AP63" s="2327">
        <f>AP64-AO63</f>
        <v/>
      </c>
      <c r="AQ63" s="1272" t="n"/>
      <c r="AR63" s="2333" t="n"/>
    </row>
    <row r="64" ht="13.5" customHeight="1" s="1158">
      <c r="C64" s="2309" t="inlineStr">
        <is>
          <t>*</t>
        </is>
      </c>
      <c r="E64" s="2310" t="n"/>
      <c r="F64" s="2311" t="n"/>
      <c r="G64" s="2312" t="n"/>
      <c r="P64" s="2313" t="n"/>
      <c r="Q64" s="2311" t="n"/>
      <c r="R64" s="2341" t="n"/>
      <c r="T64" s="2180" t="n"/>
      <c r="U64" s="2180" t="n"/>
      <c r="V64" s="2180" t="n"/>
      <c r="W64" s="2336" t="n"/>
      <c r="X64" s="2328" t="n">
        <v>36</v>
      </c>
      <c r="Y64" s="2329" t="inlineStr">
        <is>
          <t>X-O 3-1/2" 10 FT PUP JT 9.2 LB/FT ALLOY 28 VTOP B X TSH BL P</t>
        </is>
      </c>
      <c r="Z64" s="1171" t="n"/>
      <c r="AA64" s="1171" t="n"/>
      <c r="AB64" s="1171" t="n"/>
      <c r="AC64" s="1171" t="n"/>
      <c r="AD64" s="1171" t="n"/>
      <c r="AE64" s="1171" t="n"/>
      <c r="AF64" s="1171" t="n"/>
      <c r="AG64" s="1171" t="n"/>
      <c r="AH64" s="1171" t="n"/>
      <c r="AI64" s="1171" t="n"/>
      <c r="AJ64" s="1171" t="n"/>
      <c r="AK64" s="2330" t="n"/>
      <c r="AL64" s="2331" t="n">
        <v>2.969</v>
      </c>
      <c r="AM64" s="2331" t="n">
        <v>3.937</v>
      </c>
      <c r="AO64" s="2332" t="n"/>
      <c r="AP64" s="2327">
        <f>AP65-AO64</f>
        <v/>
      </c>
      <c r="AQ64" s="1272" t="n"/>
      <c r="AR64" s="2333" t="n"/>
    </row>
    <row r="65" ht="13.5" customHeight="1" s="1158">
      <c r="C65" s="2309" t="inlineStr">
        <is>
          <t>*</t>
        </is>
      </c>
      <c r="E65" s="2310" t="n"/>
      <c r="F65" s="2311" t="n"/>
      <c r="G65" s="2312" t="n"/>
      <c r="P65" s="2313" t="n"/>
      <c r="Q65" s="2311" t="n"/>
      <c r="R65" s="2341" t="n"/>
      <c r="T65" s="2180" t="n"/>
      <c r="U65" s="2180" t="n"/>
      <c r="V65" s="2180" t="n"/>
      <c r="W65" s="2336" t="n"/>
      <c r="X65" s="2328" t="n">
        <v>36</v>
      </c>
      <c r="Y65" s="2329" t="inlineStr">
        <is>
          <t>X-O 3-1/2" 10 FT PUP JT 9.2 LB/FT ALLOY 28 VTOP B X TSH BL P</t>
        </is>
      </c>
      <c r="Z65" s="1171" t="n"/>
      <c r="AA65" s="1171" t="n"/>
      <c r="AB65" s="1171" t="n"/>
      <c r="AC65" s="1171" t="n"/>
      <c r="AD65" s="1171" t="n"/>
      <c r="AE65" s="1171" t="n"/>
      <c r="AF65" s="1171" t="n"/>
      <c r="AG65" s="1171" t="n"/>
      <c r="AH65" s="1171" t="n"/>
      <c r="AI65" s="1171" t="n"/>
      <c r="AJ65" s="1171" t="n"/>
      <c r="AK65" s="2330" t="n"/>
      <c r="AL65" s="2331" t="n">
        <v>2.949</v>
      </c>
      <c r="AM65" s="2331" t="n">
        <v>3.937</v>
      </c>
      <c r="AO65" s="2332" t="n"/>
      <c r="AP65" s="2327">
        <f>AP66-AO65</f>
        <v/>
      </c>
      <c r="AQ65" s="1272" t="n"/>
      <c r="AR65" s="2333" t="n"/>
    </row>
    <row r="66" ht="13.5" customHeight="1" s="1158">
      <c r="C66" s="2309" t="n"/>
      <c r="E66" s="2310" t="n"/>
      <c r="F66" s="2311" t="n"/>
      <c r="G66" s="2312" t="n"/>
      <c r="P66" s="2313" t="n"/>
      <c r="Q66" s="2311" t="n"/>
      <c r="R66" s="2341" t="n"/>
      <c r="T66" s="2180" t="n"/>
      <c r="U66" s="2180" t="n"/>
      <c r="V66" s="2180" t="n"/>
      <c r="W66" s="2336" t="n"/>
      <c r="X66" s="2328" t="n">
        <v>37</v>
      </c>
      <c r="Y66" s="2329" t="inlineStr">
        <is>
          <t>3-1/2" TUBING 9.2 LB/FT ALLOY 28 TSH BL</t>
        </is>
      </c>
      <c r="Z66" s="1171" t="n"/>
      <c r="AA66" s="1171" t="n"/>
      <c r="AB66" s="1171" t="n"/>
      <c r="AC66" s="1171" t="n"/>
      <c r="AD66" s="1171" t="n"/>
      <c r="AE66" s="1171" t="n"/>
      <c r="AF66" s="1171" t="n"/>
      <c r="AG66" s="1171" t="n"/>
      <c r="AH66" s="1171" t="n"/>
      <c r="AI66" s="1171" t="n"/>
      <c r="AJ66" s="1171" t="n"/>
      <c r="AK66" s="2330" t="inlineStr">
        <is>
          <t>79 JTS</t>
        </is>
      </c>
      <c r="AL66" s="2331" t="n"/>
      <c r="AM66" s="2331" t="n"/>
      <c r="AO66" s="2332" t="n"/>
      <c r="AP66" s="2327">
        <f>AP67-AO66</f>
        <v/>
      </c>
      <c r="AQ66" s="1272" t="n"/>
      <c r="AR66" s="2333" t="n"/>
    </row>
    <row r="67" ht="13.5" customHeight="1" s="1158">
      <c r="C67" s="2309" t="inlineStr">
        <is>
          <t>*</t>
        </is>
      </c>
      <c r="E67" s="2310" t="n"/>
      <c r="F67" s="2311" t="n"/>
      <c r="G67" s="2312" t="n"/>
      <c r="P67" s="2313" t="n"/>
      <c r="Q67" s="2311" t="n"/>
      <c r="R67" s="2343" t="n"/>
      <c r="T67" s="2180" t="n"/>
      <c r="U67" s="2180" t="n"/>
      <c r="V67" s="2180" t="n"/>
      <c r="W67" s="2336" t="n"/>
      <c r="X67" s="2328" t="n">
        <v>38</v>
      </c>
      <c r="Y67" s="2329" t="inlineStr">
        <is>
          <t>X-O 3-1/2" 5 FT PUP JT 9.2 LB/FT ALLOY 28 TSH BL B X VTOP P</t>
        </is>
      </c>
      <c r="Z67" s="1171" t="n"/>
      <c r="AA67" s="1171" t="n"/>
      <c r="AB67" s="1171" t="n"/>
      <c r="AC67" s="1171" t="n"/>
      <c r="AD67" s="1171" t="n"/>
      <c r="AE67" s="1171" t="n"/>
      <c r="AF67" s="1171" t="n"/>
      <c r="AG67" s="1171" t="n"/>
      <c r="AH67" s="1171" t="n"/>
      <c r="AI67" s="1171" t="n"/>
      <c r="AJ67" s="1171" t="n"/>
      <c r="AK67" s="2330" t="n"/>
      <c r="AL67" s="2331" t="n"/>
      <c r="AM67" s="2331" t="n"/>
      <c r="AO67" s="2332" t="n"/>
      <c r="AP67" s="2327">
        <f>AP68-AO67</f>
        <v/>
      </c>
      <c r="AQ67" s="1272" t="n"/>
      <c r="AR67" s="2333" t="n"/>
    </row>
    <row r="68" ht="60.75" customHeight="1" s="1158">
      <c r="C68" s="2309" t="inlineStr">
        <is>
          <t>**</t>
        </is>
      </c>
      <c r="E68" s="2310" t="n"/>
      <c r="F68" s="2311" t="n"/>
      <c r="G68" s="2312" t="n"/>
      <c r="P68" s="2313" t="n"/>
      <c r="Q68" s="2311" t="n"/>
      <c r="R68" s="2341" t="n"/>
      <c r="T68" s="2180" t="n"/>
      <c r="U68" s="2180" t="n"/>
      <c r="V68" s="2180" t="n"/>
      <c r="W68" s="2336" t="n"/>
      <c r="X68" s="2328" t="n">
        <v>39</v>
      </c>
      <c r="Y68" s="2329" t="inlineStr">
        <is>
          <t>UPPER CONN :3-1/2 9.2 PPF, 110KSI VAM TOP BOXDESCRIPTION :PCKR,SWEL,6.3-1/2,A925,OILP/N: 2991712 S/N: RDT-UAE-1003629SAP: 130010039426 SUPPLIER: WFD-REACTIVELOWER CONN .3-1/2 9.2 PPF, 110KSI VAM TOP PINUPPER CONN :3-1/2 9.2 PPF, 110KSI VAM TOP BOXDESCRIPTION :PCKR,SWEL,6.3-1/2,A925,OILP/N: 2991712 S/N: RDT-UAE-1003629SAP: 130010039426 SUPPLIER: WFD-REACTIVELOWER CONN .3-1/2 9.2 PPF, 110KSI VAM TOP PIN</t>
        </is>
      </c>
      <c r="Z68" s="1171" t="n"/>
      <c r="AA68" s="1171" t="n"/>
      <c r="AB68" s="1171" t="n"/>
      <c r="AC68" s="1171" t="n"/>
      <c r="AD68" s="1171" t="n"/>
      <c r="AE68" s="1171" t="n"/>
      <c r="AF68" s="1171" t="n"/>
      <c r="AG68" s="1171" t="n"/>
      <c r="AH68" s="1171" t="n"/>
      <c r="AI68" s="1171" t="n"/>
      <c r="AJ68" s="1171" t="n"/>
      <c r="AK68" s="2330" t="inlineStr">
        <is>
          <t xml:space="preserve"> DEG</t>
        </is>
      </c>
      <c r="AL68" s="2331" t="n"/>
      <c r="AM68" s="2331" t="n"/>
      <c r="AO68" s="2332" t="n"/>
      <c r="AP68" s="2327">
        <f>AP69-AO68</f>
        <v/>
      </c>
      <c r="AQ68" s="1272" t="n"/>
      <c r="AR68" s="2333" t="n"/>
    </row>
    <row r="69" ht="13.5" customHeight="1" s="1158">
      <c r="C69" s="2309" t="inlineStr">
        <is>
          <t>*</t>
        </is>
      </c>
      <c r="E69" s="2310" t="n"/>
      <c r="F69" s="2311" t="n"/>
      <c r="G69" s="2312" t="n"/>
      <c r="P69" s="2313" t="n"/>
      <c r="Q69" s="2311" t="n"/>
      <c r="R69" s="2341" t="n"/>
      <c r="T69" s="2180" t="n"/>
      <c r="U69" s="2180" t="n"/>
      <c r="V69" s="2180" t="n"/>
      <c r="W69" s="2336" t="n"/>
      <c r="X69" s="2328" t="n">
        <v>40</v>
      </c>
      <c r="Y69" s="2329" t="inlineStr">
        <is>
          <t>X-O 3-1/2" 5 FT PUP JT 9.2 LB/FT ALLOY 28 VTOP B X TSH BL P</t>
        </is>
      </c>
      <c r="Z69" s="1171" t="n"/>
      <c r="AA69" s="1171" t="n"/>
      <c r="AB69" s="1171" t="n"/>
      <c r="AC69" s="1171" t="n"/>
      <c r="AD69" s="1171" t="n"/>
      <c r="AE69" s="1171" t="n"/>
      <c r="AF69" s="1171" t="n"/>
      <c r="AG69" s="1171" t="n"/>
      <c r="AH69" s="1171" t="n"/>
      <c r="AI69" s="1171" t="n"/>
      <c r="AJ69" s="1171" t="n"/>
      <c r="AK69" s="2330" t="n"/>
      <c r="AL69" s="2331" t="n">
        <v>2.959</v>
      </c>
      <c r="AM69" s="2331" t="n">
        <v>3.908</v>
      </c>
      <c r="AO69" s="2332" t="n">
        <v>4.879</v>
      </c>
      <c r="AP69" s="2327">
        <f>AP70-AO69</f>
        <v/>
      </c>
      <c r="AQ69" s="1272" t="n"/>
      <c r="AR69" s="2333" t="n"/>
    </row>
    <row r="70" ht="13.5" customHeight="1" s="1158">
      <c r="C70" s="2309" t="n"/>
      <c r="E70" s="2310" t="n"/>
      <c r="F70" s="2311" t="n"/>
      <c r="G70" s="2312" t="n"/>
      <c r="P70" s="2313" t="n"/>
      <c r="Q70" s="2311" t="n"/>
      <c r="R70" s="2341" t="n"/>
      <c r="T70" s="2180" t="n"/>
      <c r="U70" s="2180" t="n"/>
      <c r="V70" s="2180" t="n"/>
      <c r="W70" s="2336" t="n"/>
      <c r="X70" s="2328" t="n">
        <v>41</v>
      </c>
      <c r="Y70" s="2329" t="inlineStr">
        <is>
          <t>3-1/2" TUBING 9.2 LB/FT ALLOY 28 TSH BL</t>
        </is>
      </c>
      <c r="Z70" s="1171" t="n"/>
      <c r="AA70" s="1171" t="n"/>
      <c r="AB70" s="1171" t="n"/>
      <c r="AC70" s="1171" t="n"/>
      <c r="AD70" s="1171" t="n"/>
      <c r="AE70" s="1171" t="n"/>
      <c r="AF70" s="1171" t="n"/>
      <c r="AG70" s="1171" t="n"/>
      <c r="AH70" s="1171" t="n"/>
      <c r="AI70" s="1171" t="n"/>
      <c r="AJ70" s="1171" t="n"/>
      <c r="AK70" s="2330" t="inlineStr">
        <is>
          <t>66 JTS</t>
        </is>
      </c>
      <c r="AL70" s="2331" t="n">
        <v>2.969</v>
      </c>
      <c r="AM70" s="2331" t="n">
        <v>3.937</v>
      </c>
      <c r="AO70" s="2332" t="n">
        <v>2041.294</v>
      </c>
      <c r="AP70" s="2327">
        <f>AP71-AO70</f>
        <v/>
      </c>
      <c r="AQ70" s="1272" t="n"/>
      <c r="AR70" s="2333" t="n"/>
    </row>
    <row r="71" ht="13.5" customHeight="1" s="1158">
      <c r="C71" s="2309" t="inlineStr">
        <is>
          <t>*</t>
        </is>
      </c>
      <c r="E71" s="2310" t="n"/>
      <c r="F71" s="2311" t="n"/>
      <c r="G71" s="2312" t="n"/>
      <c r="P71" s="2313" t="n"/>
      <c r="Q71" s="2311" t="n"/>
      <c r="R71" s="2341" t="n"/>
      <c r="T71" s="2180" t="n"/>
      <c r="U71" s="2180" t="n"/>
      <c r="V71" s="2180" t="n"/>
      <c r="W71" s="2336" t="n"/>
      <c r="X71" s="2328" t="n">
        <v>42</v>
      </c>
      <c r="Y71" s="2329" t="inlineStr">
        <is>
          <t>X-O 3-1/2" 5 FT PUP JT 9.2 LB/FT ALLOY 28 TSH BL B X VTOP P</t>
        </is>
      </c>
      <c r="Z71" s="1171" t="n"/>
      <c r="AA71" s="1171" t="n"/>
      <c r="AB71" s="1171" t="n"/>
      <c r="AC71" s="1171" t="n"/>
      <c r="AD71" s="1171" t="n"/>
      <c r="AE71" s="1171" t="n"/>
      <c r="AF71" s="1171" t="n"/>
      <c r="AG71" s="1171" t="n"/>
      <c r="AH71" s="1171" t="n"/>
      <c r="AI71" s="1171" t="n"/>
      <c r="AJ71" s="1171" t="n"/>
      <c r="AK71" s="2330" t="n"/>
      <c r="AL71" s="2331" t="n">
        <v>2.969</v>
      </c>
      <c r="AM71" s="2331" t="n">
        <v>3.937</v>
      </c>
      <c r="AO71" s="2332" t="n">
        <v>4.96</v>
      </c>
      <c r="AP71" s="2327">
        <f>AP72-AO71</f>
        <v/>
      </c>
      <c r="AQ71" s="1272" t="n"/>
      <c r="AR71" s="2333" t="n"/>
    </row>
    <row r="72" ht="33" customHeight="1" s="1158">
      <c r="C72" s="2309" t="inlineStr">
        <is>
          <t>**</t>
        </is>
      </c>
      <c r="E72" s="2310" t="n"/>
      <c r="F72" s="2311" t="n"/>
      <c r="G72" s="2312" t="n"/>
      <c r="P72" s="2313" t="n"/>
      <c r="Q72" s="2311" t="n"/>
      <c r="R72" s="2341" t="n"/>
      <c r="T72" s="2180" t="n"/>
      <c r="U72" s="2180" t="n"/>
      <c r="V72" s="2180" t="n"/>
      <c r="W72" s="2336" t="n"/>
      <c r="X72" s="2328" t="n">
        <v>43</v>
      </c>
      <c r="Y72" s="2329" t="inlineStr">
        <is>
          <t>UPPER CONN .  3-1/2" VAM TOP 9.2#PPF  BOX  VM 28 110 KSI    DESCRIPTION :            WIRELINE ENTRY GUIDE                                                          SN: 16339547-10-008                                  PN 2996481                                                                    SAP: 130010036277                                  SUPPLIER: WEATHERFORDUPPER CONN . 3-1/2" VAM TOP 9.2#PPF BOX VM 28 110 KSI
DESCRIPTION : N/A
SAP: N/A SUPPLIER: N/A
LOWER CONN . 3-1/2" VAM TOP PPF BOX VM 28 110 KSI
DESCRIPTION : N/A
SAP: N/A SUPPLIER: N/A</t>
        </is>
      </c>
      <c r="Z72" s="1171" t="n"/>
      <c r="AA72" s="1171" t="n"/>
      <c r="AB72" s="1171" t="n"/>
      <c r="AC72" s="1171" t="n"/>
      <c r="AD72" s="1171" t="n"/>
      <c r="AE72" s="1171" t="n"/>
      <c r="AF72" s="1171" t="n"/>
      <c r="AG72" s="1171" t="n"/>
      <c r="AH72" s="1171" t="n"/>
      <c r="AI72" s="1171" t="n"/>
      <c r="AJ72" s="1171" t="n"/>
      <c r="AK72" s="2330" t="inlineStr">
        <is>
          <t>89 DEG</t>
        </is>
      </c>
      <c r="AL72" s="2331" t="n">
        <v>2.949</v>
      </c>
      <c r="AM72" s="2331" t="n">
        <v>3.937</v>
      </c>
      <c r="AO72" s="2332" t="n">
        <v>0.6</v>
      </c>
      <c r="AP72" s="2327">
        <f>AP73-AO72</f>
        <v/>
      </c>
      <c r="AQ72" s="1272" t="n"/>
      <c r="AR72" s="2333" t="n"/>
    </row>
    <row r="73" ht="13.5" customHeight="1" s="1158">
      <c r="C73" s="2309" t="n"/>
      <c r="E73" s="2310" t="n"/>
      <c r="F73" s="2311" t="n"/>
      <c r="G73" s="2312" t="n"/>
      <c r="P73" s="2313" t="n"/>
      <c r="Q73" s="2311" t="n"/>
      <c r="R73" s="2341" t="n"/>
      <c r="S73" s="2338" t="n"/>
      <c r="T73" s="2180" t="n"/>
      <c r="U73" s="2180" t="n"/>
      <c r="V73" s="2180" t="n"/>
      <c r="W73" s="2336" t="n"/>
      <c r="X73" s="2328" t="n"/>
      <c r="Y73" s="2344" t="n"/>
      <c r="Z73" s="1246" t="n"/>
      <c r="AA73" s="1246" t="n"/>
      <c r="AB73" s="1246" t="n"/>
      <c r="AC73" s="1246" t="n"/>
      <c r="AD73" s="1246" t="n"/>
      <c r="AE73" s="1246" t="n"/>
      <c r="AF73" s="1246" t="n"/>
      <c r="AG73" s="1246" t="n"/>
      <c r="AH73" s="1246" t="n"/>
      <c r="AI73" s="1246" t="n"/>
      <c r="AJ73" s="1246" t="n"/>
      <c r="AK73" s="2330" t="n"/>
      <c r="AL73" s="2331" t="n"/>
      <c r="AM73" s="2331" t="n"/>
      <c r="AO73" s="2332" t="inlineStr">
        <is>
          <t>EOT</t>
        </is>
      </c>
      <c r="AP73" s="2327">
        <f>'[197]FINAL TALLY '!G14</f>
        <v/>
      </c>
      <c r="AQ73" s="1272" t="n"/>
      <c r="AR73" s="2333" t="n"/>
    </row>
    <row r="74" ht="13.5" customHeight="1" s="1158">
      <c r="C74" s="2309" t="n"/>
      <c r="E74" s="2310" t="n"/>
      <c r="F74" s="2311" t="n"/>
      <c r="G74" s="2312" t="n"/>
      <c r="P74" s="2313" t="n"/>
      <c r="Q74" s="2311" t="n"/>
      <c r="S74" s="2338" t="n"/>
      <c r="W74" s="2308" t="n"/>
      <c r="X74" s="2328" t="n"/>
      <c r="Y74" s="2345" t="n"/>
      <c r="AK74" s="2330" t="n"/>
      <c r="AL74" s="2331" t="n"/>
      <c r="AM74" s="2331" t="n"/>
      <c r="AO74" s="2332" t="n"/>
      <c r="AP74" s="2327" t="n"/>
      <c r="AQ74" s="1272" t="n"/>
      <c r="AR74" s="2333" t="n"/>
    </row>
    <row r="75" ht="13.5" customHeight="1" s="1158">
      <c r="C75" s="2309" t="n"/>
      <c r="E75" s="2310" t="n"/>
      <c r="F75" s="2311" t="n"/>
      <c r="G75" s="2312" t="n"/>
      <c r="H75" s="2311" t="n"/>
      <c r="O75" s="2311" t="n"/>
      <c r="P75" s="2313" t="n"/>
      <c r="Q75" s="2311" t="n"/>
      <c r="S75" s="2338" t="inlineStr">
        <is>
          <t>7"TOL@</t>
        </is>
      </c>
      <c r="T75" s="2339" t="n">
        <v>7025</v>
      </c>
      <c r="U75" s="2340" t="inlineStr">
        <is>
          <t>FT MD</t>
        </is>
      </c>
      <c r="V75" s="2308" t="n"/>
      <c r="W75" s="2308" t="n"/>
      <c r="X75" s="2328" t="n"/>
      <c r="Y75" s="2345" t="n"/>
      <c r="AK75" s="2330" t="n"/>
      <c r="AL75" s="2331" t="n"/>
      <c r="AM75" s="2331" t="n"/>
      <c r="AO75" s="2332" t="n"/>
      <c r="AP75" s="2327" t="n"/>
      <c r="AQ75" s="1272" t="n"/>
      <c r="AR75" s="2333" t="n"/>
    </row>
    <row r="76" ht="13.5" customHeight="1" s="1158">
      <c r="C76" s="2309" t="n"/>
      <c r="E76" s="2310" t="n"/>
      <c r="F76" s="2311" t="n"/>
      <c r="G76" s="2312" t="n"/>
      <c r="H76" s="2311" t="n"/>
      <c r="O76" s="2311" t="n"/>
      <c r="P76" s="2313" t="n"/>
      <c r="Q76" s="2311" t="n"/>
      <c r="R76" s="2337" t="n"/>
      <c r="S76" s="2308" t="n"/>
      <c r="T76" s="2308" t="n"/>
      <c r="U76" s="2308" t="n"/>
      <c r="V76" s="2346" t="n"/>
      <c r="W76" s="2308" t="n"/>
      <c r="X76" s="2328" t="n"/>
      <c r="Y76" s="2345" t="n"/>
      <c r="AK76" s="2330" t="n"/>
      <c r="AL76" s="2331" t="n"/>
      <c r="AM76" s="2331" t="n"/>
      <c r="AO76" s="2347" t="n"/>
      <c r="AP76" s="2347" t="n"/>
      <c r="AQ76" s="2347" t="n"/>
      <c r="AR76" s="2333" t="n"/>
    </row>
    <row r="77" ht="13.5" customHeight="1" s="1158">
      <c r="C77" s="2309" t="n"/>
      <c r="E77" s="2310" t="n"/>
      <c r="F77" s="2348" t="n"/>
      <c r="H77" s="2311" t="n"/>
      <c r="O77" s="2311" t="n"/>
      <c r="P77" s="2313" t="n"/>
      <c r="Q77" s="2348" t="n"/>
      <c r="S77" s="2338" t="inlineStr">
        <is>
          <t>9-5/8"</t>
        </is>
      </c>
      <c r="T77" s="2338" t="n"/>
      <c r="U77" s="2308" t="n"/>
      <c r="V77" s="2346" t="n"/>
      <c r="W77" s="2308" t="n"/>
      <c r="X77" s="2328" t="n"/>
      <c r="Y77" s="2345" t="n"/>
      <c r="AK77" s="2330" t="n"/>
      <c r="AL77" s="2331" t="n"/>
      <c r="AM77" s="2331" t="n"/>
      <c r="AO77" s="2349" t="n"/>
      <c r="AP77" s="2350" t="n"/>
      <c r="AQ77" s="2347" t="n"/>
      <c r="AR77" s="2333" t="n"/>
    </row>
    <row r="78" ht="13.5" customHeight="1" s="1158">
      <c r="C78" s="2309" t="n"/>
      <c r="E78" s="2310" t="n"/>
      <c r="H78" s="2311" t="n"/>
      <c r="O78" s="2311" t="n"/>
      <c r="R78" s="2351" t="n"/>
      <c r="S78" s="2338" t="inlineStr">
        <is>
          <t>SHOE @</t>
        </is>
      </c>
      <c r="T78" s="2339" t="n">
        <v>7329</v>
      </c>
      <c r="U78" s="2340" t="inlineStr">
        <is>
          <t>FT MD</t>
        </is>
      </c>
      <c r="V78" s="2308" t="n"/>
      <c r="W78" s="2308" t="n"/>
      <c r="X78" s="2328" t="n"/>
      <c r="Y78" s="2345" t="n"/>
      <c r="AK78" s="2330" t="n"/>
      <c r="AL78" s="2331" t="n"/>
      <c r="AM78" s="2331" t="n"/>
      <c r="AO78" s="2347" t="n"/>
      <c r="AP78" s="2347" t="n"/>
      <c r="AQ78" s="2347" t="n"/>
      <c r="AR78" s="2333" t="n"/>
    </row>
    <row r="79" ht="13.5" customHeight="1" s="1158">
      <c r="C79" s="2309" t="n"/>
      <c r="E79" s="2310" t="n"/>
      <c r="H79" s="2311" t="n"/>
      <c r="O79" s="2311" t="n"/>
      <c r="R79" s="2351" t="n"/>
      <c r="S79" s="2352" t="n"/>
      <c r="T79" s="2308" t="n"/>
      <c r="U79" s="2308" t="n"/>
      <c r="V79" s="2308" t="n"/>
      <c r="W79" s="2308" t="n"/>
      <c r="X79" s="2328" t="n"/>
      <c r="Y79" s="2345" t="n"/>
      <c r="AK79" s="2330" t="n"/>
      <c r="AL79" s="2331" t="n"/>
      <c r="AM79" s="2331" t="n"/>
      <c r="AO79" s="2347" t="n"/>
      <c r="AP79" s="2347" t="n"/>
      <c r="AQ79" s="2347" t="n"/>
      <c r="AR79" s="2333" t="n"/>
    </row>
    <row r="80" ht="13.5" customHeight="1" s="1158">
      <c r="C80" s="2309" t="n"/>
      <c r="E80" s="2310" t="n"/>
      <c r="R80" s="2351" t="n"/>
      <c r="S80" s="2308" t="n"/>
      <c r="U80" s="2308" t="n"/>
      <c r="V80" s="2308" t="n"/>
      <c r="W80" s="2308" t="n"/>
      <c r="X80" s="2328" t="n"/>
      <c r="Y80" s="2345" t="n"/>
      <c r="AK80" s="2330" t="n"/>
      <c r="AL80" s="2331" t="n"/>
      <c r="AM80" s="2331" t="n"/>
      <c r="AO80" s="2349" t="n"/>
      <c r="AP80" s="2350" t="n"/>
      <c r="AQ80" s="2347" t="n"/>
      <c r="AR80" s="2333" t="n"/>
    </row>
    <row r="81" ht="13.5" customHeight="1" s="1158">
      <c r="C81" s="2309" t="n"/>
      <c r="E81" s="2310" t="n"/>
      <c r="R81" s="2351" t="n"/>
      <c r="S81" s="2308" t="n"/>
      <c r="T81" s="2308" t="n"/>
      <c r="U81" s="2308" t="n"/>
      <c r="V81" s="2353" t="n"/>
      <c r="W81" s="2308" t="n"/>
      <c r="X81" s="2328" t="n"/>
      <c r="Y81" s="2345" t="n"/>
      <c r="AK81" s="2330" t="n"/>
      <c r="AL81" s="2331" t="n"/>
      <c r="AM81" s="2331" t="n"/>
      <c r="AO81" s="2347" t="n"/>
      <c r="AP81" s="2347" t="n"/>
      <c r="AQ81" s="2347" t="n"/>
      <c r="AR81" s="2333" t="n"/>
    </row>
    <row r="82" ht="13.5" customHeight="1" s="1158">
      <c r="C82" s="2309" t="n"/>
      <c r="E82" s="2310" t="n"/>
      <c r="R82" s="2351" t="n"/>
      <c r="S82" s="2308" t="n"/>
      <c r="T82" s="2354" t="inlineStr">
        <is>
          <t>TOP LINER CRA @ 9399 FTMD</t>
        </is>
      </c>
      <c r="U82" s="2308" t="n"/>
      <c r="V82" s="2308" t="n"/>
      <c r="W82" s="2308" t="n"/>
      <c r="X82" s="2328" t="n"/>
      <c r="Y82" s="2345" t="n"/>
      <c r="AK82" s="2330" t="n"/>
      <c r="AL82" s="2331" t="n"/>
      <c r="AM82" s="2331" t="n"/>
      <c r="AO82" s="2347" t="n"/>
      <c r="AP82" s="2347" t="n"/>
      <c r="AQ82" s="2347" t="n"/>
      <c r="AR82" s="2333" t="n"/>
    </row>
    <row r="83" ht="13.5" customHeight="1" s="1158">
      <c r="C83" s="2309" t="n"/>
      <c r="E83" s="2310" t="n"/>
      <c r="R83" s="2351" t="n"/>
      <c r="S83" s="2355" t="n"/>
      <c r="T83" s="2355" t="n"/>
      <c r="U83" s="2308" t="n"/>
      <c r="V83" s="2308" t="n"/>
      <c r="W83" s="2308" t="n"/>
      <c r="X83" s="2328" t="n"/>
      <c r="Y83" s="2345" t="n"/>
      <c r="AK83" s="2330" t="n"/>
      <c r="AL83" s="2331" t="n"/>
      <c r="AM83" s="2331" t="n"/>
      <c r="AO83" s="2356" t="n"/>
      <c r="AP83" s="2356" t="n"/>
      <c r="AQ83" s="2347" t="n"/>
      <c r="AR83" s="2333" t="n"/>
    </row>
    <row r="84" ht="13.5" customHeight="1" s="1158">
      <c r="C84" s="2309" t="n"/>
      <c r="E84" s="2310" t="n"/>
      <c r="R84" s="2351" t="n"/>
      <c r="S84" s="2357" t="n"/>
      <c r="T84" s="2322" t="inlineStr">
        <is>
          <t>7" PRAXIS ISOPAX CTR PERM PKR ALLOY 28</t>
        </is>
      </c>
      <c r="U84" s="2308" t="n"/>
      <c r="V84" s="2308" t="n"/>
      <c r="W84" s="2308" t="n"/>
      <c r="X84" s="2328" t="n"/>
      <c r="Y84" s="2345" t="n"/>
      <c r="AK84" s="2330" t="n"/>
      <c r="AL84" s="2331" t="n"/>
      <c r="AM84" s="2331" t="n"/>
      <c r="AO84" s="2358" t="n"/>
      <c r="AP84" s="2359" t="n"/>
      <c r="AQ84" s="2347" t="n"/>
      <c r="AR84" s="2333" t="n"/>
    </row>
    <row r="85" ht="13.5" customHeight="1" s="1158">
      <c r="C85" s="2309" t="n"/>
      <c r="E85" s="2310" t="n"/>
      <c r="S85" s="2360" t="n"/>
      <c r="T85" s="2361" t="inlineStr">
        <is>
          <t>6889.88'</t>
        </is>
      </c>
      <c r="U85" s="2308" t="n"/>
      <c r="V85" s="2308" t="n"/>
      <c r="W85" s="2308" t="n"/>
      <c r="X85" s="2328" t="n"/>
      <c r="Y85" s="2345" t="n"/>
      <c r="AK85" s="2330" t="n"/>
      <c r="AL85" s="2331" t="n"/>
      <c r="AM85" s="2331" t="n"/>
      <c r="AO85" s="2362" t="n"/>
      <c r="AP85" s="2363" t="n"/>
      <c r="AQ85" s="2364" t="n"/>
      <c r="AR85" s="2333" t="n"/>
    </row>
    <row r="86" ht="13.5" customHeight="1" s="1158">
      <c r="C86" s="2309" t="n"/>
      <c r="E86" s="2310" t="n"/>
      <c r="S86" s="2360" t="n"/>
      <c r="T86" s="2308" t="n"/>
      <c r="U86" s="2308" t="n"/>
      <c r="V86" s="2308" t="n"/>
      <c r="W86" s="2308" t="n"/>
      <c r="X86" s="2328" t="n"/>
      <c r="Y86" s="2345" t="n"/>
      <c r="AK86" s="2330" t="n"/>
      <c r="AL86" s="2331" t="n"/>
      <c r="AM86" s="2331" t="n"/>
      <c r="AO86" s="2332" t="n"/>
      <c r="AP86" s="2327" t="n"/>
      <c r="AQ86" s="1272" t="n"/>
      <c r="AR86" s="2333" t="n"/>
    </row>
    <row r="87" ht="13.5" customHeight="1" s="1158">
      <c r="C87" s="2309" t="n"/>
      <c r="E87" s="2310" t="n"/>
      <c r="S87" s="2180" t="n"/>
      <c r="T87" s="2337" t="n"/>
      <c r="U87" s="2180" t="n"/>
      <c r="V87" s="2180" t="n"/>
      <c r="W87" s="2180" t="n"/>
      <c r="X87" s="2328" t="n"/>
      <c r="Y87" s="2345" t="n"/>
      <c r="AK87" s="2330" t="n"/>
      <c r="AL87" s="2331" t="n"/>
      <c r="AM87" s="2331" t="n"/>
      <c r="AO87" s="2332" t="n"/>
      <c r="AP87" s="2327" t="n"/>
      <c r="AQ87" s="1272" t="n"/>
      <c r="AR87" s="2333" t="n"/>
    </row>
    <row r="88" ht="13.5" customHeight="1" s="1158">
      <c r="C88" s="2309" t="n"/>
      <c r="E88" s="2310" t="n"/>
      <c r="S88" s="2180" t="n"/>
      <c r="T88" s="2365" t="n"/>
      <c r="U88" s="2180" t="n"/>
      <c r="V88" s="2180" t="n"/>
      <c r="W88" s="2180" t="n"/>
      <c r="X88" s="2328" t="n"/>
      <c r="Y88" s="2345" t="n"/>
      <c r="AK88" s="2330" t="n"/>
      <c r="AL88" s="2331" t="n"/>
      <c r="AM88" s="2331" t="n"/>
      <c r="AO88" s="2332" t="n"/>
      <c r="AP88" s="2327" t="n"/>
      <c r="AQ88" s="1272" t="n"/>
      <c r="AR88" s="2333" t="n"/>
    </row>
    <row r="89" ht="13.5" customHeight="1" s="1158">
      <c r="C89" s="2309" t="n"/>
      <c r="E89" s="2310" t="n"/>
      <c r="S89" s="2180" t="n"/>
      <c r="T89" s="2351" t="n"/>
      <c r="U89" s="2314" t="n"/>
      <c r="V89" s="2180" t="n"/>
      <c r="W89" s="2180" t="n"/>
      <c r="X89" s="2328" t="n"/>
      <c r="Y89" s="2345" t="n"/>
      <c r="AK89" s="2330" t="n"/>
      <c r="AL89" s="2331" t="n"/>
      <c r="AM89" s="2331" t="n"/>
      <c r="AO89" s="2332" t="n"/>
      <c r="AP89" s="2327" t="n"/>
      <c r="AQ89" s="1272" t="n"/>
      <c r="AR89" s="2333" t="n"/>
    </row>
    <row r="90" ht="13.5" customHeight="1" s="1158">
      <c r="C90" s="2309" t="n"/>
      <c r="E90" s="2310" t="n"/>
      <c r="S90" s="2180" t="n"/>
      <c r="T90" s="2180" t="n"/>
      <c r="U90" s="2337" t="n"/>
      <c r="V90" s="2180" t="n"/>
      <c r="W90" s="2180" t="n"/>
      <c r="X90" s="2328" t="n"/>
      <c r="Y90" s="2345" t="n"/>
      <c r="AK90" s="2330" t="n"/>
      <c r="AL90" s="2331" t="n"/>
      <c r="AM90" s="2331" t="n"/>
      <c r="AO90" s="2332" t="n"/>
      <c r="AP90" s="2327" t="n"/>
      <c r="AQ90" s="1272" t="n"/>
      <c r="AR90" s="2333" t="n"/>
    </row>
    <row r="91" ht="13.5" customHeight="1" s="1158">
      <c r="C91" s="2309" t="n"/>
      <c r="E91" s="2310" t="n"/>
      <c r="S91" s="2180" t="n"/>
      <c r="T91" s="2180" t="n"/>
      <c r="U91" s="2180" t="n"/>
      <c r="V91" s="2314" t="n"/>
      <c r="W91" s="2180" t="n"/>
      <c r="X91" s="2328" t="n"/>
      <c r="Y91" s="2345" t="n"/>
      <c r="AK91" s="2330" t="n"/>
      <c r="AL91" s="2331" t="n"/>
      <c r="AM91" s="2331" t="n"/>
      <c r="AO91" s="2332" t="n"/>
      <c r="AP91" s="2327" t="n"/>
      <c r="AQ91" s="1272" t="n"/>
      <c r="AR91" s="2333" t="n"/>
    </row>
    <row r="92" ht="13.5" customHeight="1" s="1158">
      <c r="C92" s="2309" t="n"/>
      <c r="E92" s="2310" t="n"/>
      <c r="S92" s="2180" t="n"/>
      <c r="T92" s="2180" t="n"/>
      <c r="U92" s="2351" t="n"/>
      <c r="V92" s="2180" t="n"/>
      <c r="W92" s="2180" t="n"/>
      <c r="X92" s="2328" t="n"/>
      <c r="Y92" s="2345" t="n"/>
      <c r="AK92" s="2330" t="n"/>
      <c r="AL92" s="2331" t="n"/>
      <c r="AM92" s="2331" t="n"/>
      <c r="AO92" s="2332" t="n"/>
      <c r="AP92" s="2327" t="n"/>
      <c r="AQ92" s="1272" t="n"/>
      <c r="AR92" s="2333" t="n"/>
    </row>
    <row r="93" ht="13.5" customHeight="1" s="1158">
      <c r="C93" s="2309" t="n"/>
      <c r="E93" s="2310" t="n"/>
      <c r="S93" s="2180" t="n"/>
      <c r="T93" s="2180" t="n"/>
      <c r="U93" s="2180" t="n"/>
      <c r="V93" s="2341" t="n"/>
      <c r="W93" s="2180" t="n"/>
      <c r="X93" s="2328" t="n"/>
      <c r="Y93" s="2345" t="n"/>
      <c r="AK93" s="2330" t="n"/>
      <c r="AL93" s="2331" t="n"/>
      <c r="AM93" s="2331" t="n"/>
      <c r="AO93" s="2332" t="n"/>
      <c r="AP93" s="2327" t="n"/>
      <c r="AQ93" s="1272" t="n"/>
      <c r="AR93" s="2333" t="n"/>
    </row>
    <row r="94" ht="13.5" customHeight="1" s="1158">
      <c r="C94" s="2309" t="n"/>
      <c r="E94" s="2310" t="n"/>
      <c r="S94" s="2180" t="n"/>
      <c r="T94" s="2180" t="n"/>
      <c r="U94" s="2180" t="n"/>
      <c r="W94" s="2314" t="n"/>
      <c r="X94" s="2328" t="n"/>
      <c r="Y94" s="2345" t="n"/>
      <c r="AK94" s="2330" t="n"/>
      <c r="AL94" s="2331" t="n"/>
      <c r="AM94" s="2331" t="n"/>
      <c r="AO94" s="2332" t="n"/>
      <c r="AP94" s="2327" t="n"/>
      <c r="AQ94" s="1272" t="n"/>
      <c r="AR94" s="2333" t="n"/>
    </row>
    <row r="95" ht="13.5" customHeight="1" s="1158">
      <c r="B95" s="2366" t="inlineStr">
        <is>
          <t>END</t>
        </is>
      </c>
      <c r="C95" s="2309" t="n"/>
      <c r="E95" s="2310" t="n"/>
      <c r="S95" s="2180" t="n"/>
      <c r="T95" s="2180" t="n"/>
      <c r="U95" s="2180" t="n"/>
      <c r="V95" s="2367" t="n"/>
      <c r="W95" s="2368" t="n"/>
      <c r="X95" s="2328" t="n"/>
      <c r="Y95" s="2345" t="n"/>
      <c r="AK95" s="2330" t="n"/>
      <c r="AL95" s="2331" t="n"/>
      <c r="AM95" s="2331" t="n"/>
      <c r="AO95" s="2332" t="n"/>
      <c r="AP95" s="2327" t="n"/>
      <c r="AQ95" s="1272" t="n"/>
      <c r="AR95" s="2369" t="inlineStr">
        <is>
          <t>de_ant</t>
        </is>
      </c>
    </row>
    <row r="96" ht="14.25" customHeight="1" s="1158">
      <c r="E96" s="2310" t="n"/>
      <c r="U96" s="2180" t="n"/>
      <c r="V96" s="2180" t="n"/>
      <c r="W96" s="2368" t="n"/>
      <c r="X96" s="2370" t="n"/>
      <c r="Y96" s="2371" t="n"/>
      <c r="Z96" s="2372" t="n"/>
      <c r="AA96" s="2372" t="n"/>
      <c r="AB96" s="2372" t="n"/>
      <c r="AC96" s="2372" t="n"/>
      <c r="AD96" s="2372" t="n"/>
      <c r="AE96" s="2373" t="n"/>
      <c r="AF96" s="2373" t="n"/>
      <c r="AG96" s="2373" t="n"/>
      <c r="AH96" s="2373" t="n"/>
      <c r="AI96" s="2373" t="n"/>
      <c r="AJ96" s="2373" t="n"/>
      <c r="AK96" s="2373" t="n"/>
      <c r="AL96" s="2373" t="n"/>
      <c r="AM96" s="2373" t="n"/>
      <c r="AN96" s="2373" t="n"/>
      <c r="AO96" s="2373" t="n"/>
      <c r="AP96" s="2373" t="n"/>
      <c r="AQ96" s="2374" t="n"/>
      <c r="AR96" s="2373" t="n"/>
    </row>
    <row r="97" ht="13.5" customHeight="1" s="1158">
      <c r="E97" s="2310" t="n"/>
      <c r="U97" s="2180" t="n"/>
      <c r="V97" s="2375" t="n"/>
      <c r="W97" s="2368" t="n"/>
      <c r="X97" s="2330" t="n"/>
      <c r="Y97" s="2376" t="n"/>
      <c r="Z97" s="2376" t="n"/>
      <c r="AF97" s="2377" t="n"/>
      <c r="AG97" s="2378" t="n"/>
      <c r="AH97" s="2377" t="n"/>
      <c r="AI97" s="2377" t="n"/>
      <c r="AJ97" s="2377" t="n"/>
      <c r="AQ97" s="2379" t="n"/>
    </row>
    <row r="98" ht="15" customHeight="1" s="1158">
      <c r="E98" s="2310" t="n"/>
      <c r="W98" s="2368" t="n"/>
      <c r="X98" s="2377" t="n"/>
      <c r="Y98" s="2380" t="n"/>
      <c r="Z98" s="2380" t="n"/>
      <c r="AF98" s="2380" t="n"/>
      <c r="AG98" s="2380" t="n"/>
      <c r="AH98" s="2377" t="n"/>
      <c r="AI98" s="2380" t="n"/>
      <c r="AJ98" s="2378" t="n"/>
      <c r="AQ98" s="2379" t="n"/>
    </row>
    <row r="99" ht="14.25" customHeight="1" s="1158">
      <c r="E99" s="2310" t="n"/>
      <c r="J99" s="2381" t="n"/>
      <c r="K99" s="2382" t="n"/>
      <c r="L99" s="2382" t="n"/>
      <c r="M99" s="2382" t="n"/>
      <c r="N99" s="2382" t="n"/>
      <c r="O99" s="2382" t="n"/>
      <c r="P99" s="2382" t="n"/>
      <c r="Q99" s="2382" t="n"/>
      <c r="R99" s="2382" t="n"/>
      <c r="AM99" s="2382" t="n"/>
      <c r="AN99" s="2382" t="n"/>
      <c r="AO99" s="2383" t="inlineStr">
        <is>
          <t>6" H. HOLE TD</t>
        </is>
      </c>
      <c r="AQ99" s="1272" t="n"/>
    </row>
    <row r="100" ht="15" customHeight="1" s="1158">
      <c r="E100" s="2310" t="n"/>
      <c r="Q100" s="2382" t="n"/>
      <c r="AP100" s="2384" t="n"/>
      <c r="AQ100" s="1272" t="n"/>
    </row>
    <row r="101" ht="15" customHeight="1" s="1158">
      <c r="E101" s="2310" t="n"/>
      <c r="G101" s="2322" t="n"/>
      <c r="H101" s="2322" t="n"/>
      <c r="I101" s="2322" t="n"/>
      <c r="J101" s="2322" t="n"/>
      <c r="K101" s="2322" t="n"/>
      <c r="L101" s="2322" t="n"/>
      <c r="M101" s="2322" t="n"/>
      <c r="N101" s="2322" t="n"/>
      <c r="O101" s="2322" t="n"/>
      <c r="P101" s="2322" t="n"/>
      <c r="Q101" s="2322" t="n"/>
      <c r="R101" s="2322" t="n"/>
      <c r="S101" s="2322" t="n"/>
      <c r="T101" s="2322" t="n"/>
      <c r="U101" s="2322" t="n"/>
      <c r="AM101" s="2385" t="n"/>
      <c r="AN101" s="2385" t="n"/>
      <c r="AP101" s="2386" t="n"/>
      <c r="AQ101" s="1272" t="n"/>
    </row>
    <row r="102" ht="13.5" customHeight="1" s="1158">
      <c r="E102" s="2310" t="n"/>
      <c r="G102" s="2336" t="n"/>
      <c r="H102" s="2336" t="n"/>
      <c r="I102" s="2336" t="n"/>
      <c r="J102" s="2336" t="n"/>
      <c r="K102" s="2336" t="n"/>
      <c r="L102" s="2336" t="n"/>
      <c r="M102" s="2336" t="n"/>
      <c r="N102" s="2336" t="n"/>
      <c r="O102" s="2336" t="n"/>
      <c r="P102" s="2336" t="n"/>
      <c r="Q102" s="2336" t="n"/>
      <c r="R102" s="2336" t="n"/>
      <c r="S102" s="2336" t="n"/>
      <c r="T102" s="2336" t="n"/>
      <c r="U102" s="2305" t="n"/>
      <c r="AP102" s="2308" t="n"/>
      <c r="AQ102" s="2387" t="n"/>
    </row>
    <row r="103" ht="13.5" customHeight="1" s="1158">
      <c r="E103" s="2310" t="n"/>
      <c r="G103" s="2336" t="n"/>
      <c r="H103" s="2336" t="n"/>
      <c r="I103" s="2336" t="n"/>
      <c r="J103" s="2336" t="n"/>
      <c r="K103" s="2336" t="n"/>
      <c r="L103" s="2336" t="n"/>
      <c r="M103" s="2336" t="n"/>
      <c r="N103" s="2336" t="n"/>
      <c r="O103" s="2336" t="n"/>
      <c r="P103" s="2336" t="n"/>
      <c r="Q103" s="2336" t="n"/>
      <c r="R103" s="2336" t="n"/>
      <c r="S103" s="2305" t="n"/>
      <c r="T103" s="2305" t="n"/>
      <c r="U103" s="2305" t="n"/>
      <c r="V103" s="2357" t="n"/>
      <c r="W103" s="2308" t="n"/>
      <c r="X103" s="2308" t="n"/>
      <c r="Y103" s="2308" t="n"/>
      <c r="AQ103" s="2379" t="n"/>
    </row>
    <row r="104" ht="15" customHeight="1" s="1158">
      <c r="E104" s="2310" t="n"/>
      <c r="G104" s="2336" t="n"/>
      <c r="H104" s="2336" t="n"/>
      <c r="I104" s="2336" t="n"/>
      <c r="J104" s="2336" t="n"/>
      <c r="K104" s="2336" t="n"/>
      <c r="L104" s="2336" t="n"/>
      <c r="M104" s="2336" t="n"/>
      <c r="N104" s="2336" t="n"/>
      <c r="O104" s="2336" t="n"/>
      <c r="P104" s="2336" t="n"/>
      <c r="Q104" s="2336" t="n"/>
      <c r="R104" s="2336" t="n"/>
      <c r="S104" s="2388" t="inlineStr">
        <is>
          <t>E 11597' MD</t>
        </is>
      </c>
      <c r="T104" s="2305" t="n"/>
      <c r="U104" s="2305" t="n"/>
      <c r="V104" s="2389" t="inlineStr">
        <is>
          <t>7" SHOE</t>
        </is>
      </c>
      <c r="X104" s="2390" t="n">
        <v>11597</v>
      </c>
      <c r="Z104" s="2382" t="n"/>
      <c r="AA104" s="2308" t="n"/>
      <c r="AB104" s="2391" t="inlineStr">
        <is>
          <t>OH LENGTH</t>
        </is>
      </c>
      <c r="AC104" s="2390" t="n">
        <v>7656</v>
      </c>
      <c r="AE104" s="2380" t="n"/>
      <c r="AF104" s="2392" t="n"/>
      <c r="AG104" s="2308" t="n"/>
      <c r="AH104" s="2308" t="n"/>
      <c r="AI104" s="2308" t="n"/>
      <c r="AJ104" s="2308" t="n"/>
      <c r="AK104" s="2308" t="n"/>
      <c r="AL104" s="2308" t="n"/>
      <c r="AM104" s="2308" t="n"/>
      <c r="AN104" s="2308" t="n"/>
      <c r="AO104" s="2308" t="n"/>
      <c r="AP104" s="2308" t="n"/>
      <c r="AQ104" s="2387" t="n"/>
    </row>
    <row r="105" ht="15" customHeight="1" s="1158">
      <c r="E105" s="2310" t="n"/>
      <c r="G105" s="2336" t="n"/>
      <c r="H105" s="2336" t="n"/>
      <c r="I105" s="2336" t="n"/>
      <c r="J105" s="2336" t="n"/>
      <c r="K105" s="2336" t="n"/>
      <c r="L105" s="2336" t="n"/>
      <c r="M105" s="2336" t="n"/>
      <c r="N105" s="2336" t="n"/>
      <c r="O105" s="2336" t="n"/>
      <c r="P105" s="2336" t="n"/>
      <c r="Q105" s="2336" t="n"/>
      <c r="R105" s="2336" t="n"/>
      <c r="S105" s="2305" t="n"/>
      <c r="T105" s="2305" t="n"/>
      <c r="U105" s="2305" t="n"/>
      <c r="V105" s="2308" t="n"/>
      <c r="W105" s="2308" t="n"/>
      <c r="X105" s="2393" t="n">
        <v>9703</v>
      </c>
      <c r="Z105" s="2385" t="n"/>
      <c r="AA105" s="2357" t="inlineStr">
        <is>
          <t>Lekhwair-1 (THAMAMA ZONE H)</t>
        </is>
      </c>
      <c r="AE105" s="2380" t="n"/>
      <c r="AF105" s="2308" t="n"/>
      <c r="AG105" s="2308" t="n"/>
      <c r="AH105" s="2308" t="n"/>
      <c r="AI105" s="2308" t="n"/>
      <c r="AJ105" s="2308" t="n"/>
      <c r="AK105" s="2308" t="n"/>
      <c r="AL105" s="2308" t="n"/>
      <c r="AM105" s="2308" t="n"/>
      <c r="AN105" s="2308" t="n"/>
      <c r="AO105" s="2308" t="n"/>
      <c r="AP105" s="2308" t="n"/>
      <c r="AQ105" s="2387" t="n"/>
    </row>
    <row r="106" ht="15" customHeight="1" s="1158">
      <c r="E106" s="2310" t="n"/>
      <c r="F106" s="2308" t="n"/>
      <c r="G106" s="2308" t="n"/>
      <c r="H106" s="2308" t="n"/>
      <c r="I106" s="2308" t="n"/>
      <c r="J106" s="2308" t="n"/>
      <c r="K106" s="2308" t="n"/>
      <c r="L106" s="2308" t="n"/>
      <c r="M106" s="2308" t="n"/>
      <c r="N106" s="2308" t="n"/>
      <c r="O106" s="2308" t="n"/>
      <c r="P106" s="2308" t="n"/>
      <c r="Q106" s="2308" t="n"/>
      <c r="R106" s="2308" t="n"/>
      <c r="S106" s="2308" t="n"/>
      <c r="T106" s="2308" t="n"/>
      <c r="U106" s="2308" t="n"/>
      <c r="V106" s="2308" t="n"/>
      <c r="W106" s="2308" t="n"/>
      <c r="X106" s="2393" t="n"/>
      <c r="Y106" s="2393" t="n"/>
      <c r="Z106" s="2385" t="n"/>
      <c r="AA106" s="2179" t="n"/>
      <c r="AB106" s="2179" t="n"/>
      <c r="AC106" s="2179" t="n"/>
      <c r="AD106" s="2179" t="n"/>
      <c r="AE106" s="2380" t="n"/>
      <c r="AF106" s="2382" t="n"/>
      <c r="AH106" s="2382" t="n"/>
      <c r="AI106" s="2382" t="n"/>
      <c r="AQ106" s="2379" t="n"/>
    </row>
    <row r="107" ht="15" customHeight="1" s="1158">
      <c r="E107" s="2310" t="n"/>
      <c r="Q107" s="2394" t="n"/>
      <c r="R107" s="2394" t="n"/>
      <c r="S107" s="2394" t="n"/>
      <c r="T107" s="2394" t="n"/>
      <c r="U107" s="2394" t="n"/>
      <c r="V107" s="2394" t="n"/>
      <c r="W107" s="2394" t="n"/>
      <c r="X107" s="2382" t="n"/>
      <c r="Y107" s="2382" t="n"/>
      <c r="Z107" s="2395" t="inlineStr">
        <is>
          <t>NOTE :</t>
        </is>
      </c>
      <c r="AA107" s="2396" t="inlineStr">
        <is>
          <t>TR-SSSV INFLOW TESTED</t>
        </is>
      </c>
      <c r="AB107" s="2397" t="n"/>
      <c r="AC107" s="2397" t="n"/>
      <c r="AD107" s="2398" t="inlineStr">
        <is>
          <t>YES</t>
        </is>
      </c>
      <c r="AE107" s="2399" t="inlineStr">
        <is>
          <t>CH FLUID</t>
        </is>
      </c>
      <c r="AF107" s="2400" t="n"/>
      <c r="AG107" s="2401" t="inlineStr">
        <is>
          <t>NaCl</t>
        </is>
      </c>
      <c r="AH107" s="2402" t="n">
        <v>8.5</v>
      </c>
      <c r="AI107" s="1319" t="n"/>
      <c r="AJ107" s="2403" t="inlineStr">
        <is>
          <t>PPG</t>
        </is>
      </c>
      <c r="AK107" s="2404" t="inlineStr">
        <is>
          <t xml:space="preserve">COMP CODE: OP307/28CBB30 
</t>
        </is>
      </c>
      <c r="AL107" s="1319" t="n"/>
      <c r="AM107" s="1319" t="n"/>
      <c r="AN107" s="1319" t="n"/>
      <c r="AO107" s="1319" t="n"/>
      <c r="AP107" s="1319" t="n"/>
      <c r="AQ107" s="1323" t="n"/>
    </row>
    <row r="108" ht="15" customFormat="1" customHeight="1" s="2405">
      <c r="E108" s="2406" t="inlineStr">
        <is>
          <t>Copyright © 2026 ADNOC Onshore - rbangun@adnoc.ae</t>
        </is>
      </c>
      <c r="F108" s="2407" t="n"/>
      <c r="G108" s="2407" t="n"/>
      <c r="H108" s="2407" t="n"/>
      <c r="I108" s="2407" t="n"/>
      <c r="J108" s="2407" t="n"/>
      <c r="K108" s="2407" t="n"/>
      <c r="L108" s="2407" t="n"/>
      <c r="M108" s="2407" t="n"/>
      <c r="N108" s="2407" t="n"/>
      <c r="O108" s="2407" t="n"/>
      <c r="P108" s="2407" t="n"/>
      <c r="Q108" s="2407" t="n"/>
      <c r="R108" s="2407" t="n"/>
      <c r="S108" s="2407" t="n"/>
      <c r="T108" s="2407" t="n"/>
      <c r="U108" s="2407" t="n"/>
      <c r="V108" s="2407" t="n"/>
      <c r="W108" s="2407" t="n"/>
      <c r="X108" s="2407" t="n"/>
      <c r="Z108" s="2408" t="n"/>
      <c r="AA108" s="2409" t="inlineStr">
        <is>
          <t>MCBD RUPTURED</t>
        </is>
      </c>
      <c r="AB108" s="2410" t="n"/>
      <c r="AC108" s="2410" t="n"/>
      <c r="AD108" s="2411" t="inlineStr">
        <is>
          <t>YES</t>
        </is>
      </c>
      <c r="AE108" s="2412" t="inlineStr">
        <is>
          <t>OH FLUID</t>
        </is>
      </c>
      <c r="AF108" s="2413" t="n"/>
      <c r="AG108" s="2414" t="inlineStr">
        <is>
          <t>NaCl</t>
        </is>
      </c>
      <c r="AH108" s="2415" t="n">
        <v>8.5</v>
      </c>
      <c r="AI108" s="1330" t="n"/>
      <c r="AJ108" s="2416" t="inlineStr">
        <is>
          <t>PPG</t>
        </is>
      </c>
      <c r="AK108" s="1382" t="n"/>
      <c r="AL108" s="1330" t="n"/>
      <c r="AM108" s="1330" t="n"/>
      <c r="AN108" s="1330" t="n"/>
      <c r="AO108" s="1330" t="n"/>
      <c r="AP108" s="1330" t="n"/>
      <c r="AQ108" s="1332" t="n"/>
    </row>
    <row r="109" ht="13.5" customFormat="1" customHeight="1" s="2336">
      <c r="E109" s="2417" t="inlineStr">
        <is>
          <t>REVISION :</t>
        </is>
      </c>
      <c r="F109" s="1319" t="n"/>
      <c r="G109" s="1319" t="n"/>
      <c r="H109" s="2418" t="n"/>
      <c r="I109" s="2419" t="inlineStr">
        <is>
          <t>FINAL</t>
        </is>
      </c>
      <c r="J109" s="1319" t="n"/>
      <c r="K109" s="1319" t="n"/>
      <c r="L109" s="1319" t="n"/>
      <c r="M109" s="1319" t="n"/>
      <c r="N109" s="1319" t="n"/>
      <c r="O109" s="1319" t="n"/>
      <c r="P109" s="1319" t="n"/>
      <c r="Q109" s="1319" t="n"/>
      <c r="R109" s="1319" t="n"/>
      <c r="T109" s="2420" t="inlineStr">
        <is>
          <t>DATE :</t>
        </is>
      </c>
      <c r="U109" s="2419" t="n"/>
      <c r="V109" s="1319" t="n"/>
      <c r="W109" s="2418" t="inlineStr">
        <is>
          <t>FIELD COMPLETION ENG :</t>
        </is>
      </c>
      <c r="Y109" s="2419" t="inlineStr">
        <is>
          <t>Mahmoud Ali / Weatherford</t>
        </is>
      </c>
      <c r="Z109" s="1319" t="n"/>
      <c r="AA109" s="1319" t="n"/>
      <c r="AB109" s="2418" t="inlineStr">
        <is>
          <t>AON COMP. ENG</t>
        </is>
      </c>
      <c r="AC109" s="2418" t="n"/>
      <c r="AD109" s="2418" t="n"/>
      <c r="AE109" s="2419" t="inlineStr">
        <is>
          <t xml:space="preserve">Mariam Rashed Alnuaimi </t>
        </is>
      </c>
      <c r="AF109" s="1319" t="n"/>
      <c r="AG109" s="1319" t="n"/>
      <c r="AH109" s="1319" t="n"/>
      <c r="AI109" s="1319" t="n"/>
      <c r="AJ109" s="2418" t="inlineStr">
        <is>
          <t>AON DRILLING SUPERVISOR :</t>
        </is>
      </c>
      <c r="AK109" s="2418" t="n"/>
      <c r="AL109" s="2418" t="n"/>
      <c r="AM109" s="2419" t="inlineStr">
        <is>
          <t>IFEANYI / RASHED EASA</t>
        </is>
      </c>
      <c r="AN109" s="1319" t="n"/>
      <c r="AO109" s="1319" t="n"/>
      <c r="AP109" s="1319" t="n"/>
      <c r="AQ109" s="1319" t="n"/>
    </row>
    <row r="110" ht="13.8" customHeight="1" s="1158"/>
    <row r="111" ht="13.8" customHeight="1" s="1158"/>
    <row r="112" ht="13.8" customHeight="1" s="1158"/>
    <row r="113" ht="13.8" customHeight="1" s="1158"/>
    <row r="114" ht="13.8" customHeight="1" s="1158"/>
    <row r="115" ht="13.8" customHeight="1" s="1158"/>
    <row r="116" ht="13.8" customHeight="1" s="1158"/>
    <row r="117" ht="13.8" customHeight="1" s="1158"/>
    <row r="118" ht="13.8" customHeight="1" s="1158"/>
    <row r="119" ht="13.8" customHeight="1" s="1158"/>
    <row r="120" ht="13.8" customHeight="1" s="1158"/>
    <row r="121" ht="13.8" customHeight="1" s="1158"/>
    <row r="122" ht="13.8" customHeight="1" s="1158"/>
    <row r="123" ht="13.8" customHeight="1" s="1158"/>
    <row r="124" ht="13.8" customHeight="1" s="1158"/>
    <row r="125" ht="13.8" customHeight="1" s="1158"/>
    <row r="126" ht="13.8" customHeight="1" s="1158"/>
    <row r="127" ht="13.8" customHeight="1" s="1158"/>
    <row r="128" ht="13.8" customHeight="1" s="1158"/>
    <row r="129" ht="13.8" customHeight="1" s="1158"/>
    <row r="130" ht="13.8" customHeight="1" s="1158"/>
    <row r="131" ht="13.8" customHeight="1" s="1158"/>
    <row r="132" ht="13.8" customHeight="1" s="1158"/>
    <row r="133" ht="13.8" customHeight="1" s="1158"/>
    <row r="134" ht="13.8" customHeight="1" s="1158"/>
    <row r="135" ht="13.8" customHeight="1" s="1158"/>
    <row r="136" ht="13.8" customHeight="1" s="1158"/>
    <row r="137" ht="13.8" customHeight="1" s="1158"/>
  </sheetData>
  <mergeCells count="344">
    <mergeCell ref="AP5:AP6"/>
    <mergeCell ref="AM109:AQ109"/>
    <mergeCell ref="AM38:AN38"/>
    <mergeCell ref="AP58:AQ58"/>
    <mergeCell ref="AM62:AN62"/>
    <mergeCell ref="AP52:AQ52"/>
    <mergeCell ref="Y40:AJ40"/>
    <mergeCell ref="AP39:AQ39"/>
    <mergeCell ref="AM40:AN40"/>
    <mergeCell ref="AA105:AD105"/>
    <mergeCell ref="AF15:AG15"/>
    <mergeCell ref="AF12:AG12"/>
    <mergeCell ref="X15:Y15"/>
    <mergeCell ref="Y66:AJ66"/>
    <mergeCell ref="AH108:AI108"/>
    <mergeCell ref="Y53:AJ53"/>
    <mergeCell ref="AP70:AQ70"/>
    <mergeCell ref="Y68:AJ68"/>
    <mergeCell ref="Y55:AJ55"/>
    <mergeCell ref="AM33:AN33"/>
    <mergeCell ref="E16:K16"/>
    <mergeCell ref="AM28:AN28"/>
    <mergeCell ref="E2:Q8"/>
    <mergeCell ref="Y46:AJ46"/>
    <mergeCell ref="AM59:AN59"/>
    <mergeCell ref="Y37:AJ37"/>
    <mergeCell ref="AP60:AQ60"/>
    <mergeCell ref="Y48:AJ48"/>
    <mergeCell ref="AM88:AN88"/>
    <mergeCell ref="AM82:AN82"/>
    <mergeCell ref="AM30:AN30"/>
    <mergeCell ref="Y41:AJ41"/>
    <mergeCell ref="Z5:AA5"/>
    <mergeCell ref="AM90:AN90"/>
    <mergeCell ref="Y56:AJ56"/>
    <mergeCell ref="AM65:AN65"/>
    <mergeCell ref="Y43:AJ43"/>
    <mergeCell ref="Y74:AJ74"/>
    <mergeCell ref="Y67:AJ67"/>
    <mergeCell ref="AP71:AQ71"/>
    <mergeCell ref="Y59:AJ59"/>
    <mergeCell ref="Y69:AJ69"/>
    <mergeCell ref="Y25:AJ25"/>
    <mergeCell ref="X16:Y16"/>
    <mergeCell ref="AP73:AQ73"/>
    <mergeCell ref="Z16:AA16"/>
    <mergeCell ref="AB16:AC16"/>
    <mergeCell ref="AB9:AC9"/>
    <mergeCell ref="E17:K17"/>
    <mergeCell ref="AP74:AQ74"/>
    <mergeCell ref="AM78:AN78"/>
    <mergeCell ref="AB11:AC11"/>
    <mergeCell ref="AD11:AE11"/>
    <mergeCell ref="AD5:AE6"/>
    <mergeCell ref="AF8:AG8"/>
    <mergeCell ref="Y38:AJ38"/>
    <mergeCell ref="Y87:AJ87"/>
    <mergeCell ref="Y62:AJ62"/>
    <mergeCell ref="Y24:AJ24"/>
    <mergeCell ref="AP101:AQ101"/>
    <mergeCell ref="Y89:AJ89"/>
    <mergeCell ref="AP28:AQ28"/>
    <mergeCell ref="AM27:AN27"/>
    <mergeCell ref="R16:W16"/>
    <mergeCell ref="Y64:AJ64"/>
    <mergeCell ref="Z6:AA6"/>
    <mergeCell ref="Y51:AJ51"/>
    <mergeCell ref="AB6:AC6"/>
    <mergeCell ref="Y82:AJ82"/>
    <mergeCell ref="AP21:AQ21"/>
    <mergeCell ref="AM91:AN91"/>
    <mergeCell ref="AP23:AQ23"/>
    <mergeCell ref="Y77:AJ77"/>
    <mergeCell ref="Y33:AJ33"/>
    <mergeCell ref="R9:W9"/>
    <mergeCell ref="Y75:AJ75"/>
    <mergeCell ref="AM84:AN84"/>
    <mergeCell ref="AM75:AN75"/>
    <mergeCell ref="R11:W11"/>
    <mergeCell ref="Y72:AJ72"/>
    <mergeCell ref="AM86:AN86"/>
    <mergeCell ref="AW12:AX12"/>
    <mergeCell ref="AH16:AI16"/>
    <mergeCell ref="AM80:AN80"/>
    <mergeCell ref="L13:Q13"/>
    <mergeCell ref="AJ16:AK16"/>
    <mergeCell ref="AM79:AN79"/>
    <mergeCell ref="AP18:AQ18"/>
    <mergeCell ref="AP9:AP10"/>
    <mergeCell ref="L15:Q15"/>
    <mergeCell ref="AM81:AN81"/>
    <mergeCell ref="Y88:AJ88"/>
    <mergeCell ref="Y26:AJ26"/>
    <mergeCell ref="AP92:AQ92"/>
    <mergeCell ref="L10:Q10"/>
    <mergeCell ref="Y90:AJ90"/>
    <mergeCell ref="AP29:AQ29"/>
    <mergeCell ref="AP94:AQ94"/>
    <mergeCell ref="Y65:AJ65"/>
    <mergeCell ref="AP44:AQ44"/>
    <mergeCell ref="AM70:AN70"/>
    <mergeCell ref="AP31:AQ31"/>
    <mergeCell ref="AJ6:AK6"/>
    <mergeCell ref="AM63:AN63"/>
    <mergeCell ref="AP95:AQ95"/>
    <mergeCell ref="AP89:AQ89"/>
    <mergeCell ref="Z13:AA13"/>
    <mergeCell ref="AB13:AC13"/>
    <mergeCell ref="AB7:AC7"/>
    <mergeCell ref="AD7:AE7"/>
    <mergeCell ref="AP72:AQ72"/>
    <mergeCell ref="Z15:AA15"/>
    <mergeCell ref="AM94:AN94"/>
    <mergeCell ref="AD8:AE8"/>
    <mergeCell ref="Y20:AJ20"/>
    <mergeCell ref="R12:W12"/>
    <mergeCell ref="AP42:AQ42"/>
    <mergeCell ref="Y22:AJ22"/>
    <mergeCell ref="Y78:AJ78"/>
    <mergeCell ref="AW13:AX13"/>
    <mergeCell ref="Y80:AJ80"/>
    <mergeCell ref="AP19:AQ19"/>
    <mergeCell ref="R2:V3"/>
    <mergeCell ref="AN2:AQ3"/>
    <mergeCell ref="Z4:AQ4"/>
    <mergeCell ref="Y91:AJ91"/>
    <mergeCell ref="Y93:AJ93"/>
    <mergeCell ref="AP32:AQ32"/>
    <mergeCell ref="AM36:AN36"/>
    <mergeCell ref="AH12:AI12"/>
    <mergeCell ref="AP47:AQ47"/>
    <mergeCell ref="Y35:AJ35"/>
    <mergeCell ref="AJ12:AK12"/>
    <mergeCell ref="AB15:AC15"/>
    <mergeCell ref="AH14:AI14"/>
    <mergeCell ref="AJ14:AK14"/>
    <mergeCell ref="I109:R109"/>
    <mergeCell ref="Y109:AA109"/>
    <mergeCell ref="AJ7:AK7"/>
    <mergeCell ref="Y84:AJ84"/>
    <mergeCell ref="AD10:AE10"/>
    <mergeCell ref="AF10:AG10"/>
    <mergeCell ref="AP63:AQ63"/>
    <mergeCell ref="AP50:AQ50"/>
    <mergeCell ref="Y86:AJ86"/>
    <mergeCell ref="Y61:AJ61"/>
    <mergeCell ref="AP11:AP12"/>
    <mergeCell ref="AM64:AN64"/>
    <mergeCell ref="AP27:AQ27"/>
    <mergeCell ref="AP45:AQ45"/>
    <mergeCell ref="AP91:AQ91"/>
    <mergeCell ref="E9:K9"/>
    <mergeCell ref="AM32:AN32"/>
    <mergeCell ref="AP93:AQ93"/>
    <mergeCell ref="E11:K11"/>
    <mergeCell ref="AF5:AG6"/>
    <mergeCell ref="R8:Y8"/>
    <mergeCell ref="Y34:AJ34"/>
    <mergeCell ref="AP55:AQ55"/>
    <mergeCell ref="AP38:AQ38"/>
    <mergeCell ref="Y49:AJ49"/>
    <mergeCell ref="Y36:AJ36"/>
    <mergeCell ref="AJ13:AK13"/>
    <mergeCell ref="AM52:AN52"/>
    <mergeCell ref="AM39:AN39"/>
    <mergeCell ref="AP40:AQ40"/>
    <mergeCell ref="AH15:AI15"/>
    <mergeCell ref="AJ15:AK15"/>
    <mergeCell ref="AH107:AI107"/>
    <mergeCell ref="R14:W14"/>
    <mergeCell ref="AM55:AN55"/>
    <mergeCell ref="X9:Y9"/>
    <mergeCell ref="AP66:AQ66"/>
    <mergeCell ref="Z9:AA9"/>
    <mergeCell ref="Y54:AJ54"/>
    <mergeCell ref="AP53:AQ53"/>
    <mergeCell ref="X11:Y11"/>
    <mergeCell ref="AM29:AN29"/>
    <mergeCell ref="Z11:AA11"/>
    <mergeCell ref="AP68:AQ68"/>
    <mergeCell ref="AM23:AN23"/>
    <mergeCell ref="AN5:AO5"/>
    <mergeCell ref="AP67:AQ67"/>
    <mergeCell ref="AM71:AN71"/>
    <mergeCell ref="AM58:AN58"/>
    <mergeCell ref="E12:K12"/>
    <mergeCell ref="AM60:AN60"/>
    <mergeCell ref="W2:AF3"/>
    <mergeCell ref="E14:K14"/>
    <mergeCell ref="AP7:AP8"/>
    <mergeCell ref="AP41:AQ41"/>
    <mergeCell ref="R13:W13"/>
    <mergeCell ref="Y39:AJ39"/>
    <mergeCell ref="AP56:AQ56"/>
    <mergeCell ref="AP43:AQ43"/>
    <mergeCell ref="R15:W15"/>
    <mergeCell ref="Y18:AK18"/>
    <mergeCell ref="AM19:AN19"/>
    <mergeCell ref="AM46:AN46"/>
    <mergeCell ref="X17:Y17"/>
    <mergeCell ref="Y28:AJ28"/>
    <mergeCell ref="AF16:AG16"/>
    <mergeCell ref="Y70:AJ70"/>
    <mergeCell ref="AF9:AG9"/>
    <mergeCell ref="AP69:AQ69"/>
    <mergeCell ref="AH9:AI9"/>
    <mergeCell ref="Z12:AA12"/>
    <mergeCell ref="Y57:AJ57"/>
    <mergeCell ref="AB12:AC12"/>
    <mergeCell ref="AM73:AN73"/>
    <mergeCell ref="AF14:AG14"/>
    <mergeCell ref="Y23:AJ23"/>
    <mergeCell ref="AF11:AG11"/>
    <mergeCell ref="X14:Y14"/>
    <mergeCell ref="AH11:AI11"/>
    <mergeCell ref="Z14:AA14"/>
    <mergeCell ref="AH5:AI6"/>
    <mergeCell ref="E13:K13"/>
    <mergeCell ref="AM74:AN74"/>
    <mergeCell ref="R10:W10"/>
    <mergeCell ref="AG2:AH3"/>
    <mergeCell ref="E15:K15"/>
    <mergeCell ref="AM76:AN76"/>
    <mergeCell ref="Y83:AJ83"/>
    <mergeCell ref="AP87:AQ87"/>
    <mergeCell ref="Y85:AJ85"/>
    <mergeCell ref="AP24:AQ24"/>
    <mergeCell ref="Y60:AJ60"/>
    <mergeCell ref="X13:Y13"/>
    <mergeCell ref="Z7:AA7"/>
    <mergeCell ref="AP88:AQ88"/>
    <mergeCell ref="AP51:AQ51"/>
    <mergeCell ref="AP26:AQ26"/>
    <mergeCell ref="AM92:AN92"/>
    <mergeCell ref="AW9:AX9"/>
    <mergeCell ref="AP65:AQ65"/>
    <mergeCell ref="Z8:AA8"/>
    <mergeCell ref="AM87:AN87"/>
    <mergeCell ref="AM35:AN35"/>
    <mergeCell ref="AO99:AQ99"/>
    <mergeCell ref="E10:K10"/>
    <mergeCell ref="Y42:AJ42"/>
    <mergeCell ref="V104:W104"/>
    <mergeCell ref="Y71:AJ71"/>
    <mergeCell ref="Y58:AJ58"/>
    <mergeCell ref="AP75:AQ75"/>
    <mergeCell ref="AK107:AQ108"/>
    <mergeCell ref="AP37:AQ37"/>
    <mergeCell ref="Y73:AJ73"/>
    <mergeCell ref="AM77:AN77"/>
    <mergeCell ref="L9:Q9"/>
    <mergeCell ref="L11:Q11"/>
    <mergeCell ref="AP90:AQ90"/>
    <mergeCell ref="X104:Y104"/>
    <mergeCell ref="AB8:AC8"/>
    <mergeCell ref="AM31:AN31"/>
    <mergeCell ref="AF7:AG7"/>
    <mergeCell ref="X10:Y10"/>
    <mergeCell ref="AH7:AI7"/>
    <mergeCell ref="Z10:AA10"/>
    <mergeCell ref="AB10:AC10"/>
    <mergeCell ref="AP25:AQ25"/>
    <mergeCell ref="AM95:AN95"/>
    <mergeCell ref="AM89:AN89"/>
    <mergeCell ref="AM26:AN26"/>
    <mergeCell ref="L16:P16"/>
    <mergeCell ref="AM72:AN72"/>
    <mergeCell ref="AB5:AC5"/>
    <mergeCell ref="Y79:AJ79"/>
    <mergeCell ref="Y81:AJ81"/>
    <mergeCell ref="AP20:AQ20"/>
    <mergeCell ref="AP22:AQ22"/>
    <mergeCell ref="Y76:AJ76"/>
    <mergeCell ref="AP86:AQ86"/>
    <mergeCell ref="L17:Q17"/>
    <mergeCell ref="AI2:AL3"/>
    <mergeCell ref="AM2:AM3"/>
    <mergeCell ref="AM83:AN83"/>
    <mergeCell ref="Y63:AJ63"/>
    <mergeCell ref="AD16:AE16"/>
    <mergeCell ref="AF13:AG13"/>
    <mergeCell ref="AM85:AN85"/>
    <mergeCell ref="AH13:AI13"/>
    <mergeCell ref="L12:Q12"/>
    <mergeCell ref="Y92:AJ92"/>
    <mergeCell ref="Y30:AJ30"/>
    <mergeCell ref="X105:Y105"/>
    <mergeCell ref="U109:V109"/>
    <mergeCell ref="Y29:AJ29"/>
    <mergeCell ref="Y94:AJ94"/>
    <mergeCell ref="AP33:AQ33"/>
    <mergeCell ref="AH8:AI8"/>
    <mergeCell ref="Y31:AJ31"/>
    <mergeCell ref="AJ8:AK8"/>
    <mergeCell ref="AP35:AQ35"/>
    <mergeCell ref="AH10:AI10"/>
    <mergeCell ref="AJ10:AK10"/>
    <mergeCell ref="AP30:AQ30"/>
    <mergeCell ref="E109:G109"/>
    <mergeCell ref="AP59:AQ59"/>
    <mergeCell ref="AP46:AQ46"/>
    <mergeCell ref="AJ5:AK5"/>
    <mergeCell ref="AP61:AQ61"/>
    <mergeCell ref="AP48:AQ48"/>
    <mergeCell ref="AM18:AN18"/>
    <mergeCell ref="AC104:AD104"/>
    <mergeCell ref="Y44:AJ44"/>
    <mergeCell ref="AW11:AX11"/>
    <mergeCell ref="AM93:AN93"/>
    <mergeCell ref="L14:P14"/>
    <mergeCell ref="AW14:AX14"/>
    <mergeCell ref="Y95:AJ95"/>
    <mergeCell ref="AP34:AQ34"/>
    <mergeCell ref="Y32:AJ32"/>
    <mergeCell ref="AP49:AQ49"/>
    <mergeCell ref="AP36:AQ36"/>
    <mergeCell ref="Y47:AJ47"/>
    <mergeCell ref="AP100:AQ100"/>
    <mergeCell ref="AJ9:AK9"/>
    <mergeCell ref="AD12:AE12"/>
    <mergeCell ref="AM41:AN41"/>
    <mergeCell ref="AD9:AE9"/>
    <mergeCell ref="Y21:AJ21"/>
    <mergeCell ref="X12:Y12"/>
    <mergeCell ref="AJ11:AK11"/>
    <mergeCell ref="AB14:AC14"/>
    <mergeCell ref="AD14:AE14"/>
    <mergeCell ref="AP62:AQ62"/>
    <mergeCell ref="Y50:AJ50"/>
    <mergeCell ref="AM66:AN66"/>
    <mergeCell ref="AD13:AE13"/>
    <mergeCell ref="AP54:AQ54"/>
    <mergeCell ref="AE109:AI109"/>
    <mergeCell ref="AP64:AQ64"/>
    <mergeCell ref="Y52:AJ52"/>
    <mergeCell ref="R17:W17"/>
    <mergeCell ref="AM68:AN68"/>
    <mergeCell ref="AD15:AE15"/>
    <mergeCell ref="Y27:AJ27"/>
    <mergeCell ref="AM67:AN67"/>
    <mergeCell ref="Y45:AJ45"/>
    <mergeCell ref="AM61:AN61"/>
    <mergeCell ref="AM69:AN69"/>
    <mergeCell ref="AP57:AQ57"/>
  </mergeCells>
  <conditionalFormatting sqref="H18:H77 O18:O77">
    <cfRule type="expression" rank="0" priority="2" equalAverage="0" aboveAverage="0" dxfId="0" text="" percent="0" bottom="0">
      <formula>$B$5="YES"</formula>
    </cfRule>
    <cfRule type="expression" rank="0" priority="3" equalAverage="0" aboveAverage="0" dxfId="0" text="" percent="0" bottom="0">
      <formula>$B$8="YES"</formula>
    </cfRule>
  </conditionalFormatting>
  <conditionalFormatting sqref="G74:G77 P74:P77">
    <cfRule type="expression" rank="0" priority="4" equalAverage="0" aboveAverage="0" dxfId="2" text="" percent="0" bottom="0">
      <formula>AND($B$7="YES",$B$5="YES")</formula>
    </cfRule>
  </conditionalFormatting>
  <conditionalFormatting sqref="Z7:AK13">
    <cfRule type="expression" rank="0" priority="5" equalAverage="0" aboveAverage="0" dxfId="3" text="" percent="0" bottom="0">
      <formula>$AJ$7=0</formula>
    </cfRule>
  </conditionalFormatting>
  <conditionalFormatting sqref="AO20:AO71 AO72:AQ95 AP19:AQ71">
    <cfRule type="expression" rank="0" priority="6" equalAverage="0" aboveAverage="0" dxfId="4" text="" percent="0" bottom="0">
      <formula>ISNUMBER(FIND("EOT",$AO19))</formula>
    </cfRule>
  </conditionalFormatting>
  <conditionalFormatting sqref="X20:X95 AL20:AO95">
    <cfRule type="expression" rank="0" priority="7" equalAverage="0" aboveAverage="0" dxfId="5" text="" percent="0" bottom="0">
      <formula>$X20&lt;&gt;""</formula>
    </cfRule>
  </conditionalFormatting>
  <conditionalFormatting sqref="X20:Y95 AK20:AO71 AK72:AQ95 AP19:AQ71">
    <cfRule type="expression" rank="0" priority="8" equalAverage="0" aboveAverage="0" dxfId="6" text="" percent="0" bottom="0">
      <formula>$X19&lt;&gt;""</formula>
    </cfRule>
    <cfRule type="expression" rank="0" priority="15" equalAverage="0" aboveAverage="0" dxfId="13" text="" percent="0" bottom="0">
      <formula>$AO19="EOT"</formula>
    </cfRule>
    <cfRule type="expression" rank="0" priority="16" equalAverage="0" aboveAverage="0" dxfId="13" text="" percent="0" bottom="0">
      <formula>$X19="ITEM"</formula>
    </cfRule>
    <cfRule type="expression" rank="0" priority="17" equalAverage="0" aboveAverage="0" dxfId="15" text="" percent="0" bottom="0">
      <formula>$C19="***"</formula>
    </cfRule>
    <cfRule type="expression" rank="0" priority="18" equalAverage="0" aboveAverage="0" dxfId="15" text="" percent="0" bottom="0">
      <formula>$C19="**"</formula>
    </cfRule>
    <cfRule type="expression" rank="0" priority="19" equalAverage="0" aboveAverage="0" dxfId="17" text="" percent="0" bottom="0">
      <formula>$C19="*"</formula>
    </cfRule>
    <cfRule type="expression" rank="0" priority="20" equalAverage="0" aboveAverage="0" dxfId="18" text="" percent="0" bottom="0">
      <formula>$C19&lt;&gt;"*"</formula>
    </cfRule>
  </conditionalFormatting>
  <conditionalFormatting sqref="G75 P75">
    <cfRule type="expression" rank="0" priority="9" equalAverage="0" aboveAverage="0" dxfId="7" text="" percent="0" bottom="0">
      <formula>$B$6="YES"</formula>
    </cfRule>
  </conditionalFormatting>
  <conditionalFormatting sqref="G75:H75 O75:R75">
    <cfRule type="expression" rank="0" priority="10" equalAverage="0" aboveAverage="0" dxfId="8" text="" percent="0" bottom="0">
      <formula>$B$6="YES"</formula>
    </cfRule>
  </conditionalFormatting>
  <conditionalFormatting sqref="G18:G77 P18:P77">
    <cfRule type="expression" rank="0" priority="11" equalAverage="0" aboveAverage="0" dxfId="2" text="" percent="0" bottom="0">
      <formula>AND($B$7="NO",$B$5="YES")</formula>
    </cfRule>
    <cfRule type="expression" rank="0" priority="12" equalAverage="0" aboveAverage="0" dxfId="2" text="" percent="0" bottom="0">
      <formula>$B$8="YES"</formula>
    </cfRule>
  </conditionalFormatting>
  <conditionalFormatting sqref="J28">
    <cfRule type="expression" rank="0" priority="13" equalAverage="0" aboveAverage="0" dxfId="11" text="" percent="0" bottom="0">
      <formula>LEFT(#ref!,1)="4"</formula>
    </cfRule>
  </conditionalFormatting>
  <conditionalFormatting sqref="AP100:AQ100">
    <cfRule type="expression" rank="0" priority="14" equalAverage="0" aboveAverage="0" dxfId="12" text="" percent="0" bottom="0">
      <formula>MAX($AP$19:$AQ$95&gt;#ref!</formula>
    </cfRule>
  </conditionalFormatting>
  <dataValidations count="1">
    <dataValidation sqref="I109:R109" showDropDown="0" showInputMessage="1" showErrorMessage="1" allowBlank="1" type="list" errorStyle="stop" operator="between">
      <formula1>"v1,v2,v3,FINAL"</formula1>
      <formula2>0</formula2>
    </dataValidation>
  </dataValidations>
  <printOptions horizontalCentered="1" verticalCentered="1" headings="0" gridLines="0" gridLinesSet="1"/>
  <pageMargins left="0.315277777777778" right="0.315277777777778" top="0.315277777777778" bottom="0.315277777777778" header="0.315277777777778" footer="0.315277777777778"/>
  <pageSetup orientation="portrait" paperSize="1" scale="100" fitToHeight="1" fitToWidth="1" pageOrder="downThenOver" blackAndWhite="0" draft="0" horizontalDpi="300" verticalDpi="300" copies="1"/>
  <headerFooter differentOddEven="0" differentFirst="1">
    <oddHeader/>
    <oddFooter>&amp;R&amp;8 Page &amp;P of &amp;N_x000a_&amp;F</oddFooter>
    <evenHeader/>
    <evenFooter/>
    <firstHeader>&amp;L&amp;"arial,Regular"&amp;1 &amp;K737373ADNOC Classification: Public#</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2026-07-28T13:57:12Z</dcterms:modified>
  <cp:revision>2</cp:revision>
  <cp:lastPrinted>2026-06-18T07:20:43Z</cp:lastPrinted>
</cp:coreProperties>
</file>